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ADB2B180-40E1-4245-9B6E-CA97957FE4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Sheet1" sheetId="11" r:id="rId2"/>
    <sheet name="B16" sheetId="8" r:id="rId3"/>
    <sheet name="B16 ext" sheetId="9" r:id="rId4"/>
    <sheet name="B17" sheetId="10" r:id="rId5"/>
    <sheet name="Water Reading" sheetId="1" r:id="rId6"/>
    <sheet name="Diesel Reading Nov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1" l="1"/>
  <c r="G40" i="11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L2" i="6"/>
  <c r="K2" i="6"/>
  <c r="C27" i="10" l="1"/>
  <c r="C25" i="10"/>
  <c r="C24" i="10"/>
  <c r="E15" i="9"/>
  <c r="E14" i="9"/>
  <c r="H33" i="7"/>
  <c r="H32" i="7"/>
  <c r="G30" i="6" s="1"/>
  <c r="C11" i="1"/>
  <c r="H11" i="1" s="1"/>
  <c r="I9" i="6" s="1"/>
  <c r="H9" i="7"/>
  <c r="H10" i="7"/>
  <c r="H11" i="7"/>
  <c r="H12" i="7"/>
  <c r="H13" i="7"/>
  <c r="G11" i="6" s="1"/>
  <c r="H14" i="7"/>
  <c r="H16" i="7"/>
  <c r="I16" i="7" s="1"/>
  <c r="H14" i="6" s="1"/>
  <c r="H15" i="7"/>
  <c r="I15" i="7" s="1"/>
  <c r="H13" i="6" s="1"/>
  <c r="E34" i="1"/>
  <c r="C34" i="1"/>
  <c r="I34" i="1" s="1"/>
  <c r="J32" i="6" s="1"/>
  <c r="E33" i="1"/>
  <c r="C33" i="1"/>
  <c r="H33" i="1" s="1"/>
  <c r="I31" i="6" s="1"/>
  <c r="E32" i="1"/>
  <c r="H32" i="1" s="1"/>
  <c r="I30" i="6" s="1"/>
  <c r="C32" i="1"/>
  <c r="I32" i="1" s="1"/>
  <c r="E31" i="1"/>
  <c r="C31" i="1"/>
  <c r="I31" i="1" s="1"/>
  <c r="J29" i="6" s="1"/>
  <c r="E30" i="1"/>
  <c r="H30" i="1" s="1"/>
  <c r="I28" i="6" s="1"/>
  <c r="C30" i="1"/>
  <c r="I30" i="1"/>
  <c r="J28" i="6" s="1"/>
  <c r="E29" i="1"/>
  <c r="C29" i="1"/>
  <c r="I29" i="1" s="1"/>
  <c r="J27" i="6" s="1"/>
  <c r="E28" i="1"/>
  <c r="C28" i="1"/>
  <c r="I28" i="1"/>
  <c r="E27" i="1"/>
  <c r="C27" i="1"/>
  <c r="H27" i="1" s="1"/>
  <c r="I25" i="6" s="1"/>
  <c r="I27" i="1"/>
  <c r="E26" i="1"/>
  <c r="C26" i="1"/>
  <c r="I26" i="1"/>
  <c r="E25" i="1"/>
  <c r="C25" i="1"/>
  <c r="H25" i="1" s="1"/>
  <c r="I23" i="6" s="1"/>
  <c r="E24" i="1"/>
  <c r="H24" i="1" s="1"/>
  <c r="I22" i="6" s="1"/>
  <c r="C24" i="1"/>
  <c r="I24" i="1" s="1"/>
  <c r="J22" i="6" s="1"/>
  <c r="E23" i="1"/>
  <c r="C23" i="1"/>
  <c r="I23" i="1" s="1"/>
  <c r="J21" i="6" s="1"/>
  <c r="E22" i="1"/>
  <c r="H22" i="1" s="1"/>
  <c r="I20" i="6" s="1"/>
  <c r="C22" i="1"/>
  <c r="I22" i="1"/>
  <c r="E21" i="1"/>
  <c r="I21" i="1" s="1"/>
  <c r="J19" i="6" s="1"/>
  <c r="C21" i="1"/>
  <c r="E20" i="1"/>
  <c r="C20" i="1"/>
  <c r="I20" i="1"/>
  <c r="E19" i="1"/>
  <c r="C19" i="1"/>
  <c r="H19" i="1" s="1"/>
  <c r="I17" i="6" s="1"/>
  <c r="I19" i="1"/>
  <c r="J17" i="6" s="1"/>
  <c r="E18" i="1"/>
  <c r="C18" i="1"/>
  <c r="I18" i="1"/>
  <c r="E17" i="1"/>
  <c r="C17" i="1"/>
  <c r="H17" i="1" s="1"/>
  <c r="I15" i="6" s="1"/>
  <c r="E16" i="1"/>
  <c r="H16" i="1" s="1"/>
  <c r="I14" i="6" s="1"/>
  <c r="C16" i="1"/>
  <c r="I16" i="1" s="1"/>
  <c r="E15" i="1"/>
  <c r="C15" i="1"/>
  <c r="I15" i="1" s="1"/>
  <c r="J13" i="6" s="1"/>
  <c r="E14" i="1"/>
  <c r="H14" i="1" s="1"/>
  <c r="I12" i="6" s="1"/>
  <c r="C14" i="1"/>
  <c r="I14" i="1"/>
  <c r="J12" i="6" s="1"/>
  <c r="E13" i="1"/>
  <c r="I13" i="1" s="1"/>
  <c r="J11" i="6" s="1"/>
  <c r="C13" i="1"/>
  <c r="E12" i="1"/>
  <c r="C12" i="1"/>
  <c r="I12" i="1"/>
  <c r="E11" i="1"/>
  <c r="E10" i="1"/>
  <c r="H10" i="1" s="1"/>
  <c r="I8" i="6" s="1"/>
  <c r="C10" i="1"/>
  <c r="I10" i="1" s="1"/>
  <c r="E9" i="1"/>
  <c r="C9" i="1"/>
  <c r="I9" i="1"/>
  <c r="E8" i="1"/>
  <c r="C8" i="1"/>
  <c r="H8" i="1" s="1"/>
  <c r="I8" i="1"/>
  <c r="E7" i="1"/>
  <c r="C7" i="1"/>
  <c r="I7" i="1"/>
  <c r="E6" i="1"/>
  <c r="C6" i="1"/>
  <c r="H6" i="1" s="1"/>
  <c r="I4" i="6" s="1"/>
  <c r="E5" i="1"/>
  <c r="E35" i="1" s="1"/>
  <c r="C5" i="1"/>
  <c r="I5" i="1" s="1"/>
  <c r="J3" i="6" s="1"/>
  <c r="E4" i="1"/>
  <c r="C4" i="1"/>
  <c r="A37" i="8"/>
  <c r="F36" i="8"/>
  <c r="J35" i="8"/>
  <c r="I35" i="8"/>
  <c r="J34" i="8"/>
  <c r="I34" i="8"/>
  <c r="E33" i="8"/>
  <c r="C33" i="8"/>
  <c r="J33" i="8"/>
  <c r="E32" i="8"/>
  <c r="C32" i="8"/>
  <c r="J32" i="8"/>
  <c r="E31" i="8"/>
  <c r="I31" i="8" s="1"/>
  <c r="E29" i="6" s="1"/>
  <c r="C31" i="8"/>
  <c r="J31" i="8" s="1"/>
  <c r="F29" i="6" s="1"/>
  <c r="E30" i="8"/>
  <c r="C30" i="8"/>
  <c r="J30" i="8"/>
  <c r="E29" i="8"/>
  <c r="C29" i="8"/>
  <c r="I29" i="8" s="1"/>
  <c r="J29" i="8"/>
  <c r="E28" i="8"/>
  <c r="C28" i="8"/>
  <c r="J28" i="8"/>
  <c r="E27" i="8"/>
  <c r="C27" i="8"/>
  <c r="I27" i="8" s="1"/>
  <c r="E25" i="6" s="1"/>
  <c r="E26" i="8"/>
  <c r="I26" i="8" s="1"/>
  <c r="E24" i="6" s="1"/>
  <c r="C26" i="8"/>
  <c r="J26" i="8" s="1"/>
  <c r="F24" i="6" s="1"/>
  <c r="E25" i="8"/>
  <c r="C25" i="8"/>
  <c r="J25" i="8"/>
  <c r="E24" i="8"/>
  <c r="C24" i="8"/>
  <c r="J24" i="8"/>
  <c r="E23" i="8"/>
  <c r="I23" i="8" s="1"/>
  <c r="E21" i="6" s="1"/>
  <c r="C23" i="8"/>
  <c r="J23" i="8" s="1"/>
  <c r="F21" i="6" s="1"/>
  <c r="E22" i="8"/>
  <c r="C22" i="8"/>
  <c r="J22" i="8"/>
  <c r="F20" i="6" s="1"/>
  <c r="E21" i="8"/>
  <c r="C21" i="8"/>
  <c r="I21" i="8" s="1"/>
  <c r="J21" i="8"/>
  <c r="E20" i="8"/>
  <c r="C20" i="8"/>
  <c r="J20" i="8"/>
  <c r="E19" i="8"/>
  <c r="C19" i="8"/>
  <c r="I19" i="8" s="1"/>
  <c r="E17" i="6" s="1"/>
  <c r="E18" i="8"/>
  <c r="I18" i="8" s="1"/>
  <c r="C18" i="8"/>
  <c r="J18" i="8" s="1"/>
  <c r="E17" i="8"/>
  <c r="C17" i="8"/>
  <c r="J17" i="8"/>
  <c r="E16" i="8"/>
  <c r="C16" i="8"/>
  <c r="J16" i="8"/>
  <c r="E15" i="8"/>
  <c r="I15" i="8" s="1"/>
  <c r="E13" i="6" s="1"/>
  <c r="C15" i="8"/>
  <c r="J15" i="8" s="1"/>
  <c r="F13" i="6" s="1"/>
  <c r="E14" i="8"/>
  <c r="C14" i="8"/>
  <c r="J14" i="8"/>
  <c r="E13" i="8"/>
  <c r="C13" i="8"/>
  <c r="I13" i="8" s="1"/>
  <c r="E11" i="6" s="1"/>
  <c r="J13" i="8"/>
  <c r="F11" i="6" s="1"/>
  <c r="E12" i="8"/>
  <c r="C12" i="8"/>
  <c r="J12" i="8"/>
  <c r="E11" i="8"/>
  <c r="C11" i="8"/>
  <c r="I11" i="8" s="1"/>
  <c r="E10" i="8"/>
  <c r="I10" i="8" s="1"/>
  <c r="C10" i="8"/>
  <c r="J10" i="8" s="1"/>
  <c r="E9" i="8"/>
  <c r="C9" i="8"/>
  <c r="J9" i="8"/>
  <c r="E8" i="8"/>
  <c r="C8" i="8"/>
  <c r="J8" i="8"/>
  <c r="E7" i="8"/>
  <c r="E36" i="8" s="1"/>
  <c r="C7" i="8"/>
  <c r="J7" i="8" s="1"/>
  <c r="E6" i="8"/>
  <c r="C6" i="8"/>
  <c r="J6" i="8"/>
  <c r="E5" i="8"/>
  <c r="C5" i="8"/>
  <c r="I5" i="8" s="1"/>
  <c r="J5" i="8"/>
  <c r="E4" i="8"/>
  <c r="C4" i="8"/>
  <c r="A37" i="9"/>
  <c r="F36" i="9"/>
  <c r="J35" i="9"/>
  <c r="I35" i="9"/>
  <c r="J34" i="9"/>
  <c r="I34" i="9"/>
  <c r="E32" i="6" s="1"/>
  <c r="E33" i="9"/>
  <c r="C33" i="9"/>
  <c r="J33" i="9"/>
  <c r="E32" i="9"/>
  <c r="C32" i="9"/>
  <c r="I32" i="9" s="1"/>
  <c r="E31" i="9"/>
  <c r="C31" i="9"/>
  <c r="J31" i="9" s="1"/>
  <c r="E30" i="9"/>
  <c r="C30" i="9"/>
  <c r="J30" i="9"/>
  <c r="E29" i="9"/>
  <c r="I29" i="9" s="1"/>
  <c r="C29" i="9"/>
  <c r="J29" i="9"/>
  <c r="E28" i="9"/>
  <c r="I28" i="9" s="1"/>
  <c r="C28" i="9"/>
  <c r="J28" i="9" s="1"/>
  <c r="E27" i="9"/>
  <c r="C27" i="9"/>
  <c r="J27" i="9"/>
  <c r="E26" i="9"/>
  <c r="C26" i="9"/>
  <c r="I26" i="9" s="1"/>
  <c r="J26" i="9"/>
  <c r="E25" i="9"/>
  <c r="C25" i="9"/>
  <c r="J25" i="9"/>
  <c r="E24" i="9"/>
  <c r="C24" i="9"/>
  <c r="I24" i="9" s="1"/>
  <c r="E23" i="9"/>
  <c r="C23" i="9"/>
  <c r="J23" i="9" s="1"/>
  <c r="E22" i="9"/>
  <c r="C22" i="9"/>
  <c r="J22" i="9"/>
  <c r="E21" i="9"/>
  <c r="I21" i="9" s="1"/>
  <c r="C21" i="9"/>
  <c r="J21" i="9"/>
  <c r="E20" i="9"/>
  <c r="I20" i="9" s="1"/>
  <c r="E18" i="6" s="1"/>
  <c r="C20" i="9"/>
  <c r="J20" i="9" s="1"/>
  <c r="E19" i="9"/>
  <c r="C19" i="9"/>
  <c r="J19" i="9"/>
  <c r="E18" i="9"/>
  <c r="C18" i="9"/>
  <c r="I18" i="9" s="1"/>
  <c r="J18" i="9"/>
  <c r="E17" i="9"/>
  <c r="C17" i="9"/>
  <c r="J17" i="9"/>
  <c r="E16" i="9"/>
  <c r="C16" i="9"/>
  <c r="I16" i="9" s="1"/>
  <c r="C15" i="9"/>
  <c r="J15" i="9"/>
  <c r="C14" i="9"/>
  <c r="J14" i="9" s="1"/>
  <c r="E13" i="9"/>
  <c r="C13" i="9"/>
  <c r="J13" i="9"/>
  <c r="E12" i="9"/>
  <c r="C12" i="9"/>
  <c r="I12" i="9" s="1"/>
  <c r="E10" i="6" s="1"/>
  <c r="F10" i="6" s="1"/>
  <c r="J12" i="9"/>
  <c r="E11" i="9"/>
  <c r="C11" i="9"/>
  <c r="J11" i="9"/>
  <c r="E10" i="9"/>
  <c r="C10" i="9"/>
  <c r="I10" i="9" s="1"/>
  <c r="E9" i="9"/>
  <c r="I9" i="9" s="1"/>
  <c r="C9" i="9"/>
  <c r="J9" i="9" s="1"/>
  <c r="F7" i="6" s="1"/>
  <c r="E8" i="9"/>
  <c r="C8" i="9"/>
  <c r="J8" i="9"/>
  <c r="E7" i="9"/>
  <c r="C7" i="9"/>
  <c r="J7" i="9"/>
  <c r="E6" i="9"/>
  <c r="I6" i="9" s="1"/>
  <c r="C6" i="9"/>
  <c r="J6" i="9" s="1"/>
  <c r="E5" i="9"/>
  <c r="C5" i="9"/>
  <c r="J5" i="9"/>
  <c r="E4" i="9"/>
  <c r="C4" i="9"/>
  <c r="C36" i="9" s="1"/>
  <c r="A37" i="10"/>
  <c r="F36" i="10"/>
  <c r="J35" i="10"/>
  <c r="I35" i="10"/>
  <c r="E34" i="10"/>
  <c r="C34" i="10"/>
  <c r="J34" i="10" s="1"/>
  <c r="E33" i="10"/>
  <c r="I33" i="10" s="1"/>
  <c r="C33" i="10"/>
  <c r="J33" i="10" s="1"/>
  <c r="E32" i="10"/>
  <c r="C32" i="10"/>
  <c r="J32" i="10"/>
  <c r="E31" i="10"/>
  <c r="C31" i="10"/>
  <c r="J31" i="10"/>
  <c r="E30" i="10"/>
  <c r="I30" i="10" s="1"/>
  <c r="C30" i="10"/>
  <c r="J30" i="10" s="1"/>
  <c r="E29" i="10"/>
  <c r="C29" i="10"/>
  <c r="J29" i="10"/>
  <c r="E28" i="10"/>
  <c r="C28" i="10"/>
  <c r="I28" i="10" s="1"/>
  <c r="J28" i="10"/>
  <c r="E27" i="10"/>
  <c r="J27" i="10" s="1"/>
  <c r="E26" i="10"/>
  <c r="C26" i="10"/>
  <c r="J26" i="10"/>
  <c r="E25" i="10"/>
  <c r="J25" i="10"/>
  <c r="E24" i="10"/>
  <c r="J24" i="10" s="1"/>
  <c r="E23" i="10"/>
  <c r="C23" i="10"/>
  <c r="J23" i="10"/>
  <c r="E22" i="10"/>
  <c r="I22" i="10" s="1"/>
  <c r="C22" i="10"/>
  <c r="J22" i="10"/>
  <c r="E21" i="10"/>
  <c r="I21" i="10" s="1"/>
  <c r="C21" i="10"/>
  <c r="J21" i="10" s="1"/>
  <c r="E20" i="10"/>
  <c r="C20" i="10"/>
  <c r="J20" i="10"/>
  <c r="E19" i="10"/>
  <c r="C19" i="10"/>
  <c r="I19" i="10" s="1"/>
  <c r="J19" i="10"/>
  <c r="E18" i="10"/>
  <c r="C18" i="10"/>
  <c r="J18" i="10"/>
  <c r="E17" i="10"/>
  <c r="C17" i="10"/>
  <c r="J17" i="10" s="1"/>
  <c r="E16" i="10"/>
  <c r="I16" i="10" s="1"/>
  <c r="C16" i="10"/>
  <c r="J16" i="10" s="1"/>
  <c r="E15" i="10"/>
  <c r="C15" i="10"/>
  <c r="J15" i="10"/>
  <c r="E14" i="10"/>
  <c r="I14" i="10" s="1"/>
  <c r="C14" i="10"/>
  <c r="J14" i="10"/>
  <c r="E13" i="10"/>
  <c r="I13" i="10" s="1"/>
  <c r="C13" i="10"/>
  <c r="J13" i="10" s="1"/>
  <c r="E12" i="10"/>
  <c r="C12" i="10"/>
  <c r="J12" i="10"/>
  <c r="E11" i="10"/>
  <c r="C11" i="10"/>
  <c r="I11" i="10" s="1"/>
  <c r="J11" i="10"/>
  <c r="E10" i="10"/>
  <c r="C10" i="10"/>
  <c r="J10" i="10"/>
  <c r="E9" i="10"/>
  <c r="C9" i="10"/>
  <c r="J9" i="10" s="1"/>
  <c r="E8" i="10"/>
  <c r="I8" i="10" s="1"/>
  <c r="C8" i="10"/>
  <c r="J8" i="10" s="1"/>
  <c r="E7" i="10"/>
  <c r="C7" i="10"/>
  <c r="J7" i="10"/>
  <c r="E6" i="10"/>
  <c r="I6" i="10" s="1"/>
  <c r="C6" i="10"/>
  <c r="J6" i="10"/>
  <c r="E5" i="10"/>
  <c r="I5" i="10" s="1"/>
  <c r="C5" i="10"/>
  <c r="E4" i="10"/>
  <c r="C4" i="10"/>
  <c r="H6" i="7"/>
  <c r="G4" i="6" s="1"/>
  <c r="H7" i="7"/>
  <c r="H8" i="7"/>
  <c r="I8" i="7" s="1"/>
  <c r="H6" i="6" s="1"/>
  <c r="I6" i="7"/>
  <c r="H4" i="6" s="1"/>
  <c r="I7" i="7"/>
  <c r="I9" i="7"/>
  <c r="I10" i="7"/>
  <c r="I11" i="7"/>
  <c r="H9" i="6" s="1"/>
  <c r="I12" i="7"/>
  <c r="I13" i="7"/>
  <c r="H11" i="6" s="1"/>
  <c r="I14" i="7"/>
  <c r="H12" i="6" s="1"/>
  <c r="I33" i="7"/>
  <c r="E33" i="7"/>
  <c r="I32" i="7"/>
  <c r="H30" i="6" s="1"/>
  <c r="E32" i="7"/>
  <c r="H31" i="7"/>
  <c r="G29" i="6" s="1"/>
  <c r="I31" i="7"/>
  <c r="H29" i="6" s="1"/>
  <c r="E31" i="7"/>
  <c r="H30" i="7"/>
  <c r="I30" i="7"/>
  <c r="E30" i="7"/>
  <c r="H29" i="7"/>
  <c r="G27" i="6" s="1"/>
  <c r="E29" i="7"/>
  <c r="H28" i="7"/>
  <c r="I28" i="7" s="1"/>
  <c r="H26" i="6" s="1"/>
  <c r="E28" i="7"/>
  <c r="H27" i="7"/>
  <c r="I27" i="7" s="1"/>
  <c r="H25" i="6" s="1"/>
  <c r="E27" i="7"/>
  <c r="H26" i="7"/>
  <c r="I26" i="7"/>
  <c r="H24" i="6" s="1"/>
  <c r="E26" i="7"/>
  <c r="H25" i="7"/>
  <c r="I25" i="7" s="1"/>
  <c r="H23" i="6" s="1"/>
  <c r="E25" i="7"/>
  <c r="H24" i="7"/>
  <c r="I24" i="7"/>
  <c r="H22" i="6" s="1"/>
  <c r="E24" i="7"/>
  <c r="H23" i="7"/>
  <c r="G21" i="6" s="1"/>
  <c r="I23" i="7"/>
  <c r="H21" i="6" s="1"/>
  <c r="E23" i="7"/>
  <c r="H22" i="7"/>
  <c r="I22" i="7"/>
  <c r="E22" i="7"/>
  <c r="H21" i="7"/>
  <c r="G19" i="6" s="1"/>
  <c r="E21" i="7"/>
  <c r="H20" i="7"/>
  <c r="I20" i="7" s="1"/>
  <c r="H18" i="6" s="1"/>
  <c r="E20" i="7"/>
  <c r="H19" i="7"/>
  <c r="I19" i="7" s="1"/>
  <c r="H17" i="6" s="1"/>
  <c r="E19" i="7"/>
  <c r="H18" i="7"/>
  <c r="I18" i="7"/>
  <c r="H16" i="6" s="1"/>
  <c r="E18" i="7"/>
  <c r="H17" i="7"/>
  <c r="I17" i="7" s="1"/>
  <c r="H15" i="6" s="1"/>
  <c r="E17" i="7"/>
  <c r="E16" i="7"/>
  <c r="E15" i="7"/>
  <c r="E14" i="7"/>
  <c r="E13" i="7"/>
  <c r="E12" i="7"/>
  <c r="E11" i="7"/>
  <c r="E10" i="7"/>
  <c r="E9" i="7"/>
  <c r="E8" i="7"/>
  <c r="E7" i="7"/>
  <c r="E6" i="7"/>
  <c r="H5" i="7"/>
  <c r="G3" i="6" s="1"/>
  <c r="I5" i="7"/>
  <c r="H3" i="6" s="1"/>
  <c r="E5" i="7"/>
  <c r="H4" i="7"/>
  <c r="E4" i="7"/>
  <c r="G15" i="6"/>
  <c r="H31" i="6"/>
  <c r="H28" i="6"/>
  <c r="H20" i="6"/>
  <c r="G16" i="6"/>
  <c r="G12" i="6"/>
  <c r="H10" i="6"/>
  <c r="G8" i="6"/>
  <c r="H7" i="6"/>
  <c r="H5" i="6"/>
  <c r="G2" i="6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G20" i="6"/>
  <c r="G14" i="6"/>
  <c r="G25" i="6"/>
  <c r="G31" i="6"/>
  <c r="H8" i="6"/>
  <c r="G28" i="6"/>
  <c r="G17" i="6"/>
  <c r="G9" i="6"/>
  <c r="G18" i="6"/>
  <c r="G10" i="6"/>
  <c r="G5" i="6"/>
  <c r="G22" i="6"/>
  <c r="G6" i="6"/>
  <c r="G23" i="6"/>
  <c r="G7" i="6"/>
  <c r="G24" i="6"/>
  <c r="I4" i="1"/>
  <c r="H4" i="1"/>
  <c r="H5" i="1"/>
  <c r="I3" i="6" s="1"/>
  <c r="H7" i="1"/>
  <c r="H9" i="1"/>
  <c r="H12" i="1"/>
  <c r="H13" i="1"/>
  <c r="I11" i="6" s="1"/>
  <c r="H15" i="1"/>
  <c r="H18" i="1"/>
  <c r="I16" i="6" s="1"/>
  <c r="H20" i="1"/>
  <c r="H21" i="1"/>
  <c r="I19" i="6" s="1"/>
  <c r="H23" i="1"/>
  <c r="H26" i="1"/>
  <c r="I24" i="6" s="1"/>
  <c r="H28" i="1"/>
  <c r="H29" i="1"/>
  <c r="I27" i="6" s="1"/>
  <c r="H31" i="1"/>
  <c r="H34" i="1"/>
  <c r="I32" i="6" s="1"/>
  <c r="J4" i="8"/>
  <c r="I4" i="8"/>
  <c r="I6" i="8"/>
  <c r="I8" i="8"/>
  <c r="E6" i="6" s="1"/>
  <c r="I9" i="8"/>
  <c r="E7" i="6" s="1"/>
  <c r="I12" i="8"/>
  <c r="I14" i="8"/>
  <c r="I16" i="8"/>
  <c r="E14" i="6" s="1"/>
  <c r="I17" i="8"/>
  <c r="E15" i="6" s="1"/>
  <c r="I20" i="8"/>
  <c r="I22" i="8"/>
  <c r="I24" i="8"/>
  <c r="I25" i="8"/>
  <c r="E23" i="6" s="1"/>
  <c r="F23" i="6" s="1"/>
  <c r="I28" i="8"/>
  <c r="I30" i="8"/>
  <c r="I32" i="8"/>
  <c r="E30" i="6" s="1"/>
  <c r="I33" i="8"/>
  <c r="I5" i="9"/>
  <c r="I7" i="9"/>
  <c r="I8" i="9"/>
  <c r="I11" i="9"/>
  <c r="I13" i="9"/>
  <c r="I14" i="9"/>
  <c r="I15" i="9"/>
  <c r="I17" i="9"/>
  <c r="I19" i="9"/>
  <c r="I22" i="9"/>
  <c r="E20" i="6" s="1"/>
  <c r="I23" i="9"/>
  <c r="I25" i="9"/>
  <c r="I27" i="9"/>
  <c r="I30" i="9"/>
  <c r="I31" i="9"/>
  <c r="I33" i="9"/>
  <c r="J4" i="10"/>
  <c r="I4" i="10"/>
  <c r="I7" i="10"/>
  <c r="I9" i="10"/>
  <c r="I10" i="10"/>
  <c r="I12" i="10"/>
  <c r="I15" i="10"/>
  <c r="I17" i="10"/>
  <c r="I18" i="10"/>
  <c r="I20" i="10"/>
  <c r="I23" i="10"/>
  <c r="I25" i="10"/>
  <c r="I26" i="10"/>
  <c r="I27" i="10"/>
  <c r="I29" i="10"/>
  <c r="I31" i="10"/>
  <c r="I32" i="10"/>
  <c r="I34" i="10"/>
  <c r="I29" i="6"/>
  <c r="I26" i="6"/>
  <c r="J26" i="6"/>
  <c r="I21" i="6"/>
  <c r="I18" i="6"/>
  <c r="J18" i="6"/>
  <c r="I13" i="6"/>
  <c r="I10" i="6"/>
  <c r="J10" i="6"/>
  <c r="I7" i="6"/>
  <c r="J7" i="6"/>
  <c r="J5" i="6"/>
  <c r="I5" i="6"/>
  <c r="I2" i="6"/>
  <c r="I4" i="7"/>
  <c r="H2" i="6"/>
  <c r="I6" i="6" l="1"/>
  <c r="J6" i="6"/>
  <c r="F5" i="6"/>
  <c r="F32" i="6"/>
  <c r="J20" i="6"/>
  <c r="E8" i="6"/>
  <c r="F27" i="6"/>
  <c r="J14" i="6"/>
  <c r="J30" i="6"/>
  <c r="E4" i="6"/>
  <c r="F4" i="6" s="1"/>
  <c r="E26" i="6"/>
  <c r="F26" i="6" s="1"/>
  <c r="J8" i="6"/>
  <c r="J25" i="6"/>
  <c r="E31" i="6"/>
  <c r="F31" i="6" s="1"/>
  <c r="F6" i="6"/>
  <c r="F12" i="6"/>
  <c r="E27" i="6"/>
  <c r="E3" i="6"/>
  <c r="E12" i="6"/>
  <c r="E19" i="6"/>
  <c r="F19" i="6" s="1"/>
  <c r="E9" i="6"/>
  <c r="E28" i="6"/>
  <c r="F28" i="6" s="1"/>
  <c r="F15" i="6"/>
  <c r="J36" i="9"/>
  <c r="F18" i="6"/>
  <c r="E16" i="6"/>
  <c r="F16" i="6" s="1"/>
  <c r="G26" i="6"/>
  <c r="I11" i="1"/>
  <c r="J9" i="6" s="1"/>
  <c r="I7" i="8"/>
  <c r="E5" i="6" s="1"/>
  <c r="C37" i="8"/>
  <c r="I21" i="7"/>
  <c r="H19" i="6" s="1"/>
  <c r="I29" i="7"/>
  <c r="H27" i="6" s="1"/>
  <c r="J10" i="9"/>
  <c r="F8" i="6" s="1"/>
  <c r="J16" i="9"/>
  <c r="F14" i="6" s="1"/>
  <c r="J24" i="9"/>
  <c r="J32" i="9"/>
  <c r="F30" i="6" s="1"/>
  <c r="J11" i="8"/>
  <c r="F9" i="6" s="1"/>
  <c r="J19" i="8"/>
  <c r="F17" i="6" s="1"/>
  <c r="J27" i="8"/>
  <c r="F25" i="6" s="1"/>
  <c r="I6" i="1"/>
  <c r="J4" i="6" s="1"/>
  <c r="I17" i="1"/>
  <c r="J15" i="6" s="1"/>
  <c r="I25" i="1"/>
  <c r="J23" i="6" s="1"/>
  <c r="I33" i="1"/>
  <c r="J31" i="6" s="1"/>
  <c r="I4" i="9"/>
  <c r="E2" i="6" s="1"/>
  <c r="J16" i="6"/>
  <c r="J24" i="6"/>
  <c r="C35" i="1"/>
  <c r="H35" i="1"/>
  <c r="C36" i="8"/>
  <c r="J36" i="8" s="1"/>
  <c r="C36" i="10"/>
  <c r="J36" i="10" s="1"/>
  <c r="E36" i="9"/>
  <c r="I36" i="9" s="1"/>
  <c r="J2" i="6"/>
  <c r="I24" i="10"/>
  <c r="E22" i="6" s="1"/>
  <c r="F22" i="6" s="1"/>
  <c r="J4" i="9"/>
  <c r="F2" i="6" s="1"/>
  <c r="G13" i="6"/>
  <c r="J5" i="10"/>
  <c r="F3" i="6" s="1"/>
  <c r="E36" i="10"/>
  <c r="I34" i="7"/>
  <c r="H34" i="7"/>
  <c r="J34" i="7" s="1"/>
  <c r="I36" i="10" l="1"/>
  <c r="I36" i="8"/>
  <c r="I35" i="1"/>
  <c r="H32" i="6"/>
</calcChain>
</file>

<file path=xl/sharedStrings.xml><?xml version="1.0" encoding="utf-8"?>
<sst xmlns="http://schemas.openxmlformats.org/spreadsheetml/2006/main" count="211" uniqueCount="102">
  <si>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</si>
  <si>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</si>
  <si>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</si>
  <si>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</si>
  <si>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</si>
  <si>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</si>
  <si>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</si>
  <si>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</si>
  <si>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</si>
  <si>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</si>
  <si>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</si>
  <si>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</si>
  <si>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</si>
  <si>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</si>
  <si>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November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</si>
  <si>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</si>
  <si>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</si>
  <si>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</si>
  <si>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</si>
  <si>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</si>
  <si>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</si>
  <si>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</si>
  <si>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</si>
  <si>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</si>
  <si>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</si>
  <si>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</si>
  <si>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</si>
  <si>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</si>
  <si>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</si>
  <si>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</si>
  <si>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</si>
  <si>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</si>
  <si>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</si>
  <si>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</si>
  <si>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</si>
  <si>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</si>
  <si>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</si>
  <si>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</si>
  <si>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</si>
  <si>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</si>
  <si>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</si>
  <si>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</si>
  <si>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</si>
  <si>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</si>
  <si>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</si>
  <si>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</si>
  <si>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</si>
  <si>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</si>
  <si>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</si>
  <si>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</si>
  <si>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Carry foward last montth</t>
  </si>
  <si>
    <t>( Lanscape)</t>
  </si>
  <si>
    <t>( Watersport )</t>
  </si>
  <si>
    <t>Wood Chipper</t>
  </si>
  <si>
    <t>Watersport</t>
  </si>
  <si>
    <t>Balance (Litre)</t>
  </si>
  <si>
    <t>FS Resort Langkawi</t>
  </si>
  <si>
    <t>Category</t>
  </si>
  <si>
    <t>Class</t>
  </si>
  <si>
    <t>Actual</t>
  </si>
  <si>
    <t>Base Currency</t>
  </si>
  <si>
    <t>Final</t>
  </si>
  <si>
    <t>Year: 2021</t>
  </si>
  <si>
    <t>Total Room Nights</t>
  </si>
  <si>
    <t>Customers</t>
  </si>
  <si>
    <t>Rooms</t>
  </si>
  <si>
    <t>Total Food &amp; Beverage</t>
  </si>
  <si>
    <t>Total Occupied</t>
  </si>
  <si>
    <t>Total Detail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</si>
  <si>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</si>
  <si>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</si>
  <si>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</si>
  <si>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</si>
  <si>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</si>
  <si>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</si>
  <si>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</si>
  <si>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</si>
  <si>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</si>
  <si>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</si>
  <si>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</si>
  <si>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</si>
  <si>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</si>
  <si>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</si>
  <si>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</si>
  <si>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</si>
  <si>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</si>
  <si>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</si>
  <si>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</si>
  <si>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</si>
  <si>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</si>
  <si>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</si>
  <si>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</si>
  <si>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</si>
  <si>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</si>
  <si>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</si>
  <si>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</si>
  <si>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</si>
  <si>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</si>
  <si>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</si>
  <si>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</si>
  <si>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.From 1-31</t>
  </si>
  <si>
    <t>Month: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</si>
</sst>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4" xfId="0" applyNumberFormat="1" applyFont="1" applyBorder="1"/>
    <xf numFmtId="0" fontId="2" fillId="0" borderId="5" xfId="0" applyFont="1" applyBorder="1" applyAlignment="1">
      <alignment horizontal="center"/>
    </xf>
    <xf numFmtId="39" fontId="2" fillId="0" borderId="5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39" fontId="2" fillId="0" borderId="5" xfId="1" applyNumberFormat="1" applyFont="1" applyFill="1" applyBorder="1" applyAlignment="1">
      <alignment horizontal="center"/>
    </xf>
    <xf numFmtId="165" fontId="2" fillId="0" borderId="7" xfId="0" applyNumberFormat="1" applyFont="1" applyBorder="1" applyAlignment="1">
      <alignment horizontal="center" wrapText="1"/>
    </xf>
    <xf numFmtId="165" fontId="2" fillId="0" borderId="0" xfId="0" applyNumberFormat="1" applyFont="1" applyAlignment="1">
      <alignment horizontal="center"/>
    </xf>
    <xf numFmtId="164" fontId="0" fillId="0" borderId="8" xfId="0" applyNumberFormat="1" applyBorder="1"/>
    <xf numFmtId="0" fontId="2" fillId="0" borderId="3" xfId="0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0" fillId="6" borderId="9" xfId="0" applyNumberFormat="1" applyFill="1" applyBorder="1" applyAlignment="1" applyProtection="1">
      <alignment horizontal="center"/>
      <protection locked="0"/>
    </xf>
    <xf numFmtId="165" fontId="0" fillId="3" borderId="1" xfId="0" applyNumberFormat="1" applyFill="1" applyBorder="1" applyAlignment="1">
      <alignment horizontal="center"/>
    </xf>
    <xf numFmtId="165" fontId="0" fillId="0" borderId="9" xfId="0" applyNumberFormat="1" applyBorder="1" applyAlignment="1" applyProtection="1">
      <alignment horizontal="center"/>
      <protection locked="0"/>
    </xf>
    <xf numFmtId="165" fontId="1" fillId="0" borderId="9" xfId="0" applyNumberFormat="1" applyFont="1" applyBorder="1" applyAlignment="1" applyProtection="1">
      <alignment horizontal="center"/>
      <protection locked="0"/>
    </xf>
    <xf numFmtId="165" fontId="1" fillId="4" borderId="9" xfId="0" applyNumberFormat="1" applyFont="1" applyFill="1" applyBorder="1" applyAlignment="1" applyProtection="1">
      <alignment horizontal="center"/>
      <protection locked="0"/>
    </xf>
    <xf numFmtId="165" fontId="0" fillId="4" borderId="0" xfId="0" applyNumberFormat="1" applyFill="1" applyAlignment="1">
      <alignment horizontal="center"/>
    </xf>
    <xf numFmtId="39" fontId="0" fillId="0" borderId="13" xfId="1" applyNumberFormat="1" applyFont="1" applyBorder="1" applyAlignment="1">
      <alignment horizontal="center"/>
    </xf>
    <xf numFmtId="0" fontId="0" fillId="5" borderId="1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4" fontId="0" fillId="0" borderId="2" xfId="0" applyNumberFormat="1" applyBorder="1" applyAlignment="1">
      <alignment horizontal="center"/>
    </xf>
    <xf numFmtId="165" fontId="12" fillId="7" borderId="9" xfId="0" applyNumberFormat="1" applyFon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15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top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8" xfId="0" applyBorder="1" applyAlignment="1">
      <alignment horizontal="center"/>
    </xf>
    <xf numFmtId="39" fontId="0" fillId="0" borderId="18" xfId="1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0" fontId="0" fillId="0" borderId="18" xfId="0" applyBorder="1"/>
    <xf numFmtId="39" fontId="2" fillId="0" borderId="18" xfId="1" applyNumberFormat="1" applyFont="1" applyBorder="1" applyAlignment="1">
      <alignment horizontal="center"/>
    </xf>
    <xf numFmtId="165" fontId="11" fillId="5" borderId="19" xfId="0" quotePrefix="1" applyNumberFormat="1" applyFon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1" fillId="3" borderId="13" xfId="0" applyNumberFormat="1" applyFont="1" applyFill="1" applyBorder="1" applyAlignment="1">
      <alignment horizontal="center"/>
    </xf>
    <xf numFmtId="165" fontId="1" fillId="3" borderId="12" xfId="0" applyNumberFormat="1" applyFont="1" applyFill="1" applyBorder="1" applyAlignment="1" applyProtection="1">
      <alignment horizontal="center"/>
      <protection locked="0"/>
    </xf>
    <xf numFmtId="165" fontId="1" fillId="0" borderId="13" xfId="0" applyNumberFormat="1" applyFont="1" applyBorder="1" applyAlignment="1">
      <alignment horizontal="center"/>
    </xf>
    <xf numFmtId="165" fontId="1" fillId="0" borderId="20" xfId="0" applyNumberFormat="1" applyFont="1" applyBorder="1" applyAlignment="1" applyProtection="1">
      <alignment horizontal="center"/>
      <protection locked="0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165" fontId="12" fillId="7" borderId="10" xfId="0" applyNumberFormat="1" applyFont="1" applyFill="1" applyBorder="1" applyAlignment="1">
      <alignment horizontal="center"/>
    </xf>
    <xf numFmtId="0" fontId="14" fillId="0" borderId="23" xfId="0" applyNumberFormat="1" applyFont="1" applyFill="1" applyBorder="1" applyProtection="1">
      <protection locked="0"/>
    </xf>
    <xf numFmtId="0" fontId="14" fillId="0" borderId="23" xfId="0" quotePrefix="1" applyNumberFormat="1" applyFont="1" applyFill="1" applyBorder="1" applyProtection="1">
      <protection locked="0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22" xfId="2" applyFont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K2" sqref="K2"/>
    </sheetView>
  </sheetViews>
  <sheetFormatPr defaultColWidth="9.140625" defaultRowHeight="12.75" x14ac:dyDescent="0.2"/>
  <cols>
    <col min="1" max="1" width="12.7109375" style="24" bestFit="1" customWidth="1"/>
    <col min="2" max="4" width="9.140625" style="24"/>
    <col min="5" max="5" width="14.28515625" style="24" customWidth="1"/>
    <col min="6" max="6" width="12.140625" style="24" customWidth="1"/>
    <col min="7" max="7" width="9.140625" style="24"/>
    <col min="8" max="8" width="19.28515625" style="24" customWidth="1"/>
    <col min="9" max="9" width="13.5703125" style="24" customWidth="1"/>
    <col min="10" max="10" width="11.28515625" style="24" customWidth="1"/>
    <col min="11" max="16384" width="9.140625" style="24"/>
  </cols>
  <sheetData>
    <row r="1" spans="1:12" ht="60" x14ac:dyDescent="0.2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6</v>
      </c>
      <c r="H1" s="22" t="s">
        <v>7</v>
      </c>
      <c r="I1" s="21" t="s">
        <v>8</v>
      </c>
      <c r="J1" s="23" t="s">
        <v>9</v>
      </c>
      <c r="K1" s="21" t="s">
        <v>10</v>
      </c>
      <c r="L1" s="21" t="s">
        <v>11</v>
      </c>
    </row>
    <row r="2" spans="1:12" ht="15" x14ac:dyDescent="0.25">
      <c r="A2" s="25" t="s">
        <v>12</v>
      </c>
      <c r="B2" s="26">
        <v>1</v>
      </c>
      <c r="C2" s="27">
        <v>11</v>
      </c>
      <c r="D2" s="26">
        <v>2021</v>
      </c>
      <c r="E2" s="28">
        <f>'B16'!I4+'B16 ext'!I4+'B17'!I4</f>
        <v>19790</v>
      </c>
      <c r="F2" s="30">
        <f>('B16'!J4+'B16 ext'!J4+'B17'!J4)/TOTAL!E2</f>
        <v>0.24859191510864068</v>
      </c>
      <c r="G2" s="28">
        <f>'Diesel Reading Nov'!H4</f>
        <v>346.5</v>
      </c>
      <c r="H2" s="29">
        <f>'Diesel Reading Nov'!I4/'Diesel Reading Nov'!H4</f>
        <v>2.84</v>
      </c>
      <c r="I2" s="28">
        <f>'Water Reading'!H4</f>
        <v>1150</v>
      </c>
      <c r="J2" s="30">
        <f>'Water Reading'!I4/'Water Reading'!H4</f>
        <v>1.35</v>
      </c>
      <c r="K2" s="28">
        <f>Sheet1!F8</f>
        <v>46</v>
      </c>
      <c r="L2" s="28">
        <f>Sheet1!G8</f>
        <v>214</v>
      </c>
    </row>
    <row r="3" spans="1:12" ht="15" x14ac:dyDescent="0.25">
      <c r="A3" s="25" t="s">
        <v>12</v>
      </c>
      <c r="B3" s="26">
        <f>B2+1</f>
        <v>2</v>
      </c>
      <c r="C3" s="27">
        <v>11</v>
      </c>
      <c r="D3" s="26">
        <v>2021</v>
      </c>
      <c r="E3" s="28">
        <f>'B16'!I5+'B16 ext'!I5+'B17'!I5</f>
        <v>18520</v>
      </c>
      <c r="F3" s="30">
        <f>('B16'!J5+'B16 ext'!J5+'B17'!J5)/TOTAL!E3</f>
        <v>0.2487004859611231</v>
      </c>
      <c r="G3" s="28">
        <f>'Diesel Reading Nov'!H5</f>
        <v>256</v>
      </c>
      <c r="H3" s="29">
        <f>'Diesel Reading Nov'!I5/'Diesel Reading Nov'!H5</f>
        <v>2.84</v>
      </c>
      <c r="I3" s="28">
        <f>'Water Reading'!H5</f>
        <v>1096</v>
      </c>
      <c r="J3" s="30">
        <f>'Water Reading'!I5/'Water Reading'!H5</f>
        <v>1.3499999999999999</v>
      </c>
      <c r="K3" s="28">
        <f>Sheet1!F9</f>
        <v>50</v>
      </c>
      <c r="L3" s="28">
        <f>Sheet1!G9</f>
        <v>272</v>
      </c>
    </row>
    <row r="4" spans="1:12" ht="15" x14ac:dyDescent="0.25">
      <c r="A4" s="25" t="s">
        <v>12</v>
      </c>
      <c r="B4" s="26">
        <f t="shared" ref="B4:B31" si="0">B3+1</f>
        <v>3</v>
      </c>
      <c r="C4" s="27">
        <v>11</v>
      </c>
      <c r="D4" s="26">
        <v>2021</v>
      </c>
      <c r="E4" s="28">
        <f>'B16'!I6+'B16 ext'!I6+'B17'!I6</f>
        <v>20934</v>
      </c>
      <c r="F4" s="30">
        <f>('B16'!J6+'B16 ext'!J6+'B17'!J6)/TOTAL!E4</f>
        <v>0.24929793637145314</v>
      </c>
      <c r="G4" s="28">
        <f>'Diesel Reading Nov'!H6</f>
        <v>371.29999999981374</v>
      </c>
      <c r="H4" s="29">
        <f>'Diesel Reading Nov'!I6/'Diesel Reading Nov'!H6</f>
        <v>2.8399999999999994</v>
      </c>
      <c r="I4" s="28">
        <f>'Water Reading'!H6</f>
        <v>1155</v>
      </c>
      <c r="J4" s="30">
        <f>'Water Reading'!I6/'Water Reading'!H6</f>
        <v>1.35</v>
      </c>
      <c r="K4" s="28">
        <f>Sheet1!F10</f>
        <v>51</v>
      </c>
      <c r="L4" s="28">
        <f>Sheet1!G10</f>
        <v>279</v>
      </c>
    </row>
    <row r="5" spans="1:12" ht="15" x14ac:dyDescent="0.25">
      <c r="A5" s="25" t="s">
        <v>12</v>
      </c>
      <c r="B5" s="26">
        <f t="shared" si="0"/>
        <v>4</v>
      </c>
      <c r="C5" s="27">
        <v>11</v>
      </c>
      <c r="D5" s="26">
        <v>2021</v>
      </c>
      <c r="E5" s="28">
        <f>'B16'!I7+'B16 ext'!I7+'B17'!I7</f>
        <v>20917</v>
      </c>
      <c r="F5" s="30">
        <f>('B16'!J7+'B16 ext'!J7+'B17'!J7)/TOTAL!E5</f>
        <v>0.2470429793947507</v>
      </c>
      <c r="G5" s="28">
        <f>'Diesel Reading Nov'!H7</f>
        <v>385.4000000001397</v>
      </c>
      <c r="H5" s="29">
        <f>'Diesel Reading Nov'!I7/'Diesel Reading Nov'!H7</f>
        <v>2.8399999999999994</v>
      </c>
      <c r="I5" s="28">
        <f>'Water Reading'!H7</f>
        <v>1216</v>
      </c>
      <c r="J5" s="30">
        <f>'Water Reading'!I7/'Water Reading'!H7</f>
        <v>1.35</v>
      </c>
      <c r="K5" s="28">
        <f>Sheet1!F11</f>
        <v>68</v>
      </c>
      <c r="L5" s="28">
        <f>Sheet1!G11</f>
        <v>355</v>
      </c>
    </row>
    <row r="6" spans="1:12" ht="15" x14ac:dyDescent="0.25">
      <c r="A6" s="25" t="s">
        <v>12</v>
      </c>
      <c r="B6" s="26">
        <f t="shared" si="0"/>
        <v>5</v>
      </c>
      <c r="C6" s="27">
        <v>11</v>
      </c>
      <c r="D6" s="26">
        <v>2021</v>
      </c>
      <c r="E6" s="28">
        <f>'B16'!I8+'B16 ext'!I8+'B17'!I8</f>
        <v>20834</v>
      </c>
      <c r="F6" s="30">
        <f>('B16'!J8+'B16 ext'!J8+'B17'!J8)/TOTAL!E6</f>
        <v>0.24853143899395216</v>
      </c>
      <c r="G6" s="28">
        <f>'Diesel Reading Nov'!H8</f>
        <v>356.19999999995343</v>
      </c>
      <c r="H6" s="29">
        <f>'Diesel Reading Nov'!I8/'Diesel Reading Nov'!H8</f>
        <v>2.84</v>
      </c>
      <c r="I6" s="28">
        <f>'Water Reading'!H8</f>
        <v>1187</v>
      </c>
      <c r="J6" s="30">
        <f>'Water Reading'!I8/'Water Reading'!H8</f>
        <v>1.3500000000000003</v>
      </c>
      <c r="K6" s="28">
        <f>Sheet1!F12</f>
        <v>70</v>
      </c>
      <c r="L6" s="28">
        <f>Sheet1!G12</f>
        <v>340</v>
      </c>
    </row>
    <row r="7" spans="1:12" ht="15" x14ac:dyDescent="0.25">
      <c r="A7" s="25" t="s">
        <v>12</v>
      </c>
      <c r="B7" s="26">
        <f t="shared" si="0"/>
        <v>6</v>
      </c>
      <c r="C7" s="27">
        <v>11</v>
      </c>
      <c r="D7" s="26">
        <v>2021</v>
      </c>
      <c r="E7" s="28">
        <f>'B16'!I9+'B16 ext'!I9+'B17'!I9</f>
        <v>20214</v>
      </c>
      <c r="F7" s="30">
        <f>('B16'!J9+'B16 ext'!J9+'B17'!J9)/TOTAL!E7</f>
        <v>0.24846853665776192</v>
      </c>
      <c r="G7" s="28">
        <f>'Diesel Reading Nov'!H9</f>
        <v>352.80000000004657</v>
      </c>
      <c r="H7" s="29">
        <f>'Diesel Reading Nov'!I9/'Diesel Reading Nov'!H9</f>
        <v>2.84</v>
      </c>
      <c r="I7" s="28">
        <f>'Water Reading'!H9</f>
        <v>1099</v>
      </c>
      <c r="J7" s="30">
        <f>'Water Reading'!I9/'Water Reading'!H9</f>
        <v>1.35</v>
      </c>
      <c r="K7" s="28">
        <f>Sheet1!F13</f>
        <v>54</v>
      </c>
      <c r="L7" s="28">
        <f>Sheet1!G13</f>
        <v>283</v>
      </c>
    </row>
    <row r="8" spans="1:12" ht="15" x14ac:dyDescent="0.25">
      <c r="A8" s="25" t="s">
        <v>12</v>
      </c>
      <c r="B8" s="26">
        <f t="shared" si="0"/>
        <v>7</v>
      </c>
      <c r="C8" s="27">
        <v>11</v>
      </c>
      <c r="D8" s="26">
        <v>2021</v>
      </c>
      <c r="E8" s="28">
        <f>'B16'!I10+'B16 ext'!I10+'B17'!I10</f>
        <v>20076</v>
      </c>
      <c r="F8" s="30">
        <f>('B16'!J10+'B16 ext'!J10+'B17'!J10)/TOTAL!E8</f>
        <v>0.24889345487148834</v>
      </c>
      <c r="G8" s="28">
        <f>'Diesel Reading Nov'!H10</f>
        <v>437</v>
      </c>
      <c r="H8" s="29">
        <f>'Diesel Reading Nov'!I10/'Diesel Reading Nov'!H10</f>
        <v>2.84</v>
      </c>
      <c r="I8" s="28">
        <f>'Water Reading'!H10</f>
        <v>1051</v>
      </c>
      <c r="J8" s="30">
        <f>'Water Reading'!I10/'Water Reading'!H10</f>
        <v>1.35</v>
      </c>
      <c r="K8" s="28">
        <f>Sheet1!F14</f>
        <v>34</v>
      </c>
      <c r="L8" s="28">
        <f>Sheet1!G14</f>
        <v>194</v>
      </c>
    </row>
    <row r="9" spans="1:12" ht="15" x14ac:dyDescent="0.25">
      <c r="A9" s="25" t="s">
        <v>12</v>
      </c>
      <c r="B9" s="26">
        <f t="shared" si="0"/>
        <v>8</v>
      </c>
      <c r="C9" s="27">
        <v>11</v>
      </c>
      <c r="D9" s="26">
        <v>2021</v>
      </c>
      <c r="E9" s="28">
        <f>'B16'!I11+'B16 ext'!I11+'B17'!I11</f>
        <v>18621</v>
      </c>
      <c r="F9" s="30">
        <f>('B16'!J11+'B16 ext'!J11+'B17'!J11)/TOTAL!E9</f>
        <v>0.25051119703560493</v>
      </c>
      <c r="G9" s="28">
        <f>'Diesel Reading Nov'!H11</f>
        <v>268.19999999995343</v>
      </c>
      <c r="H9" s="29">
        <f>'Diesel Reading Nov'!I11/'Diesel Reading Nov'!H11</f>
        <v>2.84</v>
      </c>
      <c r="I9" s="28">
        <f>'Water Reading'!H11</f>
        <v>1033</v>
      </c>
      <c r="J9" s="30">
        <f>'Water Reading'!I11/'Water Reading'!H11</f>
        <v>1.3499999999999999</v>
      </c>
      <c r="K9" s="28">
        <f>Sheet1!F15</f>
        <v>29</v>
      </c>
      <c r="L9" s="28">
        <f>Sheet1!G15</f>
        <v>134</v>
      </c>
    </row>
    <row r="10" spans="1:12" ht="15" x14ac:dyDescent="0.25">
      <c r="A10" s="25" t="s">
        <v>12</v>
      </c>
      <c r="B10" s="26">
        <f t="shared" si="0"/>
        <v>9</v>
      </c>
      <c r="C10" s="27">
        <v>11</v>
      </c>
      <c r="D10" s="26">
        <v>2021</v>
      </c>
      <c r="E10" s="28">
        <f>'B16'!I12+'B16 ext'!I12+'B17'!I12</f>
        <v>18022</v>
      </c>
      <c r="F10" s="30">
        <f>('B16'!J12+'B16 ext'!J12+'B17'!J12)/TOTAL!E10</f>
        <v>0.2472018643879702</v>
      </c>
      <c r="G10" s="28">
        <f>'Diesel Reading Nov'!H12</f>
        <v>278.60000000009313</v>
      </c>
      <c r="H10" s="29">
        <f>'Diesel Reading Nov'!I12/'Diesel Reading Nov'!H12</f>
        <v>2.84</v>
      </c>
      <c r="I10" s="28">
        <f>'Water Reading'!H12</f>
        <v>1080</v>
      </c>
      <c r="J10" s="30">
        <f>'Water Reading'!I12/'Water Reading'!H12</f>
        <v>1.3500000000000003</v>
      </c>
      <c r="K10" s="28">
        <f>Sheet1!F16</f>
        <v>21</v>
      </c>
      <c r="L10" s="28">
        <f>Sheet1!G16</f>
        <v>130</v>
      </c>
    </row>
    <row r="11" spans="1:12" ht="15" x14ac:dyDescent="0.25">
      <c r="A11" s="25" t="s">
        <v>12</v>
      </c>
      <c r="B11" s="26">
        <f t="shared" si="0"/>
        <v>10</v>
      </c>
      <c r="C11" s="27">
        <v>11</v>
      </c>
      <c r="D11" s="26">
        <v>2021</v>
      </c>
      <c r="E11" s="28">
        <f>'B16'!I13+'B16 ext'!I13+'B17'!I13</f>
        <v>18137</v>
      </c>
      <c r="F11" s="30">
        <f>('B16'!J13+'B16 ext'!J13+'B17'!J13)/TOTAL!E11</f>
        <v>0.24668329933285552</v>
      </c>
      <c r="G11" s="28">
        <f>'Diesel Reading Nov'!H13</f>
        <v>313.29999999981374</v>
      </c>
      <c r="H11" s="29">
        <f>'Diesel Reading Nov'!I13/'Diesel Reading Nov'!H13</f>
        <v>2.84</v>
      </c>
      <c r="I11" s="28">
        <f>'Water Reading'!H13</f>
        <v>1111</v>
      </c>
      <c r="J11" s="30">
        <f>'Water Reading'!I13/'Water Reading'!H13</f>
        <v>1.35</v>
      </c>
      <c r="K11" s="28">
        <f>Sheet1!F17</f>
        <v>21</v>
      </c>
      <c r="L11" s="28">
        <f>Sheet1!G17</f>
        <v>111</v>
      </c>
    </row>
    <row r="12" spans="1:12" ht="15" x14ac:dyDescent="0.25">
      <c r="A12" s="25" t="s">
        <v>12</v>
      </c>
      <c r="B12" s="26">
        <f t="shared" si="0"/>
        <v>11</v>
      </c>
      <c r="C12" s="27">
        <v>11</v>
      </c>
      <c r="D12" s="26">
        <v>2021</v>
      </c>
      <c r="E12" s="28">
        <f>'B16'!I14+'B16 ext'!I14+'B17'!I14</f>
        <v>17030</v>
      </c>
      <c r="F12" s="30">
        <f>('B16'!J14+'B16 ext'!J14+'B17'!J14)/TOTAL!E12</f>
        <v>0.24791485613623018</v>
      </c>
      <c r="G12" s="28">
        <f>'Diesel Reading Nov'!H14</f>
        <v>360.20000000018626</v>
      </c>
      <c r="H12" s="29">
        <f>'Diesel Reading Nov'!I14/'Diesel Reading Nov'!H14</f>
        <v>2.84</v>
      </c>
      <c r="I12" s="28">
        <f>'Water Reading'!H14</f>
        <v>1021</v>
      </c>
      <c r="J12" s="30">
        <f>'Water Reading'!I14/'Water Reading'!H14</f>
        <v>1.35</v>
      </c>
      <c r="K12" s="28">
        <f>Sheet1!F18</f>
        <v>35</v>
      </c>
      <c r="L12" s="28">
        <f>Sheet1!G18</f>
        <v>151</v>
      </c>
    </row>
    <row r="13" spans="1:12" ht="15" x14ac:dyDescent="0.25">
      <c r="A13" s="25" t="s">
        <v>12</v>
      </c>
      <c r="B13" s="26">
        <f t="shared" si="0"/>
        <v>12</v>
      </c>
      <c r="C13" s="27">
        <v>11</v>
      </c>
      <c r="D13" s="26">
        <v>2021</v>
      </c>
      <c r="E13" s="28">
        <f>'B16'!I15+'B16 ext'!I15+'B17'!I15</f>
        <v>16980</v>
      </c>
      <c r="F13" s="30">
        <f>('B16'!J15+'B16 ext'!J15+'B17'!J15)/TOTAL!E13</f>
        <v>0.24775106007067133</v>
      </c>
      <c r="G13" s="28">
        <f>'Diesel Reading Nov'!H15</f>
        <v>347.39999999990687</v>
      </c>
      <c r="H13" s="29">
        <f>'Diesel Reading Nov'!I15/'Diesel Reading Nov'!H15</f>
        <v>2.84</v>
      </c>
      <c r="I13" s="28">
        <f>'Water Reading'!H15</f>
        <v>1095</v>
      </c>
      <c r="J13" s="30">
        <f>'Water Reading'!I15/'Water Reading'!H15</f>
        <v>1.35</v>
      </c>
      <c r="K13" s="28">
        <f>Sheet1!F19</f>
        <v>40</v>
      </c>
      <c r="L13" s="28">
        <f>Sheet1!G19</f>
        <v>195</v>
      </c>
    </row>
    <row r="14" spans="1:12" ht="15" x14ac:dyDescent="0.25">
      <c r="A14" s="25" t="s">
        <v>12</v>
      </c>
      <c r="B14" s="26">
        <f t="shared" si="0"/>
        <v>13</v>
      </c>
      <c r="C14" s="27">
        <v>11</v>
      </c>
      <c r="D14" s="26">
        <v>2021</v>
      </c>
      <c r="E14" s="28">
        <f>'B16'!I16+'B16 ext'!I16+'B17'!I16</f>
        <v>17829</v>
      </c>
      <c r="F14" s="30">
        <f>('B16'!J16+'B16 ext'!J16+'B17'!J16)/TOTAL!E14</f>
        <v>0.24755712603062427</v>
      </c>
      <c r="G14" s="28">
        <f>'Diesel Reading Nov'!H16</f>
        <v>367.89999999990687</v>
      </c>
      <c r="H14" s="29">
        <f>'Diesel Reading Nov'!I16/'Diesel Reading Nov'!H16</f>
        <v>2.8399999999999994</v>
      </c>
      <c r="I14" s="28">
        <f>'Water Reading'!H16</f>
        <v>1111</v>
      </c>
      <c r="J14" s="30">
        <f>'Water Reading'!I16/'Water Reading'!H16</f>
        <v>1.35</v>
      </c>
      <c r="K14" s="28">
        <f>Sheet1!F20</f>
        <v>39</v>
      </c>
      <c r="L14" s="28">
        <f>Sheet1!G20</f>
        <v>201</v>
      </c>
    </row>
    <row r="15" spans="1:12" ht="15" x14ac:dyDescent="0.25">
      <c r="A15" s="25" t="s">
        <v>12</v>
      </c>
      <c r="B15" s="26">
        <f t="shared" si="0"/>
        <v>14</v>
      </c>
      <c r="C15" s="27">
        <v>11</v>
      </c>
      <c r="D15" s="26">
        <v>2021</v>
      </c>
      <c r="E15" s="28">
        <f>'B16'!I17+'B16 ext'!I17+'B17'!I17</f>
        <v>18561</v>
      </c>
      <c r="F15" s="30">
        <f>('B16'!J17+'B16 ext'!J17+'B17'!J17)/TOTAL!E15</f>
        <v>0.24858396638112173</v>
      </c>
      <c r="G15" s="28">
        <f>'Diesel Reading Nov'!H17</f>
        <v>229.70000000018626</v>
      </c>
      <c r="H15" s="29">
        <f>'Diesel Reading Nov'!I17/'Diesel Reading Nov'!H17</f>
        <v>2.84</v>
      </c>
      <c r="I15" s="28">
        <f>'Water Reading'!H17</f>
        <v>1122</v>
      </c>
      <c r="J15" s="30">
        <f>'Water Reading'!I17/'Water Reading'!H17</f>
        <v>1.35</v>
      </c>
      <c r="K15" s="28">
        <f>Sheet1!F21</f>
        <v>35</v>
      </c>
      <c r="L15" s="28">
        <f>Sheet1!G21</f>
        <v>178</v>
      </c>
    </row>
    <row r="16" spans="1:12" ht="15" x14ac:dyDescent="0.25">
      <c r="A16" s="25" t="s">
        <v>12</v>
      </c>
      <c r="B16" s="26">
        <f t="shared" si="0"/>
        <v>15</v>
      </c>
      <c r="C16" s="27">
        <v>11</v>
      </c>
      <c r="D16" s="26">
        <v>2021</v>
      </c>
      <c r="E16" s="28">
        <f>'B16'!I18+'B16 ext'!I18+'B17'!I18</f>
        <v>17930</v>
      </c>
      <c r="F16" s="30">
        <f>('B16'!J18+'B16 ext'!J18+'B17'!J18)/TOTAL!E16</f>
        <v>0.24829877300613493</v>
      </c>
      <c r="G16" s="28">
        <f>'Diesel Reading Nov'!H18</f>
        <v>240.5</v>
      </c>
      <c r="H16" s="29">
        <f>'Diesel Reading Nov'!I18/'Diesel Reading Nov'!H18</f>
        <v>2.84</v>
      </c>
      <c r="I16" s="28">
        <f>'Water Reading'!H18</f>
        <v>1117</v>
      </c>
      <c r="J16" s="30">
        <f>'Water Reading'!I18/'Water Reading'!H18</f>
        <v>1.35</v>
      </c>
      <c r="K16" s="28">
        <f>Sheet1!F22</f>
        <v>30</v>
      </c>
      <c r="L16" s="28">
        <f>Sheet1!G22</f>
        <v>160</v>
      </c>
    </row>
    <row r="17" spans="1:12" ht="15" x14ac:dyDescent="0.25">
      <c r="A17" s="25" t="s">
        <v>12</v>
      </c>
      <c r="B17" s="26">
        <f t="shared" si="0"/>
        <v>16</v>
      </c>
      <c r="C17" s="27">
        <v>11</v>
      </c>
      <c r="D17" s="26">
        <v>2021</v>
      </c>
      <c r="E17" s="28">
        <f>'B16'!I19+'B16 ext'!I19+'B17'!I19</f>
        <v>17539</v>
      </c>
      <c r="F17" s="30">
        <f>('B16'!J19+'B16 ext'!J19+'B17'!J19)/TOTAL!E17</f>
        <v>0.24931233251610693</v>
      </c>
      <c r="G17" s="28">
        <f>'Diesel Reading Nov'!H19</f>
        <v>175.39999999990687</v>
      </c>
      <c r="H17" s="29">
        <f>'Diesel Reading Nov'!I19/'Diesel Reading Nov'!H19</f>
        <v>2.84</v>
      </c>
      <c r="I17" s="28">
        <f>'Water Reading'!H19</f>
        <v>1115</v>
      </c>
      <c r="J17" s="30">
        <f>'Water Reading'!I19/'Water Reading'!H19</f>
        <v>1.35</v>
      </c>
      <c r="K17" s="28">
        <f>Sheet1!F23</f>
        <v>34</v>
      </c>
      <c r="L17" s="28">
        <f>Sheet1!G23</f>
        <v>152</v>
      </c>
    </row>
    <row r="18" spans="1:12" ht="15" x14ac:dyDescent="0.25">
      <c r="A18" s="25" t="s">
        <v>12</v>
      </c>
      <c r="B18" s="26">
        <f t="shared" si="0"/>
        <v>17</v>
      </c>
      <c r="C18" s="27">
        <v>11</v>
      </c>
      <c r="D18" s="26">
        <v>2021</v>
      </c>
      <c r="E18" s="28">
        <f>'B16'!I20+'B16 ext'!I20+'B17'!I20</f>
        <v>17890</v>
      </c>
      <c r="F18" s="30">
        <f>('B16'!J20+'B16 ext'!J20+'B17'!J20)/TOTAL!E18</f>
        <v>0.24662783678032418</v>
      </c>
      <c r="G18" s="28">
        <f>'Diesel Reading Nov'!H20</f>
        <v>162.69999999995343</v>
      </c>
      <c r="H18" s="29">
        <f>'Diesel Reading Nov'!I20/'Diesel Reading Nov'!H20</f>
        <v>2.84</v>
      </c>
      <c r="I18" s="28">
        <f>'Water Reading'!H20</f>
        <v>1156</v>
      </c>
      <c r="J18" s="30">
        <f>'Water Reading'!I20/'Water Reading'!H20</f>
        <v>1.35</v>
      </c>
      <c r="K18" s="28">
        <f>Sheet1!F24</f>
        <v>45</v>
      </c>
      <c r="L18" s="28">
        <f>Sheet1!G24</f>
        <v>157</v>
      </c>
    </row>
    <row r="19" spans="1:12" ht="15" x14ac:dyDescent="0.25">
      <c r="A19" s="25" t="s">
        <v>12</v>
      </c>
      <c r="B19" s="26">
        <f t="shared" si="0"/>
        <v>18</v>
      </c>
      <c r="C19" s="27">
        <v>11</v>
      </c>
      <c r="D19" s="26">
        <v>2021</v>
      </c>
      <c r="E19" s="28">
        <f>'B16'!I21+'B16 ext'!I21+'B17'!I21</f>
        <v>16218</v>
      </c>
      <c r="F19" s="30">
        <f>('B16'!J21+'B16 ext'!J21+'B17'!J21)/TOTAL!E19</f>
        <v>0.25338864224935254</v>
      </c>
      <c r="G19" s="28">
        <f>'Diesel Reading Nov'!H21</f>
        <v>245.10000000009313</v>
      </c>
      <c r="H19" s="29">
        <f>'Diesel Reading Nov'!I21/'Diesel Reading Nov'!H21</f>
        <v>2.84</v>
      </c>
      <c r="I19" s="28">
        <f>'Water Reading'!H21</f>
        <v>1089</v>
      </c>
      <c r="J19" s="30">
        <f>'Water Reading'!I21/'Water Reading'!H21</f>
        <v>1.35</v>
      </c>
      <c r="K19" s="28">
        <f>Sheet1!F25</f>
        <v>45</v>
      </c>
      <c r="L19" s="28">
        <f>Sheet1!G25</f>
        <v>218</v>
      </c>
    </row>
    <row r="20" spans="1:12" ht="15" x14ac:dyDescent="0.25">
      <c r="A20" s="25" t="s">
        <v>12</v>
      </c>
      <c r="B20" s="26">
        <f t="shared" si="0"/>
        <v>19</v>
      </c>
      <c r="C20" s="27">
        <v>11</v>
      </c>
      <c r="D20" s="26">
        <v>2021</v>
      </c>
      <c r="E20" s="28">
        <f>'B16'!I22+'B16 ext'!I22+'B17'!I22</f>
        <v>19300</v>
      </c>
      <c r="F20" s="30">
        <f>('B16'!J22+'B16 ext'!J22+'B17'!J22)/TOTAL!E20</f>
        <v>0.24425564766839378</v>
      </c>
      <c r="G20" s="28">
        <f>'Diesel Reading Nov'!H22</f>
        <v>307.30000000004657</v>
      </c>
      <c r="H20" s="29">
        <f>'Diesel Reading Nov'!I22/'Diesel Reading Nov'!H22</f>
        <v>2.84</v>
      </c>
      <c r="I20" s="28">
        <f>'Water Reading'!H22</f>
        <v>1089</v>
      </c>
      <c r="J20" s="30">
        <f>'Water Reading'!I22/'Water Reading'!H22</f>
        <v>1.35</v>
      </c>
      <c r="K20" s="28">
        <f>Sheet1!F26</f>
        <v>45</v>
      </c>
      <c r="L20" s="28">
        <f>Sheet1!G26</f>
        <v>206</v>
      </c>
    </row>
    <row r="21" spans="1:12" ht="15" x14ac:dyDescent="0.25">
      <c r="A21" s="25" t="s">
        <v>12</v>
      </c>
      <c r="B21" s="26">
        <f t="shared" si="0"/>
        <v>20</v>
      </c>
      <c r="C21" s="27">
        <v>11</v>
      </c>
      <c r="D21" s="26">
        <v>2021</v>
      </c>
      <c r="E21" s="28">
        <f>'B16'!I23+'B16 ext'!I23+'B17'!I23</f>
        <v>17401</v>
      </c>
      <c r="F21" s="30">
        <f>('B16'!J23+'B16 ext'!J23+'B17'!J23)/TOTAL!E21</f>
        <v>0.25068955807137522</v>
      </c>
      <c r="G21" s="28">
        <f>'Diesel Reading Nov'!H23</f>
        <v>369.39999999990687</v>
      </c>
      <c r="H21" s="29">
        <f>'Diesel Reading Nov'!I23/'Diesel Reading Nov'!H23</f>
        <v>2.8399999999999994</v>
      </c>
      <c r="I21" s="28">
        <f>'Water Reading'!H23</f>
        <v>1022</v>
      </c>
      <c r="J21" s="30">
        <f>'Water Reading'!I23/'Water Reading'!H23</f>
        <v>1.35</v>
      </c>
      <c r="K21" s="28">
        <f>Sheet1!F27</f>
        <v>43</v>
      </c>
      <c r="L21" s="28">
        <f>Sheet1!G27</f>
        <v>211</v>
      </c>
    </row>
    <row r="22" spans="1:12" ht="15" x14ac:dyDescent="0.25">
      <c r="A22" s="25" t="s">
        <v>12</v>
      </c>
      <c r="B22" s="26">
        <f t="shared" si="0"/>
        <v>21</v>
      </c>
      <c r="C22" s="27">
        <v>11</v>
      </c>
      <c r="D22" s="26">
        <v>2021</v>
      </c>
      <c r="E22" s="28">
        <f>'B16'!I24+'B16 ext'!I24+'B17'!I24</f>
        <v>18446</v>
      </c>
      <c r="F22" s="30">
        <f>('B16'!J24+'B16 ext'!J24+'B17'!J24)/TOTAL!E22</f>
        <v>0.2486631790089992</v>
      </c>
      <c r="G22" s="28">
        <f>'Diesel Reading Nov'!H24</f>
        <v>337.10000000009313</v>
      </c>
      <c r="H22" s="29">
        <f>'Diesel Reading Nov'!I24/'Diesel Reading Nov'!H24</f>
        <v>2.84</v>
      </c>
      <c r="I22" s="28">
        <f>'Water Reading'!H24</f>
        <v>1126</v>
      </c>
      <c r="J22" s="30">
        <f>'Water Reading'!I24/'Water Reading'!H24</f>
        <v>1.35</v>
      </c>
      <c r="K22" s="28">
        <f>Sheet1!F28</f>
        <v>42</v>
      </c>
      <c r="L22" s="28">
        <f>Sheet1!G28</f>
        <v>212</v>
      </c>
    </row>
    <row r="23" spans="1:12" ht="15" x14ac:dyDescent="0.25">
      <c r="A23" s="25" t="s">
        <v>12</v>
      </c>
      <c r="B23" s="26">
        <f t="shared" si="0"/>
        <v>22</v>
      </c>
      <c r="C23" s="27">
        <v>11</v>
      </c>
      <c r="D23" s="26">
        <v>2021</v>
      </c>
      <c r="E23" s="28">
        <f>'B16'!I25+'B16 ext'!I25+'B17'!I25</f>
        <v>17970</v>
      </c>
      <c r="F23" s="30">
        <f>('B16'!J25+'B16 ext'!J25+'B17'!J25)/TOTAL!E23</f>
        <v>0.24910367278797996</v>
      </c>
      <c r="G23" s="28">
        <f>'Diesel Reading Nov'!H25</f>
        <v>300.5</v>
      </c>
      <c r="H23" s="29">
        <f>'Diesel Reading Nov'!I25/'Diesel Reading Nov'!H25</f>
        <v>2.84</v>
      </c>
      <c r="I23" s="28">
        <f>'Water Reading'!H25</f>
        <v>1061</v>
      </c>
      <c r="J23" s="30">
        <f>'Water Reading'!I25/'Water Reading'!H25</f>
        <v>1.35</v>
      </c>
      <c r="K23" s="28">
        <f>Sheet1!F29</f>
        <v>52</v>
      </c>
      <c r="L23" s="28">
        <f>Sheet1!G29</f>
        <v>222</v>
      </c>
    </row>
    <row r="24" spans="1:12" ht="15" x14ac:dyDescent="0.25">
      <c r="A24" s="25" t="s">
        <v>12</v>
      </c>
      <c r="B24" s="26">
        <f t="shared" si="0"/>
        <v>23</v>
      </c>
      <c r="C24" s="27">
        <v>11</v>
      </c>
      <c r="D24" s="26">
        <v>2021</v>
      </c>
      <c r="E24" s="28">
        <f>'B16'!I26+'B16 ext'!I26+'B17'!I26</f>
        <v>18376</v>
      </c>
      <c r="F24" s="30">
        <f>('B16'!J26+'B16 ext'!J26+'B17'!J26)/TOTAL!E24</f>
        <v>0.24629647366129731</v>
      </c>
      <c r="G24" s="28">
        <f>'Diesel Reading Nov'!H26</f>
        <v>302.69999999995343</v>
      </c>
      <c r="H24" s="29">
        <f>'Diesel Reading Nov'!I26/'Diesel Reading Nov'!H26</f>
        <v>2.84</v>
      </c>
      <c r="I24" s="28">
        <f>'Water Reading'!H26</f>
        <v>665</v>
      </c>
      <c r="J24" s="30">
        <f>'Water Reading'!I26/'Water Reading'!H26</f>
        <v>1.35</v>
      </c>
      <c r="K24" s="28">
        <f>Sheet1!F30</f>
        <v>48</v>
      </c>
      <c r="L24" s="28">
        <f>Sheet1!G30</f>
        <v>227</v>
      </c>
    </row>
    <row r="25" spans="1:12" ht="15" x14ac:dyDescent="0.25">
      <c r="A25" s="25" t="s">
        <v>12</v>
      </c>
      <c r="B25" s="26">
        <f t="shared" si="0"/>
        <v>24</v>
      </c>
      <c r="C25" s="27">
        <v>11</v>
      </c>
      <c r="D25" s="26">
        <v>2021</v>
      </c>
      <c r="E25" s="28">
        <f>'B16'!I27+'B16 ext'!I27+'B17'!I27</f>
        <v>17017</v>
      </c>
      <c r="F25" s="30">
        <f>('B16'!J27+'B16 ext'!J27+'B17'!J27)/TOTAL!E25</f>
        <v>0.25031727096432976</v>
      </c>
      <c r="G25" s="28">
        <f>'Diesel Reading Nov'!H27</f>
        <v>319.69999999995343</v>
      </c>
      <c r="H25" s="29">
        <f>'Diesel Reading Nov'!I27/'Diesel Reading Nov'!H27</f>
        <v>2.84</v>
      </c>
      <c r="I25" s="28">
        <f>'Water Reading'!H27</f>
        <v>1702</v>
      </c>
      <c r="J25" s="30">
        <f>'Water Reading'!I27/'Water Reading'!H27</f>
        <v>1.3499999999999999</v>
      </c>
      <c r="K25" s="28">
        <f>Sheet1!F31</f>
        <v>63</v>
      </c>
      <c r="L25" s="28">
        <f>Sheet1!G31</f>
        <v>203</v>
      </c>
    </row>
    <row r="26" spans="1:12" ht="15" x14ac:dyDescent="0.25">
      <c r="A26" s="25" t="s">
        <v>12</v>
      </c>
      <c r="B26" s="26">
        <f>B25+1</f>
        <v>25</v>
      </c>
      <c r="C26" s="27">
        <v>11</v>
      </c>
      <c r="D26" s="26">
        <v>2021</v>
      </c>
      <c r="E26" s="28">
        <f>'B16'!I28+'B16 ext'!I28+'B17'!I28</f>
        <v>21378</v>
      </c>
      <c r="F26" s="30">
        <f>('B16'!J28+'B16 ext'!J28+'B17'!J28)/TOTAL!E26</f>
        <v>0.24812349143979789</v>
      </c>
      <c r="G26" s="28">
        <f>'Diesel Reading Nov'!H28</f>
        <v>316.80000000004657</v>
      </c>
      <c r="H26" s="29">
        <f>'Diesel Reading Nov'!I28/'Diesel Reading Nov'!H28</f>
        <v>2.84</v>
      </c>
      <c r="I26" s="28">
        <f>'Water Reading'!H28</f>
        <v>1128</v>
      </c>
      <c r="J26" s="30">
        <f>'Water Reading'!I28/'Water Reading'!H28</f>
        <v>1.35</v>
      </c>
      <c r="K26" s="28">
        <f>Sheet1!F32</f>
        <v>66</v>
      </c>
      <c r="L26" s="28">
        <f>Sheet1!G32</f>
        <v>297</v>
      </c>
    </row>
    <row r="27" spans="1:12" ht="15" x14ac:dyDescent="0.25">
      <c r="A27" s="25" t="s">
        <v>12</v>
      </c>
      <c r="B27" s="26">
        <f t="shared" si="0"/>
        <v>26</v>
      </c>
      <c r="C27" s="27">
        <v>11</v>
      </c>
      <c r="D27" s="26">
        <v>2021</v>
      </c>
      <c r="E27" s="28">
        <f>'B16'!I29+'B16 ext'!I29+'B17'!I29</f>
        <v>19306</v>
      </c>
      <c r="F27" s="30">
        <f>('B16'!J29+'B16 ext'!J29+'B17'!J29)/TOTAL!E27</f>
        <v>0.24920807003004244</v>
      </c>
      <c r="G27" s="28">
        <f>'Diesel Reading Nov'!H29</f>
        <v>336.89999999990687</v>
      </c>
      <c r="H27" s="29">
        <f>'Diesel Reading Nov'!I29/'Diesel Reading Nov'!H29</f>
        <v>2.84</v>
      </c>
      <c r="I27" s="28">
        <f>'Water Reading'!H29</f>
        <v>1098</v>
      </c>
      <c r="J27" s="30">
        <f>'Water Reading'!I29/'Water Reading'!H29</f>
        <v>1.35</v>
      </c>
      <c r="K27" s="28">
        <f>Sheet1!F33</f>
        <v>50</v>
      </c>
      <c r="L27" s="28">
        <f>Sheet1!G33</f>
        <v>265</v>
      </c>
    </row>
    <row r="28" spans="1:12" ht="15" x14ac:dyDescent="0.25">
      <c r="A28" s="25" t="s">
        <v>12</v>
      </c>
      <c r="B28" s="26">
        <f t="shared" si="0"/>
        <v>27</v>
      </c>
      <c r="C28" s="27">
        <v>11</v>
      </c>
      <c r="D28" s="26">
        <v>2021</v>
      </c>
      <c r="E28" s="28">
        <f>'B16'!I30+'B16 ext'!I30+'B17'!I30</f>
        <v>16540</v>
      </c>
      <c r="F28" s="30">
        <f>('B16'!J30+'B16 ext'!J30+'B17'!J30)/TOTAL!E28</f>
        <v>0.24812321644498178</v>
      </c>
      <c r="G28" s="28">
        <f>'Diesel Reading Nov'!H30</f>
        <v>355.10000000009313</v>
      </c>
      <c r="H28" s="29">
        <f>'Diesel Reading Nov'!I30/'Diesel Reading Nov'!H30</f>
        <v>2.84</v>
      </c>
      <c r="I28" s="28">
        <f>'Water Reading'!H30</f>
        <v>1085</v>
      </c>
      <c r="J28" s="30">
        <f>'Water Reading'!I30/'Water Reading'!H30</f>
        <v>1.3500000000000003</v>
      </c>
      <c r="K28" s="28">
        <f>Sheet1!F34</f>
        <v>53</v>
      </c>
      <c r="L28" s="28">
        <f>Sheet1!G34</f>
        <v>206</v>
      </c>
    </row>
    <row r="29" spans="1:12" ht="15" x14ac:dyDescent="0.25">
      <c r="A29" s="25" t="s">
        <v>12</v>
      </c>
      <c r="B29" s="26">
        <f t="shared" si="0"/>
        <v>28</v>
      </c>
      <c r="C29" s="27">
        <v>11</v>
      </c>
      <c r="D29" s="26">
        <v>2021</v>
      </c>
      <c r="E29" s="28">
        <f>'B16'!I31+'B16 ext'!I31+'B17'!I31</f>
        <v>16495</v>
      </c>
      <c r="F29" s="30">
        <f>('B16'!J31+'B16 ext'!J31+'B17'!J31)/TOTAL!E29</f>
        <v>0.24833070627462864</v>
      </c>
      <c r="G29" s="28">
        <f>'Diesel Reading Nov'!H31</f>
        <v>362.39999999990687</v>
      </c>
      <c r="H29" s="29">
        <f>'Diesel Reading Nov'!I31/'Diesel Reading Nov'!H31</f>
        <v>2.84</v>
      </c>
      <c r="I29" s="28">
        <f>'Water Reading'!H31</f>
        <v>1084</v>
      </c>
      <c r="J29" s="30">
        <f>'Water Reading'!I31/'Water Reading'!H31</f>
        <v>1.35</v>
      </c>
      <c r="K29" s="28">
        <f>Sheet1!F35</f>
        <v>33</v>
      </c>
      <c r="L29" s="28">
        <f>Sheet1!G35</f>
        <v>195</v>
      </c>
    </row>
    <row r="30" spans="1:12" ht="15" x14ac:dyDescent="0.25">
      <c r="A30" s="25" t="s">
        <v>12</v>
      </c>
      <c r="B30" s="26">
        <f t="shared" si="0"/>
        <v>29</v>
      </c>
      <c r="C30" s="27">
        <v>11</v>
      </c>
      <c r="D30" s="26">
        <v>2021</v>
      </c>
      <c r="E30" s="28">
        <f>'B16'!I32+'B16 ext'!I32+'B17'!I32</f>
        <v>0</v>
      </c>
      <c r="F30" s="30" t="e">
        <f>('B16'!J32+'B16 ext'!J32+'B17'!J32)/TOTAL!E30</f>
        <v>#DIV/0!</v>
      </c>
      <c r="G30" s="28">
        <f>'Diesel Reading Nov'!H32</f>
        <v>283.5</v>
      </c>
      <c r="H30" s="29">
        <f>'Diesel Reading Nov'!I32/'Diesel Reading Nov'!H32</f>
        <v>2.84</v>
      </c>
      <c r="I30" s="28">
        <f>'Water Reading'!H32</f>
        <v>979</v>
      </c>
      <c r="J30" s="30">
        <f>'Water Reading'!I32/'Water Reading'!H32</f>
        <v>1.35</v>
      </c>
      <c r="K30" s="28">
        <f>Sheet1!F36</f>
        <v>31</v>
      </c>
      <c r="L30" s="28">
        <f>Sheet1!G36</f>
        <v>131</v>
      </c>
    </row>
    <row r="31" spans="1:12" ht="15" x14ac:dyDescent="0.25">
      <c r="A31" s="25" t="s">
        <v>12</v>
      </c>
      <c r="B31" s="26">
        <f t="shared" si="0"/>
        <v>30</v>
      </c>
      <c r="C31" s="27">
        <v>11</v>
      </c>
      <c r="D31" s="26">
        <v>2021</v>
      </c>
      <c r="E31" s="28">
        <f>'B16'!I33+'B16 ext'!I33+'B17'!I33</f>
        <v>0</v>
      </c>
      <c r="F31" s="30" t="e">
        <f>('B16'!J33+'B16 ext'!J33+'B17'!J33)/TOTAL!E31</f>
        <v>#DIV/0!</v>
      </c>
      <c r="G31" s="28">
        <f>'Diesel Reading Nov'!H33</f>
        <v>345</v>
      </c>
      <c r="H31" s="29">
        <f>'Diesel Reading Nov'!I33/'Diesel Reading Nov'!H33</f>
        <v>2.84</v>
      </c>
      <c r="I31" s="28">
        <f>'Water Reading'!H33</f>
        <v>0</v>
      </c>
      <c r="J31" s="30" t="e">
        <f>'Water Reading'!I33/'Water Reading'!H33</f>
        <v>#DIV/0!</v>
      </c>
      <c r="K31" s="28">
        <f>Sheet1!F37</f>
        <v>22</v>
      </c>
      <c r="L31" s="28">
        <f>Sheet1!G37</f>
        <v>105</v>
      </c>
    </row>
    <row r="32" spans="1:12" ht="15" x14ac:dyDescent="0.25">
      <c r="A32" s="25" t="s">
        <v>12</v>
      </c>
      <c r="B32" s="26"/>
      <c r="C32" s="27">
        <v>10</v>
      </c>
      <c r="D32" s="26"/>
      <c r="E32" s="28">
        <f>'B16'!I34+'B16 ext'!I34+'B17'!I34</f>
        <v>0</v>
      </c>
      <c r="F32" s="30" t="e">
        <f>('B16'!J34+'B16 ext'!J34+'B17'!J34)/TOTAL!E32</f>
        <v>#DIV/0!</v>
      </c>
      <c r="G32" s="28"/>
      <c r="H32" s="29">
        <f>'Diesel Reading Nov'!I34/'Diesel Reading Nov'!H34</f>
        <v>2.8399999999999994</v>
      </c>
      <c r="I32" s="28">
        <f>'Water Reading'!H34</f>
        <v>0</v>
      </c>
      <c r="J32" s="30" t="e">
        <f>'Water Reading'!I34/'Water Reading'!H34</f>
        <v>#DIV/0!</v>
      </c>
      <c r="K32" s="28">
        <f>Sheet1!F38</f>
        <v>0</v>
      </c>
      <c r="L32" s="28">
        <f>Sheet1!G38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selection activeCell="K10" sqref="K10"/>
    </sheetView>
  </sheetViews>
  <sheetFormatPr defaultRowHeight="12.75" x14ac:dyDescent="0.2"/>
  <cols>
    <col min="6" max="6" width="16.28515625" bestFit="1" customWidth="1"/>
    <col min="7" max="7" width="19.7109375" bestFit="1" customWidth="1"/>
  </cols>
  <sheetData>
    <row r="1" spans="1:7" ht="15" x14ac:dyDescent="0.25">
      <c r="A1" s="94" t="s">
        <v>56</v>
      </c>
      <c r="B1" s="94" t="s">
        <v>57</v>
      </c>
      <c r="C1" s="94" t="s">
        <v>58</v>
      </c>
      <c r="D1" s="94"/>
      <c r="E1" s="94" t="s">
        <v>59</v>
      </c>
      <c r="F1" s="94" t="s">
        <v>60</v>
      </c>
      <c r="G1" s="94"/>
    </row>
    <row r="2" spans="1:7" ht="15" x14ac:dyDescent="0.25">
      <c r="A2" s="94"/>
      <c r="B2" s="94"/>
      <c r="C2" s="94"/>
      <c r="D2" s="94"/>
      <c r="E2" s="94"/>
      <c r="F2" s="94" t="s">
        <v>61</v>
      </c>
      <c r="G2" s="94" t="s">
        <v>61</v>
      </c>
    </row>
    <row r="3" spans="1:7" ht="15" x14ac:dyDescent="0.25">
      <c r="A3" s="94"/>
      <c r="B3" s="94"/>
      <c r="C3" s="94"/>
      <c r="D3" s="94"/>
      <c r="E3" s="94"/>
      <c r="F3" s="95" t="s">
        <v>62</v>
      </c>
      <c r="G3" s="95" t="s">
        <v>62</v>
      </c>
    </row>
    <row r="4" spans="1:7" ht="15" x14ac:dyDescent="0.25">
      <c r="A4" s="94"/>
      <c r="B4" s="94"/>
      <c r="C4" s="94"/>
      <c r="D4" s="94"/>
      <c r="E4" s="94"/>
      <c r="F4" s="94" t="s">
        <v>101</v>
      </c>
      <c r="G4" s="94" t="s">
        <v>101</v>
      </c>
    </row>
    <row r="5" spans="1:7" ht="15" x14ac:dyDescent="0.25">
      <c r="A5" s="94"/>
      <c r="B5" s="94"/>
      <c r="C5" s="94"/>
      <c r="D5" s="94"/>
      <c r="E5" s="94"/>
      <c r="F5" s="94" t="s">
        <v>63</v>
      </c>
      <c r="G5" s="94" t="s">
        <v>64</v>
      </c>
    </row>
    <row r="6" spans="1:7" ht="15" x14ac:dyDescent="0.25">
      <c r="A6" s="94"/>
      <c r="B6" s="94"/>
      <c r="C6" s="94"/>
      <c r="D6" s="94"/>
      <c r="E6" s="94"/>
      <c r="F6" s="94" t="s">
        <v>65</v>
      </c>
      <c r="G6" s="94" t="s">
        <v>66</v>
      </c>
    </row>
    <row r="7" spans="1:7" ht="15" x14ac:dyDescent="0.25">
      <c r="A7" s="94"/>
      <c r="B7" s="94"/>
      <c r="C7" s="94"/>
      <c r="D7" s="94"/>
      <c r="E7" s="94"/>
      <c r="F7" s="94" t="s">
        <v>67</v>
      </c>
      <c r="G7" s="94" t="s">
        <v>68</v>
      </c>
    </row>
    <row r="8" spans="1:7" ht="15" x14ac:dyDescent="0.25">
      <c r="A8" s="94"/>
      <c r="B8" s="94"/>
      <c r="C8" s="94"/>
      <c r="D8" s="95" t="s">
        <v>69</v>
      </c>
      <c r="E8" s="94"/>
      <c r="F8" s="94">
        <v>46</v>
      </c>
      <c r="G8" s="94">
        <v>214</v>
      </c>
    </row>
    <row r="9" spans="1:7" ht="15" x14ac:dyDescent="0.25">
      <c r="A9" s="94"/>
      <c r="B9" s="94"/>
      <c r="C9" s="94"/>
      <c r="D9" s="95" t="s">
        <v>70</v>
      </c>
      <c r="E9" s="94"/>
      <c r="F9" s="94">
        <v>50</v>
      </c>
      <c r="G9" s="94">
        <v>272</v>
      </c>
    </row>
    <row r="10" spans="1:7" ht="15" x14ac:dyDescent="0.25">
      <c r="A10" s="94"/>
      <c r="B10" s="94"/>
      <c r="C10" s="94"/>
      <c r="D10" s="95" t="s">
        <v>71</v>
      </c>
      <c r="E10" s="94"/>
      <c r="F10" s="94">
        <v>51</v>
      </c>
      <c r="G10" s="94">
        <v>279</v>
      </c>
    </row>
    <row r="11" spans="1:7" ht="15" x14ac:dyDescent="0.25">
      <c r="A11" s="94"/>
      <c r="B11" s="94"/>
      <c r="C11" s="94"/>
      <c r="D11" s="95" t="s">
        <v>72</v>
      </c>
      <c r="E11" s="94"/>
      <c r="F11" s="94">
        <v>68</v>
      </c>
      <c r="G11" s="94">
        <v>355</v>
      </c>
    </row>
    <row r="12" spans="1:7" ht="15" x14ac:dyDescent="0.25">
      <c r="A12" s="94"/>
      <c r="B12" s="94"/>
      <c r="C12" s="94"/>
      <c r="D12" s="95" t="s">
        <v>73</v>
      </c>
      <c r="E12" s="94"/>
      <c r="F12" s="94">
        <v>70</v>
      </c>
      <c r="G12" s="94">
        <v>340</v>
      </c>
    </row>
    <row r="13" spans="1:7" ht="15" x14ac:dyDescent="0.25">
      <c r="A13" s="94"/>
      <c r="B13" s="94"/>
      <c r="C13" s="94"/>
      <c r="D13" s="95" t="s">
        <v>74</v>
      </c>
      <c r="E13" s="94"/>
      <c r="F13" s="94">
        <v>54</v>
      </c>
      <c r="G13" s="94">
        <v>283</v>
      </c>
    </row>
    <row r="14" spans="1:7" ht="15" x14ac:dyDescent="0.25">
      <c r="A14" s="94"/>
      <c r="B14" s="94"/>
      <c r="C14" s="94"/>
      <c r="D14" s="95" t="s">
        <v>75</v>
      </c>
      <c r="E14" s="94"/>
      <c r="F14" s="94">
        <v>34</v>
      </c>
      <c r="G14" s="94">
        <v>194</v>
      </c>
    </row>
    <row r="15" spans="1:7" ht="15" x14ac:dyDescent="0.25">
      <c r="A15" s="94"/>
      <c r="B15" s="94"/>
      <c r="C15" s="94"/>
      <c r="D15" s="95" t="s">
        <v>76</v>
      </c>
      <c r="E15" s="94"/>
      <c r="F15" s="94">
        <v>29</v>
      </c>
      <c r="G15" s="94">
        <v>134</v>
      </c>
    </row>
    <row r="16" spans="1:7" ht="15" x14ac:dyDescent="0.25">
      <c r="A16" s="94"/>
      <c r="B16" s="94"/>
      <c r="C16" s="94"/>
      <c r="D16" s="95" t="s">
        <v>77</v>
      </c>
      <c r="E16" s="94"/>
      <c r="F16" s="94">
        <v>21</v>
      </c>
      <c r="G16" s="94">
        <v>130</v>
      </c>
    </row>
    <row r="17" spans="1:7" ht="15" x14ac:dyDescent="0.25">
      <c r="A17" s="94"/>
      <c r="B17" s="94"/>
      <c r="C17" s="94"/>
      <c r="D17" s="95" t="s">
        <v>78</v>
      </c>
      <c r="E17" s="94"/>
      <c r="F17" s="94">
        <v>21</v>
      </c>
      <c r="G17" s="94">
        <v>111</v>
      </c>
    </row>
    <row r="18" spans="1:7" ht="15" x14ac:dyDescent="0.25">
      <c r="A18" s="94"/>
      <c r="B18" s="94"/>
      <c r="C18" s="94"/>
      <c r="D18" s="95" t="s">
        <v>79</v>
      </c>
      <c r="E18" s="94"/>
      <c r="F18" s="94">
        <v>35</v>
      </c>
      <c r="G18" s="94">
        <v>151</v>
      </c>
    </row>
    <row r="19" spans="1:7" ht="15" x14ac:dyDescent="0.25">
      <c r="A19" s="94"/>
      <c r="B19" s="94"/>
      <c r="C19" s="94"/>
      <c r="D19" s="95" t="s">
        <v>80</v>
      </c>
      <c r="E19" s="94"/>
      <c r="F19" s="94">
        <v>40</v>
      </c>
      <c r="G19" s="94">
        <v>195</v>
      </c>
    </row>
    <row r="20" spans="1:7" ht="15" x14ac:dyDescent="0.25">
      <c r="A20" s="94"/>
      <c r="B20" s="94"/>
      <c r="C20" s="94"/>
      <c r="D20" s="95" t="s">
        <v>81</v>
      </c>
      <c r="E20" s="94"/>
      <c r="F20" s="94">
        <v>39</v>
      </c>
      <c r="G20" s="94">
        <v>201</v>
      </c>
    </row>
    <row r="21" spans="1:7" ht="15" x14ac:dyDescent="0.25">
      <c r="A21" s="94"/>
      <c r="B21" s="94"/>
      <c r="C21" s="94"/>
      <c r="D21" s="95" t="s">
        <v>82</v>
      </c>
      <c r="E21" s="94"/>
      <c r="F21" s="94">
        <v>35</v>
      </c>
      <c r="G21" s="94">
        <v>178</v>
      </c>
    </row>
    <row r="22" spans="1:7" ht="15" x14ac:dyDescent="0.25">
      <c r="A22" s="94"/>
      <c r="B22" s="94"/>
      <c r="C22" s="94"/>
      <c r="D22" s="95" t="s">
        <v>83</v>
      </c>
      <c r="E22" s="94"/>
      <c r="F22" s="94">
        <v>30</v>
      </c>
      <c r="G22" s="94">
        <v>160</v>
      </c>
    </row>
    <row r="23" spans="1:7" ht="15" x14ac:dyDescent="0.25">
      <c r="A23" s="94"/>
      <c r="B23" s="94"/>
      <c r="C23" s="94"/>
      <c r="D23" s="95" t="s">
        <v>84</v>
      </c>
      <c r="E23" s="94"/>
      <c r="F23" s="94">
        <v>34</v>
      </c>
      <c r="G23" s="94">
        <v>152</v>
      </c>
    </row>
    <row r="24" spans="1:7" ht="15" x14ac:dyDescent="0.25">
      <c r="A24" s="94"/>
      <c r="B24" s="94"/>
      <c r="C24" s="94"/>
      <c r="D24" s="95" t="s">
        <v>85</v>
      </c>
      <c r="E24" s="94"/>
      <c r="F24" s="94">
        <v>45</v>
      </c>
      <c r="G24" s="94">
        <v>157</v>
      </c>
    </row>
    <row r="25" spans="1:7" ht="15" x14ac:dyDescent="0.25">
      <c r="A25" s="94"/>
      <c r="B25" s="94"/>
      <c r="C25" s="94"/>
      <c r="D25" s="95" t="s">
        <v>86</v>
      </c>
      <c r="E25" s="94"/>
      <c r="F25" s="94">
        <v>45</v>
      </c>
      <c r="G25" s="94">
        <v>218</v>
      </c>
    </row>
    <row r="26" spans="1:7" ht="15" x14ac:dyDescent="0.25">
      <c r="A26" s="94"/>
      <c r="B26" s="94"/>
      <c r="C26" s="94"/>
      <c r="D26" s="95" t="s">
        <v>87</v>
      </c>
      <c r="E26" s="94"/>
      <c r="F26" s="94">
        <v>45</v>
      </c>
      <c r="G26" s="94">
        <v>206</v>
      </c>
    </row>
    <row r="27" spans="1:7" ht="15" x14ac:dyDescent="0.25">
      <c r="A27" s="94"/>
      <c r="B27" s="94"/>
      <c r="C27" s="94"/>
      <c r="D27" s="95" t="s">
        <v>88</v>
      </c>
      <c r="E27" s="94"/>
      <c r="F27" s="94">
        <v>43</v>
      </c>
      <c r="G27" s="94">
        <v>211</v>
      </c>
    </row>
    <row r="28" spans="1:7" ht="15" x14ac:dyDescent="0.25">
      <c r="A28" s="94"/>
      <c r="B28" s="94"/>
      <c r="C28" s="94"/>
      <c r="D28" s="95" t="s">
        <v>89</v>
      </c>
      <c r="E28" s="94"/>
      <c r="F28" s="94">
        <v>42</v>
      </c>
      <c r="G28" s="94">
        <v>212</v>
      </c>
    </row>
    <row r="29" spans="1:7" ht="15" x14ac:dyDescent="0.25">
      <c r="A29" s="94"/>
      <c r="B29" s="94"/>
      <c r="C29" s="94"/>
      <c r="D29" s="95" t="s">
        <v>90</v>
      </c>
      <c r="E29" s="94"/>
      <c r="F29" s="94">
        <v>52</v>
      </c>
      <c r="G29" s="94">
        <v>222</v>
      </c>
    </row>
    <row r="30" spans="1:7" ht="15" x14ac:dyDescent="0.25">
      <c r="A30" s="94"/>
      <c r="B30" s="94"/>
      <c r="C30" s="94"/>
      <c r="D30" s="95" t="s">
        <v>91</v>
      </c>
      <c r="E30" s="94"/>
      <c r="F30" s="94">
        <v>48</v>
      </c>
      <c r="G30" s="94">
        <v>227</v>
      </c>
    </row>
    <row r="31" spans="1:7" ht="15" x14ac:dyDescent="0.25">
      <c r="A31" s="94"/>
      <c r="B31" s="94"/>
      <c r="C31" s="94"/>
      <c r="D31" s="95" t="s">
        <v>92</v>
      </c>
      <c r="E31" s="94"/>
      <c r="F31" s="94">
        <v>63</v>
      </c>
      <c r="G31" s="94">
        <v>203</v>
      </c>
    </row>
    <row r="32" spans="1:7" ht="15" x14ac:dyDescent="0.25">
      <c r="A32" s="94"/>
      <c r="B32" s="94"/>
      <c r="C32" s="94"/>
      <c r="D32" s="95" t="s">
        <v>93</v>
      </c>
      <c r="E32" s="94"/>
      <c r="F32" s="94">
        <v>66</v>
      </c>
      <c r="G32" s="94">
        <v>297</v>
      </c>
    </row>
    <row r="33" spans="1:7" ht="15" x14ac:dyDescent="0.25">
      <c r="A33" s="94"/>
      <c r="B33" s="94"/>
      <c r="C33" s="94"/>
      <c r="D33" s="95" t="s">
        <v>94</v>
      </c>
      <c r="E33" s="94"/>
      <c r="F33" s="94">
        <v>50</v>
      </c>
      <c r="G33" s="94">
        <v>265</v>
      </c>
    </row>
    <row r="34" spans="1:7" ht="15" x14ac:dyDescent="0.25">
      <c r="A34" s="94"/>
      <c r="B34" s="94"/>
      <c r="C34" s="94"/>
      <c r="D34" s="95" t="s">
        <v>95</v>
      </c>
      <c r="E34" s="94"/>
      <c r="F34" s="94">
        <v>53</v>
      </c>
      <c r="G34" s="94">
        <v>206</v>
      </c>
    </row>
    <row r="35" spans="1:7" ht="15" x14ac:dyDescent="0.25">
      <c r="A35" s="94"/>
      <c r="B35" s="94"/>
      <c r="C35" s="94"/>
      <c r="D35" s="95" t="s">
        <v>96</v>
      </c>
      <c r="E35" s="94"/>
      <c r="F35" s="94">
        <v>33</v>
      </c>
      <c r="G35" s="94">
        <v>195</v>
      </c>
    </row>
    <row r="36" spans="1:7" ht="15" x14ac:dyDescent="0.25">
      <c r="A36" s="94"/>
      <c r="B36" s="94"/>
      <c r="C36" s="94"/>
      <c r="D36" s="95" t="s">
        <v>97</v>
      </c>
      <c r="E36" s="94"/>
      <c r="F36" s="94">
        <v>31</v>
      </c>
      <c r="G36" s="94">
        <v>131</v>
      </c>
    </row>
    <row r="37" spans="1:7" ht="15" x14ac:dyDescent="0.25">
      <c r="A37" s="94"/>
      <c r="B37" s="94"/>
      <c r="C37" s="94"/>
      <c r="D37" s="95" t="s">
        <v>98</v>
      </c>
      <c r="E37" s="94"/>
      <c r="F37" s="94">
        <v>22</v>
      </c>
      <c r="G37" s="94">
        <v>105</v>
      </c>
    </row>
    <row r="38" spans="1:7" ht="15" x14ac:dyDescent="0.25">
      <c r="A38" s="94"/>
      <c r="B38" s="94"/>
      <c r="C38" s="94"/>
      <c r="D38" s="95" t="s">
        <v>99</v>
      </c>
      <c r="E38" s="94"/>
      <c r="F38" s="94">
        <v>0</v>
      </c>
      <c r="G38" s="94">
        <v>0</v>
      </c>
    </row>
    <row r="39" spans="1:7" ht="15" x14ac:dyDescent="0.25">
      <c r="A39" s="94"/>
      <c r="B39" s="94"/>
      <c r="C39" s="94"/>
      <c r="D39" s="94"/>
      <c r="E39" s="94"/>
      <c r="F39" s="94"/>
      <c r="G39" s="94"/>
    </row>
    <row r="40" spans="1:7" ht="15" x14ac:dyDescent="0.25">
      <c r="A40" s="94"/>
      <c r="B40" s="94"/>
      <c r="C40" s="94"/>
      <c r="D40" s="95" t="s">
        <v>100</v>
      </c>
      <c r="E40" s="94"/>
      <c r="F40" s="94">
        <f>SUM(F8:F38)</f>
        <v>1295</v>
      </c>
      <c r="G40" s="94">
        <f>SUM(G8:G38)</f>
        <v>6204</v>
      </c>
    </row>
  </sheetData>
  <dataValidations count="1">
    <dataValidation type="list" allowBlank="1" showInputMessage="1" sqref="E1:F1 A1:C1" xr:uid="{00000000-0002-0000-0100-000000000000}">
      <formula1>"..."</formula1>
    </dataValidation>
  </dataValidations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9"/>
  <sheetViews>
    <sheetView zoomScaleNormal="10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1.7109375" customWidth="1"/>
    <col min="9" max="9" width="19.140625" style="1" bestFit="1" customWidth="1"/>
    <col min="10" max="10" width="10.140625" style="14" bestFit="1" customWidth="1"/>
  </cols>
  <sheetData>
    <row r="1" spans="1:10" ht="20.25" x14ac:dyDescent="0.3">
      <c r="A1" s="6" t="s">
        <v>13</v>
      </c>
      <c r="D1" s="98" t="s">
        <v>14</v>
      </c>
      <c r="E1" s="98"/>
      <c r="F1" s="98"/>
    </row>
    <row r="2" spans="1:10" ht="18" x14ac:dyDescent="0.25">
      <c r="A2" s="2"/>
      <c r="B2" s="7" t="s">
        <v>15</v>
      </c>
      <c r="C2" s="7" t="s">
        <v>16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15" t="s">
        <v>21</v>
      </c>
    </row>
    <row r="3" spans="1:10" x14ac:dyDescent="0.2">
      <c r="A3" s="3"/>
      <c r="B3" s="7" t="s">
        <v>22</v>
      </c>
      <c r="C3" s="7" t="s">
        <v>22</v>
      </c>
      <c r="D3" s="7" t="s">
        <v>23</v>
      </c>
      <c r="E3" s="7" t="s">
        <v>23</v>
      </c>
      <c r="F3" s="63" t="s">
        <v>22</v>
      </c>
      <c r="G3" s="7" t="s">
        <v>24</v>
      </c>
      <c r="H3" s="11"/>
      <c r="I3" s="7" t="s">
        <v>25</v>
      </c>
      <c r="J3" s="15" t="s">
        <v>26</v>
      </c>
    </row>
    <row r="4" spans="1:10" x14ac:dyDescent="0.2">
      <c r="A4" s="5">
        <v>44501</v>
      </c>
      <c r="B4" s="10">
        <v>1482</v>
      </c>
      <c r="C4" s="8">
        <f>IF(B5-B4 &lt; 0,0,B5-B4)</f>
        <v>6232</v>
      </c>
      <c r="D4" s="10">
        <v>3138</v>
      </c>
      <c r="E4" s="8">
        <f>IF(D5-D4 &lt; 0,0,D5-D4)</f>
        <v>3499</v>
      </c>
      <c r="F4" s="10">
        <v>465</v>
      </c>
      <c r="G4" s="68">
        <v>0.5</v>
      </c>
      <c r="H4" s="12"/>
      <c r="I4" s="8">
        <f>+E4+C4</f>
        <v>9731</v>
      </c>
      <c r="J4" s="16">
        <f>(C4*0.288)+(E4*0.177)</f>
        <v>2414.1389999999997</v>
      </c>
    </row>
    <row r="5" spans="1:10" x14ac:dyDescent="0.2">
      <c r="A5" s="5">
        <v>44502</v>
      </c>
      <c r="B5" s="10">
        <v>7714</v>
      </c>
      <c r="C5" s="8">
        <f t="shared" ref="C5:C33" si="0">IF(B6-B5 &lt; 0,0,B6-B5)</f>
        <v>5308</v>
      </c>
      <c r="D5" s="10">
        <v>6637</v>
      </c>
      <c r="E5" s="8">
        <f t="shared" ref="E5:E33" si="1">IF(D6-D5 &lt; 0,0,D6-D5)</f>
        <v>3139</v>
      </c>
      <c r="F5" s="10">
        <v>505</v>
      </c>
      <c r="G5" s="68">
        <v>0.54</v>
      </c>
      <c r="H5" s="12"/>
      <c r="I5" s="8">
        <f t="shared" ref="I5:I35" si="2">+E5+C5</f>
        <v>8447</v>
      </c>
      <c r="J5" s="16">
        <f t="shared" ref="J5:J35" si="3">(C5*0.288)+(E5*0.177)</f>
        <v>2084.3069999999998</v>
      </c>
    </row>
    <row r="6" spans="1:10" x14ac:dyDescent="0.2">
      <c r="A6" s="5">
        <v>44503</v>
      </c>
      <c r="B6" s="10">
        <v>13022</v>
      </c>
      <c r="C6" s="8">
        <f t="shared" si="0"/>
        <v>6987</v>
      </c>
      <c r="D6" s="10">
        <v>9776</v>
      </c>
      <c r="E6" s="8">
        <f t="shared" si="1"/>
        <v>3582</v>
      </c>
      <c r="F6" s="10">
        <v>517</v>
      </c>
      <c r="G6" s="68">
        <v>0.55000000000000004</v>
      </c>
      <c r="H6" s="12" t="s">
        <v>27</v>
      </c>
      <c r="I6" s="8">
        <f t="shared" si="2"/>
        <v>10569</v>
      </c>
      <c r="J6" s="16">
        <f t="shared" si="3"/>
        <v>2646.27</v>
      </c>
    </row>
    <row r="7" spans="1:10" x14ac:dyDescent="0.2">
      <c r="A7" s="5">
        <v>44504</v>
      </c>
      <c r="B7" s="10">
        <v>20009</v>
      </c>
      <c r="C7" s="8">
        <f t="shared" si="0"/>
        <v>6195</v>
      </c>
      <c r="D7" s="10">
        <v>13358</v>
      </c>
      <c r="E7" s="8">
        <f t="shared" si="1"/>
        <v>3767</v>
      </c>
      <c r="F7" s="10">
        <v>517</v>
      </c>
      <c r="G7" s="68">
        <v>0.74</v>
      </c>
      <c r="H7" s="12" t="s">
        <v>27</v>
      </c>
      <c r="I7" s="8">
        <f t="shared" si="2"/>
        <v>9962</v>
      </c>
      <c r="J7" s="16">
        <f t="shared" si="3"/>
        <v>2450.9189999999999</v>
      </c>
    </row>
    <row r="8" spans="1:10" x14ac:dyDescent="0.2">
      <c r="A8" s="5">
        <v>44505</v>
      </c>
      <c r="B8" s="10">
        <v>26204</v>
      </c>
      <c r="C8" s="8">
        <f t="shared" si="0"/>
        <v>6033</v>
      </c>
      <c r="D8" s="10">
        <v>17125</v>
      </c>
      <c r="E8" s="8">
        <f t="shared" si="1"/>
        <v>3480</v>
      </c>
      <c r="F8" s="10">
        <v>522</v>
      </c>
      <c r="G8" s="68">
        <v>0.77</v>
      </c>
      <c r="H8" s="12"/>
      <c r="I8" s="8">
        <f t="shared" si="2"/>
        <v>9513</v>
      </c>
      <c r="J8" s="16">
        <f t="shared" si="3"/>
        <v>2353.4639999999999</v>
      </c>
    </row>
    <row r="9" spans="1:10" x14ac:dyDescent="0.2">
      <c r="A9" s="5">
        <v>44506</v>
      </c>
      <c r="B9" s="10">
        <v>32237</v>
      </c>
      <c r="C9" s="8">
        <f t="shared" si="0"/>
        <v>5896</v>
      </c>
      <c r="D9" s="10">
        <v>20605</v>
      </c>
      <c r="E9" s="8">
        <f t="shared" si="1"/>
        <v>3436</v>
      </c>
      <c r="F9" s="10">
        <v>522</v>
      </c>
      <c r="G9" s="68">
        <v>0.57999999999999996</v>
      </c>
      <c r="H9" s="12"/>
      <c r="I9" s="8">
        <f t="shared" si="2"/>
        <v>9332</v>
      </c>
      <c r="J9" s="16">
        <f t="shared" si="3"/>
        <v>2306.2199999999998</v>
      </c>
    </row>
    <row r="10" spans="1:10" x14ac:dyDescent="0.2">
      <c r="A10" s="5">
        <v>44507</v>
      </c>
      <c r="B10" s="10">
        <v>38133</v>
      </c>
      <c r="C10" s="8">
        <f t="shared" si="0"/>
        <v>6460</v>
      </c>
      <c r="D10" s="10">
        <v>24041</v>
      </c>
      <c r="E10" s="8">
        <f t="shared" si="1"/>
        <v>3659</v>
      </c>
      <c r="F10" s="10">
        <v>522</v>
      </c>
      <c r="G10" s="69">
        <v>0.28999999999999998</v>
      </c>
      <c r="H10" s="12"/>
      <c r="I10" s="8">
        <f t="shared" si="2"/>
        <v>10119</v>
      </c>
      <c r="J10" s="16">
        <f t="shared" si="3"/>
        <v>2508.1229999999996</v>
      </c>
    </row>
    <row r="11" spans="1:10" x14ac:dyDescent="0.2">
      <c r="A11" s="5">
        <v>44508</v>
      </c>
      <c r="B11" s="10">
        <v>44593</v>
      </c>
      <c r="C11" s="8">
        <f t="shared" si="0"/>
        <v>6127</v>
      </c>
      <c r="D11" s="10">
        <v>27700</v>
      </c>
      <c r="E11" s="8">
        <f t="shared" si="1"/>
        <v>3248</v>
      </c>
      <c r="F11" s="10">
        <v>522</v>
      </c>
      <c r="G11" s="68">
        <v>0.3</v>
      </c>
      <c r="H11" s="12"/>
      <c r="I11" s="8">
        <f t="shared" si="2"/>
        <v>9375</v>
      </c>
      <c r="J11" s="16">
        <f t="shared" si="3"/>
        <v>2339.4719999999998</v>
      </c>
    </row>
    <row r="12" spans="1:10" x14ac:dyDescent="0.2">
      <c r="A12" s="5">
        <v>44509</v>
      </c>
      <c r="B12" s="10">
        <v>50720</v>
      </c>
      <c r="C12" s="8">
        <f t="shared" si="0"/>
        <v>5898</v>
      </c>
      <c r="D12" s="10">
        <v>30948</v>
      </c>
      <c r="E12" s="8">
        <f t="shared" si="1"/>
        <v>3377</v>
      </c>
      <c r="F12" s="10">
        <v>522</v>
      </c>
      <c r="G12" s="68">
        <v>0.26</v>
      </c>
      <c r="H12" s="12"/>
      <c r="I12" s="8">
        <f t="shared" si="2"/>
        <v>9275</v>
      </c>
      <c r="J12" s="16">
        <f t="shared" si="3"/>
        <v>2296.3529999999996</v>
      </c>
    </row>
    <row r="13" spans="1:10" x14ac:dyDescent="0.2">
      <c r="A13" s="5">
        <v>44510</v>
      </c>
      <c r="B13" s="10">
        <v>56618</v>
      </c>
      <c r="C13" s="8">
        <f t="shared" si="0"/>
        <v>5801</v>
      </c>
      <c r="D13" s="10">
        <v>34325</v>
      </c>
      <c r="E13" s="8">
        <f t="shared" si="1"/>
        <v>3412</v>
      </c>
      <c r="F13" s="10">
        <v>522</v>
      </c>
      <c r="G13" s="68">
        <v>0.41</v>
      </c>
      <c r="H13" s="12"/>
      <c r="I13" s="8">
        <f t="shared" si="2"/>
        <v>9213</v>
      </c>
      <c r="J13" s="16">
        <f t="shared" si="3"/>
        <v>2274.6120000000001</v>
      </c>
    </row>
    <row r="14" spans="1:10" x14ac:dyDescent="0.2">
      <c r="A14" s="5">
        <v>44511</v>
      </c>
      <c r="B14" s="10">
        <v>62419</v>
      </c>
      <c r="C14" s="8">
        <f t="shared" si="0"/>
        <v>5508</v>
      </c>
      <c r="D14" s="10">
        <v>37737</v>
      </c>
      <c r="E14" s="8">
        <f t="shared" si="1"/>
        <v>3195</v>
      </c>
      <c r="F14" s="10">
        <v>522</v>
      </c>
      <c r="G14" s="68">
        <v>0.35</v>
      </c>
      <c r="H14" s="12"/>
      <c r="I14" s="8">
        <f t="shared" si="2"/>
        <v>8703</v>
      </c>
      <c r="J14" s="16">
        <f t="shared" si="3"/>
        <v>2151.819</v>
      </c>
    </row>
    <row r="15" spans="1:10" x14ac:dyDescent="0.2">
      <c r="A15" s="5">
        <v>44512</v>
      </c>
      <c r="B15" s="10">
        <v>67927</v>
      </c>
      <c r="C15" s="8">
        <f t="shared" si="0"/>
        <v>5515</v>
      </c>
      <c r="D15" s="10">
        <v>40932</v>
      </c>
      <c r="E15" s="8">
        <f t="shared" si="1"/>
        <v>3219</v>
      </c>
      <c r="F15" s="10">
        <v>522</v>
      </c>
      <c r="G15" s="68">
        <v>0.28000000000000003</v>
      </c>
      <c r="H15" s="12"/>
      <c r="I15" s="8">
        <f t="shared" si="2"/>
        <v>8734</v>
      </c>
      <c r="J15" s="16">
        <f t="shared" si="3"/>
        <v>2158.0829999999996</v>
      </c>
    </row>
    <row r="16" spans="1:10" x14ac:dyDescent="0.2">
      <c r="A16" s="5">
        <v>44513</v>
      </c>
      <c r="B16" s="10">
        <v>73442</v>
      </c>
      <c r="C16" s="8">
        <f t="shared" si="0"/>
        <v>5919</v>
      </c>
      <c r="D16" s="10">
        <v>44151</v>
      </c>
      <c r="E16" s="8">
        <f t="shared" si="1"/>
        <v>3545</v>
      </c>
      <c r="F16" s="10">
        <v>522</v>
      </c>
      <c r="G16" s="68">
        <v>0.18</v>
      </c>
      <c r="H16" s="12"/>
      <c r="I16" s="8">
        <f t="shared" si="2"/>
        <v>9464</v>
      </c>
      <c r="J16" s="16">
        <f t="shared" si="3"/>
        <v>2332.1369999999997</v>
      </c>
    </row>
    <row r="17" spans="1:10" x14ac:dyDescent="0.2">
      <c r="A17" s="5">
        <v>44514</v>
      </c>
      <c r="B17" s="10">
        <v>79361</v>
      </c>
      <c r="C17" s="8">
        <f t="shared" si="0"/>
        <v>6304</v>
      </c>
      <c r="D17" s="10">
        <v>47696</v>
      </c>
      <c r="E17" s="8">
        <f t="shared" si="1"/>
        <v>3485</v>
      </c>
      <c r="F17" s="10">
        <v>522</v>
      </c>
      <c r="G17" s="68">
        <v>0.38</v>
      </c>
      <c r="H17" s="12"/>
      <c r="I17" s="8">
        <f t="shared" si="2"/>
        <v>9789</v>
      </c>
      <c r="J17" s="16">
        <f t="shared" si="3"/>
        <v>2432.3969999999999</v>
      </c>
    </row>
    <row r="18" spans="1:10" x14ac:dyDescent="0.2">
      <c r="A18" s="5">
        <v>44515</v>
      </c>
      <c r="B18" s="10">
        <v>85665</v>
      </c>
      <c r="C18" s="8">
        <f t="shared" si="0"/>
        <v>5839</v>
      </c>
      <c r="D18" s="10">
        <v>51181</v>
      </c>
      <c r="E18" s="8">
        <f t="shared" si="1"/>
        <v>3356</v>
      </c>
      <c r="F18" s="10">
        <v>540</v>
      </c>
      <c r="G18" s="68">
        <v>0.34</v>
      </c>
      <c r="H18" s="12"/>
      <c r="I18" s="8">
        <f t="shared" si="2"/>
        <v>9195</v>
      </c>
      <c r="J18" s="16">
        <f t="shared" si="3"/>
        <v>2275.6439999999998</v>
      </c>
    </row>
    <row r="19" spans="1:10" x14ac:dyDescent="0.2">
      <c r="A19" s="5">
        <v>44516</v>
      </c>
      <c r="B19" s="10">
        <v>91504</v>
      </c>
      <c r="C19" s="8">
        <f t="shared" si="0"/>
        <v>5483</v>
      </c>
      <c r="D19" s="10">
        <v>54537</v>
      </c>
      <c r="E19" s="8">
        <f t="shared" si="1"/>
        <v>2938</v>
      </c>
      <c r="F19" s="10">
        <v>540</v>
      </c>
      <c r="G19" s="68">
        <v>0.41</v>
      </c>
      <c r="H19" s="12"/>
      <c r="I19" s="8">
        <f t="shared" si="2"/>
        <v>8421</v>
      </c>
      <c r="J19" s="16">
        <f t="shared" si="3"/>
        <v>2099.1299999999997</v>
      </c>
    </row>
    <row r="20" spans="1:10" x14ac:dyDescent="0.2">
      <c r="A20" s="5">
        <v>44517</v>
      </c>
      <c r="B20" s="10">
        <v>96987</v>
      </c>
      <c r="C20" s="8">
        <f t="shared" si="0"/>
        <v>5437</v>
      </c>
      <c r="D20" s="10">
        <v>57475</v>
      </c>
      <c r="E20" s="8">
        <f t="shared" si="1"/>
        <v>3426</v>
      </c>
      <c r="F20" s="12">
        <v>540</v>
      </c>
      <c r="G20" s="68">
        <v>0.47</v>
      </c>
      <c r="H20" s="12"/>
      <c r="I20" s="8">
        <f t="shared" si="2"/>
        <v>8863</v>
      </c>
      <c r="J20" s="16">
        <f t="shared" si="3"/>
        <v>2172.2579999999998</v>
      </c>
    </row>
    <row r="21" spans="1:10" x14ac:dyDescent="0.2">
      <c r="A21" s="5">
        <v>44518</v>
      </c>
      <c r="B21" s="10">
        <v>102424</v>
      </c>
      <c r="C21" s="8">
        <f t="shared" si="0"/>
        <v>5413</v>
      </c>
      <c r="D21" s="10">
        <v>60901</v>
      </c>
      <c r="E21" s="8">
        <f t="shared" si="1"/>
        <v>2091</v>
      </c>
      <c r="F21" s="12">
        <v>540</v>
      </c>
      <c r="G21" s="68">
        <v>0.42</v>
      </c>
      <c r="H21" s="12"/>
      <c r="I21" s="8">
        <f t="shared" si="2"/>
        <v>7504</v>
      </c>
      <c r="J21" s="16">
        <f t="shared" si="3"/>
        <v>1929.0509999999999</v>
      </c>
    </row>
    <row r="22" spans="1:10" x14ac:dyDescent="0.2">
      <c r="A22" s="5">
        <v>44519</v>
      </c>
      <c r="B22" s="10">
        <v>107837</v>
      </c>
      <c r="C22" s="8">
        <f t="shared" si="0"/>
        <v>6034</v>
      </c>
      <c r="D22" s="10">
        <v>62992</v>
      </c>
      <c r="E22" s="8">
        <f t="shared" si="1"/>
        <v>4569</v>
      </c>
      <c r="F22" s="12">
        <v>540</v>
      </c>
      <c r="G22" s="68">
        <v>0.4</v>
      </c>
      <c r="H22" s="12"/>
      <c r="I22" s="8">
        <f t="shared" si="2"/>
        <v>10603</v>
      </c>
      <c r="J22" s="16">
        <f t="shared" si="3"/>
        <v>2546.5050000000001</v>
      </c>
    </row>
    <row r="23" spans="1:10" x14ac:dyDescent="0.2">
      <c r="A23" s="5">
        <v>44520</v>
      </c>
      <c r="B23" s="10">
        <v>113871</v>
      </c>
      <c r="C23" s="8">
        <f t="shared" si="0"/>
        <v>5836</v>
      </c>
      <c r="D23" s="10">
        <v>67561</v>
      </c>
      <c r="E23" s="8">
        <f t="shared" si="1"/>
        <v>3111</v>
      </c>
      <c r="F23" s="10">
        <v>540</v>
      </c>
      <c r="G23" s="68">
        <v>0.4</v>
      </c>
      <c r="H23" s="12"/>
      <c r="I23" s="8">
        <f t="shared" si="2"/>
        <v>8947</v>
      </c>
      <c r="J23" s="16">
        <f t="shared" si="3"/>
        <v>2231.415</v>
      </c>
    </row>
    <row r="24" spans="1:10" x14ac:dyDescent="0.2">
      <c r="A24" s="5">
        <v>44521</v>
      </c>
      <c r="B24" s="10">
        <v>119707</v>
      </c>
      <c r="C24" s="8">
        <f t="shared" si="0"/>
        <v>5727</v>
      </c>
      <c r="D24" s="10">
        <v>70672</v>
      </c>
      <c r="E24" s="8">
        <f t="shared" si="1"/>
        <v>3257</v>
      </c>
      <c r="F24" s="10">
        <v>540</v>
      </c>
      <c r="G24" s="68">
        <v>0.38</v>
      </c>
      <c r="H24" s="12"/>
      <c r="I24" s="8">
        <f t="shared" si="2"/>
        <v>8984</v>
      </c>
      <c r="J24" s="16">
        <f t="shared" si="3"/>
        <v>2225.8649999999998</v>
      </c>
    </row>
    <row r="25" spans="1:10" x14ac:dyDescent="0.2">
      <c r="A25" s="5">
        <v>44522</v>
      </c>
      <c r="B25" s="10">
        <v>125434</v>
      </c>
      <c r="C25" s="8">
        <f t="shared" si="0"/>
        <v>5652</v>
      </c>
      <c r="D25" s="10">
        <v>73929</v>
      </c>
      <c r="E25" s="8">
        <f t="shared" si="1"/>
        <v>2971</v>
      </c>
      <c r="F25" s="10">
        <v>522</v>
      </c>
      <c r="G25" s="68">
        <v>0.45</v>
      </c>
      <c r="H25" s="12"/>
      <c r="I25" s="8">
        <f t="shared" si="2"/>
        <v>8623</v>
      </c>
      <c r="J25" s="16">
        <f t="shared" si="3"/>
        <v>2153.643</v>
      </c>
    </row>
    <row r="26" spans="1:10" x14ac:dyDescent="0.2">
      <c r="A26" s="5">
        <v>44523</v>
      </c>
      <c r="B26" s="10">
        <v>131086</v>
      </c>
      <c r="C26" s="8">
        <f t="shared" si="0"/>
        <v>5534</v>
      </c>
      <c r="D26" s="10">
        <v>76900</v>
      </c>
      <c r="E26" s="8">
        <f t="shared" si="1"/>
        <v>3449</v>
      </c>
      <c r="F26" s="10">
        <v>522</v>
      </c>
      <c r="G26" s="92">
        <v>0.37</v>
      </c>
      <c r="H26" s="18"/>
      <c r="I26" s="8">
        <f t="shared" si="2"/>
        <v>8983</v>
      </c>
      <c r="J26" s="16">
        <f t="shared" si="3"/>
        <v>2204.2649999999999</v>
      </c>
    </row>
    <row r="27" spans="1:10" x14ac:dyDescent="0.2">
      <c r="A27" s="5">
        <v>44524</v>
      </c>
      <c r="B27" s="10">
        <v>136620</v>
      </c>
      <c r="C27" s="8">
        <f t="shared" si="0"/>
        <v>4632</v>
      </c>
      <c r="D27" s="10">
        <v>80349</v>
      </c>
      <c r="E27" s="8">
        <f t="shared" si="1"/>
        <v>3261</v>
      </c>
      <c r="F27" s="10">
        <v>522</v>
      </c>
      <c r="G27" s="68">
        <v>0.53</v>
      </c>
      <c r="H27" s="12"/>
      <c r="I27" s="8">
        <f t="shared" si="2"/>
        <v>7893</v>
      </c>
      <c r="J27" s="16">
        <f t="shared" si="3"/>
        <v>1911.2129999999997</v>
      </c>
    </row>
    <row r="28" spans="1:10" x14ac:dyDescent="0.2">
      <c r="A28" s="5">
        <v>44525</v>
      </c>
      <c r="B28" s="10">
        <v>141252</v>
      </c>
      <c r="C28" s="8">
        <f t="shared" si="0"/>
        <v>7717</v>
      </c>
      <c r="D28" s="10">
        <v>83610</v>
      </c>
      <c r="E28" s="8">
        <f t="shared" si="1"/>
        <v>3491</v>
      </c>
      <c r="F28" s="10">
        <v>522</v>
      </c>
      <c r="G28" s="68">
        <v>0.52</v>
      </c>
      <c r="H28" s="12"/>
      <c r="I28" s="8">
        <f t="shared" si="2"/>
        <v>11208</v>
      </c>
      <c r="J28" s="16">
        <f t="shared" si="3"/>
        <v>2840.4029999999993</v>
      </c>
    </row>
    <row r="29" spans="1:10" x14ac:dyDescent="0.2">
      <c r="A29" s="5">
        <v>44526</v>
      </c>
      <c r="B29" s="10">
        <v>148969</v>
      </c>
      <c r="C29" s="8">
        <f t="shared" si="0"/>
        <v>6254</v>
      </c>
      <c r="D29" s="10">
        <v>87101</v>
      </c>
      <c r="E29" s="8">
        <f t="shared" si="1"/>
        <v>3302</v>
      </c>
      <c r="F29" s="10">
        <v>522</v>
      </c>
      <c r="G29" s="12"/>
      <c r="H29" s="12"/>
      <c r="I29" s="8">
        <f t="shared" si="2"/>
        <v>9556</v>
      </c>
      <c r="J29" s="16">
        <f t="shared" si="3"/>
        <v>2385.6059999999998</v>
      </c>
    </row>
    <row r="30" spans="1:10" x14ac:dyDescent="0.2">
      <c r="A30" s="5">
        <v>44527</v>
      </c>
      <c r="B30" s="10">
        <v>155223</v>
      </c>
      <c r="C30" s="8">
        <f t="shared" si="0"/>
        <v>5128</v>
      </c>
      <c r="D30" s="10">
        <v>90403</v>
      </c>
      <c r="E30" s="8">
        <f t="shared" si="1"/>
        <v>2980</v>
      </c>
      <c r="F30" s="10">
        <v>540</v>
      </c>
      <c r="G30" s="12"/>
      <c r="H30" s="12"/>
      <c r="I30" s="8">
        <f t="shared" si="2"/>
        <v>8108</v>
      </c>
      <c r="J30" s="16">
        <f t="shared" si="3"/>
        <v>2004.3239999999996</v>
      </c>
    </row>
    <row r="31" spans="1:10" x14ac:dyDescent="0.2">
      <c r="A31" s="5">
        <v>44528</v>
      </c>
      <c r="B31" s="10">
        <v>160351</v>
      </c>
      <c r="C31" s="8">
        <f t="shared" si="0"/>
        <v>5234</v>
      </c>
      <c r="D31" s="10">
        <v>93383</v>
      </c>
      <c r="E31" s="8">
        <f t="shared" si="1"/>
        <v>2828</v>
      </c>
      <c r="F31" s="10">
        <v>540</v>
      </c>
      <c r="G31" s="12"/>
      <c r="H31" s="12"/>
      <c r="I31" s="8">
        <f t="shared" si="2"/>
        <v>8062</v>
      </c>
      <c r="J31" s="16">
        <f t="shared" si="3"/>
        <v>2007.9479999999999</v>
      </c>
    </row>
    <row r="32" spans="1:10" x14ac:dyDescent="0.2">
      <c r="A32" s="5">
        <v>44529</v>
      </c>
      <c r="B32" s="10">
        <v>165585</v>
      </c>
      <c r="C32" s="8">
        <f t="shared" si="0"/>
        <v>0</v>
      </c>
      <c r="D32" s="10">
        <v>96211</v>
      </c>
      <c r="E32" s="8">
        <f t="shared" si="1"/>
        <v>0</v>
      </c>
      <c r="F32" s="10">
        <v>540</v>
      </c>
      <c r="G32" s="12"/>
      <c r="H32" s="12"/>
      <c r="I32" s="8">
        <f t="shared" si="2"/>
        <v>0</v>
      </c>
      <c r="J32" s="16">
        <f t="shared" si="3"/>
        <v>0</v>
      </c>
    </row>
    <row r="33" spans="1:10" x14ac:dyDescent="0.2">
      <c r="A33" s="5">
        <v>44530</v>
      </c>
      <c r="B33" s="10">
        <v>0</v>
      </c>
      <c r="C33" s="8">
        <f t="shared" si="0"/>
        <v>0</v>
      </c>
      <c r="D33" s="10">
        <v>2202</v>
      </c>
      <c r="E33" s="8">
        <f t="shared" si="1"/>
        <v>0</v>
      </c>
      <c r="F33" s="10">
        <v>0</v>
      </c>
      <c r="G33" s="12"/>
      <c r="H33" s="12"/>
      <c r="I33" s="8">
        <f t="shared" si="2"/>
        <v>0</v>
      </c>
      <c r="J33" s="16">
        <f t="shared" si="3"/>
        <v>0</v>
      </c>
    </row>
    <row r="34" spans="1:10" x14ac:dyDescent="0.2">
      <c r="A34" s="5"/>
      <c r="B34" s="65"/>
      <c r="C34" s="8">
        <v>0</v>
      </c>
      <c r="D34" s="10"/>
      <c r="E34" s="8">
        <v>0</v>
      </c>
      <c r="F34" s="10"/>
      <c r="G34" s="12"/>
      <c r="H34" s="12"/>
      <c r="I34" s="8">
        <f t="shared" si="2"/>
        <v>0</v>
      </c>
      <c r="J34" s="16">
        <f t="shared" si="3"/>
        <v>0</v>
      </c>
    </row>
    <row r="35" spans="1:10" x14ac:dyDescent="0.2">
      <c r="A35" s="66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x14ac:dyDescent="0.2">
      <c r="A36" s="96" t="s">
        <v>28</v>
      </c>
      <c r="B36" s="97"/>
      <c r="C36" s="9">
        <f>SUM(C4:C34)</f>
        <v>164103</v>
      </c>
      <c r="D36" s="9"/>
      <c r="E36" s="9">
        <f>SUM(E4:E34)</f>
        <v>93073</v>
      </c>
      <c r="F36" s="9">
        <f>MAX(F4:F34)</f>
        <v>540</v>
      </c>
      <c r="G36" s="11"/>
      <c r="H36" s="11"/>
      <c r="I36" s="8">
        <f>+E36+C36</f>
        <v>257176</v>
      </c>
      <c r="J36" s="16">
        <f>(C36*0.288)+(E36*0.177)</f>
        <v>63735.584999999992</v>
      </c>
    </row>
    <row r="37" spans="1:10" x14ac:dyDescent="0.2">
      <c r="A37" s="17">
        <f>COUNT(A4:A34)</f>
        <v>30</v>
      </c>
      <c r="C37" s="1">
        <f>COUNTIF(C4:C34,"&gt;0")</f>
        <v>28</v>
      </c>
      <c r="G37" s="1"/>
    </row>
    <row r="39" spans="1:10" ht="15.75" x14ac:dyDescent="0.25">
      <c r="A39" s="13" t="s">
        <v>29</v>
      </c>
    </row>
  </sheetData>
  <mergeCells count="2">
    <mergeCell ref="A36:B36"/>
    <mergeCell ref="D1:F1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3.85546875" customWidth="1"/>
    <col min="9" max="9" width="19.140625" style="1" bestFit="1" customWidth="1"/>
    <col min="10" max="10" width="10.140625" style="14" bestFit="1" customWidth="1"/>
  </cols>
  <sheetData>
    <row r="1" spans="1:10" ht="20.25" x14ac:dyDescent="0.3">
      <c r="A1" s="6" t="s">
        <v>13</v>
      </c>
      <c r="D1" s="98" t="s">
        <v>14</v>
      </c>
      <c r="E1" s="98"/>
      <c r="F1" s="98"/>
    </row>
    <row r="2" spans="1:10" ht="18" x14ac:dyDescent="0.25">
      <c r="A2" s="2"/>
      <c r="B2" s="7" t="s">
        <v>15</v>
      </c>
      <c r="C2" s="7" t="s">
        <v>16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15" t="s">
        <v>21</v>
      </c>
    </row>
    <row r="3" spans="1:10" x14ac:dyDescent="0.2">
      <c r="A3" s="3"/>
      <c r="B3" s="7" t="s">
        <v>22</v>
      </c>
      <c r="C3" s="7" t="s">
        <v>22</v>
      </c>
      <c r="D3" s="7" t="s">
        <v>23</v>
      </c>
      <c r="E3" s="7" t="s">
        <v>23</v>
      </c>
      <c r="F3" s="63" t="s">
        <v>22</v>
      </c>
      <c r="G3" s="7" t="s">
        <v>24</v>
      </c>
      <c r="H3" s="11"/>
      <c r="I3" s="7" t="s">
        <v>25</v>
      </c>
      <c r="J3" s="15" t="s">
        <v>26</v>
      </c>
    </row>
    <row r="4" spans="1:10" x14ac:dyDescent="0.2">
      <c r="A4" s="5">
        <v>44501</v>
      </c>
      <c r="B4" s="10">
        <v>2245</v>
      </c>
      <c r="C4" s="8">
        <f>IF(B5-B4 &lt; 0,0,B5-B4)</f>
        <v>2234</v>
      </c>
      <c r="D4" s="10">
        <v>1631</v>
      </c>
      <c r="E4" s="8">
        <f t="shared" ref="E4:E33" si="0">IF(D5-D4 &lt; 0,0,D5-D4)</f>
        <v>950</v>
      </c>
      <c r="F4" s="10">
        <v>198</v>
      </c>
      <c r="G4" s="68">
        <v>0.5</v>
      </c>
      <c r="H4" s="12"/>
      <c r="I4" s="8">
        <f>+E4+C4</f>
        <v>3184</v>
      </c>
      <c r="J4" s="16">
        <f>(C4*0.288)+(E4*0.177)</f>
        <v>811.54199999999992</v>
      </c>
    </row>
    <row r="5" spans="1:10" x14ac:dyDescent="0.2">
      <c r="A5" s="5">
        <v>44502</v>
      </c>
      <c r="B5" s="10">
        <v>4479</v>
      </c>
      <c r="C5" s="8">
        <f t="shared" ref="C5:C33" si="1">IF(B6-B5 &lt; 0,0,B6-B5)</f>
        <v>2246</v>
      </c>
      <c r="D5" s="10">
        <v>2581</v>
      </c>
      <c r="E5" s="8">
        <f t="shared" si="0"/>
        <v>914</v>
      </c>
      <c r="F5" s="10">
        <v>198</v>
      </c>
      <c r="G5" s="68">
        <v>0.54</v>
      </c>
      <c r="H5" s="12"/>
      <c r="I5" s="8">
        <f t="shared" ref="I5:I35" si="2">+E5+C5</f>
        <v>3160</v>
      </c>
      <c r="J5" s="16">
        <f t="shared" ref="J5:J35" si="3">(C5*0.288)+(E5*0.177)</f>
        <v>808.62599999999998</v>
      </c>
    </row>
    <row r="6" spans="1:10" x14ac:dyDescent="0.2">
      <c r="A6" s="5">
        <v>44503</v>
      </c>
      <c r="B6" s="10">
        <v>6725</v>
      </c>
      <c r="C6" s="8">
        <f t="shared" si="1"/>
        <v>2259</v>
      </c>
      <c r="D6" s="10">
        <v>3495</v>
      </c>
      <c r="E6" s="8">
        <f t="shared" si="0"/>
        <v>910</v>
      </c>
      <c r="F6" s="10">
        <v>198</v>
      </c>
      <c r="G6" s="68">
        <v>0.55000000000000004</v>
      </c>
      <c r="H6" s="12" t="s">
        <v>27</v>
      </c>
      <c r="I6" s="8">
        <f t="shared" si="2"/>
        <v>3169</v>
      </c>
      <c r="J6" s="16">
        <f t="shared" si="3"/>
        <v>811.66200000000003</v>
      </c>
    </row>
    <row r="7" spans="1:10" x14ac:dyDescent="0.2">
      <c r="A7" s="5">
        <v>44504</v>
      </c>
      <c r="B7" s="10">
        <v>8984</v>
      </c>
      <c r="C7" s="8">
        <f t="shared" si="1"/>
        <v>2206</v>
      </c>
      <c r="D7" s="10">
        <v>4405</v>
      </c>
      <c r="E7" s="8">
        <f t="shared" si="0"/>
        <v>924</v>
      </c>
      <c r="F7" s="10">
        <v>198</v>
      </c>
      <c r="G7" s="68">
        <v>0.74</v>
      </c>
      <c r="H7" s="12" t="s">
        <v>27</v>
      </c>
      <c r="I7" s="8">
        <f t="shared" si="2"/>
        <v>3130</v>
      </c>
      <c r="J7" s="16">
        <f t="shared" si="3"/>
        <v>798.87599999999998</v>
      </c>
    </row>
    <row r="8" spans="1:10" x14ac:dyDescent="0.2">
      <c r="A8" s="5">
        <v>44505</v>
      </c>
      <c r="B8" s="10">
        <v>11190</v>
      </c>
      <c r="C8" s="8">
        <f t="shared" si="1"/>
        <v>2244</v>
      </c>
      <c r="D8" s="10">
        <v>5329</v>
      </c>
      <c r="E8" s="8">
        <f t="shared" si="0"/>
        <v>892</v>
      </c>
      <c r="F8" s="10">
        <v>198</v>
      </c>
      <c r="G8" s="68">
        <v>0.77</v>
      </c>
      <c r="H8" s="12"/>
      <c r="I8" s="8">
        <f t="shared" si="2"/>
        <v>3136</v>
      </c>
      <c r="J8" s="16">
        <f t="shared" si="3"/>
        <v>804.15599999999995</v>
      </c>
    </row>
    <row r="9" spans="1:10" x14ac:dyDescent="0.2">
      <c r="A9" s="5">
        <v>44506</v>
      </c>
      <c r="B9" s="10">
        <v>13434</v>
      </c>
      <c r="C9" s="8">
        <f t="shared" si="1"/>
        <v>2201</v>
      </c>
      <c r="D9" s="10">
        <v>6221</v>
      </c>
      <c r="E9" s="8">
        <f t="shared" si="0"/>
        <v>1018</v>
      </c>
      <c r="F9" s="10">
        <v>198</v>
      </c>
      <c r="G9" s="68">
        <v>0.57999999999999996</v>
      </c>
      <c r="H9" s="12"/>
      <c r="I9" s="8">
        <f t="shared" si="2"/>
        <v>3219</v>
      </c>
      <c r="J9" s="16">
        <f t="shared" si="3"/>
        <v>814.07399999999984</v>
      </c>
    </row>
    <row r="10" spans="1:10" x14ac:dyDescent="0.2">
      <c r="A10" s="5">
        <v>44507</v>
      </c>
      <c r="B10" s="10">
        <v>15635</v>
      </c>
      <c r="C10" s="8">
        <f t="shared" si="1"/>
        <v>1885</v>
      </c>
      <c r="D10" s="10">
        <v>7239</v>
      </c>
      <c r="E10" s="8">
        <f t="shared" si="0"/>
        <v>677</v>
      </c>
      <c r="F10" s="10">
        <v>198</v>
      </c>
      <c r="G10" s="69">
        <v>0.28999999999999998</v>
      </c>
      <c r="H10" s="12"/>
      <c r="I10" s="8">
        <f t="shared" si="2"/>
        <v>2562</v>
      </c>
      <c r="J10" s="16">
        <f t="shared" si="3"/>
        <v>662.70899999999995</v>
      </c>
    </row>
    <row r="11" spans="1:10" x14ac:dyDescent="0.2">
      <c r="A11" s="5">
        <v>44508</v>
      </c>
      <c r="B11" s="10">
        <v>17520</v>
      </c>
      <c r="C11" s="8">
        <f t="shared" si="1"/>
        <v>1945</v>
      </c>
      <c r="D11" s="10">
        <v>7916</v>
      </c>
      <c r="E11" s="8">
        <f t="shared" si="0"/>
        <v>666</v>
      </c>
      <c r="F11" s="10">
        <v>198</v>
      </c>
      <c r="G11" s="68">
        <v>0.3</v>
      </c>
      <c r="H11" s="12"/>
      <c r="I11" s="8">
        <f t="shared" si="2"/>
        <v>2611</v>
      </c>
      <c r="J11" s="16">
        <f t="shared" si="3"/>
        <v>678.04199999999992</v>
      </c>
    </row>
    <row r="12" spans="1:10" x14ac:dyDescent="0.2">
      <c r="A12" s="5">
        <v>44509</v>
      </c>
      <c r="B12" s="10">
        <v>19465</v>
      </c>
      <c r="C12" s="8">
        <f t="shared" si="1"/>
        <v>1741</v>
      </c>
      <c r="D12" s="10">
        <v>8582</v>
      </c>
      <c r="E12" s="8">
        <f t="shared" si="0"/>
        <v>722</v>
      </c>
      <c r="F12" s="10">
        <v>198</v>
      </c>
      <c r="G12" s="68">
        <v>0.26</v>
      </c>
      <c r="H12" s="12"/>
      <c r="I12" s="8">
        <f t="shared" si="2"/>
        <v>2463</v>
      </c>
      <c r="J12" s="16">
        <f t="shared" si="3"/>
        <v>629.202</v>
      </c>
    </row>
    <row r="13" spans="1:10" x14ac:dyDescent="0.2">
      <c r="A13" s="5">
        <v>44510</v>
      </c>
      <c r="B13" s="10">
        <v>21206</v>
      </c>
      <c r="C13" s="8">
        <f t="shared" si="1"/>
        <v>1907</v>
      </c>
      <c r="D13" s="10">
        <v>9304</v>
      </c>
      <c r="E13" s="8">
        <f t="shared" si="0"/>
        <v>853</v>
      </c>
      <c r="F13" s="10">
        <v>198</v>
      </c>
      <c r="G13" s="68">
        <v>0.41</v>
      </c>
      <c r="H13" s="12"/>
      <c r="I13" s="8">
        <f t="shared" si="2"/>
        <v>2760</v>
      </c>
      <c r="J13" s="16">
        <f t="shared" si="3"/>
        <v>700.197</v>
      </c>
    </row>
    <row r="14" spans="1:10" x14ac:dyDescent="0.2">
      <c r="A14" s="5">
        <v>44511</v>
      </c>
      <c r="B14" s="10">
        <v>23113</v>
      </c>
      <c r="C14" s="8">
        <f t="shared" si="1"/>
        <v>1985</v>
      </c>
      <c r="D14" s="10">
        <v>10157</v>
      </c>
      <c r="E14" s="8">
        <f>IF(D15-D14 &lt; 0,0,D15-D14)</f>
        <v>832</v>
      </c>
      <c r="F14" s="10">
        <v>198</v>
      </c>
      <c r="G14" s="68">
        <v>0.35</v>
      </c>
      <c r="H14" s="12"/>
      <c r="I14" s="8">
        <f t="shared" si="2"/>
        <v>2817</v>
      </c>
      <c r="J14" s="16">
        <f t="shared" si="3"/>
        <v>718.94399999999996</v>
      </c>
    </row>
    <row r="15" spans="1:10" x14ac:dyDescent="0.2">
      <c r="A15" s="5">
        <v>44512</v>
      </c>
      <c r="B15" s="10">
        <v>25098</v>
      </c>
      <c r="C15" s="8">
        <f t="shared" si="1"/>
        <v>2070</v>
      </c>
      <c r="D15" s="10">
        <v>10989</v>
      </c>
      <c r="E15" s="8">
        <f>IF(D16-D15 &lt; 0,0,D16-D15)</f>
        <v>922</v>
      </c>
      <c r="F15" s="10">
        <v>198</v>
      </c>
      <c r="G15" s="68">
        <v>0.28000000000000003</v>
      </c>
      <c r="H15" s="12"/>
      <c r="I15" s="8">
        <f t="shared" si="2"/>
        <v>2992</v>
      </c>
      <c r="J15" s="16">
        <f t="shared" si="3"/>
        <v>759.35399999999993</v>
      </c>
    </row>
    <row r="16" spans="1:10" x14ac:dyDescent="0.2">
      <c r="A16" s="5">
        <v>44513</v>
      </c>
      <c r="B16" s="10">
        <v>27168</v>
      </c>
      <c r="C16" s="8">
        <f t="shared" si="1"/>
        <v>2206</v>
      </c>
      <c r="D16" s="10">
        <v>11911</v>
      </c>
      <c r="E16" s="8">
        <f t="shared" si="0"/>
        <v>957</v>
      </c>
      <c r="F16" s="10">
        <v>198</v>
      </c>
      <c r="G16" s="68">
        <v>0.18</v>
      </c>
      <c r="H16" s="12"/>
      <c r="I16" s="8">
        <f t="shared" si="2"/>
        <v>3163</v>
      </c>
      <c r="J16" s="16">
        <f t="shared" si="3"/>
        <v>804.71699999999998</v>
      </c>
    </row>
    <row r="17" spans="1:10" x14ac:dyDescent="0.2">
      <c r="A17" s="5">
        <v>44514</v>
      </c>
      <c r="B17" s="10">
        <v>29374</v>
      </c>
      <c r="C17" s="8">
        <f t="shared" si="1"/>
        <v>2138</v>
      </c>
      <c r="D17" s="10">
        <v>12868</v>
      </c>
      <c r="E17" s="8">
        <f t="shared" si="0"/>
        <v>970</v>
      </c>
      <c r="F17" s="10">
        <v>198</v>
      </c>
      <c r="G17" s="68">
        <v>0.38</v>
      </c>
      <c r="H17" s="12"/>
      <c r="I17" s="8">
        <f t="shared" si="2"/>
        <v>3108</v>
      </c>
      <c r="J17" s="16">
        <f t="shared" si="3"/>
        <v>787.43399999999997</v>
      </c>
    </row>
    <row r="18" spans="1:10" x14ac:dyDescent="0.2">
      <c r="A18" s="5">
        <v>44515</v>
      </c>
      <c r="B18" s="10">
        <v>31512</v>
      </c>
      <c r="C18" s="8">
        <f t="shared" si="1"/>
        <v>1969</v>
      </c>
      <c r="D18" s="10">
        <v>13838</v>
      </c>
      <c r="E18" s="8">
        <f t="shared" si="0"/>
        <v>761</v>
      </c>
      <c r="F18" s="10">
        <v>198</v>
      </c>
      <c r="G18" s="68">
        <v>0.34</v>
      </c>
      <c r="H18" s="12"/>
      <c r="I18" s="8">
        <f t="shared" si="2"/>
        <v>2730</v>
      </c>
      <c r="J18" s="16">
        <f t="shared" si="3"/>
        <v>701.76900000000001</v>
      </c>
    </row>
    <row r="19" spans="1:10" x14ac:dyDescent="0.2">
      <c r="A19" s="5">
        <v>44516</v>
      </c>
      <c r="B19" s="10">
        <v>33481</v>
      </c>
      <c r="C19" s="8">
        <f t="shared" si="1"/>
        <v>2245</v>
      </c>
      <c r="D19" s="10">
        <v>14599</v>
      </c>
      <c r="E19" s="8">
        <f t="shared" si="0"/>
        <v>889</v>
      </c>
      <c r="F19" s="10">
        <v>198</v>
      </c>
      <c r="G19" s="68">
        <v>0.41</v>
      </c>
      <c r="H19" s="12"/>
      <c r="I19" s="8">
        <f t="shared" si="2"/>
        <v>3134</v>
      </c>
      <c r="J19" s="16">
        <f t="shared" si="3"/>
        <v>803.9129999999999</v>
      </c>
    </row>
    <row r="20" spans="1:10" x14ac:dyDescent="0.2">
      <c r="A20" s="5">
        <v>44517</v>
      </c>
      <c r="B20" s="10">
        <v>35726</v>
      </c>
      <c r="C20" s="8">
        <f t="shared" si="1"/>
        <v>2137</v>
      </c>
      <c r="D20" s="10">
        <v>15488</v>
      </c>
      <c r="E20" s="8">
        <f t="shared" si="0"/>
        <v>956</v>
      </c>
      <c r="F20" s="10">
        <v>198</v>
      </c>
      <c r="G20" s="68">
        <v>0.47</v>
      </c>
      <c r="H20" s="12"/>
      <c r="I20" s="8">
        <f t="shared" si="2"/>
        <v>3093</v>
      </c>
      <c r="J20" s="16">
        <f t="shared" si="3"/>
        <v>784.66799999999989</v>
      </c>
    </row>
    <row r="21" spans="1:10" x14ac:dyDescent="0.2">
      <c r="A21" s="5">
        <v>44518</v>
      </c>
      <c r="B21" s="10">
        <v>37863</v>
      </c>
      <c r="C21" s="8">
        <f t="shared" si="1"/>
        <v>2098</v>
      </c>
      <c r="D21" s="10">
        <v>16444</v>
      </c>
      <c r="E21" s="8">
        <f t="shared" si="0"/>
        <v>852</v>
      </c>
      <c r="F21" s="10">
        <v>198</v>
      </c>
      <c r="G21" s="68">
        <v>0.42</v>
      </c>
      <c r="H21" s="12"/>
      <c r="I21" s="8">
        <f t="shared" si="2"/>
        <v>2950</v>
      </c>
      <c r="J21" s="16">
        <f t="shared" si="3"/>
        <v>755.02799999999991</v>
      </c>
    </row>
    <row r="22" spans="1:10" x14ac:dyDescent="0.2">
      <c r="A22" s="5">
        <v>44519</v>
      </c>
      <c r="B22" s="10">
        <v>39961</v>
      </c>
      <c r="C22" s="8">
        <f t="shared" si="1"/>
        <v>2092</v>
      </c>
      <c r="D22" s="10">
        <v>17296</v>
      </c>
      <c r="E22" s="8">
        <f t="shared" si="0"/>
        <v>729</v>
      </c>
      <c r="F22" s="10">
        <v>198</v>
      </c>
      <c r="G22" s="68">
        <v>0.4</v>
      </c>
      <c r="H22" s="12"/>
      <c r="I22" s="8">
        <f t="shared" si="2"/>
        <v>2821</v>
      </c>
      <c r="J22" s="16">
        <f t="shared" si="3"/>
        <v>731.529</v>
      </c>
    </row>
    <row r="23" spans="1:10" x14ac:dyDescent="0.2">
      <c r="A23" s="5">
        <v>44520</v>
      </c>
      <c r="B23" s="10">
        <v>42053</v>
      </c>
      <c r="C23" s="8">
        <f t="shared" si="1"/>
        <v>1888</v>
      </c>
      <c r="D23" s="10">
        <v>18025</v>
      </c>
      <c r="E23" s="8">
        <f t="shared" si="0"/>
        <v>474</v>
      </c>
      <c r="F23" s="10">
        <v>198</v>
      </c>
      <c r="G23" s="68">
        <v>0.4</v>
      </c>
      <c r="H23" s="12"/>
      <c r="I23" s="8">
        <f t="shared" si="2"/>
        <v>2362</v>
      </c>
      <c r="J23" s="16">
        <f t="shared" si="3"/>
        <v>627.64199999999994</v>
      </c>
    </row>
    <row r="24" spans="1:10" x14ac:dyDescent="0.2">
      <c r="A24" s="5">
        <v>44521</v>
      </c>
      <c r="B24" s="10">
        <v>43941</v>
      </c>
      <c r="C24" s="8">
        <f t="shared" si="1"/>
        <v>1962</v>
      </c>
      <c r="D24" s="10">
        <v>18499</v>
      </c>
      <c r="E24" s="8">
        <f t="shared" si="0"/>
        <v>583</v>
      </c>
      <c r="F24" s="10">
        <v>126</v>
      </c>
      <c r="G24" s="68">
        <v>0.38</v>
      </c>
      <c r="H24" s="12"/>
      <c r="I24" s="8">
        <f t="shared" si="2"/>
        <v>2545</v>
      </c>
      <c r="J24" s="16">
        <f t="shared" si="3"/>
        <v>668.24699999999996</v>
      </c>
    </row>
    <row r="25" spans="1:10" x14ac:dyDescent="0.2">
      <c r="A25" s="5">
        <v>44522</v>
      </c>
      <c r="B25" s="10">
        <v>45903</v>
      </c>
      <c r="C25" s="8">
        <f t="shared" si="1"/>
        <v>2113</v>
      </c>
      <c r="D25" s="10">
        <v>19082</v>
      </c>
      <c r="E25" s="8">
        <f t="shared" si="0"/>
        <v>860</v>
      </c>
      <c r="F25" s="10">
        <v>126</v>
      </c>
      <c r="G25" s="68">
        <v>0.45</v>
      </c>
      <c r="H25" s="12"/>
      <c r="I25" s="8">
        <f t="shared" si="2"/>
        <v>2973</v>
      </c>
      <c r="J25" s="16">
        <f t="shared" si="3"/>
        <v>760.76400000000001</v>
      </c>
    </row>
    <row r="26" spans="1:10" x14ac:dyDescent="0.2">
      <c r="A26" s="5">
        <v>44523</v>
      </c>
      <c r="B26" s="10">
        <v>48016</v>
      </c>
      <c r="C26" s="8">
        <f t="shared" si="1"/>
        <v>2119</v>
      </c>
      <c r="D26" s="10">
        <v>19942</v>
      </c>
      <c r="E26" s="8">
        <f t="shared" si="0"/>
        <v>981</v>
      </c>
      <c r="F26" s="10">
        <v>198</v>
      </c>
      <c r="G26" s="92">
        <v>0.37</v>
      </c>
      <c r="H26" s="18"/>
      <c r="I26" s="8">
        <f t="shared" si="2"/>
        <v>3100</v>
      </c>
      <c r="J26" s="16">
        <f t="shared" si="3"/>
        <v>783.90899999999988</v>
      </c>
    </row>
    <row r="27" spans="1:10" x14ac:dyDescent="0.2">
      <c r="A27" s="5">
        <v>44524</v>
      </c>
      <c r="B27" s="10">
        <v>50135</v>
      </c>
      <c r="C27" s="8">
        <f t="shared" si="1"/>
        <v>2258</v>
      </c>
      <c r="D27" s="10">
        <v>20923</v>
      </c>
      <c r="E27" s="8">
        <f t="shared" si="0"/>
        <v>674</v>
      </c>
      <c r="F27" s="10">
        <v>198</v>
      </c>
      <c r="G27" s="68">
        <v>0.53</v>
      </c>
      <c r="H27" s="12"/>
      <c r="I27" s="8">
        <f t="shared" si="2"/>
        <v>2932</v>
      </c>
      <c r="J27" s="16">
        <f t="shared" si="3"/>
        <v>769.60199999999998</v>
      </c>
    </row>
    <row r="28" spans="1:10" x14ac:dyDescent="0.2">
      <c r="A28" s="5">
        <v>44525</v>
      </c>
      <c r="B28" s="10">
        <v>52393</v>
      </c>
      <c r="C28" s="8">
        <f t="shared" si="1"/>
        <v>2164</v>
      </c>
      <c r="D28" s="10">
        <v>21597</v>
      </c>
      <c r="E28" s="8">
        <f t="shared" si="0"/>
        <v>941</v>
      </c>
      <c r="F28" s="10">
        <v>203</v>
      </c>
      <c r="G28" s="68">
        <v>0.52</v>
      </c>
      <c r="H28" s="12"/>
      <c r="I28" s="8">
        <f t="shared" si="2"/>
        <v>3105</v>
      </c>
      <c r="J28" s="16">
        <f t="shared" si="3"/>
        <v>789.78899999999999</v>
      </c>
    </row>
    <row r="29" spans="1:10" x14ac:dyDescent="0.2">
      <c r="A29" s="5">
        <v>44526</v>
      </c>
      <c r="B29" s="10">
        <v>54557</v>
      </c>
      <c r="C29" s="8">
        <f t="shared" si="1"/>
        <v>2288</v>
      </c>
      <c r="D29" s="10">
        <v>22538</v>
      </c>
      <c r="E29" s="8">
        <f t="shared" si="0"/>
        <v>1011</v>
      </c>
      <c r="F29" s="10">
        <v>203</v>
      </c>
      <c r="G29" s="12"/>
      <c r="H29" s="12"/>
      <c r="I29" s="8">
        <f t="shared" si="2"/>
        <v>3299</v>
      </c>
      <c r="J29" s="16">
        <f t="shared" si="3"/>
        <v>837.89099999999996</v>
      </c>
    </row>
    <row r="30" spans="1:10" x14ac:dyDescent="0.2">
      <c r="A30" s="5">
        <v>44527</v>
      </c>
      <c r="B30" s="10">
        <v>56845</v>
      </c>
      <c r="C30" s="8">
        <f t="shared" si="1"/>
        <v>2131</v>
      </c>
      <c r="D30" s="10">
        <v>23549</v>
      </c>
      <c r="E30" s="8">
        <f t="shared" si="0"/>
        <v>987</v>
      </c>
      <c r="F30" s="10">
        <v>203</v>
      </c>
      <c r="G30" s="12"/>
      <c r="H30" s="12"/>
      <c r="I30" s="8">
        <f t="shared" si="2"/>
        <v>3118</v>
      </c>
      <c r="J30" s="16">
        <f t="shared" si="3"/>
        <v>788.42699999999991</v>
      </c>
    </row>
    <row r="31" spans="1:10" x14ac:dyDescent="0.2">
      <c r="A31" s="5">
        <v>44528</v>
      </c>
      <c r="B31" s="10">
        <v>58976</v>
      </c>
      <c r="C31" s="8">
        <f t="shared" si="1"/>
        <v>2097</v>
      </c>
      <c r="D31" s="10">
        <v>24536</v>
      </c>
      <c r="E31" s="8">
        <f t="shared" si="0"/>
        <v>942</v>
      </c>
      <c r="F31" s="10">
        <v>203</v>
      </c>
      <c r="G31" s="12"/>
      <c r="H31" s="12"/>
      <c r="I31" s="8">
        <f t="shared" si="2"/>
        <v>3039</v>
      </c>
      <c r="J31" s="16">
        <f t="shared" si="3"/>
        <v>770.66999999999985</v>
      </c>
    </row>
    <row r="32" spans="1:10" x14ac:dyDescent="0.2">
      <c r="A32" s="5">
        <v>44529</v>
      </c>
      <c r="B32" s="10">
        <v>61073</v>
      </c>
      <c r="C32" s="8">
        <f t="shared" si="1"/>
        <v>0</v>
      </c>
      <c r="D32" s="10">
        <v>25478</v>
      </c>
      <c r="E32" s="8">
        <f t="shared" si="0"/>
        <v>0</v>
      </c>
      <c r="F32" s="10">
        <v>203</v>
      </c>
      <c r="G32" s="12"/>
      <c r="H32" s="12"/>
      <c r="I32" s="8">
        <f t="shared" si="2"/>
        <v>0</v>
      </c>
      <c r="J32" s="16">
        <f t="shared" si="3"/>
        <v>0</v>
      </c>
    </row>
    <row r="33" spans="1:10" x14ac:dyDescent="0.2">
      <c r="A33" s="5">
        <v>44530</v>
      </c>
      <c r="B33" s="10">
        <v>0</v>
      </c>
      <c r="C33" s="8">
        <f t="shared" si="1"/>
        <v>0</v>
      </c>
      <c r="D33" s="10">
        <v>774</v>
      </c>
      <c r="E33" s="8">
        <f t="shared" si="0"/>
        <v>0</v>
      </c>
      <c r="F33" s="10">
        <v>0</v>
      </c>
      <c r="G33" s="12"/>
      <c r="H33" s="12"/>
      <c r="I33" s="8">
        <f t="shared" si="2"/>
        <v>0</v>
      </c>
      <c r="J33" s="16">
        <f t="shared" si="3"/>
        <v>0</v>
      </c>
    </row>
    <row r="34" spans="1:10" x14ac:dyDescent="0.2">
      <c r="A34" s="5"/>
      <c r="B34" s="10"/>
      <c r="C34" s="8">
        <v>0</v>
      </c>
      <c r="D34" s="10"/>
      <c r="E34" s="8">
        <v>0</v>
      </c>
      <c r="F34" s="10"/>
      <c r="G34" s="12"/>
      <c r="H34" s="12"/>
      <c r="I34" s="8">
        <f t="shared" si="2"/>
        <v>0</v>
      </c>
      <c r="J34" s="16">
        <f t="shared" si="3"/>
        <v>0</v>
      </c>
    </row>
    <row r="35" spans="1:10" x14ac:dyDescent="0.2">
      <c r="A35" s="5"/>
      <c r="B35" s="65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ht="13.5" customHeight="1" x14ac:dyDescent="0.2">
      <c r="A36" s="96"/>
      <c r="B36" s="97"/>
      <c r="C36" s="9">
        <f>SUM(C4:C35)</f>
        <v>58828</v>
      </c>
      <c r="D36" s="9"/>
      <c r="E36" s="9">
        <f>SUM(E4:E35)</f>
        <v>23847</v>
      </c>
      <c r="F36" s="9">
        <f>MAX(F4:F34)</f>
        <v>203</v>
      </c>
      <c r="G36" s="11"/>
      <c r="H36" s="11"/>
      <c r="I36" s="8">
        <f>+E36+C36</f>
        <v>82675</v>
      </c>
      <c r="J36" s="16">
        <f>(C36*0.288)+(E36*0.177)</f>
        <v>21163.383000000002</v>
      </c>
    </row>
    <row r="37" spans="1:10" x14ac:dyDescent="0.2">
      <c r="A37" s="4">
        <f>COUNT(A4:A34)</f>
        <v>30</v>
      </c>
      <c r="G37" s="1"/>
      <c r="H37" t="s">
        <v>30</v>
      </c>
    </row>
    <row r="38" spans="1:10" x14ac:dyDescent="0.2">
      <c r="H38" t="s">
        <v>31</v>
      </c>
    </row>
    <row r="39" spans="1:10" ht="15.75" x14ac:dyDescent="0.25">
      <c r="A39" s="13" t="s">
        <v>29</v>
      </c>
      <c r="H39" t="s">
        <v>32</v>
      </c>
    </row>
    <row r="40" spans="1:10" x14ac:dyDescent="0.2">
      <c r="H40" t="s">
        <v>33</v>
      </c>
    </row>
  </sheetData>
  <mergeCells count="2">
    <mergeCell ref="A36:B36"/>
    <mergeCell ref="D1:F1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0"/>
  <sheetViews>
    <sheetView zoomScaleNormal="10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8.7109375" style="70" customWidth="1"/>
    <col min="9" max="9" width="19.140625" style="1" bestFit="1" customWidth="1"/>
    <col min="10" max="10" width="10.140625" style="14" bestFit="1" customWidth="1"/>
  </cols>
  <sheetData>
    <row r="1" spans="1:10" ht="20.25" x14ac:dyDescent="0.3">
      <c r="A1" s="6" t="s">
        <v>13</v>
      </c>
      <c r="D1" s="98" t="s">
        <v>14</v>
      </c>
      <c r="E1" s="98"/>
      <c r="F1" s="98"/>
    </row>
    <row r="2" spans="1:10" ht="18" x14ac:dyDescent="0.25">
      <c r="A2" s="2"/>
      <c r="B2" s="7" t="s">
        <v>15</v>
      </c>
      <c r="C2" s="7" t="s">
        <v>16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15" t="s">
        <v>21</v>
      </c>
    </row>
    <row r="3" spans="1:10" x14ac:dyDescent="0.2">
      <c r="A3" s="3"/>
      <c r="B3" s="7" t="s">
        <v>22</v>
      </c>
      <c r="C3" s="7" t="s">
        <v>22</v>
      </c>
      <c r="D3" s="7"/>
      <c r="E3" s="7" t="s">
        <v>23</v>
      </c>
      <c r="F3" s="63" t="s">
        <v>22</v>
      </c>
      <c r="G3" s="7" t="s">
        <v>24</v>
      </c>
      <c r="H3" s="71"/>
      <c r="I3" s="7" t="s">
        <v>25</v>
      </c>
      <c r="J3" s="15" t="s">
        <v>26</v>
      </c>
    </row>
    <row r="4" spans="1:10" x14ac:dyDescent="0.2">
      <c r="A4" s="5">
        <v>44501</v>
      </c>
      <c r="B4" s="10">
        <v>4458</v>
      </c>
      <c r="C4" s="8">
        <f>IF(B5-B4 &lt; 0,0,B5-B4)</f>
        <v>4298</v>
      </c>
      <c r="D4" s="10">
        <v>4200</v>
      </c>
      <c r="E4" s="8">
        <f>IF(D5-D4 &lt; 0,0,D5-D4)</f>
        <v>2577</v>
      </c>
      <c r="F4" s="10">
        <v>364</v>
      </c>
      <c r="G4" s="68">
        <v>0.5</v>
      </c>
      <c r="H4" s="72"/>
      <c r="I4" s="8">
        <f>+E4+C4</f>
        <v>6875</v>
      </c>
      <c r="J4" s="16">
        <f>(C4*0.288)+(E4*0.177)</f>
        <v>1693.9529999999997</v>
      </c>
    </row>
    <row r="5" spans="1:10" x14ac:dyDescent="0.2">
      <c r="A5" s="5">
        <v>44502</v>
      </c>
      <c r="B5" s="10">
        <v>8756</v>
      </c>
      <c r="C5" s="8">
        <f t="shared" ref="C5:C34" si="0">IF(B6-B5 &lt; 0,0,B6-B5)</f>
        <v>4409</v>
      </c>
      <c r="D5" s="10">
        <v>6777</v>
      </c>
      <c r="E5" s="8">
        <f t="shared" ref="E5:E34" si="1">IF(D6-D5 &lt; 0,0,D6-D5)</f>
        <v>2504</v>
      </c>
      <c r="F5" s="10">
        <v>383</v>
      </c>
      <c r="G5" s="68">
        <v>0.54</v>
      </c>
      <c r="H5" s="72"/>
      <c r="I5" s="8">
        <f>+E5+C5</f>
        <v>6913</v>
      </c>
      <c r="J5" s="16">
        <f t="shared" ref="J5:J35" si="2">(C5*0.288)+(E5*0.177)</f>
        <v>1713</v>
      </c>
    </row>
    <row r="6" spans="1:10" s="79" customFormat="1" ht="11.25" customHeight="1" x14ac:dyDescent="0.2">
      <c r="A6" s="74">
        <v>44503</v>
      </c>
      <c r="B6" s="75">
        <v>13165</v>
      </c>
      <c r="C6" s="76">
        <f t="shared" si="0"/>
        <v>4389</v>
      </c>
      <c r="D6" s="75">
        <v>9281</v>
      </c>
      <c r="E6" s="76">
        <f t="shared" si="1"/>
        <v>2807</v>
      </c>
      <c r="F6" s="75">
        <v>383</v>
      </c>
      <c r="G6" s="68">
        <v>0.55000000000000004</v>
      </c>
      <c r="H6" s="77" t="s">
        <v>27</v>
      </c>
      <c r="I6" s="76">
        <f>+E6+C6</f>
        <v>7196</v>
      </c>
      <c r="J6" s="78">
        <f t="shared" si="2"/>
        <v>1760.8709999999999</v>
      </c>
    </row>
    <row r="7" spans="1:10" x14ac:dyDescent="0.2">
      <c r="A7" s="5">
        <v>44504</v>
      </c>
      <c r="B7" s="10">
        <v>17554</v>
      </c>
      <c r="C7" s="8">
        <f t="shared" si="0"/>
        <v>4798</v>
      </c>
      <c r="D7" s="10">
        <v>12088</v>
      </c>
      <c r="E7" s="8">
        <f t="shared" si="1"/>
        <v>3027</v>
      </c>
      <c r="F7" s="12">
        <v>383</v>
      </c>
      <c r="G7" s="68">
        <v>0.74</v>
      </c>
      <c r="H7" s="72" t="s">
        <v>27</v>
      </c>
      <c r="I7" s="8">
        <f t="shared" ref="I7:I35" si="3">+E7+C7</f>
        <v>7825</v>
      </c>
      <c r="J7" s="16">
        <f t="shared" si="2"/>
        <v>1917.6029999999998</v>
      </c>
    </row>
    <row r="8" spans="1:10" x14ac:dyDescent="0.2">
      <c r="A8" s="5">
        <v>44505</v>
      </c>
      <c r="B8" s="10">
        <v>22352</v>
      </c>
      <c r="C8" s="8">
        <f t="shared" si="0"/>
        <v>5149</v>
      </c>
      <c r="D8" s="10">
        <v>15115</v>
      </c>
      <c r="E8" s="8">
        <f t="shared" si="1"/>
        <v>3036</v>
      </c>
      <c r="F8" s="12">
        <v>383</v>
      </c>
      <c r="G8" s="68">
        <v>0.77</v>
      </c>
      <c r="H8" s="72"/>
      <c r="I8" s="8">
        <f t="shared" si="3"/>
        <v>8185</v>
      </c>
      <c r="J8" s="16">
        <f t="shared" si="2"/>
        <v>2020.2839999999997</v>
      </c>
    </row>
    <row r="9" spans="1:10" x14ac:dyDescent="0.2">
      <c r="A9" s="5">
        <v>44506</v>
      </c>
      <c r="B9" s="10">
        <v>27501</v>
      </c>
      <c r="C9" s="8">
        <f t="shared" si="0"/>
        <v>4918</v>
      </c>
      <c r="D9" s="10">
        <v>18151</v>
      </c>
      <c r="E9" s="8">
        <f t="shared" si="1"/>
        <v>2745</v>
      </c>
      <c r="F9" s="10">
        <v>423</v>
      </c>
      <c r="G9" s="68">
        <v>0.57999999999999996</v>
      </c>
      <c r="H9" s="72"/>
      <c r="I9" s="8">
        <f t="shared" si="3"/>
        <v>7663</v>
      </c>
      <c r="J9" s="16">
        <f t="shared" si="2"/>
        <v>1902.2489999999998</v>
      </c>
    </row>
    <row r="10" spans="1:10" x14ac:dyDescent="0.2">
      <c r="A10" s="5">
        <v>44507</v>
      </c>
      <c r="B10" s="10">
        <v>32419</v>
      </c>
      <c r="C10" s="8">
        <f t="shared" si="0"/>
        <v>4658</v>
      </c>
      <c r="D10" s="10">
        <v>20896</v>
      </c>
      <c r="E10" s="8">
        <f t="shared" si="1"/>
        <v>2737</v>
      </c>
      <c r="F10" s="10">
        <v>423</v>
      </c>
      <c r="G10" s="69">
        <v>0.28999999999999998</v>
      </c>
      <c r="H10" s="72"/>
      <c r="I10" s="8">
        <f t="shared" si="3"/>
        <v>7395</v>
      </c>
      <c r="J10" s="16">
        <f t="shared" si="2"/>
        <v>1825.953</v>
      </c>
    </row>
    <row r="11" spans="1:10" x14ac:dyDescent="0.2">
      <c r="A11" s="5">
        <v>44508</v>
      </c>
      <c r="B11" s="10">
        <v>37077</v>
      </c>
      <c r="C11" s="8">
        <f t="shared" si="0"/>
        <v>4260</v>
      </c>
      <c r="D11" s="10">
        <v>23633</v>
      </c>
      <c r="E11" s="8">
        <f t="shared" si="1"/>
        <v>2375</v>
      </c>
      <c r="F11" s="10">
        <v>423</v>
      </c>
      <c r="G11" s="68">
        <v>0.3</v>
      </c>
      <c r="H11" s="72"/>
      <c r="I11" s="8">
        <f t="shared" si="3"/>
        <v>6635</v>
      </c>
      <c r="J11" s="16">
        <f t="shared" si="2"/>
        <v>1647.2549999999999</v>
      </c>
    </row>
    <row r="12" spans="1:10" x14ac:dyDescent="0.2">
      <c r="A12" s="5">
        <v>44509</v>
      </c>
      <c r="B12" s="10">
        <v>41337</v>
      </c>
      <c r="C12" s="8">
        <f t="shared" si="0"/>
        <v>3759</v>
      </c>
      <c r="D12" s="10">
        <v>26008</v>
      </c>
      <c r="E12" s="8">
        <f t="shared" si="1"/>
        <v>2525</v>
      </c>
      <c r="F12" s="10">
        <v>423</v>
      </c>
      <c r="G12" s="68">
        <v>0.26</v>
      </c>
      <c r="H12" s="72"/>
      <c r="I12" s="8">
        <f t="shared" si="3"/>
        <v>6284</v>
      </c>
      <c r="J12" s="16">
        <f t="shared" si="2"/>
        <v>1529.5169999999998</v>
      </c>
    </row>
    <row r="13" spans="1:10" x14ac:dyDescent="0.2">
      <c r="A13" s="5">
        <v>44510</v>
      </c>
      <c r="B13" s="10">
        <v>45096</v>
      </c>
      <c r="C13" s="8">
        <f t="shared" si="0"/>
        <v>3678</v>
      </c>
      <c r="D13" s="10">
        <v>28533</v>
      </c>
      <c r="E13" s="8">
        <f t="shared" si="1"/>
        <v>2486</v>
      </c>
      <c r="F13" s="10">
        <v>423</v>
      </c>
      <c r="G13" s="68">
        <v>0.41</v>
      </c>
      <c r="H13" s="72"/>
      <c r="I13" s="8">
        <f t="shared" si="3"/>
        <v>6164</v>
      </c>
      <c r="J13" s="16">
        <f t="shared" si="2"/>
        <v>1499.2859999999998</v>
      </c>
    </row>
    <row r="14" spans="1:10" x14ac:dyDescent="0.2">
      <c r="A14" s="5">
        <v>44511</v>
      </c>
      <c r="B14" s="10">
        <v>48774</v>
      </c>
      <c r="C14" s="8">
        <f t="shared" si="0"/>
        <v>3387</v>
      </c>
      <c r="D14" s="10">
        <v>31019</v>
      </c>
      <c r="E14" s="8">
        <f t="shared" si="1"/>
        <v>2123</v>
      </c>
      <c r="F14" s="10">
        <v>423</v>
      </c>
      <c r="G14" s="68">
        <v>0.35</v>
      </c>
      <c r="H14" s="72"/>
      <c r="I14" s="8">
        <f t="shared" si="3"/>
        <v>5510</v>
      </c>
      <c r="J14" s="16">
        <f t="shared" si="2"/>
        <v>1351.2269999999999</v>
      </c>
    </row>
    <row r="15" spans="1:10" x14ac:dyDescent="0.2">
      <c r="A15" s="5">
        <v>44512</v>
      </c>
      <c r="B15" s="10">
        <v>52161</v>
      </c>
      <c r="C15" s="8">
        <f t="shared" si="0"/>
        <v>3238</v>
      </c>
      <c r="D15" s="10">
        <v>33142</v>
      </c>
      <c r="E15" s="8">
        <f t="shared" si="1"/>
        <v>2016</v>
      </c>
      <c r="F15" s="10">
        <v>423</v>
      </c>
      <c r="G15" s="68">
        <v>0.28000000000000003</v>
      </c>
      <c r="H15" s="72"/>
      <c r="I15" s="8">
        <f t="shared" si="3"/>
        <v>5254</v>
      </c>
      <c r="J15" s="16">
        <f t="shared" si="2"/>
        <v>1289.376</v>
      </c>
    </row>
    <row r="16" spans="1:10" x14ac:dyDescent="0.2">
      <c r="A16" s="5">
        <v>44513</v>
      </c>
      <c r="B16" s="10">
        <v>55399</v>
      </c>
      <c r="C16" s="8">
        <f t="shared" si="0"/>
        <v>3208</v>
      </c>
      <c r="D16" s="10">
        <v>35158</v>
      </c>
      <c r="E16" s="8">
        <f t="shared" si="1"/>
        <v>1994</v>
      </c>
      <c r="F16" s="10">
        <v>423</v>
      </c>
      <c r="G16" s="68">
        <v>0.18</v>
      </c>
      <c r="H16" s="72"/>
      <c r="I16" s="8">
        <f t="shared" si="3"/>
        <v>5202</v>
      </c>
      <c r="J16" s="16">
        <f t="shared" si="2"/>
        <v>1276.8419999999999</v>
      </c>
    </row>
    <row r="17" spans="1:10" x14ac:dyDescent="0.2">
      <c r="A17" s="5">
        <v>44514</v>
      </c>
      <c r="B17" s="10">
        <v>58607</v>
      </c>
      <c r="C17" s="8">
        <f t="shared" si="0"/>
        <v>3528</v>
      </c>
      <c r="D17" s="10">
        <v>37152</v>
      </c>
      <c r="E17" s="8">
        <f t="shared" si="1"/>
        <v>2136</v>
      </c>
      <c r="F17" s="10">
        <v>423</v>
      </c>
      <c r="G17" s="68">
        <v>0.38</v>
      </c>
      <c r="H17" s="72"/>
      <c r="I17" s="8">
        <f t="shared" si="3"/>
        <v>5664</v>
      </c>
      <c r="J17" s="16">
        <f t="shared" si="2"/>
        <v>1394.136</v>
      </c>
    </row>
    <row r="18" spans="1:10" x14ac:dyDescent="0.2">
      <c r="A18" s="5">
        <v>44515</v>
      </c>
      <c r="B18" s="10">
        <v>62135</v>
      </c>
      <c r="C18" s="8">
        <f t="shared" si="0"/>
        <v>3709</v>
      </c>
      <c r="D18" s="10">
        <v>39288</v>
      </c>
      <c r="E18" s="8">
        <f t="shared" si="1"/>
        <v>2296</v>
      </c>
      <c r="F18" s="10">
        <v>423</v>
      </c>
      <c r="G18" s="68">
        <v>0.34</v>
      </c>
      <c r="H18" s="72"/>
      <c r="I18" s="8">
        <f t="shared" si="3"/>
        <v>6005</v>
      </c>
      <c r="J18" s="16">
        <f t="shared" si="2"/>
        <v>1474.5840000000001</v>
      </c>
    </row>
    <row r="19" spans="1:10" x14ac:dyDescent="0.2">
      <c r="A19" s="5">
        <v>44516</v>
      </c>
      <c r="B19" s="10">
        <v>65844</v>
      </c>
      <c r="C19" s="8">
        <f t="shared" si="0"/>
        <v>3698</v>
      </c>
      <c r="D19" s="10">
        <v>41584</v>
      </c>
      <c r="E19" s="8">
        <f t="shared" si="1"/>
        <v>2286</v>
      </c>
      <c r="F19" s="10">
        <v>423</v>
      </c>
      <c r="G19" s="68">
        <v>0.41</v>
      </c>
      <c r="H19" s="72"/>
      <c r="I19" s="8">
        <f t="shared" si="3"/>
        <v>5984</v>
      </c>
      <c r="J19" s="16">
        <f t="shared" si="2"/>
        <v>1469.6459999999997</v>
      </c>
    </row>
    <row r="20" spans="1:10" x14ac:dyDescent="0.2">
      <c r="A20" s="5">
        <v>44517</v>
      </c>
      <c r="B20" s="10">
        <v>69542</v>
      </c>
      <c r="C20" s="8">
        <f t="shared" si="0"/>
        <v>3648</v>
      </c>
      <c r="D20" s="10">
        <v>43870</v>
      </c>
      <c r="E20" s="8">
        <f t="shared" si="1"/>
        <v>2286</v>
      </c>
      <c r="F20" s="10">
        <v>423</v>
      </c>
      <c r="G20" s="68">
        <v>0.47</v>
      </c>
      <c r="H20" s="72"/>
      <c r="I20" s="8">
        <f t="shared" si="3"/>
        <v>5934</v>
      </c>
      <c r="J20" s="16">
        <f t="shared" si="2"/>
        <v>1455.2460000000001</v>
      </c>
    </row>
    <row r="21" spans="1:10" x14ac:dyDescent="0.2">
      <c r="A21" s="5">
        <v>44518</v>
      </c>
      <c r="B21" s="10">
        <v>73190</v>
      </c>
      <c r="C21" s="8">
        <f t="shared" si="0"/>
        <v>3650</v>
      </c>
      <c r="D21" s="10">
        <v>46156</v>
      </c>
      <c r="E21" s="8">
        <f t="shared" si="1"/>
        <v>2114</v>
      </c>
      <c r="F21" s="10">
        <v>423</v>
      </c>
      <c r="G21" s="68">
        <v>0.42</v>
      </c>
      <c r="H21" s="72"/>
      <c r="I21" s="8">
        <f t="shared" si="3"/>
        <v>5764</v>
      </c>
      <c r="J21" s="16">
        <f t="shared" si="2"/>
        <v>1425.3779999999997</v>
      </c>
    </row>
    <row r="22" spans="1:10" x14ac:dyDescent="0.2">
      <c r="A22" s="5">
        <v>44519</v>
      </c>
      <c r="B22" s="10">
        <v>76840</v>
      </c>
      <c r="C22" s="8">
        <f t="shared" si="0"/>
        <v>3568</v>
      </c>
      <c r="D22" s="10">
        <v>48270</v>
      </c>
      <c r="E22" s="8">
        <f t="shared" si="1"/>
        <v>2308</v>
      </c>
      <c r="F22" s="10">
        <v>423</v>
      </c>
      <c r="G22" s="68">
        <v>0.4</v>
      </c>
      <c r="H22" s="72"/>
      <c r="I22" s="8">
        <f t="shared" si="3"/>
        <v>5876</v>
      </c>
      <c r="J22" s="16">
        <f t="shared" si="2"/>
        <v>1436.1</v>
      </c>
    </row>
    <row r="23" spans="1:10" x14ac:dyDescent="0.2">
      <c r="A23" s="5">
        <v>44520</v>
      </c>
      <c r="B23" s="10">
        <v>80408</v>
      </c>
      <c r="C23" s="8">
        <f t="shared" si="0"/>
        <v>3828</v>
      </c>
      <c r="D23" s="10">
        <v>50578</v>
      </c>
      <c r="E23" s="8">
        <f t="shared" si="1"/>
        <v>2264</v>
      </c>
      <c r="F23" s="10">
        <v>423</v>
      </c>
      <c r="G23" s="68">
        <v>0.4</v>
      </c>
      <c r="H23" s="72"/>
      <c r="I23" s="8">
        <f t="shared" si="3"/>
        <v>6092</v>
      </c>
      <c r="J23" s="16">
        <f t="shared" si="2"/>
        <v>1503.192</v>
      </c>
    </row>
    <row r="24" spans="1:10" x14ac:dyDescent="0.2">
      <c r="A24" s="5">
        <v>44521</v>
      </c>
      <c r="B24" s="10">
        <v>84236</v>
      </c>
      <c r="C24" s="8">
        <f>IF(B25-B24 &lt; 0,0,B25-B24)</f>
        <v>4220</v>
      </c>
      <c r="D24" s="10">
        <v>52842</v>
      </c>
      <c r="E24" s="8">
        <f t="shared" si="1"/>
        <v>2697</v>
      </c>
      <c r="F24" s="10">
        <v>423</v>
      </c>
      <c r="G24" s="68">
        <v>0.38</v>
      </c>
      <c r="H24" s="72"/>
      <c r="I24" s="8">
        <f t="shared" si="3"/>
        <v>6917</v>
      </c>
      <c r="J24" s="16">
        <f t="shared" si="2"/>
        <v>1692.7289999999998</v>
      </c>
    </row>
    <row r="25" spans="1:10" x14ac:dyDescent="0.2">
      <c r="A25" s="5">
        <v>44522</v>
      </c>
      <c r="B25" s="64">
        <v>88456</v>
      </c>
      <c r="C25" s="8">
        <f>IF(B26-B25 &lt; 0,0,B26-B25)</f>
        <v>3908</v>
      </c>
      <c r="D25" s="10">
        <v>55539</v>
      </c>
      <c r="E25" s="8">
        <f t="shared" si="1"/>
        <v>2466</v>
      </c>
      <c r="F25" s="10">
        <v>423</v>
      </c>
      <c r="G25" s="68">
        <v>0.45</v>
      </c>
      <c r="H25" s="72"/>
      <c r="I25" s="8">
        <f t="shared" si="3"/>
        <v>6374</v>
      </c>
      <c r="J25" s="16">
        <f t="shared" si="2"/>
        <v>1561.9859999999999</v>
      </c>
    </row>
    <row r="26" spans="1:10" x14ac:dyDescent="0.2">
      <c r="A26" s="5">
        <v>44523</v>
      </c>
      <c r="B26" s="10">
        <v>92364</v>
      </c>
      <c r="C26" s="8">
        <f t="shared" si="0"/>
        <v>3819</v>
      </c>
      <c r="D26" s="10">
        <v>58005</v>
      </c>
      <c r="E26" s="8">
        <f t="shared" si="1"/>
        <v>2474</v>
      </c>
      <c r="F26" s="10">
        <v>423</v>
      </c>
      <c r="G26" s="92">
        <v>0.37</v>
      </c>
      <c r="H26" s="73"/>
      <c r="I26" s="8">
        <f t="shared" si="3"/>
        <v>6293</v>
      </c>
      <c r="J26" s="16">
        <f t="shared" si="2"/>
        <v>1537.7699999999998</v>
      </c>
    </row>
    <row r="27" spans="1:10" x14ac:dyDescent="0.2">
      <c r="A27" s="5">
        <v>44524</v>
      </c>
      <c r="B27" s="10">
        <v>96183</v>
      </c>
      <c r="C27" s="8">
        <f>IF(B28-B27 &lt; 0,0,B28-B27)</f>
        <v>4350</v>
      </c>
      <c r="D27" s="10">
        <v>60479</v>
      </c>
      <c r="E27" s="8">
        <f t="shared" si="1"/>
        <v>1842</v>
      </c>
      <c r="F27" s="10">
        <v>423</v>
      </c>
      <c r="G27" s="68">
        <v>0.53</v>
      </c>
      <c r="H27" s="72"/>
      <c r="I27" s="8">
        <f t="shared" si="3"/>
        <v>6192</v>
      </c>
      <c r="J27" s="16">
        <f t="shared" si="2"/>
        <v>1578.8339999999998</v>
      </c>
    </row>
    <row r="28" spans="1:10" x14ac:dyDescent="0.2">
      <c r="A28" s="5">
        <v>44525</v>
      </c>
      <c r="B28" s="10">
        <v>100533</v>
      </c>
      <c r="C28" s="8">
        <f t="shared" si="0"/>
        <v>3817</v>
      </c>
      <c r="D28" s="10">
        <v>62321</v>
      </c>
      <c r="E28" s="8">
        <f t="shared" si="1"/>
        <v>3248</v>
      </c>
      <c r="F28" s="10">
        <v>423</v>
      </c>
      <c r="G28" s="68">
        <v>0.52</v>
      </c>
      <c r="H28" s="72"/>
      <c r="I28" s="8">
        <f t="shared" si="3"/>
        <v>7065</v>
      </c>
      <c r="J28" s="16">
        <f t="shared" si="2"/>
        <v>1674.1919999999998</v>
      </c>
    </row>
    <row r="29" spans="1:10" x14ac:dyDescent="0.2">
      <c r="A29" s="5">
        <v>44526</v>
      </c>
      <c r="B29" s="10">
        <v>104350</v>
      </c>
      <c r="C29" s="8">
        <f t="shared" si="0"/>
        <v>4017</v>
      </c>
      <c r="D29" s="10">
        <v>65569</v>
      </c>
      <c r="E29" s="8">
        <f t="shared" si="1"/>
        <v>2434</v>
      </c>
      <c r="F29" s="10">
        <v>423</v>
      </c>
      <c r="G29" s="12"/>
      <c r="H29" s="72"/>
      <c r="I29" s="8">
        <f t="shared" si="3"/>
        <v>6451</v>
      </c>
      <c r="J29" s="16">
        <f t="shared" si="2"/>
        <v>1587.7139999999999</v>
      </c>
    </row>
    <row r="30" spans="1:10" x14ac:dyDescent="0.2">
      <c r="A30" s="5">
        <v>44527</v>
      </c>
      <c r="B30" s="10">
        <v>108367</v>
      </c>
      <c r="C30" s="8">
        <f t="shared" si="0"/>
        <v>3339</v>
      </c>
      <c r="D30" s="10">
        <v>68003</v>
      </c>
      <c r="E30" s="8">
        <f t="shared" si="1"/>
        <v>1975</v>
      </c>
      <c r="F30" s="10">
        <v>423</v>
      </c>
      <c r="G30" s="12"/>
      <c r="H30" s="72"/>
      <c r="I30" s="8">
        <f t="shared" si="3"/>
        <v>5314</v>
      </c>
      <c r="J30" s="16">
        <f t="shared" si="2"/>
        <v>1311.2069999999999</v>
      </c>
    </row>
    <row r="31" spans="1:10" x14ac:dyDescent="0.2">
      <c r="A31" s="5">
        <v>44528</v>
      </c>
      <c r="B31" s="10">
        <v>111706</v>
      </c>
      <c r="C31" s="8">
        <f t="shared" si="0"/>
        <v>3269</v>
      </c>
      <c r="D31" s="10">
        <v>69978</v>
      </c>
      <c r="E31" s="8">
        <f t="shared" si="1"/>
        <v>2125</v>
      </c>
      <c r="F31" s="10">
        <v>423</v>
      </c>
      <c r="G31" s="12"/>
      <c r="H31" s="72"/>
      <c r="I31" s="8">
        <f t="shared" si="3"/>
        <v>5394</v>
      </c>
      <c r="J31" s="16">
        <f t="shared" si="2"/>
        <v>1317.597</v>
      </c>
    </row>
    <row r="32" spans="1:10" x14ac:dyDescent="0.2">
      <c r="A32" s="5">
        <v>44529</v>
      </c>
      <c r="B32" s="10">
        <v>114975</v>
      </c>
      <c r="C32" s="8">
        <f t="shared" si="0"/>
        <v>0</v>
      </c>
      <c r="D32" s="10">
        <v>72103</v>
      </c>
      <c r="E32" s="8">
        <f t="shared" si="1"/>
        <v>0</v>
      </c>
      <c r="F32" s="10">
        <v>423</v>
      </c>
      <c r="G32" s="12"/>
      <c r="H32" s="72"/>
      <c r="I32" s="8">
        <f t="shared" si="3"/>
        <v>0</v>
      </c>
      <c r="J32" s="16">
        <f t="shared" si="2"/>
        <v>0</v>
      </c>
    </row>
    <row r="33" spans="1:10" x14ac:dyDescent="0.2">
      <c r="A33" s="5">
        <v>44530</v>
      </c>
      <c r="B33" s="10"/>
      <c r="C33" s="8">
        <f t="shared" si="0"/>
        <v>0</v>
      </c>
      <c r="D33" s="10"/>
      <c r="E33" s="8">
        <f t="shared" si="1"/>
        <v>0</v>
      </c>
      <c r="F33" s="10"/>
      <c r="G33" s="12"/>
      <c r="H33" s="72"/>
      <c r="I33" s="8">
        <f t="shared" si="3"/>
        <v>0</v>
      </c>
      <c r="J33" s="16">
        <f t="shared" si="2"/>
        <v>0</v>
      </c>
    </row>
    <row r="34" spans="1:10" x14ac:dyDescent="0.2">
      <c r="A34" s="5"/>
      <c r="B34" s="10"/>
      <c r="C34" s="8">
        <f t="shared" si="0"/>
        <v>0</v>
      </c>
      <c r="D34" s="10"/>
      <c r="E34" s="8">
        <f t="shared" si="1"/>
        <v>0</v>
      </c>
      <c r="F34" s="10"/>
      <c r="G34" s="12"/>
      <c r="H34" s="72"/>
      <c r="I34" s="8">
        <f t="shared" si="3"/>
        <v>0</v>
      </c>
      <c r="J34" s="16">
        <f t="shared" si="2"/>
        <v>0</v>
      </c>
    </row>
    <row r="35" spans="1:10" x14ac:dyDescent="0.2">
      <c r="A35" s="5"/>
      <c r="B35" s="65"/>
      <c r="C35" s="8"/>
      <c r="D35" s="10"/>
      <c r="E35" s="8"/>
      <c r="F35" s="10"/>
      <c r="G35" s="12"/>
      <c r="H35" s="72"/>
      <c r="I35" s="8">
        <f t="shared" si="3"/>
        <v>0</v>
      </c>
      <c r="J35" s="16">
        <f t="shared" si="2"/>
        <v>0</v>
      </c>
    </row>
    <row r="36" spans="1:10" x14ac:dyDescent="0.2">
      <c r="A36" s="96"/>
      <c r="B36" s="97"/>
      <c r="C36" s="9">
        <f>SUM(C4:C35)</f>
        <v>110517</v>
      </c>
      <c r="D36" s="9"/>
      <c r="E36" s="9">
        <f>SUM(E4:E35)</f>
        <v>67903</v>
      </c>
      <c r="F36" s="9">
        <f>MAX(F4:F34)</f>
        <v>423</v>
      </c>
      <c r="G36" s="11"/>
      <c r="H36" s="71"/>
      <c r="I36" s="8">
        <f>+E36+C36</f>
        <v>178420</v>
      </c>
      <c r="J36" s="16">
        <f>(C36*0.288)+(E36*0.177)</f>
        <v>43847.726999999999</v>
      </c>
    </row>
    <row r="37" spans="1:10" x14ac:dyDescent="0.2">
      <c r="A37" s="4">
        <f>COUNT(A4:A34)</f>
        <v>30</v>
      </c>
      <c r="G37" s="1"/>
    </row>
    <row r="38" spans="1:10" x14ac:dyDescent="0.2">
      <c r="H38" s="70" t="s">
        <v>31</v>
      </c>
    </row>
    <row r="39" spans="1:10" ht="15.75" x14ac:dyDescent="0.25">
      <c r="A39" s="13" t="s">
        <v>29</v>
      </c>
      <c r="H39" s="70" t="s">
        <v>32</v>
      </c>
    </row>
    <row r="40" spans="1:10" x14ac:dyDescent="0.2">
      <c r="H40" s="70" t="s">
        <v>33</v>
      </c>
    </row>
  </sheetData>
  <mergeCells count="2">
    <mergeCell ref="A36:B36"/>
    <mergeCell ref="D1:F1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8"/>
  <sheetViews>
    <sheetView zoomScale="90" zoomScaleNormal="9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</cols>
  <sheetData>
    <row r="1" spans="1:9" ht="20.25" x14ac:dyDescent="0.3">
      <c r="A1" s="6" t="s">
        <v>34</v>
      </c>
      <c r="D1" s="98" t="s">
        <v>14</v>
      </c>
      <c r="E1" s="98"/>
      <c r="F1" s="98"/>
    </row>
    <row r="2" spans="1:9" ht="18" x14ac:dyDescent="0.25">
      <c r="A2" s="2"/>
      <c r="B2" s="7" t="s">
        <v>35</v>
      </c>
      <c r="C2" s="7" t="s">
        <v>36</v>
      </c>
      <c r="D2" s="7" t="s">
        <v>37</v>
      </c>
      <c r="E2" s="7" t="s">
        <v>36</v>
      </c>
      <c r="F2" s="7" t="s">
        <v>18</v>
      </c>
      <c r="G2" s="7" t="s">
        <v>19</v>
      </c>
      <c r="H2" s="7" t="s">
        <v>20</v>
      </c>
      <c r="I2" s="15" t="s">
        <v>21</v>
      </c>
    </row>
    <row r="3" spans="1:9" x14ac:dyDescent="0.2">
      <c r="A3" s="3"/>
      <c r="B3" s="7" t="s">
        <v>38</v>
      </c>
      <c r="C3" s="7" t="s">
        <v>38</v>
      </c>
      <c r="D3" s="7" t="s">
        <v>38</v>
      </c>
      <c r="E3" s="7" t="s">
        <v>38</v>
      </c>
      <c r="F3" s="7" t="s">
        <v>24</v>
      </c>
      <c r="G3" s="11"/>
      <c r="H3" s="7" t="s">
        <v>38</v>
      </c>
      <c r="I3" s="15" t="s">
        <v>26</v>
      </c>
    </row>
    <row r="4" spans="1:9" x14ac:dyDescent="0.2">
      <c r="A4" s="5">
        <v>44501</v>
      </c>
      <c r="B4" s="10">
        <v>113585</v>
      </c>
      <c r="C4" s="8">
        <f t="shared" ref="C4:C6" si="0">IF(B5-B4&lt;0,0,B5-B4)</f>
        <v>1144</v>
      </c>
      <c r="D4" s="10">
        <v>1080</v>
      </c>
      <c r="E4" s="8">
        <f t="shared" ref="E4:E6" si="1">IF(D5-D4&lt;0,0,D5-D4)</f>
        <v>6</v>
      </c>
      <c r="F4" s="68">
        <v>0.5</v>
      </c>
      <c r="G4" s="12"/>
      <c r="H4" s="8">
        <f>+E4+C4</f>
        <v>1150</v>
      </c>
      <c r="I4" s="16">
        <f>(C4*1.35)+(E4*1.35)</f>
        <v>1552.5</v>
      </c>
    </row>
    <row r="5" spans="1:9" x14ac:dyDescent="0.2">
      <c r="A5" s="5">
        <v>44502</v>
      </c>
      <c r="B5" s="10">
        <v>114729</v>
      </c>
      <c r="C5" s="8">
        <f t="shared" si="0"/>
        <v>1090</v>
      </c>
      <c r="D5" s="10">
        <v>1086</v>
      </c>
      <c r="E5" s="8">
        <f t="shared" si="1"/>
        <v>6</v>
      </c>
      <c r="F5" s="68">
        <v>0.54</v>
      </c>
      <c r="G5" s="12"/>
      <c r="H5" s="8">
        <f t="shared" ref="H5:H34" si="2">+E5+C5</f>
        <v>1096</v>
      </c>
      <c r="I5" s="16">
        <f t="shared" ref="I5:I34" si="3">(C5*1.35)+(E5*1.35)</f>
        <v>1479.6</v>
      </c>
    </row>
    <row r="6" spans="1:9" x14ac:dyDescent="0.2">
      <c r="A6" s="5">
        <v>44503</v>
      </c>
      <c r="B6" s="10">
        <v>115819</v>
      </c>
      <c r="C6" s="8">
        <f t="shared" si="0"/>
        <v>1136</v>
      </c>
      <c r="D6" s="10">
        <v>1092</v>
      </c>
      <c r="E6" s="8">
        <f t="shared" si="1"/>
        <v>19</v>
      </c>
      <c r="F6" s="68">
        <v>0.55000000000000004</v>
      </c>
      <c r="G6" s="12" t="s">
        <v>27</v>
      </c>
      <c r="H6" s="8">
        <f t="shared" si="2"/>
        <v>1155</v>
      </c>
      <c r="I6" s="16">
        <f>(C6*1.35)+(E6*1.35)</f>
        <v>1559.2500000000002</v>
      </c>
    </row>
    <row r="7" spans="1:9" x14ac:dyDescent="0.2">
      <c r="A7" s="5">
        <v>44504</v>
      </c>
      <c r="B7" s="10">
        <v>116955</v>
      </c>
      <c r="C7" s="8">
        <f>IF(B8-B7&lt;0,0,B8-B7)</f>
        <v>1197</v>
      </c>
      <c r="D7" s="10">
        <v>1111</v>
      </c>
      <c r="E7" s="8">
        <f>IF(D8-D7&lt;0,0,D8-D7)</f>
        <v>19</v>
      </c>
      <c r="F7" s="68">
        <v>0.74</v>
      </c>
      <c r="G7" s="12" t="s">
        <v>27</v>
      </c>
      <c r="H7" s="8">
        <f t="shared" si="2"/>
        <v>1216</v>
      </c>
      <c r="I7" s="16">
        <f t="shared" si="3"/>
        <v>1641.6000000000001</v>
      </c>
    </row>
    <row r="8" spans="1:9" x14ac:dyDescent="0.2">
      <c r="A8" s="5">
        <v>44505</v>
      </c>
      <c r="B8" s="10">
        <v>118152</v>
      </c>
      <c r="C8" s="8">
        <f>IF(B9-B8&lt;0,0,B9-B8)</f>
        <v>1163</v>
      </c>
      <c r="D8" s="10">
        <v>1130</v>
      </c>
      <c r="E8" s="8">
        <f>IF(D9-D8&lt;0,0,D9-D8)</f>
        <v>24</v>
      </c>
      <c r="F8" s="68">
        <v>0.77</v>
      </c>
      <c r="G8" s="12"/>
      <c r="H8" s="8">
        <f t="shared" si="2"/>
        <v>1187</v>
      </c>
      <c r="I8" s="16">
        <f t="shared" si="3"/>
        <v>1602.4500000000003</v>
      </c>
    </row>
    <row r="9" spans="1:9" x14ac:dyDescent="0.2">
      <c r="A9" s="5">
        <v>44506</v>
      </c>
      <c r="B9" s="10">
        <v>119315</v>
      </c>
      <c r="C9" s="8">
        <f t="shared" ref="C9:C34" si="4">IF(B10-B9&lt;0,0,B10-B9)</f>
        <v>1098</v>
      </c>
      <c r="D9" s="10">
        <v>1154</v>
      </c>
      <c r="E9" s="8">
        <f t="shared" ref="E9:E34" si="5">IF(D10-D9&lt;0,0,D10-D9)</f>
        <v>1</v>
      </c>
      <c r="F9" s="68">
        <v>0.57999999999999996</v>
      </c>
      <c r="G9" s="12"/>
      <c r="H9" s="8">
        <f t="shared" si="2"/>
        <v>1099</v>
      </c>
      <c r="I9" s="16">
        <f t="shared" si="3"/>
        <v>1483.65</v>
      </c>
    </row>
    <row r="10" spans="1:9" x14ac:dyDescent="0.2">
      <c r="A10" s="5">
        <v>44507</v>
      </c>
      <c r="B10" s="10">
        <v>120413</v>
      </c>
      <c r="C10" s="8">
        <f t="shared" si="4"/>
        <v>1049</v>
      </c>
      <c r="D10" s="10">
        <v>1155</v>
      </c>
      <c r="E10" s="8">
        <f t="shared" si="5"/>
        <v>2</v>
      </c>
      <c r="F10" s="69">
        <v>0.28999999999999998</v>
      </c>
      <c r="G10" s="12"/>
      <c r="H10" s="8">
        <f t="shared" si="2"/>
        <v>1051</v>
      </c>
      <c r="I10" s="16">
        <f t="shared" si="3"/>
        <v>1418.8500000000001</v>
      </c>
    </row>
    <row r="11" spans="1:9" x14ac:dyDescent="0.2">
      <c r="A11" s="5">
        <v>44508</v>
      </c>
      <c r="B11" s="10">
        <v>121462</v>
      </c>
      <c r="C11" s="8">
        <f>IF(B12-B11&lt;0,0,B12-B11)</f>
        <v>1027</v>
      </c>
      <c r="D11" s="10">
        <v>1157</v>
      </c>
      <c r="E11" s="8">
        <f t="shared" si="5"/>
        <v>6</v>
      </c>
      <c r="F11" s="68">
        <v>0.3</v>
      </c>
      <c r="G11" s="12"/>
      <c r="H11" s="8">
        <f t="shared" si="2"/>
        <v>1033</v>
      </c>
      <c r="I11" s="16">
        <f t="shared" si="3"/>
        <v>1394.55</v>
      </c>
    </row>
    <row r="12" spans="1:9" x14ac:dyDescent="0.2">
      <c r="A12" s="5">
        <v>44509</v>
      </c>
      <c r="B12" s="10">
        <v>122489</v>
      </c>
      <c r="C12" s="8">
        <f t="shared" si="4"/>
        <v>1073</v>
      </c>
      <c r="D12" s="10">
        <v>1163</v>
      </c>
      <c r="E12" s="8">
        <f t="shared" si="5"/>
        <v>7</v>
      </c>
      <c r="F12" s="68">
        <v>0.26</v>
      </c>
      <c r="G12" s="12"/>
      <c r="H12" s="8">
        <f t="shared" si="2"/>
        <v>1080</v>
      </c>
      <c r="I12" s="16">
        <f t="shared" si="3"/>
        <v>1458.0000000000002</v>
      </c>
    </row>
    <row r="13" spans="1:9" x14ac:dyDescent="0.2">
      <c r="A13" s="5">
        <v>44510</v>
      </c>
      <c r="B13" s="10">
        <v>123562</v>
      </c>
      <c r="C13" s="8">
        <f t="shared" si="4"/>
        <v>1099</v>
      </c>
      <c r="D13" s="10">
        <v>1170</v>
      </c>
      <c r="E13" s="8">
        <f t="shared" si="5"/>
        <v>12</v>
      </c>
      <c r="F13" s="68">
        <v>0.41</v>
      </c>
      <c r="G13" s="12"/>
      <c r="H13" s="8">
        <f t="shared" si="2"/>
        <v>1111</v>
      </c>
      <c r="I13" s="16">
        <f t="shared" si="3"/>
        <v>1499.8500000000001</v>
      </c>
    </row>
    <row r="14" spans="1:9" x14ac:dyDescent="0.2">
      <c r="A14" s="5">
        <v>44511</v>
      </c>
      <c r="B14" s="10">
        <v>124661</v>
      </c>
      <c r="C14" s="8">
        <f t="shared" si="4"/>
        <v>1013</v>
      </c>
      <c r="D14" s="10">
        <v>1182</v>
      </c>
      <c r="E14" s="8">
        <f t="shared" si="5"/>
        <v>8</v>
      </c>
      <c r="F14" s="68">
        <v>0.35</v>
      </c>
      <c r="G14" s="12"/>
      <c r="H14" s="8">
        <f t="shared" si="2"/>
        <v>1021</v>
      </c>
      <c r="I14" s="16">
        <f t="shared" si="3"/>
        <v>1378.3500000000001</v>
      </c>
    </row>
    <row r="15" spans="1:9" x14ac:dyDescent="0.2">
      <c r="A15" s="5">
        <v>44512</v>
      </c>
      <c r="B15" s="10">
        <v>125674</v>
      </c>
      <c r="C15" s="8">
        <f t="shared" si="4"/>
        <v>1087</v>
      </c>
      <c r="D15" s="10">
        <v>1190</v>
      </c>
      <c r="E15" s="8">
        <f t="shared" si="5"/>
        <v>8</v>
      </c>
      <c r="F15" s="68">
        <v>0.28000000000000003</v>
      </c>
      <c r="G15" s="12"/>
      <c r="H15" s="8">
        <f t="shared" si="2"/>
        <v>1095</v>
      </c>
      <c r="I15" s="16">
        <f t="shared" si="3"/>
        <v>1478.25</v>
      </c>
    </row>
    <row r="16" spans="1:9" x14ac:dyDescent="0.2">
      <c r="A16" s="5">
        <v>44513</v>
      </c>
      <c r="B16" s="10">
        <v>126761</v>
      </c>
      <c r="C16" s="8">
        <f t="shared" si="4"/>
        <v>1096</v>
      </c>
      <c r="D16" s="10">
        <v>1198</v>
      </c>
      <c r="E16" s="8">
        <f t="shared" si="5"/>
        <v>15</v>
      </c>
      <c r="F16" s="68">
        <v>0.18</v>
      </c>
      <c r="G16" s="12"/>
      <c r="H16" s="8">
        <f t="shared" si="2"/>
        <v>1111</v>
      </c>
      <c r="I16" s="16">
        <f t="shared" si="3"/>
        <v>1499.8500000000001</v>
      </c>
    </row>
    <row r="17" spans="1:9" x14ac:dyDescent="0.2">
      <c r="A17" s="5">
        <v>44514</v>
      </c>
      <c r="B17" s="10">
        <v>127857</v>
      </c>
      <c r="C17" s="8">
        <f t="shared" si="4"/>
        <v>1117</v>
      </c>
      <c r="D17" s="10">
        <v>1213</v>
      </c>
      <c r="E17" s="8">
        <f t="shared" si="5"/>
        <v>5</v>
      </c>
      <c r="F17" s="68">
        <v>0.38</v>
      </c>
      <c r="G17" s="12"/>
      <c r="H17" s="8">
        <f t="shared" si="2"/>
        <v>1122</v>
      </c>
      <c r="I17" s="16">
        <f t="shared" si="3"/>
        <v>1514.7</v>
      </c>
    </row>
    <row r="18" spans="1:9" x14ac:dyDescent="0.2">
      <c r="A18" s="5">
        <v>44515</v>
      </c>
      <c r="B18" s="10">
        <v>128974</v>
      </c>
      <c r="C18" s="8">
        <f t="shared" si="4"/>
        <v>1114</v>
      </c>
      <c r="D18" s="10">
        <v>1218</v>
      </c>
      <c r="E18" s="8">
        <f t="shared" si="5"/>
        <v>3</v>
      </c>
      <c r="F18" s="68">
        <v>0.34</v>
      </c>
      <c r="G18" s="12"/>
      <c r="H18" s="8">
        <f t="shared" si="2"/>
        <v>1117</v>
      </c>
      <c r="I18" s="16">
        <f t="shared" si="3"/>
        <v>1507.95</v>
      </c>
    </row>
    <row r="19" spans="1:9" x14ac:dyDescent="0.2">
      <c r="A19" s="5">
        <v>44516</v>
      </c>
      <c r="B19" s="10">
        <v>130088</v>
      </c>
      <c r="C19" s="8">
        <f t="shared" si="4"/>
        <v>1114</v>
      </c>
      <c r="D19" s="10">
        <v>1221</v>
      </c>
      <c r="E19" s="8">
        <f t="shared" si="5"/>
        <v>1</v>
      </c>
      <c r="F19" s="68">
        <v>0.41</v>
      </c>
      <c r="G19" s="12"/>
      <c r="H19" s="8">
        <f t="shared" si="2"/>
        <v>1115</v>
      </c>
      <c r="I19" s="16">
        <f t="shared" si="3"/>
        <v>1505.25</v>
      </c>
    </row>
    <row r="20" spans="1:9" x14ac:dyDescent="0.2">
      <c r="A20" s="5">
        <v>44517</v>
      </c>
      <c r="B20" s="10">
        <v>131202</v>
      </c>
      <c r="C20" s="8">
        <f t="shared" si="4"/>
        <v>1154</v>
      </c>
      <c r="D20" s="10">
        <v>1222</v>
      </c>
      <c r="E20" s="8">
        <f t="shared" si="5"/>
        <v>2</v>
      </c>
      <c r="F20" s="68">
        <v>0.47</v>
      </c>
      <c r="G20" s="12"/>
      <c r="H20" s="8">
        <f t="shared" si="2"/>
        <v>1156</v>
      </c>
      <c r="I20" s="16">
        <f t="shared" si="3"/>
        <v>1560.6000000000001</v>
      </c>
    </row>
    <row r="21" spans="1:9" x14ac:dyDescent="0.2">
      <c r="A21" s="5">
        <v>44518</v>
      </c>
      <c r="B21" s="10">
        <v>132356</v>
      </c>
      <c r="C21" s="8">
        <f t="shared" si="4"/>
        <v>1087</v>
      </c>
      <c r="D21" s="10">
        <v>1224</v>
      </c>
      <c r="E21" s="8">
        <f t="shared" si="5"/>
        <v>2</v>
      </c>
      <c r="F21" s="68">
        <v>0.42</v>
      </c>
      <c r="G21" s="12"/>
      <c r="H21" s="8">
        <f t="shared" si="2"/>
        <v>1089</v>
      </c>
      <c r="I21" s="16">
        <f t="shared" si="3"/>
        <v>1470.15</v>
      </c>
    </row>
    <row r="22" spans="1:9" x14ac:dyDescent="0.2">
      <c r="A22" s="5">
        <v>44519</v>
      </c>
      <c r="B22" s="10">
        <v>133443</v>
      </c>
      <c r="C22" s="8">
        <f t="shared" si="4"/>
        <v>1088</v>
      </c>
      <c r="D22" s="10">
        <v>1226</v>
      </c>
      <c r="E22" s="8">
        <f t="shared" si="5"/>
        <v>1</v>
      </c>
      <c r="F22" s="68">
        <v>0.4</v>
      </c>
      <c r="G22" s="12"/>
      <c r="H22" s="8">
        <f t="shared" si="2"/>
        <v>1089</v>
      </c>
      <c r="I22" s="16">
        <f t="shared" si="3"/>
        <v>1470.15</v>
      </c>
    </row>
    <row r="23" spans="1:9" x14ac:dyDescent="0.2">
      <c r="A23" s="5">
        <v>44520</v>
      </c>
      <c r="B23" s="10">
        <v>134531</v>
      </c>
      <c r="C23" s="8">
        <f t="shared" si="4"/>
        <v>1021</v>
      </c>
      <c r="D23" s="10">
        <v>1227</v>
      </c>
      <c r="E23" s="8">
        <f t="shared" si="5"/>
        <v>1</v>
      </c>
      <c r="F23" s="68">
        <v>0.4</v>
      </c>
      <c r="G23" s="12"/>
      <c r="H23" s="8">
        <f t="shared" si="2"/>
        <v>1022</v>
      </c>
      <c r="I23" s="16">
        <f t="shared" si="3"/>
        <v>1379.7</v>
      </c>
    </row>
    <row r="24" spans="1:9" x14ac:dyDescent="0.2">
      <c r="A24" s="5">
        <v>44521</v>
      </c>
      <c r="B24" s="10">
        <v>135552</v>
      </c>
      <c r="C24" s="8">
        <f t="shared" si="4"/>
        <v>1104</v>
      </c>
      <c r="D24" s="10">
        <v>1228</v>
      </c>
      <c r="E24" s="8">
        <f t="shared" si="5"/>
        <v>22</v>
      </c>
      <c r="F24" s="68">
        <v>0.38</v>
      </c>
      <c r="G24" s="12"/>
      <c r="H24" s="8">
        <f t="shared" si="2"/>
        <v>1126</v>
      </c>
      <c r="I24" s="16">
        <f t="shared" si="3"/>
        <v>1520.1000000000001</v>
      </c>
    </row>
    <row r="25" spans="1:9" x14ac:dyDescent="0.2">
      <c r="A25" s="5">
        <v>44522</v>
      </c>
      <c r="B25" s="10">
        <v>136656</v>
      </c>
      <c r="C25" s="8">
        <f t="shared" si="4"/>
        <v>1053</v>
      </c>
      <c r="D25" s="10">
        <v>1250</v>
      </c>
      <c r="E25" s="8">
        <f t="shared" si="5"/>
        <v>8</v>
      </c>
      <c r="F25" s="68">
        <v>0.45</v>
      </c>
      <c r="G25" s="12"/>
      <c r="H25" s="8">
        <f t="shared" si="2"/>
        <v>1061</v>
      </c>
      <c r="I25" s="16">
        <f t="shared" si="3"/>
        <v>1432.3500000000001</v>
      </c>
    </row>
    <row r="26" spans="1:9" x14ac:dyDescent="0.2">
      <c r="A26" s="5">
        <v>44523</v>
      </c>
      <c r="B26" s="10">
        <v>137709</v>
      </c>
      <c r="C26" s="8">
        <f t="shared" si="4"/>
        <v>663</v>
      </c>
      <c r="D26" s="10">
        <v>1258</v>
      </c>
      <c r="E26" s="8">
        <f t="shared" si="5"/>
        <v>2</v>
      </c>
      <c r="F26" s="92">
        <v>0.37</v>
      </c>
      <c r="G26" s="12"/>
      <c r="H26" s="8">
        <f t="shared" si="2"/>
        <v>665</v>
      </c>
      <c r="I26" s="16">
        <f t="shared" si="3"/>
        <v>897.75000000000011</v>
      </c>
    </row>
    <row r="27" spans="1:9" x14ac:dyDescent="0.2">
      <c r="A27" s="5">
        <v>44524</v>
      </c>
      <c r="B27" s="10">
        <v>138372</v>
      </c>
      <c r="C27" s="8">
        <f t="shared" si="4"/>
        <v>1700</v>
      </c>
      <c r="D27" s="10">
        <v>1260</v>
      </c>
      <c r="E27" s="8">
        <f t="shared" si="5"/>
        <v>2</v>
      </c>
      <c r="F27" s="68">
        <v>0.53</v>
      </c>
      <c r="G27" s="12"/>
      <c r="H27" s="8">
        <f t="shared" si="2"/>
        <v>1702</v>
      </c>
      <c r="I27" s="16">
        <f t="shared" si="3"/>
        <v>2297.6999999999998</v>
      </c>
    </row>
    <row r="28" spans="1:9" x14ac:dyDescent="0.2">
      <c r="A28" s="5">
        <v>44525</v>
      </c>
      <c r="B28" s="10">
        <v>140072</v>
      </c>
      <c r="C28" s="8">
        <f t="shared" si="4"/>
        <v>1126</v>
      </c>
      <c r="D28" s="10">
        <v>1262</v>
      </c>
      <c r="E28" s="8">
        <f t="shared" si="5"/>
        <v>2</v>
      </c>
      <c r="F28" s="68">
        <v>0.52</v>
      </c>
      <c r="G28" s="12"/>
      <c r="H28" s="8">
        <f t="shared" si="2"/>
        <v>1128</v>
      </c>
      <c r="I28" s="16">
        <f t="shared" si="3"/>
        <v>1522.8000000000002</v>
      </c>
    </row>
    <row r="29" spans="1:9" x14ac:dyDescent="0.2">
      <c r="A29" s="5">
        <v>44526</v>
      </c>
      <c r="B29" s="10">
        <v>141198</v>
      </c>
      <c r="C29" s="8">
        <f t="shared" si="4"/>
        <v>1096</v>
      </c>
      <c r="D29" s="10">
        <v>1264</v>
      </c>
      <c r="E29" s="8">
        <f t="shared" si="5"/>
        <v>2</v>
      </c>
      <c r="F29" s="12"/>
      <c r="G29" s="12"/>
      <c r="H29" s="8">
        <f t="shared" si="2"/>
        <v>1098</v>
      </c>
      <c r="I29" s="16">
        <f t="shared" si="3"/>
        <v>1482.3000000000002</v>
      </c>
    </row>
    <row r="30" spans="1:9" x14ac:dyDescent="0.2">
      <c r="A30" s="5">
        <v>44527</v>
      </c>
      <c r="B30" s="10">
        <v>142294</v>
      </c>
      <c r="C30" s="8">
        <f t="shared" si="4"/>
        <v>1083</v>
      </c>
      <c r="D30" s="10">
        <v>1266</v>
      </c>
      <c r="E30" s="8">
        <f t="shared" si="5"/>
        <v>2</v>
      </c>
      <c r="F30" s="12"/>
      <c r="G30" s="12"/>
      <c r="H30" s="8">
        <f t="shared" si="2"/>
        <v>1085</v>
      </c>
      <c r="I30" s="16">
        <f t="shared" si="3"/>
        <v>1464.7500000000002</v>
      </c>
    </row>
    <row r="31" spans="1:9" x14ac:dyDescent="0.2">
      <c r="A31" s="5">
        <v>44528</v>
      </c>
      <c r="B31" s="10">
        <v>143377</v>
      </c>
      <c r="C31" s="8">
        <f t="shared" si="4"/>
        <v>1082</v>
      </c>
      <c r="D31" s="10">
        <v>1268</v>
      </c>
      <c r="E31" s="8">
        <f t="shared" si="5"/>
        <v>2</v>
      </c>
      <c r="F31" s="12"/>
      <c r="G31" s="12"/>
      <c r="H31" s="8">
        <f t="shared" si="2"/>
        <v>1084</v>
      </c>
      <c r="I31" s="16">
        <f t="shared" si="3"/>
        <v>1463.4</v>
      </c>
    </row>
    <row r="32" spans="1:9" x14ac:dyDescent="0.2">
      <c r="A32" s="5">
        <v>44529</v>
      </c>
      <c r="B32" s="10">
        <v>144459</v>
      </c>
      <c r="C32" s="8">
        <f t="shared" si="4"/>
        <v>963</v>
      </c>
      <c r="D32" s="10">
        <v>1270</v>
      </c>
      <c r="E32" s="8">
        <f t="shared" si="5"/>
        <v>16</v>
      </c>
      <c r="F32" s="12"/>
      <c r="G32" s="12"/>
      <c r="H32" s="8">
        <f t="shared" si="2"/>
        <v>979</v>
      </c>
      <c r="I32" s="16">
        <f t="shared" si="3"/>
        <v>1321.65</v>
      </c>
    </row>
    <row r="33" spans="1:9" x14ac:dyDescent="0.2">
      <c r="A33" s="5">
        <v>44530</v>
      </c>
      <c r="B33" s="10">
        <v>145422</v>
      </c>
      <c r="C33" s="8">
        <f t="shared" si="4"/>
        <v>0</v>
      </c>
      <c r="D33" s="10">
        <v>1286</v>
      </c>
      <c r="E33" s="8">
        <f t="shared" si="5"/>
        <v>0</v>
      </c>
      <c r="F33" s="12"/>
      <c r="G33" s="12"/>
      <c r="H33" s="8">
        <f t="shared" si="2"/>
        <v>0</v>
      </c>
      <c r="I33" s="16">
        <f t="shared" si="3"/>
        <v>0</v>
      </c>
    </row>
    <row r="34" spans="1:9" x14ac:dyDescent="0.2">
      <c r="A34" s="5"/>
      <c r="B34" s="10"/>
      <c r="C34" s="8">
        <f t="shared" si="4"/>
        <v>0</v>
      </c>
      <c r="D34" s="10"/>
      <c r="E34" s="8">
        <f t="shared" si="5"/>
        <v>0</v>
      </c>
      <c r="F34" s="12"/>
      <c r="G34" s="12"/>
      <c r="H34" s="8">
        <f t="shared" si="2"/>
        <v>0</v>
      </c>
      <c r="I34" s="16">
        <f t="shared" si="3"/>
        <v>0</v>
      </c>
    </row>
    <row r="35" spans="1:9" x14ac:dyDescent="0.2">
      <c r="A35" s="96"/>
      <c r="B35" s="97"/>
      <c r="C35" s="9">
        <f>SUM(C4:C34)</f>
        <v>31837</v>
      </c>
      <c r="D35" s="9"/>
      <c r="E35" s="9">
        <f>SUM(E4:E34)</f>
        <v>206</v>
      </c>
      <c r="F35" s="11"/>
      <c r="G35" s="11"/>
      <c r="H35" s="8">
        <f>SUM(H4:H34)</f>
        <v>32043</v>
      </c>
      <c r="I35" s="16">
        <f>SUM(I4:I34)</f>
        <v>43258.05000000001</v>
      </c>
    </row>
    <row r="36" spans="1:9" x14ac:dyDescent="0.2">
      <c r="A36" s="17"/>
      <c r="F36" s="1"/>
    </row>
    <row r="38" spans="1:9" ht="15.75" x14ac:dyDescent="0.25">
      <c r="A38" s="13" t="s">
        <v>29</v>
      </c>
    </row>
  </sheetData>
  <mergeCells count="2">
    <mergeCell ref="A35:B35"/>
    <mergeCell ref="D1:F1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7"/>
  <sheetViews>
    <sheetView zoomScale="85" workbookViewId="0">
      <selection activeCell="E1" sqref="E1:G1"/>
    </sheetView>
  </sheetViews>
  <sheetFormatPr defaultRowHeight="12.75" x14ac:dyDescent="0.2"/>
  <cols>
    <col min="1" max="1" width="14" style="4" customWidth="1"/>
    <col min="2" max="2" width="12.140625" style="1" customWidth="1"/>
    <col min="3" max="3" width="12.5703125" style="1" customWidth="1"/>
    <col min="4" max="4" width="12.5703125" customWidth="1"/>
    <col min="5" max="5" width="9.42578125" style="14" customWidth="1"/>
    <col min="6" max="6" width="14" style="40" bestFit="1" customWidth="1"/>
    <col min="7" max="7" width="16.7109375" style="40" customWidth="1"/>
    <col min="8" max="8" width="13.7109375" style="40" customWidth="1"/>
    <col min="9" max="9" width="11" style="40" customWidth="1"/>
    <col min="10" max="10" width="9" style="40" customWidth="1"/>
  </cols>
  <sheetData>
    <row r="1" spans="1:13" ht="20.25" x14ac:dyDescent="0.3">
      <c r="A1" s="6" t="s">
        <v>39</v>
      </c>
      <c r="E1" s="98" t="s">
        <v>14</v>
      </c>
      <c r="F1" s="98"/>
      <c r="G1" s="98"/>
    </row>
    <row r="2" spans="1:13" ht="26.25" x14ac:dyDescent="0.25">
      <c r="A2" s="41"/>
      <c r="B2" s="42" t="s">
        <v>40</v>
      </c>
      <c r="C2" s="42" t="s">
        <v>41</v>
      </c>
      <c r="D2" s="42" t="s">
        <v>41</v>
      </c>
      <c r="E2" s="43" t="s">
        <v>42</v>
      </c>
      <c r="F2" s="44" t="s">
        <v>43</v>
      </c>
      <c r="G2" s="42" t="s">
        <v>43</v>
      </c>
      <c r="H2" s="42" t="s">
        <v>36</v>
      </c>
      <c r="I2" s="45" t="s">
        <v>21</v>
      </c>
      <c r="J2" s="46" t="s">
        <v>44</v>
      </c>
      <c r="K2" s="47"/>
    </row>
    <row r="3" spans="1:13" x14ac:dyDescent="0.2">
      <c r="A3" s="48"/>
      <c r="B3" s="7" t="s">
        <v>45</v>
      </c>
      <c r="C3" s="7" t="s">
        <v>46</v>
      </c>
      <c r="D3" s="7" t="s">
        <v>47</v>
      </c>
      <c r="E3" s="31" t="s">
        <v>48</v>
      </c>
      <c r="F3" s="49" t="s">
        <v>46</v>
      </c>
      <c r="G3" s="7" t="s">
        <v>47</v>
      </c>
      <c r="H3" s="7" t="s">
        <v>49</v>
      </c>
      <c r="I3" s="15" t="s">
        <v>26</v>
      </c>
      <c r="J3" s="50"/>
      <c r="K3" s="47"/>
    </row>
    <row r="4" spans="1:13" x14ac:dyDescent="0.2">
      <c r="A4" s="51">
        <v>44501</v>
      </c>
      <c r="B4" s="32">
        <v>2</v>
      </c>
      <c r="C4" s="32">
        <v>8.3000000000000007</v>
      </c>
      <c r="D4" s="32">
        <v>17</v>
      </c>
      <c r="E4" s="52">
        <f>D4-C4</f>
        <v>8.6999999999999993</v>
      </c>
      <c r="F4" s="33">
        <v>1588247.6</v>
      </c>
      <c r="G4" s="34">
        <v>1588594.1</v>
      </c>
      <c r="H4" s="52">
        <f>G4-F4</f>
        <v>346.5</v>
      </c>
      <c r="I4" s="16">
        <f>(H4*[1]Summary!$C$6)</f>
        <v>984.06</v>
      </c>
      <c r="J4" s="53">
        <v>929.9</v>
      </c>
      <c r="K4" s="99" t="s">
        <v>50</v>
      </c>
      <c r="L4" s="99"/>
      <c r="M4" s="99"/>
    </row>
    <row r="5" spans="1:13" x14ac:dyDescent="0.2">
      <c r="A5" s="51">
        <v>44502</v>
      </c>
      <c r="B5" s="32">
        <v>2</v>
      </c>
      <c r="C5" s="35">
        <v>9</v>
      </c>
      <c r="D5" s="35">
        <v>17</v>
      </c>
      <c r="E5" s="52">
        <f>D5-C5</f>
        <v>8</v>
      </c>
      <c r="F5" s="33">
        <v>1588594.1</v>
      </c>
      <c r="G5" s="34">
        <v>1588850.1</v>
      </c>
      <c r="H5" s="54">
        <f t="shared" ref="H5:H33" si="0">G5-F5</f>
        <v>256</v>
      </c>
      <c r="I5" s="16">
        <f>(H5*[1]Summary!$C$6)</f>
        <v>727.04</v>
      </c>
      <c r="J5" s="67">
        <v>4800</v>
      </c>
      <c r="K5" s="40"/>
    </row>
    <row r="6" spans="1:13" x14ac:dyDescent="0.2">
      <c r="A6" s="51">
        <v>44503</v>
      </c>
      <c r="B6" s="35">
        <v>2</v>
      </c>
      <c r="C6" s="35">
        <v>8.3000000000000007</v>
      </c>
      <c r="D6" s="35">
        <v>16</v>
      </c>
      <c r="E6" s="52">
        <f t="shared" ref="E6:E33" si="1">D6-C6</f>
        <v>7.6999999999999993</v>
      </c>
      <c r="F6" s="36">
        <v>1588850.1</v>
      </c>
      <c r="G6" s="37">
        <v>1589221.4</v>
      </c>
      <c r="H6" s="54">
        <f t="shared" si="0"/>
        <v>371.29999999981374</v>
      </c>
      <c r="I6" s="16">
        <f>(H6*[1]Summary!$C$6)</f>
        <v>1054.4919999994709</v>
      </c>
      <c r="J6" s="55"/>
      <c r="K6" s="40"/>
    </row>
    <row r="7" spans="1:13" x14ac:dyDescent="0.2">
      <c r="A7" s="51">
        <v>44504</v>
      </c>
      <c r="B7" s="35">
        <v>2</v>
      </c>
      <c r="C7" s="35">
        <v>8.3000000000000007</v>
      </c>
      <c r="D7" s="35">
        <v>21</v>
      </c>
      <c r="E7" s="52">
        <f t="shared" si="1"/>
        <v>12.7</v>
      </c>
      <c r="F7" s="33">
        <v>1589221.4</v>
      </c>
      <c r="G7" s="34">
        <v>1589606.8</v>
      </c>
      <c r="H7" s="54">
        <f t="shared" si="0"/>
        <v>385.4000000001397</v>
      </c>
      <c r="I7" s="16">
        <f>(H7*[1]Summary!$C$6)</f>
        <v>1094.5360000003966</v>
      </c>
      <c r="J7" s="55"/>
      <c r="K7" s="40"/>
    </row>
    <row r="8" spans="1:13" x14ac:dyDescent="0.2">
      <c r="A8" s="51">
        <v>44505</v>
      </c>
      <c r="B8" s="32">
        <v>2</v>
      </c>
      <c r="C8" s="32">
        <v>8</v>
      </c>
      <c r="D8" s="32">
        <v>17</v>
      </c>
      <c r="E8" s="52">
        <f t="shared" si="1"/>
        <v>9</v>
      </c>
      <c r="F8" s="33">
        <v>1589606.8</v>
      </c>
      <c r="G8" s="34">
        <v>1589963</v>
      </c>
      <c r="H8" s="52">
        <f t="shared" si="0"/>
        <v>356.19999999995343</v>
      </c>
      <c r="I8" s="16">
        <f>(H8*[1]Summary!$C$6)</f>
        <v>1011.6079999998677</v>
      </c>
      <c r="J8" s="56"/>
      <c r="K8" s="40"/>
    </row>
    <row r="9" spans="1:13" x14ac:dyDescent="0.2">
      <c r="A9" s="51">
        <v>44506</v>
      </c>
      <c r="B9" s="32">
        <v>2</v>
      </c>
      <c r="C9" s="32">
        <v>8.3000000000000007</v>
      </c>
      <c r="D9" s="32">
        <v>17</v>
      </c>
      <c r="E9" s="52">
        <f t="shared" si="1"/>
        <v>8.6999999999999993</v>
      </c>
      <c r="F9" s="33">
        <v>1589963</v>
      </c>
      <c r="G9" s="38">
        <v>1590315.8</v>
      </c>
      <c r="H9" s="52">
        <f t="shared" si="0"/>
        <v>352.80000000004657</v>
      </c>
      <c r="I9" s="16">
        <f>(H9*[1]Summary!$C$6)</f>
        <v>1001.9520000001322</v>
      </c>
      <c r="J9" s="57">
        <v>-70</v>
      </c>
      <c r="K9" s="102" t="s">
        <v>51</v>
      </c>
      <c r="L9" s="102"/>
    </row>
    <row r="10" spans="1:13" x14ac:dyDescent="0.2">
      <c r="A10" s="51">
        <v>44507</v>
      </c>
      <c r="B10" s="32">
        <v>2</v>
      </c>
      <c r="C10" s="32">
        <v>8.3000000000000007</v>
      </c>
      <c r="D10" s="32">
        <v>20</v>
      </c>
      <c r="E10" s="52">
        <f t="shared" si="1"/>
        <v>11.7</v>
      </c>
      <c r="F10" s="33">
        <v>1590315.8</v>
      </c>
      <c r="G10" s="38">
        <v>1590752.8</v>
      </c>
      <c r="H10" s="52">
        <f t="shared" si="0"/>
        <v>437</v>
      </c>
      <c r="I10" s="16">
        <f>(H10*[1]Summary!$C$6)</f>
        <v>1241.08</v>
      </c>
      <c r="J10" s="57">
        <v>-70</v>
      </c>
      <c r="K10" s="102" t="s">
        <v>52</v>
      </c>
      <c r="L10" s="102"/>
    </row>
    <row r="11" spans="1:13" x14ac:dyDescent="0.2">
      <c r="A11" s="51">
        <v>44508</v>
      </c>
      <c r="B11" s="32">
        <v>2</v>
      </c>
      <c r="C11" s="35">
        <v>8.3000000000000007</v>
      </c>
      <c r="D11" s="35">
        <v>19</v>
      </c>
      <c r="E11" s="52">
        <f t="shared" si="1"/>
        <v>10.7</v>
      </c>
      <c r="F11" s="33">
        <v>1590752.8</v>
      </c>
      <c r="G11" s="38">
        <v>1591021</v>
      </c>
      <c r="H11" s="52">
        <f t="shared" si="0"/>
        <v>268.19999999995343</v>
      </c>
      <c r="I11" s="16">
        <f>(H11*[1]Summary!$C$6)</f>
        <v>761.68799999986777</v>
      </c>
      <c r="J11" s="57"/>
      <c r="K11" s="40"/>
    </row>
    <row r="12" spans="1:13" x14ac:dyDescent="0.2">
      <c r="A12" s="51">
        <v>44509</v>
      </c>
      <c r="B12" s="32">
        <v>2</v>
      </c>
      <c r="C12" s="32">
        <v>8.3000000000000007</v>
      </c>
      <c r="D12" s="32">
        <v>17.3</v>
      </c>
      <c r="E12" s="52">
        <f t="shared" si="1"/>
        <v>9</v>
      </c>
      <c r="F12" s="33">
        <v>1591021</v>
      </c>
      <c r="G12" s="38">
        <v>1591299.6</v>
      </c>
      <c r="H12" s="52">
        <f t="shared" si="0"/>
        <v>278.60000000009313</v>
      </c>
      <c r="I12" s="16">
        <f>(H12*[1]Summary!$C$6)</f>
        <v>791.22400000026448</v>
      </c>
      <c r="J12" s="57"/>
      <c r="K12" s="40"/>
    </row>
    <row r="13" spans="1:13" x14ac:dyDescent="0.2">
      <c r="A13" s="51">
        <v>44510</v>
      </c>
      <c r="B13" s="32">
        <v>2</v>
      </c>
      <c r="C13" s="32">
        <v>8.3000000000000007</v>
      </c>
      <c r="D13" s="32">
        <v>17</v>
      </c>
      <c r="E13" s="52">
        <f t="shared" si="1"/>
        <v>8.6999999999999993</v>
      </c>
      <c r="F13" s="33">
        <v>1591299.6</v>
      </c>
      <c r="G13" s="38">
        <v>1591612.9</v>
      </c>
      <c r="H13" s="52">
        <f t="shared" si="0"/>
        <v>313.29999999981374</v>
      </c>
      <c r="I13" s="16">
        <f>(H13*[1]Summary!$C$6)</f>
        <v>889.77199999947095</v>
      </c>
      <c r="J13" s="57"/>
      <c r="K13" s="40"/>
    </row>
    <row r="14" spans="1:13" x14ac:dyDescent="0.2">
      <c r="A14" s="51">
        <v>44511</v>
      </c>
      <c r="B14" s="32">
        <v>2</v>
      </c>
      <c r="C14" s="32">
        <v>9</v>
      </c>
      <c r="D14" s="32">
        <v>17.3</v>
      </c>
      <c r="E14" s="52">
        <f t="shared" si="1"/>
        <v>8.3000000000000007</v>
      </c>
      <c r="F14" s="33">
        <v>1591612.9</v>
      </c>
      <c r="G14" s="38">
        <v>1591973.1</v>
      </c>
      <c r="H14" s="52">
        <f t="shared" si="0"/>
        <v>360.20000000018626</v>
      </c>
      <c r="I14" s="16">
        <f>(H14*[1]Summary!$C$6)</f>
        <v>1022.9680000005289</v>
      </c>
      <c r="J14" s="57"/>
      <c r="K14" s="40"/>
    </row>
    <row r="15" spans="1:13" x14ac:dyDescent="0.2">
      <c r="A15" s="51">
        <v>44512</v>
      </c>
      <c r="B15" s="32">
        <v>2</v>
      </c>
      <c r="C15" s="32">
        <v>8.3000000000000007</v>
      </c>
      <c r="D15" s="32">
        <v>17.3</v>
      </c>
      <c r="E15" s="52">
        <f t="shared" si="1"/>
        <v>9</v>
      </c>
      <c r="F15" s="33">
        <v>1591973.1</v>
      </c>
      <c r="G15" s="38">
        <v>1592320.5</v>
      </c>
      <c r="H15" s="52">
        <f t="shared" si="0"/>
        <v>347.39999999990687</v>
      </c>
      <c r="I15" s="16">
        <f>(H15*[1]Summary!$C$6)</f>
        <v>986.61599999973544</v>
      </c>
      <c r="J15" s="57"/>
      <c r="K15" s="40"/>
    </row>
    <row r="16" spans="1:13" x14ac:dyDescent="0.2">
      <c r="A16" s="51">
        <v>44513</v>
      </c>
      <c r="B16" s="32">
        <v>2</v>
      </c>
      <c r="C16" s="32">
        <v>8.3000000000000007</v>
      </c>
      <c r="D16" s="32">
        <v>18</v>
      </c>
      <c r="E16" s="52">
        <f t="shared" si="1"/>
        <v>9.6999999999999993</v>
      </c>
      <c r="F16" s="33">
        <v>1591920.5</v>
      </c>
      <c r="G16" s="38">
        <v>1592288.4</v>
      </c>
      <c r="H16" s="52">
        <f>G16-F16</f>
        <v>367.89999999990687</v>
      </c>
      <c r="I16" s="16">
        <f>(H16*[1]Summary!$C$6)</f>
        <v>1044.8359999997353</v>
      </c>
      <c r="J16" s="57"/>
      <c r="K16" s="40"/>
    </row>
    <row r="17" spans="1:12" x14ac:dyDescent="0.2">
      <c r="A17" s="51">
        <v>44514</v>
      </c>
      <c r="B17" s="39">
        <v>2</v>
      </c>
      <c r="C17" s="39">
        <v>8.3000000000000007</v>
      </c>
      <c r="D17" s="39">
        <v>17</v>
      </c>
      <c r="E17" s="52">
        <f t="shared" si="1"/>
        <v>8.6999999999999993</v>
      </c>
      <c r="F17" s="33">
        <v>1592288.4</v>
      </c>
      <c r="G17" s="38">
        <v>1592518.1</v>
      </c>
      <c r="H17" s="52">
        <f t="shared" si="0"/>
        <v>229.70000000018626</v>
      </c>
      <c r="I17" s="16">
        <f>(H17*[1]Summary!$C$6)</f>
        <v>652.34800000052894</v>
      </c>
      <c r="J17" s="57"/>
      <c r="K17" s="40"/>
    </row>
    <row r="18" spans="1:12" x14ac:dyDescent="0.2">
      <c r="A18" s="51">
        <v>44515</v>
      </c>
      <c r="B18" s="39">
        <v>2</v>
      </c>
      <c r="C18" s="39">
        <v>9</v>
      </c>
      <c r="D18" s="39">
        <v>15</v>
      </c>
      <c r="E18" s="52">
        <f t="shared" si="1"/>
        <v>6</v>
      </c>
      <c r="F18" s="33">
        <v>1592518.1</v>
      </c>
      <c r="G18" s="38">
        <v>1592758.6</v>
      </c>
      <c r="H18" s="52">
        <f t="shared" si="0"/>
        <v>240.5</v>
      </c>
      <c r="I18" s="16">
        <f>(H18*[1]Summary!$C$6)</f>
        <v>683.02</v>
      </c>
      <c r="J18" s="57"/>
      <c r="K18" s="40"/>
    </row>
    <row r="19" spans="1:12" x14ac:dyDescent="0.2">
      <c r="A19" s="51">
        <v>44516</v>
      </c>
      <c r="B19" s="39">
        <v>2</v>
      </c>
      <c r="C19" s="39">
        <v>8.5</v>
      </c>
      <c r="D19" s="39">
        <v>15</v>
      </c>
      <c r="E19" s="52">
        <f t="shared" si="1"/>
        <v>6.5</v>
      </c>
      <c r="F19" s="33">
        <v>1592758.6</v>
      </c>
      <c r="G19" s="38">
        <v>1592934</v>
      </c>
      <c r="H19" s="52">
        <f t="shared" si="0"/>
        <v>175.39999999990687</v>
      </c>
      <c r="I19" s="16">
        <f>(H19*[1]Summary!$C$6)</f>
        <v>498.13599999973547</v>
      </c>
      <c r="J19" s="57">
        <v>-70</v>
      </c>
      <c r="K19" s="103" t="s">
        <v>53</v>
      </c>
      <c r="L19" s="102"/>
    </row>
    <row r="20" spans="1:12" x14ac:dyDescent="0.2">
      <c r="A20" s="51">
        <v>44517</v>
      </c>
      <c r="B20" s="39">
        <v>2</v>
      </c>
      <c r="C20" s="39">
        <v>9</v>
      </c>
      <c r="D20" s="39">
        <v>15</v>
      </c>
      <c r="E20" s="52">
        <f t="shared" si="1"/>
        <v>6</v>
      </c>
      <c r="F20" s="33">
        <v>1592934</v>
      </c>
      <c r="G20" s="38">
        <v>1593096.7</v>
      </c>
      <c r="H20" s="52">
        <f t="shared" si="0"/>
        <v>162.69999999995343</v>
      </c>
      <c r="I20" s="16">
        <f>(H20*[1]Summary!$C$6)</f>
        <v>462.06799999986771</v>
      </c>
      <c r="J20" s="57"/>
      <c r="K20" s="40"/>
    </row>
    <row r="21" spans="1:12" x14ac:dyDescent="0.2">
      <c r="A21" s="51">
        <v>44518</v>
      </c>
      <c r="B21" s="39">
        <v>2</v>
      </c>
      <c r="C21" s="39">
        <v>9</v>
      </c>
      <c r="D21" s="39">
        <v>17.3</v>
      </c>
      <c r="E21" s="52">
        <f t="shared" si="1"/>
        <v>8.3000000000000007</v>
      </c>
      <c r="F21" s="52">
        <v>1593096.7</v>
      </c>
      <c r="G21" s="38">
        <v>1593341.8</v>
      </c>
      <c r="H21" s="52">
        <f>G21-F21</f>
        <v>245.10000000009313</v>
      </c>
      <c r="I21" s="16">
        <f>(H21*[1]Summary!$C$6)</f>
        <v>696.0840000002645</v>
      </c>
      <c r="J21" s="93">
        <v>4800</v>
      </c>
      <c r="K21" s="40"/>
    </row>
    <row r="22" spans="1:12" x14ac:dyDescent="0.2">
      <c r="A22" s="51">
        <v>44519</v>
      </c>
      <c r="B22" s="39">
        <v>2</v>
      </c>
      <c r="C22" s="39">
        <v>8.3000000000000007</v>
      </c>
      <c r="D22" s="39">
        <v>18</v>
      </c>
      <c r="E22" s="52">
        <f t="shared" si="1"/>
        <v>9.6999999999999993</v>
      </c>
      <c r="F22" s="52">
        <v>1593341.8</v>
      </c>
      <c r="G22" s="38">
        <v>1593649.1</v>
      </c>
      <c r="H22" s="52">
        <f t="shared" si="0"/>
        <v>307.30000000004657</v>
      </c>
      <c r="I22" s="16">
        <f>(H22*[1]Summary!$C$6)</f>
        <v>872.73200000013219</v>
      </c>
      <c r="J22" s="57"/>
      <c r="K22" s="58"/>
    </row>
    <row r="23" spans="1:12" x14ac:dyDescent="0.2">
      <c r="A23" s="51">
        <v>44520</v>
      </c>
      <c r="B23" s="39">
        <v>2</v>
      </c>
      <c r="C23" s="39">
        <v>8.3000000000000007</v>
      </c>
      <c r="D23" s="39">
        <v>15</v>
      </c>
      <c r="E23" s="52">
        <f t="shared" si="1"/>
        <v>6.6999999999999993</v>
      </c>
      <c r="F23" s="52">
        <v>1593549.1</v>
      </c>
      <c r="G23" s="38">
        <v>1593918.5</v>
      </c>
      <c r="H23" s="52">
        <f t="shared" si="0"/>
        <v>369.39999999990687</v>
      </c>
      <c r="I23" s="16">
        <f>(H23*[1]Summary!$C$6)</f>
        <v>1049.0959999997353</v>
      </c>
      <c r="J23" s="57"/>
      <c r="K23" s="40"/>
    </row>
    <row r="24" spans="1:12" x14ac:dyDescent="0.2">
      <c r="A24" s="51">
        <v>44521</v>
      </c>
      <c r="B24" s="39">
        <v>2</v>
      </c>
      <c r="C24" s="39">
        <v>8.3000000000000007</v>
      </c>
      <c r="D24" s="39">
        <v>15.3</v>
      </c>
      <c r="E24" s="52">
        <f t="shared" si="1"/>
        <v>7</v>
      </c>
      <c r="F24" s="52">
        <v>1593918.5</v>
      </c>
      <c r="G24" s="38">
        <v>1594255.6</v>
      </c>
      <c r="H24" s="52">
        <f t="shared" si="0"/>
        <v>337.10000000009313</v>
      </c>
      <c r="I24" s="16">
        <f>(H24*[1]Summary!$C$6)</f>
        <v>957.36400000026447</v>
      </c>
      <c r="J24" s="57"/>
      <c r="K24" s="40"/>
    </row>
    <row r="25" spans="1:12" x14ac:dyDescent="0.2">
      <c r="A25" s="51">
        <v>44522</v>
      </c>
      <c r="B25" s="39">
        <v>2</v>
      </c>
      <c r="C25" s="39">
        <v>8.3000000000000007</v>
      </c>
      <c r="D25" s="39">
        <v>16</v>
      </c>
      <c r="E25" s="52">
        <f t="shared" si="1"/>
        <v>7.6999999999999993</v>
      </c>
      <c r="F25" s="33">
        <v>1594255.6</v>
      </c>
      <c r="G25" s="38">
        <v>1594556.1</v>
      </c>
      <c r="H25" s="52">
        <f t="shared" si="0"/>
        <v>300.5</v>
      </c>
      <c r="I25" s="16">
        <f>(H25*[1]Summary!$C$6)</f>
        <v>853.42</v>
      </c>
      <c r="J25" s="57"/>
      <c r="K25" s="40"/>
    </row>
    <row r="26" spans="1:12" x14ac:dyDescent="0.2">
      <c r="A26" s="51">
        <v>44523</v>
      </c>
      <c r="B26" s="39">
        <v>2</v>
      </c>
      <c r="C26" s="39">
        <v>8.3000000000000007</v>
      </c>
      <c r="D26" s="39">
        <v>16</v>
      </c>
      <c r="E26" s="52">
        <f t="shared" si="1"/>
        <v>7.6999999999999993</v>
      </c>
      <c r="F26" s="33">
        <v>1594556.1</v>
      </c>
      <c r="G26" s="38">
        <v>1594858.8</v>
      </c>
      <c r="H26" s="52">
        <f t="shared" si="0"/>
        <v>302.69999999995343</v>
      </c>
      <c r="I26" s="16">
        <f>(H26*[1]Summary!$C$6)</f>
        <v>859.66799999986767</v>
      </c>
      <c r="J26" s="57"/>
      <c r="K26" s="40"/>
    </row>
    <row r="27" spans="1:12" x14ac:dyDescent="0.2">
      <c r="A27" s="51">
        <v>44524</v>
      </c>
      <c r="B27" s="39">
        <v>2</v>
      </c>
      <c r="C27" s="39">
        <v>8.4499999999999993</v>
      </c>
      <c r="D27" s="39">
        <v>18</v>
      </c>
      <c r="E27" s="52">
        <f t="shared" si="1"/>
        <v>9.5500000000000007</v>
      </c>
      <c r="F27" s="33">
        <v>1594558.8</v>
      </c>
      <c r="G27" s="38">
        <v>1594878.5</v>
      </c>
      <c r="H27" s="52">
        <f t="shared" si="0"/>
        <v>319.69999999995343</v>
      </c>
      <c r="I27" s="16">
        <f>(H27*[1]Summary!$C$6)</f>
        <v>907.94799999986776</v>
      </c>
      <c r="J27" s="57">
        <v>-70</v>
      </c>
      <c r="K27" s="103" t="s">
        <v>54</v>
      </c>
      <c r="L27" s="102"/>
    </row>
    <row r="28" spans="1:12" x14ac:dyDescent="0.2">
      <c r="A28" s="51">
        <v>44525</v>
      </c>
      <c r="B28" s="39">
        <v>2</v>
      </c>
      <c r="C28" s="39">
        <v>8.3000000000000007</v>
      </c>
      <c r="D28" s="39">
        <v>18</v>
      </c>
      <c r="E28" s="52">
        <f t="shared" si="1"/>
        <v>9.6999999999999993</v>
      </c>
      <c r="F28" s="33">
        <v>1594878.5</v>
      </c>
      <c r="G28" s="38">
        <v>1595195.3</v>
      </c>
      <c r="H28" s="52">
        <f t="shared" si="0"/>
        <v>316.80000000004657</v>
      </c>
      <c r="I28" s="16">
        <f>(H28*[1]Summary!$C$6)</f>
        <v>899.71200000013221</v>
      </c>
      <c r="J28" s="57"/>
      <c r="K28" s="40"/>
    </row>
    <row r="29" spans="1:12" x14ac:dyDescent="0.2">
      <c r="A29" s="51">
        <v>44526</v>
      </c>
      <c r="B29" s="39">
        <v>2</v>
      </c>
      <c r="C29" s="39">
        <v>8.3000000000000007</v>
      </c>
      <c r="D29" s="39">
        <v>16</v>
      </c>
      <c r="E29" s="52">
        <f t="shared" si="1"/>
        <v>7.6999999999999993</v>
      </c>
      <c r="F29" s="33">
        <v>1595195.3</v>
      </c>
      <c r="G29" s="38">
        <v>1595532.2</v>
      </c>
      <c r="H29" s="52">
        <f t="shared" si="0"/>
        <v>336.89999999990687</v>
      </c>
      <c r="I29" s="16">
        <f>(H29*[1]Summary!$C$6)</f>
        <v>956.7959999997355</v>
      </c>
      <c r="J29" s="57"/>
      <c r="K29" s="40"/>
    </row>
    <row r="30" spans="1:12" x14ac:dyDescent="0.2">
      <c r="A30" s="51">
        <v>44527</v>
      </c>
      <c r="B30" s="32">
        <v>2</v>
      </c>
      <c r="C30" s="32">
        <v>8.3000000000000007</v>
      </c>
      <c r="D30" s="32">
        <v>18</v>
      </c>
      <c r="E30" s="52">
        <f t="shared" si="1"/>
        <v>9.6999999999999993</v>
      </c>
      <c r="F30" s="33">
        <v>1595532.2</v>
      </c>
      <c r="G30" s="34">
        <v>1595887.3</v>
      </c>
      <c r="H30" s="52">
        <f t="shared" si="0"/>
        <v>355.10000000009313</v>
      </c>
      <c r="I30" s="16">
        <f>(H30*[1]Summary!$C$6)</f>
        <v>1008.4840000002645</v>
      </c>
      <c r="J30" s="57"/>
      <c r="K30" s="40"/>
    </row>
    <row r="31" spans="1:12" x14ac:dyDescent="0.2">
      <c r="A31" s="51">
        <v>44528</v>
      </c>
      <c r="B31" s="32">
        <v>2</v>
      </c>
      <c r="C31" s="32">
        <v>8.3000000000000007</v>
      </c>
      <c r="D31" s="32">
        <v>18</v>
      </c>
      <c r="E31" s="52">
        <f t="shared" si="1"/>
        <v>9.6999999999999993</v>
      </c>
      <c r="F31" s="33">
        <v>1595887.3</v>
      </c>
      <c r="G31" s="34">
        <v>1596249.7</v>
      </c>
      <c r="H31" s="52">
        <f t="shared" si="0"/>
        <v>362.39999999990687</v>
      </c>
      <c r="I31" s="16">
        <f>(H31*[1]Summary!$C$6)</f>
        <v>1029.2159999997355</v>
      </c>
      <c r="J31" s="57"/>
      <c r="K31" s="40"/>
    </row>
    <row r="32" spans="1:12" x14ac:dyDescent="0.2">
      <c r="A32" s="51">
        <v>44529</v>
      </c>
      <c r="B32" s="32">
        <v>2</v>
      </c>
      <c r="C32" s="32">
        <v>8.3000000000000007</v>
      </c>
      <c r="D32" s="32">
        <v>18</v>
      </c>
      <c r="E32" s="52">
        <f t="shared" si="1"/>
        <v>9.6999999999999993</v>
      </c>
      <c r="F32" s="33">
        <v>1596249.7</v>
      </c>
      <c r="G32" s="34">
        <v>1596533.2</v>
      </c>
      <c r="H32" s="52">
        <f>G32-F32</f>
        <v>283.5</v>
      </c>
      <c r="I32" s="16">
        <f>(H32*[1]Summary!$C$6)</f>
        <v>805.14</v>
      </c>
      <c r="J32" s="57"/>
      <c r="K32" s="40"/>
    </row>
    <row r="33" spans="1:12" x14ac:dyDescent="0.2">
      <c r="A33" s="86">
        <v>44530</v>
      </c>
      <c r="B33" s="87">
        <v>2</v>
      </c>
      <c r="C33" s="87">
        <v>8.3000000000000007</v>
      </c>
      <c r="D33" s="87">
        <v>18</v>
      </c>
      <c r="E33" s="88">
        <f t="shared" si="1"/>
        <v>9.6999999999999993</v>
      </c>
      <c r="F33" s="89">
        <v>1596533.2</v>
      </c>
      <c r="G33" s="90">
        <v>1596878.2</v>
      </c>
      <c r="H33" s="88">
        <f t="shared" si="0"/>
        <v>345</v>
      </c>
      <c r="I33" s="59">
        <f>(H33*[1]Summary!$C$6)</f>
        <v>979.8</v>
      </c>
      <c r="J33" s="91"/>
      <c r="K33" s="40"/>
    </row>
    <row r="34" spans="1:12" ht="25.5" x14ac:dyDescent="0.2">
      <c r="A34" s="100" t="s">
        <v>28</v>
      </c>
      <c r="B34" s="101"/>
      <c r="C34" s="80"/>
      <c r="D34" s="80"/>
      <c r="E34" s="81"/>
      <c r="F34" s="82"/>
      <c r="G34" s="83"/>
      <c r="H34" s="84">
        <f>SUM(H4:H33)</f>
        <v>9430.5999999998603</v>
      </c>
      <c r="I34" s="84">
        <f>SUM(I4:I33)</f>
        <v>26782.903999999598</v>
      </c>
      <c r="J34" s="85">
        <f>SUM(J4:J33)-H34</f>
        <v>819.30000000013933</v>
      </c>
      <c r="K34" s="60" t="s">
        <v>55</v>
      </c>
      <c r="L34" s="61"/>
    </row>
    <row r="35" spans="1:12" x14ac:dyDescent="0.2">
      <c r="A35" s="17"/>
      <c r="D35" s="1"/>
    </row>
    <row r="36" spans="1:12" x14ac:dyDescent="0.2">
      <c r="F36" s="62"/>
      <c r="G36" s="47"/>
      <c r="H36" s="47"/>
    </row>
    <row r="37" spans="1:12" ht="15.75" x14ac:dyDescent="0.25">
      <c r="A37" s="13"/>
    </row>
  </sheetData>
  <mergeCells count="7">
    <mergeCell ref="E1:G1"/>
    <mergeCell ref="K4:M4"/>
    <mergeCell ref="A34:B34"/>
    <mergeCell ref="K9:L9"/>
    <mergeCell ref="K10:L10"/>
    <mergeCell ref="K19:L19"/>
    <mergeCell ref="K27:L27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Sheet1</vt:lpstr>
      <vt:lpstr>B16</vt:lpstr>
      <vt:lpstr>B16 ext</vt:lpstr>
      <vt:lpstr>B17</vt:lpstr>
      <vt:lpstr>Water Reading</vt:lpstr>
      <vt:lpstr>Diesel Reading Nov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2022-01-23T12:14:45Z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