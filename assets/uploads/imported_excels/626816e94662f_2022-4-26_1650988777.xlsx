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AE9E34FE-E0A9-4C2B-B987-9142B645B3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3" r:id="rId1"/>
    <sheet name="Submetering " sheetId="4" r:id="rId2"/>
    <sheet name="FS Seychelles" sheetId="1" r:id="rId3"/>
    <sheet name="2021-2022" sheetId="5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8" i="3" l="1"/>
  <c r="I19" i="3"/>
  <c r="E34" i="5"/>
  <c r="F34" i="5"/>
  <c r="G34" i="5"/>
  <c r="H34" i="5"/>
  <c r="I34" i="5"/>
  <c r="D34" i="5"/>
  <c r="I8" i="5"/>
  <c r="I3" i="5"/>
  <c r="I4" i="5"/>
  <c r="I5" i="5"/>
  <c r="I6" i="5"/>
  <c r="I7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G28" i="5"/>
  <c r="G29" i="5"/>
  <c r="G30" i="5"/>
  <c r="G31" i="5"/>
  <c r="G32" i="5"/>
  <c r="G33" i="5"/>
  <c r="E3" i="5"/>
  <c r="R23" i="1"/>
  <c r="G23" i="5" s="1"/>
  <c r="R22" i="1"/>
  <c r="G22" i="5" s="1"/>
  <c r="R24" i="1"/>
  <c r="G24" i="5" s="1"/>
  <c r="R27" i="1"/>
  <c r="G27" i="5" s="1"/>
  <c r="R25" i="1"/>
  <c r="G25" i="5" s="1"/>
  <c r="R26" i="1"/>
  <c r="G26" i="5" s="1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" i="5"/>
  <c r="R21" i="1"/>
  <c r="G21" i="5" s="1"/>
  <c r="R20" i="1"/>
  <c r="G20" i="5" s="1"/>
  <c r="R19" i="1"/>
  <c r="G19" i="5" s="1"/>
  <c r="R18" i="1"/>
  <c r="G18" i="5" s="1"/>
  <c r="R17" i="1"/>
  <c r="G17" i="5" s="1"/>
  <c r="S16" i="1"/>
  <c r="S4" i="1"/>
  <c r="S5" i="1"/>
  <c r="S6" i="1"/>
  <c r="S7" i="1"/>
  <c r="S8" i="1"/>
  <c r="S9" i="1"/>
  <c r="S10" i="1"/>
  <c r="S11" i="1"/>
  <c r="S12" i="1"/>
  <c r="S13" i="1"/>
  <c r="S14" i="1"/>
  <c r="S15" i="1"/>
  <c r="S3" i="1"/>
  <c r="R16" i="1"/>
  <c r="G16" i="5" s="1"/>
  <c r="R14" i="1"/>
  <c r="G14" i="5" s="1"/>
  <c r="R11" i="1"/>
  <c r="G11" i="5" s="1"/>
  <c r="R10" i="1"/>
  <c r="G10" i="5" s="1"/>
  <c r="R9" i="1"/>
  <c r="G9" i="5" s="1"/>
  <c r="R8" i="1"/>
  <c r="G8" i="5" s="1"/>
  <c r="R7" i="1"/>
  <c r="G7" i="5" s="1"/>
  <c r="R6" i="1"/>
  <c r="G6" i="5" s="1"/>
  <c r="R15" i="1"/>
  <c r="G15" i="5" s="1"/>
  <c r="R12" i="1"/>
  <c r="G12" i="5" s="1"/>
  <c r="R13" i="1"/>
  <c r="G13" i="5" s="1"/>
  <c r="R5" i="1"/>
  <c r="G5" i="5" s="1"/>
  <c r="R4" i="1"/>
  <c r="G4" i="5" s="1"/>
  <c r="R3" i="1"/>
  <c r="G3" i="5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" i="1"/>
  <c r="U4" i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2" i="4"/>
  <c r="T27" i="4"/>
  <c r="T28" i="4"/>
  <c r="T25" i="4"/>
  <c r="T13" i="4"/>
  <c r="T14" i="4"/>
  <c r="T22" i="4"/>
  <c r="T21" i="4"/>
  <c r="T20" i="4"/>
  <c r="T19" i="4"/>
  <c r="T9" i="4"/>
  <c r="T12" i="4"/>
  <c r="T11" i="4"/>
  <c r="T8" i="4"/>
  <c r="T7" i="4"/>
  <c r="T5" i="4"/>
  <c r="T4" i="4"/>
  <c r="T2" i="4"/>
  <c r="AF15" i="1"/>
  <c r="AF10" i="1"/>
  <c r="AC21" i="4"/>
  <c r="G21" i="3" s="1"/>
  <c r="AC22" i="4"/>
  <c r="AC23" i="4"/>
  <c r="G23" i="3" s="1"/>
  <c r="AC24" i="4"/>
  <c r="G24" i="3" s="1"/>
  <c r="AC25" i="4"/>
  <c r="G25" i="3" s="1"/>
  <c r="AC26" i="4"/>
  <c r="G26" i="3" s="1"/>
  <c r="AC27" i="4"/>
  <c r="G27" i="3" s="1"/>
  <c r="AC28" i="4"/>
  <c r="G28" i="3" s="1"/>
  <c r="AC29" i="4"/>
  <c r="G29" i="3" s="1"/>
  <c r="AC30" i="4"/>
  <c r="AC31" i="4"/>
  <c r="G31" i="3" s="1"/>
  <c r="AC32" i="4"/>
  <c r="G32" i="3" s="1"/>
  <c r="T3" i="4"/>
  <c r="T6" i="4"/>
  <c r="T15" i="4"/>
  <c r="T16" i="4"/>
  <c r="T17" i="4"/>
  <c r="T18" i="4"/>
  <c r="T23" i="4"/>
  <c r="T24" i="4"/>
  <c r="T26" i="4"/>
  <c r="T29" i="4"/>
  <c r="T30" i="4"/>
  <c r="T31" i="4"/>
  <c r="T32" i="4"/>
  <c r="G22" i="3"/>
  <c r="G30" i="3"/>
  <c r="U29" i="1" l="1"/>
  <c r="U30" i="1" s="1"/>
  <c r="AH35" i="1"/>
  <c r="AI35" i="1"/>
  <c r="T10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" i="4"/>
  <c r="O3" i="4"/>
  <c r="P3" i="4"/>
  <c r="Q3" i="4"/>
  <c r="R3" i="4"/>
  <c r="S3" i="4"/>
  <c r="E3" i="3" l="1"/>
  <c r="F3" i="3" s="1"/>
  <c r="AC3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V31" i="4"/>
  <c r="W31" i="4"/>
  <c r="X31" i="4"/>
  <c r="Y31" i="4"/>
  <c r="Z31" i="4"/>
  <c r="AA31" i="4"/>
  <c r="AB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V32" i="4"/>
  <c r="W32" i="4"/>
  <c r="X32" i="4"/>
  <c r="Y32" i="4"/>
  <c r="Z32" i="4"/>
  <c r="AA32" i="4"/>
  <c r="K32" i="3" s="1"/>
  <c r="AB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V2" i="4"/>
  <c r="W2" i="4"/>
  <c r="X2" i="4"/>
  <c r="Y2" i="4"/>
  <c r="Z2" i="4"/>
  <c r="AA2" i="4"/>
  <c r="K2" i="3" s="1"/>
  <c r="AB2" i="4"/>
  <c r="B3" i="4"/>
  <c r="E3" i="4"/>
  <c r="F3" i="4"/>
  <c r="G3" i="4"/>
  <c r="H3" i="4"/>
  <c r="I3" i="4"/>
  <c r="J3" i="4"/>
  <c r="K3" i="4"/>
  <c r="L3" i="4"/>
  <c r="N3" i="4"/>
  <c r="V3" i="4"/>
  <c r="W3" i="4"/>
  <c r="X3" i="4"/>
  <c r="Y3" i="4"/>
  <c r="Z3" i="4"/>
  <c r="AA3" i="4"/>
  <c r="K3" i="3" s="1"/>
  <c r="AB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V4" i="4"/>
  <c r="W4" i="4"/>
  <c r="X4" i="4"/>
  <c r="Y4" i="4"/>
  <c r="Z4" i="4"/>
  <c r="AA4" i="4"/>
  <c r="K4" i="3" s="1"/>
  <c r="AB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V5" i="4"/>
  <c r="W5" i="4"/>
  <c r="X5" i="4"/>
  <c r="Y5" i="4"/>
  <c r="Z5" i="4"/>
  <c r="AA5" i="4"/>
  <c r="K5" i="3" s="1"/>
  <c r="AB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V6" i="4"/>
  <c r="W6" i="4"/>
  <c r="X6" i="4"/>
  <c r="Y6" i="4"/>
  <c r="Z6" i="4"/>
  <c r="AA6" i="4"/>
  <c r="K6" i="3" s="1"/>
  <c r="AB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V7" i="4"/>
  <c r="W7" i="4"/>
  <c r="X7" i="4"/>
  <c r="Y7" i="4"/>
  <c r="Z7" i="4"/>
  <c r="AA7" i="4"/>
  <c r="K7" i="3" s="1"/>
  <c r="AB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V8" i="4"/>
  <c r="W8" i="4"/>
  <c r="X8" i="4"/>
  <c r="Y8" i="4"/>
  <c r="Z8" i="4"/>
  <c r="AA8" i="4"/>
  <c r="K8" i="3" s="1"/>
  <c r="AB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V9" i="4"/>
  <c r="W9" i="4"/>
  <c r="X9" i="4"/>
  <c r="Y9" i="4"/>
  <c r="Z9" i="4"/>
  <c r="AA9" i="4"/>
  <c r="K9" i="3" s="1"/>
  <c r="AB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V10" i="4"/>
  <c r="W10" i="4"/>
  <c r="X10" i="4"/>
  <c r="Y10" i="4"/>
  <c r="Z10" i="4"/>
  <c r="AA10" i="4"/>
  <c r="K10" i="3" s="1"/>
  <c r="AB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V11" i="4"/>
  <c r="W11" i="4"/>
  <c r="X11" i="4"/>
  <c r="Y11" i="4"/>
  <c r="Z11" i="4"/>
  <c r="AA11" i="4"/>
  <c r="K11" i="3" s="1"/>
  <c r="AB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V12" i="4"/>
  <c r="W12" i="4"/>
  <c r="X12" i="4"/>
  <c r="Y12" i="4"/>
  <c r="Z12" i="4"/>
  <c r="AA12" i="4"/>
  <c r="K12" i="3" s="1"/>
  <c r="AB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V13" i="4"/>
  <c r="W13" i="4"/>
  <c r="X13" i="4"/>
  <c r="Y13" i="4"/>
  <c r="Z13" i="4"/>
  <c r="AA13" i="4"/>
  <c r="K13" i="3" s="1"/>
  <c r="AB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V14" i="4"/>
  <c r="W14" i="4"/>
  <c r="X14" i="4"/>
  <c r="Y14" i="4"/>
  <c r="Z14" i="4"/>
  <c r="AA14" i="4"/>
  <c r="K14" i="3" s="1"/>
  <c r="AB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V15" i="4"/>
  <c r="W15" i="4"/>
  <c r="X15" i="4"/>
  <c r="Y15" i="4"/>
  <c r="Z15" i="4"/>
  <c r="AA15" i="4"/>
  <c r="K15" i="3" s="1"/>
  <c r="AB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V16" i="4"/>
  <c r="W16" i="4"/>
  <c r="X16" i="4"/>
  <c r="Y16" i="4"/>
  <c r="Z16" i="4"/>
  <c r="AA16" i="4"/>
  <c r="K16" i="3" s="1"/>
  <c r="AB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V17" i="4"/>
  <c r="W17" i="4"/>
  <c r="X17" i="4"/>
  <c r="Y17" i="4"/>
  <c r="Z17" i="4"/>
  <c r="AA17" i="4"/>
  <c r="K17" i="3" s="1"/>
  <c r="AB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V18" i="4"/>
  <c r="W18" i="4"/>
  <c r="X18" i="4"/>
  <c r="Y18" i="4"/>
  <c r="Z18" i="4"/>
  <c r="AA18" i="4"/>
  <c r="K18" i="3" s="1"/>
  <c r="AB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V19" i="4"/>
  <c r="W19" i="4"/>
  <c r="X19" i="4"/>
  <c r="Y19" i="4"/>
  <c r="Z19" i="4"/>
  <c r="AA19" i="4"/>
  <c r="K19" i="3" s="1"/>
  <c r="AB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V20" i="4"/>
  <c r="W20" i="4"/>
  <c r="X20" i="4"/>
  <c r="Y20" i="4"/>
  <c r="Z20" i="4"/>
  <c r="AA20" i="4"/>
  <c r="K20" i="3" s="1"/>
  <c r="AB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V21" i="4"/>
  <c r="W21" i="4"/>
  <c r="X21" i="4"/>
  <c r="Y21" i="4"/>
  <c r="Z21" i="4"/>
  <c r="AA21" i="4"/>
  <c r="K21" i="3" s="1"/>
  <c r="AB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V22" i="4"/>
  <c r="W22" i="4"/>
  <c r="X22" i="4"/>
  <c r="Y22" i="4"/>
  <c r="Z22" i="4"/>
  <c r="AA22" i="4"/>
  <c r="K22" i="3" s="1"/>
  <c r="AB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V23" i="4"/>
  <c r="W23" i="4"/>
  <c r="X23" i="4"/>
  <c r="Y23" i="4"/>
  <c r="Z23" i="4"/>
  <c r="AA23" i="4"/>
  <c r="K23" i="3" s="1"/>
  <c r="AB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V24" i="4"/>
  <c r="W24" i="4"/>
  <c r="X24" i="4"/>
  <c r="Y24" i="4"/>
  <c r="Z24" i="4"/>
  <c r="AA24" i="4"/>
  <c r="K24" i="3" s="1"/>
  <c r="AB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V25" i="4"/>
  <c r="W25" i="4"/>
  <c r="X25" i="4"/>
  <c r="Y25" i="4"/>
  <c r="Z25" i="4"/>
  <c r="AA25" i="4"/>
  <c r="K25" i="3" s="1"/>
  <c r="AB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V26" i="4"/>
  <c r="W26" i="4"/>
  <c r="X26" i="4"/>
  <c r="Y26" i="4"/>
  <c r="Z26" i="4"/>
  <c r="AA26" i="4"/>
  <c r="K26" i="3" s="1"/>
  <c r="AB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V27" i="4"/>
  <c r="W27" i="4"/>
  <c r="X27" i="4"/>
  <c r="Y27" i="4"/>
  <c r="Z27" i="4"/>
  <c r="AA27" i="4"/>
  <c r="K27" i="3" s="1"/>
  <c r="AB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V28" i="4"/>
  <c r="W28" i="4"/>
  <c r="X28" i="4"/>
  <c r="Y28" i="4"/>
  <c r="Z28" i="4"/>
  <c r="AA28" i="4"/>
  <c r="K28" i="3" s="1"/>
  <c r="AB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V29" i="4"/>
  <c r="W29" i="4"/>
  <c r="X29" i="4"/>
  <c r="Y29" i="4"/>
  <c r="Z29" i="4"/>
  <c r="AA29" i="4"/>
  <c r="K29" i="3" s="1"/>
  <c r="AB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V30" i="4"/>
  <c r="W30" i="4"/>
  <c r="X30" i="4"/>
  <c r="Y30" i="4"/>
  <c r="Z30" i="4"/>
  <c r="AA30" i="4"/>
  <c r="K30" i="3" s="1"/>
  <c r="AB30" i="4"/>
  <c r="K31" i="3"/>
  <c r="I2" i="3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20" i="3"/>
  <c r="I21" i="3"/>
  <c r="I22" i="3"/>
  <c r="I23" i="3"/>
  <c r="I24" i="3"/>
  <c r="I25" i="3"/>
  <c r="I26" i="3"/>
  <c r="I27" i="3"/>
  <c r="I28" i="3"/>
  <c r="I29" i="3"/>
  <c r="I30" i="3"/>
  <c r="E28" i="3" l="1"/>
  <c r="F28" i="3" s="1"/>
  <c r="E26" i="3"/>
  <c r="F26" i="3" s="1"/>
  <c r="E13" i="3"/>
  <c r="F13" i="3" s="1"/>
  <c r="E10" i="3"/>
  <c r="F10" i="3" s="1"/>
  <c r="E17" i="3"/>
  <c r="F17" i="3" s="1"/>
  <c r="E7" i="3"/>
  <c r="F7" i="3" s="1"/>
  <c r="E6" i="3"/>
  <c r="F6" i="3" s="1"/>
  <c r="E29" i="3"/>
  <c r="F29" i="3" s="1"/>
  <c r="E21" i="3"/>
  <c r="F21" i="3" s="1"/>
  <c r="E14" i="3"/>
  <c r="F14" i="3" s="1"/>
  <c r="E11" i="3"/>
  <c r="F11" i="3" s="1"/>
  <c r="E18" i="3"/>
  <c r="F18" i="3" s="1"/>
  <c r="E8" i="3"/>
  <c r="F8" i="3" s="1"/>
  <c r="E4" i="3"/>
  <c r="F4" i="3" s="1"/>
  <c r="E24" i="3"/>
  <c r="F24" i="3" s="1"/>
  <c r="E2" i="3"/>
  <c r="F2" i="3" s="1"/>
  <c r="E27" i="3"/>
  <c r="F27" i="3" s="1"/>
  <c r="E15" i="3"/>
  <c r="F15" i="3" s="1"/>
  <c r="E12" i="3"/>
  <c r="F12" i="3" s="1"/>
  <c r="E5" i="3"/>
  <c r="F5" i="3" s="1"/>
  <c r="E31" i="3"/>
  <c r="F31" i="3" s="1"/>
  <c r="E30" i="3"/>
  <c r="F30" i="3" s="1"/>
  <c r="E22" i="3"/>
  <c r="F22" i="3" s="1"/>
  <c r="E9" i="3"/>
  <c r="F9" i="3" s="1"/>
  <c r="E25" i="3"/>
  <c r="F25" i="3" s="1"/>
  <c r="E19" i="3"/>
  <c r="F19" i="3" s="1"/>
  <c r="E16" i="3"/>
  <c r="F16" i="3" s="1"/>
  <c r="E32" i="3"/>
  <c r="F32" i="3" s="1"/>
  <c r="E23" i="3"/>
  <c r="F23" i="3" s="1"/>
  <c r="E20" i="3"/>
  <c r="F20" i="3" s="1"/>
  <c r="Q33" i="4"/>
  <c r="P33" i="4"/>
  <c r="R33" i="4"/>
  <c r="R35" i="4" l="1"/>
</calcChain>
</file>

<file path=xl/sharedStrings.xml><?xml version="1.0" encoding="utf-8"?>
<sst xmlns="http://schemas.openxmlformats.org/spreadsheetml/2006/main" count="155" uniqueCount="88">
  <si>
    <t>Site Name</t>
  </si>
  <si>
    <t>Day</t>
  </si>
  <si>
    <t>Month</t>
  </si>
  <si>
    <t>Year</t>
  </si>
  <si>
    <t>Total Electricity Kwh</t>
  </si>
  <si>
    <t xml:space="preserve">LPG (Kg) </t>
  </si>
  <si>
    <t>Water Utility Supply (m3) m3</t>
  </si>
  <si>
    <t>Irrigation Water (m3) 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</si>
  <si>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</si>
  <si>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</si>
  <si>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</si>
  <si>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</si>
  <si>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</si>
  <si>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</si>
  <si>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</si>
  <si>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</si>
  <si>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</si>
  <si>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</si>
  <si>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</si>
  <si>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</si>
  <si>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</si>
  <si>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</si>
  <si>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</si>
  <si>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</si>
  <si>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</si>
  <si>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</si>
  <si>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</si>
  <si>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</si>
  <si>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</si>
  <si>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</si>
  <si>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</si>
  <si>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</si>
  <si>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</si>
  <si>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</si>
  <si>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</si>
  <si>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Total Per day</t>
  </si>
  <si>
    <t>DATE</t>
  </si>
  <si>
    <t>Room Night %</t>
  </si>
  <si>
    <t>Food Covers (Customers)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</si>
  <si>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</si>
  <si>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</si>
  <si>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</si>
  <si>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</si>
  <si>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</si>
  <si>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</si>
  <si>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</si>
  <si>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</si>
  <si>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</si>
  <si>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</si>
  <si>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</si>
  <si>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</si>
  <si>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</si>
  <si>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</si>
  <si>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</si>
  <si>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</si>
  <si>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</si>
  <si>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</si>
  <si>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</si>
  <si>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</si>
  <si>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</si>
  <si>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</si>
  <si>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</si>
  <si>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</si>
  <si>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</si>
  <si>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Fire Tank (m3)</t>
  </si>
  <si>
    <t>Generator</t>
  </si>
  <si>
    <t>Water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</si>
  <si>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</si>
  <si>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</si>
  <si>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</si>
  <si>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</si>
  <si>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</si>
  <si>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</si>
  <si>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</si>
  <si>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</si>
  <si>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</si>
  <si>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Per month</t>
  </si>
  <si>
    <t>OCCUPANCY</t>
  </si>
  <si>
    <t>GENERATOR</t>
  </si>
  <si>
    <t>DIESEL</t>
  </si>
  <si>
    <t>WATER</t>
  </si>
  <si>
    <t>DAY</t>
  </si>
  <si>
    <t>HEP Consumed Total</t>
  </si>
  <si>
    <t>Consumption Report Total</t>
  </si>
  <si>
    <t>Electricity Tariff ($/Kwh)</t>
  </si>
  <si>
    <t>LPG $/Kg</t>
  </si>
  <si>
    <t>Water Utility Supply (m3) $/m3</t>
  </si>
  <si>
    <t>Irrigation water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</si>
</sst>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rgb="FF9BC2E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9" xfId="0" applyNumberFormat="1" applyFont="1" applyBorder="1"/>
    <xf numFmtId="4" fontId="14" fillId="0" borderId="5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4" fontId="14" fillId="0" borderId="8" xfId="0" applyNumberFormat="1" applyFont="1" applyBorder="1" applyAlignment="1">
      <alignment horizontal="right"/>
    </xf>
    <xf numFmtId="2" fontId="14" fillId="0" borderId="11" xfId="0" applyNumberFormat="1" applyFont="1" applyBorder="1"/>
    <xf numFmtId="2" fontId="14" fillId="0" borderId="9" xfId="0" applyNumberFormat="1" applyFont="1" applyBorder="1"/>
    <xf numFmtId="2" fontId="14" fillId="0" borderId="4" xfId="0" applyNumberFormat="1" applyFont="1" applyBorder="1"/>
    <xf numFmtId="2" fontId="14" fillId="0" borderId="7" xfId="0" applyNumberFormat="1" applyFont="1" applyBorder="1"/>
    <xf numFmtId="3" fontId="12" fillId="0" borderId="7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5" xfId="0" applyNumberFormat="1" applyFont="1" applyBorder="1" applyAlignment="1">
      <alignment horizontal="right"/>
    </xf>
    <xf numFmtId="0" fontId="13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4" fontId="14" fillId="0" borderId="9" xfId="0" applyNumberFormat="1" applyFont="1" applyBorder="1" applyAlignment="1">
      <alignment horizontal="right"/>
    </xf>
    <xf numFmtId="4" fontId="12" fillId="0" borderId="9" xfId="0" applyNumberFormat="1" applyFont="1" applyBorder="1"/>
    <xf numFmtId="2" fontId="12" fillId="0" borderId="13" xfId="0" applyNumberFormat="1" applyFont="1" applyBorder="1"/>
    <xf numFmtId="4" fontId="12" fillId="0" borderId="9" xfId="0" applyNumberFormat="1" applyFont="1" applyBorder="1" applyAlignment="1">
      <alignment vertical="center" wrapText="1"/>
    </xf>
    <xf numFmtId="2" fontId="12" fillId="0" borderId="15" xfId="0" applyNumberFormat="1" applyFont="1" applyBorder="1"/>
    <xf numFmtId="0" fontId="13" fillId="4" borderId="9" xfId="0" applyFont="1" applyFill="1" applyBorder="1" applyAlignment="1">
      <alignment horizontal="center" vertical="center" wrapText="1"/>
    </xf>
    <xf numFmtId="2" fontId="13" fillId="4" borderId="9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4" fontId="12" fillId="0" borderId="11" xfId="0" applyNumberFormat="1" applyFont="1" applyBorder="1" applyAlignment="1">
      <alignment horizontal="right"/>
    </xf>
    <xf numFmtId="4" fontId="12" fillId="0" borderId="11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9" xfId="0" applyNumberFormat="1" applyFont="1" applyBorder="1" applyAlignment="1">
      <alignment horizontal="right"/>
    </xf>
    <xf numFmtId="2" fontId="15" fillId="0" borderId="15" xfId="0" applyNumberFormat="1" applyFont="1" applyBorder="1" applyAlignment="1">
      <alignment horizontal="right" wrapText="1"/>
    </xf>
    <xf numFmtId="0" fontId="16" fillId="0" borderId="0" xfId="0" applyFont="1" applyAlignment="1">
      <alignment wrapText="1"/>
    </xf>
    <xf numFmtId="0" fontId="12" fillId="0" borderId="0" xfId="0" applyFont="1" applyAlignment="1">
      <alignment horizontal="right" wrapText="1"/>
    </xf>
    <xf numFmtId="3" fontId="12" fillId="0" borderId="0" xfId="0" applyNumberFormat="1" applyFont="1"/>
    <xf numFmtId="0" fontId="4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right"/>
    </xf>
    <xf numFmtId="2" fontId="13" fillId="0" borderId="0" xfId="0" applyNumberFormat="1" applyFont="1" applyAlignment="1">
      <alignment horizontal="center"/>
    </xf>
    <xf numFmtId="4" fontId="0" fillId="0" borderId="0" xfId="0" applyNumberFormat="1"/>
    <xf numFmtId="0" fontId="12" fillId="0" borderId="5" xfId="0" applyFont="1" applyBorder="1" applyAlignment="1">
      <alignment horizontal="center"/>
    </xf>
    <xf numFmtId="0" fontId="0" fillId="10" borderId="9" xfId="0" applyFill="1" applyBorder="1"/>
    <xf numFmtId="0" fontId="12" fillId="0" borderId="9" xfId="0" applyFont="1" applyBorder="1"/>
    <xf numFmtId="0" fontId="13" fillId="0" borderId="5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1" xfId="0" applyFont="1" applyBorder="1"/>
    <xf numFmtId="0" fontId="12" fillId="0" borderId="18" xfId="0" applyFont="1" applyBorder="1" applyAlignment="1">
      <alignment horizontal="center"/>
    </xf>
    <xf numFmtId="0" fontId="13" fillId="0" borderId="18" xfId="0" applyFont="1" applyBorder="1" applyAlignment="1">
      <alignment horizontal="center"/>
    </xf>
    <xf numFmtId="0" fontId="4" fillId="2" borderId="12" xfId="0" applyFont="1" applyFill="1" applyBorder="1" applyAlignment="1">
      <alignment horizontal="center" vertical="center" wrapText="1"/>
    </xf>
    <xf numFmtId="0" fontId="0" fillId="0" borderId="9" xfId="0" applyBorder="1"/>
    <xf numFmtId="1" fontId="0" fillId="0" borderId="9" xfId="0" applyNumberFormat="1" applyBorder="1"/>
    <xf numFmtId="2" fontId="0" fillId="0" borderId="9" xfId="0" applyNumberFormat="1" applyBorder="1"/>
    <xf numFmtId="4" fontId="0" fillId="0" borderId="9" xfId="0" applyNumberFormat="1" applyBorder="1"/>
    <xf numFmtId="0" fontId="0" fillId="10" borderId="19" xfId="0" applyFill="1" applyBorder="1" applyAlignment="1">
      <alignment horizontal="center"/>
    </xf>
    <xf numFmtId="0" fontId="0" fillId="10" borderId="19" xfId="0" applyFill="1" applyBorder="1"/>
    <xf numFmtId="0" fontId="0" fillId="0" borderId="13" xfId="0" applyBorder="1"/>
    <xf numFmtId="0" fontId="0" fillId="0" borderId="17" xfId="0" applyBorder="1"/>
    <xf numFmtId="0" fontId="0" fillId="0" borderId="19" xfId="0" applyBorder="1"/>
    <xf numFmtId="1" fontId="0" fillId="0" borderId="19" xfId="0" applyNumberFormat="1" applyBorder="1"/>
    <xf numFmtId="2" fontId="0" fillId="0" borderId="19" xfId="0" applyNumberFormat="1" applyBorder="1"/>
    <xf numFmtId="4" fontId="0" fillId="0" borderId="19" xfId="0" applyNumberFormat="1" applyBorder="1"/>
    <xf numFmtId="0" fontId="0" fillId="0" borderId="20" xfId="0" applyBorder="1"/>
    <xf numFmtId="0" fontId="0" fillId="0" borderId="21" xfId="0" applyBorder="1"/>
    <xf numFmtId="3" fontId="0" fillId="0" borderId="9" xfId="0" applyNumberFormat="1" applyBorder="1"/>
    <xf numFmtId="0" fontId="12" fillId="0" borderId="0" xfId="0" applyFont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/>
    </xf>
    <xf numFmtId="0" fontId="13" fillId="7" borderId="7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14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0" fillId="10" borderId="9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0" fontId="0" fillId="11" borderId="9" xfId="0" applyFill="1" applyBorder="1" applyAlignment="1">
      <alignment horizontal="right"/>
    </xf>
    <xf numFmtId="0" fontId="0" fillId="12" borderId="9" xfId="0" applyFill="1" applyBorder="1" applyAlignment="1">
      <alignment horizontal="right"/>
    </xf>
  </cellXfs>
  <cellStyles count="2">
    <cellStyle name="Milliers_Classeur1" xfId="1" xr:uid="{00000000-0005-0000-0000-000000000000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C7CE"/>
        </patternFill>
      </fill>
    </dxf>
    <dxf>
      <font>
        <color rgb="FF000000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abSelected="1" topLeftCell="A2" workbookViewId="0">
      <selection activeCell="I17" sqref="I17:I19"/>
    </sheetView>
  </sheetViews>
  <sheetFormatPr defaultColWidth="11.5703125" defaultRowHeight="15" x14ac:dyDescent="0.2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60" x14ac:dyDescent="0.2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84</v>
      </c>
      <c r="G1" s="7" t="s">
        <v>5</v>
      </c>
      <c r="H1" s="6" t="s">
        <v>85</v>
      </c>
      <c r="I1" s="8" t="s">
        <v>6</v>
      </c>
      <c r="J1" s="6" t="s">
        <v>86</v>
      </c>
      <c r="K1" s="27" t="s">
        <v>7</v>
      </c>
      <c r="L1" s="6" t="s">
        <v>87</v>
      </c>
      <c r="M1" s="8" t="s">
        <v>8</v>
      </c>
    </row>
    <row r="2" spans="1:13" s="13" customFormat="1" x14ac:dyDescent="0.25">
      <c r="A2" s="1" t="s">
        <v>9</v>
      </c>
      <c r="B2" s="10">
        <v>1</v>
      </c>
      <c r="C2" s="11">
        <v>4</v>
      </c>
      <c r="D2" s="1">
        <v>2022</v>
      </c>
      <c r="E2" s="12">
        <f>'Submetering '!O2+'Submetering '!P2+'Submetering '!Q2+'Submetering '!R2+'Submetering '!S2+'Submetering '!U2</f>
        <v>45595</v>
      </c>
      <c r="F2" s="11">
        <f>(('FS Seychelles'!R3*'FS Seychelles'!S3)+('FS Seychelles'!T3*'FS Seychelles'!U3))/TOTAL!E2</f>
        <v>0.29486483167013927</v>
      </c>
      <c r="G2" s="12">
        <f>'Submetering '!AC2</f>
        <v>0</v>
      </c>
      <c r="H2" s="11">
        <v>1.05</v>
      </c>
      <c r="I2" s="12">
        <f>'FS Seychelles'!V3+'FS Seychelles'!X3+'FS Seychelles'!Y3+'FS Seychelles'!Z3</f>
        <v>391</v>
      </c>
      <c r="J2" s="11">
        <v>0</v>
      </c>
      <c r="K2" s="28">
        <f>'Submetering '!AA2</f>
        <v>112</v>
      </c>
      <c r="L2" s="11">
        <v>0</v>
      </c>
      <c r="M2" s="55">
        <f>'FS Seychelles'!B3</f>
        <v>36.799999999999997</v>
      </c>
    </row>
    <row r="3" spans="1:13" s="15" customFormat="1" x14ac:dyDescent="0.25">
      <c r="A3" s="1" t="s">
        <v>9</v>
      </c>
      <c r="B3" s="14">
        <f>B2+1</f>
        <v>2</v>
      </c>
      <c r="C3" s="11">
        <v>4</v>
      </c>
      <c r="D3" s="1">
        <v>2022</v>
      </c>
      <c r="E3" s="12">
        <f>'Submetering '!O3+'Submetering '!P3+'Submetering '!Q3+'Submetering '!R3+'Submetering '!S3+'Submetering '!U3</f>
        <v>44574</v>
      </c>
      <c r="F3" s="11">
        <f>(('FS Seychelles'!R4*'FS Seychelles'!S4)+('FS Seychelles'!T4*'FS Seychelles'!U4))/TOTAL!E3</f>
        <v>0.28567058823529412</v>
      </c>
      <c r="G3" s="12">
        <f>'Submetering '!AC3</f>
        <v>0</v>
      </c>
      <c r="H3" s="11">
        <f>H2</f>
        <v>1.05</v>
      </c>
      <c r="I3" s="12">
        <f>'FS Seychelles'!V4+'FS Seychelles'!X4+'FS Seychelles'!Y4+'FS Seychelles'!Z4</f>
        <v>356</v>
      </c>
      <c r="J3" s="11">
        <f>J2</f>
        <v>0</v>
      </c>
      <c r="K3" s="28">
        <f>'Submetering '!AA3</f>
        <v>107</v>
      </c>
      <c r="L3" s="11">
        <f>L2</f>
        <v>0</v>
      </c>
      <c r="M3" s="55">
        <f>'FS Seychelles'!B4</f>
        <v>35.5</v>
      </c>
    </row>
    <row r="4" spans="1:13" s="15" customFormat="1" x14ac:dyDescent="0.25">
      <c r="A4" s="1" t="s">
        <v>9</v>
      </c>
      <c r="B4" s="14">
        <f t="shared" ref="B4:B31" si="0">B3+1</f>
        <v>3</v>
      </c>
      <c r="C4" s="11">
        <v>4</v>
      </c>
      <c r="D4" s="1">
        <v>2022</v>
      </c>
      <c r="E4" s="12">
        <f>'Submetering '!O4+'Submetering '!P4+'Submetering '!Q4+'Submetering '!R4+'Submetering '!S4+'Submetering '!U4</f>
        <v>41101</v>
      </c>
      <c r="F4" s="11">
        <f>(('FS Seychelles'!R5*'FS Seychelles'!S5)+('FS Seychelles'!T5*'FS Seychelles'!U5))/TOTAL!E4</f>
        <v>0.29061637429746234</v>
      </c>
      <c r="G4" s="12">
        <f>'Submetering '!AC4</f>
        <v>0</v>
      </c>
      <c r="H4" s="11">
        <f t="shared" ref="H4:H32" si="1">H3</f>
        <v>1.05</v>
      </c>
      <c r="I4" s="12">
        <f>'FS Seychelles'!V5+'FS Seychelles'!X5+'FS Seychelles'!Y5+'FS Seychelles'!Z5</f>
        <v>378</v>
      </c>
      <c r="J4" s="11">
        <f t="shared" ref="J4:L32" si="2">J3</f>
        <v>0</v>
      </c>
      <c r="K4" s="28">
        <f>'Submetering '!AA4</f>
        <v>110</v>
      </c>
      <c r="L4" s="11">
        <f t="shared" si="2"/>
        <v>0</v>
      </c>
      <c r="M4" s="55">
        <f>'FS Seychelles'!B5</f>
        <v>36.799999999999997</v>
      </c>
    </row>
    <row r="5" spans="1:13" s="15" customFormat="1" x14ac:dyDescent="0.25">
      <c r="A5" s="1" t="s">
        <v>9</v>
      </c>
      <c r="B5" s="14">
        <f t="shared" si="0"/>
        <v>4</v>
      </c>
      <c r="C5" s="11">
        <v>4</v>
      </c>
      <c r="D5" s="1">
        <v>2022</v>
      </c>
      <c r="E5" s="12">
        <f>'Submetering '!O5+'Submetering '!P5+'Submetering '!Q5+'Submetering '!R5+'Submetering '!S5+'Submetering '!U5</f>
        <v>41024</v>
      </c>
      <c r="F5" s="11">
        <f>(('FS Seychelles'!R6*'FS Seychelles'!S6)+('FS Seychelles'!T6*'FS Seychelles'!U6))/TOTAL!E5</f>
        <v>0.28663174726989077</v>
      </c>
      <c r="G5" s="12">
        <f>'Submetering '!AC5</f>
        <v>0</v>
      </c>
      <c r="H5" s="11">
        <f t="shared" si="1"/>
        <v>1.05</v>
      </c>
      <c r="I5" s="12">
        <f>'FS Seychelles'!V6+'FS Seychelles'!X6+'FS Seychelles'!Y6+'FS Seychelles'!Z6</f>
        <v>0</v>
      </c>
      <c r="J5" s="11">
        <f t="shared" si="2"/>
        <v>0</v>
      </c>
      <c r="K5" s="28">
        <f>'Submetering '!AA5</f>
        <v>0</v>
      </c>
      <c r="L5" s="11">
        <f t="shared" si="2"/>
        <v>0</v>
      </c>
      <c r="M5" s="55">
        <f>'FS Seychelles'!B6</f>
        <v>38.200000000000003</v>
      </c>
    </row>
    <row r="6" spans="1:13" s="15" customFormat="1" x14ac:dyDescent="0.25">
      <c r="A6" s="1" t="s">
        <v>9</v>
      </c>
      <c r="B6" s="14">
        <f t="shared" si="0"/>
        <v>5</v>
      </c>
      <c r="C6" s="11">
        <v>4</v>
      </c>
      <c r="D6" s="1">
        <v>2022</v>
      </c>
      <c r="E6" s="12">
        <f>'Submetering '!O6+'Submetering '!P6+'Submetering '!Q6+'Submetering '!R6+'Submetering '!S6+'Submetering '!U6</f>
        <v>31050</v>
      </c>
      <c r="F6" s="11">
        <f>(('FS Seychelles'!R7*'FS Seychelles'!S7)+('FS Seychelles'!T7*'FS Seychelles'!U7))/TOTAL!E6</f>
        <v>0.28842330434782604</v>
      </c>
      <c r="G6" s="12">
        <f>'Submetering '!AC6</f>
        <v>0</v>
      </c>
      <c r="H6" s="11">
        <f t="shared" si="1"/>
        <v>1.05</v>
      </c>
      <c r="I6" s="12">
        <f>'FS Seychelles'!V7+'FS Seychelles'!X7+'FS Seychelles'!Y7+'FS Seychelles'!Z7</f>
        <v>314</v>
      </c>
      <c r="J6" s="11">
        <f t="shared" si="2"/>
        <v>0</v>
      </c>
      <c r="K6" s="28">
        <f>'Submetering '!AA6</f>
        <v>104</v>
      </c>
      <c r="L6" s="11">
        <f t="shared" si="2"/>
        <v>0</v>
      </c>
      <c r="M6" s="55">
        <f>'FS Seychelles'!B7</f>
        <v>34.200000000000003</v>
      </c>
    </row>
    <row r="7" spans="1:13" s="15" customFormat="1" x14ac:dyDescent="0.25">
      <c r="A7" s="1" t="s">
        <v>9</v>
      </c>
      <c r="B7" s="14">
        <f t="shared" si="0"/>
        <v>6</v>
      </c>
      <c r="C7" s="11">
        <v>4</v>
      </c>
      <c r="D7" s="1">
        <v>2022</v>
      </c>
      <c r="E7" s="12">
        <f>'Submetering '!O7+'Submetering '!P7+'Submetering '!Q7+'Submetering '!R7+'Submetering '!S7+'Submetering '!U7</f>
        <v>40814</v>
      </c>
      <c r="F7" s="11">
        <f>(('FS Seychelles'!R8*'FS Seychelles'!S8)+('FS Seychelles'!T8*'FS Seychelles'!U8))/TOTAL!E7</f>
        <v>0.27648421620032337</v>
      </c>
      <c r="G7" s="12">
        <f>'Submetering '!AC7</f>
        <v>0</v>
      </c>
      <c r="H7" s="11">
        <f t="shared" si="1"/>
        <v>1.05</v>
      </c>
      <c r="I7" s="12">
        <f>'FS Seychelles'!V8+'FS Seychelles'!X8+'FS Seychelles'!Y8+'FS Seychelles'!Z8</f>
        <v>379</v>
      </c>
      <c r="J7" s="11">
        <f t="shared" si="2"/>
        <v>0</v>
      </c>
      <c r="K7" s="28">
        <f>'Submetering '!AA7</f>
        <v>110</v>
      </c>
      <c r="L7" s="11">
        <f t="shared" si="2"/>
        <v>0</v>
      </c>
      <c r="M7" s="55">
        <f>'FS Seychelles'!B8</f>
        <v>27.6</v>
      </c>
    </row>
    <row r="8" spans="1:13" s="15" customFormat="1" x14ac:dyDescent="0.25">
      <c r="A8" s="1" t="s">
        <v>9</v>
      </c>
      <c r="B8" s="14">
        <f t="shared" si="0"/>
        <v>7</v>
      </c>
      <c r="C8" s="11">
        <v>4</v>
      </c>
      <c r="D8" s="1">
        <v>2022</v>
      </c>
      <c r="E8" s="12">
        <f>'Submetering '!O8+'Submetering '!P8+'Submetering '!Q8+'Submetering '!R8+'Submetering '!S8+'Submetering '!U8</f>
        <v>47841</v>
      </c>
      <c r="F8" s="11">
        <f>(('FS Seychelles'!R9*'FS Seychelles'!S9)+('FS Seychelles'!T9*'FS Seychelles'!U9))/TOTAL!E8</f>
        <v>0.29327316736690284</v>
      </c>
      <c r="G8" s="12">
        <f>'Submetering '!AC8</f>
        <v>0</v>
      </c>
      <c r="H8" s="11">
        <f t="shared" si="1"/>
        <v>1.05</v>
      </c>
      <c r="I8" s="12">
        <f>'FS Seychelles'!V9+'FS Seychelles'!X9+'FS Seychelles'!Y9+'FS Seychelles'!Z9</f>
        <v>293</v>
      </c>
      <c r="J8" s="11">
        <f t="shared" si="2"/>
        <v>0</v>
      </c>
      <c r="K8" s="28">
        <f>'Submetering '!AA8</f>
        <v>106</v>
      </c>
      <c r="L8" s="11">
        <f t="shared" si="2"/>
        <v>0</v>
      </c>
      <c r="M8" s="55">
        <f>'FS Seychelles'!B9</f>
        <v>31.6</v>
      </c>
    </row>
    <row r="9" spans="1:13" s="15" customFormat="1" x14ac:dyDescent="0.25">
      <c r="A9" s="1" t="s">
        <v>9</v>
      </c>
      <c r="B9" s="14">
        <f t="shared" si="0"/>
        <v>8</v>
      </c>
      <c r="C9" s="11">
        <v>4</v>
      </c>
      <c r="D9" s="1">
        <v>2022</v>
      </c>
      <c r="E9" s="12">
        <f>'Submetering '!O9+'Submetering '!P9+'Submetering '!Q9+'Submetering '!R9+'Submetering '!S9+'Submetering '!U9</f>
        <v>28631</v>
      </c>
      <c r="F9" s="11">
        <f>(('FS Seychelles'!R10*'FS Seychelles'!S10)+('FS Seychelles'!T10*'FS Seychelles'!U10))/TOTAL!E9</f>
        <v>0.30053618804792004</v>
      </c>
      <c r="G9" s="12">
        <f>'Submetering '!AC9</f>
        <v>0</v>
      </c>
      <c r="H9" s="11">
        <f t="shared" si="1"/>
        <v>1.05</v>
      </c>
      <c r="I9" s="12">
        <f>'FS Seychelles'!V10+'FS Seychelles'!X10+'FS Seychelles'!Y10+'FS Seychelles'!Z10</f>
        <v>301</v>
      </c>
      <c r="J9" s="11">
        <f t="shared" si="2"/>
        <v>0</v>
      </c>
      <c r="K9" s="28">
        <f>'Submetering '!AA9</f>
        <v>105</v>
      </c>
      <c r="L9" s="11">
        <f t="shared" si="2"/>
        <v>0</v>
      </c>
      <c r="M9" s="55">
        <f>'FS Seychelles'!B10</f>
        <v>32.9</v>
      </c>
    </row>
    <row r="10" spans="1:13" s="15" customFormat="1" x14ac:dyDescent="0.25">
      <c r="A10" s="1" t="s">
        <v>9</v>
      </c>
      <c r="B10" s="14">
        <f t="shared" si="0"/>
        <v>9</v>
      </c>
      <c r="C10" s="11">
        <v>4</v>
      </c>
      <c r="D10" s="1">
        <v>2022</v>
      </c>
      <c r="E10" s="12">
        <f>'Submetering '!O10+'Submetering '!P10+'Submetering '!Q10+'Submetering '!R10+'Submetering '!S10+'Submetering '!U10</f>
        <v>37508</v>
      </c>
      <c r="F10" s="11">
        <f>(('FS Seychelles'!R11*'FS Seychelles'!S11)+('FS Seychelles'!T11*'FS Seychelles'!U11))/TOTAL!E10</f>
        <v>0.29610700650527882</v>
      </c>
      <c r="G10" s="12">
        <f>'Submetering '!AC10</f>
        <v>0</v>
      </c>
      <c r="H10" s="11">
        <f t="shared" si="1"/>
        <v>1.05</v>
      </c>
      <c r="I10" s="12">
        <f>'FS Seychelles'!V11+'FS Seychelles'!X11+'FS Seychelles'!Y11+'FS Seychelles'!Z11</f>
        <v>332</v>
      </c>
      <c r="J10" s="11">
        <f t="shared" si="2"/>
        <v>0</v>
      </c>
      <c r="K10" s="28">
        <f>'Submetering '!AA10</f>
        <v>112</v>
      </c>
      <c r="L10" s="11">
        <f t="shared" si="2"/>
        <v>0</v>
      </c>
      <c r="M10" s="55">
        <f>'FS Seychelles'!B11</f>
        <v>39.5</v>
      </c>
    </row>
    <row r="11" spans="1:13" s="15" customFormat="1" x14ac:dyDescent="0.25">
      <c r="A11" s="1" t="s">
        <v>9</v>
      </c>
      <c r="B11" s="14">
        <f t="shared" si="0"/>
        <v>10</v>
      </c>
      <c r="C11" s="11">
        <v>4</v>
      </c>
      <c r="D11" s="1">
        <v>2022</v>
      </c>
      <c r="E11" s="12">
        <f>'Submetering '!O11+'Submetering '!P11+'Submetering '!Q11+'Submetering '!R11+'Submetering '!S11+'Submetering '!U11</f>
        <v>41360</v>
      </c>
      <c r="F11" s="11">
        <f>(('FS Seychelles'!R12*'FS Seychelles'!S12)+('FS Seychelles'!T12*'FS Seychelles'!U12))/TOTAL!E11</f>
        <v>0.26133397485493232</v>
      </c>
      <c r="G11" s="12">
        <f>'Submetering '!AC11</f>
        <v>0</v>
      </c>
      <c r="H11" s="11">
        <f t="shared" si="1"/>
        <v>1.05</v>
      </c>
      <c r="I11" s="12">
        <f>'FS Seychelles'!V12+'FS Seychelles'!X12+'FS Seychelles'!Y12+'FS Seychelles'!Z12</f>
        <v>350</v>
      </c>
      <c r="J11" s="11">
        <f t="shared" si="2"/>
        <v>0</v>
      </c>
      <c r="K11" s="28">
        <f>'Submetering '!AA11</f>
        <v>116</v>
      </c>
      <c r="L11" s="11">
        <f t="shared" si="2"/>
        <v>0</v>
      </c>
      <c r="M11" s="55">
        <f>'FS Seychelles'!B12</f>
        <v>36.799999999999997</v>
      </c>
    </row>
    <row r="12" spans="1:13" s="15" customFormat="1" x14ac:dyDescent="0.25">
      <c r="A12" s="1" t="s">
        <v>9</v>
      </c>
      <c r="B12" s="14">
        <f t="shared" si="0"/>
        <v>11</v>
      </c>
      <c r="C12" s="11">
        <v>4</v>
      </c>
      <c r="D12" s="1">
        <v>2022</v>
      </c>
      <c r="E12" s="12">
        <f>'Submetering '!O12+'Submetering '!P12+'Submetering '!Q12+'Submetering '!R12+'Submetering '!S12+'Submetering '!U12</f>
        <v>38613</v>
      </c>
      <c r="F12" s="11">
        <f>(('FS Seychelles'!R13*'FS Seychelles'!S13)+('FS Seychelles'!T13*'FS Seychelles'!U13))/TOTAL!E12</f>
        <v>0.30035559008624035</v>
      </c>
      <c r="G12" s="12">
        <f>'Submetering '!AC12</f>
        <v>0</v>
      </c>
      <c r="H12" s="11">
        <f t="shared" si="1"/>
        <v>1.05</v>
      </c>
      <c r="I12" s="12">
        <f>'FS Seychelles'!V13+'FS Seychelles'!X13+'FS Seychelles'!Y13+'FS Seychelles'!Z13</f>
        <v>340</v>
      </c>
      <c r="J12" s="11">
        <f t="shared" si="2"/>
        <v>0</v>
      </c>
      <c r="K12" s="28">
        <f>'Submetering '!AA12</f>
        <v>102</v>
      </c>
      <c r="L12" s="11">
        <f t="shared" si="2"/>
        <v>0</v>
      </c>
      <c r="M12" s="55">
        <f>'FS Seychelles'!B13</f>
        <v>60.5</v>
      </c>
    </row>
    <row r="13" spans="1:13" s="15" customFormat="1" x14ac:dyDescent="0.25">
      <c r="A13" s="1" t="s">
        <v>9</v>
      </c>
      <c r="B13" s="14">
        <f t="shared" si="0"/>
        <v>12</v>
      </c>
      <c r="C13" s="11">
        <v>4</v>
      </c>
      <c r="D13" s="1">
        <v>2022</v>
      </c>
      <c r="E13" s="12">
        <f>'Submetering '!O13+'Submetering '!P13+'Submetering '!Q13+'Submetering '!R13+'Submetering '!S13+'Submetering '!U13</f>
        <v>35114</v>
      </c>
      <c r="F13" s="11">
        <f>(('FS Seychelles'!R14*'FS Seychelles'!S14)+('FS Seychelles'!T14*'FS Seychelles'!U14))/TOTAL!E13</f>
        <v>0.2620370222703195</v>
      </c>
      <c r="G13" s="12">
        <f>'Submetering '!AC13</f>
        <v>0</v>
      </c>
      <c r="H13" s="11">
        <f t="shared" si="1"/>
        <v>1.05</v>
      </c>
      <c r="I13" s="12">
        <f>'FS Seychelles'!V14+'FS Seychelles'!X14+'FS Seychelles'!Y14+'FS Seychelles'!Z14</f>
        <v>309</v>
      </c>
      <c r="J13" s="11">
        <f t="shared" si="2"/>
        <v>0</v>
      </c>
      <c r="K13" s="28">
        <f>'Submetering '!AA13</f>
        <v>60</v>
      </c>
      <c r="L13" s="11">
        <f t="shared" si="2"/>
        <v>0</v>
      </c>
      <c r="M13" s="55">
        <f>'FS Seychelles'!B14</f>
        <v>56.6</v>
      </c>
    </row>
    <row r="14" spans="1:13" s="15" customFormat="1" x14ac:dyDescent="0.25">
      <c r="A14" s="1" t="s">
        <v>9</v>
      </c>
      <c r="B14" s="14">
        <f t="shared" si="0"/>
        <v>13</v>
      </c>
      <c r="C14" s="11">
        <v>4</v>
      </c>
      <c r="D14" s="1">
        <v>2022</v>
      </c>
      <c r="E14" s="12">
        <f>'Submetering '!O14+'Submetering '!P14+'Submetering '!Q14+'Submetering '!R14+'Submetering '!S14+'Submetering '!U14</f>
        <v>40485</v>
      </c>
      <c r="F14" s="11">
        <f>(('FS Seychelles'!R15*'FS Seychelles'!S15)+('FS Seychelles'!T15*'FS Seychelles'!U15))/TOTAL!E14</f>
        <v>0.28572902556502405</v>
      </c>
      <c r="G14" s="12">
        <f>'Submetering '!AC14</f>
        <v>0</v>
      </c>
      <c r="H14" s="11">
        <f t="shared" si="1"/>
        <v>1.05</v>
      </c>
      <c r="I14" s="12">
        <f>'FS Seychelles'!V15+'FS Seychelles'!X15+'FS Seychelles'!Y15+'FS Seychelles'!Z15</f>
        <v>351</v>
      </c>
      <c r="J14" s="11">
        <f t="shared" si="2"/>
        <v>0</v>
      </c>
      <c r="K14" s="28">
        <f>'Submetering '!AA14</f>
        <v>107</v>
      </c>
      <c r="L14" s="11">
        <f t="shared" si="2"/>
        <v>0</v>
      </c>
      <c r="M14" s="55">
        <f>'FS Seychelles'!B15</f>
        <v>0</v>
      </c>
    </row>
    <row r="15" spans="1:13" s="15" customFormat="1" x14ac:dyDescent="0.25">
      <c r="A15" s="1" t="s">
        <v>9</v>
      </c>
      <c r="B15" s="14">
        <f t="shared" si="0"/>
        <v>14</v>
      </c>
      <c r="C15" s="11">
        <v>4</v>
      </c>
      <c r="D15" s="1">
        <v>2022</v>
      </c>
      <c r="E15" s="12">
        <f>'Submetering '!O15+'Submetering '!P15+'Submetering '!Q15+'Submetering '!R15+'Submetering '!S15+'Submetering '!U15</f>
        <v>40441</v>
      </c>
      <c r="F15" s="11">
        <f>(('FS Seychelles'!R16*'FS Seychelles'!S16)+('FS Seychelles'!T16*'FS Seychelles'!U16))/TOTAL!E15</f>
        <v>0.31539680027694672</v>
      </c>
      <c r="G15" s="12">
        <f>'Submetering '!AC15</f>
        <v>0</v>
      </c>
      <c r="H15" s="11">
        <f t="shared" si="1"/>
        <v>1.05</v>
      </c>
      <c r="I15" s="12">
        <f>'FS Seychelles'!V16+'FS Seychelles'!X16+'FS Seychelles'!Y16+'FS Seychelles'!Z16</f>
        <v>0</v>
      </c>
      <c r="J15" s="11">
        <f t="shared" si="2"/>
        <v>0</v>
      </c>
      <c r="K15" s="28">
        <f>'Submetering '!AA15</f>
        <v>0</v>
      </c>
      <c r="L15" s="11">
        <f t="shared" si="2"/>
        <v>0</v>
      </c>
      <c r="M15" s="55">
        <f>'FS Seychelles'!B16</f>
        <v>0</v>
      </c>
    </row>
    <row r="16" spans="1:13" s="15" customFormat="1" x14ac:dyDescent="0.25">
      <c r="A16" s="1" t="s">
        <v>9</v>
      </c>
      <c r="B16" s="14">
        <f t="shared" si="0"/>
        <v>15</v>
      </c>
      <c r="C16" s="11">
        <v>4</v>
      </c>
      <c r="D16" s="1">
        <v>2022</v>
      </c>
      <c r="E16" s="12">
        <f>'Submetering '!O16+'Submetering '!P16+'Submetering '!Q16+'Submetering '!R16+'Submetering '!S16+'Submetering '!U16</f>
        <v>40854</v>
      </c>
      <c r="F16" s="11">
        <f>(('FS Seychelles'!R17*'FS Seychelles'!S17)+('FS Seychelles'!T17*'FS Seychelles'!U17))/TOTAL!E16</f>
        <v>0.32061095608753121</v>
      </c>
      <c r="G16" s="12">
        <f>'Submetering '!AC16</f>
        <v>0</v>
      </c>
      <c r="H16" s="11">
        <f t="shared" si="1"/>
        <v>1.05</v>
      </c>
      <c r="I16" s="12">
        <f>'FS Seychelles'!V17+'FS Seychelles'!X17+'FS Seychelles'!Y17+'FS Seychelles'!Z17</f>
        <v>128</v>
      </c>
      <c r="J16" s="11">
        <f t="shared" si="2"/>
        <v>0</v>
      </c>
      <c r="K16" s="28">
        <f>'Submetering '!AA16</f>
        <v>73</v>
      </c>
      <c r="L16" s="11">
        <f t="shared" si="2"/>
        <v>0</v>
      </c>
      <c r="M16" s="55">
        <f>'FS Seychelles'!B17</f>
        <v>0</v>
      </c>
    </row>
    <row r="17" spans="1:13" s="15" customFormat="1" x14ac:dyDescent="0.25">
      <c r="A17" s="1" t="s">
        <v>9</v>
      </c>
      <c r="B17" s="14">
        <f t="shared" si="0"/>
        <v>16</v>
      </c>
      <c r="C17" s="11">
        <v>4</v>
      </c>
      <c r="D17" s="1">
        <v>2022</v>
      </c>
      <c r="E17" s="12">
        <f>'Submetering '!O17+'Submetering '!P17+'Submetering '!Q17+'Submetering '!R17+'Submetering '!S17+'Submetering '!U17</f>
        <v>37681</v>
      </c>
      <c r="F17" s="11">
        <f>(('FS Seychelles'!R18*'FS Seychelles'!S18)+('FS Seychelles'!T18*'FS Seychelles'!U18))/TOTAL!E17</f>
        <v>0.32307422839096628</v>
      </c>
      <c r="G17" s="12">
        <f>'Submetering '!AC17</f>
        <v>0</v>
      </c>
      <c r="H17" s="11">
        <f t="shared" si="1"/>
        <v>1.05</v>
      </c>
      <c r="I17" s="12">
        <f>'FS Seychelles'!V19+'FS Seychelles'!X18+'FS Seychelles'!Y18+'FS Seychelles'!Z18</f>
        <v>214</v>
      </c>
      <c r="J17" s="11">
        <f t="shared" si="2"/>
        <v>0</v>
      </c>
      <c r="K17" s="28">
        <f>'Submetering '!AA17</f>
        <v>0</v>
      </c>
      <c r="L17" s="11">
        <f t="shared" si="2"/>
        <v>0</v>
      </c>
      <c r="M17" s="55">
        <f>'FS Seychelles'!B18</f>
        <v>0</v>
      </c>
    </row>
    <row r="18" spans="1:13" s="15" customFormat="1" x14ac:dyDescent="0.25">
      <c r="A18" s="1" t="s">
        <v>9</v>
      </c>
      <c r="B18" s="14">
        <f t="shared" si="0"/>
        <v>17</v>
      </c>
      <c r="C18" s="11">
        <v>4</v>
      </c>
      <c r="D18" s="1">
        <v>2022</v>
      </c>
      <c r="E18" s="12">
        <f>'Submetering '!O18+'Submetering '!P18+'Submetering '!Q18+'Submetering '!R18+'Submetering '!S18+'Submetering '!U18</f>
        <v>35507</v>
      </c>
      <c r="F18" s="11">
        <f>(('FS Seychelles'!R19*'FS Seychelles'!S19)+('FS Seychelles'!T19*'FS Seychelles'!U19))/TOTAL!E18</f>
        <v>0.31783254006252287</v>
      </c>
      <c r="G18" s="12">
        <f>'Submetering '!AC18</f>
        <v>0</v>
      </c>
      <c r="H18" s="11">
        <f t="shared" si="1"/>
        <v>1.05</v>
      </c>
      <c r="I18" s="12">
        <f>'FS Seychelles'!V20+'FS Seychelles'!X19+'FS Seychelles'!Y19+'FS Seychelles'!Z19</f>
        <v>302</v>
      </c>
      <c r="J18" s="11">
        <f t="shared" si="2"/>
        <v>0</v>
      </c>
      <c r="K18" s="28">
        <f>'Submetering '!AA18</f>
        <v>71</v>
      </c>
      <c r="L18" s="11">
        <f t="shared" si="2"/>
        <v>0</v>
      </c>
      <c r="M18" s="55">
        <f>'FS Seychelles'!B19</f>
        <v>0</v>
      </c>
    </row>
    <row r="19" spans="1:13" s="15" customFormat="1" x14ac:dyDescent="0.25">
      <c r="A19" s="1" t="s">
        <v>9</v>
      </c>
      <c r="B19" s="14">
        <f t="shared" si="0"/>
        <v>18</v>
      </c>
      <c r="C19" s="11">
        <v>4</v>
      </c>
      <c r="D19" s="1">
        <v>2022</v>
      </c>
      <c r="E19" s="12">
        <f>'Submetering '!O19+'Submetering '!P19+'Submetering '!Q19+'Submetering '!R19+'Submetering '!S19+'Submetering '!U19</f>
        <v>40307</v>
      </c>
      <c r="F19" s="11">
        <f>(('FS Seychelles'!R20*'FS Seychelles'!S20)+('FS Seychelles'!T20*'FS Seychelles'!U20))/TOTAL!E19</f>
        <v>0.32660530428957746</v>
      </c>
      <c r="G19" s="12">
        <f>'Submetering '!AC19</f>
        <v>0</v>
      </c>
      <c r="H19" s="11">
        <f t="shared" si="1"/>
        <v>1.05</v>
      </c>
      <c r="I19" s="12">
        <f>'FS Seychelles'!V21+'FS Seychelles'!X20+'FS Seychelles'!Y20+'FS Seychelles'!Z20</f>
        <v>338</v>
      </c>
      <c r="J19" s="11">
        <f t="shared" si="2"/>
        <v>0</v>
      </c>
      <c r="K19" s="28">
        <f>'Submetering '!AA19</f>
        <v>115</v>
      </c>
      <c r="L19" s="11">
        <f t="shared" si="2"/>
        <v>0</v>
      </c>
      <c r="M19" s="55">
        <f>'FS Seychelles'!B20</f>
        <v>0</v>
      </c>
    </row>
    <row r="20" spans="1:13" s="15" customFormat="1" x14ac:dyDescent="0.25">
      <c r="A20" s="1" t="s">
        <v>9</v>
      </c>
      <c r="B20" s="14">
        <f t="shared" si="0"/>
        <v>19</v>
      </c>
      <c r="C20" s="11">
        <v>4</v>
      </c>
      <c r="D20" s="1">
        <v>2022</v>
      </c>
      <c r="E20" s="12">
        <f>'Submetering '!O20+'Submetering '!P20+'Submetering '!Q20+'Submetering '!R20+'Submetering '!S20+'Submetering '!U20</f>
        <v>40287</v>
      </c>
      <c r="F20" s="11">
        <f>(('FS Seychelles'!R21*'FS Seychelles'!S21)+('FS Seychelles'!T21*'FS Seychelles'!U21))/TOTAL!E20</f>
        <v>0.31011095390572641</v>
      </c>
      <c r="G20" s="12">
        <f>'Submetering '!AC20</f>
        <v>0</v>
      </c>
      <c r="H20" s="11">
        <f t="shared" si="1"/>
        <v>1.05</v>
      </c>
      <c r="I20" s="12">
        <f>'FS Seychelles'!V21+'FS Seychelles'!X21+'FS Seychelles'!Y21+'FS Seychelles'!Z21</f>
        <v>0</v>
      </c>
      <c r="J20" s="11">
        <f t="shared" si="2"/>
        <v>0</v>
      </c>
      <c r="K20" s="28">
        <f>'Submetering '!AA20</f>
        <v>0</v>
      </c>
      <c r="L20" s="11">
        <f t="shared" si="2"/>
        <v>0</v>
      </c>
      <c r="M20" s="55">
        <f>'FS Seychelles'!B21</f>
        <v>0</v>
      </c>
    </row>
    <row r="21" spans="1:13" s="15" customFormat="1" x14ac:dyDescent="0.25">
      <c r="A21" s="1" t="s">
        <v>9</v>
      </c>
      <c r="B21" s="14">
        <f t="shared" si="0"/>
        <v>20</v>
      </c>
      <c r="C21" s="11">
        <v>4</v>
      </c>
      <c r="D21" s="1">
        <v>2022</v>
      </c>
      <c r="E21" s="12">
        <f>'Submetering '!O21+'Submetering '!P21+'Submetering '!Q21+'Submetering '!R21+'Submetering '!S21+'Submetering '!U21</f>
        <v>37666</v>
      </c>
      <c r="F21" s="11">
        <f>(('FS Seychelles'!R22*'FS Seychelles'!S22)+('FS Seychelles'!T22*'FS Seychelles'!U22))/TOTAL!E21</f>
        <v>0.32928158020495935</v>
      </c>
      <c r="G21" s="12">
        <f>'Submetering '!AC21</f>
        <v>0</v>
      </c>
      <c r="H21" s="11">
        <f t="shared" si="1"/>
        <v>1.05</v>
      </c>
      <c r="I21" s="12">
        <f>'FS Seychelles'!V22+'FS Seychelles'!X22+'FS Seychelles'!Y22+'FS Seychelles'!Z22</f>
        <v>299</v>
      </c>
      <c r="J21" s="11">
        <f t="shared" si="2"/>
        <v>0</v>
      </c>
      <c r="K21" s="28">
        <f>'Submetering '!AA21</f>
        <v>115</v>
      </c>
      <c r="L21" s="11">
        <f t="shared" si="2"/>
        <v>0</v>
      </c>
      <c r="M21" s="55">
        <f>'FS Seychelles'!B22</f>
        <v>0</v>
      </c>
    </row>
    <row r="22" spans="1:13" s="15" customFormat="1" x14ac:dyDescent="0.25">
      <c r="A22" s="1" t="s">
        <v>9</v>
      </c>
      <c r="B22" s="14">
        <f t="shared" si="0"/>
        <v>21</v>
      </c>
      <c r="C22" s="11">
        <v>4</v>
      </c>
      <c r="D22" s="1">
        <v>2022</v>
      </c>
      <c r="E22" s="12">
        <f>'Submetering '!O22+'Submetering '!P22+'Submetering '!Q22+'Submetering '!R22+'Submetering '!S22+'Submetering '!U22</f>
        <v>53693</v>
      </c>
      <c r="F22" s="11">
        <f>(('FS Seychelles'!R23*'FS Seychelles'!S23)+('FS Seychelles'!T23*'FS Seychelles'!U23))/TOTAL!E22</f>
        <v>0.30080345668895386</v>
      </c>
      <c r="G22" s="12">
        <f>'Submetering '!AC22</f>
        <v>0</v>
      </c>
      <c r="H22" s="11">
        <f t="shared" si="1"/>
        <v>1.05</v>
      </c>
      <c r="I22" s="12">
        <f>'FS Seychelles'!V23+'FS Seychelles'!X23+'FS Seychelles'!Y23+'FS Seychelles'!Z23</f>
        <v>376</v>
      </c>
      <c r="J22" s="11">
        <f t="shared" si="2"/>
        <v>0</v>
      </c>
      <c r="K22" s="28">
        <f>'Submetering '!AA22</f>
        <v>118</v>
      </c>
      <c r="L22" s="11">
        <f t="shared" si="2"/>
        <v>0</v>
      </c>
      <c r="M22" s="55">
        <f>'FS Seychelles'!B23</f>
        <v>0</v>
      </c>
    </row>
    <row r="23" spans="1:13" s="15" customFormat="1" x14ac:dyDescent="0.25">
      <c r="A23" s="1" t="s">
        <v>9</v>
      </c>
      <c r="B23" s="14">
        <f t="shared" si="0"/>
        <v>22</v>
      </c>
      <c r="C23" s="11">
        <v>4</v>
      </c>
      <c r="D23" s="1">
        <v>2022</v>
      </c>
      <c r="E23" s="12">
        <f>'Submetering '!O23+'Submetering '!P23+'Submetering '!Q23+'Submetering '!R23+'Submetering '!S23+'Submetering '!U23</f>
        <v>19530</v>
      </c>
      <c r="F23" s="11">
        <f>(('FS Seychelles'!R24*'FS Seychelles'!S24)+('FS Seychelles'!T24*'FS Seychelles'!U24))/TOTAL!E23</f>
        <v>0.44785253456221197</v>
      </c>
      <c r="G23" s="12">
        <f>'Submetering '!AC23</f>
        <v>0</v>
      </c>
      <c r="H23" s="11">
        <f t="shared" si="1"/>
        <v>1.05</v>
      </c>
      <c r="I23" s="12">
        <f>'FS Seychelles'!V24+'FS Seychelles'!X24+'FS Seychelles'!Y24+'FS Seychelles'!Z24</f>
        <v>441</v>
      </c>
      <c r="J23" s="11">
        <f t="shared" si="2"/>
        <v>0</v>
      </c>
      <c r="K23" s="28">
        <f>'Submetering '!AA23</f>
        <v>110</v>
      </c>
      <c r="L23" s="11">
        <f t="shared" si="2"/>
        <v>0</v>
      </c>
      <c r="M23" s="55">
        <f>'FS Seychelles'!B24</f>
        <v>0</v>
      </c>
    </row>
    <row r="24" spans="1:13" s="15" customFormat="1" x14ac:dyDescent="0.25">
      <c r="A24" s="1" t="s">
        <v>9</v>
      </c>
      <c r="B24" s="14">
        <f t="shared" si="0"/>
        <v>23</v>
      </c>
      <c r="C24" s="11">
        <v>4</v>
      </c>
      <c r="D24" s="1">
        <v>2022</v>
      </c>
      <c r="E24" s="12">
        <f>'Submetering '!O24+'Submetering '!P24+'Submetering '!Q24+'Submetering '!R24+'Submetering '!S24+'Submetering '!U24</f>
        <v>37015</v>
      </c>
      <c r="F24" s="11">
        <f>(('FS Seychelles'!R25*'FS Seychelles'!S25)+('FS Seychelles'!T25*'FS Seychelles'!U25))/TOTAL!E24</f>
        <v>0.3202118060245846</v>
      </c>
      <c r="G24" s="12">
        <f>'Submetering '!AC24</f>
        <v>0</v>
      </c>
      <c r="H24" s="11">
        <f t="shared" si="1"/>
        <v>1.05</v>
      </c>
      <c r="I24" s="12">
        <f>'FS Seychelles'!V25+'FS Seychelles'!X25+'FS Seychelles'!Y25+'FS Seychelles'!Z25</f>
        <v>479</v>
      </c>
      <c r="J24" s="11">
        <f t="shared" si="2"/>
        <v>0</v>
      </c>
      <c r="K24" s="28">
        <f>'Submetering '!AA24</f>
        <v>112</v>
      </c>
      <c r="L24" s="11">
        <f t="shared" si="2"/>
        <v>0</v>
      </c>
      <c r="M24" s="55">
        <f>'FS Seychelles'!B25</f>
        <v>0</v>
      </c>
    </row>
    <row r="25" spans="1:13" s="15" customFormat="1" x14ac:dyDescent="0.25">
      <c r="A25" s="1" t="s">
        <v>9</v>
      </c>
      <c r="B25" s="14">
        <f t="shared" si="0"/>
        <v>24</v>
      </c>
      <c r="C25" s="11">
        <v>4</v>
      </c>
      <c r="D25" s="1">
        <v>2022</v>
      </c>
      <c r="E25" s="12">
        <f>'Submetering '!O25+'Submetering '!P25+'Submetering '!Q25+'Submetering '!R25+'Submetering '!S25+'Submetering '!U25</f>
        <v>37788</v>
      </c>
      <c r="F25" s="11">
        <f>(('FS Seychelles'!R26*'FS Seychelles'!S26)+('FS Seychelles'!T26*'FS Seychelles'!U26))/TOTAL!E25</f>
        <v>0.32410288980628771</v>
      </c>
      <c r="G25" s="12">
        <f>'Submetering '!AC25</f>
        <v>0</v>
      </c>
      <c r="H25" s="11">
        <f t="shared" si="1"/>
        <v>1.05</v>
      </c>
      <c r="I25" s="12">
        <f>'FS Seychelles'!V26+'FS Seychelles'!X26+'FS Seychelles'!Y26+'FS Seychelles'!Z26</f>
        <v>346</v>
      </c>
      <c r="J25" s="11">
        <f t="shared" si="2"/>
        <v>0</v>
      </c>
      <c r="K25" s="28">
        <f>'Submetering '!AA25</f>
        <v>106</v>
      </c>
      <c r="L25" s="11">
        <f t="shared" si="2"/>
        <v>0</v>
      </c>
      <c r="M25" s="55">
        <f>'FS Seychelles'!B26</f>
        <v>0</v>
      </c>
    </row>
    <row r="26" spans="1:13" s="15" customFormat="1" x14ac:dyDescent="0.25">
      <c r="A26" s="1" t="s">
        <v>9</v>
      </c>
      <c r="B26" s="14">
        <f>B25+1</f>
        <v>25</v>
      </c>
      <c r="C26" s="11">
        <v>4</v>
      </c>
      <c r="D26" s="1">
        <v>2022</v>
      </c>
      <c r="E26" s="12">
        <f>'Submetering '!O26+'Submetering '!P26+'Submetering '!Q26+'Submetering '!R26+'Submetering '!S26+'Submetering '!U26</f>
        <v>38148</v>
      </c>
      <c r="F26" s="11">
        <f>(('FS Seychelles'!R27*'FS Seychelles'!S27)+('FS Seychelles'!T27*'FS Seychelles'!U27))/TOTAL!E26</f>
        <v>0</v>
      </c>
      <c r="G26" s="12">
        <f>'Submetering '!AC26</f>
        <v>0</v>
      </c>
      <c r="H26" s="11">
        <f t="shared" si="1"/>
        <v>1.05</v>
      </c>
      <c r="I26" s="12">
        <f>'FS Seychelles'!V27+'FS Seychelles'!X27+'FS Seychelles'!Y27+'FS Seychelles'!Z27</f>
        <v>0</v>
      </c>
      <c r="J26" s="11">
        <f t="shared" si="2"/>
        <v>0</v>
      </c>
      <c r="K26" s="28">
        <f>'Submetering '!AA26</f>
        <v>0</v>
      </c>
      <c r="L26" s="11">
        <f t="shared" si="2"/>
        <v>0</v>
      </c>
      <c r="M26" s="55">
        <f>'FS Seychelles'!B27</f>
        <v>0</v>
      </c>
    </row>
    <row r="27" spans="1:13" s="15" customFormat="1" x14ac:dyDescent="0.25">
      <c r="A27" s="1" t="s">
        <v>9</v>
      </c>
      <c r="B27" s="14">
        <f t="shared" si="0"/>
        <v>26</v>
      </c>
      <c r="C27" s="11">
        <v>4</v>
      </c>
      <c r="D27" s="1">
        <v>2022</v>
      </c>
      <c r="E27" s="12">
        <f>'Submetering '!O27+'Submetering '!P27+'Submetering '!Q27+'Submetering '!R27+'Submetering '!S27+'Submetering '!U27</f>
        <v>0</v>
      </c>
      <c r="F27" s="11" t="e">
        <f>(('FS Seychelles'!R28*'FS Seychelles'!S28)+('FS Seychelles'!T28*'FS Seychelles'!U28))/TOTAL!E27</f>
        <v>#DIV/0!</v>
      </c>
      <c r="G27" s="12">
        <f>'Submetering '!AC27</f>
        <v>0</v>
      </c>
      <c r="H27" s="11">
        <f t="shared" si="1"/>
        <v>1.05</v>
      </c>
      <c r="I27" s="12">
        <f>'FS Seychelles'!V28+'FS Seychelles'!X28+'FS Seychelles'!Y28+'FS Seychelles'!Z28</f>
        <v>0</v>
      </c>
      <c r="J27" s="11">
        <f t="shared" si="2"/>
        <v>0</v>
      </c>
      <c r="K27" s="28">
        <f>'Submetering '!AA27</f>
        <v>0</v>
      </c>
      <c r="L27" s="11">
        <f t="shared" si="2"/>
        <v>0</v>
      </c>
      <c r="M27" s="55">
        <f>'FS Seychelles'!B28</f>
        <v>0</v>
      </c>
    </row>
    <row r="28" spans="1:13" s="15" customFormat="1" x14ac:dyDescent="0.25">
      <c r="A28" s="1" t="s">
        <v>9</v>
      </c>
      <c r="B28" s="14">
        <f t="shared" si="0"/>
        <v>27</v>
      </c>
      <c r="C28" s="11">
        <v>4</v>
      </c>
      <c r="D28" s="1">
        <v>2022</v>
      </c>
      <c r="E28" s="12">
        <f>'Submetering '!O28+'Submetering '!P28+'Submetering '!Q28+'Submetering '!R28+'Submetering '!S28+'Submetering '!U28</f>
        <v>0</v>
      </c>
      <c r="F28" s="11" t="e">
        <f>(('FS Seychelles'!R29*'FS Seychelles'!S29)+('FS Seychelles'!T29*'FS Seychelles'!U29))/TOTAL!E28</f>
        <v>#DIV/0!</v>
      </c>
      <c r="G28" s="12">
        <f>'Submetering '!AC28</f>
        <v>0</v>
      </c>
      <c r="H28" s="11">
        <f t="shared" si="1"/>
        <v>1.05</v>
      </c>
      <c r="I28" s="12">
        <f>'FS Seychelles'!V29+'FS Seychelles'!X29+'FS Seychelles'!Y29+'FS Seychelles'!Z29</f>
        <v>0</v>
      </c>
      <c r="J28" s="11">
        <f t="shared" si="2"/>
        <v>0</v>
      </c>
      <c r="K28" s="28">
        <f>'Submetering '!AA28</f>
        <v>0</v>
      </c>
      <c r="L28" s="11">
        <f t="shared" si="2"/>
        <v>0</v>
      </c>
      <c r="M28" s="55">
        <f>'FS Seychelles'!B29</f>
        <v>0</v>
      </c>
    </row>
    <row r="29" spans="1:13" s="15" customFormat="1" x14ac:dyDescent="0.25">
      <c r="A29" s="1" t="s">
        <v>9</v>
      </c>
      <c r="B29" s="14">
        <f t="shared" si="0"/>
        <v>28</v>
      </c>
      <c r="C29" s="11">
        <v>4</v>
      </c>
      <c r="D29" s="1">
        <v>2022</v>
      </c>
      <c r="E29" s="12">
        <f>'Submetering '!O29+'Submetering '!P29+'Submetering '!Q29+'Submetering '!R29+'Submetering '!S29+'Submetering '!U29</f>
        <v>0</v>
      </c>
      <c r="F29" s="11" t="e">
        <f>(('FS Seychelles'!R30*'FS Seychelles'!S30)+('FS Seychelles'!T30*'FS Seychelles'!U30))/TOTAL!E29</f>
        <v>#DIV/0!</v>
      </c>
      <c r="G29" s="12">
        <f>'Submetering '!AC29</f>
        <v>0</v>
      </c>
      <c r="H29" s="11">
        <f t="shared" si="1"/>
        <v>1.05</v>
      </c>
      <c r="I29" s="12">
        <f>'FS Seychelles'!V30+'FS Seychelles'!X30+'FS Seychelles'!Y30+'FS Seychelles'!Z30</f>
        <v>0</v>
      </c>
      <c r="J29" s="11">
        <f t="shared" si="2"/>
        <v>0</v>
      </c>
      <c r="K29" s="28">
        <f>'Submetering '!AA29</f>
        <v>0</v>
      </c>
      <c r="L29" s="11">
        <f t="shared" si="2"/>
        <v>0</v>
      </c>
      <c r="M29" s="55">
        <f>'FS Seychelles'!B30</f>
        <v>0</v>
      </c>
    </row>
    <row r="30" spans="1:13" s="15" customFormat="1" x14ac:dyDescent="0.25">
      <c r="A30" s="1" t="s">
        <v>9</v>
      </c>
      <c r="B30" s="14">
        <f t="shared" si="0"/>
        <v>29</v>
      </c>
      <c r="C30" s="11">
        <v>4</v>
      </c>
      <c r="D30" s="1">
        <v>2022</v>
      </c>
      <c r="E30" s="12">
        <f>'Submetering '!O30+'Submetering '!P30+'Submetering '!Q30+'Submetering '!R30+'Submetering '!S30+'Submetering '!U30</f>
        <v>0</v>
      </c>
      <c r="F30" s="11" t="e">
        <f>(('FS Seychelles'!R31*'FS Seychelles'!S31)+('FS Seychelles'!T31*'FS Seychelles'!U31))/TOTAL!E30</f>
        <v>#DIV/0!</v>
      </c>
      <c r="G30" s="12">
        <f>'Submetering '!AC30</f>
        <v>0</v>
      </c>
      <c r="H30" s="11">
        <f t="shared" si="1"/>
        <v>1.05</v>
      </c>
      <c r="I30" s="12">
        <f>'FS Seychelles'!V31+'FS Seychelles'!X31+'FS Seychelles'!Y31+'FS Seychelles'!Z31</f>
        <v>0</v>
      </c>
      <c r="J30" s="11">
        <f t="shared" si="2"/>
        <v>0</v>
      </c>
      <c r="K30" s="28">
        <f>'Submetering '!AA30</f>
        <v>0</v>
      </c>
      <c r="L30" s="11">
        <f t="shared" si="2"/>
        <v>0</v>
      </c>
      <c r="M30" s="55">
        <f>'FS Seychelles'!B31</f>
        <v>0</v>
      </c>
    </row>
    <row r="31" spans="1:13" s="13" customFormat="1" x14ac:dyDescent="0.25">
      <c r="A31" s="1" t="s">
        <v>9</v>
      </c>
      <c r="B31" s="14">
        <f t="shared" si="0"/>
        <v>30</v>
      </c>
      <c r="C31" s="11">
        <v>4</v>
      </c>
      <c r="D31" s="1">
        <v>2022</v>
      </c>
      <c r="E31" s="12">
        <f>'Submetering '!O31+'Submetering '!P31+'Submetering '!Q31+'Submetering '!R31+'Submetering '!S31+'Submetering '!U31</f>
        <v>0</v>
      </c>
      <c r="F31" s="11" t="e">
        <f>(('FS Seychelles'!R32*'FS Seychelles'!S32)+('FS Seychelles'!T32*'FS Seychelles'!U32))/TOTAL!E31</f>
        <v>#DIV/0!</v>
      </c>
      <c r="G31" s="12">
        <f>'Submetering '!AC31</f>
        <v>0</v>
      </c>
      <c r="H31" s="11">
        <f t="shared" si="1"/>
        <v>1.05</v>
      </c>
      <c r="I31" s="12">
        <f>'FS Seychelles'!V32+'FS Seychelles'!X32+'FS Seychelles'!Y32+'FS Seychelles'!Z32</f>
        <v>0</v>
      </c>
      <c r="J31" s="11">
        <f t="shared" si="2"/>
        <v>0</v>
      </c>
      <c r="K31" s="28">
        <f>'Submetering '!AA31</f>
        <v>0</v>
      </c>
      <c r="L31" s="11">
        <f t="shared" si="2"/>
        <v>0</v>
      </c>
      <c r="M31" s="55">
        <f>'FS Seychelles'!B32</f>
        <v>0</v>
      </c>
    </row>
    <row r="32" spans="1:13" x14ac:dyDescent="0.25">
      <c r="A32" s="1" t="s">
        <v>9</v>
      </c>
      <c r="B32" s="14">
        <v>31</v>
      </c>
      <c r="C32" s="11">
        <v>4</v>
      </c>
      <c r="D32" s="1">
        <v>2022</v>
      </c>
      <c r="E32" s="12">
        <f>'Submetering '!O32+'Submetering '!P32+'Submetering '!Q32+'Submetering '!R32+'Submetering '!S32+'Submetering '!U32</f>
        <v>0</v>
      </c>
      <c r="F32" s="11" t="e">
        <f>(('FS Seychelles'!R33*'FS Seychelles'!S33)+('FS Seychelles'!T33*'FS Seychelles'!U33))/TOTAL!E32</f>
        <v>#DIV/0!</v>
      </c>
      <c r="G32" s="12">
        <f>'Submetering '!AC32</f>
        <v>0</v>
      </c>
      <c r="H32" s="11">
        <f t="shared" si="1"/>
        <v>1.05</v>
      </c>
      <c r="I32" s="12">
        <f>'FS Seychelles'!V33+'FS Seychelles'!X33+'FS Seychelles'!Y33+'FS Seychelles'!Z33</f>
        <v>0</v>
      </c>
      <c r="J32" s="11">
        <f t="shared" si="2"/>
        <v>0</v>
      </c>
      <c r="K32" s="28">
        <f>'Submetering '!AA32</f>
        <v>0</v>
      </c>
      <c r="L32" s="11">
        <f t="shared" si="2"/>
        <v>0</v>
      </c>
      <c r="M32" s="55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35"/>
  <sheetViews>
    <sheetView topLeftCell="A2" workbookViewId="0">
      <selection activeCell="C2" sqref="C2:C32"/>
    </sheetView>
  </sheetViews>
  <sheetFormatPr defaultColWidth="11.5703125" defaultRowHeight="15" x14ac:dyDescent="0.25"/>
  <cols>
    <col min="1" max="1" width="22.28515625" style="25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1" width="12.28515625" style="18" customWidth="1"/>
    <col min="22" max="23" width="12.5703125" style="18" customWidth="1"/>
    <col min="24" max="29" width="16.5703125" style="18" customWidth="1"/>
  </cols>
  <sheetData>
    <row r="1" spans="1:29" s="9" customFormat="1" ht="30" x14ac:dyDescent="0.25">
      <c r="A1" s="26" t="s">
        <v>0</v>
      </c>
      <c r="B1" s="23" t="s">
        <v>1</v>
      </c>
      <c r="C1" s="23" t="s">
        <v>2</v>
      </c>
      <c r="D1" s="23" t="s">
        <v>3</v>
      </c>
      <c r="E1" s="24" t="s">
        <v>10</v>
      </c>
      <c r="F1" s="24" t="s">
        <v>11</v>
      </c>
      <c r="G1" s="24" t="s">
        <v>12</v>
      </c>
      <c r="H1" s="24" t="s">
        <v>13</v>
      </c>
      <c r="I1" s="24" t="s">
        <v>14</v>
      </c>
      <c r="J1" s="24" t="s">
        <v>15</v>
      </c>
      <c r="K1" s="24" t="s">
        <v>16</v>
      </c>
      <c r="L1" s="24" t="s">
        <v>17</v>
      </c>
      <c r="M1" s="24" t="s">
        <v>18</v>
      </c>
      <c r="N1" s="24" t="s">
        <v>19</v>
      </c>
      <c r="O1" s="24" t="s">
        <v>20</v>
      </c>
      <c r="P1" s="24" t="s">
        <v>21</v>
      </c>
      <c r="Q1" s="24" t="s">
        <v>22</v>
      </c>
      <c r="R1" s="24" t="s">
        <v>23</v>
      </c>
      <c r="S1" s="24" t="s">
        <v>24</v>
      </c>
      <c r="T1" s="24" t="s">
        <v>25</v>
      </c>
      <c r="U1" s="24" t="s">
        <v>26</v>
      </c>
      <c r="V1" s="24" t="s">
        <v>27</v>
      </c>
      <c r="W1" s="24" t="s">
        <v>28</v>
      </c>
      <c r="X1" s="24" t="s">
        <v>29</v>
      </c>
      <c r="Y1" s="24" t="s">
        <v>30</v>
      </c>
      <c r="Z1" s="24" t="s">
        <v>31</v>
      </c>
      <c r="AA1" s="24" t="s">
        <v>32</v>
      </c>
      <c r="AB1" s="24" t="s">
        <v>33</v>
      </c>
      <c r="AC1" s="24" t="s">
        <v>34</v>
      </c>
    </row>
    <row r="2" spans="1:29" x14ac:dyDescent="0.25">
      <c r="A2" s="1" t="s">
        <v>9</v>
      </c>
      <c r="B2" s="11">
        <v>1</v>
      </c>
      <c r="C2" s="11">
        <v>4</v>
      </c>
      <c r="D2" s="11">
        <v>2022</v>
      </c>
      <c r="E2" s="18">
        <f>'FS Seychelles'!B3</f>
        <v>36.799999999999997</v>
      </c>
      <c r="F2" s="18">
        <f>'FS Seychelles'!D3*1000</f>
        <v>0</v>
      </c>
      <c r="G2" s="18">
        <f>'FS Seychelles'!E3*1000</f>
        <v>0</v>
      </c>
      <c r="H2" s="18">
        <f>'FS Seychelles'!F3*1000</f>
        <v>0</v>
      </c>
      <c r="I2" s="18">
        <f>'FS Seychelles'!G3*1000</f>
        <v>0</v>
      </c>
      <c r="J2" s="18">
        <f>'FS Seychelles'!H3*1000</f>
        <v>0</v>
      </c>
      <c r="K2" s="18">
        <f>'FS Seychelles'!I3*1000</f>
        <v>0</v>
      </c>
      <c r="L2" s="18">
        <f>'FS Seychelles'!J3*1000</f>
        <v>0</v>
      </c>
      <c r="M2" s="18">
        <f>'FS Seychelles'!K3*1000</f>
        <v>0</v>
      </c>
      <c r="N2" s="18">
        <f>'FS Seychelles'!L3*1000</f>
        <v>0</v>
      </c>
      <c r="O2" s="18">
        <f>'FS Seychelles'!M3</f>
        <v>11875</v>
      </c>
      <c r="P2" s="18">
        <f>'FS Seychelles'!N3</f>
        <v>8398</v>
      </c>
      <c r="Q2" s="18">
        <f>'FS Seychelles'!O3</f>
        <v>9029</v>
      </c>
      <c r="R2" s="18">
        <f>'FS Seychelles'!P3</f>
        <v>9524</v>
      </c>
      <c r="S2" s="18">
        <f>'FS Seychelles'!Q3</f>
        <v>6769</v>
      </c>
      <c r="T2" s="18">
        <f>'FS Seychelles'!R3</f>
        <v>10345</v>
      </c>
      <c r="U2" s="18">
        <f>'FS Seychelles'!T3</f>
        <v>0</v>
      </c>
      <c r="V2" s="18">
        <f>'FS Seychelles'!V3</f>
        <v>59</v>
      </c>
      <c r="W2" s="18">
        <f>'FS Seychelles'!W3</f>
        <v>0</v>
      </c>
      <c r="X2" s="18">
        <f>'FS Seychelles'!X3</f>
        <v>54</v>
      </c>
      <c r="Y2" s="18">
        <f>'FS Seychelles'!Y3</f>
        <v>150</v>
      </c>
      <c r="Z2" s="18">
        <f>'FS Seychelles'!Z3</f>
        <v>128</v>
      </c>
      <c r="AA2" s="18">
        <f>'FS Seychelles'!AA3</f>
        <v>112</v>
      </c>
      <c r="AB2" s="18">
        <f>'FS Seychelles'!AB3</f>
        <v>0</v>
      </c>
      <c r="AC2" s="18">
        <f>('FS Seychelles'!AF9+'FS Seychelles'!AF15)/30</f>
        <v>0</v>
      </c>
    </row>
    <row r="3" spans="1:29" x14ac:dyDescent="0.25">
      <c r="A3" s="1" t="s">
        <v>9</v>
      </c>
      <c r="B3" s="11">
        <f>B2+1</f>
        <v>2</v>
      </c>
      <c r="C3" s="11">
        <v>4</v>
      </c>
      <c r="D3" s="11">
        <v>2022</v>
      </c>
      <c r="E3" s="18">
        <f>'FS Seychelles'!B4</f>
        <v>35.5</v>
      </c>
      <c r="F3" s="18">
        <f>'FS Seychelles'!D4*1000</f>
        <v>0</v>
      </c>
      <c r="G3" s="18">
        <f>'FS Seychelles'!E4*1000</f>
        <v>0</v>
      </c>
      <c r="H3" s="18">
        <f>'FS Seychelles'!F4*1000</f>
        <v>0</v>
      </c>
      <c r="I3" s="18">
        <f>'FS Seychelles'!G4*1000</f>
        <v>0</v>
      </c>
      <c r="J3" s="18">
        <f>'FS Seychelles'!H4*1000</f>
        <v>0</v>
      </c>
      <c r="K3" s="18">
        <f>'FS Seychelles'!I4*1000</f>
        <v>0</v>
      </c>
      <c r="L3" s="18">
        <f>'FS Seychelles'!J4*1000</f>
        <v>0</v>
      </c>
      <c r="M3" s="18">
        <f>'FS Seychelles'!K4*1000</f>
        <v>0</v>
      </c>
      <c r="N3" s="18">
        <f>'FS Seychelles'!L4*1000</f>
        <v>0</v>
      </c>
      <c r="O3" s="18">
        <f>'FS Seychelles'!M4</f>
        <v>7574</v>
      </c>
      <c r="P3" s="18">
        <f>'FS Seychelles'!N4</f>
        <v>10839</v>
      </c>
      <c r="Q3" s="18">
        <f>'FS Seychelles'!O4</f>
        <v>9855</v>
      </c>
      <c r="R3" s="18">
        <f>'FS Seychelles'!P4</f>
        <v>9779</v>
      </c>
      <c r="S3" s="18">
        <f>'FS Seychelles'!Q4</f>
        <v>6527</v>
      </c>
      <c r="T3" s="18">
        <f>'FS Seychelles'!R4</f>
        <v>9798</v>
      </c>
      <c r="U3" s="18">
        <f>'FS Seychelles'!T4</f>
        <v>0</v>
      </c>
      <c r="V3" s="18">
        <f>'FS Seychelles'!V4</f>
        <v>52</v>
      </c>
      <c r="W3" s="18">
        <f>'FS Seychelles'!W4</f>
        <v>31</v>
      </c>
      <c r="X3" s="18">
        <f>'FS Seychelles'!X4</f>
        <v>54</v>
      </c>
      <c r="Y3" s="18">
        <f>'FS Seychelles'!Y4</f>
        <v>140</v>
      </c>
      <c r="Z3" s="18">
        <f>'FS Seychelles'!Z4</f>
        <v>110</v>
      </c>
      <c r="AA3" s="18">
        <f>'FS Seychelles'!AA4</f>
        <v>107</v>
      </c>
      <c r="AB3" s="18">
        <f>'FS Seychelles'!AB4</f>
        <v>89</v>
      </c>
      <c r="AC3" s="18">
        <f>('FS Seychelles'!AF10+'FS Seychelles'!AF16)/30</f>
        <v>0</v>
      </c>
    </row>
    <row r="4" spans="1:29" x14ac:dyDescent="0.25">
      <c r="A4" s="1" t="s">
        <v>9</v>
      </c>
      <c r="B4" s="11">
        <f t="shared" ref="B4:B31" si="0">B3+1</f>
        <v>3</v>
      </c>
      <c r="C4" s="11">
        <v>4</v>
      </c>
      <c r="D4" s="11">
        <v>2022</v>
      </c>
      <c r="E4" s="18">
        <f>'FS Seychelles'!B5</f>
        <v>36.799999999999997</v>
      </c>
      <c r="F4" s="18">
        <f>'FS Seychelles'!D5*1000</f>
        <v>0</v>
      </c>
      <c r="G4" s="18">
        <f>'FS Seychelles'!E5*1000</f>
        <v>0</v>
      </c>
      <c r="H4" s="18">
        <f>'FS Seychelles'!F5*1000</f>
        <v>0</v>
      </c>
      <c r="I4" s="18">
        <f>'FS Seychelles'!G5*1000</f>
        <v>0</v>
      </c>
      <c r="J4" s="18">
        <f>'FS Seychelles'!H5*1000</f>
        <v>0</v>
      </c>
      <c r="K4" s="18">
        <f>'FS Seychelles'!I5*1000</f>
        <v>0</v>
      </c>
      <c r="L4" s="18">
        <f>'FS Seychelles'!J5*1000</f>
        <v>0</v>
      </c>
      <c r="M4" s="18">
        <f>'FS Seychelles'!K5*1000</f>
        <v>0</v>
      </c>
      <c r="N4" s="18">
        <f>'FS Seychelles'!L5*1000</f>
        <v>0</v>
      </c>
      <c r="O4" s="18">
        <f>'FS Seychelles'!M5</f>
        <v>5871</v>
      </c>
      <c r="P4" s="18">
        <f>'FS Seychelles'!N5</f>
        <v>10203</v>
      </c>
      <c r="Q4" s="18">
        <f>'FS Seychelles'!O5</f>
        <v>10732</v>
      </c>
      <c r="R4" s="18">
        <f>'FS Seychelles'!P5</f>
        <v>7546</v>
      </c>
      <c r="S4" s="18">
        <f>'FS Seychelles'!Q5</f>
        <v>6749</v>
      </c>
      <c r="T4" s="18">
        <f>'FS Seychelles'!R5</f>
        <v>9191</v>
      </c>
      <c r="U4" s="18">
        <f>'FS Seychelles'!T5</f>
        <v>0</v>
      </c>
      <c r="V4" s="18">
        <f>'FS Seychelles'!V5</f>
        <v>44</v>
      </c>
      <c r="W4" s="18">
        <f>'FS Seychelles'!W5</f>
        <v>19</v>
      </c>
      <c r="X4" s="18">
        <f>'FS Seychelles'!X5</f>
        <v>60</v>
      </c>
      <c r="Y4" s="18">
        <f>'FS Seychelles'!Y5</f>
        <v>166</v>
      </c>
      <c r="Z4" s="18">
        <f>'FS Seychelles'!Z5</f>
        <v>108</v>
      </c>
      <c r="AA4" s="18">
        <f>'FS Seychelles'!AA5</f>
        <v>110</v>
      </c>
      <c r="AB4" s="18">
        <f>'FS Seychelles'!AB5</f>
        <v>0</v>
      </c>
      <c r="AC4" s="18">
        <f>('FS Seychelles'!AF11+'FS Seychelles'!AF17)/30</f>
        <v>0</v>
      </c>
    </row>
    <row r="5" spans="1:29" x14ac:dyDescent="0.25">
      <c r="A5" s="1" t="s">
        <v>9</v>
      </c>
      <c r="B5" s="11">
        <f t="shared" si="0"/>
        <v>4</v>
      </c>
      <c r="C5" s="11">
        <v>4</v>
      </c>
      <c r="D5" s="11">
        <v>2022</v>
      </c>
      <c r="E5" s="18">
        <f>'FS Seychelles'!B6</f>
        <v>38.200000000000003</v>
      </c>
      <c r="F5" s="18">
        <f>'FS Seychelles'!D6*1000</f>
        <v>0</v>
      </c>
      <c r="G5" s="18">
        <f>'FS Seychelles'!E6*1000</f>
        <v>0</v>
      </c>
      <c r="H5" s="18">
        <f>'FS Seychelles'!F6*1000</f>
        <v>0</v>
      </c>
      <c r="I5" s="18">
        <f>'FS Seychelles'!G6*1000</f>
        <v>0</v>
      </c>
      <c r="J5" s="18">
        <f>'FS Seychelles'!H6*1000</f>
        <v>0</v>
      </c>
      <c r="K5" s="18">
        <f>'FS Seychelles'!I6*1000</f>
        <v>0</v>
      </c>
      <c r="L5" s="18">
        <f>'FS Seychelles'!J6*1000</f>
        <v>0</v>
      </c>
      <c r="M5" s="18">
        <f>'FS Seychelles'!K6*1000</f>
        <v>0</v>
      </c>
      <c r="N5" s="18">
        <f>'FS Seychelles'!L6*1000</f>
        <v>0</v>
      </c>
      <c r="O5" s="18">
        <f>'FS Seychelles'!M6</f>
        <v>6762</v>
      </c>
      <c r="P5" s="18">
        <f>'FS Seychelles'!N6</f>
        <v>10275</v>
      </c>
      <c r="Q5" s="18">
        <f>'FS Seychelles'!O6</f>
        <v>10794</v>
      </c>
      <c r="R5" s="18">
        <f>'FS Seychelles'!P6</f>
        <v>6943</v>
      </c>
      <c r="S5" s="18">
        <f>'FS Seychelles'!Q6</f>
        <v>6250</v>
      </c>
      <c r="T5" s="18">
        <f>'FS Seychelles'!R6</f>
        <v>9048</v>
      </c>
      <c r="U5" s="18">
        <f>'FS Seychelles'!T6</f>
        <v>0</v>
      </c>
      <c r="V5" s="18">
        <f>'FS Seychelles'!V6</f>
        <v>0</v>
      </c>
      <c r="W5" s="18">
        <f>'FS Seychelles'!W6</f>
        <v>0</v>
      </c>
      <c r="X5" s="18">
        <f>'FS Seychelles'!X6</f>
        <v>0</v>
      </c>
      <c r="Y5" s="18">
        <f>'FS Seychelles'!Y6</f>
        <v>0</v>
      </c>
      <c r="Z5" s="18">
        <f>'FS Seychelles'!Z6</f>
        <v>0</v>
      </c>
      <c r="AA5" s="18">
        <f>'FS Seychelles'!AA6</f>
        <v>0</v>
      </c>
      <c r="AB5" s="18">
        <f>'FS Seychelles'!AB6</f>
        <v>0</v>
      </c>
      <c r="AC5" s="18">
        <f>('FS Seychelles'!AF12+'FS Seychelles'!AF18)/30</f>
        <v>0</v>
      </c>
    </row>
    <row r="6" spans="1:29" x14ac:dyDescent="0.25">
      <c r="A6" s="1" t="s">
        <v>9</v>
      </c>
      <c r="B6" s="11">
        <f t="shared" si="0"/>
        <v>5</v>
      </c>
      <c r="C6" s="11">
        <v>4</v>
      </c>
      <c r="D6" s="11">
        <v>2022</v>
      </c>
      <c r="E6" s="18">
        <f>'FS Seychelles'!B7</f>
        <v>34.200000000000003</v>
      </c>
      <c r="F6" s="18">
        <f>'FS Seychelles'!D7*1000</f>
        <v>0</v>
      </c>
      <c r="G6" s="18">
        <f>'FS Seychelles'!E7*1000</f>
        <v>0</v>
      </c>
      <c r="H6" s="18">
        <f>'FS Seychelles'!F7*1000</f>
        <v>0</v>
      </c>
      <c r="I6" s="18">
        <f>'FS Seychelles'!G7*1000</f>
        <v>0</v>
      </c>
      <c r="J6" s="18">
        <f>'FS Seychelles'!H7*1000</f>
        <v>0</v>
      </c>
      <c r="K6" s="18">
        <f>'FS Seychelles'!I7*1000</f>
        <v>0</v>
      </c>
      <c r="L6" s="18">
        <f>'FS Seychelles'!J7*1000</f>
        <v>0</v>
      </c>
      <c r="M6" s="18">
        <f>'FS Seychelles'!K7*1000</f>
        <v>0</v>
      </c>
      <c r="N6" s="18">
        <f>'FS Seychelles'!L7*1000</f>
        <v>0</v>
      </c>
      <c r="O6" s="18">
        <f>'FS Seychelles'!M7</f>
        <v>8135</v>
      </c>
      <c r="P6" s="18">
        <f>'FS Seychelles'!N7</f>
        <v>6922</v>
      </c>
      <c r="Q6" s="18">
        <f>'FS Seychelles'!O7</f>
        <v>6965</v>
      </c>
      <c r="R6" s="18">
        <f>'FS Seychelles'!P7</f>
        <v>0</v>
      </c>
      <c r="S6" s="18">
        <f>'FS Seychelles'!Q7</f>
        <v>9028</v>
      </c>
      <c r="T6" s="18">
        <f>'FS Seychelles'!R7</f>
        <v>6891</v>
      </c>
      <c r="U6" s="18">
        <f>'FS Seychelles'!T7</f>
        <v>0</v>
      </c>
      <c r="V6" s="18">
        <f>'FS Seychelles'!V7</f>
        <v>49</v>
      </c>
      <c r="W6" s="18">
        <f>'FS Seychelles'!W7</f>
        <v>35</v>
      </c>
      <c r="X6" s="18">
        <f>'FS Seychelles'!X7</f>
        <v>51</v>
      </c>
      <c r="Y6" s="18">
        <f>'FS Seychelles'!Y7</f>
        <v>108</v>
      </c>
      <c r="Z6" s="18">
        <f>'FS Seychelles'!Z7</f>
        <v>106</v>
      </c>
      <c r="AA6" s="18">
        <f>'FS Seychelles'!AA7</f>
        <v>104</v>
      </c>
      <c r="AB6" s="18">
        <f>'FS Seychelles'!AB7</f>
        <v>0</v>
      </c>
      <c r="AC6" s="18">
        <f>('FS Seychelles'!AF13+'FS Seychelles'!AF19)/30</f>
        <v>0</v>
      </c>
    </row>
    <row r="7" spans="1:29" x14ac:dyDescent="0.25">
      <c r="A7" s="1" t="s">
        <v>9</v>
      </c>
      <c r="B7" s="11">
        <f t="shared" si="0"/>
        <v>6</v>
      </c>
      <c r="C7" s="11">
        <v>4</v>
      </c>
      <c r="D7" s="11">
        <v>2022</v>
      </c>
      <c r="E7" s="18">
        <f>'FS Seychelles'!B8</f>
        <v>27.6</v>
      </c>
      <c r="F7" s="18">
        <f>'FS Seychelles'!D8*1000</f>
        <v>0</v>
      </c>
      <c r="G7" s="18">
        <f>'FS Seychelles'!E8*1000</f>
        <v>0</v>
      </c>
      <c r="H7" s="18">
        <f>'FS Seychelles'!F8*1000</f>
        <v>0</v>
      </c>
      <c r="I7" s="18">
        <f>'FS Seychelles'!G8*1000</f>
        <v>0</v>
      </c>
      <c r="J7" s="18">
        <f>'FS Seychelles'!H8*1000</f>
        <v>0</v>
      </c>
      <c r="K7" s="18">
        <f>'FS Seychelles'!I8*1000</f>
        <v>0</v>
      </c>
      <c r="L7" s="18">
        <f>'FS Seychelles'!J8*1000</f>
        <v>0</v>
      </c>
      <c r="M7" s="18">
        <f>'FS Seychelles'!K8*1000</f>
        <v>0</v>
      </c>
      <c r="N7" s="18">
        <f>'FS Seychelles'!L8*1000</f>
        <v>0</v>
      </c>
      <c r="O7" s="18">
        <f>'FS Seychelles'!M8</f>
        <v>7126</v>
      </c>
      <c r="P7" s="18">
        <f>'FS Seychelles'!N8</f>
        <v>9915</v>
      </c>
      <c r="Q7" s="18">
        <f>'FS Seychelles'!O8</f>
        <v>17085</v>
      </c>
      <c r="R7" s="18">
        <f>'FS Seychelles'!P8</f>
        <v>2310</v>
      </c>
      <c r="S7" s="18">
        <f>'FS Seychelles'!Q8</f>
        <v>4378</v>
      </c>
      <c r="T7" s="18">
        <f>'FS Seychelles'!R8</f>
        <v>8683</v>
      </c>
      <c r="U7" s="18">
        <f>'FS Seychelles'!T8</f>
        <v>0</v>
      </c>
      <c r="V7" s="18">
        <f>'FS Seychelles'!V8</f>
        <v>46</v>
      </c>
      <c r="W7" s="18">
        <f>'FS Seychelles'!W8</f>
        <v>20</v>
      </c>
      <c r="X7" s="18">
        <f>'FS Seychelles'!X8</f>
        <v>72</v>
      </c>
      <c r="Y7" s="18">
        <f>'FS Seychelles'!Y8</f>
        <v>147</v>
      </c>
      <c r="Z7" s="18">
        <f>'FS Seychelles'!Z8</f>
        <v>114</v>
      </c>
      <c r="AA7" s="18">
        <f>'FS Seychelles'!AA8</f>
        <v>110</v>
      </c>
      <c r="AB7" s="18">
        <f>'FS Seychelles'!AB8</f>
        <v>0</v>
      </c>
      <c r="AC7" s="18">
        <f>('FS Seychelles'!AF14+'FS Seychelles'!AF20)/30</f>
        <v>0</v>
      </c>
    </row>
    <row r="8" spans="1:29" x14ac:dyDescent="0.25">
      <c r="A8" s="1" t="s">
        <v>9</v>
      </c>
      <c r="B8" s="11">
        <f t="shared" si="0"/>
        <v>7</v>
      </c>
      <c r="C8" s="11">
        <v>4</v>
      </c>
      <c r="D8" s="11">
        <v>2022</v>
      </c>
      <c r="E8" s="18">
        <f>'FS Seychelles'!B9</f>
        <v>31.6</v>
      </c>
      <c r="F8" s="18">
        <f>'FS Seychelles'!D9*1000</f>
        <v>0</v>
      </c>
      <c r="G8" s="18">
        <f>'FS Seychelles'!E9*1000</f>
        <v>0</v>
      </c>
      <c r="H8" s="18">
        <f>'FS Seychelles'!F9*1000</f>
        <v>0</v>
      </c>
      <c r="I8" s="18">
        <f>'FS Seychelles'!G9*1000</f>
        <v>0</v>
      </c>
      <c r="J8" s="18">
        <f>'FS Seychelles'!H9*1000</f>
        <v>0</v>
      </c>
      <c r="K8" s="18">
        <f>'FS Seychelles'!I9*1000</f>
        <v>0</v>
      </c>
      <c r="L8" s="18">
        <f>'FS Seychelles'!J9*1000</f>
        <v>0</v>
      </c>
      <c r="M8" s="18">
        <f>'FS Seychelles'!K9*1000</f>
        <v>0</v>
      </c>
      <c r="N8" s="18">
        <f>'FS Seychelles'!L9*1000</f>
        <v>0</v>
      </c>
      <c r="O8" s="18">
        <f>'FS Seychelles'!M9</f>
        <v>10249</v>
      </c>
      <c r="P8" s="18">
        <f>'FS Seychelles'!N9</f>
        <v>15463</v>
      </c>
      <c r="Q8" s="18">
        <f>'FS Seychelles'!O9</f>
        <v>0</v>
      </c>
      <c r="R8" s="18">
        <f>'FS Seychelles'!P9</f>
        <v>7043</v>
      </c>
      <c r="S8" s="18">
        <f>'FS Seychelles'!Q9</f>
        <v>15086</v>
      </c>
      <c r="T8" s="18">
        <f>'FS Seychelles'!R9</f>
        <v>10796</v>
      </c>
      <c r="U8" s="18">
        <f>'FS Seychelles'!T9</f>
        <v>0</v>
      </c>
      <c r="V8" s="18">
        <f>'FS Seychelles'!V9</f>
        <v>38</v>
      </c>
      <c r="W8" s="18">
        <f>'FS Seychelles'!W9</f>
        <v>35</v>
      </c>
      <c r="X8" s="18">
        <f>'FS Seychelles'!X9</f>
        <v>46</v>
      </c>
      <c r="Y8" s="18">
        <f>'FS Seychelles'!Y9</f>
        <v>123</v>
      </c>
      <c r="Z8" s="18">
        <f>'FS Seychelles'!Z9</f>
        <v>86</v>
      </c>
      <c r="AA8" s="18">
        <f>'FS Seychelles'!AA9</f>
        <v>106</v>
      </c>
      <c r="AB8" s="18">
        <f>'FS Seychelles'!AB9</f>
        <v>0</v>
      </c>
      <c r="AC8" s="18">
        <f>('FS Seychelles'!AF15+'FS Seychelles'!AF21)/30</f>
        <v>0</v>
      </c>
    </row>
    <row r="9" spans="1:29" x14ac:dyDescent="0.25">
      <c r="A9" s="1" t="s">
        <v>9</v>
      </c>
      <c r="B9" s="11">
        <f t="shared" si="0"/>
        <v>8</v>
      </c>
      <c r="C9" s="11">
        <v>4</v>
      </c>
      <c r="D9" s="11">
        <v>2022</v>
      </c>
      <c r="E9" s="18">
        <f>'FS Seychelles'!B10</f>
        <v>32.9</v>
      </c>
      <c r="F9" s="18">
        <f>'FS Seychelles'!D10*1000</f>
        <v>0</v>
      </c>
      <c r="G9" s="18">
        <f>'FS Seychelles'!E10*1000</f>
        <v>0</v>
      </c>
      <c r="H9" s="18">
        <f>'FS Seychelles'!F10*1000</f>
        <v>0</v>
      </c>
      <c r="I9" s="18">
        <f>'FS Seychelles'!G10*1000</f>
        <v>0</v>
      </c>
      <c r="J9" s="18">
        <f>'FS Seychelles'!H10*1000</f>
        <v>0</v>
      </c>
      <c r="K9" s="18">
        <f>'FS Seychelles'!I10*1000</f>
        <v>0</v>
      </c>
      <c r="L9" s="18">
        <f>'FS Seychelles'!J10*1000</f>
        <v>0</v>
      </c>
      <c r="M9" s="18">
        <f>'FS Seychelles'!K10*1000</f>
        <v>0</v>
      </c>
      <c r="N9" s="18">
        <f>'FS Seychelles'!L10*1000</f>
        <v>0</v>
      </c>
      <c r="O9" s="18">
        <f>'FS Seychelles'!M10</f>
        <v>0</v>
      </c>
      <c r="P9" s="18">
        <f>'FS Seychelles'!N10</f>
        <v>5866</v>
      </c>
      <c r="Q9" s="18">
        <f>'FS Seychelles'!O10</f>
        <v>6574</v>
      </c>
      <c r="R9" s="18">
        <f>'FS Seychelles'!P10</f>
        <v>10278</v>
      </c>
      <c r="S9" s="18">
        <f>'FS Seychelles'!Q10</f>
        <v>5913</v>
      </c>
      <c r="T9" s="18">
        <f>'FS Seychelles'!R10</f>
        <v>6621</v>
      </c>
      <c r="U9" s="18">
        <f>'FS Seychelles'!T10</f>
        <v>0</v>
      </c>
      <c r="V9" s="18">
        <f>'FS Seychelles'!V10</f>
        <v>40</v>
      </c>
      <c r="W9" s="18">
        <f>'FS Seychelles'!W10</f>
        <v>0</v>
      </c>
      <c r="X9" s="18">
        <f>'FS Seychelles'!X10</f>
        <v>45</v>
      </c>
      <c r="Y9" s="18">
        <f>'FS Seychelles'!Y10</f>
        <v>145</v>
      </c>
      <c r="Z9" s="18">
        <f>'FS Seychelles'!Z10</f>
        <v>71</v>
      </c>
      <c r="AA9" s="18">
        <f>'FS Seychelles'!AA10</f>
        <v>105</v>
      </c>
      <c r="AB9" s="18">
        <f>'FS Seychelles'!AB10</f>
        <v>0</v>
      </c>
      <c r="AC9" s="18">
        <f>('FS Seychelles'!AF16+'FS Seychelles'!AF22)/30</f>
        <v>0</v>
      </c>
    </row>
    <row r="10" spans="1:29" x14ac:dyDescent="0.25">
      <c r="A10" s="1" t="s">
        <v>9</v>
      </c>
      <c r="B10" s="11">
        <f t="shared" si="0"/>
        <v>9</v>
      </c>
      <c r="C10" s="11">
        <v>4</v>
      </c>
      <c r="D10" s="11">
        <v>2022</v>
      </c>
      <c r="E10" s="18">
        <f>'FS Seychelles'!B11</f>
        <v>39.5</v>
      </c>
      <c r="F10" s="18">
        <f>'FS Seychelles'!D11*1000</f>
        <v>0</v>
      </c>
      <c r="G10" s="18">
        <f>'FS Seychelles'!E11*1000</f>
        <v>0</v>
      </c>
      <c r="H10" s="18">
        <f>'FS Seychelles'!F11*1000</f>
        <v>0</v>
      </c>
      <c r="I10" s="18">
        <f>'FS Seychelles'!G11*1000</f>
        <v>0</v>
      </c>
      <c r="J10" s="18">
        <f>'FS Seychelles'!H11*1000</f>
        <v>0</v>
      </c>
      <c r="K10" s="18">
        <f>'FS Seychelles'!I11*1000</f>
        <v>0</v>
      </c>
      <c r="L10" s="18">
        <f>'FS Seychelles'!J11*1000</f>
        <v>0</v>
      </c>
      <c r="M10" s="18">
        <f>'FS Seychelles'!K11*1000</f>
        <v>0</v>
      </c>
      <c r="N10" s="18">
        <f>'FS Seychelles'!L11*1000</f>
        <v>0</v>
      </c>
      <c r="O10" s="18">
        <f>'FS Seychelles'!M11</f>
        <v>10097</v>
      </c>
      <c r="P10" s="18">
        <f>'FS Seychelles'!N11</f>
        <v>9566</v>
      </c>
      <c r="Q10" s="18">
        <f>'FS Seychelles'!O11</f>
        <v>3393</v>
      </c>
      <c r="R10" s="18">
        <f>'FS Seychelles'!P11</f>
        <v>8637</v>
      </c>
      <c r="S10" s="18">
        <f>'FS Seychelles'!Q11</f>
        <v>5815</v>
      </c>
      <c r="T10" s="18">
        <f>'FS Seychelles'!R11</f>
        <v>8546</v>
      </c>
      <c r="U10" s="18">
        <f>'FS Seychelles'!T11</f>
        <v>0</v>
      </c>
      <c r="V10" s="18">
        <f>'FS Seychelles'!V11</f>
        <v>44</v>
      </c>
      <c r="W10" s="18">
        <f>'FS Seychelles'!W11</f>
        <v>18</v>
      </c>
      <c r="X10" s="18">
        <f>'FS Seychelles'!X11</f>
        <v>49</v>
      </c>
      <c r="Y10" s="18">
        <f>'FS Seychelles'!Y11</f>
        <v>142</v>
      </c>
      <c r="Z10" s="18">
        <f>'FS Seychelles'!Z11</f>
        <v>97</v>
      </c>
      <c r="AA10" s="18">
        <f>'FS Seychelles'!AA11</f>
        <v>112</v>
      </c>
      <c r="AB10" s="18">
        <f>'FS Seychelles'!AB11</f>
        <v>0</v>
      </c>
      <c r="AC10" s="18">
        <f>('FS Seychelles'!AF17+'FS Seychelles'!AF23)/30</f>
        <v>0</v>
      </c>
    </row>
    <row r="11" spans="1:29" x14ac:dyDescent="0.25">
      <c r="A11" s="1" t="s">
        <v>9</v>
      </c>
      <c r="B11" s="11">
        <f t="shared" si="0"/>
        <v>10</v>
      </c>
      <c r="C11" s="11">
        <v>4</v>
      </c>
      <c r="D11" s="11">
        <v>2022</v>
      </c>
      <c r="E11" s="18">
        <f>'FS Seychelles'!B12</f>
        <v>36.799999999999997</v>
      </c>
      <c r="F11" s="18">
        <f>'FS Seychelles'!D12*1000</f>
        <v>0</v>
      </c>
      <c r="G11" s="18">
        <f>'FS Seychelles'!E12*1000</f>
        <v>0</v>
      </c>
      <c r="H11" s="18">
        <f>'FS Seychelles'!F12*1000</f>
        <v>0</v>
      </c>
      <c r="I11" s="18">
        <f>'FS Seychelles'!G12*1000</f>
        <v>0</v>
      </c>
      <c r="J11" s="18">
        <f>'FS Seychelles'!H12*1000</f>
        <v>0</v>
      </c>
      <c r="K11" s="18">
        <f>'FS Seychelles'!I12*1000</f>
        <v>0</v>
      </c>
      <c r="L11" s="18">
        <f>'FS Seychelles'!J12*1000</f>
        <v>0</v>
      </c>
      <c r="M11" s="18">
        <f>'FS Seychelles'!K12*1000</f>
        <v>0</v>
      </c>
      <c r="N11" s="18">
        <f>'FS Seychelles'!L12*1000</f>
        <v>0</v>
      </c>
      <c r="O11" s="18">
        <f>'FS Seychelles'!M12</f>
        <v>9990</v>
      </c>
      <c r="P11" s="18">
        <f>'FS Seychelles'!N12</f>
        <v>6244</v>
      </c>
      <c r="Q11" s="18">
        <f>'FS Seychelles'!O12</f>
        <v>13992</v>
      </c>
      <c r="R11" s="18">
        <f>'FS Seychelles'!P12</f>
        <v>5274</v>
      </c>
      <c r="S11" s="18">
        <f>'FS Seychelles'!Q12</f>
        <v>5860</v>
      </c>
      <c r="T11" s="18">
        <f>'FS Seychelles'!R12</f>
        <v>8317</v>
      </c>
      <c r="U11" s="18">
        <f>'FS Seychelles'!T12</f>
        <v>0</v>
      </c>
      <c r="V11" s="18">
        <f>'FS Seychelles'!V12</f>
        <v>34</v>
      </c>
      <c r="W11" s="18">
        <f>'FS Seychelles'!W12</f>
        <v>80</v>
      </c>
      <c r="X11" s="18">
        <f>'FS Seychelles'!X12</f>
        <v>39</v>
      </c>
      <c r="Y11" s="18">
        <f>'FS Seychelles'!Y12</f>
        <v>163</v>
      </c>
      <c r="Z11" s="18">
        <f>'FS Seychelles'!Z12</f>
        <v>114</v>
      </c>
      <c r="AA11" s="18">
        <f>'FS Seychelles'!AA12</f>
        <v>116</v>
      </c>
      <c r="AB11" s="18">
        <f>'FS Seychelles'!AB12</f>
        <v>0</v>
      </c>
      <c r="AC11" s="18">
        <f>('FS Seychelles'!AF18+'FS Seychelles'!AF24)/30</f>
        <v>0</v>
      </c>
    </row>
    <row r="12" spans="1:29" x14ac:dyDescent="0.25">
      <c r="A12" s="1" t="s">
        <v>9</v>
      </c>
      <c r="B12" s="11">
        <f t="shared" si="0"/>
        <v>11</v>
      </c>
      <c r="C12" s="11">
        <v>4</v>
      </c>
      <c r="D12" s="11">
        <v>2022</v>
      </c>
      <c r="E12" s="18">
        <f>'FS Seychelles'!B13</f>
        <v>60.5</v>
      </c>
      <c r="F12" s="18">
        <f>'FS Seychelles'!D13*1000</f>
        <v>0</v>
      </c>
      <c r="G12" s="18">
        <f>'FS Seychelles'!E13*1000</f>
        <v>0</v>
      </c>
      <c r="H12" s="18">
        <f>'FS Seychelles'!F13*1000</f>
        <v>0</v>
      </c>
      <c r="I12" s="18">
        <f>'FS Seychelles'!G13*1000</f>
        <v>0</v>
      </c>
      <c r="J12" s="18">
        <f>'FS Seychelles'!H13*1000</f>
        <v>0</v>
      </c>
      <c r="K12" s="18">
        <f>'FS Seychelles'!I13*1000</f>
        <v>0</v>
      </c>
      <c r="L12" s="18">
        <f>'FS Seychelles'!J13*1000</f>
        <v>0</v>
      </c>
      <c r="M12" s="18">
        <f>'FS Seychelles'!K13*1000</f>
        <v>0</v>
      </c>
      <c r="N12" s="18">
        <f>'FS Seychelles'!L13*1000</f>
        <v>0</v>
      </c>
      <c r="O12" s="18">
        <f>'FS Seychelles'!M13</f>
        <v>10899</v>
      </c>
      <c r="P12" s="18">
        <f>'FS Seychelles'!N13</f>
        <v>4908</v>
      </c>
      <c r="Q12" s="18">
        <f>'FS Seychelles'!O13</f>
        <v>7244</v>
      </c>
      <c r="R12" s="18">
        <f>'FS Seychelles'!P13</f>
        <v>9853</v>
      </c>
      <c r="S12" s="18">
        <f>'FS Seychelles'!Q13</f>
        <v>5709</v>
      </c>
      <c r="T12" s="18">
        <f>'FS Seychelles'!R13</f>
        <v>8924</v>
      </c>
      <c r="U12" s="18">
        <f>'FS Seychelles'!T13</f>
        <v>0</v>
      </c>
      <c r="V12" s="18">
        <f>'FS Seychelles'!V13</f>
        <v>52</v>
      </c>
      <c r="W12" s="18">
        <f>'FS Seychelles'!W13</f>
        <v>29</v>
      </c>
      <c r="X12" s="18">
        <f>'FS Seychelles'!X13</f>
        <v>55</v>
      </c>
      <c r="Y12" s="18">
        <f>'FS Seychelles'!Y13</f>
        <v>162</v>
      </c>
      <c r="Z12" s="18">
        <f>'FS Seychelles'!Z13</f>
        <v>71</v>
      </c>
      <c r="AA12" s="18">
        <f>'FS Seychelles'!AA13</f>
        <v>102</v>
      </c>
      <c r="AB12" s="18">
        <f>'FS Seychelles'!AB13</f>
        <v>0</v>
      </c>
      <c r="AC12" s="18">
        <f>('FS Seychelles'!AF19+'FS Seychelles'!AF25)/30</f>
        <v>0</v>
      </c>
    </row>
    <row r="13" spans="1:29" x14ac:dyDescent="0.25">
      <c r="A13" s="1" t="s">
        <v>9</v>
      </c>
      <c r="B13" s="11">
        <f t="shared" si="0"/>
        <v>12</v>
      </c>
      <c r="C13" s="11">
        <v>4</v>
      </c>
      <c r="D13" s="11">
        <v>2022</v>
      </c>
      <c r="E13" s="18">
        <f>'FS Seychelles'!B14</f>
        <v>56.6</v>
      </c>
      <c r="F13" s="18">
        <f>'FS Seychelles'!D14*1000</f>
        <v>0</v>
      </c>
      <c r="G13" s="18">
        <f>'FS Seychelles'!E14*1000</f>
        <v>0</v>
      </c>
      <c r="H13" s="18">
        <f>'FS Seychelles'!F14*1000</f>
        <v>0</v>
      </c>
      <c r="I13" s="18">
        <f>'FS Seychelles'!G14*1000</f>
        <v>0</v>
      </c>
      <c r="J13" s="18">
        <f>'FS Seychelles'!H14*1000</f>
        <v>0</v>
      </c>
      <c r="K13" s="18">
        <f>'FS Seychelles'!I14*1000</f>
        <v>0</v>
      </c>
      <c r="L13" s="18">
        <f>'FS Seychelles'!J14*1000</f>
        <v>0</v>
      </c>
      <c r="M13" s="18">
        <f>'FS Seychelles'!K14*1000</f>
        <v>0</v>
      </c>
      <c r="N13" s="18">
        <f>'FS Seychelles'!L14*1000</f>
        <v>0</v>
      </c>
      <c r="O13" s="18">
        <f>'FS Seychelles'!M14</f>
        <v>12394</v>
      </c>
      <c r="P13" s="18">
        <f>'FS Seychelles'!N14</f>
        <v>4180</v>
      </c>
      <c r="Q13" s="18">
        <f>'FS Seychelles'!O14</f>
        <v>7892</v>
      </c>
      <c r="R13" s="18">
        <f>'FS Seychelles'!P14</f>
        <v>0</v>
      </c>
      <c r="S13" s="18">
        <f>'FS Seychelles'!Q14</f>
        <v>10648</v>
      </c>
      <c r="T13" s="18">
        <f>'FS Seychelles'!R14</f>
        <v>7080</v>
      </c>
      <c r="U13" s="18">
        <f>'FS Seychelles'!T14</f>
        <v>0</v>
      </c>
      <c r="V13" s="18">
        <f>'FS Seychelles'!V14</f>
        <v>55</v>
      </c>
      <c r="W13" s="18">
        <f>'FS Seychelles'!W14</f>
        <v>28</v>
      </c>
      <c r="X13" s="18">
        <f>'FS Seychelles'!X14</f>
        <v>143</v>
      </c>
      <c r="Y13" s="18">
        <f>'FS Seychelles'!Y14</f>
        <v>71</v>
      </c>
      <c r="Z13" s="18">
        <f>'FS Seychelles'!Z14</f>
        <v>40</v>
      </c>
      <c r="AA13" s="18">
        <f>'FS Seychelles'!AA14</f>
        <v>60</v>
      </c>
      <c r="AB13" s="18">
        <f>'FS Seychelles'!AB14</f>
        <v>0</v>
      </c>
      <c r="AC13" s="18">
        <f>('FS Seychelles'!AF20+'FS Seychelles'!AF26)/30</f>
        <v>0</v>
      </c>
    </row>
    <row r="14" spans="1:29" x14ac:dyDescent="0.25">
      <c r="A14" s="1" t="s">
        <v>9</v>
      </c>
      <c r="B14" s="11">
        <f t="shared" si="0"/>
        <v>13</v>
      </c>
      <c r="C14" s="11">
        <v>4</v>
      </c>
      <c r="D14" s="11">
        <v>2022</v>
      </c>
      <c r="E14" s="18">
        <f>'FS Seychelles'!B15</f>
        <v>0</v>
      </c>
      <c r="F14" s="18">
        <f>'FS Seychelles'!D15*1000</f>
        <v>0</v>
      </c>
      <c r="G14" s="18">
        <f>'FS Seychelles'!E15*1000</f>
        <v>0</v>
      </c>
      <c r="H14" s="18">
        <f>'FS Seychelles'!F15*1000</f>
        <v>0</v>
      </c>
      <c r="I14" s="18">
        <f>'FS Seychelles'!G15*1000</f>
        <v>0</v>
      </c>
      <c r="J14" s="18">
        <f>'FS Seychelles'!H15*1000</f>
        <v>0</v>
      </c>
      <c r="K14" s="18">
        <f>'FS Seychelles'!I15*1000</f>
        <v>0</v>
      </c>
      <c r="L14" s="18">
        <f>'FS Seychelles'!J15*1000</f>
        <v>0</v>
      </c>
      <c r="M14" s="18">
        <f>'FS Seychelles'!K15*1000</f>
        <v>0</v>
      </c>
      <c r="N14" s="18">
        <f>'FS Seychelles'!L15*1000</f>
        <v>0</v>
      </c>
      <c r="O14" s="18">
        <f>'FS Seychelles'!M15</f>
        <v>7160</v>
      </c>
      <c r="P14" s="18">
        <f>'FS Seychelles'!N15</f>
        <v>10680</v>
      </c>
      <c r="Q14" s="18">
        <f>'FS Seychelles'!O15</f>
        <v>12217</v>
      </c>
      <c r="R14" s="18">
        <f>'FS Seychelles'!P15</f>
        <v>4546</v>
      </c>
      <c r="S14" s="18">
        <f>'FS Seychelles'!Q15</f>
        <v>5882</v>
      </c>
      <c r="T14" s="18">
        <f>'FS Seychelles'!R15</f>
        <v>8901</v>
      </c>
      <c r="U14" s="18">
        <f>'FS Seychelles'!T15</f>
        <v>0</v>
      </c>
      <c r="V14" s="18">
        <f>'FS Seychelles'!V15</f>
        <v>45</v>
      </c>
      <c r="W14" s="18">
        <f>'FS Seychelles'!W15</f>
        <v>24</v>
      </c>
      <c r="X14" s="18">
        <f>'FS Seychelles'!X15</f>
        <v>83</v>
      </c>
      <c r="Y14" s="18">
        <f>'FS Seychelles'!Y15</f>
        <v>161</v>
      </c>
      <c r="Z14" s="18">
        <f>'FS Seychelles'!Z15</f>
        <v>62</v>
      </c>
      <c r="AA14" s="18">
        <f>'FS Seychelles'!AA15</f>
        <v>107</v>
      </c>
      <c r="AB14" s="18">
        <f>'FS Seychelles'!AB15</f>
        <v>0</v>
      </c>
      <c r="AC14" s="18">
        <f>('FS Seychelles'!AF21+'FS Seychelles'!AF27)/30</f>
        <v>0</v>
      </c>
    </row>
    <row r="15" spans="1:29" x14ac:dyDescent="0.25">
      <c r="A15" s="1" t="s">
        <v>9</v>
      </c>
      <c r="B15" s="11">
        <f t="shared" si="0"/>
        <v>14</v>
      </c>
      <c r="C15" s="11">
        <v>4</v>
      </c>
      <c r="D15" s="11">
        <v>2022</v>
      </c>
      <c r="E15" s="18">
        <f>'FS Seychelles'!B16</f>
        <v>0</v>
      </c>
      <c r="F15" s="18">
        <f>'FS Seychelles'!D16*1000</f>
        <v>0</v>
      </c>
      <c r="G15" s="18">
        <f>'FS Seychelles'!E16*1000</f>
        <v>0</v>
      </c>
      <c r="H15" s="18">
        <f>'FS Seychelles'!F16*1000</f>
        <v>0</v>
      </c>
      <c r="I15" s="18">
        <f>'FS Seychelles'!G16*1000</f>
        <v>0</v>
      </c>
      <c r="J15" s="18">
        <f>'FS Seychelles'!H16*1000</f>
        <v>0</v>
      </c>
      <c r="K15" s="18">
        <f>'FS Seychelles'!I16*1000</f>
        <v>0</v>
      </c>
      <c r="L15" s="18">
        <f>'FS Seychelles'!J16*1000</f>
        <v>0</v>
      </c>
      <c r="M15" s="18">
        <f>'FS Seychelles'!K16*1000</f>
        <v>0</v>
      </c>
      <c r="N15" s="18">
        <f>'FS Seychelles'!L16*1000</f>
        <v>0</v>
      </c>
      <c r="O15" s="18">
        <f>'FS Seychelles'!M16</f>
        <v>16776</v>
      </c>
      <c r="P15" s="18">
        <f>'FS Seychelles'!N16</f>
        <v>15855</v>
      </c>
      <c r="Q15" s="18">
        <f>'FS Seychelles'!O16</f>
        <v>7810</v>
      </c>
      <c r="R15" s="18">
        <f>'FS Seychelles'!P16</f>
        <v>0</v>
      </c>
      <c r="S15" s="18">
        <f>'FS Seychelles'!Q16</f>
        <v>0</v>
      </c>
      <c r="T15" s="18">
        <f>'FS Seychelles'!R16</f>
        <v>8865</v>
      </c>
      <c r="U15" s="18">
        <f>'FS Seychelles'!T16</f>
        <v>0</v>
      </c>
      <c r="V15" s="18">
        <f>'FS Seychelles'!V16</f>
        <v>0</v>
      </c>
      <c r="W15" s="18">
        <f>'FS Seychelles'!W16</f>
        <v>0</v>
      </c>
      <c r="X15" s="18">
        <f>'FS Seychelles'!X16</f>
        <v>0</v>
      </c>
      <c r="Y15" s="18">
        <f>'FS Seychelles'!Y16</f>
        <v>0</v>
      </c>
      <c r="Z15" s="18">
        <f>'FS Seychelles'!Z16</f>
        <v>0</v>
      </c>
      <c r="AA15" s="18">
        <f>'FS Seychelles'!AA16</f>
        <v>0</v>
      </c>
      <c r="AB15" s="18">
        <f>'FS Seychelles'!AB16</f>
        <v>0</v>
      </c>
      <c r="AC15" s="18">
        <f>('FS Seychelles'!AF22+'FS Seychelles'!AF28)/30</f>
        <v>0</v>
      </c>
    </row>
    <row r="16" spans="1:29" x14ac:dyDescent="0.25">
      <c r="A16" s="1" t="s">
        <v>9</v>
      </c>
      <c r="B16" s="11">
        <f t="shared" si="0"/>
        <v>15</v>
      </c>
      <c r="C16" s="11">
        <v>4</v>
      </c>
      <c r="D16" s="11">
        <v>2022</v>
      </c>
      <c r="E16" s="18">
        <f>'FS Seychelles'!B17</f>
        <v>0</v>
      </c>
      <c r="F16" s="18">
        <f>'FS Seychelles'!D17*1000</f>
        <v>0</v>
      </c>
      <c r="G16" s="18">
        <f>'FS Seychelles'!E17*1000</f>
        <v>0</v>
      </c>
      <c r="H16" s="18">
        <f>'FS Seychelles'!F17*1000</f>
        <v>0</v>
      </c>
      <c r="I16" s="18">
        <f>'FS Seychelles'!G17*1000</f>
        <v>0</v>
      </c>
      <c r="J16" s="18">
        <f>'FS Seychelles'!H17*1000</f>
        <v>0</v>
      </c>
      <c r="K16" s="18">
        <f>'FS Seychelles'!I17*1000</f>
        <v>0</v>
      </c>
      <c r="L16" s="18">
        <f>'FS Seychelles'!J17*1000</f>
        <v>0</v>
      </c>
      <c r="M16" s="18">
        <f>'FS Seychelles'!K17*1000</f>
        <v>0</v>
      </c>
      <c r="N16" s="18">
        <f>'FS Seychelles'!L17*1000</f>
        <v>0</v>
      </c>
      <c r="O16" s="18">
        <f>'FS Seychelles'!M17</f>
        <v>7927</v>
      </c>
      <c r="P16" s="18">
        <f>'FS Seychelles'!N17</f>
        <v>6399</v>
      </c>
      <c r="Q16" s="18">
        <f>'FS Seychelles'!O17</f>
        <v>9936</v>
      </c>
      <c r="R16" s="18">
        <f>'FS Seychelles'!P17</f>
        <v>2632</v>
      </c>
      <c r="S16" s="18">
        <f>'FS Seychelles'!Q17</f>
        <v>13960</v>
      </c>
      <c r="T16" s="18">
        <f>'FS Seychelles'!R17</f>
        <v>9096</v>
      </c>
      <c r="U16" s="18">
        <f>'FS Seychelles'!T17</f>
        <v>0</v>
      </c>
      <c r="V16" s="18">
        <f>'FS Seychelles'!V17</f>
        <v>50</v>
      </c>
      <c r="W16" s="18">
        <f>'FS Seychelles'!W17</f>
        <v>29</v>
      </c>
      <c r="X16" s="18">
        <f>'FS Seychelles'!X17</f>
        <v>0</v>
      </c>
      <c r="Y16" s="18">
        <f>'FS Seychelles'!Y17</f>
        <v>0</v>
      </c>
      <c r="Z16" s="18">
        <f>'FS Seychelles'!Z17</f>
        <v>78</v>
      </c>
      <c r="AA16" s="18">
        <f>'FS Seychelles'!AA17</f>
        <v>73</v>
      </c>
      <c r="AB16" s="18">
        <f>'FS Seychelles'!AB17</f>
        <v>0</v>
      </c>
      <c r="AC16" s="18">
        <f>('FS Seychelles'!AF23+'FS Seychelles'!AF29)/30</f>
        <v>0</v>
      </c>
    </row>
    <row r="17" spans="1:29" x14ac:dyDescent="0.25">
      <c r="A17" s="1" t="s">
        <v>9</v>
      </c>
      <c r="B17" s="11">
        <f t="shared" si="0"/>
        <v>16</v>
      </c>
      <c r="C17" s="11">
        <v>4</v>
      </c>
      <c r="D17" s="11">
        <v>2022</v>
      </c>
      <c r="E17" s="18">
        <f>'FS Seychelles'!B18</f>
        <v>0</v>
      </c>
      <c r="F17" s="18">
        <f>'FS Seychelles'!D18*1000</f>
        <v>0</v>
      </c>
      <c r="G17" s="18">
        <f>'FS Seychelles'!E18*1000</f>
        <v>0</v>
      </c>
      <c r="H17" s="18">
        <f>'FS Seychelles'!F18*1000</f>
        <v>0</v>
      </c>
      <c r="I17" s="18">
        <f>'FS Seychelles'!G18*1000</f>
        <v>0</v>
      </c>
      <c r="J17" s="18">
        <f>'FS Seychelles'!H18*1000</f>
        <v>0</v>
      </c>
      <c r="K17" s="18">
        <f>'FS Seychelles'!I18*1000</f>
        <v>0</v>
      </c>
      <c r="L17" s="18">
        <f>'FS Seychelles'!J18*1000</f>
        <v>0</v>
      </c>
      <c r="M17" s="18">
        <f>'FS Seychelles'!K18*1000</f>
        <v>0</v>
      </c>
      <c r="N17" s="18">
        <f>'FS Seychelles'!L18*1000</f>
        <v>0</v>
      </c>
      <c r="O17" s="18">
        <f>'FS Seychelles'!M18</f>
        <v>9663</v>
      </c>
      <c r="P17" s="18">
        <f>'FS Seychelles'!N18</f>
        <v>10503</v>
      </c>
      <c r="Q17" s="18">
        <f>'FS Seychelles'!O18</f>
        <v>9712</v>
      </c>
      <c r="R17" s="18">
        <f>'FS Seychelles'!P18</f>
        <v>1921</v>
      </c>
      <c r="S17" s="18">
        <f>'FS Seychelles'!Q18</f>
        <v>5882</v>
      </c>
      <c r="T17" s="18">
        <f>'FS Seychelles'!R18</f>
        <v>8454</v>
      </c>
      <c r="U17" s="18">
        <f>'FS Seychelles'!T18</f>
        <v>0</v>
      </c>
      <c r="V17" s="18">
        <f>'FS Seychelles'!V19</f>
        <v>40</v>
      </c>
      <c r="W17" s="18">
        <f>'FS Seychelles'!W18</f>
        <v>23</v>
      </c>
      <c r="X17" s="18">
        <f>'FS Seychelles'!X18</f>
        <v>26</v>
      </c>
      <c r="Y17" s="18">
        <f>'FS Seychelles'!Y18</f>
        <v>60</v>
      </c>
      <c r="Z17" s="18">
        <f>'FS Seychelles'!Z18</f>
        <v>88</v>
      </c>
      <c r="AA17" s="18">
        <f>'FS Seychelles'!AA18</f>
        <v>0</v>
      </c>
      <c r="AB17" s="18">
        <f>'FS Seychelles'!AB18</f>
        <v>0</v>
      </c>
      <c r="AC17" s="18">
        <f>('FS Seychelles'!AF24+'FS Seychelles'!AF30)/30</f>
        <v>0</v>
      </c>
    </row>
    <row r="18" spans="1:29" x14ac:dyDescent="0.25">
      <c r="A18" s="1" t="s">
        <v>9</v>
      </c>
      <c r="B18" s="11">
        <f t="shared" si="0"/>
        <v>17</v>
      </c>
      <c r="C18" s="11">
        <v>4</v>
      </c>
      <c r="D18" s="11">
        <v>2022</v>
      </c>
      <c r="E18" s="18">
        <f>'FS Seychelles'!B19</f>
        <v>0</v>
      </c>
      <c r="F18" s="18">
        <f>'FS Seychelles'!D19*1000</f>
        <v>0</v>
      </c>
      <c r="G18" s="18">
        <f>'FS Seychelles'!E19*1000</f>
        <v>0</v>
      </c>
      <c r="H18" s="18">
        <f>'FS Seychelles'!F19*1000</f>
        <v>0</v>
      </c>
      <c r="I18" s="18">
        <f>'FS Seychelles'!G19*1000</f>
        <v>0</v>
      </c>
      <c r="J18" s="18">
        <f>'FS Seychelles'!H19*1000</f>
        <v>0</v>
      </c>
      <c r="K18" s="18">
        <f>'FS Seychelles'!I19*1000</f>
        <v>0</v>
      </c>
      <c r="L18" s="18">
        <f>'FS Seychelles'!J19*1000</f>
        <v>0</v>
      </c>
      <c r="M18" s="18">
        <f>'FS Seychelles'!K19*1000</f>
        <v>0</v>
      </c>
      <c r="N18" s="18">
        <f>'FS Seychelles'!L19*1000</f>
        <v>0</v>
      </c>
      <c r="O18" s="18">
        <f>'FS Seychelles'!M19</f>
        <v>7015</v>
      </c>
      <c r="P18" s="18">
        <f>'FS Seychelles'!N19</f>
        <v>8646</v>
      </c>
      <c r="Q18" s="18">
        <f>'FS Seychelles'!O19</f>
        <v>9961</v>
      </c>
      <c r="R18" s="18">
        <f>'FS Seychelles'!P19</f>
        <v>1278</v>
      </c>
      <c r="S18" s="18">
        <f>'FS Seychelles'!Q19</f>
        <v>8607</v>
      </c>
      <c r="T18" s="18">
        <f>'FS Seychelles'!R19</f>
        <v>7837</v>
      </c>
      <c r="U18" s="18">
        <f>'FS Seychelles'!T19</f>
        <v>0</v>
      </c>
      <c r="V18" s="18" t="e">
        <f>'FS Seychelles'!#REF!</f>
        <v>#REF!</v>
      </c>
      <c r="W18" s="18">
        <f>'FS Seychelles'!W19</f>
        <v>35</v>
      </c>
      <c r="X18" s="18">
        <f>'FS Seychelles'!X19</f>
        <v>83</v>
      </c>
      <c r="Y18" s="18">
        <f>'FS Seychelles'!Y19</f>
        <v>121</v>
      </c>
      <c r="Z18" s="18">
        <f>'FS Seychelles'!Z19</f>
        <v>42</v>
      </c>
      <c r="AA18" s="18">
        <f>'FS Seychelles'!AA19</f>
        <v>71</v>
      </c>
      <c r="AB18" s="18">
        <f>'FS Seychelles'!AB19</f>
        <v>0</v>
      </c>
      <c r="AC18" s="18">
        <f>('FS Seychelles'!AF25+'FS Seychelles'!AF31)/30</f>
        <v>0</v>
      </c>
    </row>
    <row r="19" spans="1:29" x14ac:dyDescent="0.25">
      <c r="A19" s="1" t="s">
        <v>9</v>
      </c>
      <c r="B19" s="11">
        <f t="shared" si="0"/>
        <v>18</v>
      </c>
      <c r="C19" s="11">
        <v>4</v>
      </c>
      <c r="D19" s="11">
        <v>2022</v>
      </c>
      <c r="E19" s="18">
        <f>'FS Seychelles'!B20</f>
        <v>0</v>
      </c>
      <c r="F19" s="18">
        <f>'FS Seychelles'!D20*1000</f>
        <v>0</v>
      </c>
      <c r="G19" s="18">
        <f>'FS Seychelles'!E20*1000</f>
        <v>0</v>
      </c>
      <c r="H19" s="18">
        <f>'FS Seychelles'!F20*1000</f>
        <v>0</v>
      </c>
      <c r="I19" s="18">
        <f>'FS Seychelles'!G20*1000</f>
        <v>0</v>
      </c>
      <c r="J19" s="18">
        <f>'FS Seychelles'!H20*1000</f>
        <v>0</v>
      </c>
      <c r="K19" s="18">
        <f>'FS Seychelles'!I20*1000</f>
        <v>0</v>
      </c>
      <c r="L19" s="18">
        <f>'FS Seychelles'!J20*1000</f>
        <v>0</v>
      </c>
      <c r="M19" s="18">
        <f>'FS Seychelles'!K20*1000</f>
        <v>0</v>
      </c>
      <c r="N19" s="18">
        <f>'FS Seychelles'!L20*1000</f>
        <v>0</v>
      </c>
      <c r="O19" s="18">
        <f>'FS Seychelles'!M20</f>
        <v>16436</v>
      </c>
      <c r="P19" s="18">
        <f>'FS Seychelles'!N20</f>
        <v>8861</v>
      </c>
      <c r="Q19" s="18">
        <f>'FS Seychelles'!O20</f>
        <v>0</v>
      </c>
      <c r="R19" s="18">
        <f>'FS Seychelles'!P20</f>
        <v>7673</v>
      </c>
      <c r="S19" s="18">
        <f>'FS Seychelles'!Q20</f>
        <v>7337</v>
      </c>
      <c r="T19" s="18">
        <f>'FS Seychelles'!R20</f>
        <v>9142</v>
      </c>
      <c r="U19" s="18">
        <f>'FS Seychelles'!T20</f>
        <v>0</v>
      </c>
      <c r="V19" s="18">
        <f>'FS Seychelles'!V20</f>
        <v>56</v>
      </c>
      <c r="W19" s="18">
        <f>'FS Seychelles'!W20</f>
        <v>37</v>
      </c>
      <c r="X19" s="18">
        <f>'FS Seychelles'!X20</f>
        <v>116</v>
      </c>
      <c r="Y19" s="18">
        <f>'FS Seychelles'!Y20</f>
        <v>148</v>
      </c>
      <c r="Z19" s="18">
        <f>'FS Seychelles'!Z20</f>
        <v>74</v>
      </c>
      <c r="AA19" s="18">
        <f>'FS Seychelles'!AA20</f>
        <v>115</v>
      </c>
      <c r="AB19" s="18">
        <f>'FS Seychelles'!AB20</f>
        <v>0</v>
      </c>
      <c r="AC19" s="18">
        <f>('FS Seychelles'!AF26+'FS Seychelles'!AF32)/30</f>
        <v>0</v>
      </c>
    </row>
    <row r="20" spans="1:29" x14ac:dyDescent="0.25">
      <c r="A20" s="1" t="s">
        <v>9</v>
      </c>
      <c r="B20" s="11">
        <f t="shared" si="0"/>
        <v>19</v>
      </c>
      <c r="C20" s="11">
        <v>4</v>
      </c>
      <c r="D20" s="11">
        <v>2022</v>
      </c>
      <c r="E20" s="18">
        <f>'FS Seychelles'!B21</f>
        <v>0</v>
      </c>
      <c r="F20" s="18">
        <f>'FS Seychelles'!D21*1000</f>
        <v>0</v>
      </c>
      <c r="G20" s="18">
        <f>'FS Seychelles'!E21*1000</f>
        <v>0</v>
      </c>
      <c r="H20" s="18">
        <f>'FS Seychelles'!F21*1000</f>
        <v>0</v>
      </c>
      <c r="I20" s="18">
        <f>'FS Seychelles'!G21*1000</f>
        <v>0</v>
      </c>
      <c r="J20" s="18">
        <f>'FS Seychelles'!H21*1000</f>
        <v>0</v>
      </c>
      <c r="K20" s="18">
        <f>'FS Seychelles'!I21*1000</f>
        <v>0</v>
      </c>
      <c r="L20" s="18">
        <f>'FS Seychelles'!J21*1000</f>
        <v>0</v>
      </c>
      <c r="M20" s="18">
        <f>'FS Seychelles'!K21*1000</f>
        <v>0</v>
      </c>
      <c r="N20" s="18">
        <f>'FS Seychelles'!L21*1000</f>
        <v>0</v>
      </c>
      <c r="O20" s="18">
        <f>'FS Seychelles'!M21</f>
        <v>6317</v>
      </c>
      <c r="P20" s="18">
        <f>'FS Seychelles'!N21</f>
        <v>10041</v>
      </c>
      <c r="Q20" s="18">
        <f>'FS Seychelles'!O21</f>
        <v>11855</v>
      </c>
      <c r="R20" s="18">
        <f>'FS Seychelles'!P21</f>
        <v>4554</v>
      </c>
      <c r="S20" s="18">
        <f>'FS Seychelles'!Q21</f>
        <v>7520</v>
      </c>
      <c r="T20" s="18">
        <f>'FS Seychelles'!R21</f>
        <v>8676</v>
      </c>
      <c r="U20" s="18">
        <f>'FS Seychelles'!T21</f>
        <v>0</v>
      </c>
      <c r="V20" s="18">
        <f>'FS Seychelles'!V21</f>
        <v>0</v>
      </c>
      <c r="W20" s="18">
        <f>'FS Seychelles'!W21</f>
        <v>0</v>
      </c>
      <c r="X20" s="18">
        <f>'FS Seychelles'!X21</f>
        <v>0</v>
      </c>
      <c r="Y20" s="18">
        <f>'FS Seychelles'!Y21</f>
        <v>0</v>
      </c>
      <c r="Z20" s="18">
        <f>'FS Seychelles'!Z21</f>
        <v>0</v>
      </c>
      <c r="AA20" s="18">
        <f>'FS Seychelles'!AA21</f>
        <v>0</v>
      </c>
      <c r="AB20" s="18">
        <f>'FS Seychelles'!AB21</f>
        <v>0</v>
      </c>
      <c r="AC20" s="18">
        <f>('FS Seychelles'!AF27+'FS Seychelles'!AF33)/30</f>
        <v>0</v>
      </c>
    </row>
    <row r="21" spans="1:29" x14ac:dyDescent="0.25">
      <c r="A21" s="1" t="s">
        <v>9</v>
      </c>
      <c r="B21" s="11">
        <f t="shared" si="0"/>
        <v>20</v>
      </c>
      <c r="C21" s="11">
        <v>4</v>
      </c>
      <c r="D21" s="11">
        <v>2022</v>
      </c>
      <c r="E21" s="18">
        <f>'FS Seychelles'!B22</f>
        <v>0</v>
      </c>
      <c r="F21" s="18">
        <f>'FS Seychelles'!D22*1000</f>
        <v>0</v>
      </c>
      <c r="G21" s="18">
        <f>'FS Seychelles'!E22*1000</f>
        <v>0</v>
      </c>
      <c r="H21" s="18">
        <f>'FS Seychelles'!F22*1000</f>
        <v>0</v>
      </c>
      <c r="I21" s="18">
        <f>'FS Seychelles'!G22*1000</f>
        <v>0</v>
      </c>
      <c r="J21" s="18">
        <f>'FS Seychelles'!H22*1000</f>
        <v>0</v>
      </c>
      <c r="K21" s="18">
        <f>'FS Seychelles'!I22*1000</f>
        <v>0</v>
      </c>
      <c r="L21" s="18">
        <f>'FS Seychelles'!J22*1000</f>
        <v>0</v>
      </c>
      <c r="M21" s="18">
        <f>'FS Seychelles'!K22*1000</f>
        <v>0</v>
      </c>
      <c r="N21" s="18">
        <f>'FS Seychelles'!L22*1000</f>
        <v>0</v>
      </c>
      <c r="O21" s="18">
        <f>'FS Seychelles'!M22</f>
        <v>6617</v>
      </c>
      <c r="P21" s="18">
        <f>'FS Seychelles'!N22</f>
        <v>10161</v>
      </c>
      <c r="Q21" s="18">
        <f>'FS Seychelles'!O22</f>
        <v>5032</v>
      </c>
      <c r="R21" s="18">
        <f>'FS Seychelles'!P22</f>
        <v>5969</v>
      </c>
      <c r="S21" s="18">
        <f>'FS Seychelles'!Q23</f>
        <v>9887</v>
      </c>
      <c r="T21" s="18">
        <f>'FS Seychelles'!R22</f>
        <v>8613</v>
      </c>
      <c r="U21" s="18">
        <f>'FS Seychelles'!T22</f>
        <v>0</v>
      </c>
      <c r="V21" s="18">
        <f>'FS Seychelles'!V22</f>
        <v>46</v>
      </c>
      <c r="W21" s="18">
        <f>'FS Seychelles'!W22</f>
        <v>35</v>
      </c>
      <c r="X21" s="18">
        <f>'FS Seychelles'!X22</f>
        <v>41</v>
      </c>
      <c r="Y21" s="18">
        <f>'FS Seychelles'!Y22</f>
        <v>137</v>
      </c>
      <c r="Z21" s="18">
        <f>'FS Seychelles'!Z22</f>
        <v>75</v>
      </c>
      <c r="AA21" s="18">
        <f>'FS Seychelles'!AA22</f>
        <v>115</v>
      </c>
      <c r="AB21" s="18">
        <f>'FS Seychelles'!AB22</f>
        <v>0</v>
      </c>
      <c r="AC21" s="18">
        <f>('FS Seychelles'!AF28+'FS Seychelles'!AF34)/30</f>
        <v>0</v>
      </c>
    </row>
    <row r="22" spans="1:29" x14ac:dyDescent="0.25">
      <c r="A22" s="1" t="s">
        <v>9</v>
      </c>
      <c r="B22" s="11">
        <f t="shared" si="0"/>
        <v>21</v>
      </c>
      <c r="C22" s="11">
        <v>4</v>
      </c>
      <c r="D22" s="11">
        <v>2022</v>
      </c>
      <c r="E22" s="18">
        <f>'FS Seychelles'!B23</f>
        <v>0</v>
      </c>
      <c r="F22" s="18">
        <f>'FS Seychelles'!D23*1000</f>
        <v>0</v>
      </c>
      <c r="G22" s="18">
        <f>'FS Seychelles'!E23*1000</f>
        <v>0</v>
      </c>
      <c r="H22" s="18">
        <f>'FS Seychelles'!F23*1000</f>
        <v>0</v>
      </c>
      <c r="I22" s="18">
        <f>'FS Seychelles'!G23*1000</f>
        <v>0</v>
      </c>
      <c r="J22" s="18">
        <f>'FS Seychelles'!H23*1000</f>
        <v>0</v>
      </c>
      <c r="K22" s="18">
        <f>'FS Seychelles'!I23*1000</f>
        <v>0</v>
      </c>
      <c r="L22" s="18">
        <f>'FS Seychelles'!J23*1000</f>
        <v>0</v>
      </c>
      <c r="M22" s="18">
        <f>'FS Seychelles'!K23*1000</f>
        <v>0</v>
      </c>
      <c r="N22" s="18">
        <f>'FS Seychelles'!L23*1000</f>
        <v>0</v>
      </c>
      <c r="O22" s="18">
        <f>'FS Seychelles'!M23</f>
        <v>13743</v>
      </c>
      <c r="P22" s="18">
        <f>'FS Seychelles'!N23</f>
        <v>13824</v>
      </c>
      <c r="Q22" s="18">
        <f>'FS Seychelles'!O23</f>
        <v>0</v>
      </c>
      <c r="R22" s="18">
        <f>'FS Seychelles'!P23</f>
        <v>12463</v>
      </c>
      <c r="S22" s="18">
        <f>'FS Seychelles'!Q24</f>
        <v>13663</v>
      </c>
      <c r="T22" s="18">
        <f>'FS Seychelles'!R23</f>
        <v>11216</v>
      </c>
      <c r="U22" s="18">
        <f>'FS Seychelles'!T23</f>
        <v>0</v>
      </c>
      <c r="V22" s="18">
        <f>'FS Seychelles'!V23</f>
        <v>51</v>
      </c>
      <c r="W22" s="18">
        <f>'FS Seychelles'!W23</f>
        <v>32</v>
      </c>
      <c r="X22" s="18">
        <f>'FS Seychelles'!X23</f>
        <v>69</v>
      </c>
      <c r="Y22" s="18">
        <f>'FS Seychelles'!Y23</f>
        <v>161</v>
      </c>
      <c r="Z22" s="18">
        <f>'FS Seychelles'!Z23</f>
        <v>95</v>
      </c>
      <c r="AA22" s="18">
        <f>'FS Seychelles'!AA23</f>
        <v>118</v>
      </c>
      <c r="AB22" s="18">
        <f>'FS Seychelles'!AB23</f>
        <v>0</v>
      </c>
      <c r="AC22" s="18">
        <f>('FS Seychelles'!AF29+'FS Seychelles'!AF35)/30</f>
        <v>0</v>
      </c>
    </row>
    <row r="23" spans="1:29" x14ac:dyDescent="0.25">
      <c r="A23" s="1" t="s">
        <v>9</v>
      </c>
      <c r="B23" s="11">
        <f t="shared" si="0"/>
        <v>22</v>
      </c>
      <c r="C23" s="11">
        <v>4</v>
      </c>
      <c r="D23" s="11">
        <v>2022</v>
      </c>
      <c r="E23" s="18">
        <f>'FS Seychelles'!B24</f>
        <v>0</v>
      </c>
      <c r="F23" s="18">
        <f>'FS Seychelles'!D24*1000</f>
        <v>0</v>
      </c>
      <c r="G23" s="18">
        <f>'FS Seychelles'!E24*1000</f>
        <v>0</v>
      </c>
      <c r="H23" s="18">
        <f>'FS Seychelles'!F24*1000</f>
        <v>0</v>
      </c>
      <c r="I23" s="18">
        <f>'FS Seychelles'!G24*1000</f>
        <v>0</v>
      </c>
      <c r="J23" s="18">
        <f>'FS Seychelles'!H24*1000</f>
        <v>0</v>
      </c>
      <c r="K23" s="18">
        <f>'FS Seychelles'!I24*1000</f>
        <v>0</v>
      </c>
      <c r="L23" s="18">
        <f>'FS Seychelles'!J24*1000</f>
        <v>0</v>
      </c>
      <c r="M23" s="18">
        <f>'FS Seychelles'!K24*1000</f>
        <v>0</v>
      </c>
      <c r="N23" s="18">
        <f>'FS Seychelles'!L24*1000</f>
        <v>0</v>
      </c>
      <c r="O23" s="18">
        <f>'FS Seychelles'!M24</f>
        <v>4435</v>
      </c>
      <c r="P23" s="18">
        <f>'FS Seychelles'!N24</f>
        <v>9348</v>
      </c>
      <c r="Q23" s="18">
        <f>'FS Seychelles'!O24</f>
        <v>0</v>
      </c>
      <c r="R23" s="18">
        <f>'FS Seychelles'!P24</f>
        <v>0</v>
      </c>
      <c r="S23" s="18">
        <f>'FS Seychelles'!Q25</f>
        <v>5747</v>
      </c>
      <c r="T23" s="18">
        <f>'FS Seychelles'!R24</f>
        <v>6074</v>
      </c>
      <c r="U23" s="18">
        <f>'FS Seychelles'!T24</f>
        <v>0</v>
      </c>
      <c r="V23" s="18">
        <f>'FS Seychelles'!V24</f>
        <v>46</v>
      </c>
      <c r="W23" s="18">
        <f>'FS Seychelles'!W24</f>
        <v>38</v>
      </c>
      <c r="X23" s="18">
        <f>'FS Seychelles'!X24</f>
        <v>62</v>
      </c>
      <c r="Y23" s="18">
        <f>'FS Seychelles'!Y24</f>
        <v>153</v>
      </c>
      <c r="Z23" s="18">
        <f>'FS Seychelles'!Z24</f>
        <v>180</v>
      </c>
      <c r="AA23" s="18">
        <f>'FS Seychelles'!AA24</f>
        <v>110</v>
      </c>
      <c r="AB23" s="18">
        <f>'FS Seychelles'!AB24</f>
        <v>0</v>
      </c>
      <c r="AC23" s="18">
        <f>('FS Seychelles'!AF30+'FS Seychelles'!AF36)/30</f>
        <v>0</v>
      </c>
    </row>
    <row r="24" spans="1:29" x14ac:dyDescent="0.25">
      <c r="A24" s="1" t="s">
        <v>9</v>
      </c>
      <c r="B24" s="11">
        <f t="shared" si="0"/>
        <v>23</v>
      </c>
      <c r="C24" s="11">
        <v>4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Seychelles'!J25*1000</f>
        <v>0</v>
      </c>
      <c r="M24" s="18">
        <f>'FS Seychelles'!K25*1000</f>
        <v>0</v>
      </c>
      <c r="N24" s="18">
        <f>'FS Seychelles'!L25*1000</f>
        <v>0</v>
      </c>
      <c r="O24" s="18">
        <f>'FS Seychelles'!M25</f>
        <v>10043</v>
      </c>
      <c r="P24" s="18">
        <f>'FS Seychelles'!N25</f>
        <v>11271</v>
      </c>
      <c r="Q24" s="18">
        <f>'FS Seychelles'!O25</f>
        <v>0</v>
      </c>
      <c r="R24" s="18">
        <f>'FS Seychelles'!P25</f>
        <v>9954</v>
      </c>
      <c r="S24" s="18">
        <f>'FS Seychelles'!Q25</f>
        <v>5747</v>
      </c>
      <c r="T24" s="18">
        <f>'FS Seychelles'!R25</f>
        <v>8231</v>
      </c>
      <c r="U24" s="18">
        <f>'FS Seychelles'!T25</f>
        <v>0</v>
      </c>
      <c r="V24" s="18">
        <f>'FS Seychelles'!V25</f>
        <v>42</v>
      </c>
      <c r="W24" s="18">
        <f>'FS Seychelles'!W25</f>
        <v>38</v>
      </c>
      <c r="X24" s="18">
        <f>'FS Seychelles'!X25</f>
        <v>67</v>
      </c>
      <c r="Y24" s="18">
        <f>'FS Seychelles'!Y25</f>
        <v>180</v>
      </c>
      <c r="Z24" s="18">
        <f>'FS Seychelles'!Z25</f>
        <v>190</v>
      </c>
      <c r="AA24" s="18">
        <f>'FS Seychelles'!AA25</f>
        <v>112</v>
      </c>
      <c r="AB24" s="18">
        <f>'FS Seychelles'!AB25</f>
        <v>0</v>
      </c>
      <c r="AC24" s="18">
        <f>('FS Seychelles'!AF31+'FS Seychelles'!AF37)/30</f>
        <v>0</v>
      </c>
    </row>
    <row r="25" spans="1:29" x14ac:dyDescent="0.25">
      <c r="A25" s="1" t="s">
        <v>9</v>
      </c>
      <c r="B25" s="11">
        <f t="shared" si="0"/>
        <v>24</v>
      </c>
      <c r="C25" s="11">
        <v>4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Seychelles'!J26*1000</f>
        <v>0</v>
      </c>
      <c r="M25" s="18">
        <f>'FS Seychelles'!K26*1000</f>
        <v>0</v>
      </c>
      <c r="N25" s="18">
        <f>'FS Seychelles'!L26*1000</f>
        <v>0</v>
      </c>
      <c r="O25" s="18">
        <f>'FS Seychelles'!M26</f>
        <v>10991</v>
      </c>
      <c r="P25" s="18">
        <f>'FS Seychelles'!N26</f>
        <v>12018</v>
      </c>
      <c r="Q25" s="18">
        <f>'FS Seychelles'!O26</f>
        <v>0</v>
      </c>
      <c r="R25" s="18">
        <f>'FS Seychelles'!P26</f>
        <v>10306</v>
      </c>
      <c r="S25" s="18">
        <f>'FS Seychelles'!Q26</f>
        <v>4473</v>
      </c>
      <c r="T25" s="18">
        <f>'FS Seychelles'!R26</f>
        <v>8505</v>
      </c>
      <c r="U25" s="18">
        <f>'FS Seychelles'!T26</f>
        <v>0</v>
      </c>
      <c r="V25" s="18">
        <f>'FS Seychelles'!V26</f>
        <v>39</v>
      </c>
      <c r="W25" s="18">
        <f>'FS Seychelles'!W26</f>
        <v>38</v>
      </c>
      <c r="X25" s="18">
        <f>'FS Seychelles'!X26</f>
        <v>53</v>
      </c>
      <c r="Y25" s="18">
        <f>'FS Seychelles'!Y26</f>
        <v>153</v>
      </c>
      <c r="Z25" s="18">
        <f>'FS Seychelles'!Z26</f>
        <v>101</v>
      </c>
      <c r="AA25" s="18">
        <f>'FS Seychelles'!AA26</f>
        <v>106</v>
      </c>
      <c r="AB25" s="18">
        <f>'FS Seychelles'!AB26</f>
        <v>0</v>
      </c>
      <c r="AC25" s="18">
        <f>('FS Seychelles'!AF32+'FS Seychelles'!AF38)/30</f>
        <v>0</v>
      </c>
    </row>
    <row r="26" spans="1:29" x14ac:dyDescent="0.25">
      <c r="A26" s="1" t="s">
        <v>9</v>
      </c>
      <c r="B26" s="11">
        <f>B25+1</f>
        <v>25</v>
      </c>
      <c r="C26" s="11">
        <v>4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5841</v>
      </c>
      <c r="P26" s="18">
        <f>'FS Seychelles'!N27</f>
        <v>7856</v>
      </c>
      <c r="Q26" s="18">
        <f>'FS Seychelles'!O27</f>
        <v>0</v>
      </c>
      <c r="R26" s="18">
        <f>'FS Seychelles'!P27</f>
        <v>9928</v>
      </c>
      <c r="S26" s="18">
        <f>'FS Seychelles'!Q27</f>
        <v>14523</v>
      </c>
      <c r="T26" s="18">
        <f>'FS Seychelles'!R27</f>
        <v>8467</v>
      </c>
      <c r="U26" s="18">
        <f>'FS Seychelles'!T27</f>
        <v>0</v>
      </c>
      <c r="V26" s="18">
        <f>'FS Seychelles'!V27</f>
        <v>0</v>
      </c>
      <c r="W26" s="18">
        <f>'FS Seychelles'!W27</f>
        <v>0</v>
      </c>
      <c r="X26" s="18">
        <f>'FS Seychelles'!X27</f>
        <v>0</v>
      </c>
      <c r="Y26" s="18">
        <f>'FS Seychelles'!Y27</f>
        <v>0</v>
      </c>
      <c r="Z26" s="18">
        <f>'FS Seychelles'!Z27</f>
        <v>0</v>
      </c>
      <c r="AA26" s="18">
        <f>'FS Seychelles'!AA27</f>
        <v>0</v>
      </c>
      <c r="AB26" s="18">
        <f>'FS Seychelles'!AB27</f>
        <v>0</v>
      </c>
      <c r="AC26" s="18">
        <f>('FS Seychelles'!AF33+'FS Seychelles'!AF39)/30</f>
        <v>0</v>
      </c>
    </row>
    <row r="27" spans="1:29" x14ac:dyDescent="0.25">
      <c r="A27" s="1" t="s">
        <v>9</v>
      </c>
      <c r="B27" s="11">
        <f t="shared" si="0"/>
        <v>26</v>
      </c>
      <c r="C27" s="11">
        <v>4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Seychelles'!V28</f>
        <v>0</v>
      </c>
      <c r="W27" s="18">
        <f>'FS Seychelles'!W28</f>
        <v>0</v>
      </c>
      <c r="X27" s="18">
        <f>'FS Seychelles'!X28</f>
        <v>0</v>
      </c>
      <c r="Y27" s="18">
        <f>'FS Seychelles'!Y28</f>
        <v>0</v>
      </c>
      <c r="Z27" s="18">
        <f>'FS Seychelles'!Z28</f>
        <v>0</v>
      </c>
      <c r="AA27" s="18">
        <f>'FS Seychelles'!AA28</f>
        <v>0</v>
      </c>
      <c r="AB27" s="18">
        <f>'FS Seychelles'!AB28</f>
        <v>0</v>
      </c>
      <c r="AC27" s="18">
        <f>('FS Seychelles'!AF34+'FS Seychelles'!AF40)/30</f>
        <v>0</v>
      </c>
    </row>
    <row r="28" spans="1:29" x14ac:dyDescent="0.25">
      <c r="A28" s="1" t="s">
        <v>9</v>
      </c>
      <c r="B28" s="11">
        <f t="shared" si="0"/>
        <v>27</v>
      </c>
      <c r="C28" s="11">
        <v>4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Seychelles'!V29</f>
        <v>0</v>
      </c>
      <c r="W28" s="18">
        <f>'FS Seychelles'!W29</f>
        <v>0</v>
      </c>
      <c r="X28" s="18">
        <f>'FS Seychelles'!X29</f>
        <v>0</v>
      </c>
      <c r="Y28" s="18">
        <f>'FS Seychelles'!Y29</f>
        <v>0</v>
      </c>
      <c r="Z28" s="18">
        <f>'FS Seychelles'!Z29</f>
        <v>0</v>
      </c>
      <c r="AA28" s="18">
        <f>'FS Seychelles'!AA29</f>
        <v>0</v>
      </c>
      <c r="AB28" s="18">
        <f>'FS Seychelles'!AB29</f>
        <v>0</v>
      </c>
      <c r="AC28" s="18">
        <f>('FS Seychelles'!AF35+'FS Seychelles'!AF41)/30</f>
        <v>0</v>
      </c>
    </row>
    <row r="29" spans="1:29" x14ac:dyDescent="0.25">
      <c r="A29" s="1" t="s">
        <v>9</v>
      </c>
      <c r="B29" s="11">
        <f t="shared" si="0"/>
        <v>28</v>
      </c>
      <c r="C29" s="11">
        <v>4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Seychelles'!V30</f>
        <v>0</v>
      </c>
      <c r="W29" s="18">
        <f>'FS Seychelles'!W30</f>
        <v>0</v>
      </c>
      <c r="X29" s="18">
        <f>'FS Seychelles'!X30</f>
        <v>0</v>
      </c>
      <c r="Y29" s="18">
        <f>'FS Seychelles'!Y30</f>
        <v>0</v>
      </c>
      <c r="Z29" s="18">
        <f>'FS Seychelles'!Z30</f>
        <v>0</v>
      </c>
      <c r="AA29" s="18">
        <f>'FS Seychelles'!AA30</f>
        <v>0</v>
      </c>
      <c r="AB29" s="18">
        <f>'FS Seychelles'!AB30</f>
        <v>0</v>
      </c>
      <c r="AC29" s="18">
        <f>('FS Seychelles'!AF36+'FS Seychelles'!AF42)/30</f>
        <v>0</v>
      </c>
    </row>
    <row r="30" spans="1:29" x14ac:dyDescent="0.25">
      <c r="A30" s="1" t="s">
        <v>9</v>
      </c>
      <c r="B30" s="11">
        <f t="shared" si="0"/>
        <v>29</v>
      </c>
      <c r="C30" s="11">
        <v>4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Seychelles'!V31</f>
        <v>0</v>
      </c>
      <c r="W30" s="18">
        <f>'FS Seychelles'!W31</f>
        <v>0</v>
      </c>
      <c r="X30" s="18">
        <f>'FS Seychelles'!X31</f>
        <v>0</v>
      </c>
      <c r="Y30" s="18">
        <f>'FS Seychelles'!Y31</f>
        <v>0</v>
      </c>
      <c r="Z30" s="18">
        <f>'FS Seychelles'!Z31</f>
        <v>0</v>
      </c>
      <c r="AA30" s="18">
        <f>'FS Seychelles'!AA31</f>
        <v>0</v>
      </c>
      <c r="AB30" s="18">
        <f>'FS Seychelles'!AB31</f>
        <v>0</v>
      </c>
      <c r="AC30" s="18">
        <f>('FS Seychelles'!AF37+'FS Seychelles'!AF43)/30</f>
        <v>0</v>
      </c>
    </row>
    <row r="31" spans="1:29" x14ac:dyDescent="0.25">
      <c r="A31" s="1" t="s">
        <v>9</v>
      </c>
      <c r="B31" s="11">
        <f t="shared" si="0"/>
        <v>30</v>
      </c>
      <c r="C31" s="11">
        <v>4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Seychelles'!V32</f>
        <v>0</v>
      </c>
      <c r="W31" s="18">
        <f>'FS Seychelles'!W32</f>
        <v>0</v>
      </c>
      <c r="X31" s="18">
        <f>'FS Seychelles'!X32</f>
        <v>0</v>
      </c>
      <c r="Y31" s="18">
        <f>'FS Seychelles'!Y32</f>
        <v>0</v>
      </c>
      <c r="Z31" s="18">
        <f>'FS Seychelles'!Z32</f>
        <v>0</v>
      </c>
      <c r="AA31" s="18">
        <f>'FS Seychelles'!AA32</f>
        <v>0</v>
      </c>
      <c r="AB31" s="18">
        <f>'FS Seychelles'!AB32</f>
        <v>0</v>
      </c>
      <c r="AC31" s="18">
        <f>('FS Seychelles'!AF38+'FS Seychelles'!AF44)/30</f>
        <v>0</v>
      </c>
    </row>
    <row r="32" spans="1:29" x14ac:dyDescent="0.25">
      <c r="A32" s="1" t="s">
        <v>9</v>
      </c>
      <c r="B32" s="11">
        <v>31</v>
      </c>
      <c r="C32" s="11">
        <v>4</v>
      </c>
      <c r="D32" s="11">
        <v>2022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Seychelles'!V33</f>
        <v>0</v>
      </c>
      <c r="W32" s="18">
        <f>'FS Seychelles'!W33</f>
        <v>0</v>
      </c>
      <c r="X32" s="18">
        <f>'FS Seychelles'!X33</f>
        <v>0</v>
      </c>
      <c r="Y32" s="18">
        <f>'FS Seychelles'!Y33</f>
        <v>0</v>
      </c>
      <c r="Z32" s="18">
        <f>'FS Seychelles'!Z33</f>
        <v>0</v>
      </c>
      <c r="AA32" s="18">
        <f>'FS Seychelles'!AA33</f>
        <v>0</v>
      </c>
      <c r="AB32" s="18">
        <f>'FS Seychelles'!AB33</f>
        <v>0</v>
      </c>
      <c r="AC32" s="18">
        <f>('FS Seychelles'!AF39+'FS Seychelles'!AF45)/30</f>
        <v>0</v>
      </c>
    </row>
    <row r="33" spans="16:18" x14ac:dyDescent="0.25">
      <c r="P33" s="18">
        <f>SUM(P2:P32)</f>
        <v>238242</v>
      </c>
      <c r="Q33" s="18">
        <f>SUM(Q2:Q32)</f>
        <v>170078</v>
      </c>
      <c r="R33" s="18">
        <f>SUM(R2:R32)</f>
        <v>148411</v>
      </c>
    </row>
    <row r="35" spans="16:18" x14ac:dyDescent="0.25">
      <c r="R35" s="18">
        <f>SUM(O33:R33)</f>
        <v>556731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39"/>
  <sheetViews>
    <sheetView zoomScaleNormal="100" workbookViewId="0">
      <pane xSplit="1" topLeftCell="T1" activePane="topRight" state="frozen"/>
      <selection pane="topRight" activeCell="AC26" sqref="AC26"/>
    </sheetView>
  </sheetViews>
  <sheetFormatPr defaultRowHeight="12.75" x14ac:dyDescent="0.2"/>
  <cols>
    <col min="1" max="1" width="10.5703125" style="19" bestFit="1" customWidth="1"/>
    <col min="2" max="3" width="12.7109375" style="19" customWidth="1"/>
    <col min="4" max="4" width="9.140625" style="19"/>
    <col min="5" max="9" width="9.140625" style="39"/>
    <col min="10" max="10" width="10.28515625" style="39" customWidth="1"/>
    <col min="11" max="11" width="9.140625" style="39"/>
    <col min="12" max="12" width="10.7109375" style="39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21" width="12" style="19" customWidth="1"/>
    <col min="22" max="23" width="10.7109375" style="19" customWidth="1"/>
    <col min="24" max="24" width="9.42578125" style="19" bestFit="1" customWidth="1"/>
    <col min="25" max="25" width="9.140625" style="19"/>
    <col min="26" max="26" width="8.140625" style="19" customWidth="1"/>
    <col min="27" max="27" width="9.140625" style="19"/>
    <col min="28" max="29" width="11.85546875" style="19" customWidth="1"/>
    <col min="30" max="30" width="13.5703125" style="35" customWidth="1"/>
    <col min="31" max="33" width="9.140625" style="35"/>
    <col min="34" max="34" width="10.42578125" style="19" customWidth="1"/>
    <col min="35" max="35" width="11.42578125" style="19" customWidth="1"/>
    <col min="36" max="16384" width="9.140625" style="19"/>
  </cols>
  <sheetData>
    <row r="1" spans="1:35" x14ac:dyDescent="0.2">
      <c r="D1" s="110"/>
      <c r="E1" s="110"/>
      <c r="F1" s="110"/>
      <c r="G1" s="110"/>
      <c r="H1" s="110"/>
      <c r="I1" s="110"/>
      <c r="J1" s="110"/>
      <c r="K1" s="110"/>
      <c r="L1" s="110"/>
      <c r="AH1" s="118" t="s">
        <v>35</v>
      </c>
      <c r="AI1" s="118"/>
    </row>
    <row r="2" spans="1:35" s="22" customFormat="1" ht="31.5" customHeight="1" x14ac:dyDescent="0.2">
      <c r="A2" s="73" t="s">
        <v>36</v>
      </c>
      <c r="B2" s="58" t="s">
        <v>37</v>
      </c>
      <c r="C2" s="69" t="s">
        <v>38</v>
      </c>
      <c r="D2" s="67" t="s">
        <v>39</v>
      </c>
      <c r="E2" s="68" t="s">
        <v>40</v>
      </c>
      <c r="F2" s="68" t="s">
        <v>41</v>
      </c>
      <c r="G2" s="68" t="s">
        <v>42</v>
      </c>
      <c r="H2" s="68" t="s">
        <v>43</v>
      </c>
      <c r="I2" s="68" t="s">
        <v>44</v>
      </c>
      <c r="J2" s="68" t="s">
        <v>45</v>
      </c>
      <c r="K2" s="68" t="s">
        <v>46</v>
      </c>
      <c r="L2" s="68" t="s">
        <v>47</v>
      </c>
      <c r="M2" s="70" t="s">
        <v>48</v>
      </c>
      <c r="N2" s="41" t="s">
        <v>49</v>
      </c>
      <c r="O2" s="41" t="s">
        <v>50</v>
      </c>
      <c r="P2" s="41" t="s">
        <v>51</v>
      </c>
      <c r="Q2" s="41" t="s">
        <v>52</v>
      </c>
      <c r="R2" s="42" t="s">
        <v>53</v>
      </c>
      <c r="S2" s="42" t="s">
        <v>54</v>
      </c>
      <c r="T2" s="42" t="s">
        <v>55</v>
      </c>
      <c r="U2" s="42" t="s">
        <v>56</v>
      </c>
      <c r="V2" s="40" t="s">
        <v>57</v>
      </c>
      <c r="W2" s="40" t="s">
        <v>58</v>
      </c>
      <c r="X2" s="40" t="s">
        <v>59</v>
      </c>
      <c r="Y2" s="40" t="s">
        <v>60</v>
      </c>
      <c r="Z2" s="40" t="s">
        <v>61</v>
      </c>
      <c r="AA2" s="40" t="s">
        <v>62</v>
      </c>
      <c r="AB2" s="43" t="s">
        <v>63</v>
      </c>
      <c r="AC2" s="94" t="s">
        <v>64</v>
      </c>
      <c r="AD2" s="111" t="s">
        <v>34</v>
      </c>
      <c r="AE2" s="111"/>
      <c r="AF2" s="111"/>
      <c r="AG2" s="79"/>
      <c r="AH2" s="82" t="s">
        <v>65</v>
      </c>
      <c r="AI2" s="82" t="s">
        <v>66</v>
      </c>
    </row>
    <row r="3" spans="1:35" ht="15" customHeight="1" x14ac:dyDescent="0.2">
      <c r="A3" s="56">
        <v>44652</v>
      </c>
      <c r="B3" s="64">
        <v>36.799999999999997</v>
      </c>
      <c r="C3" s="64">
        <v>381</v>
      </c>
      <c r="D3" s="65"/>
      <c r="E3" s="63"/>
      <c r="F3" s="63"/>
      <c r="G3" s="63"/>
      <c r="H3" s="63"/>
      <c r="I3" s="63"/>
      <c r="J3" s="63"/>
      <c r="K3" s="63"/>
      <c r="L3" s="63"/>
      <c r="M3" s="71">
        <v>11875</v>
      </c>
      <c r="N3" s="57">
        <v>8398</v>
      </c>
      <c r="O3" s="31">
        <v>9029</v>
      </c>
      <c r="P3" s="31">
        <v>9524</v>
      </c>
      <c r="Q3" s="31">
        <v>6769</v>
      </c>
      <c r="R3" s="21">
        <f>2582+1811+1874+2617+1461</f>
        <v>10345</v>
      </c>
      <c r="S3" s="21">
        <f>21.66*0.06</f>
        <v>1.2995999999999999</v>
      </c>
      <c r="T3" s="21"/>
      <c r="U3" s="21">
        <v>0.32</v>
      </c>
      <c r="V3" s="30">
        <v>59</v>
      </c>
      <c r="W3" s="20">
        <v>0</v>
      </c>
      <c r="X3" s="20">
        <v>54</v>
      </c>
      <c r="Y3" s="20">
        <v>150</v>
      </c>
      <c r="Z3" s="20">
        <v>128</v>
      </c>
      <c r="AA3" s="30">
        <v>112</v>
      </c>
      <c r="AB3" s="34">
        <v>0</v>
      </c>
      <c r="AC3" s="87">
        <v>0</v>
      </c>
      <c r="AD3" s="112" t="s">
        <v>67</v>
      </c>
      <c r="AE3" s="113"/>
      <c r="AF3" s="113"/>
      <c r="AG3" s="83">
        <v>17.5</v>
      </c>
      <c r="AH3" s="78">
        <f>SUM(M3:Q3)</f>
        <v>45595</v>
      </c>
      <c r="AI3" s="78">
        <f>SUM(V3:AB3)</f>
        <v>503</v>
      </c>
    </row>
    <row r="4" spans="1:35" ht="16.5" customHeight="1" x14ac:dyDescent="0.2">
      <c r="A4" s="56">
        <v>44653</v>
      </c>
      <c r="B4" s="64">
        <v>35.5</v>
      </c>
      <c r="C4" s="64">
        <v>300</v>
      </c>
      <c r="D4" s="65"/>
      <c r="E4" s="63"/>
      <c r="F4" s="63"/>
      <c r="G4" s="63"/>
      <c r="H4" s="63"/>
      <c r="I4" s="63"/>
      <c r="J4" s="63"/>
      <c r="K4" s="63"/>
      <c r="L4" s="63"/>
      <c r="M4" s="72">
        <v>7574</v>
      </c>
      <c r="N4" s="57">
        <v>10839</v>
      </c>
      <c r="O4" s="31">
        <v>9855</v>
      </c>
      <c r="P4" s="31">
        <v>9779</v>
      </c>
      <c r="Q4" s="31">
        <v>6527</v>
      </c>
      <c r="R4" s="21">
        <f>1723+2371+2063+2267+1374</f>
        <v>9798</v>
      </c>
      <c r="S4" s="21">
        <f t="shared" ref="S4:S15" si="0">21.66*0.06</f>
        <v>1.2995999999999999</v>
      </c>
      <c r="T4" s="21"/>
      <c r="U4" s="21">
        <f>U3</f>
        <v>0.32</v>
      </c>
      <c r="V4" s="30">
        <v>52</v>
      </c>
      <c r="W4" s="20">
        <v>31</v>
      </c>
      <c r="X4" s="20">
        <v>54</v>
      </c>
      <c r="Y4" s="20">
        <v>140</v>
      </c>
      <c r="Z4" s="20">
        <v>110</v>
      </c>
      <c r="AA4" s="30">
        <v>107</v>
      </c>
      <c r="AB4" s="34">
        <v>89</v>
      </c>
      <c r="AC4" s="87">
        <v>0</v>
      </c>
      <c r="AD4" s="88" t="s">
        <v>68</v>
      </c>
      <c r="AE4" s="38" t="s">
        <v>69</v>
      </c>
      <c r="AF4" s="32" t="s">
        <v>70</v>
      </c>
      <c r="AG4" s="80"/>
      <c r="AH4" s="78">
        <f t="shared" ref="AH4:AH33" si="1">SUM(M4:Q4)</f>
        <v>44574</v>
      </c>
      <c r="AI4" s="78">
        <f t="shared" ref="AI4:AI33" si="2">SUM(V4:AB4)</f>
        <v>583</v>
      </c>
    </row>
    <row r="5" spans="1:35" ht="15" x14ac:dyDescent="0.2">
      <c r="A5" s="56">
        <v>44654</v>
      </c>
      <c r="B5" s="64">
        <v>36.799999999999997</v>
      </c>
      <c r="C5" s="64">
        <v>244</v>
      </c>
      <c r="D5" s="65"/>
      <c r="E5" s="63"/>
      <c r="F5" s="63"/>
      <c r="G5" s="63"/>
      <c r="H5" s="63"/>
      <c r="I5" s="63"/>
      <c r="J5" s="63"/>
      <c r="K5" s="63"/>
      <c r="L5" s="63"/>
      <c r="M5" s="72">
        <v>5871</v>
      </c>
      <c r="N5" s="45">
        <v>10203</v>
      </c>
      <c r="O5" s="45">
        <v>10732</v>
      </c>
      <c r="P5" s="45">
        <v>7546</v>
      </c>
      <c r="Q5" s="45">
        <v>6749</v>
      </c>
      <c r="R5" s="45">
        <f>1293+2192+2303+1934+1469</f>
        <v>9191</v>
      </c>
      <c r="S5" s="21">
        <f t="shared" si="0"/>
        <v>1.2995999999999999</v>
      </c>
      <c r="T5" s="21"/>
      <c r="U5" s="21">
        <f t="shared" ref="U5:U30" si="3">U4</f>
        <v>0.32</v>
      </c>
      <c r="V5" s="30">
        <v>44</v>
      </c>
      <c r="W5" s="30">
        <v>19</v>
      </c>
      <c r="X5" s="30">
        <v>60</v>
      </c>
      <c r="Y5" s="30">
        <v>166</v>
      </c>
      <c r="Z5" s="30">
        <v>108</v>
      </c>
      <c r="AA5" s="30">
        <v>110</v>
      </c>
      <c r="AB5" s="34">
        <v>0</v>
      </c>
      <c r="AC5" s="87">
        <v>0</v>
      </c>
      <c r="AD5" s="85"/>
      <c r="AE5" s="36"/>
      <c r="AF5" s="33"/>
      <c r="AH5" s="78">
        <f t="shared" si="1"/>
        <v>41101</v>
      </c>
      <c r="AI5" s="78">
        <f t="shared" si="2"/>
        <v>507</v>
      </c>
    </row>
    <row r="6" spans="1:35" ht="15" x14ac:dyDescent="0.2">
      <c r="A6" s="56">
        <v>44655</v>
      </c>
      <c r="B6" s="64">
        <v>38.200000000000003</v>
      </c>
      <c r="C6" s="64">
        <v>214</v>
      </c>
      <c r="D6" s="65"/>
      <c r="E6" s="63"/>
      <c r="F6" s="63"/>
      <c r="G6" s="63"/>
      <c r="H6" s="63"/>
      <c r="I6" s="63"/>
      <c r="J6" s="63"/>
      <c r="K6" s="63"/>
      <c r="L6" s="63"/>
      <c r="M6" s="72">
        <v>6762</v>
      </c>
      <c r="N6" s="45">
        <v>10275</v>
      </c>
      <c r="O6" s="45">
        <v>10794</v>
      </c>
      <c r="P6" s="45">
        <v>6943</v>
      </c>
      <c r="Q6" s="45">
        <v>6250</v>
      </c>
      <c r="R6" s="45">
        <f>1484+2253+2264+1714+1333</f>
        <v>9048</v>
      </c>
      <c r="S6" s="21">
        <f t="shared" si="0"/>
        <v>1.2995999999999999</v>
      </c>
      <c r="T6" s="21"/>
      <c r="U6" s="21">
        <f t="shared" si="3"/>
        <v>0.32</v>
      </c>
      <c r="V6" s="30"/>
      <c r="W6" s="30"/>
      <c r="X6" s="30"/>
      <c r="Y6" s="30"/>
      <c r="Z6" s="30"/>
      <c r="AA6" s="30"/>
      <c r="AB6" s="34">
        <v>0</v>
      </c>
      <c r="AC6" s="87">
        <v>0</v>
      </c>
      <c r="AD6" s="85">
        <v>5</v>
      </c>
      <c r="AE6" s="36"/>
      <c r="AF6" s="33"/>
      <c r="AH6" s="78">
        <f t="shared" si="1"/>
        <v>41024</v>
      </c>
      <c r="AI6" s="78">
        <f t="shared" si="2"/>
        <v>0</v>
      </c>
    </row>
    <row r="7" spans="1:35" ht="15" x14ac:dyDescent="0.2">
      <c r="A7" s="56">
        <v>44656</v>
      </c>
      <c r="B7" s="64">
        <v>34.200000000000003</v>
      </c>
      <c r="C7" s="64">
        <v>215</v>
      </c>
      <c r="D7" s="65"/>
      <c r="E7" s="63"/>
      <c r="F7" s="63"/>
      <c r="G7" s="63"/>
      <c r="H7" s="63"/>
      <c r="I7" s="63"/>
      <c r="J7" s="63"/>
      <c r="K7" s="63"/>
      <c r="L7" s="63"/>
      <c r="M7" s="71">
        <v>8135</v>
      </c>
      <c r="N7" s="57">
        <v>6922</v>
      </c>
      <c r="O7" s="31">
        <v>6965</v>
      </c>
      <c r="P7" s="31">
        <v>0</v>
      </c>
      <c r="Q7" s="31">
        <v>9028</v>
      </c>
      <c r="R7" s="21">
        <f>1851+1540+1475+2025</f>
        <v>6891</v>
      </c>
      <c r="S7" s="21">
        <f t="shared" si="0"/>
        <v>1.2995999999999999</v>
      </c>
      <c r="T7" s="21"/>
      <c r="U7" s="21">
        <f t="shared" si="3"/>
        <v>0.32</v>
      </c>
      <c r="V7" s="30">
        <v>49</v>
      </c>
      <c r="W7" s="30">
        <v>35</v>
      </c>
      <c r="X7" s="30">
        <v>51</v>
      </c>
      <c r="Y7" s="30">
        <v>108</v>
      </c>
      <c r="Z7" s="30">
        <v>106</v>
      </c>
      <c r="AA7" s="30">
        <v>104</v>
      </c>
      <c r="AB7" s="34">
        <v>0</v>
      </c>
      <c r="AC7" s="87">
        <v>0</v>
      </c>
      <c r="AD7" s="89">
        <v>20</v>
      </c>
      <c r="AE7" s="61"/>
      <c r="AF7" s="33"/>
      <c r="AH7" s="78">
        <f t="shared" si="1"/>
        <v>31050</v>
      </c>
      <c r="AI7" s="78">
        <f t="shared" si="2"/>
        <v>453</v>
      </c>
    </row>
    <row r="8" spans="1:35" ht="15" x14ac:dyDescent="0.2">
      <c r="A8" s="56">
        <v>44657</v>
      </c>
      <c r="B8" s="64">
        <v>27.6</v>
      </c>
      <c r="C8" s="64">
        <v>216</v>
      </c>
      <c r="D8" s="65"/>
      <c r="E8" s="63"/>
      <c r="F8" s="63"/>
      <c r="G8" s="63"/>
      <c r="H8" s="63"/>
      <c r="I8" s="63"/>
      <c r="J8" s="63"/>
      <c r="K8" s="63"/>
      <c r="L8" s="63"/>
      <c r="M8" s="71">
        <v>7126</v>
      </c>
      <c r="N8" s="57">
        <v>9915</v>
      </c>
      <c r="O8" s="31">
        <v>17085</v>
      </c>
      <c r="P8" s="31">
        <v>2310</v>
      </c>
      <c r="Q8" s="31">
        <v>4378</v>
      </c>
      <c r="R8" s="21">
        <f>1589+2119+3494+580+901</f>
        <v>8683</v>
      </c>
      <c r="S8" s="21">
        <f t="shared" si="0"/>
        <v>1.2995999999999999</v>
      </c>
      <c r="T8" s="21"/>
      <c r="U8" s="21">
        <f t="shared" si="3"/>
        <v>0.32</v>
      </c>
      <c r="V8" s="44">
        <v>46</v>
      </c>
      <c r="W8" s="44">
        <v>20</v>
      </c>
      <c r="X8" s="44">
        <v>72</v>
      </c>
      <c r="Y8" s="44">
        <v>147</v>
      </c>
      <c r="Z8" s="44">
        <v>114</v>
      </c>
      <c r="AA8" s="44">
        <v>110</v>
      </c>
      <c r="AB8" s="34">
        <v>0</v>
      </c>
      <c r="AC8" s="87">
        <v>0</v>
      </c>
      <c r="AD8" s="90">
        <v>24</v>
      </c>
      <c r="AE8" s="61"/>
      <c r="AF8" s="33"/>
      <c r="AH8" s="78">
        <f t="shared" si="1"/>
        <v>40814</v>
      </c>
      <c r="AI8" s="78">
        <f t="shared" si="2"/>
        <v>509</v>
      </c>
    </row>
    <row r="9" spans="1:35" ht="15" customHeight="1" x14ac:dyDescent="0.2">
      <c r="A9" s="56">
        <v>44658</v>
      </c>
      <c r="B9" s="64">
        <v>31.6</v>
      </c>
      <c r="C9" s="64">
        <v>209</v>
      </c>
      <c r="D9" s="65"/>
      <c r="E9" s="63"/>
      <c r="F9" s="63"/>
      <c r="G9" s="63"/>
      <c r="H9" s="63"/>
      <c r="I9" s="63"/>
      <c r="J9" s="63"/>
      <c r="K9" s="63"/>
      <c r="L9" s="63"/>
      <c r="M9" s="71">
        <v>10249</v>
      </c>
      <c r="N9" s="57">
        <v>15463</v>
      </c>
      <c r="O9" s="31">
        <v>0</v>
      </c>
      <c r="P9" s="31">
        <v>7043</v>
      </c>
      <c r="Q9" s="31">
        <v>15086</v>
      </c>
      <c r="R9" s="21">
        <f>2281+3476+1792+3247</f>
        <v>10796</v>
      </c>
      <c r="S9" s="21">
        <f t="shared" si="0"/>
        <v>1.2995999999999999</v>
      </c>
      <c r="T9" s="21"/>
      <c r="U9" s="21">
        <f t="shared" si="3"/>
        <v>0.32</v>
      </c>
      <c r="V9" s="30">
        <v>38</v>
      </c>
      <c r="W9" s="20">
        <v>35</v>
      </c>
      <c r="X9" s="20">
        <v>46</v>
      </c>
      <c r="Y9" s="20">
        <v>123</v>
      </c>
      <c r="Z9" s="20">
        <v>86</v>
      </c>
      <c r="AA9" s="30">
        <v>106</v>
      </c>
      <c r="AB9" s="34">
        <v>0</v>
      </c>
      <c r="AC9" s="87">
        <v>0</v>
      </c>
      <c r="AD9" s="90"/>
      <c r="AE9" s="61"/>
      <c r="AF9" s="33"/>
      <c r="AH9" s="78">
        <f t="shared" si="1"/>
        <v>47841</v>
      </c>
      <c r="AI9" s="78">
        <f t="shared" si="2"/>
        <v>434</v>
      </c>
    </row>
    <row r="10" spans="1:35" ht="15.75" customHeight="1" x14ac:dyDescent="0.2">
      <c r="A10" s="56">
        <v>44659</v>
      </c>
      <c r="B10" s="64">
        <v>32.9</v>
      </c>
      <c r="C10" s="64">
        <v>233</v>
      </c>
      <c r="D10" s="65"/>
      <c r="E10" s="63"/>
      <c r="F10" s="63"/>
      <c r="G10" s="63"/>
      <c r="H10" s="63"/>
      <c r="I10" s="63"/>
      <c r="J10" s="63"/>
      <c r="K10" s="63"/>
      <c r="L10" s="63"/>
      <c r="M10" s="71">
        <v>0</v>
      </c>
      <c r="N10" s="57">
        <v>5866</v>
      </c>
      <c r="O10" s="31">
        <v>6574</v>
      </c>
      <c r="P10" s="31">
        <v>10278</v>
      </c>
      <c r="Q10" s="31">
        <v>5913</v>
      </c>
      <c r="R10" s="21">
        <f>1322+1397+2595+1307</f>
        <v>6621</v>
      </c>
      <c r="S10" s="21">
        <f t="shared" si="0"/>
        <v>1.2995999999999999</v>
      </c>
      <c r="T10" s="21"/>
      <c r="U10" s="21">
        <f t="shared" si="3"/>
        <v>0.32</v>
      </c>
      <c r="V10" s="30">
        <v>40</v>
      </c>
      <c r="W10" s="30">
        <v>0</v>
      </c>
      <c r="X10" s="30">
        <v>45</v>
      </c>
      <c r="Y10" s="30">
        <v>145</v>
      </c>
      <c r="Z10" s="30">
        <v>71</v>
      </c>
      <c r="AA10" s="30">
        <v>105</v>
      </c>
      <c r="AB10" s="34">
        <v>0</v>
      </c>
      <c r="AC10" s="87">
        <v>0</v>
      </c>
      <c r="AD10" s="91"/>
      <c r="AE10" s="59" t="s">
        <v>71</v>
      </c>
      <c r="AF10" s="60">
        <f>SUM(AF6:AF9)</f>
        <v>0</v>
      </c>
      <c r="AH10" s="78">
        <f t="shared" si="1"/>
        <v>28631</v>
      </c>
      <c r="AI10" s="78">
        <f t="shared" si="2"/>
        <v>406</v>
      </c>
    </row>
    <row r="11" spans="1:35" ht="15" customHeight="1" x14ac:dyDescent="0.2">
      <c r="A11" s="56">
        <v>44660</v>
      </c>
      <c r="B11" s="64">
        <v>39.5</v>
      </c>
      <c r="C11" s="64">
        <v>274</v>
      </c>
      <c r="D11" s="65"/>
      <c r="E11" s="63"/>
      <c r="F11" s="63"/>
      <c r="G11" s="63"/>
      <c r="H11" s="63"/>
      <c r="I11" s="63"/>
      <c r="J11" s="63"/>
      <c r="K11" s="63"/>
      <c r="L11" s="63"/>
      <c r="M11" s="71">
        <v>10097</v>
      </c>
      <c r="N11" s="71">
        <v>9566</v>
      </c>
      <c r="O11" s="71">
        <v>3393</v>
      </c>
      <c r="P11" s="71">
        <v>8637</v>
      </c>
      <c r="Q11" s="71">
        <v>5815</v>
      </c>
      <c r="R11" s="71">
        <f>2212+2123+695+2191+1325</f>
        <v>8546</v>
      </c>
      <c r="S11" s="21">
        <f t="shared" si="0"/>
        <v>1.2995999999999999</v>
      </c>
      <c r="T11" s="21"/>
      <c r="U11" s="21">
        <f t="shared" si="3"/>
        <v>0.32</v>
      </c>
      <c r="V11" s="30">
        <v>44</v>
      </c>
      <c r="W11" s="20">
        <v>18</v>
      </c>
      <c r="X11" s="20">
        <v>49</v>
      </c>
      <c r="Y11" s="20">
        <v>142</v>
      </c>
      <c r="Z11" s="20">
        <v>97</v>
      </c>
      <c r="AA11" s="30">
        <v>112</v>
      </c>
      <c r="AB11" s="34">
        <v>0</v>
      </c>
      <c r="AC11" s="87">
        <v>0</v>
      </c>
      <c r="AD11" s="114" t="s">
        <v>72</v>
      </c>
      <c r="AE11" s="115"/>
      <c r="AF11" s="115"/>
      <c r="AG11" s="80"/>
      <c r="AH11" s="78">
        <f t="shared" si="1"/>
        <v>37508</v>
      </c>
      <c r="AI11" s="78">
        <f t="shared" si="2"/>
        <v>462</v>
      </c>
    </row>
    <row r="12" spans="1:35" ht="15" customHeight="1" x14ac:dyDescent="0.2">
      <c r="A12" s="56">
        <v>44661</v>
      </c>
      <c r="B12" s="64">
        <v>36.799999999999997</v>
      </c>
      <c r="C12" s="64">
        <v>235</v>
      </c>
      <c r="D12" s="65"/>
      <c r="E12" s="63"/>
      <c r="F12" s="63"/>
      <c r="G12" s="63"/>
      <c r="H12" s="63"/>
      <c r="I12" s="63"/>
      <c r="J12" s="63"/>
      <c r="K12" s="63"/>
      <c r="L12" s="63"/>
      <c r="M12" s="71">
        <v>9990</v>
      </c>
      <c r="N12" s="57">
        <v>6244</v>
      </c>
      <c r="O12" s="31">
        <v>13992</v>
      </c>
      <c r="P12" s="31">
        <v>5274</v>
      </c>
      <c r="Q12" s="31">
        <v>5860</v>
      </c>
      <c r="R12" s="31">
        <f>2215+1297+2215+1353+1237</f>
        <v>8317</v>
      </c>
      <c r="S12" s="21">
        <f t="shared" si="0"/>
        <v>1.2995999999999999</v>
      </c>
      <c r="T12" s="21"/>
      <c r="U12" s="21">
        <f t="shared" si="3"/>
        <v>0.32</v>
      </c>
      <c r="V12" s="30">
        <v>34</v>
      </c>
      <c r="W12" s="30">
        <v>80</v>
      </c>
      <c r="X12" s="30">
        <v>39</v>
      </c>
      <c r="Y12" s="30">
        <v>163</v>
      </c>
      <c r="Z12" s="30">
        <v>114</v>
      </c>
      <c r="AA12" s="30">
        <v>116</v>
      </c>
      <c r="AB12" s="34">
        <v>0</v>
      </c>
      <c r="AC12" s="87">
        <v>0</v>
      </c>
      <c r="AD12" s="92"/>
      <c r="AE12" s="116" t="s">
        <v>73</v>
      </c>
      <c r="AF12" s="117"/>
      <c r="AG12" s="81"/>
      <c r="AH12" s="78">
        <f t="shared" si="1"/>
        <v>41360</v>
      </c>
      <c r="AI12" s="78">
        <f t="shared" si="2"/>
        <v>546</v>
      </c>
    </row>
    <row r="13" spans="1:35" ht="15" customHeight="1" x14ac:dyDescent="0.2">
      <c r="A13" s="56">
        <v>44662</v>
      </c>
      <c r="B13" s="64">
        <v>60.5</v>
      </c>
      <c r="C13" s="64">
        <v>220</v>
      </c>
      <c r="D13" s="65"/>
      <c r="E13" s="63"/>
      <c r="F13" s="63"/>
      <c r="G13" s="63"/>
      <c r="H13" s="63"/>
      <c r="I13" s="63"/>
      <c r="J13" s="63"/>
      <c r="K13" s="63"/>
      <c r="L13" s="63"/>
      <c r="M13" s="74">
        <v>10899</v>
      </c>
      <c r="N13" s="57">
        <v>4908</v>
      </c>
      <c r="O13" s="57">
        <v>7244</v>
      </c>
      <c r="P13" s="31">
        <v>9853</v>
      </c>
      <c r="Q13" s="31">
        <v>5709</v>
      </c>
      <c r="R13" s="21">
        <f>2521+1115+1591+2469+1228</f>
        <v>8924</v>
      </c>
      <c r="S13" s="21">
        <f t="shared" si="0"/>
        <v>1.2995999999999999</v>
      </c>
      <c r="T13" s="21"/>
      <c r="U13" s="21">
        <f t="shared" si="3"/>
        <v>0.32</v>
      </c>
      <c r="V13" s="30">
        <v>52</v>
      </c>
      <c r="W13" s="30">
        <v>29</v>
      </c>
      <c r="X13" s="30">
        <v>55</v>
      </c>
      <c r="Y13" s="30">
        <v>162</v>
      </c>
      <c r="Z13" s="30">
        <v>71</v>
      </c>
      <c r="AA13" s="30">
        <v>102</v>
      </c>
      <c r="AB13" s="34">
        <v>0</v>
      </c>
      <c r="AC13" s="87">
        <v>0</v>
      </c>
      <c r="AD13" s="93" t="s">
        <v>74</v>
      </c>
      <c r="AE13" s="119"/>
      <c r="AF13" s="120"/>
      <c r="AH13" s="78">
        <f t="shared" si="1"/>
        <v>38613</v>
      </c>
      <c r="AI13" s="78">
        <f t="shared" si="2"/>
        <v>471</v>
      </c>
    </row>
    <row r="14" spans="1:35" ht="15" customHeight="1" x14ac:dyDescent="0.2">
      <c r="A14" s="56">
        <v>44663</v>
      </c>
      <c r="B14" s="64">
        <v>56.6</v>
      </c>
      <c r="C14" s="64">
        <v>243</v>
      </c>
      <c r="D14" s="65"/>
      <c r="E14" s="63"/>
      <c r="F14" s="63"/>
      <c r="G14" s="63"/>
      <c r="H14" s="63"/>
      <c r="I14" s="63"/>
      <c r="J14" s="63"/>
      <c r="K14" s="63"/>
      <c r="L14" s="63"/>
      <c r="M14" s="62">
        <v>12394</v>
      </c>
      <c r="N14" s="47">
        <v>4180</v>
      </c>
      <c r="O14" s="45">
        <v>7892</v>
      </c>
      <c r="P14" s="45">
        <v>0</v>
      </c>
      <c r="Q14" s="45">
        <v>10648</v>
      </c>
      <c r="R14" s="21">
        <f>2121+935+1674+2350</f>
        <v>7080</v>
      </c>
      <c r="S14" s="21">
        <f t="shared" si="0"/>
        <v>1.2995999999999999</v>
      </c>
      <c r="T14" s="21"/>
      <c r="U14" s="21">
        <f t="shared" si="3"/>
        <v>0.32</v>
      </c>
      <c r="V14" s="30">
        <v>55</v>
      </c>
      <c r="W14" s="30">
        <v>28</v>
      </c>
      <c r="X14" s="30">
        <v>143</v>
      </c>
      <c r="Y14" s="30">
        <v>71</v>
      </c>
      <c r="Z14" s="30">
        <v>40</v>
      </c>
      <c r="AA14" s="30">
        <v>60</v>
      </c>
      <c r="AB14" s="34">
        <v>0</v>
      </c>
      <c r="AC14" s="87">
        <v>0</v>
      </c>
      <c r="AD14" s="93" t="s">
        <v>75</v>
      </c>
      <c r="AE14" s="119"/>
      <c r="AF14" s="120"/>
      <c r="AH14" s="78">
        <f t="shared" si="1"/>
        <v>35114</v>
      </c>
      <c r="AI14" s="78">
        <f t="shared" si="2"/>
        <v>397</v>
      </c>
    </row>
    <row r="15" spans="1:35" ht="15" x14ac:dyDescent="0.2">
      <c r="A15" s="56">
        <v>44664</v>
      </c>
      <c r="B15" s="64"/>
      <c r="C15" s="64"/>
      <c r="D15" s="65"/>
      <c r="E15" s="63"/>
      <c r="F15" s="63"/>
      <c r="G15" s="63"/>
      <c r="H15" s="63"/>
      <c r="I15" s="63"/>
      <c r="J15" s="63"/>
      <c r="K15" s="63"/>
      <c r="L15" s="63"/>
      <c r="M15" s="62">
        <v>7160</v>
      </c>
      <c r="N15" s="47">
        <v>10680</v>
      </c>
      <c r="O15" s="45">
        <v>12217</v>
      </c>
      <c r="P15" s="45">
        <v>4546</v>
      </c>
      <c r="Q15" s="45">
        <v>5882</v>
      </c>
      <c r="R15" s="21">
        <f>1597+2330+2587+1138+1249</f>
        <v>8901</v>
      </c>
      <c r="S15" s="21">
        <f t="shared" si="0"/>
        <v>1.2995999999999999</v>
      </c>
      <c r="T15" s="21"/>
      <c r="U15" s="21">
        <f t="shared" si="3"/>
        <v>0.32</v>
      </c>
      <c r="V15" s="30">
        <v>45</v>
      </c>
      <c r="W15" s="30">
        <v>24</v>
      </c>
      <c r="X15" s="20">
        <v>83</v>
      </c>
      <c r="Y15" s="20">
        <v>161</v>
      </c>
      <c r="Z15" s="20">
        <v>62</v>
      </c>
      <c r="AA15" s="20">
        <v>107</v>
      </c>
      <c r="AB15" s="34">
        <v>0</v>
      </c>
      <c r="AC15" s="87">
        <v>0</v>
      </c>
      <c r="AE15" s="37" t="s">
        <v>71</v>
      </c>
      <c r="AF15" s="33">
        <f>SUM(AE13:AF14)</f>
        <v>0</v>
      </c>
      <c r="AH15" s="78">
        <f t="shared" si="1"/>
        <v>40485</v>
      </c>
      <c r="AI15" s="78">
        <f t="shared" si="2"/>
        <v>482</v>
      </c>
    </row>
    <row r="16" spans="1:35" ht="15" customHeight="1" x14ac:dyDescent="0.2">
      <c r="A16" s="56">
        <v>44665</v>
      </c>
      <c r="B16" s="64"/>
      <c r="C16" s="64"/>
      <c r="D16" s="65"/>
      <c r="E16" s="63"/>
      <c r="F16" s="63"/>
      <c r="G16" s="63"/>
      <c r="H16" s="63"/>
      <c r="I16" s="63"/>
      <c r="J16" s="63"/>
      <c r="K16" s="63"/>
      <c r="L16" s="63"/>
      <c r="M16" s="62">
        <v>16776</v>
      </c>
      <c r="N16" s="45">
        <v>15855</v>
      </c>
      <c r="O16" s="45">
        <v>7810</v>
      </c>
      <c r="P16" s="45">
        <v>0</v>
      </c>
      <c r="Q16" s="45">
        <v>0</v>
      </c>
      <c r="R16" s="45">
        <f>3809+3466+1590</f>
        <v>8865</v>
      </c>
      <c r="S16" s="21">
        <f>23.98*0.06</f>
        <v>1.4388000000000001</v>
      </c>
      <c r="T16" s="21"/>
      <c r="U16" s="21">
        <f t="shared" si="3"/>
        <v>0.32</v>
      </c>
      <c r="V16" s="30"/>
      <c r="W16" s="30"/>
      <c r="X16" s="30"/>
      <c r="Y16" s="30"/>
      <c r="Z16" s="30"/>
      <c r="AA16" s="30"/>
      <c r="AB16" s="34">
        <v>0</v>
      </c>
      <c r="AC16" s="87">
        <v>0</v>
      </c>
      <c r="AD16" s="110"/>
      <c r="AE16" s="110"/>
      <c r="AF16" s="121"/>
      <c r="AH16" s="78">
        <f t="shared" si="1"/>
        <v>40441</v>
      </c>
      <c r="AI16" s="78">
        <f t="shared" si="2"/>
        <v>0</v>
      </c>
    </row>
    <row r="17" spans="1:35" ht="15" customHeight="1" x14ac:dyDescent="0.2">
      <c r="A17" s="56">
        <v>44666</v>
      </c>
      <c r="B17" s="64"/>
      <c r="C17" s="64"/>
      <c r="D17" s="65"/>
      <c r="E17" s="63"/>
      <c r="F17" s="63"/>
      <c r="G17" s="63"/>
      <c r="H17" s="63"/>
      <c r="I17" s="63"/>
      <c r="J17" s="63"/>
      <c r="K17" s="63"/>
      <c r="L17" s="63"/>
      <c r="M17" s="62">
        <v>7927</v>
      </c>
      <c r="N17" s="47">
        <v>6399</v>
      </c>
      <c r="O17" s="45">
        <v>9936</v>
      </c>
      <c r="P17" s="45">
        <v>2632</v>
      </c>
      <c r="Q17" s="45">
        <v>13960</v>
      </c>
      <c r="R17" s="21">
        <f>1858+1371+2175+754+2938</f>
        <v>9096</v>
      </c>
      <c r="S17" s="21">
        <v>1.44</v>
      </c>
      <c r="T17" s="21"/>
      <c r="U17" s="21">
        <f t="shared" si="3"/>
        <v>0.32</v>
      </c>
      <c r="V17" s="30">
        <v>50</v>
      </c>
      <c r="W17" s="30">
        <v>29</v>
      </c>
      <c r="X17" s="30">
        <v>0</v>
      </c>
      <c r="Y17" s="30">
        <v>0</v>
      </c>
      <c r="Z17" s="30">
        <v>78</v>
      </c>
      <c r="AA17" s="30">
        <v>73</v>
      </c>
      <c r="AB17" s="34">
        <v>0</v>
      </c>
      <c r="AC17" s="87">
        <v>0</v>
      </c>
      <c r="AD17" s="110"/>
      <c r="AE17" s="110"/>
      <c r="AF17" s="121"/>
      <c r="AH17" s="78">
        <f t="shared" si="1"/>
        <v>40854</v>
      </c>
      <c r="AI17" s="78">
        <f t="shared" si="2"/>
        <v>230</v>
      </c>
    </row>
    <row r="18" spans="1:35" ht="15" customHeight="1" x14ac:dyDescent="0.2">
      <c r="A18" s="56">
        <v>44667</v>
      </c>
      <c r="B18" s="64"/>
      <c r="C18" s="64"/>
      <c r="D18" s="65"/>
      <c r="E18" s="63"/>
      <c r="F18" s="63"/>
      <c r="G18" s="63"/>
      <c r="H18" s="63"/>
      <c r="I18" s="63"/>
      <c r="J18" s="63"/>
      <c r="K18" s="63"/>
      <c r="L18" s="63"/>
      <c r="M18" s="62">
        <v>9663</v>
      </c>
      <c r="N18" s="45">
        <v>10503</v>
      </c>
      <c r="O18" s="45">
        <v>9712</v>
      </c>
      <c r="P18" s="45">
        <v>1921</v>
      </c>
      <c r="Q18" s="45">
        <v>5882</v>
      </c>
      <c r="R18" s="21">
        <f>2212+2378+2060+456+1348</f>
        <v>8454</v>
      </c>
      <c r="S18" s="21">
        <v>1.44</v>
      </c>
      <c r="T18" s="21"/>
      <c r="U18" s="21">
        <f t="shared" si="3"/>
        <v>0.32</v>
      </c>
      <c r="V18" s="19">
        <v>55</v>
      </c>
      <c r="W18" s="30">
        <v>23</v>
      </c>
      <c r="X18" s="30">
        <v>26</v>
      </c>
      <c r="Y18" s="30">
        <v>60</v>
      </c>
      <c r="Z18" s="30">
        <v>88</v>
      </c>
      <c r="AA18" s="30">
        <v>0</v>
      </c>
      <c r="AB18" s="34">
        <v>0</v>
      </c>
      <c r="AC18" s="87">
        <v>0</v>
      </c>
      <c r="AD18" s="110"/>
      <c r="AE18" s="110"/>
      <c r="AF18" s="121"/>
      <c r="AH18" s="78">
        <f t="shared" si="1"/>
        <v>37681</v>
      </c>
      <c r="AI18" s="78">
        <f t="shared" si="2"/>
        <v>252</v>
      </c>
    </row>
    <row r="19" spans="1:35" ht="15" customHeight="1" x14ac:dyDescent="0.2">
      <c r="A19" s="56">
        <v>44668</v>
      </c>
      <c r="B19" s="64"/>
      <c r="C19" s="64"/>
      <c r="D19" s="65"/>
      <c r="E19" s="63"/>
      <c r="F19" s="63"/>
      <c r="G19" s="63"/>
      <c r="H19" s="63"/>
      <c r="I19" s="63"/>
      <c r="J19" s="63"/>
      <c r="K19" s="63"/>
      <c r="L19" s="63"/>
      <c r="M19" s="45">
        <v>7015</v>
      </c>
      <c r="N19" s="45">
        <v>8646</v>
      </c>
      <c r="O19" s="45">
        <v>9961</v>
      </c>
      <c r="P19" s="45">
        <v>1278</v>
      </c>
      <c r="Q19" s="45">
        <v>8607</v>
      </c>
      <c r="R19" s="21">
        <f>1599+1937+2071+342+1888</f>
        <v>7837</v>
      </c>
      <c r="S19" s="21">
        <v>1.44</v>
      </c>
      <c r="T19" s="21"/>
      <c r="U19" s="21">
        <f t="shared" si="3"/>
        <v>0.32</v>
      </c>
      <c r="V19" s="30">
        <v>40</v>
      </c>
      <c r="W19" s="30">
        <v>35</v>
      </c>
      <c r="X19" s="30">
        <v>83</v>
      </c>
      <c r="Y19" s="30">
        <v>121</v>
      </c>
      <c r="Z19" s="30">
        <v>42</v>
      </c>
      <c r="AA19" s="30">
        <v>71</v>
      </c>
      <c r="AB19" s="34">
        <v>0</v>
      </c>
      <c r="AC19" s="87">
        <v>0</v>
      </c>
      <c r="AD19" s="110"/>
      <c r="AE19" s="110"/>
      <c r="AF19" s="121"/>
      <c r="AH19" s="78">
        <f t="shared" si="1"/>
        <v>35507</v>
      </c>
      <c r="AI19" s="78">
        <f>SUM(V19:AB19)</f>
        <v>392</v>
      </c>
    </row>
    <row r="20" spans="1:35" ht="15" customHeight="1" x14ac:dyDescent="0.2">
      <c r="A20" s="56">
        <v>44669</v>
      </c>
      <c r="B20" s="64"/>
      <c r="C20" s="64"/>
      <c r="D20" s="65"/>
      <c r="E20" s="63"/>
      <c r="F20" s="63"/>
      <c r="G20" s="63"/>
      <c r="H20" s="63"/>
      <c r="I20" s="63"/>
      <c r="J20" s="63"/>
      <c r="K20" s="63"/>
      <c r="L20" s="63"/>
      <c r="M20" s="62">
        <v>16436</v>
      </c>
      <c r="N20" s="45">
        <v>8861</v>
      </c>
      <c r="O20" s="45">
        <v>0</v>
      </c>
      <c r="P20" s="45">
        <v>7673</v>
      </c>
      <c r="Q20" s="45">
        <v>7337</v>
      </c>
      <c r="R20" s="21">
        <f>3870+1910+1795+1567</f>
        <v>9142</v>
      </c>
      <c r="S20" s="21">
        <v>1.44</v>
      </c>
      <c r="T20" s="21"/>
      <c r="U20" s="21">
        <f t="shared" si="3"/>
        <v>0.32</v>
      </c>
      <c r="V20" s="30">
        <v>56</v>
      </c>
      <c r="W20" s="30">
        <v>37</v>
      </c>
      <c r="X20" s="30">
        <v>116</v>
      </c>
      <c r="Y20" s="30">
        <v>148</v>
      </c>
      <c r="Z20" s="30">
        <v>74</v>
      </c>
      <c r="AA20" s="30">
        <v>115</v>
      </c>
      <c r="AB20" s="34">
        <v>0</v>
      </c>
      <c r="AC20" s="87">
        <v>0</v>
      </c>
      <c r="AD20" s="110"/>
      <c r="AE20" s="110"/>
      <c r="AF20" s="121"/>
      <c r="AH20" s="78">
        <f t="shared" si="1"/>
        <v>40307</v>
      </c>
      <c r="AI20" s="78">
        <f t="shared" si="2"/>
        <v>546</v>
      </c>
    </row>
    <row r="21" spans="1:35" ht="15" customHeight="1" x14ac:dyDescent="0.2">
      <c r="A21" s="56">
        <v>44670</v>
      </c>
      <c r="B21" s="64"/>
      <c r="C21" s="64"/>
      <c r="D21" s="65"/>
      <c r="E21" s="63"/>
      <c r="F21" s="63"/>
      <c r="G21" s="63"/>
      <c r="H21" s="63"/>
      <c r="I21" s="63"/>
      <c r="J21" s="63"/>
      <c r="K21" s="63"/>
      <c r="L21" s="63"/>
      <c r="M21" s="62">
        <v>6317</v>
      </c>
      <c r="N21" s="45">
        <v>10041</v>
      </c>
      <c r="O21" s="45">
        <v>11855</v>
      </c>
      <c r="P21" s="45">
        <v>4554</v>
      </c>
      <c r="Q21" s="45">
        <v>7520</v>
      </c>
      <c r="R21" s="21">
        <f>1468+1908+2520+1104+1676</f>
        <v>8676</v>
      </c>
      <c r="S21" s="21">
        <v>1.44</v>
      </c>
      <c r="T21" s="21"/>
      <c r="U21" s="21">
        <f t="shared" si="3"/>
        <v>0.32</v>
      </c>
      <c r="V21" s="30"/>
      <c r="W21" s="30"/>
      <c r="X21" s="30"/>
      <c r="Y21" s="30"/>
      <c r="Z21" s="30"/>
      <c r="AA21" s="30"/>
      <c r="AB21" s="34">
        <v>0</v>
      </c>
      <c r="AC21" s="87">
        <v>0</v>
      </c>
      <c r="AD21" s="110"/>
      <c r="AE21" s="110"/>
      <c r="AF21" s="121"/>
      <c r="AH21" s="78">
        <f t="shared" si="1"/>
        <v>40287</v>
      </c>
      <c r="AI21" s="78">
        <f t="shared" si="2"/>
        <v>0</v>
      </c>
    </row>
    <row r="22" spans="1:35" ht="15" customHeight="1" x14ac:dyDescent="0.2">
      <c r="A22" s="56">
        <v>44671</v>
      </c>
      <c r="B22" s="64"/>
      <c r="C22" s="64"/>
      <c r="D22" s="65"/>
      <c r="E22" s="63"/>
      <c r="F22" s="63"/>
      <c r="G22" s="63"/>
      <c r="H22" s="63"/>
      <c r="I22" s="63"/>
      <c r="J22" s="63"/>
      <c r="K22" s="63"/>
      <c r="L22" s="63"/>
      <c r="M22" s="62">
        <v>6617</v>
      </c>
      <c r="N22" s="45">
        <v>10161</v>
      </c>
      <c r="O22" s="45">
        <v>5032</v>
      </c>
      <c r="P22" s="45">
        <v>5969</v>
      </c>
      <c r="Q22" s="45">
        <v>11314</v>
      </c>
      <c r="R22" s="21">
        <f>1533+2215+1125+1326+2414</f>
        <v>8613</v>
      </c>
      <c r="S22" s="21">
        <v>1.44</v>
      </c>
      <c r="T22" s="21"/>
      <c r="U22" s="21">
        <f t="shared" si="3"/>
        <v>0.32</v>
      </c>
      <c r="V22" s="30">
        <v>46</v>
      </c>
      <c r="W22" s="30">
        <v>35</v>
      </c>
      <c r="X22" s="30">
        <v>41</v>
      </c>
      <c r="Y22" s="30">
        <v>137</v>
      </c>
      <c r="Z22" s="30">
        <v>75</v>
      </c>
      <c r="AA22" s="30">
        <v>115</v>
      </c>
      <c r="AB22" s="34">
        <v>0</v>
      </c>
      <c r="AC22" s="87">
        <v>0</v>
      </c>
      <c r="AD22" s="110"/>
      <c r="AE22" s="110"/>
      <c r="AF22" s="121"/>
      <c r="AH22" s="78">
        <f t="shared" si="1"/>
        <v>39093</v>
      </c>
      <c r="AI22" s="78">
        <f t="shared" si="2"/>
        <v>449</v>
      </c>
    </row>
    <row r="23" spans="1:35" ht="15" customHeight="1" x14ac:dyDescent="0.2">
      <c r="A23" s="56">
        <v>44672</v>
      </c>
      <c r="B23" s="64"/>
      <c r="C23" s="64"/>
      <c r="D23" s="65"/>
      <c r="E23" s="63"/>
      <c r="F23" s="63"/>
      <c r="G23" s="63"/>
      <c r="H23" s="63"/>
      <c r="I23" s="63"/>
      <c r="J23" s="63"/>
      <c r="K23" s="63"/>
      <c r="L23" s="63"/>
      <c r="M23" s="62">
        <v>13743</v>
      </c>
      <c r="N23" s="47">
        <v>13824</v>
      </c>
      <c r="O23" s="45">
        <v>0</v>
      </c>
      <c r="P23" s="45">
        <v>12463</v>
      </c>
      <c r="Q23" s="45">
        <v>9887</v>
      </c>
      <c r="R23" s="21">
        <f>3127+3073+2896+2120</f>
        <v>11216</v>
      </c>
      <c r="S23" s="21">
        <v>1.44</v>
      </c>
      <c r="T23" s="21"/>
      <c r="U23" s="21">
        <f t="shared" si="3"/>
        <v>0.32</v>
      </c>
      <c r="V23" s="30">
        <v>51</v>
      </c>
      <c r="W23" s="30">
        <v>32</v>
      </c>
      <c r="X23" s="30">
        <v>69</v>
      </c>
      <c r="Y23" s="30">
        <v>161</v>
      </c>
      <c r="Z23" s="30">
        <v>95</v>
      </c>
      <c r="AA23" s="30">
        <v>118</v>
      </c>
      <c r="AB23" s="34">
        <v>0</v>
      </c>
      <c r="AC23" s="87">
        <v>50</v>
      </c>
      <c r="AD23" s="110"/>
      <c r="AE23" s="110"/>
      <c r="AF23" s="121"/>
      <c r="AH23" s="78">
        <f t="shared" si="1"/>
        <v>49917</v>
      </c>
      <c r="AI23" s="78">
        <f t="shared" si="2"/>
        <v>526</v>
      </c>
    </row>
    <row r="24" spans="1:35" ht="15" customHeight="1" x14ac:dyDescent="0.2">
      <c r="A24" s="56">
        <v>44673</v>
      </c>
      <c r="B24" s="64"/>
      <c r="C24" s="64"/>
      <c r="D24" s="65"/>
      <c r="E24" s="63"/>
      <c r="F24" s="63"/>
      <c r="G24" s="63"/>
      <c r="H24" s="63"/>
      <c r="I24" s="63"/>
      <c r="J24" s="63"/>
      <c r="K24" s="63"/>
      <c r="L24" s="63"/>
      <c r="M24" s="62">
        <v>4435</v>
      </c>
      <c r="N24" s="47">
        <v>9348</v>
      </c>
      <c r="O24" s="45">
        <v>0</v>
      </c>
      <c r="P24" s="45">
        <v>0</v>
      </c>
      <c r="Q24" s="45">
        <v>13663</v>
      </c>
      <c r="R24" s="21">
        <f>1034+2073+2967</f>
        <v>6074</v>
      </c>
      <c r="S24" s="21">
        <v>1.44</v>
      </c>
      <c r="T24" s="21"/>
      <c r="U24" s="21">
        <f t="shared" si="3"/>
        <v>0.32</v>
      </c>
      <c r="V24" s="30">
        <v>46</v>
      </c>
      <c r="W24" s="30">
        <v>38</v>
      </c>
      <c r="X24" s="20">
        <v>62</v>
      </c>
      <c r="Y24" s="20">
        <v>153</v>
      </c>
      <c r="Z24" s="20">
        <v>180</v>
      </c>
      <c r="AA24" s="20">
        <v>110</v>
      </c>
      <c r="AB24" s="34">
        <v>0</v>
      </c>
      <c r="AC24" s="87">
        <v>38</v>
      </c>
      <c r="AD24" s="110"/>
      <c r="AE24" s="110"/>
      <c r="AF24" s="121"/>
      <c r="AH24" s="78">
        <f t="shared" si="1"/>
        <v>27446</v>
      </c>
      <c r="AI24" s="78">
        <f t="shared" si="2"/>
        <v>589</v>
      </c>
    </row>
    <row r="25" spans="1:35" ht="15" customHeight="1" x14ac:dyDescent="0.2">
      <c r="A25" s="56">
        <v>44674</v>
      </c>
      <c r="B25" s="64"/>
      <c r="C25" s="64"/>
      <c r="D25" s="65"/>
      <c r="E25" s="63"/>
      <c r="F25" s="63"/>
      <c r="G25" s="63"/>
      <c r="H25" s="63"/>
      <c r="I25" s="63"/>
      <c r="J25" s="63"/>
      <c r="K25" s="63"/>
      <c r="L25" s="63"/>
      <c r="M25" s="62">
        <v>10043</v>
      </c>
      <c r="N25" s="47">
        <v>11271</v>
      </c>
      <c r="O25" s="45">
        <v>0</v>
      </c>
      <c r="P25" s="45">
        <v>9954</v>
      </c>
      <c r="Q25" s="45">
        <v>5747</v>
      </c>
      <c r="R25" s="21">
        <f>2236+2464+2246+1285</f>
        <v>8231</v>
      </c>
      <c r="S25" s="21">
        <v>1.44</v>
      </c>
      <c r="T25" s="21"/>
      <c r="U25" s="21">
        <f t="shared" si="3"/>
        <v>0.32</v>
      </c>
      <c r="V25" s="30">
        <v>42</v>
      </c>
      <c r="W25" s="30">
        <v>38</v>
      </c>
      <c r="X25" s="20">
        <v>67</v>
      </c>
      <c r="Y25" s="20">
        <v>180</v>
      </c>
      <c r="Z25" s="20">
        <v>190</v>
      </c>
      <c r="AA25" s="20">
        <v>112</v>
      </c>
      <c r="AB25" s="34">
        <v>0</v>
      </c>
      <c r="AC25" s="87">
        <v>37</v>
      </c>
      <c r="AD25" s="110"/>
      <c r="AE25" s="110"/>
      <c r="AF25" s="121"/>
      <c r="AH25" s="78">
        <f t="shared" si="1"/>
        <v>37015</v>
      </c>
      <c r="AI25" s="78">
        <f t="shared" si="2"/>
        <v>629</v>
      </c>
    </row>
    <row r="26" spans="1:35" ht="15" customHeight="1" x14ac:dyDescent="0.2">
      <c r="A26" s="56">
        <v>44675</v>
      </c>
      <c r="B26" s="64"/>
      <c r="C26" s="64"/>
      <c r="D26" s="65"/>
      <c r="E26" s="63"/>
      <c r="F26" s="63"/>
      <c r="G26" s="63"/>
      <c r="H26" s="63"/>
      <c r="I26" s="63"/>
      <c r="J26" s="63"/>
      <c r="K26" s="63"/>
      <c r="L26" s="63"/>
      <c r="M26" s="62">
        <v>10991</v>
      </c>
      <c r="N26" s="47">
        <v>12018</v>
      </c>
      <c r="O26" s="45">
        <v>0</v>
      </c>
      <c r="P26" s="45">
        <v>10306</v>
      </c>
      <c r="Q26" s="45">
        <v>4473</v>
      </c>
      <c r="R26" s="21">
        <f>2495+2653+2413+944</f>
        <v>8505</v>
      </c>
      <c r="S26" s="21">
        <v>1.44</v>
      </c>
      <c r="T26" s="21"/>
      <c r="U26" s="21">
        <f t="shared" si="3"/>
        <v>0.32</v>
      </c>
      <c r="V26" s="30">
        <v>39</v>
      </c>
      <c r="W26" s="30">
        <v>38</v>
      </c>
      <c r="X26" s="20">
        <v>53</v>
      </c>
      <c r="Y26" s="20">
        <v>153</v>
      </c>
      <c r="Z26" s="20">
        <v>101</v>
      </c>
      <c r="AA26" s="20">
        <v>106</v>
      </c>
      <c r="AB26" s="34">
        <v>0</v>
      </c>
      <c r="AC26" s="87">
        <v>3</v>
      </c>
      <c r="AD26" s="110"/>
      <c r="AE26" s="110"/>
      <c r="AF26" s="121"/>
      <c r="AH26" s="78">
        <f t="shared" si="1"/>
        <v>37788</v>
      </c>
      <c r="AI26" s="78">
        <f t="shared" si="2"/>
        <v>490</v>
      </c>
    </row>
    <row r="27" spans="1:35" ht="15" customHeight="1" x14ac:dyDescent="0.2">
      <c r="A27" s="56">
        <v>44676</v>
      </c>
      <c r="B27" s="64"/>
      <c r="C27" s="64"/>
      <c r="D27" s="65"/>
      <c r="E27" s="63"/>
      <c r="F27" s="63"/>
      <c r="G27" s="63"/>
      <c r="H27" s="63"/>
      <c r="I27" s="63"/>
      <c r="J27" s="63"/>
      <c r="K27" s="63"/>
      <c r="L27" s="63"/>
      <c r="M27" s="62">
        <v>5841</v>
      </c>
      <c r="N27" s="47">
        <v>7856</v>
      </c>
      <c r="O27" s="45">
        <v>0</v>
      </c>
      <c r="P27" s="45">
        <v>9928</v>
      </c>
      <c r="Q27" s="45">
        <v>14523</v>
      </c>
      <c r="R27" s="21">
        <f>1297+1751+2270+3149</f>
        <v>8467</v>
      </c>
      <c r="S27" s="21"/>
      <c r="T27" s="21"/>
      <c r="U27" s="21">
        <f t="shared" si="3"/>
        <v>0.32</v>
      </c>
      <c r="V27" s="30"/>
      <c r="W27" s="30"/>
      <c r="X27" s="20"/>
      <c r="Y27" s="20"/>
      <c r="Z27" s="20"/>
      <c r="AA27" s="20"/>
      <c r="AB27" s="34">
        <v>0</v>
      </c>
      <c r="AC27" s="87"/>
      <c r="AD27" s="110"/>
      <c r="AE27" s="110"/>
      <c r="AF27" s="121"/>
      <c r="AH27" s="78">
        <f t="shared" si="1"/>
        <v>38148</v>
      </c>
      <c r="AI27" s="78">
        <f t="shared" si="2"/>
        <v>0</v>
      </c>
    </row>
    <row r="28" spans="1:35" ht="15" customHeight="1" x14ac:dyDescent="0.2">
      <c r="A28" s="56">
        <v>44677</v>
      </c>
      <c r="B28" s="64"/>
      <c r="C28" s="64"/>
      <c r="D28" s="65"/>
      <c r="E28" s="63"/>
      <c r="F28" s="63"/>
      <c r="G28" s="63"/>
      <c r="H28" s="63"/>
      <c r="I28" s="63"/>
      <c r="J28" s="63"/>
      <c r="K28" s="63"/>
      <c r="L28" s="63"/>
      <c r="M28" s="62"/>
      <c r="N28" s="47"/>
      <c r="O28" s="45"/>
      <c r="P28" s="45"/>
      <c r="Q28" s="45"/>
      <c r="R28" s="21"/>
      <c r="S28" s="21"/>
      <c r="T28" s="21"/>
      <c r="U28" s="21">
        <f t="shared" si="3"/>
        <v>0.32</v>
      </c>
      <c r="V28" s="30"/>
      <c r="W28" s="30"/>
      <c r="X28" s="20"/>
      <c r="Y28" s="20"/>
      <c r="Z28" s="20"/>
      <c r="AA28" s="20"/>
      <c r="AB28" s="34">
        <v>0</v>
      </c>
      <c r="AC28" s="87"/>
      <c r="AD28" s="110"/>
      <c r="AE28" s="110"/>
      <c r="AF28" s="121"/>
      <c r="AH28" s="78">
        <f t="shared" si="1"/>
        <v>0</v>
      </c>
      <c r="AI28" s="78">
        <f t="shared" si="2"/>
        <v>0</v>
      </c>
    </row>
    <row r="29" spans="1:35" ht="15" customHeight="1" x14ac:dyDescent="0.2">
      <c r="A29" s="56">
        <v>44678</v>
      </c>
      <c r="B29" s="64"/>
      <c r="C29" s="64"/>
      <c r="D29" s="65"/>
      <c r="E29" s="63"/>
      <c r="F29" s="63"/>
      <c r="G29" s="63"/>
      <c r="H29" s="63"/>
      <c r="I29" s="63"/>
      <c r="J29" s="63"/>
      <c r="K29" s="63"/>
      <c r="L29" s="63"/>
      <c r="M29" s="62"/>
      <c r="N29" s="47"/>
      <c r="O29" s="45"/>
      <c r="P29" s="45"/>
      <c r="Q29" s="45"/>
      <c r="R29" s="21"/>
      <c r="S29" s="21"/>
      <c r="T29" s="21"/>
      <c r="U29" s="21">
        <f t="shared" si="3"/>
        <v>0.32</v>
      </c>
      <c r="V29" s="30"/>
      <c r="W29" s="30"/>
      <c r="X29" s="20"/>
      <c r="Y29" s="20"/>
      <c r="Z29" s="20"/>
      <c r="AA29" s="20"/>
      <c r="AB29" s="34">
        <v>0</v>
      </c>
      <c r="AC29" s="87"/>
      <c r="AD29" s="110"/>
      <c r="AE29" s="110"/>
      <c r="AF29" s="121"/>
      <c r="AH29" s="78">
        <f t="shared" si="1"/>
        <v>0</v>
      </c>
      <c r="AI29" s="78">
        <f t="shared" si="2"/>
        <v>0</v>
      </c>
    </row>
    <row r="30" spans="1:35" ht="15" customHeight="1" x14ac:dyDescent="0.2">
      <c r="A30" s="56">
        <v>44679</v>
      </c>
      <c r="B30" s="64"/>
      <c r="C30" s="64"/>
      <c r="D30" s="65"/>
      <c r="E30" s="63"/>
      <c r="F30" s="63"/>
      <c r="G30" s="63"/>
      <c r="H30" s="63"/>
      <c r="I30" s="63"/>
      <c r="J30" s="63"/>
      <c r="K30" s="63"/>
      <c r="L30" s="63"/>
      <c r="M30" s="62"/>
      <c r="N30" s="47"/>
      <c r="O30" s="45"/>
      <c r="P30" s="45"/>
      <c r="Q30" s="45"/>
      <c r="R30" s="21"/>
      <c r="S30" s="21"/>
      <c r="T30" s="21"/>
      <c r="U30" s="21">
        <f t="shared" si="3"/>
        <v>0.32</v>
      </c>
      <c r="V30" s="30"/>
      <c r="W30" s="30"/>
      <c r="X30" s="30"/>
      <c r="Y30" s="30"/>
      <c r="Z30" s="30"/>
      <c r="AA30" s="30"/>
      <c r="AB30" s="34">
        <v>0</v>
      </c>
      <c r="AC30" s="87"/>
      <c r="AD30" s="110"/>
      <c r="AE30" s="110"/>
      <c r="AF30" s="121"/>
      <c r="AH30" s="78">
        <f t="shared" si="1"/>
        <v>0</v>
      </c>
      <c r="AI30" s="78">
        <f t="shared" si="2"/>
        <v>0</v>
      </c>
    </row>
    <row r="31" spans="1:35" ht="15" customHeight="1" x14ac:dyDescent="0.2">
      <c r="A31" s="56">
        <v>44680</v>
      </c>
      <c r="B31" s="64"/>
      <c r="C31" s="64"/>
      <c r="D31" s="65"/>
      <c r="E31" s="63"/>
      <c r="F31" s="63"/>
      <c r="G31" s="63"/>
      <c r="H31" s="63"/>
      <c r="I31" s="63"/>
      <c r="J31" s="63"/>
      <c r="K31" s="63"/>
      <c r="L31" s="63"/>
      <c r="M31" s="62"/>
      <c r="N31" s="48"/>
      <c r="O31" s="49"/>
      <c r="P31" s="45"/>
      <c r="Q31" s="45"/>
      <c r="R31" s="21"/>
      <c r="S31" s="21"/>
      <c r="T31" s="21"/>
      <c r="U31" s="21"/>
      <c r="V31" s="30"/>
      <c r="W31" s="30"/>
      <c r="X31" s="30"/>
      <c r="Y31" s="30"/>
      <c r="Z31" s="30"/>
      <c r="AA31" s="30"/>
      <c r="AB31" s="34">
        <v>0</v>
      </c>
      <c r="AC31" s="87"/>
      <c r="AD31" s="110"/>
      <c r="AE31" s="110"/>
      <c r="AF31" s="121"/>
      <c r="AH31" s="78">
        <f t="shared" si="1"/>
        <v>0</v>
      </c>
      <c r="AI31" s="78">
        <f t="shared" si="2"/>
        <v>0</v>
      </c>
    </row>
    <row r="32" spans="1:35" ht="15" customHeight="1" x14ac:dyDescent="0.2">
      <c r="A32" s="56">
        <v>44681</v>
      </c>
      <c r="B32" s="64"/>
      <c r="C32" s="64"/>
      <c r="D32" s="65"/>
      <c r="E32" s="63"/>
      <c r="F32" s="63"/>
      <c r="G32" s="63"/>
      <c r="H32" s="63"/>
      <c r="I32" s="63"/>
      <c r="J32" s="63"/>
      <c r="K32" s="63"/>
      <c r="L32" s="63"/>
      <c r="M32" s="62"/>
      <c r="N32" s="50"/>
      <c r="O32" s="51"/>
      <c r="P32" s="51"/>
      <c r="Q32" s="51"/>
      <c r="R32" s="21"/>
      <c r="S32" s="21"/>
      <c r="T32" s="21"/>
      <c r="U32" s="21"/>
      <c r="V32" s="30"/>
      <c r="W32" s="30"/>
      <c r="X32" s="30"/>
      <c r="Y32" s="30"/>
      <c r="Z32" s="30"/>
      <c r="AA32" s="30"/>
      <c r="AB32" s="34">
        <v>0</v>
      </c>
      <c r="AC32" s="87"/>
      <c r="AD32" s="110"/>
      <c r="AE32" s="110"/>
      <c r="AF32" s="121"/>
      <c r="AH32" s="78">
        <f t="shared" si="1"/>
        <v>0</v>
      </c>
      <c r="AI32" s="78">
        <f t="shared" si="2"/>
        <v>0</v>
      </c>
    </row>
    <row r="33" spans="1:35" ht="12.75" customHeight="1" x14ac:dyDescent="0.2">
      <c r="A33" s="56"/>
      <c r="B33" s="46"/>
      <c r="C33" s="66"/>
      <c r="D33" s="75"/>
      <c r="E33" s="75"/>
      <c r="F33" s="75"/>
      <c r="G33" s="75"/>
      <c r="H33" s="75"/>
      <c r="I33" s="75"/>
      <c r="J33" s="75"/>
      <c r="K33" s="75"/>
      <c r="L33" s="75"/>
      <c r="M33" s="62"/>
      <c r="N33" s="51"/>
      <c r="O33" s="51"/>
      <c r="P33" s="52"/>
      <c r="Q33" s="53"/>
      <c r="R33" s="21"/>
      <c r="S33" s="21"/>
      <c r="T33" s="21"/>
      <c r="U33" s="21"/>
      <c r="V33" s="54"/>
      <c r="W33" s="54"/>
      <c r="X33" s="54"/>
      <c r="Y33" s="54"/>
      <c r="Z33" s="54"/>
      <c r="AA33" s="54"/>
      <c r="AB33" s="34">
        <v>0</v>
      </c>
      <c r="AC33" s="87"/>
      <c r="AD33" s="122"/>
      <c r="AE33" s="122"/>
      <c r="AF33" s="123"/>
      <c r="AH33" s="78">
        <f t="shared" si="1"/>
        <v>0</v>
      </c>
      <c r="AI33" s="78">
        <f t="shared" si="2"/>
        <v>0</v>
      </c>
    </row>
    <row r="34" spans="1:35" x14ac:dyDescent="0.2">
      <c r="Y34" s="77"/>
      <c r="Z34" s="77"/>
      <c r="AH34" s="78"/>
      <c r="AI34" s="78"/>
    </row>
    <row r="35" spans="1:35" x14ac:dyDescent="0.2">
      <c r="V35" s="110"/>
      <c r="W35" s="110"/>
      <c r="X35" s="110"/>
      <c r="AG35" s="80" t="s">
        <v>76</v>
      </c>
      <c r="AH35" s="78">
        <f>SUM(AH3:AH33)</f>
        <v>978194</v>
      </c>
      <c r="AI35" s="78">
        <f>SUM(AI3:AI33)</f>
        <v>9856</v>
      </c>
    </row>
    <row r="38" spans="1:35" ht="15" x14ac:dyDescent="0.25">
      <c r="P38" s="76"/>
    </row>
    <row r="39" spans="1:35" ht="15" x14ac:dyDescent="0.25">
      <c r="P39" s="76"/>
    </row>
  </sheetData>
  <mergeCells count="10">
    <mergeCell ref="AH1:AI1"/>
    <mergeCell ref="V35:X35"/>
    <mergeCell ref="AE13:AF13"/>
    <mergeCell ref="AE14:AF14"/>
    <mergeCell ref="AD16:AF33"/>
    <mergeCell ref="D1:L1"/>
    <mergeCell ref="AD2:AF2"/>
    <mergeCell ref="AD3:AF3"/>
    <mergeCell ref="AD11:AF11"/>
    <mergeCell ref="AE12:AF12"/>
  </mergeCells>
  <phoneticPr fontId="2" type="noConversion"/>
  <pageMargins left="0.7" right="0.7" top="0.75" bottom="0.75" header="0.3" footer="0.3"/>
  <pageSetup scale="89" orientation="portrait" r:id="rId1"/>
  <colBreaks count="1" manualBreakCount="1">
    <brk id="21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509E7-1F52-430F-AF9B-59D1F5FEA841}">
  <sheetPr>
    <pageSetUpPr fitToPage="1"/>
  </sheetPr>
  <dimension ref="A1:I52"/>
  <sheetViews>
    <sheetView showGridLines="0" workbookViewId="0">
      <selection activeCell="D34" sqref="D34"/>
    </sheetView>
  </sheetViews>
  <sheetFormatPr defaultRowHeight="15" x14ac:dyDescent="0.25"/>
  <cols>
    <col min="4" max="4" width="10.42578125" bestFit="1" customWidth="1"/>
    <col min="5" max="5" width="12.85546875" customWidth="1"/>
    <col min="6" max="7" width="10.140625" customWidth="1"/>
  </cols>
  <sheetData>
    <row r="1" spans="1:9" x14ac:dyDescent="0.25">
      <c r="A1" s="86"/>
      <c r="B1" s="124" t="s">
        <v>77</v>
      </c>
      <c r="C1" s="124"/>
      <c r="D1" s="125" t="s">
        <v>78</v>
      </c>
      <c r="E1" s="125"/>
      <c r="F1" s="126" t="s">
        <v>79</v>
      </c>
      <c r="G1" s="126"/>
      <c r="H1" s="127" t="s">
        <v>80</v>
      </c>
      <c r="I1" s="127"/>
    </row>
    <row r="2" spans="1:9" x14ac:dyDescent="0.25">
      <c r="A2" s="99" t="s">
        <v>81</v>
      </c>
      <c r="B2" s="100">
        <v>2021</v>
      </c>
      <c r="C2" s="100">
        <v>2022</v>
      </c>
      <c r="D2" s="100">
        <v>2021</v>
      </c>
      <c r="E2" s="100">
        <v>2022</v>
      </c>
      <c r="F2" s="100">
        <v>2021</v>
      </c>
      <c r="G2" s="100">
        <v>2022</v>
      </c>
      <c r="H2" s="100">
        <v>2021</v>
      </c>
      <c r="I2" s="100">
        <v>2022</v>
      </c>
    </row>
    <row r="3" spans="1:9" x14ac:dyDescent="0.25">
      <c r="A3" s="95">
        <v>1</v>
      </c>
      <c r="B3" s="96">
        <v>66.069999999999993</v>
      </c>
      <c r="C3" s="96">
        <f>'FS Seychelles'!B3</f>
        <v>36.799999999999997</v>
      </c>
      <c r="D3" s="97">
        <v>34194</v>
      </c>
      <c r="E3" s="97">
        <f>SUM('FS Seychelles'!M3:Q3)</f>
        <v>45595</v>
      </c>
      <c r="F3" s="97">
        <v>9458</v>
      </c>
      <c r="G3" s="98">
        <f>'FS Seychelles'!R3</f>
        <v>10345</v>
      </c>
      <c r="H3" s="97">
        <v>675</v>
      </c>
      <c r="I3" s="98">
        <f>SUM('FS Seychelles'!V3:AC3)</f>
        <v>503</v>
      </c>
    </row>
    <row r="4" spans="1:9" x14ac:dyDescent="0.25">
      <c r="A4" s="95">
        <v>2</v>
      </c>
      <c r="B4" s="96">
        <v>78.84</v>
      </c>
      <c r="C4" s="96">
        <f>'FS Seychelles'!B4</f>
        <v>35.5</v>
      </c>
      <c r="D4" s="97">
        <v>30904</v>
      </c>
      <c r="E4" s="97">
        <f>SUM('FS Seychelles'!M4:Q4)</f>
        <v>44574</v>
      </c>
      <c r="F4" s="97">
        <v>8701</v>
      </c>
      <c r="G4" s="98">
        <f>'FS Seychelles'!R4</f>
        <v>9798</v>
      </c>
      <c r="H4" s="97">
        <v>601</v>
      </c>
      <c r="I4" s="98">
        <f>SUM('FS Seychelles'!V4:AC4)</f>
        <v>583</v>
      </c>
    </row>
    <row r="5" spans="1:9" x14ac:dyDescent="0.25">
      <c r="A5" s="95">
        <v>3</v>
      </c>
      <c r="B5" s="96">
        <v>65.45</v>
      </c>
      <c r="C5" s="96">
        <f>'FS Seychelles'!B5</f>
        <v>36.799999999999997</v>
      </c>
      <c r="D5" s="97">
        <v>33629</v>
      </c>
      <c r="E5" s="97">
        <f>SUM('FS Seychelles'!M5:Q5)</f>
        <v>41101</v>
      </c>
      <c r="F5" s="97">
        <v>9455</v>
      </c>
      <c r="G5" s="98">
        <f>'FS Seychelles'!R5</f>
        <v>9191</v>
      </c>
      <c r="H5" s="97">
        <v>569</v>
      </c>
      <c r="I5" s="98">
        <f>SUM('FS Seychelles'!V5:AC5)</f>
        <v>507</v>
      </c>
    </row>
    <row r="6" spans="1:9" x14ac:dyDescent="0.25">
      <c r="A6" s="95">
        <v>4</v>
      </c>
      <c r="B6" s="96">
        <v>50</v>
      </c>
      <c r="C6" s="96">
        <f>'FS Seychelles'!B6</f>
        <v>38.200000000000003</v>
      </c>
      <c r="D6" s="97">
        <v>34281</v>
      </c>
      <c r="E6" s="97">
        <f>SUM('FS Seychelles'!M6:Q6)</f>
        <v>41024</v>
      </c>
      <c r="F6" s="97">
        <v>9396</v>
      </c>
      <c r="G6" s="98">
        <f>'FS Seychelles'!R6</f>
        <v>9048</v>
      </c>
      <c r="H6" s="97">
        <v>430</v>
      </c>
      <c r="I6" s="98">
        <f>SUM('FS Seychelles'!V6:AC6)</f>
        <v>0</v>
      </c>
    </row>
    <row r="7" spans="1:9" x14ac:dyDescent="0.25">
      <c r="A7" s="95">
        <v>5</v>
      </c>
      <c r="B7" s="96">
        <v>47.37</v>
      </c>
      <c r="C7" s="96">
        <f>'FS Seychelles'!B7</f>
        <v>34.200000000000003</v>
      </c>
      <c r="D7" s="97">
        <v>33117</v>
      </c>
      <c r="E7" s="97">
        <f>SUM('FS Seychelles'!M7:Q7)</f>
        <v>31050</v>
      </c>
      <c r="F7" s="97">
        <v>9344</v>
      </c>
      <c r="G7" s="98">
        <f>'FS Seychelles'!R7</f>
        <v>6891</v>
      </c>
      <c r="H7" s="97">
        <v>467</v>
      </c>
      <c r="I7" s="98">
        <f>SUM('FS Seychelles'!V7:AC7)</f>
        <v>453</v>
      </c>
    </row>
    <row r="8" spans="1:9" x14ac:dyDescent="0.25">
      <c r="A8" s="95">
        <v>6</v>
      </c>
      <c r="B8" s="96">
        <v>52.63</v>
      </c>
      <c r="C8" s="96">
        <f>'FS Seychelles'!B8</f>
        <v>27.6</v>
      </c>
      <c r="D8" s="97">
        <v>29861</v>
      </c>
      <c r="E8" s="97">
        <f>SUM('FS Seychelles'!M8:Q8)</f>
        <v>40814</v>
      </c>
      <c r="F8" s="97">
        <v>8451</v>
      </c>
      <c r="G8" s="98">
        <f>'FS Seychelles'!R8</f>
        <v>8683</v>
      </c>
      <c r="H8" s="97">
        <v>440</v>
      </c>
      <c r="I8" s="98">
        <f>SUM('FS Seychelles'!V8:AC8)</f>
        <v>509</v>
      </c>
    </row>
    <row r="9" spans="1:9" x14ac:dyDescent="0.25">
      <c r="A9" s="95">
        <v>7</v>
      </c>
      <c r="B9" s="96">
        <v>57.69</v>
      </c>
      <c r="C9" s="96">
        <f>'FS Seychelles'!B9</f>
        <v>31.6</v>
      </c>
      <c r="D9" s="97">
        <v>33358</v>
      </c>
      <c r="E9" s="97">
        <f>SUM('FS Seychelles'!M9:Q9)</f>
        <v>47841</v>
      </c>
      <c r="F9" s="97">
        <v>9045</v>
      </c>
      <c r="G9" s="98">
        <f>'FS Seychelles'!R9</f>
        <v>10796</v>
      </c>
      <c r="H9" s="97">
        <v>357</v>
      </c>
      <c r="I9" s="98">
        <f>SUM('FS Seychelles'!V9:AC9)</f>
        <v>434</v>
      </c>
    </row>
    <row r="10" spans="1:9" x14ac:dyDescent="0.25">
      <c r="A10" s="95">
        <v>8</v>
      </c>
      <c r="B10" s="96">
        <v>51.9</v>
      </c>
      <c r="C10" s="96">
        <f>'FS Seychelles'!B10</f>
        <v>32.9</v>
      </c>
      <c r="D10" s="97">
        <v>32636</v>
      </c>
      <c r="E10" s="97">
        <f>SUM('FS Seychelles'!M10:Q10)</f>
        <v>28631</v>
      </c>
      <c r="F10" s="97">
        <v>9016</v>
      </c>
      <c r="G10" s="98">
        <f>'FS Seychelles'!R10</f>
        <v>6621</v>
      </c>
      <c r="H10" s="97">
        <v>383</v>
      </c>
      <c r="I10" s="98">
        <f>SUM('FS Seychelles'!V10:AC10)</f>
        <v>406</v>
      </c>
    </row>
    <row r="11" spans="1:9" x14ac:dyDescent="0.25">
      <c r="A11" s="95">
        <v>9</v>
      </c>
      <c r="B11" s="96">
        <v>48.75</v>
      </c>
      <c r="C11" s="96">
        <f>'FS Seychelles'!B11</f>
        <v>39.5</v>
      </c>
      <c r="D11" s="97">
        <v>32817</v>
      </c>
      <c r="E11" s="97">
        <f>SUM('FS Seychelles'!M11:Q11)</f>
        <v>37508</v>
      </c>
      <c r="F11" s="97">
        <v>9478</v>
      </c>
      <c r="G11" s="98">
        <f>'FS Seychelles'!R11</f>
        <v>8546</v>
      </c>
      <c r="H11" s="97">
        <v>354</v>
      </c>
      <c r="I11" s="98">
        <f>SUM('FS Seychelles'!V11:AC11)</f>
        <v>462</v>
      </c>
    </row>
    <row r="12" spans="1:9" x14ac:dyDescent="0.25">
      <c r="A12" s="95">
        <v>10</v>
      </c>
      <c r="B12" s="96">
        <v>41.98</v>
      </c>
      <c r="C12" s="96">
        <f>'FS Seychelles'!B12</f>
        <v>36.799999999999997</v>
      </c>
      <c r="D12" s="97">
        <v>32930</v>
      </c>
      <c r="E12" s="97">
        <f>SUM('FS Seychelles'!M12:Q12)</f>
        <v>41360</v>
      </c>
      <c r="F12" s="97">
        <v>9163</v>
      </c>
      <c r="G12" s="98">
        <f>'FS Seychelles'!R12</f>
        <v>8317</v>
      </c>
      <c r="H12" s="97">
        <v>482</v>
      </c>
      <c r="I12" s="98">
        <f>SUM('FS Seychelles'!V12:AC12)</f>
        <v>546</v>
      </c>
    </row>
    <row r="13" spans="1:9" x14ac:dyDescent="0.25">
      <c r="A13" s="95">
        <v>11</v>
      </c>
      <c r="B13" s="96">
        <v>42.68</v>
      </c>
      <c r="C13" s="96">
        <f>'FS Seychelles'!B13</f>
        <v>60.5</v>
      </c>
      <c r="D13" s="97">
        <v>32752</v>
      </c>
      <c r="E13" s="97">
        <f>SUM('FS Seychelles'!M13:Q13)</f>
        <v>38613</v>
      </c>
      <c r="F13" s="97">
        <v>9428</v>
      </c>
      <c r="G13" s="98">
        <f>'FS Seychelles'!R13</f>
        <v>8924</v>
      </c>
      <c r="H13" s="97">
        <v>484</v>
      </c>
      <c r="I13" s="98">
        <f>SUM('FS Seychelles'!V13:AC13)</f>
        <v>471</v>
      </c>
    </row>
    <row r="14" spans="1:9" x14ac:dyDescent="0.25">
      <c r="A14" s="95">
        <v>12</v>
      </c>
      <c r="B14" s="96">
        <v>32.89</v>
      </c>
      <c r="C14" s="96">
        <f>'FS Seychelles'!B14</f>
        <v>56.6</v>
      </c>
      <c r="D14" s="97">
        <v>30989</v>
      </c>
      <c r="E14" s="97">
        <f>SUM('FS Seychelles'!M14:Q14)</f>
        <v>35114</v>
      </c>
      <c r="F14" s="97">
        <v>8750</v>
      </c>
      <c r="G14" s="98">
        <f>'FS Seychelles'!R14</f>
        <v>7080</v>
      </c>
      <c r="H14" s="97">
        <v>362</v>
      </c>
      <c r="I14" s="98">
        <f>SUM('FS Seychelles'!V14:AC14)</f>
        <v>397</v>
      </c>
    </row>
    <row r="15" spans="1:9" x14ac:dyDescent="0.25">
      <c r="A15" s="95">
        <v>13</v>
      </c>
      <c r="B15" s="96">
        <v>22.36</v>
      </c>
      <c r="C15" s="96">
        <f>'FS Seychelles'!B15</f>
        <v>0</v>
      </c>
      <c r="D15" s="97">
        <v>28189</v>
      </c>
      <c r="E15" s="97">
        <f>SUM('FS Seychelles'!M15:Q15)</f>
        <v>40485</v>
      </c>
      <c r="F15" s="97">
        <v>7745</v>
      </c>
      <c r="G15" s="98">
        <f>'FS Seychelles'!R15</f>
        <v>8901</v>
      </c>
      <c r="H15" s="97">
        <v>409</v>
      </c>
      <c r="I15" s="98">
        <f>SUM('FS Seychelles'!V15:AC15)</f>
        <v>482</v>
      </c>
    </row>
    <row r="16" spans="1:9" x14ac:dyDescent="0.25">
      <c r="A16" s="95">
        <v>14</v>
      </c>
      <c r="B16" s="96">
        <v>21.05</v>
      </c>
      <c r="C16" s="96">
        <f>'FS Seychelles'!B16</f>
        <v>0</v>
      </c>
      <c r="D16" s="97">
        <v>17029</v>
      </c>
      <c r="E16" s="97">
        <f>SUM('FS Seychelles'!M16:Q16)</f>
        <v>40441</v>
      </c>
      <c r="F16" s="97">
        <v>4639</v>
      </c>
      <c r="G16" s="98">
        <f>'FS Seychelles'!R16</f>
        <v>8865</v>
      </c>
      <c r="H16" s="97">
        <v>415</v>
      </c>
      <c r="I16" s="98">
        <f>SUM('FS Seychelles'!V16:AC16)</f>
        <v>0</v>
      </c>
    </row>
    <row r="17" spans="1:9" x14ac:dyDescent="0.25">
      <c r="A17" s="95">
        <v>15</v>
      </c>
      <c r="B17" s="96">
        <v>23.68</v>
      </c>
      <c r="C17" s="96">
        <f>'FS Seychelles'!B17</f>
        <v>0</v>
      </c>
      <c r="D17" s="97">
        <v>31509</v>
      </c>
      <c r="E17" s="97">
        <f>SUM('FS Seychelles'!M17:Q17)</f>
        <v>40854</v>
      </c>
      <c r="F17" s="97">
        <v>8939</v>
      </c>
      <c r="G17" s="98">
        <f>'FS Seychelles'!R17</f>
        <v>9096</v>
      </c>
      <c r="H17" s="97">
        <v>356</v>
      </c>
      <c r="I17" s="98">
        <f>SUM('FS Seychelles'!V17:AC17)</f>
        <v>230</v>
      </c>
    </row>
    <row r="18" spans="1:9" x14ac:dyDescent="0.25">
      <c r="A18" s="95">
        <v>16</v>
      </c>
      <c r="B18" s="96">
        <v>25</v>
      </c>
      <c r="C18" s="96">
        <f>'FS Seychelles'!B18</f>
        <v>0</v>
      </c>
      <c r="D18" s="97">
        <v>30412</v>
      </c>
      <c r="E18" s="97">
        <f>SUM('FS Seychelles'!M18:Q18)</f>
        <v>37681</v>
      </c>
      <c r="F18" s="97">
        <v>8691</v>
      </c>
      <c r="G18" s="98">
        <f>'FS Seychelles'!R18</f>
        <v>8454</v>
      </c>
      <c r="H18" s="97">
        <v>602</v>
      </c>
      <c r="I18" s="98">
        <f>SUM('FS Seychelles'!V18:AC18)</f>
        <v>252</v>
      </c>
    </row>
    <row r="19" spans="1:9" x14ac:dyDescent="0.25">
      <c r="A19" s="95">
        <v>17</v>
      </c>
      <c r="B19" s="96">
        <v>28.95</v>
      </c>
      <c r="C19" s="96">
        <f>'FS Seychelles'!B19</f>
        <v>0</v>
      </c>
      <c r="D19" s="97">
        <v>31803</v>
      </c>
      <c r="E19" s="97">
        <f>SUM('FS Seychelles'!M19:Q19)</f>
        <v>35507</v>
      </c>
      <c r="F19" s="97">
        <v>8831</v>
      </c>
      <c r="G19" s="98">
        <f>'FS Seychelles'!R19</f>
        <v>7837</v>
      </c>
      <c r="H19" s="97">
        <v>590</v>
      </c>
      <c r="I19" s="98">
        <f>SUM('FS Seychelles'!V19:AC19)</f>
        <v>392</v>
      </c>
    </row>
    <row r="20" spans="1:9" x14ac:dyDescent="0.25">
      <c r="A20" s="95">
        <v>18</v>
      </c>
      <c r="B20" s="96">
        <v>32.89</v>
      </c>
      <c r="C20" s="96">
        <f>'FS Seychelles'!B20</f>
        <v>0</v>
      </c>
      <c r="D20" s="97">
        <v>29614</v>
      </c>
      <c r="E20" s="97">
        <f>SUM('FS Seychelles'!M20:Q20)</f>
        <v>40307</v>
      </c>
      <c r="F20" s="97">
        <v>8289</v>
      </c>
      <c r="G20" s="98">
        <f>'FS Seychelles'!R20</f>
        <v>9142</v>
      </c>
      <c r="H20" s="97">
        <v>466</v>
      </c>
      <c r="I20" s="98">
        <f>SUM('FS Seychelles'!V20:AC20)</f>
        <v>546</v>
      </c>
    </row>
    <row r="21" spans="1:9" x14ac:dyDescent="0.25">
      <c r="A21" s="95">
        <v>19</v>
      </c>
      <c r="B21" s="96">
        <v>40.79</v>
      </c>
      <c r="C21" s="96">
        <f>'FS Seychelles'!B21</f>
        <v>0</v>
      </c>
      <c r="D21" s="97">
        <v>27779</v>
      </c>
      <c r="E21" s="97">
        <f>SUM('FS Seychelles'!M21:Q21)</f>
        <v>40287</v>
      </c>
      <c r="F21" s="97">
        <v>7969</v>
      </c>
      <c r="G21" s="98">
        <f>'FS Seychelles'!R21</f>
        <v>8676</v>
      </c>
      <c r="H21" s="97">
        <v>459</v>
      </c>
      <c r="I21" s="98">
        <f>SUM('FS Seychelles'!V21:AC21)</f>
        <v>0</v>
      </c>
    </row>
    <row r="22" spans="1:9" x14ac:dyDescent="0.25">
      <c r="A22" s="95">
        <v>20</v>
      </c>
      <c r="B22" s="96">
        <v>43.42</v>
      </c>
      <c r="C22" s="96">
        <f>'FS Seychelles'!B22</f>
        <v>0</v>
      </c>
      <c r="D22" s="97">
        <v>30498</v>
      </c>
      <c r="E22" s="97">
        <f>SUM('FS Seychelles'!M22:Q22)</f>
        <v>39093</v>
      </c>
      <c r="F22" s="97">
        <v>8172</v>
      </c>
      <c r="G22" s="98">
        <f>'FS Seychelles'!R22</f>
        <v>8613</v>
      </c>
      <c r="H22" s="97">
        <v>456</v>
      </c>
      <c r="I22" s="98">
        <f>SUM('FS Seychelles'!V22:AC22)</f>
        <v>449</v>
      </c>
    </row>
    <row r="23" spans="1:9" x14ac:dyDescent="0.25">
      <c r="A23" s="95">
        <v>21</v>
      </c>
      <c r="B23" s="96">
        <v>52.63</v>
      </c>
      <c r="C23" s="96">
        <f>'FS Seychelles'!B23</f>
        <v>0</v>
      </c>
      <c r="D23" s="97">
        <v>26825</v>
      </c>
      <c r="E23" s="97">
        <f>SUM('FS Seychelles'!M23:Q23)</f>
        <v>49917</v>
      </c>
      <c r="F23" s="97">
        <v>7381</v>
      </c>
      <c r="G23" s="98">
        <f>'FS Seychelles'!R23</f>
        <v>11216</v>
      </c>
      <c r="H23" s="97">
        <v>494</v>
      </c>
      <c r="I23" s="98">
        <f>SUM('FS Seychelles'!V23:AC23)</f>
        <v>576</v>
      </c>
    </row>
    <row r="24" spans="1:9" x14ac:dyDescent="0.25">
      <c r="A24" s="95">
        <v>22</v>
      </c>
      <c r="B24" s="96">
        <v>62.3</v>
      </c>
      <c r="C24" s="96">
        <f>'FS Seychelles'!B24</f>
        <v>0</v>
      </c>
      <c r="D24" s="97">
        <v>29248</v>
      </c>
      <c r="E24" s="97">
        <f>SUM('FS Seychelles'!M24:Q24)</f>
        <v>27446</v>
      </c>
      <c r="F24" s="97">
        <v>7695</v>
      </c>
      <c r="G24" s="98">
        <f>'FS Seychelles'!R24</f>
        <v>6074</v>
      </c>
      <c r="H24" s="97">
        <v>373</v>
      </c>
      <c r="I24" s="98">
        <f>SUM('FS Seychelles'!V24:AC24)</f>
        <v>627</v>
      </c>
    </row>
    <row r="25" spans="1:9" x14ac:dyDescent="0.25">
      <c r="A25" s="95">
        <v>23</v>
      </c>
      <c r="B25" s="96">
        <v>60.66</v>
      </c>
      <c r="C25" s="96">
        <f>'FS Seychelles'!B25</f>
        <v>0</v>
      </c>
      <c r="D25" s="97">
        <v>31688</v>
      </c>
      <c r="E25" s="97">
        <f>SUM('FS Seychelles'!M25:Q25)</f>
        <v>37015</v>
      </c>
      <c r="F25" s="97">
        <v>8666</v>
      </c>
      <c r="G25" s="98">
        <f>'FS Seychelles'!R25</f>
        <v>8231</v>
      </c>
      <c r="H25" s="97">
        <v>468</v>
      </c>
      <c r="I25" s="98">
        <f>SUM('FS Seychelles'!V25:AC25)</f>
        <v>666</v>
      </c>
    </row>
    <row r="26" spans="1:9" x14ac:dyDescent="0.25">
      <c r="A26" s="95">
        <v>24</v>
      </c>
      <c r="B26" s="96">
        <v>59.02</v>
      </c>
      <c r="C26" s="96">
        <f>'FS Seychelles'!B26</f>
        <v>0</v>
      </c>
      <c r="D26" s="97">
        <v>29478</v>
      </c>
      <c r="E26" s="97">
        <f>SUM('FS Seychelles'!M26:Q26)</f>
        <v>37788</v>
      </c>
      <c r="F26" s="97">
        <v>7509</v>
      </c>
      <c r="G26" s="98">
        <f>'FS Seychelles'!R26</f>
        <v>8505</v>
      </c>
      <c r="H26" s="97">
        <v>567</v>
      </c>
      <c r="I26" s="98">
        <f>SUM('FS Seychelles'!V26:AC26)</f>
        <v>493</v>
      </c>
    </row>
    <row r="27" spans="1:9" x14ac:dyDescent="0.25">
      <c r="A27" s="95">
        <v>25</v>
      </c>
      <c r="B27" s="96">
        <v>56.45</v>
      </c>
      <c r="C27" s="96">
        <f>'FS Seychelles'!B27</f>
        <v>0</v>
      </c>
      <c r="D27" s="97">
        <v>30605</v>
      </c>
      <c r="E27" s="97">
        <f>SUM('FS Seychelles'!M27:Q27)</f>
        <v>38148</v>
      </c>
      <c r="F27" s="97">
        <v>8339</v>
      </c>
      <c r="G27" s="98">
        <f>'FS Seychelles'!R27</f>
        <v>8467</v>
      </c>
      <c r="H27" s="97">
        <v>652</v>
      </c>
      <c r="I27" s="98">
        <f>SUM('FS Seychelles'!V27:AC27)</f>
        <v>0</v>
      </c>
    </row>
    <row r="28" spans="1:9" x14ac:dyDescent="0.25">
      <c r="A28" s="95">
        <v>26</v>
      </c>
      <c r="B28" s="96">
        <v>50</v>
      </c>
      <c r="C28" s="96">
        <f>'FS Seychelles'!B28</f>
        <v>0</v>
      </c>
      <c r="D28" s="97">
        <v>20863</v>
      </c>
      <c r="E28" s="97">
        <f>SUM('FS Seychelles'!M28:Q28)</f>
        <v>0</v>
      </c>
      <c r="F28" s="97">
        <v>6254</v>
      </c>
      <c r="G28" s="98">
        <f>'FS Seychelles'!R28</f>
        <v>0</v>
      </c>
      <c r="H28" s="97">
        <v>509</v>
      </c>
      <c r="I28" s="98">
        <f>SUM('FS Seychelles'!V28:AC28)</f>
        <v>0</v>
      </c>
    </row>
    <row r="29" spans="1:9" x14ac:dyDescent="0.25">
      <c r="A29" s="95">
        <v>27</v>
      </c>
      <c r="B29" s="96">
        <v>42.31</v>
      </c>
      <c r="C29" s="96">
        <f>'FS Seychelles'!B29</f>
        <v>0</v>
      </c>
      <c r="D29" s="97">
        <v>41207</v>
      </c>
      <c r="E29" s="97">
        <f>SUM('FS Seychelles'!M29:Q29)</f>
        <v>0</v>
      </c>
      <c r="F29" s="97">
        <v>11400</v>
      </c>
      <c r="G29" s="98">
        <f>'FS Seychelles'!R29</f>
        <v>0</v>
      </c>
      <c r="H29" s="97">
        <v>399</v>
      </c>
      <c r="I29" s="98">
        <f>SUM('FS Seychelles'!V29:AC29)</f>
        <v>0</v>
      </c>
    </row>
    <row r="30" spans="1:9" x14ac:dyDescent="0.25">
      <c r="A30" s="95">
        <v>28</v>
      </c>
      <c r="B30" s="96">
        <v>40.51</v>
      </c>
      <c r="C30" s="96">
        <f>'FS Seychelles'!B30</f>
        <v>0</v>
      </c>
      <c r="D30" s="97">
        <v>21223</v>
      </c>
      <c r="E30" s="97">
        <f>SUM('FS Seychelles'!M30:Q30)</f>
        <v>0</v>
      </c>
      <c r="F30" s="97">
        <v>5539</v>
      </c>
      <c r="G30" s="98">
        <f>'FS Seychelles'!R30</f>
        <v>0</v>
      </c>
      <c r="H30" s="97">
        <v>391</v>
      </c>
      <c r="I30" s="98">
        <f>SUM('FS Seychelles'!V30:AC30)</f>
        <v>0</v>
      </c>
    </row>
    <row r="31" spans="1:9" x14ac:dyDescent="0.25">
      <c r="A31" s="95">
        <v>29</v>
      </c>
      <c r="B31" s="96">
        <v>39.24</v>
      </c>
      <c r="C31" s="96">
        <f>'FS Seychelles'!B31</f>
        <v>0</v>
      </c>
      <c r="D31" s="97">
        <v>33377</v>
      </c>
      <c r="E31" s="97">
        <f>SUM('FS Seychelles'!M31:Q31)</f>
        <v>0</v>
      </c>
      <c r="F31" s="97">
        <v>16454</v>
      </c>
      <c r="G31" s="98">
        <f>'FS Seychelles'!R31</f>
        <v>0</v>
      </c>
      <c r="H31" s="97">
        <v>422</v>
      </c>
      <c r="I31" s="98">
        <f>SUM('FS Seychelles'!V31:AC31)</f>
        <v>0</v>
      </c>
    </row>
    <row r="32" spans="1:9" x14ac:dyDescent="0.25">
      <c r="A32" s="95">
        <v>30</v>
      </c>
      <c r="B32" s="96">
        <v>45</v>
      </c>
      <c r="C32" s="96">
        <f>'FS Seychelles'!B32</f>
        <v>0</v>
      </c>
      <c r="D32" s="97">
        <v>28600</v>
      </c>
      <c r="E32" s="97">
        <f>SUM('FS Seychelles'!M32:Q32)</f>
        <v>0</v>
      </c>
      <c r="F32" s="97">
        <v>8268</v>
      </c>
      <c r="G32" s="98">
        <f>'FS Seychelles'!R32</f>
        <v>0</v>
      </c>
      <c r="H32" s="97">
        <v>367</v>
      </c>
      <c r="I32" s="98">
        <f>SUM('FS Seychelles'!V32:AC32)</f>
        <v>0</v>
      </c>
    </row>
    <row r="33" spans="1:9" x14ac:dyDescent="0.25">
      <c r="A33" s="103">
        <v>31</v>
      </c>
      <c r="B33" s="104"/>
      <c r="C33" s="104">
        <f>'FS Seychelles'!B33</f>
        <v>0</v>
      </c>
      <c r="D33" s="105">
        <v>0</v>
      </c>
      <c r="E33" s="105">
        <f>SUM('FS Seychelles'!M33:Q33)</f>
        <v>0</v>
      </c>
      <c r="F33" s="105">
        <v>0</v>
      </c>
      <c r="G33" s="106">
        <f>'FS Seychelles'!R33</f>
        <v>0</v>
      </c>
      <c r="H33" s="105">
        <v>0</v>
      </c>
      <c r="I33" s="106">
        <f>SUM('FS Seychelles'!V33:AC33)</f>
        <v>0</v>
      </c>
    </row>
    <row r="34" spans="1:9" x14ac:dyDescent="0.25">
      <c r="A34" s="107" t="s">
        <v>82</v>
      </c>
      <c r="B34" s="108"/>
      <c r="C34" s="108"/>
      <c r="D34" s="109">
        <f>SUM(D3:D33)</f>
        <v>911415</v>
      </c>
      <c r="E34" s="109">
        <f t="shared" ref="E34:I34" si="0">SUM(E3:E33)</f>
        <v>978194</v>
      </c>
      <c r="F34" s="109">
        <f t="shared" si="0"/>
        <v>260465</v>
      </c>
      <c r="G34" s="109">
        <f t="shared" si="0"/>
        <v>216317</v>
      </c>
      <c r="H34" s="109">
        <f t="shared" si="0"/>
        <v>13999</v>
      </c>
      <c r="I34" s="109">
        <f t="shared" si="0"/>
        <v>9984</v>
      </c>
    </row>
    <row r="35" spans="1:9" x14ac:dyDescent="0.25">
      <c r="A35" s="101" t="s">
        <v>83</v>
      </c>
      <c r="B35" s="102"/>
      <c r="C35" s="102"/>
      <c r="D35" s="95"/>
      <c r="E35" s="98"/>
      <c r="F35" s="95"/>
      <c r="G35" s="95"/>
      <c r="H35" s="95"/>
      <c r="I35" s="95"/>
    </row>
    <row r="36" spans="1:9" x14ac:dyDescent="0.25">
      <c r="E36" s="84"/>
    </row>
    <row r="37" spans="1:9" x14ac:dyDescent="0.25">
      <c r="E37" s="84"/>
    </row>
    <row r="38" spans="1:9" x14ac:dyDescent="0.25">
      <c r="E38" s="84"/>
    </row>
    <row r="39" spans="1:9" x14ac:dyDescent="0.25">
      <c r="E39" s="84"/>
    </row>
    <row r="40" spans="1:9" x14ac:dyDescent="0.25">
      <c r="E40" s="84"/>
    </row>
    <row r="41" spans="1:9" x14ac:dyDescent="0.25">
      <c r="E41" s="84"/>
    </row>
    <row r="42" spans="1:9" x14ac:dyDescent="0.25">
      <c r="E42" s="84"/>
    </row>
    <row r="43" spans="1:9" x14ac:dyDescent="0.25">
      <c r="E43" s="84"/>
    </row>
    <row r="44" spans="1:9" x14ac:dyDescent="0.25">
      <c r="E44" s="84"/>
    </row>
    <row r="45" spans="1:9" x14ac:dyDescent="0.25">
      <c r="E45" s="84"/>
    </row>
    <row r="46" spans="1:9" x14ac:dyDescent="0.25">
      <c r="E46" s="84"/>
    </row>
    <row r="47" spans="1:9" x14ac:dyDescent="0.25">
      <c r="E47" s="84"/>
    </row>
    <row r="48" spans="1:9" x14ac:dyDescent="0.25">
      <c r="E48" s="84"/>
    </row>
    <row r="49" spans="5:5" x14ac:dyDescent="0.25">
      <c r="E49" s="84"/>
    </row>
    <row r="50" spans="5:5" x14ac:dyDescent="0.25">
      <c r="E50" s="84"/>
    </row>
    <row r="51" spans="5:5" x14ac:dyDescent="0.25">
      <c r="E51" s="84"/>
    </row>
    <row r="52" spans="5:5" x14ac:dyDescent="0.25">
      <c r="E52" s="84"/>
    </row>
  </sheetData>
  <mergeCells count="4">
    <mergeCell ref="B1:C1"/>
    <mergeCell ref="D1:E1"/>
    <mergeCell ref="F1:G1"/>
    <mergeCell ref="H1:I1"/>
  </mergeCells>
  <conditionalFormatting sqref="E3:E33">
    <cfRule type="cellIs" dxfId="5" priority="12" operator="greaterThan">
      <formula>$D$4</formula>
    </cfRule>
  </conditionalFormatting>
  <conditionalFormatting sqref="G3:G33">
    <cfRule type="cellIs" dxfId="4" priority="11" operator="greaterThan">
      <formula>$F$3</formula>
    </cfRule>
  </conditionalFormatting>
  <conditionalFormatting sqref="G3:G33">
    <cfRule type="cellIs" dxfId="3" priority="10" operator="lessThan">
      <formula>$F$3</formula>
    </cfRule>
  </conditionalFormatting>
  <conditionalFormatting sqref="E3:E33">
    <cfRule type="cellIs" dxfId="2" priority="9" operator="lessThan">
      <formula>$D$3</formula>
    </cfRule>
  </conditionalFormatting>
  <conditionalFormatting sqref="I8">
    <cfRule type="cellIs" dxfId="1" priority="2" operator="lessThan">
      <formula>$H$3</formula>
    </cfRule>
  </conditionalFormatting>
  <conditionalFormatting sqref="I8">
    <cfRule type="cellIs" dxfId="0" priority="1" operator="greaterThan">
      <formula>$H$3</formula>
    </cfRule>
  </conditionalFormatting>
  <pageMargins left="0.7" right="0.7" top="0.75" bottom="0.7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3" ma:contentTypeDescription="Create a new document." ma:contentTypeScope="" ma:versionID="2ca9bf751ef6f50fd99a64eaf45ca73d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013e4f16fe9c7292aa1444a2e64eed71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0F5833-E3D5-4465-B836-0DEADAE27D4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3C1FFEE-54E3-4891-B98C-21C3BE451C8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0857ED-EC15-4E2C-B68B-265F3C049A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bb2215-5bf3-43e0-9dce-b3effc6cb50f"/>
    <ds:schemaRef ds:uri="8c44e1e5-30d2-450a-b924-ac87e029a2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 </vt:lpstr>
      <vt:lpstr>FS Seychelles</vt:lpstr>
      <vt:lpstr>2021-2022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Joe J. El Khoury</cp:lastModifiedBy>
  <cp:revision/>
  <dcterms:created xsi:type="dcterms:W3CDTF">2019-08-14T08:16:24Z</dcterms:created>
  <dcterms:modified xsi:type="dcterms:W3CDTF">2022-04-26T15:59:09Z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