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5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7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0" documentId="8_{FA34CEAB-9CA4-4A56-8685-0B6DCEC2B5E1}" xr6:coauthVersionLast="47" xr6:coauthVersionMax="47" xr10:uidLastSave="{00000000-0000-0000-0000-000000000000}"/>
  <bookViews>
    <workbookView xWindow="-120" yWindow="-120" windowWidth="20730" windowHeight="11160" firstSheet="9" xr2:uid="{00000000-000D-0000-FFFF-FFFF00000000}"/>
  </bookViews>
  <sheets>
    <sheet name="Total" sheetId="26" r:id="rId1"/>
    <sheet name="Submetering" sheetId="25" r:id="rId2"/>
    <sheet name="Energy Graph" sheetId="7" r:id="rId3"/>
    <sheet name="UTILITY REPORT 1" sheetId="24" r:id="rId4"/>
    <sheet name="Utility report " sheetId="13" r:id="rId5"/>
    <sheet name="Kit report" sheetId="18" r:id="rId6"/>
    <sheet name="Utility summery" sheetId="14" r:id="rId7"/>
    <sheet name="Gen" sheetId="1" r:id="rId8"/>
    <sheet name="Lpg (2)" sheetId="15" r:id="rId9"/>
    <sheet name="Summery Report" sheetId="11" r:id="rId10"/>
    <sheet name="Daily report Gen" sheetId="12" r:id="rId11"/>
    <sheet name="Water-Meter" sheetId="3" r:id="rId12"/>
    <sheet name="LPG_Graph" sheetId="8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  <sheet name="Sheet2" sheetId="27" r:id="rId19"/>
  </sheets>
  <externalReferences>
    <externalReference r:id="rId20"/>
    <externalReference r:id="rId21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xlnp="http://schemas.microsoft.com/office/spreadsheetml/2019/extlinksprops" uri="{FCE6A71B-6B00-49CD-AB44-F6B1AE7CDE65}">
      <xxlnp:externalLinksPr autoRefresh="1"/>
    </ext>
  </extLst>
</workbook>
</file>

<file path=xl/calcChain.xml><?xml version="1.0" encoding="utf-8"?>
<calcChain xmlns="http://schemas.openxmlformats.org/spreadsheetml/2006/main">
  <c r="D40" i="20" l="1"/>
  <c r="E40" i="20"/>
  <c r="G40" i="20"/>
  <c r="D41" i="20"/>
  <c r="E41" i="20"/>
  <c r="G41" i="20"/>
  <c r="D42" i="20"/>
  <c r="E42" i="20"/>
  <c r="G42" i="20"/>
  <c r="D43" i="20"/>
  <c r="E43" i="20"/>
  <c r="G43" i="20"/>
  <c r="D44" i="20"/>
  <c r="E44" i="20"/>
  <c r="G44" i="20"/>
  <c r="D45" i="20"/>
  <c r="E45" i="20"/>
  <c r="G45" i="20"/>
  <c r="D46" i="20"/>
  <c r="E46" i="20"/>
  <c r="G46" i="20"/>
  <c r="D47" i="20"/>
  <c r="E47" i="20"/>
  <c r="G47" i="20"/>
  <c r="D48" i="20"/>
  <c r="E48" i="20"/>
  <c r="G48" i="20"/>
  <c r="D49" i="20"/>
  <c r="E49" i="20"/>
  <c r="G49" i="20"/>
  <c r="D50" i="20"/>
  <c r="E50" i="20"/>
  <c r="G50" i="20"/>
  <c r="D51" i="20"/>
  <c r="E51" i="20"/>
  <c r="G51" i="20"/>
  <c r="D52" i="20"/>
  <c r="E52" i="20"/>
  <c r="G52" i="2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5" i="10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2" i="9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5" i="11"/>
  <c r="I11" i="15"/>
  <c r="I12" i="15"/>
  <c r="I13" i="15"/>
  <c r="I14" i="15"/>
  <c r="I15" i="15"/>
  <c r="I16" i="15"/>
  <c r="I17" i="15"/>
  <c r="I18" i="15"/>
  <c r="I19" i="15"/>
  <c r="I20" i="15"/>
  <c r="I21" i="15"/>
  <c r="I22" i="15"/>
  <c r="I23" i="15"/>
  <c r="I24" i="15"/>
  <c r="I25" i="15"/>
  <c r="I26" i="15"/>
  <c r="I27" i="15"/>
  <c r="I28" i="15"/>
  <c r="I29" i="15"/>
  <c r="I30" i="15"/>
  <c r="I31" i="15"/>
  <c r="I32" i="15"/>
  <c r="I33" i="15"/>
  <c r="I34" i="15"/>
  <c r="I35" i="15"/>
  <c r="I36" i="15"/>
  <c r="I37" i="15"/>
  <c r="I38" i="15"/>
  <c r="I39" i="15"/>
  <c r="I40" i="15"/>
  <c r="I10" i="15"/>
  <c r="J16" i="15"/>
  <c r="J17" i="15"/>
  <c r="J18" i="15"/>
  <c r="J19" i="15"/>
  <c r="J20" i="15"/>
  <c r="J21" i="15"/>
  <c r="J22" i="15"/>
  <c r="J23" i="15"/>
  <c r="J24" i="15"/>
  <c r="J25" i="15"/>
  <c r="J26" i="15"/>
  <c r="J27" i="15"/>
  <c r="J28" i="15"/>
  <c r="J29" i="15"/>
  <c r="J30" i="15"/>
  <c r="J31" i="15"/>
  <c r="J32" i="15"/>
  <c r="J33" i="15"/>
  <c r="J34" i="15"/>
  <c r="J35" i="15"/>
  <c r="J36" i="15"/>
  <c r="J37" i="15"/>
  <c r="J38" i="15"/>
  <c r="J39" i="15"/>
  <c r="J40" i="15"/>
  <c r="J41" i="15"/>
  <c r="B7" i="14"/>
  <c r="B8" i="14"/>
  <c r="B9" i="14"/>
  <c r="B10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B36" i="14"/>
  <c r="B6" i="14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37" i="13"/>
  <c r="B6" i="13"/>
  <c r="E7" i="13"/>
  <c r="C31" i="24"/>
  <c r="C32" i="24"/>
  <c r="C33" i="24"/>
  <c r="C34" i="24"/>
  <c r="C4" i="24"/>
  <c r="C5" i="24"/>
  <c r="C6" i="24"/>
  <c r="C7" i="24"/>
  <c r="C8" i="24"/>
  <c r="C9" i="24"/>
  <c r="C10" i="24"/>
  <c r="C11" i="24"/>
  <c r="C12" i="24"/>
  <c r="C13" i="24"/>
  <c r="C14" i="24"/>
  <c r="C15" i="24"/>
  <c r="C16" i="24"/>
  <c r="C17" i="24"/>
  <c r="C18" i="24"/>
  <c r="C19" i="24"/>
  <c r="C20" i="24"/>
  <c r="C21" i="24"/>
  <c r="C22" i="24"/>
  <c r="C23" i="24"/>
  <c r="C24" i="24"/>
  <c r="C25" i="24"/>
  <c r="C26" i="24"/>
  <c r="C27" i="24"/>
  <c r="C28" i="24"/>
  <c r="C29" i="24"/>
  <c r="C30" i="24"/>
  <c r="C3" i="24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2" i="7"/>
  <c r="E5" i="3"/>
  <c r="F8" i="3"/>
  <c r="E6" i="3"/>
  <c r="H45" i="1"/>
  <c r="AS18" i="1"/>
  <c r="D49" i="22"/>
  <c r="D50" i="22"/>
  <c r="D51" i="22"/>
  <c r="K4" i="22"/>
  <c r="K5" i="22"/>
  <c r="K6" i="22"/>
  <c r="K7" i="22"/>
  <c r="K8" i="22"/>
  <c r="K9" i="22"/>
  <c r="K10" i="22"/>
  <c r="K11" i="22"/>
  <c r="K12" i="22"/>
  <c r="K13" i="22"/>
  <c r="K14" i="22"/>
  <c r="K15" i="22"/>
  <c r="K16" i="22"/>
  <c r="K17" i="22"/>
  <c r="K18" i="22"/>
  <c r="K19" i="22"/>
  <c r="K20" i="22"/>
  <c r="K21" i="22"/>
  <c r="K22" i="22"/>
  <c r="K23" i="22"/>
  <c r="K24" i="22"/>
  <c r="K25" i="22"/>
  <c r="K26" i="22"/>
  <c r="K27" i="22"/>
  <c r="K28" i="22"/>
  <c r="K29" i="22"/>
  <c r="K30" i="22"/>
  <c r="K31" i="22"/>
  <c r="K32" i="22"/>
  <c r="K33" i="22"/>
  <c r="K34" i="22"/>
  <c r="K35" i="22"/>
  <c r="K36" i="22"/>
  <c r="K37" i="22"/>
  <c r="K38" i="22"/>
  <c r="K39" i="22"/>
  <c r="K40" i="22"/>
  <c r="K41" i="22"/>
  <c r="K42" i="22"/>
  <c r="K43" i="22"/>
  <c r="K44" i="22"/>
  <c r="K45" i="22"/>
  <c r="K46" i="22"/>
  <c r="K47" i="22"/>
  <c r="K48" i="22"/>
  <c r="K49" i="22"/>
  <c r="K50" i="22"/>
  <c r="K52" i="22"/>
  <c r="K53" i="22"/>
  <c r="I40" i="22"/>
  <c r="I41" i="22"/>
  <c r="I42" i="22"/>
  <c r="I43" i="22"/>
  <c r="I44" i="22"/>
  <c r="I45" i="22"/>
  <c r="I46" i="22"/>
  <c r="I47" i="22"/>
  <c r="I48" i="22"/>
  <c r="I49" i="22"/>
  <c r="I50" i="22"/>
  <c r="I51" i="22"/>
  <c r="K51" i="22" s="1"/>
  <c r="I52" i="22"/>
  <c r="I53" i="22"/>
  <c r="I54" i="22"/>
  <c r="I55" i="22"/>
  <c r="I56" i="22"/>
  <c r="I57" i="22"/>
  <c r="I58" i="22"/>
  <c r="I59" i="22"/>
  <c r="I60" i="22"/>
  <c r="I61" i="22"/>
  <c r="I62" i="22"/>
  <c r="I63" i="22"/>
  <c r="I64" i="22"/>
  <c r="I65" i="22"/>
  <c r="I66" i="22"/>
  <c r="I67" i="22"/>
  <c r="I68" i="22"/>
  <c r="I69" i="22"/>
  <c r="I70" i="22"/>
  <c r="I71" i="22"/>
  <c r="I72" i="22"/>
  <c r="I73" i="22"/>
  <c r="I74" i="22"/>
  <c r="I4" i="22"/>
  <c r="I5" i="22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I33" i="22"/>
  <c r="I34" i="22"/>
  <c r="I35" i="22"/>
  <c r="I36" i="22"/>
  <c r="I37" i="22"/>
  <c r="I38" i="22"/>
  <c r="I39" i="22"/>
  <c r="I3" i="22"/>
  <c r="K3" i="22" s="1"/>
  <c r="D39" i="22"/>
  <c r="D40" i="22"/>
  <c r="D41" i="22"/>
  <c r="D42" i="22"/>
  <c r="D43" i="22"/>
  <c r="D44" i="22"/>
  <c r="D45" i="22"/>
  <c r="D46" i="22"/>
  <c r="D47" i="22"/>
  <c r="D48" i="22"/>
  <c r="D4" i="22"/>
  <c r="D5" i="22"/>
  <c r="D6" i="22"/>
  <c r="D7" i="22"/>
  <c r="D8" i="22"/>
  <c r="D9" i="22"/>
  <c r="D10" i="22"/>
  <c r="D11" i="22"/>
  <c r="D12" i="22"/>
  <c r="D13" i="22"/>
  <c r="D14" i="22"/>
  <c r="D15" i="22"/>
  <c r="D16" i="22"/>
  <c r="D17" i="22"/>
  <c r="D18" i="22"/>
  <c r="D19" i="22"/>
  <c r="D20" i="22"/>
  <c r="D21" i="22"/>
  <c r="D22" i="22"/>
  <c r="D23" i="22"/>
  <c r="D24" i="22"/>
  <c r="D25" i="22"/>
  <c r="D26" i="22"/>
  <c r="D27" i="22"/>
  <c r="D28" i="22"/>
  <c r="D29" i="22"/>
  <c r="D30" i="22"/>
  <c r="D31" i="22"/>
  <c r="D32" i="22"/>
  <c r="D33" i="22"/>
  <c r="D34" i="22"/>
  <c r="D35" i="22"/>
  <c r="D36" i="22"/>
  <c r="D37" i="22"/>
  <c r="D38" i="22"/>
  <c r="D3" i="22"/>
  <c r="Y35" i="13"/>
  <c r="F24" i="18"/>
  <c r="F25" i="18"/>
  <c r="F22" i="18"/>
  <c r="G18" i="15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Q34" i="13"/>
  <c r="Q32" i="13"/>
  <c r="Q22" i="18"/>
  <c r="X28" i="18"/>
  <c r="X21" i="18"/>
  <c r="X24" i="18"/>
  <c r="AA23" i="13"/>
  <c r="Z23" i="13"/>
  <c r="Z24" i="13"/>
  <c r="Z25" i="13"/>
  <c r="Z26" i="13"/>
  <c r="Z27" i="13"/>
  <c r="Z28" i="13"/>
  <c r="Z29" i="13"/>
  <c r="AA24" i="13"/>
  <c r="AA25" i="13"/>
  <c r="AA26" i="13"/>
  <c r="AA27" i="13"/>
  <c r="AA28" i="13"/>
  <c r="AA29" i="13"/>
  <c r="O15" i="3"/>
  <c r="O18" i="3"/>
  <c r="J5" i="18"/>
  <c r="K7" i="18"/>
  <c r="L4" i="18"/>
  <c r="J6" i="18"/>
  <c r="J3" i="18"/>
  <c r="F23" i="18"/>
  <c r="F28" i="18"/>
  <c r="V35" i="18"/>
  <c r="X35" i="18"/>
  <c r="X26" i="18"/>
  <c r="X25" i="18"/>
  <c r="X23" i="18"/>
  <c r="X22" i="18"/>
  <c r="X20" i="18"/>
  <c r="X19" i="18"/>
  <c r="X18" i="18"/>
  <c r="X17" i="18"/>
  <c r="X16" i="18"/>
  <c r="X15" i="18"/>
  <c r="X14" i="18"/>
  <c r="X13" i="18"/>
  <c r="X12" i="18"/>
  <c r="X11" i="18"/>
  <c r="X10" i="18"/>
  <c r="X9" i="18"/>
  <c r="X8" i="18"/>
  <c r="X7" i="18"/>
  <c r="X6" i="18"/>
  <c r="X4" i="18"/>
  <c r="V17" i="18"/>
  <c r="V18" i="18"/>
  <c r="R28" i="18"/>
  <c r="V26" i="18"/>
  <c r="AA19" i="18"/>
  <c r="Q5" i="18"/>
  <c r="Q6" i="18"/>
  <c r="Q7" i="18"/>
  <c r="Q8" i="18"/>
  <c r="Q9" i="18"/>
  <c r="Q10" i="18"/>
  <c r="Q11" i="18"/>
  <c r="Q12" i="18"/>
  <c r="Q13" i="18"/>
  <c r="Q14" i="18"/>
  <c r="Q15" i="18"/>
  <c r="Q16" i="18"/>
  <c r="Q17" i="18"/>
  <c r="Q18" i="18"/>
  <c r="Q19" i="18"/>
  <c r="Q20" i="18"/>
  <c r="Q21" i="18"/>
  <c r="Q23" i="18"/>
  <c r="Q24" i="18"/>
  <c r="Q25" i="18"/>
  <c r="Q26" i="18"/>
  <c r="Q4" i="18"/>
  <c r="P20" i="18"/>
  <c r="P21" i="18"/>
  <c r="R18" i="18"/>
  <c r="P27" i="18"/>
  <c r="P18" i="18"/>
  <c r="AC7" i="18"/>
  <c r="AC8" i="18"/>
  <c r="AC13" i="18"/>
  <c r="AC17" i="18"/>
  <c r="AA15" i="18"/>
  <c r="V24" i="18"/>
  <c r="V25" i="18"/>
  <c r="X5" i="18"/>
  <c r="X3" i="18"/>
  <c r="R14" i="18"/>
  <c r="V31" i="18"/>
  <c r="X31" i="18" s="1"/>
  <c r="Q38" i="3"/>
  <c r="U12" i="3"/>
  <c r="U13" i="3"/>
  <c r="U14" i="3"/>
  <c r="U15" i="3"/>
  <c r="U16" i="3"/>
  <c r="U17" i="3"/>
  <c r="U18" i="3"/>
  <c r="U19" i="3"/>
  <c r="U20" i="3"/>
  <c r="U21" i="3"/>
  <c r="U22" i="3"/>
  <c r="U24" i="3"/>
  <c r="S23" i="3"/>
  <c r="K23" i="3"/>
  <c r="K24" i="3"/>
  <c r="K25" i="3"/>
  <c r="K26" i="3"/>
  <c r="I24" i="3"/>
  <c r="I25" i="3"/>
  <c r="I26" i="3"/>
  <c r="I23" i="3"/>
  <c r="K22" i="3"/>
  <c r="E25" i="3"/>
  <c r="X16" i="3"/>
  <c r="Y27" i="13"/>
  <c r="K30" i="3"/>
  <c r="Y7" i="13"/>
  <c r="Y8" i="13"/>
  <c r="Y9" i="13"/>
  <c r="Z7" i="13"/>
  <c r="AA7" i="13" s="1"/>
  <c r="Z8" i="13"/>
  <c r="AA8" i="13" s="1"/>
  <c r="Z9" i="13"/>
  <c r="AA9" i="13" s="1"/>
  <c r="AB5" i="18"/>
  <c r="AB6" i="18"/>
  <c r="AB7" i="18"/>
  <c r="AB8" i="18"/>
  <c r="AB9" i="18"/>
  <c r="AB10" i="18"/>
  <c r="AB11" i="18"/>
  <c r="AB12" i="18"/>
  <c r="AB13" i="18"/>
  <c r="AB14" i="18"/>
  <c r="AB15" i="18"/>
  <c r="AB16" i="18"/>
  <c r="AB17" i="18"/>
  <c r="AB18" i="18"/>
  <c r="AB19" i="18"/>
  <c r="AB20" i="18"/>
  <c r="AB21" i="18"/>
  <c r="AB22" i="18"/>
  <c r="AB23" i="18"/>
  <c r="AB24" i="18"/>
  <c r="AB25" i="18"/>
  <c r="AB26" i="18"/>
  <c r="AB27" i="18"/>
  <c r="AB28" i="18"/>
  <c r="AB29" i="18"/>
  <c r="AB30" i="18"/>
  <c r="AA31" i="18" s="1"/>
  <c r="AB31" i="18"/>
  <c r="AB32" i="18"/>
  <c r="AB33" i="18"/>
  <c r="AB34" i="18"/>
  <c r="AB35" i="18"/>
  <c r="AA6" i="18"/>
  <c r="AA7" i="18"/>
  <c r="AA8" i="18"/>
  <c r="AJ7" i="3"/>
  <c r="AJ6" i="3"/>
  <c r="AJ8" i="3"/>
  <c r="E8" i="3"/>
  <c r="E9" i="3"/>
  <c r="E10" i="3"/>
  <c r="J76" i="3"/>
  <c r="J77" i="3"/>
  <c r="H76" i="3"/>
  <c r="H77" i="3"/>
  <c r="F77" i="3"/>
  <c r="D77" i="3"/>
  <c r="K77" i="3" s="1"/>
  <c r="B33" i="18"/>
  <c r="B34" i="18"/>
  <c r="B35" i="18"/>
  <c r="H35" i="18"/>
  <c r="E27" i="3"/>
  <c r="F3" i="18"/>
  <c r="J22" i="18"/>
  <c r="J23" i="18"/>
  <c r="AA27" i="3"/>
  <c r="U23" i="13"/>
  <c r="S15" i="3"/>
  <c r="S16" i="3"/>
  <c r="S17" i="3"/>
  <c r="S18" i="3"/>
  <c r="S19" i="3"/>
  <c r="S20" i="3"/>
  <c r="S21" i="3"/>
  <c r="S22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U8" i="3"/>
  <c r="U9" i="3"/>
  <c r="U10" i="3"/>
  <c r="U11" i="3"/>
  <c r="U25" i="3"/>
  <c r="U26" i="3"/>
  <c r="U27" i="3"/>
  <c r="U28" i="3"/>
  <c r="U29" i="3"/>
  <c r="U30" i="3"/>
  <c r="U31" i="3"/>
  <c r="U32" i="3"/>
  <c r="U33" i="3"/>
  <c r="AN5" i="3"/>
  <c r="AG13" i="3"/>
  <c r="AG14" i="3"/>
  <c r="AG15" i="3"/>
  <c r="AG16" i="3"/>
  <c r="AG17" i="3"/>
  <c r="U13" i="25" s="1"/>
  <c r="AG18" i="3"/>
  <c r="U14" i="25" s="1"/>
  <c r="AG19" i="3"/>
  <c r="U15" i="25" s="1"/>
  <c r="AG20" i="3"/>
  <c r="AM11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8" i="3"/>
  <c r="AA29" i="3"/>
  <c r="AA30" i="3"/>
  <c r="AA31" i="3"/>
  <c r="AA32" i="3"/>
  <c r="U34" i="3"/>
  <c r="U35" i="3"/>
  <c r="U36" i="3"/>
  <c r="AG22" i="3"/>
  <c r="AG23" i="3"/>
  <c r="AG24" i="3"/>
  <c r="AG25" i="3"/>
  <c r="AG26" i="3"/>
  <c r="U22" i="25" s="1"/>
  <c r="AG27" i="3"/>
  <c r="U23" i="25" s="1"/>
  <c r="AE25" i="3"/>
  <c r="AE26" i="3"/>
  <c r="AE27" i="3"/>
  <c r="Q17" i="13"/>
  <c r="Q18" i="13"/>
  <c r="Q19" i="13"/>
  <c r="Q15" i="13"/>
  <c r="R17" i="13"/>
  <c r="R18" i="13"/>
  <c r="R19" i="13"/>
  <c r="U11" i="13"/>
  <c r="V11" i="18"/>
  <c r="V12" i="18"/>
  <c r="V13" i="18"/>
  <c r="V14" i="18"/>
  <c r="V15" i="18"/>
  <c r="V16" i="18"/>
  <c r="D3" i="26" l="1"/>
  <c r="D4" i="26"/>
  <c r="D5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2" i="26"/>
  <c r="U27" i="13"/>
  <c r="Y31" i="13"/>
  <c r="Z31" i="13" s="1"/>
  <c r="AA31" i="13" s="1"/>
  <c r="Y29" i="13"/>
  <c r="Y30" i="13"/>
  <c r="Z30" i="13" s="1"/>
  <c r="AA30" i="13" s="1"/>
  <c r="Y33" i="13"/>
  <c r="Z33" i="13" s="1"/>
  <c r="AA33" i="13" s="1"/>
  <c r="Y25" i="13"/>
  <c r="Y26" i="13"/>
  <c r="Y28" i="13"/>
  <c r="Y32" i="13"/>
  <c r="Z32" i="13" s="1"/>
  <c r="AA32" i="13" s="1"/>
  <c r="Y34" i="13"/>
  <c r="Z34" i="13"/>
  <c r="AA34" i="13" s="1"/>
  <c r="Q32" i="3"/>
  <c r="I32" i="3"/>
  <c r="H16" i="15"/>
  <c r="H15" i="15"/>
  <c r="H69" i="3"/>
  <c r="E26" i="3"/>
  <c r="E31" i="3"/>
  <c r="AE18" i="13"/>
  <c r="Q16" i="13"/>
  <c r="H17" i="15"/>
  <c r="H18" i="15"/>
  <c r="H19" i="15"/>
  <c r="H20" i="15"/>
  <c r="H21" i="15"/>
  <c r="H22" i="15"/>
  <c r="Q14" i="12"/>
  <c r="S14" i="12" s="1"/>
  <c r="Q15" i="12"/>
  <c r="P14" i="12"/>
  <c r="P15" i="18"/>
  <c r="O11" i="14"/>
  <c r="Q37" i="14"/>
  <c r="B37" i="14"/>
  <c r="G11" i="15"/>
  <c r="G10" i="15"/>
  <c r="S45" i="1"/>
  <c r="AB3" i="18"/>
  <c r="AA4" i="18" s="1"/>
  <c r="K8" i="3"/>
  <c r="C5" i="11"/>
  <c r="B33" i="23"/>
  <c r="AB25" i="3"/>
  <c r="I31" i="14"/>
  <c r="E2" i="1"/>
  <c r="G19" i="15"/>
  <c r="G20" i="15"/>
  <c r="G21" i="15"/>
  <c r="G22" i="15"/>
  <c r="G23" i="15"/>
  <c r="G24" i="15"/>
  <c r="G25" i="15"/>
  <c r="G26" i="15"/>
  <c r="G27" i="15"/>
  <c r="G28" i="15"/>
  <c r="G29" i="15"/>
  <c r="G30" i="15"/>
  <c r="P15" i="12"/>
  <c r="P16" i="12"/>
  <c r="P17" i="12"/>
  <c r="P18" i="12"/>
  <c r="P19" i="12"/>
  <c r="P20" i="12"/>
  <c r="P21" i="12"/>
  <c r="P22" i="12"/>
  <c r="P23" i="12"/>
  <c r="P13" i="12"/>
  <c r="Q11" i="13"/>
  <c r="H10" i="15"/>
  <c r="AH9" i="3"/>
  <c r="AH8" i="3"/>
  <c r="AE15" i="13"/>
  <c r="J10" i="15"/>
  <c r="G12" i="15"/>
  <c r="M8" i="14" s="1"/>
  <c r="G13" i="15"/>
  <c r="G14" i="15"/>
  <c r="G15" i="15"/>
  <c r="J15" i="15" s="1"/>
  <c r="G16" i="15"/>
  <c r="G17" i="15"/>
  <c r="Q7" i="13"/>
  <c r="Q8" i="13"/>
  <c r="K9" i="3"/>
  <c r="C47" i="1"/>
  <c r="K6" i="12"/>
  <c r="L10" i="11" l="1"/>
  <c r="F36" i="12"/>
  <c r="I25" i="14"/>
  <c r="C32" i="3"/>
  <c r="I27" i="14"/>
  <c r="Y10" i="13"/>
  <c r="Z10" i="13" s="1"/>
  <c r="AA10" i="13" s="1"/>
  <c r="Y11" i="13"/>
  <c r="Z11" i="13" s="1"/>
  <c r="AA11" i="13" s="1"/>
  <c r="Y12" i="13"/>
  <c r="Y13" i="13"/>
  <c r="Y14" i="13"/>
  <c r="Y15" i="13"/>
  <c r="Y16" i="13"/>
  <c r="Y17" i="13"/>
  <c r="Y18" i="13"/>
  <c r="Y19" i="13"/>
  <c r="Y20" i="13"/>
  <c r="Y21" i="13"/>
  <c r="X6" i="3"/>
  <c r="X23" i="3"/>
  <c r="X24" i="3"/>
  <c r="X25" i="3"/>
  <c r="AX30" i="1" l="1"/>
  <c r="AC25" i="12"/>
  <c r="AX29" i="1"/>
  <c r="AC24" i="12"/>
  <c r="Q28" i="13" l="1"/>
  <c r="Q21" i="13"/>
  <c r="Q22" i="13"/>
  <c r="Q23" i="13"/>
  <c r="R23" i="13" s="1"/>
  <c r="Q24" i="13"/>
  <c r="Q25" i="13"/>
  <c r="Q26" i="13"/>
  <c r="U24" i="1"/>
  <c r="U25" i="1"/>
  <c r="U26" i="1"/>
  <c r="U27" i="1"/>
  <c r="U28" i="1"/>
  <c r="U29" i="1"/>
  <c r="V29" i="1" s="1"/>
  <c r="U30" i="1"/>
  <c r="V30" i="1" s="1"/>
  <c r="U31" i="1"/>
  <c r="U32" i="1"/>
  <c r="F26" i="11" s="1"/>
  <c r="B23" i="7" s="1"/>
  <c r="U33" i="1"/>
  <c r="U34" i="1"/>
  <c r="F28" i="11" s="1"/>
  <c r="B25" i="7" s="1"/>
  <c r="U35" i="1"/>
  <c r="U36" i="1"/>
  <c r="U37" i="1"/>
  <c r="U38" i="1"/>
  <c r="U39" i="1"/>
  <c r="U40" i="1"/>
  <c r="U41" i="1"/>
  <c r="Z17" i="13"/>
  <c r="AA17" i="13" s="1"/>
  <c r="U6" i="13"/>
  <c r="V6" i="13" s="1"/>
  <c r="U7" i="13"/>
  <c r="V7" i="13" s="1"/>
  <c r="U8" i="13"/>
  <c r="V8" i="13" s="1"/>
  <c r="U9" i="13"/>
  <c r="V9" i="13" s="1"/>
  <c r="U10" i="13"/>
  <c r="V10" i="13" s="1"/>
  <c r="R10" i="18"/>
  <c r="R15" i="18"/>
  <c r="R16" i="18"/>
  <c r="R17" i="18"/>
  <c r="I25" i="10"/>
  <c r="R38" i="14"/>
  <c r="D75" i="3"/>
  <c r="AK10" i="1"/>
  <c r="D11" i="1"/>
  <c r="T11" i="1"/>
  <c r="U11" i="1"/>
  <c r="AK11" i="1"/>
  <c r="U12" i="1"/>
  <c r="AK12" i="1"/>
  <c r="E7" i="14" s="1"/>
  <c r="O7" i="14" s="1"/>
  <c r="U13" i="1"/>
  <c r="AK13" i="1"/>
  <c r="E8" i="14" s="1"/>
  <c r="O8" i="14" s="1"/>
  <c r="U14" i="1"/>
  <c r="AK14" i="1"/>
  <c r="E9" i="14" s="1"/>
  <c r="O9" i="14" s="1"/>
  <c r="U15" i="1"/>
  <c r="AK15" i="1"/>
  <c r="E10" i="14" s="1"/>
  <c r="O10" i="14" s="1"/>
  <c r="U16" i="1"/>
  <c r="AK16" i="1"/>
  <c r="U17" i="1"/>
  <c r="AK17" i="1"/>
  <c r="U18" i="1"/>
  <c r="V18" i="1" s="1"/>
  <c r="AK18" i="1"/>
  <c r="U19" i="1"/>
  <c r="AK19" i="1"/>
  <c r="AS19" i="1" s="1"/>
  <c r="U20" i="1"/>
  <c r="V20" i="1" s="1"/>
  <c r="AK20" i="1"/>
  <c r="U21" i="1"/>
  <c r="AK21" i="1"/>
  <c r="U22" i="1"/>
  <c r="V22" i="1" s="1"/>
  <c r="AK22" i="1"/>
  <c r="U23" i="1"/>
  <c r="AK23" i="1"/>
  <c r="AK24" i="1"/>
  <c r="AK25" i="1"/>
  <c r="AK26" i="1"/>
  <c r="H20" i="11" s="1"/>
  <c r="AK27" i="1"/>
  <c r="H21" i="11" s="1"/>
  <c r="AK28" i="1"/>
  <c r="H22" i="11" s="1"/>
  <c r="F23" i="10"/>
  <c r="F21" i="24"/>
  <c r="AK29" i="1"/>
  <c r="H23" i="11" s="1"/>
  <c r="AK30" i="1"/>
  <c r="H24" i="11" s="1"/>
  <c r="AK31" i="1"/>
  <c r="H25" i="11" s="1"/>
  <c r="V32" i="1"/>
  <c r="AK32" i="1"/>
  <c r="H26" i="11" s="1"/>
  <c r="V33" i="1"/>
  <c r="AK33" i="1"/>
  <c r="E28" i="14" s="1"/>
  <c r="V34" i="1"/>
  <c r="AK34" i="1"/>
  <c r="E29" i="14" s="1"/>
  <c r="V35" i="1"/>
  <c r="AK35" i="1"/>
  <c r="E30" i="14" s="1"/>
  <c r="V36" i="1"/>
  <c r="AK36" i="1"/>
  <c r="E31" i="14" s="1"/>
  <c r="V37" i="1"/>
  <c r="AK37" i="1"/>
  <c r="E32" i="14" s="1"/>
  <c r="V38" i="1"/>
  <c r="AK38" i="1"/>
  <c r="E33" i="14" s="1"/>
  <c r="V39" i="1"/>
  <c r="C34" i="14" s="1"/>
  <c r="AK39" i="1"/>
  <c r="E34" i="14" s="1"/>
  <c r="V40" i="1"/>
  <c r="C35" i="14" s="1"/>
  <c r="AK40" i="1"/>
  <c r="E35" i="14" s="1"/>
  <c r="T41" i="1"/>
  <c r="V41" i="1" s="1"/>
  <c r="C36" i="14" s="1"/>
  <c r="AK41" i="1"/>
  <c r="T42" i="1"/>
  <c r="U42" i="1"/>
  <c r="AK42" i="1"/>
  <c r="T43" i="1"/>
  <c r="U43" i="1"/>
  <c r="AK43" i="1"/>
  <c r="T44" i="1"/>
  <c r="U44" i="1"/>
  <c r="AK44" i="1"/>
  <c r="E45" i="1"/>
  <c r="F45" i="1"/>
  <c r="G45" i="1"/>
  <c r="I45" i="1"/>
  <c r="J45" i="1"/>
  <c r="K45" i="1"/>
  <c r="L45" i="1"/>
  <c r="M45" i="1"/>
  <c r="S46" i="1" s="1"/>
  <c r="N45" i="1"/>
  <c r="O45" i="1"/>
  <c r="P45" i="1"/>
  <c r="Q45" i="1"/>
  <c r="R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P32" i="18"/>
  <c r="P31" i="18"/>
  <c r="P16" i="18"/>
  <c r="H24" i="3"/>
  <c r="I26" i="14"/>
  <c r="AJ20" i="3"/>
  <c r="Q23" i="3"/>
  <c r="O20" i="3"/>
  <c r="F70" i="3"/>
  <c r="P8" i="18"/>
  <c r="X15" i="3"/>
  <c r="AD11" i="3"/>
  <c r="Q10" i="13"/>
  <c r="D9" i="18"/>
  <c r="F9" i="18" s="1"/>
  <c r="H34" i="18"/>
  <c r="J33" i="18"/>
  <c r="D8" i="18"/>
  <c r="F8" i="18" s="1"/>
  <c r="AA8" i="3"/>
  <c r="F46" i="3"/>
  <c r="V21" i="1" l="1"/>
  <c r="S14" i="18"/>
  <c r="F27" i="11"/>
  <c r="B24" i="7" s="1"/>
  <c r="S26" i="18"/>
  <c r="T45" i="1"/>
  <c r="U47" i="1" s="1"/>
  <c r="U48" i="1" s="1"/>
  <c r="Q46" i="1"/>
  <c r="V42" i="1"/>
  <c r="C37" i="14" s="1"/>
  <c r="V28" i="1"/>
  <c r="V27" i="1"/>
  <c r="F23" i="24"/>
  <c r="V31" i="1"/>
  <c r="V25" i="1"/>
  <c r="V24" i="1"/>
  <c r="V23" i="1"/>
  <c r="V26" i="1"/>
  <c r="V19" i="1"/>
  <c r="V17" i="1"/>
  <c r="V16" i="1"/>
  <c r="V14" i="1"/>
  <c r="V13" i="1"/>
  <c r="V12" i="1"/>
  <c r="V11" i="1"/>
  <c r="V15" i="1"/>
  <c r="AX11" i="1"/>
  <c r="AC6" i="12"/>
  <c r="AX21" i="1"/>
  <c r="AX19" i="1"/>
  <c r="AX17" i="1"/>
  <c r="AX15" i="1"/>
  <c r="AX13" i="1"/>
  <c r="C8" i="14"/>
  <c r="V45" i="1"/>
  <c r="F22" i="24"/>
  <c r="F26" i="24"/>
  <c r="AX40" i="1"/>
  <c r="AC35" i="12"/>
  <c r="AX32" i="1"/>
  <c r="AC27" i="12"/>
  <c r="AC32" i="12"/>
  <c r="AX37" i="1"/>
  <c r="AX31" i="1"/>
  <c r="AC26" i="12"/>
  <c r="AC28" i="12"/>
  <c r="AX33" i="1"/>
  <c r="AX36" i="1"/>
  <c r="AC31" i="12"/>
  <c r="AC15" i="12"/>
  <c r="AX20" i="1"/>
  <c r="AC11" i="12"/>
  <c r="AX16" i="1"/>
  <c r="AX12" i="1"/>
  <c r="AC7" i="12"/>
  <c r="AC30" i="12"/>
  <c r="AX35" i="1"/>
  <c r="N46" i="1"/>
  <c r="AX39" i="1"/>
  <c r="AC34" i="12"/>
  <c r="AC13" i="12"/>
  <c r="AX18" i="1"/>
  <c r="AC9" i="12"/>
  <c r="AX14" i="1"/>
  <c r="AX38" i="1"/>
  <c r="AC33" i="12"/>
  <c r="AX28" i="1"/>
  <c r="AC23" i="12"/>
  <c r="AC22" i="12"/>
  <c r="AX27" i="1"/>
  <c r="AX34" i="1"/>
  <c r="AC29" i="12"/>
  <c r="AX26" i="1"/>
  <c r="AC21" i="12"/>
  <c r="AX25" i="1"/>
  <c r="AC20" i="12"/>
  <c r="R46" i="1"/>
  <c r="AX24" i="1"/>
  <c r="AC19" i="12"/>
  <c r="AC18" i="12"/>
  <c r="AX23" i="1"/>
  <c r="AC17" i="12"/>
  <c r="AX22" i="1"/>
  <c r="AC16" i="12"/>
  <c r="AC14" i="12"/>
  <c r="AC12" i="12"/>
  <c r="AC10" i="12"/>
  <c r="AC8" i="12"/>
  <c r="F27" i="10"/>
  <c r="F25" i="11"/>
  <c r="B22" i="7" s="1"/>
  <c r="C27" i="14"/>
  <c r="H31" i="11"/>
  <c r="H28" i="11"/>
  <c r="I24" i="24"/>
  <c r="AS32" i="1"/>
  <c r="AT32" i="1" s="1"/>
  <c r="E27" i="14"/>
  <c r="H25" i="10"/>
  <c r="AS12" i="1"/>
  <c r="AT12" i="1" s="1"/>
  <c r="AK45" i="1"/>
  <c r="I23" i="24"/>
  <c r="E26" i="14"/>
  <c r="H32" i="11"/>
  <c r="I22" i="24"/>
  <c r="E25" i="14"/>
  <c r="I21" i="24"/>
  <c r="E24" i="14"/>
  <c r="H30" i="11"/>
  <c r="E23" i="14"/>
  <c r="H29" i="11"/>
  <c r="H27" i="11"/>
  <c r="I25" i="24"/>
  <c r="F24" i="10"/>
  <c r="U45" i="1"/>
  <c r="F25" i="24"/>
  <c r="F24" i="24"/>
  <c r="C2" i="7"/>
  <c r="B3" i="24"/>
  <c r="B4" i="24"/>
  <c r="B5" i="24"/>
  <c r="D11" i="18"/>
  <c r="F11" i="18" s="1"/>
  <c r="D12" i="18"/>
  <c r="F12" i="18" s="1"/>
  <c r="D13" i="18"/>
  <c r="F13" i="18" s="1"/>
  <c r="D14" i="18"/>
  <c r="F14" i="18" s="1"/>
  <c r="D15" i="18"/>
  <c r="F15" i="18" s="1"/>
  <c r="O12" i="3"/>
  <c r="AM32" i="3"/>
  <c r="P9" i="18"/>
  <c r="AE20" i="13"/>
  <c r="H20" i="14" s="1"/>
  <c r="O13" i="3"/>
  <c r="D10" i="18"/>
  <c r="F10" i="18" s="1"/>
  <c r="D16" i="18"/>
  <c r="F16" i="18" s="1"/>
  <c r="D17" i="18"/>
  <c r="F17" i="18" s="1"/>
  <c r="D18" i="18"/>
  <c r="F18" i="18" s="1"/>
  <c r="D19" i="18"/>
  <c r="F19" i="18" s="1"/>
  <c r="D20" i="18"/>
  <c r="F20" i="18" s="1"/>
  <c r="D21" i="18"/>
  <c r="F21" i="18" s="1"/>
  <c r="D22" i="18"/>
  <c r="D23" i="18"/>
  <c r="D24" i="18"/>
  <c r="D26" i="18"/>
  <c r="F26" i="18" s="1"/>
  <c r="D27" i="18"/>
  <c r="F27" i="18" s="1"/>
  <c r="D28" i="18"/>
  <c r="D29" i="18"/>
  <c r="F29" i="18" s="1"/>
  <c r="D30" i="18"/>
  <c r="F30" i="18" s="1"/>
  <c r="D31" i="18"/>
  <c r="F31" i="18" s="1"/>
  <c r="D32" i="18"/>
  <c r="F32" i="18" s="1"/>
  <c r="D33" i="18"/>
  <c r="F33" i="18" s="1"/>
  <c r="D34" i="18"/>
  <c r="F34" i="18" s="1"/>
  <c r="D35" i="18"/>
  <c r="F35" i="18" s="1"/>
  <c r="J12" i="18"/>
  <c r="R13" i="18"/>
  <c r="D6" i="18"/>
  <c r="F6" i="18" s="1"/>
  <c r="D7" i="18"/>
  <c r="F7" i="18" s="1"/>
  <c r="V22" i="3"/>
  <c r="V23" i="3"/>
  <c r="V24" i="3"/>
  <c r="X20" i="3"/>
  <c r="Q35" i="12"/>
  <c r="H24" i="15"/>
  <c r="H25" i="15"/>
  <c r="H26" i="15"/>
  <c r="H27" i="15"/>
  <c r="H28" i="15"/>
  <c r="H29" i="15"/>
  <c r="H30" i="15"/>
  <c r="H31" i="15"/>
  <c r="H32" i="15"/>
  <c r="H33" i="15"/>
  <c r="H34" i="15"/>
  <c r="H35" i="15"/>
  <c r="H36" i="15"/>
  <c r="H37" i="15"/>
  <c r="H38" i="15"/>
  <c r="H39" i="15"/>
  <c r="H40" i="15"/>
  <c r="H41" i="15"/>
  <c r="P19" i="14"/>
  <c r="H23" i="15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7" i="12"/>
  <c r="B8" i="12"/>
  <c r="B9" i="12"/>
  <c r="B10" i="12"/>
  <c r="B11" i="12"/>
  <c r="B12" i="12"/>
  <c r="B13" i="12"/>
  <c r="B14" i="12"/>
  <c r="B6" i="12"/>
  <c r="C11" i="11"/>
  <c r="L18" i="11"/>
  <c r="N13" i="12"/>
  <c r="E13" i="3"/>
  <c r="K12" i="11" s="1"/>
  <c r="E14" i="3"/>
  <c r="I14" i="14" s="1"/>
  <c r="E15" i="3"/>
  <c r="I15" i="14" s="1"/>
  <c r="P12" i="14"/>
  <c r="G6" i="11"/>
  <c r="D6" i="14"/>
  <c r="N6" i="14" s="1"/>
  <c r="D11" i="11"/>
  <c r="D5" i="18"/>
  <c r="F5" i="18" s="1"/>
  <c r="B6" i="23"/>
  <c r="B7" i="23"/>
  <c r="B8" i="23"/>
  <c r="B9" i="23"/>
  <c r="B10" i="23"/>
  <c r="B11" i="23"/>
  <c r="B12" i="23"/>
  <c r="B13" i="23"/>
  <c r="B14" i="23"/>
  <c r="B15" i="23"/>
  <c r="B16" i="23"/>
  <c r="B17" i="23"/>
  <c r="B18" i="23"/>
  <c r="B19" i="23"/>
  <c r="B20" i="23"/>
  <c r="B21" i="23"/>
  <c r="B22" i="23"/>
  <c r="B23" i="23"/>
  <c r="B24" i="23"/>
  <c r="B25" i="23"/>
  <c r="B26" i="23"/>
  <c r="B27" i="23"/>
  <c r="B28" i="23"/>
  <c r="B29" i="23"/>
  <c r="B30" i="23"/>
  <c r="B31" i="23"/>
  <c r="B32" i="23"/>
  <c r="B34" i="23"/>
  <c r="B35" i="23"/>
  <c r="B5" i="23"/>
  <c r="I6" i="14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2" i="8"/>
  <c r="B15" i="8"/>
  <c r="H11" i="15"/>
  <c r="H12" i="15"/>
  <c r="H13" i="15"/>
  <c r="H14" i="15"/>
  <c r="D5" i="11"/>
  <c r="V11" i="13"/>
  <c r="AE8" i="13"/>
  <c r="AE9" i="13"/>
  <c r="AE10" i="13"/>
  <c r="AE11" i="13"/>
  <c r="AE12" i="13"/>
  <c r="AE13" i="13"/>
  <c r="AE14" i="13"/>
  <c r="T15" i="12"/>
  <c r="V15" i="12" s="1"/>
  <c r="N15" i="12"/>
  <c r="F16" i="3"/>
  <c r="F17" i="3"/>
  <c r="U21" i="13"/>
  <c r="U22" i="13"/>
  <c r="U24" i="13"/>
  <c r="H15" i="3"/>
  <c r="H16" i="3"/>
  <c r="H17" i="3"/>
  <c r="H14" i="3"/>
  <c r="J20" i="18"/>
  <c r="K13" i="18"/>
  <c r="J13" i="18"/>
  <c r="P14" i="18"/>
  <c r="X12" i="3"/>
  <c r="X13" i="3"/>
  <c r="X14" i="3"/>
  <c r="V13" i="3"/>
  <c r="V14" i="3"/>
  <c r="AG11" i="3"/>
  <c r="X9" i="3"/>
  <c r="F6" i="11"/>
  <c r="B3" i="7" s="1"/>
  <c r="F7" i="11"/>
  <c r="B4" i="7" s="1"/>
  <c r="F8" i="11"/>
  <c r="B5" i="7" s="1"/>
  <c r="F9" i="11"/>
  <c r="B6" i="7" s="1"/>
  <c r="F10" i="11"/>
  <c r="B7" i="7" s="1"/>
  <c r="F11" i="11"/>
  <c r="X21" i="3"/>
  <c r="X22" i="3"/>
  <c r="AB18" i="3"/>
  <c r="J35" i="23"/>
  <c r="C35" i="23"/>
  <c r="H35" i="23"/>
  <c r="I35" i="23"/>
  <c r="A34" i="23"/>
  <c r="A35" i="23"/>
  <c r="A20" i="23"/>
  <c r="A21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C6" i="14" l="1"/>
  <c r="R6" i="14"/>
  <c r="V46" i="1"/>
  <c r="AX41" i="1"/>
  <c r="F25" i="10"/>
  <c r="C28" i="14"/>
  <c r="F26" i="10"/>
  <c r="C26" i="14"/>
  <c r="K5" i="11"/>
  <c r="B8" i="8"/>
  <c r="D7" i="14"/>
  <c r="G5" i="11"/>
  <c r="F5" i="11"/>
  <c r="B2" i="7" s="1"/>
  <c r="F19" i="11"/>
  <c r="B16" i="7" s="1"/>
  <c r="G19" i="11" l="1"/>
  <c r="D20" i="14"/>
  <c r="E20" i="3"/>
  <c r="I20" i="14" s="1"/>
  <c r="E21" i="3"/>
  <c r="F20" i="11"/>
  <c r="B17" i="7" s="1"/>
  <c r="F21" i="11"/>
  <c r="B18" i="7" s="1"/>
  <c r="F22" i="11"/>
  <c r="B19" i="7" s="1"/>
  <c r="F23" i="11"/>
  <c r="B20" i="7" s="1"/>
  <c r="F24" i="11"/>
  <c r="B21" i="7" s="1"/>
  <c r="F29" i="11"/>
  <c r="B26" i="7" s="1"/>
  <c r="F30" i="11"/>
  <c r="B27" i="7" s="1"/>
  <c r="F31" i="11"/>
  <c r="B28" i="7" s="1"/>
  <c r="F32" i="11"/>
  <c r="B29" i="7" s="1"/>
  <c r="F33" i="11"/>
  <c r="B30" i="7" s="1"/>
  <c r="F34" i="11"/>
  <c r="B31" i="7" s="1"/>
  <c r="F35" i="11"/>
  <c r="B32" i="7" s="1"/>
  <c r="F36" i="11"/>
  <c r="AE16" i="3"/>
  <c r="AE14" i="3"/>
  <c r="AE15" i="3"/>
  <c r="J55" i="3"/>
  <c r="J56" i="3"/>
  <c r="J57" i="3"/>
  <c r="J58" i="3"/>
  <c r="J59" i="3"/>
  <c r="J60" i="3"/>
  <c r="J61" i="3"/>
  <c r="J62" i="3"/>
  <c r="J13" i="15"/>
  <c r="F20" i="23" l="1"/>
  <c r="I21" i="14"/>
  <c r="P6" i="14"/>
  <c r="B2" i="8"/>
  <c r="L5" i="11"/>
  <c r="P9" i="14"/>
  <c r="B5" i="8"/>
  <c r="E12" i="14"/>
  <c r="H11" i="11"/>
  <c r="G36" i="11"/>
  <c r="D37" i="14"/>
  <c r="G35" i="11"/>
  <c r="D36" i="14"/>
  <c r="G34" i="11"/>
  <c r="D35" i="14"/>
  <c r="G33" i="11"/>
  <c r="D34" i="14"/>
  <c r="G32" i="11"/>
  <c r="D33" i="14"/>
  <c r="G31" i="11"/>
  <c r="D32" i="14"/>
  <c r="G30" i="11"/>
  <c r="D31" i="14"/>
  <c r="G29" i="11"/>
  <c r="D30" i="14"/>
  <c r="G28" i="11"/>
  <c r="D29" i="14"/>
  <c r="G27" i="11"/>
  <c r="D28" i="14"/>
  <c r="G26" i="11"/>
  <c r="D27" i="14"/>
  <c r="G25" i="11"/>
  <c r="D26" i="14"/>
  <c r="G24" i="11"/>
  <c r="D25" i="14"/>
  <c r="G22" i="11"/>
  <c r="D23" i="14"/>
  <c r="G23" i="11"/>
  <c r="D24" i="14"/>
  <c r="D21" i="23"/>
  <c r="G21" i="11"/>
  <c r="I21" i="11" s="1"/>
  <c r="D22" i="14"/>
  <c r="G20" i="11"/>
  <c r="I20" i="11" s="1"/>
  <c r="D21" i="14"/>
  <c r="E22" i="14"/>
  <c r="H19" i="11"/>
  <c r="I19" i="11" s="1"/>
  <c r="E20" i="14"/>
  <c r="E21" i="14"/>
  <c r="H18" i="11"/>
  <c r="E19" i="14"/>
  <c r="K10" i="3"/>
  <c r="K11" i="3"/>
  <c r="K12" i="3"/>
  <c r="K13" i="3"/>
  <c r="E75" i="20"/>
  <c r="G75" i="20" s="1"/>
  <c r="B75" i="20"/>
  <c r="D75" i="20" s="1"/>
  <c r="E74" i="20"/>
  <c r="G74" i="20" s="1"/>
  <c r="B74" i="20"/>
  <c r="D74" i="20" s="1"/>
  <c r="E73" i="20"/>
  <c r="G73" i="20" s="1"/>
  <c r="B73" i="20"/>
  <c r="D73" i="20" s="1"/>
  <c r="E72" i="20"/>
  <c r="G72" i="20" s="1"/>
  <c r="B72" i="20"/>
  <c r="D72" i="20" s="1"/>
  <c r="E71" i="20"/>
  <c r="G71" i="20" s="1"/>
  <c r="B71" i="20"/>
  <c r="D71" i="20" s="1"/>
  <c r="E70" i="20"/>
  <c r="G70" i="20" s="1"/>
  <c r="B70" i="20"/>
  <c r="D70" i="20" s="1"/>
  <c r="E69" i="20"/>
  <c r="G69" i="20" s="1"/>
  <c r="B69" i="20"/>
  <c r="D69" i="20" s="1"/>
  <c r="E68" i="20"/>
  <c r="G68" i="20" s="1"/>
  <c r="B68" i="20"/>
  <c r="D68" i="20" s="1"/>
  <c r="E67" i="20"/>
  <c r="G67" i="20" s="1"/>
  <c r="B67" i="20"/>
  <c r="D67" i="20" s="1"/>
  <c r="E66" i="20"/>
  <c r="G66" i="20" s="1"/>
  <c r="B66" i="20"/>
  <c r="D66" i="20" s="1"/>
  <c r="E65" i="20"/>
  <c r="G65" i="20" s="1"/>
  <c r="B65" i="20"/>
  <c r="D65" i="20" s="1"/>
  <c r="E64" i="20"/>
  <c r="G64" i="20" s="1"/>
  <c r="B64" i="20"/>
  <c r="D64" i="20" s="1"/>
  <c r="E63" i="20"/>
  <c r="G63" i="20" s="1"/>
  <c r="B63" i="20"/>
  <c r="D63" i="20" s="1"/>
  <c r="E62" i="20"/>
  <c r="G62" i="20" s="1"/>
  <c r="B62" i="20"/>
  <c r="D62" i="20" s="1"/>
  <c r="E61" i="20"/>
  <c r="G61" i="20" s="1"/>
  <c r="B61" i="20"/>
  <c r="D61" i="20" s="1"/>
  <c r="E60" i="20"/>
  <c r="G60" i="20" s="1"/>
  <c r="B60" i="20"/>
  <c r="D60" i="20" s="1"/>
  <c r="E59" i="20"/>
  <c r="G59" i="20" s="1"/>
  <c r="B59" i="20"/>
  <c r="D59" i="20" s="1"/>
  <c r="E58" i="20"/>
  <c r="G58" i="20" s="1"/>
  <c r="B58" i="20"/>
  <c r="D58" i="20" s="1"/>
  <c r="E57" i="20"/>
  <c r="G57" i="20" s="1"/>
  <c r="B57" i="20"/>
  <c r="D57" i="20" s="1"/>
  <c r="E56" i="20"/>
  <c r="G56" i="20" s="1"/>
  <c r="B56" i="20"/>
  <c r="D56" i="20" s="1"/>
  <c r="E55" i="20"/>
  <c r="G55" i="20" s="1"/>
  <c r="B55" i="20"/>
  <c r="D55" i="20" s="1"/>
  <c r="E54" i="20"/>
  <c r="G54" i="20" s="1"/>
  <c r="B54" i="20"/>
  <c r="D54" i="20" s="1"/>
  <c r="E53" i="20"/>
  <c r="G53" i="20" s="1"/>
  <c r="B53" i="20"/>
  <c r="D53" i="20" s="1"/>
  <c r="E39" i="20"/>
  <c r="G39" i="20" s="1"/>
  <c r="D39" i="20"/>
  <c r="E38" i="20"/>
  <c r="G38" i="20" s="1"/>
  <c r="D38" i="20"/>
  <c r="E37" i="20"/>
  <c r="G37" i="20" s="1"/>
  <c r="D37" i="20"/>
  <c r="E36" i="20"/>
  <c r="G36" i="20" s="1"/>
  <c r="D36" i="20"/>
  <c r="E35" i="20"/>
  <c r="G35" i="20" s="1"/>
  <c r="D35" i="20"/>
  <c r="E34" i="20"/>
  <c r="G34" i="20" s="1"/>
  <c r="D34" i="20"/>
  <c r="E33" i="20"/>
  <c r="G33" i="20" s="1"/>
  <c r="D33" i="20"/>
  <c r="E32" i="20"/>
  <c r="G32" i="20" s="1"/>
  <c r="D32" i="20"/>
  <c r="E31" i="20"/>
  <c r="G31" i="20" s="1"/>
  <c r="D31" i="20"/>
  <c r="E30" i="20"/>
  <c r="G30" i="20" s="1"/>
  <c r="D30" i="20"/>
  <c r="E29" i="20"/>
  <c r="G29" i="20" s="1"/>
  <c r="D29" i="20"/>
  <c r="E28" i="20"/>
  <c r="G28" i="20" s="1"/>
  <c r="D28" i="20"/>
  <c r="E27" i="20"/>
  <c r="G27" i="20" s="1"/>
  <c r="D27" i="20"/>
  <c r="E26" i="20"/>
  <c r="G26" i="20" s="1"/>
  <c r="D26" i="20"/>
  <c r="E25" i="20"/>
  <c r="G25" i="20" s="1"/>
  <c r="D25" i="20"/>
  <c r="E24" i="20"/>
  <c r="G24" i="20" s="1"/>
  <c r="D24" i="20"/>
  <c r="E23" i="20"/>
  <c r="G23" i="20" s="1"/>
  <c r="D23" i="20"/>
  <c r="E22" i="20"/>
  <c r="G22" i="20" s="1"/>
  <c r="D22" i="20"/>
  <c r="E21" i="20"/>
  <c r="G21" i="20" s="1"/>
  <c r="D21" i="20"/>
  <c r="E20" i="20"/>
  <c r="G20" i="20" s="1"/>
  <c r="D20" i="20"/>
  <c r="E19" i="20"/>
  <c r="G19" i="20" s="1"/>
  <c r="D19" i="20"/>
  <c r="E18" i="20"/>
  <c r="G18" i="20" s="1"/>
  <c r="D18" i="20"/>
  <c r="E17" i="20"/>
  <c r="G17" i="20" s="1"/>
  <c r="D17" i="20"/>
  <c r="E16" i="20"/>
  <c r="G16" i="20" s="1"/>
  <c r="D16" i="20"/>
  <c r="E15" i="20"/>
  <c r="G15" i="20" s="1"/>
  <c r="D15" i="20"/>
  <c r="E14" i="20"/>
  <c r="G14" i="20" s="1"/>
  <c r="D14" i="20"/>
  <c r="E13" i="20"/>
  <c r="G13" i="20" s="1"/>
  <c r="D13" i="20"/>
  <c r="E12" i="20"/>
  <c r="G12" i="20" s="1"/>
  <c r="D12" i="20"/>
  <c r="E11" i="20"/>
  <c r="G11" i="20" s="1"/>
  <c r="D11" i="20"/>
  <c r="E10" i="20"/>
  <c r="G10" i="20" s="1"/>
  <c r="D10" i="20"/>
  <c r="E9" i="20"/>
  <c r="G9" i="20" s="1"/>
  <c r="D9" i="20"/>
  <c r="E8" i="20"/>
  <c r="G8" i="20" s="1"/>
  <c r="D8" i="20"/>
  <c r="E7" i="20"/>
  <c r="G7" i="20" s="1"/>
  <c r="D7" i="20"/>
  <c r="E6" i="20"/>
  <c r="G6" i="20" s="1"/>
  <c r="D6" i="20"/>
  <c r="E5" i="20"/>
  <c r="G5" i="20" s="1"/>
  <c r="D5" i="20"/>
  <c r="I24" i="11" l="1"/>
  <c r="I30" i="11"/>
  <c r="I31" i="11"/>
  <c r="I22" i="11"/>
  <c r="I28" i="11"/>
  <c r="I29" i="11"/>
  <c r="I32" i="11"/>
  <c r="I23" i="11"/>
  <c r="I27" i="11"/>
  <c r="I25" i="11"/>
  <c r="I26" i="11"/>
  <c r="P17" i="18"/>
  <c r="P19" i="18"/>
  <c r="R21" i="18"/>
  <c r="P22" i="18"/>
  <c r="R24" i="18"/>
  <c r="P23" i="18"/>
  <c r="P24" i="18"/>
  <c r="P25" i="18"/>
  <c r="Q27" i="18"/>
  <c r="P26" i="18"/>
  <c r="Q28" i="18"/>
  <c r="P28" i="18"/>
  <c r="Q30" i="18"/>
  <c r="P29" i="18"/>
  <c r="Q31" i="18"/>
  <c r="P30" i="18"/>
  <c r="Q32" i="18"/>
  <c r="Q33" i="18"/>
  <c r="Q34" i="18"/>
  <c r="P33" i="18"/>
  <c r="P4" i="18"/>
  <c r="P5" i="18"/>
  <c r="P6" i="18"/>
  <c r="P7" i="18"/>
  <c r="P10" i="18"/>
  <c r="P11" i="18"/>
  <c r="P12" i="18"/>
  <c r="P13" i="18"/>
  <c r="Q35" i="18"/>
  <c r="R5" i="18"/>
  <c r="R6" i="18"/>
  <c r="R7" i="18"/>
  <c r="R8" i="18"/>
  <c r="R9" i="18"/>
  <c r="R11" i="18"/>
  <c r="R12" i="18"/>
  <c r="Q29" i="18"/>
  <c r="P3" i="18"/>
  <c r="A11" i="15" l="1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10" i="15"/>
  <c r="F42" i="15"/>
  <c r="X36" i="3"/>
  <c r="J14" i="15"/>
  <c r="P22" i="14"/>
  <c r="P23" i="14"/>
  <c r="P24" i="14"/>
  <c r="P25" i="14"/>
  <c r="P26" i="14"/>
  <c r="G31" i="15"/>
  <c r="G32" i="15"/>
  <c r="G33" i="15"/>
  <c r="G34" i="15"/>
  <c r="G35" i="15"/>
  <c r="G36" i="15"/>
  <c r="G37" i="15"/>
  <c r="G38" i="15"/>
  <c r="G39" i="15"/>
  <c r="G40" i="15"/>
  <c r="G41" i="15"/>
  <c r="J12" i="15"/>
  <c r="E42" i="15"/>
  <c r="L36" i="11" l="1"/>
  <c r="P32" i="14"/>
  <c r="P31" i="14"/>
  <c r="P30" i="14"/>
  <c r="P29" i="14"/>
  <c r="P28" i="14"/>
  <c r="P27" i="14"/>
  <c r="P17" i="14"/>
  <c r="P34" i="14"/>
  <c r="M34" i="14"/>
  <c r="P21" i="14"/>
  <c r="P16" i="14"/>
  <c r="P15" i="14"/>
  <c r="P14" i="14"/>
  <c r="P36" i="14"/>
  <c r="M36" i="14"/>
  <c r="P20" i="14"/>
  <c r="P35" i="14"/>
  <c r="M35" i="14"/>
  <c r="J11" i="15"/>
  <c r="P33" i="14"/>
  <c r="M33" i="14"/>
  <c r="P18" i="14"/>
  <c r="L35" i="11"/>
  <c r="B32" i="8"/>
  <c r="L34" i="11"/>
  <c r="B31" i="8"/>
  <c r="L33" i="11"/>
  <c r="B30" i="8"/>
  <c r="L32" i="11"/>
  <c r="B29" i="8"/>
  <c r="L31" i="11"/>
  <c r="B28" i="8"/>
  <c r="P8" i="14"/>
  <c r="B4" i="8"/>
  <c r="P7" i="14"/>
  <c r="B3" i="8"/>
  <c r="B10" i="8"/>
  <c r="L13" i="11"/>
  <c r="L12" i="11"/>
  <c r="M13" i="14"/>
  <c r="P11" i="14"/>
  <c r="B7" i="8"/>
  <c r="P10" i="14"/>
  <c r="B6" i="8"/>
  <c r="L23" i="11"/>
  <c r="B20" i="8"/>
  <c r="L22" i="11"/>
  <c r="B19" i="8"/>
  <c r="L21" i="11"/>
  <c r="B18" i="8"/>
  <c r="L20" i="11"/>
  <c r="B17" i="8"/>
  <c r="L17" i="11"/>
  <c r="B14" i="8"/>
  <c r="L28" i="11"/>
  <c r="B25" i="8"/>
  <c r="L30" i="11"/>
  <c r="B27" i="8"/>
  <c r="L29" i="11"/>
  <c r="B26" i="8"/>
  <c r="L27" i="11"/>
  <c r="B24" i="8"/>
  <c r="L26" i="11"/>
  <c r="B23" i="8"/>
  <c r="L25" i="11"/>
  <c r="B22" i="8"/>
  <c r="L24" i="11"/>
  <c r="B21" i="8"/>
  <c r="L19" i="11"/>
  <c r="B16" i="8"/>
  <c r="L16" i="11"/>
  <c r="B13" i="8"/>
  <c r="L15" i="11"/>
  <c r="B12" i="8"/>
  <c r="B11" i="8"/>
  <c r="L14" i="11"/>
  <c r="P13" i="14"/>
  <c r="B9" i="8"/>
  <c r="G42" i="15"/>
  <c r="D56" i="3" l="1"/>
  <c r="F3" i="24" l="1"/>
  <c r="F4" i="24"/>
  <c r="F5" i="24"/>
  <c r="F6" i="24"/>
  <c r="F7" i="24"/>
  <c r="F8" i="24"/>
  <c r="F9" i="24"/>
  <c r="F17" i="24"/>
  <c r="F18" i="24"/>
  <c r="F19" i="24"/>
  <c r="F20" i="24"/>
  <c r="F27" i="24"/>
  <c r="F28" i="24"/>
  <c r="F29" i="24"/>
  <c r="F30" i="24"/>
  <c r="F31" i="24"/>
  <c r="F32" i="24"/>
  <c r="F33" i="24"/>
  <c r="D35" i="23"/>
  <c r="H42" i="15"/>
  <c r="E30" i="24"/>
  <c r="E29" i="24"/>
  <c r="E26" i="24"/>
  <c r="F25" i="26" s="1"/>
  <c r="E25" i="24"/>
  <c r="F24" i="26" s="1"/>
  <c r="E22" i="24"/>
  <c r="F21" i="26" s="1"/>
  <c r="E21" i="24"/>
  <c r="E18" i="24"/>
  <c r="G11" i="11"/>
  <c r="I11" i="11" s="1"/>
  <c r="F28" i="26" l="1"/>
  <c r="F29" i="26"/>
  <c r="E6" i="14"/>
  <c r="O6" i="14" s="1"/>
  <c r="Q6" i="14" s="1"/>
  <c r="S6" i="14" s="1"/>
  <c r="C5" i="23"/>
  <c r="H5" i="11"/>
  <c r="I5" i="11" s="1"/>
  <c r="H6" i="11"/>
  <c r="D8" i="14"/>
  <c r="G7" i="11"/>
  <c r="H7" i="11"/>
  <c r="D9" i="14"/>
  <c r="G8" i="11"/>
  <c r="C8" i="23"/>
  <c r="H8" i="11"/>
  <c r="D10" i="14"/>
  <c r="G9" i="11"/>
  <c r="C9" i="23"/>
  <c r="H9" i="11"/>
  <c r="D11" i="14"/>
  <c r="G10" i="11"/>
  <c r="C10" i="23"/>
  <c r="H10" i="11"/>
  <c r="AS21" i="1"/>
  <c r="AT21" i="1" s="1"/>
  <c r="H33" i="11"/>
  <c r="I33" i="11" s="1"/>
  <c r="H34" i="11"/>
  <c r="I34" i="11" s="1"/>
  <c r="H35" i="11"/>
  <c r="I35" i="11" s="1"/>
  <c r="E36" i="14"/>
  <c r="H36" i="11"/>
  <c r="I36" i="11" s="1"/>
  <c r="E37" i="14"/>
  <c r="F16" i="24"/>
  <c r="F18" i="11"/>
  <c r="B15" i="7" s="1"/>
  <c r="G18" i="11"/>
  <c r="I18" i="11" s="1"/>
  <c r="D19" i="14"/>
  <c r="H17" i="11"/>
  <c r="E18" i="14"/>
  <c r="F15" i="24"/>
  <c r="F17" i="11"/>
  <c r="B14" i="7" s="1"/>
  <c r="G17" i="11"/>
  <c r="D18" i="14"/>
  <c r="G16" i="11"/>
  <c r="D17" i="14"/>
  <c r="H15" i="11"/>
  <c r="E16" i="14"/>
  <c r="F13" i="24"/>
  <c r="F15" i="11"/>
  <c r="B12" i="7" s="1"/>
  <c r="G15" i="11"/>
  <c r="D16" i="14"/>
  <c r="H14" i="11"/>
  <c r="E15" i="14"/>
  <c r="F12" i="24"/>
  <c r="F14" i="11"/>
  <c r="B11" i="7" s="1"/>
  <c r="G14" i="11"/>
  <c r="D15" i="14"/>
  <c r="H16" i="11"/>
  <c r="E17" i="14"/>
  <c r="H13" i="11"/>
  <c r="E14" i="14"/>
  <c r="F14" i="24"/>
  <c r="F16" i="11"/>
  <c r="B13" i="7" s="1"/>
  <c r="F11" i="24"/>
  <c r="F13" i="11"/>
  <c r="B10" i="7" s="1"/>
  <c r="G13" i="11"/>
  <c r="D14" i="14"/>
  <c r="C12" i="23"/>
  <c r="H12" i="11"/>
  <c r="E13" i="14"/>
  <c r="F10" i="24"/>
  <c r="F12" i="11"/>
  <c r="B9" i="7" s="1"/>
  <c r="G12" i="11"/>
  <c r="D13" i="14"/>
  <c r="D12" i="14"/>
  <c r="D10" i="23"/>
  <c r="D9" i="23"/>
  <c r="D8" i="23"/>
  <c r="E15" i="24"/>
  <c r="AS9" i="1"/>
  <c r="AT9" i="1" s="1"/>
  <c r="E5" i="24"/>
  <c r="C30" i="23"/>
  <c r="I30" i="24"/>
  <c r="E33" i="24"/>
  <c r="F32" i="26" s="1"/>
  <c r="D33" i="23"/>
  <c r="C33" i="23"/>
  <c r="I33" i="24"/>
  <c r="C32" i="23"/>
  <c r="I32" i="24"/>
  <c r="C31" i="23"/>
  <c r="I31" i="24"/>
  <c r="C29" i="23"/>
  <c r="I29" i="24"/>
  <c r="C28" i="23"/>
  <c r="I28" i="24"/>
  <c r="C27" i="23"/>
  <c r="I27" i="24"/>
  <c r="I3" i="24"/>
  <c r="C7" i="23"/>
  <c r="I5" i="24"/>
  <c r="I7" i="24"/>
  <c r="C11" i="23"/>
  <c r="I9" i="24"/>
  <c r="C13" i="23"/>
  <c r="I11" i="24"/>
  <c r="C15" i="23"/>
  <c r="I13" i="24"/>
  <c r="C17" i="23"/>
  <c r="I15" i="24"/>
  <c r="C21" i="23"/>
  <c r="I19" i="24"/>
  <c r="C23" i="23"/>
  <c r="C25" i="23"/>
  <c r="C6" i="23"/>
  <c r="I4" i="24"/>
  <c r="I6" i="24"/>
  <c r="I8" i="24"/>
  <c r="I10" i="24"/>
  <c r="C14" i="23"/>
  <c r="I12" i="24"/>
  <c r="C16" i="23"/>
  <c r="I14" i="24"/>
  <c r="C20" i="23"/>
  <c r="I18" i="24"/>
  <c r="I20" i="24"/>
  <c r="C22" i="23"/>
  <c r="C24" i="23"/>
  <c r="C26" i="23"/>
  <c r="I26" i="24"/>
  <c r="D6" i="23"/>
  <c r="E4" i="24"/>
  <c r="D12" i="23"/>
  <c r="E10" i="24"/>
  <c r="D16" i="23"/>
  <c r="E14" i="24"/>
  <c r="E8" i="24"/>
  <c r="F7" i="26" s="1"/>
  <c r="D5" i="23"/>
  <c r="E3" i="24"/>
  <c r="D11" i="23"/>
  <c r="E9" i="24"/>
  <c r="D13" i="23"/>
  <c r="E11" i="24"/>
  <c r="D15" i="23"/>
  <c r="E13" i="24"/>
  <c r="E6" i="24"/>
  <c r="D14" i="23"/>
  <c r="E12" i="24"/>
  <c r="E7" i="24"/>
  <c r="E19" i="24"/>
  <c r="D23" i="23"/>
  <c r="E23" i="24"/>
  <c r="F22" i="26" s="1"/>
  <c r="D27" i="23"/>
  <c r="E27" i="24"/>
  <c r="F26" i="26" s="1"/>
  <c r="D31" i="23"/>
  <c r="E31" i="24"/>
  <c r="F30" i="26" s="1"/>
  <c r="E20" i="24"/>
  <c r="D24" i="23"/>
  <c r="E24" i="24"/>
  <c r="F23" i="26" s="1"/>
  <c r="D28" i="23"/>
  <c r="E28" i="24"/>
  <c r="F27" i="26" s="1"/>
  <c r="D32" i="23"/>
  <c r="E32" i="24"/>
  <c r="F31" i="26" s="1"/>
  <c r="C19" i="23"/>
  <c r="I17" i="24"/>
  <c r="D19" i="23"/>
  <c r="E17" i="24"/>
  <c r="C18" i="23"/>
  <c r="I16" i="24"/>
  <c r="D18" i="23"/>
  <c r="E16" i="24"/>
  <c r="AS33" i="1"/>
  <c r="AT33" i="1" s="1"/>
  <c r="AS37" i="1"/>
  <c r="AT37" i="1" s="1"/>
  <c r="F32" i="14" s="1"/>
  <c r="AS44" i="1"/>
  <c r="AT44" i="1" s="1"/>
  <c r="AS43" i="1"/>
  <c r="AT43" i="1" s="1"/>
  <c r="AS29" i="1"/>
  <c r="AT29" i="1" s="1"/>
  <c r="AS41" i="1"/>
  <c r="AT41" i="1" s="1"/>
  <c r="F36" i="14" s="1"/>
  <c r="AS10" i="1"/>
  <c r="AT10" i="1" s="1"/>
  <c r="AS30" i="1"/>
  <c r="AT30" i="1" s="1"/>
  <c r="AS34" i="1"/>
  <c r="AT34" i="1" s="1"/>
  <c r="AS38" i="1"/>
  <c r="AT38" i="1" s="1"/>
  <c r="F33" i="14" s="1"/>
  <c r="D30" i="23"/>
  <c r="D26" i="23"/>
  <c r="D22" i="23"/>
  <c r="D29" i="23"/>
  <c r="D25" i="23"/>
  <c r="AS13" i="1"/>
  <c r="AT13" i="1" s="1"/>
  <c r="AS26" i="1"/>
  <c r="AT26" i="1" s="1"/>
  <c r="D7" i="23"/>
  <c r="D20" i="23"/>
  <c r="AS25" i="1"/>
  <c r="AT25" i="1" s="1"/>
  <c r="D17" i="23"/>
  <c r="AS27" i="1"/>
  <c r="AT27" i="1" s="1"/>
  <c r="AS31" i="1"/>
  <c r="AT31" i="1" s="1"/>
  <c r="AS35" i="1"/>
  <c r="AS28" i="1"/>
  <c r="AT28" i="1" s="1"/>
  <c r="AS36" i="1"/>
  <c r="AS40" i="1"/>
  <c r="AS39" i="1"/>
  <c r="B8" i="7"/>
  <c r="AS42" i="1"/>
  <c r="AS11" i="1"/>
  <c r="AT11" i="1" s="1"/>
  <c r="AS14" i="1"/>
  <c r="AT14" i="1" s="1"/>
  <c r="AS15" i="1"/>
  <c r="AT15" i="1" s="1"/>
  <c r="AS16" i="1"/>
  <c r="AT16" i="1" s="1"/>
  <c r="AS17" i="1"/>
  <c r="AT17" i="1" s="1"/>
  <c r="AT18" i="1"/>
  <c r="AT19" i="1"/>
  <c r="AS20" i="1"/>
  <c r="AT20" i="1" s="1"/>
  <c r="AS22" i="1"/>
  <c r="AT22" i="1" s="1"/>
  <c r="AS23" i="1"/>
  <c r="AT23" i="1" s="1"/>
  <c r="AS24" i="1"/>
  <c r="AT24" i="1" s="1"/>
  <c r="D12" i="1" l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I14" i="11"/>
  <c r="I17" i="11"/>
  <c r="I16" i="11"/>
  <c r="I13" i="11"/>
  <c r="I12" i="11"/>
  <c r="I15" i="11"/>
  <c r="AT42" i="1"/>
  <c r="F37" i="14" s="1"/>
  <c r="AT36" i="1"/>
  <c r="AT40" i="1"/>
  <c r="F35" i="14" s="1"/>
  <c r="AT35" i="1"/>
  <c r="AT39" i="1"/>
  <c r="F34" i="14" s="1"/>
  <c r="AS45" i="1"/>
  <c r="AS47" i="1" s="1"/>
  <c r="AS48" i="1" s="1"/>
  <c r="B37" i="12"/>
  <c r="AF37" i="13"/>
  <c r="AG37" i="13"/>
  <c r="AH37" i="13"/>
  <c r="Y37" i="13"/>
  <c r="Z37" i="13" s="1"/>
  <c r="AA37" i="13" s="1"/>
  <c r="U37" i="13"/>
  <c r="V37" i="13" s="1"/>
  <c r="Q37" i="13"/>
  <c r="R37" i="13" s="1"/>
  <c r="A37" i="12"/>
  <c r="AH5" i="3"/>
  <c r="AH6" i="3"/>
  <c r="AE5" i="3"/>
  <c r="AB5" i="3"/>
  <c r="Y5" i="3"/>
  <c r="V5" i="3"/>
  <c r="V6" i="3"/>
  <c r="O5" i="3"/>
  <c r="O6" i="3"/>
  <c r="L5" i="3"/>
  <c r="L6" i="3"/>
  <c r="K6" i="3"/>
  <c r="I5" i="3"/>
  <c r="I6" i="3"/>
  <c r="F5" i="3"/>
  <c r="F6" i="3"/>
  <c r="D34" i="23"/>
  <c r="C34" i="23"/>
  <c r="AG10" i="3"/>
  <c r="AG12" i="3"/>
  <c r="AG21" i="3"/>
  <c r="AG28" i="3"/>
  <c r="U24" i="25" s="1"/>
  <c r="AG29" i="3"/>
  <c r="U25" i="25" s="1"/>
  <c r="AG30" i="3"/>
  <c r="AG31" i="3"/>
  <c r="AG32" i="3"/>
  <c r="AG33" i="3"/>
  <c r="AG34" i="3"/>
  <c r="AG35" i="3"/>
  <c r="AG36" i="3"/>
  <c r="AD7" i="3"/>
  <c r="AD8" i="3"/>
  <c r="AD9" i="3"/>
  <c r="AD10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6" i="3"/>
  <c r="D46" i="3"/>
  <c r="H46" i="3"/>
  <c r="J46" i="3"/>
  <c r="AD38" i="3" l="1"/>
  <c r="AT45" i="1"/>
  <c r="AC19" i="13"/>
  <c r="H18" i="23" s="1"/>
  <c r="AC20" i="13"/>
  <c r="H19" i="23" s="1"/>
  <c r="AC21" i="13"/>
  <c r="H20" i="23" s="1"/>
  <c r="AC22" i="13"/>
  <c r="H21" i="23" s="1"/>
  <c r="L15" i="3"/>
  <c r="L16" i="3"/>
  <c r="L17" i="3"/>
  <c r="L18" i="3"/>
  <c r="L19" i="3"/>
  <c r="L20" i="3"/>
  <c r="L21" i="3"/>
  <c r="L22" i="3"/>
  <c r="AJ9" i="3" l="1"/>
  <c r="AJ10" i="3"/>
  <c r="AJ11" i="3"/>
  <c r="AJ12" i="3"/>
  <c r="AJ13" i="3"/>
  <c r="AJ14" i="3"/>
  <c r="AJ15" i="3"/>
  <c r="AJ16" i="3"/>
  <c r="AJ17" i="3"/>
  <c r="AJ18" i="3"/>
  <c r="AJ19" i="3"/>
  <c r="AJ21" i="3"/>
  <c r="AJ22" i="3"/>
  <c r="AJ23" i="3"/>
  <c r="AJ24" i="3"/>
  <c r="AJ25" i="3"/>
  <c r="AJ26" i="3"/>
  <c r="AJ27" i="3"/>
  <c r="AJ28" i="3"/>
  <c r="AJ29" i="3"/>
  <c r="AJ30" i="3"/>
  <c r="AJ31" i="3"/>
  <c r="AJ32" i="3"/>
  <c r="AJ33" i="3"/>
  <c r="AJ34" i="3"/>
  <c r="AJ35" i="3"/>
  <c r="AJ36" i="3"/>
  <c r="AH36" i="3"/>
  <c r="AH35" i="3"/>
  <c r="AH34" i="3"/>
  <c r="AH33" i="3"/>
  <c r="AH32" i="3"/>
  <c r="AH31" i="3"/>
  <c r="AH30" i="3"/>
  <c r="AH29" i="3"/>
  <c r="AH28" i="3"/>
  <c r="AH27" i="3"/>
  <c r="AH26" i="3"/>
  <c r="AH25" i="3"/>
  <c r="AH24" i="3"/>
  <c r="AH23" i="3"/>
  <c r="AH22" i="3"/>
  <c r="AH21" i="3"/>
  <c r="AH20" i="3"/>
  <c r="AH19" i="3"/>
  <c r="AH18" i="3"/>
  <c r="AH17" i="3"/>
  <c r="AH16" i="3"/>
  <c r="AH15" i="3"/>
  <c r="AH14" i="3"/>
  <c r="AH13" i="3"/>
  <c r="AH12" i="3"/>
  <c r="AH11" i="3"/>
  <c r="AH10" i="3"/>
  <c r="AH7" i="3"/>
  <c r="AJ38" i="3" l="1"/>
  <c r="J7" i="18"/>
  <c r="J8" i="18"/>
  <c r="J9" i="18"/>
  <c r="J10" i="18"/>
  <c r="J11" i="18"/>
  <c r="J14" i="18"/>
  <c r="J15" i="18"/>
  <c r="J16" i="18"/>
  <c r="J17" i="18"/>
  <c r="J18" i="18"/>
  <c r="J19" i="18"/>
  <c r="J21" i="18"/>
  <c r="J24" i="18"/>
  <c r="J25" i="18"/>
  <c r="J26" i="18"/>
  <c r="J27" i="18"/>
  <c r="J28" i="18"/>
  <c r="J29" i="18"/>
  <c r="J30" i="18"/>
  <c r="J31" i="18"/>
  <c r="J32" i="18"/>
  <c r="J34" i="18"/>
  <c r="K7" i="3"/>
  <c r="N7" i="3"/>
  <c r="J4" i="18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5" i="10"/>
  <c r="L7" i="10"/>
  <c r="L8" i="10"/>
  <c r="L9" i="10"/>
  <c r="L25" i="10"/>
  <c r="L26" i="10"/>
  <c r="L27" i="10"/>
  <c r="L28" i="10"/>
  <c r="L29" i="10"/>
  <c r="L30" i="10"/>
  <c r="L31" i="10"/>
  <c r="L32" i="10"/>
  <c r="L33" i="10"/>
  <c r="L34" i="10"/>
  <c r="L35" i="10"/>
  <c r="L5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" i="18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" i="24"/>
  <c r="A6" i="23"/>
  <c r="A7" i="23"/>
  <c r="A8" i="23"/>
  <c r="A9" i="23"/>
  <c r="A10" i="23"/>
  <c r="A11" i="23"/>
  <c r="A12" i="23"/>
  <c r="A13" i="23"/>
  <c r="A14" i="23"/>
  <c r="A15" i="23"/>
  <c r="A16" i="23"/>
  <c r="A17" i="23"/>
  <c r="A18" i="23"/>
  <c r="A19" i="23"/>
  <c r="A5" i="23"/>
  <c r="A2" i="23" s="1"/>
  <c r="K24" i="18"/>
  <c r="K25" i="18"/>
  <c r="K26" i="18"/>
  <c r="K27" i="18"/>
  <c r="K28" i="18"/>
  <c r="K29" i="18"/>
  <c r="K30" i="18"/>
  <c r="K31" i="18"/>
  <c r="A6" i="10"/>
  <c r="A7" i="10"/>
  <c r="A5" i="10"/>
  <c r="A3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2" i="9"/>
  <c r="N8" i="3"/>
  <c r="N9" i="3"/>
  <c r="N6" i="3" l="1"/>
  <c r="F31" i="3"/>
  <c r="G6" i="10"/>
  <c r="G7" i="10"/>
  <c r="G8" i="10"/>
  <c r="G9" i="10"/>
  <c r="G10" i="10"/>
  <c r="G11" i="10"/>
  <c r="G12" i="10"/>
  <c r="G13" i="10"/>
  <c r="G14" i="10"/>
  <c r="F30" i="10"/>
  <c r="F29" i="10"/>
  <c r="F30" i="3"/>
  <c r="F29" i="3"/>
  <c r="G35" i="10" l="1"/>
  <c r="G33" i="10"/>
  <c r="G29" i="10"/>
  <c r="G25" i="10"/>
  <c r="G21" i="10"/>
  <c r="G17" i="10"/>
  <c r="G34" i="10"/>
  <c r="G30" i="10"/>
  <c r="G26" i="10"/>
  <c r="G22" i="10"/>
  <c r="G18" i="10"/>
  <c r="G31" i="10"/>
  <c r="G27" i="10"/>
  <c r="G23" i="10"/>
  <c r="G19" i="10"/>
  <c r="G32" i="10"/>
  <c r="G28" i="10"/>
  <c r="G24" i="10"/>
  <c r="G20" i="10"/>
  <c r="G16" i="10"/>
  <c r="G15" i="10"/>
  <c r="F28" i="3"/>
  <c r="F27" i="3"/>
  <c r="H26" i="3"/>
  <c r="AE20" i="3"/>
  <c r="AE19" i="3"/>
  <c r="AE18" i="3"/>
  <c r="AE17" i="3"/>
  <c r="AB8" i="3"/>
  <c r="AB9" i="3"/>
  <c r="AB10" i="3"/>
  <c r="AB11" i="3"/>
  <c r="AB12" i="3"/>
  <c r="AB13" i="3"/>
  <c r="AB14" i="3"/>
  <c r="AB15" i="3"/>
  <c r="AB16" i="3"/>
  <c r="AB17" i="3"/>
  <c r="AB19" i="3"/>
  <c r="AB20" i="3"/>
  <c r="AB21" i="3"/>
  <c r="AB22" i="3"/>
  <c r="AB23" i="3"/>
  <c r="AB24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E12" i="3"/>
  <c r="H27" i="3" l="1"/>
  <c r="AE13" i="3"/>
  <c r="R4" i="18"/>
  <c r="AB6" i="3"/>
  <c r="AB7" i="3" l="1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2" i="8"/>
  <c r="AG17" i="13"/>
  <c r="AG18" i="13"/>
  <c r="AG19" i="13"/>
  <c r="AG20" i="13"/>
  <c r="AG21" i="13"/>
  <c r="AG22" i="13"/>
  <c r="AG23" i="13"/>
  <c r="Q15" i="3"/>
  <c r="Q16" i="3"/>
  <c r="Q17" i="3"/>
  <c r="Q18" i="3"/>
  <c r="Q19" i="3"/>
  <c r="Q20" i="3"/>
  <c r="Q21" i="3"/>
  <c r="Q22" i="3"/>
  <c r="Q24" i="3"/>
  <c r="Q25" i="3"/>
  <c r="Q26" i="3"/>
  <c r="Q27" i="3"/>
  <c r="O16" i="3"/>
  <c r="O17" i="3"/>
  <c r="O19" i="3"/>
  <c r="O21" i="3"/>
  <c r="O22" i="3"/>
  <c r="O23" i="3"/>
  <c r="O24" i="3"/>
  <c r="O25" i="3"/>
  <c r="H6" i="3"/>
  <c r="H7" i="3"/>
  <c r="H8" i="3"/>
  <c r="H9" i="3"/>
  <c r="H10" i="3"/>
  <c r="H11" i="3"/>
  <c r="H12" i="3"/>
  <c r="H13" i="3"/>
  <c r="H18" i="3"/>
  <c r="H19" i="3"/>
  <c r="H20" i="3"/>
  <c r="H21" i="3"/>
  <c r="H22" i="3"/>
  <c r="H23" i="3"/>
  <c r="F7" i="3"/>
  <c r="F9" i="3"/>
  <c r="F10" i="3"/>
  <c r="F11" i="3"/>
  <c r="F12" i="3"/>
  <c r="F13" i="3"/>
  <c r="F14" i="3"/>
  <c r="F15" i="3"/>
  <c r="F18" i="3"/>
  <c r="F19" i="3"/>
  <c r="F20" i="3"/>
  <c r="F21" i="3"/>
  <c r="F22" i="3"/>
  <c r="F23" i="3"/>
  <c r="AC23" i="13"/>
  <c r="K20" i="12"/>
  <c r="M20" i="12" s="1"/>
  <c r="K21" i="12"/>
  <c r="M21" i="12" s="1"/>
  <c r="K22" i="12"/>
  <c r="M22" i="12" s="1"/>
  <c r="K23" i="12"/>
  <c r="M23" i="12" s="1"/>
  <c r="K24" i="12"/>
  <c r="M24" i="12" s="1"/>
  <c r="K25" i="12"/>
  <c r="M25" i="12" s="1"/>
  <c r="K26" i="12"/>
  <c r="M26" i="12" s="1"/>
  <c r="K27" i="12"/>
  <c r="M27" i="12" s="1"/>
  <c r="K16" i="12"/>
  <c r="M16" i="12" s="1"/>
  <c r="K17" i="12"/>
  <c r="M17" i="12" s="1"/>
  <c r="K18" i="12"/>
  <c r="M18" i="12" s="1"/>
  <c r="K19" i="12"/>
  <c r="M19" i="12" s="1"/>
  <c r="K15" i="12"/>
  <c r="M15" i="12" s="1"/>
  <c r="AA9" i="18"/>
  <c r="AA10" i="18"/>
  <c r="AA12" i="18"/>
  <c r="AA13" i="18"/>
  <c r="AA14" i="18"/>
  <c r="AA16" i="18"/>
  <c r="AA17" i="18"/>
  <c r="AA18" i="18"/>
  <c r="AA20" i="18"/>
  <c r="AA22" i="18"/>
  <c r="AA23" i="18"/>
  <c r="AA24" i="18"/>
  <c r="AA25" i="18"/>
  <c r="AA26" i="18"/>
  <c r="AA28" i="18"/>
  <c r="AA29" i="18"/>
  <c r="AA30" i="18"/>
  <c r="AA32" i="18"/>
  <c r="K5" i="18"/>
  <c r="K6" i="18"/>
  <c r="K8" i="18"/>
  <c r="K9" i="18"/>
  <c r="K10" i="18"/>
  <c r="K11" i="18"/>
  <c r="K12" i="18"/>
  <c r="L12" i="18" s="1"/>
  <c r="K14" i="18"/>
  <c r="K15" i="18"/>
  <c r="K16" i="18"/>
  <c r="L16" i="18" s="1"/>
  <c r="K17" i="18"/>
  <c r="K18" i="18"/>
  <c r="K19" i="18"/>
  <c r="K20" i="18"/>
  <c r="K21" i="18"/>
  <c r="K22" i="18"/>
  <c r="K23" i="18"/>
  <c r="K32" i="18"/>
  <c r="K33" i="18"/>
  <c r="K34" i="18"/>
  <c r="K35" i="18"/>
  <c r="AA34" i="18" l="1"/>
  <c r="AC34" i="18" s="1"/>
  <c r="AA33" i="18"/>
  <c r="AC33" i="18" s="1"/>
  <c r="AC32" i="18"/>
  <c r="AC29" i="18"/>
  <c r="AC31" i="18"/>
  <c r="AC30" i="18"/>
  <c r="AC28" i="18"/>
  <c r="AC25" i="18"/>
  <c r="AC24" i="18"/>
  <c r="AC23" i="18"/>
  <c r="AC22" i="18"/>
  <c r="AA27" i="18"/>
  <c r="AC27" i="18" s="1"/>
  <c r="AC26" i="18"/>
  <c r="AC16" i="18"/>
  <c r="AC19" i="18"/>
  <c r="AC18" i="18"/>
  <c r="AC15" i="18"/>
  <c r="AA21" i="18"/>
  <c r="AC21" i="18" s="1"/>
  <c r="AC20" i="18"/>
  <c r="AC14" i="18"/>
  <c r="AC12" i="18"/>
  <c r="AC9" i="18"/>
  <c r="AA11" i="18"/>
  <c r="AC11" i="18" s="1"/>
  <c r="AC10" i="18"/>
  <c r="AC6" i="18"/>
  <c r="K18" i="14"/>
  <c r="K19" i="14"/>
  <c r="K20" i="14"/>
  <c r="D58" i="3"/>
  <c r="N17" i="12"/>
  <c r="E16" i="3"/>
  <c r="I16" i="14" s="1"/>
  <c r="K14" i="3"/>
  <c r="K15" i="3"/>
  <c r="K16" i="3"/>
  <c r="K17" i="3"/>
  <c r="K18" i="3"/>
  <c r="K19" i="3"/>
  <c r="K20" i="3"/>
  <c r="K21" i="3"/>
  <c r="K27" i="3"/>
  <c r="U6" i="3"/>
  <c r="U7" i="3"/>
  <c r="K4" i="18"/>
  <c r="K3" i="18"/>
  <c r="AB4" i="18"/>
  <c r="AC35" i="18"/>
  <c r="P34" i="18"/>
  <c r="P35" i="18"/>
  <c r="D47" i="3"/>
  <c r="D48" i="3"/>
  <c r="D49" i="3"/>
  <c r="D50" i="3"/>
  <c r="D51" i="3"/>
  <c r="D52" i="3"/>
  <c r="D53" i="3"/>
  <c r="D54" i="3"/>
  <c r="D55" i="3"/>
  <c r="D57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AC4" i="18" l="1"/>
  <c r="AA5" i="18"/>
  <c r="AC5" i="18" s="1"/>
  <c r="K15" i="10"/>
  <c r="F15" i="23"/>
  <c r="S12" i="18"/>
  <c r="S9" i="18"/>
  <c r="S10" i="18"/>
  <c r="S8" i="18"/>
  <c r="S7" i="18"/>
  <c r="A6" i="14" l="1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S18" i="18"/>
  <c r="S19" i="18"/>
  <c r="S20" i="18"/>
  <c r="S21" i="18"/>
  <c r="S17" i="18"/>
  <c r="S22" i="18"/>
  <c r="S23" i="18"/>
  <c r="S24" i="18"/>
  <c r="S25" i="18"/>
  <c r="S27" i="18"/>
  <c r="S28" i="18"/>
  <c r="S29" i="18"/>
  <c r="S30" i="18"/>
  <c r="S31" i="18"/>
  <c r="S32" i="18"/>
  <c r="S33" i="18"/>
  <c r="S16" i="18"/>
  <c r="S13" i="18"/>
  <c r="S11" i="18"/>
  <c r="S15" i="18" l="1"/>
  <c r="S34" i="18"/>
  <c r="K9" i="12"/>
  <c r="M9" i="12" s="1"/>
  <c r="K10" i="13" l="1"/>
  <c r="K11" i="13"/>
  <c r="K8" i="13"/>
  <c r="K9" i="13"/>
  <c r="S6" i="18"/>
  <c r="L6" i="10"/>
  <c r="S5" i="18"/>
  <c r="G5" i="10"/>
  <c r="B34" i="24"/>
  <c r="A37" i="13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2" i="7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46" i="3"/>
  <c r="S4" i="18" l="1"/>
  <c r="S35" i="18"/>
  <c r="F9" i="10"/>
  <c r="F11" i="10"/>
  <c r="F12" i="10"/>
  <c r="F14" i="10"/>
  <c r="F15" i="10"/>
  <c r="F16" i="10"/>
  <c r="F18" i="10"/>
  <c r="F19" i="10"/>
  <c r="F20" i="10"/>
  <c r="F22" i="10"/>
  <c r="F33" i="10"/>
  <c r="F34" i="10"/>
  <c r="F35" i="10"/>
  <c r="F32" i="10" l="1"/>
  <c r="F21" i="10"/>
  <c r="F31" i="10"/>
  <c r="F28" i="10"/>
  <c r="K7" i="13"/>
  <c r="K13" i="13"/>
  <c r="F11" i="14"/>
  <c r="F8" i="14"/>
  <c r="K6" i="13"/>
  <c r="K12" i="13"/>
  <c r="F17" i="10"/>
  <c r="F13" i="10"/>
  <c r="F10" i="10"/>
  <c r="F8" i="10"/>
  <c r="F7" i="10"/>
  <c r="F6" i="10"/>
  <c r="F5" i="10"/>
  <c r="F16" i="14" l="1"/>
  <c r="F15" i="14"/>
  <c r="F10" i="14"/>
  <c r="F13" i="14"/>
  <c r="F14" i="14"/>
  <c r="F7" i="14"/>
  <c r="F9" i="14"/>
  <c r="F6" i="14"/>
  <c r="F12" i="14"/>
  <c r="K14" i="10"/>
  <c r="K13" i="10" l="1"/>
  <c r="K13" i="11"/>
  <c r="J50" i="3"/>
  <c r="J51" i="3"/>
  <c r="J52" i="3"/>
  <c r="J53" i="3"/>
  <c r="J54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70" i="3"/>
  <c r="H71" i="3"/>
  <c r="H72" i="3"/>
  <c r="H73" i="3"/>
  <c r="H74" i="3"/>
  <c r="H75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K65" i="3" s="1"/>
  <c r="F66" i="3"/>
  <c r="F67" i="3"/>
  <c r="F68" i="3"/>
  <c r="F69" i="3"/>
  <c r="F71" i="3"/>
  <c r="K71" i="3" s="1"/>
  <c r="F72" i="3"/>
  <c r="F73" i="3"/>
  <c r="F74" i="3"/>
  <c r="F75" i="3"/>
  <c r="K75" i="3" s="1"/>
  <c r="F76" i="3"/>
  <c r="D73" i="3"/>
  <c r="D74" i="3"/>
  <c r="D76" i="3"/>
  <c r="K76" i="3" s="1"/>
  <c r="H47" i="3"/>
  <c r="H48" i="3"/>
  <c r="H49" i="3"/>
  <c r="F47" i="3"/>
  <c r="F48" i="3"/>
  <c r="F49" i="3"/>
  <c r="K60" i="3" l="1"/>
  <c r="L24" i="10"/>
  <c r="L23" i="10" l="1"/>
  <c r="L22" i="10"/>
  <c r="L21" i="10"/>
  <c r="L20" i="10"/>
  <c r="L17" i="10"/>
  <c r="L16" i="10"/>
  <c r="L14" i="10"/>
  <c r="L15" i="10"/>
  <c r="L13" i="10"/>
  <c r="L12" i="10"/>
  <c r="L11" i="10"/>
  <c r="L10" i="10"/>
  <c r="L18" i="10"/>
  <c r="L19" i="10"/>
  <c r="E7" i="3"/>
  <c r="I7" i="14" s="1"/>
  <c r="I8" i="14"/>
  <c r="I9" i="14"/>
  <c r="Q7" i="3"/>
  <c r="R7" i="3" s="1"/>
  <c r="Q8" i="3"/>
  <c r="R8" i="3" s="1"/>
  <c r="Q9" i="3"/>
  <c r="R9" i="3" s="1"/>
  <c r="Q10" i="3"/>
  <c r="Q11" i="3"/>
  <c r="Q12" i="3"/>
  <c r="Q13" i="3"/>
  <c r="Q14" i="3"/>
  <c r="O7" i="3"/>
  <c r="O8" i="3"/>
  <c r="O9" i="3"/>
  <c r="O10" i="3"/>
  <c r="O11" i="3"/>
  <c r="O14" i="3"/>
  <c r="N10" i="3"/>
  <c r="N11" i="3"/>
  <c r="N12" i="3"/>
  <c r="N13" i="3"/>
  <c r="N14" i="3"/>
  <c r="N15" i="3"/>
  <c r="R15" i="3" s="1"/>
  <c r="N16" i="3"/>
  <c r="R16" i="3" s="1"/>
  <c r="N17" i="3"/>
  <c r="R17" i="3" s="1"/>
  <c r="N18" i="3"/>
  <c r="R18" i="3" s="1"/>
  <c r="N19" i="3"/>
  <c r="R19" i="3" s="1"/>
  <c r="N20" i="3"/>
  <c r="R20" i="3" s="1"/>
  <c r="N21" i="3"/>
  <c r="R21" i="3" s="1"/>
  <c r="N22" i="3"/>
  <c r="R22" i="3" s="1"/>
  <c r="N23" i="3"/>
  <c r="R23" i="3" s="1"/>
  <c r="N24" i="3"/>
  <c r="R24" i="3" s="1"/>
  <c r="L7" i="3"/>
  <c r="L8" i="3"/>
  <c r="L9" i="3"/>
  <c r="L10" i="3"/>
  <c r="L11" i="3"/>
  <c r="L12" i="3"/>
  <c r="L13" i="3"/>
  <c r="L14" i="3"/>
  <c r="L23" i="3"/>
  <c r="L24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H25" i="3"/>
  <c r="R14" i="3" l="1"/>
  <c r="R13" i="3"/>
  <c r="R12" i="3"/>
  <c r="R11" i="3"/>
  <c r="R10" i="3"/>
  <c r="F8" i="23"/>
  <c r="K8" i="10"/>
  <c r="F7" i="23"/>
  <c r="K7" i="10"/>
  <c r="F6" i="23"/>
  <c r="K6" i="10"/>
  <c r="F5" i="23"/>
  <c r="K5" i="10"/>
  <c r="V4" i="18"/>
  <c r="D4" i="18"/>
  <c r="F4" i="18" s="1"/>
  <c r="W7" i="12"/>
  <c r="Y7" i="12" s="1"/>
  <c r="W8" i="12"/>
  <c r="Y8" i="12" s="1"/>
  <c r="W9" i="12"/>
  <c r="Y9" i="12" s="1"/>
  <c r="W10" i="12"/>
  <c r="Y10" i="12" s="1"/>
  <c r="W11" i="12"/>
  <c r="Y11" i="12" s="1"/>
  <c r="W12" i="12"/>
  <c r="Y12" i="12" s="1"/>
  <c r="W13" i="12"/>
  <c r="Y13" i="12" s="1"/>
  <c r="W14" i="12"/>
  <c r="Y14" i="12" s="1"/>
  <c r="W15" i="12"/>
  <c r="Y15" i="12" s="1"/>
  <c r="W16" i="12"/>
  <c r="Y16" i="12" s="1"/>
  <c r="W17" i="12"/>
  <c r="Y17" i="12" s="1"/>
  <c r="W18" i="12"/>
  <c r="Y18" i="12" s="1"/>
  <c r="W19" i="12"/>
  <c r="Y19" i="12" s="1"/>
  <c r="W20" i="12"/>
  <c r="Y20" i="12" s="1"/>
  <c r="W21" i="12"/>
  <c r="Y21" i="12" s="1"/>
  <c r="W22" i="12"/>
  <c r="Y22" i="12" s="1"/>
  <c r="W23" i="12"/>
  <c r="Y23" i="12" s="1"/>
  <c r="W24" i="12"/>
  <c r="Y24" i="12" s="1"/>
  <c r="W25" i="12"/>
  <c r="Y25" i="12" s="1"/>
  <c r="W26" i="12"/>
  <c r="Y26" i="12" s="1"/>
  <c r="W27" i="12"/>
  <c r="Y27" i="12" s="1"/>
  <c r="W28" i="12"/>
  <c r="Y28" i="12" s="1"/>
  <c r="W29" i="12"/>
  <c r="Y29" i="12" s="1"/>
  <c r="W30" i="12"/>
  <c r="Y30" i="12" s="1"/>
  <c r="W31" i="12"/>
  <c r="Y31" i="12" s="1"/>
  <c r="W32" i="12"/>
  <c r="Y32" i="12" s="1"/>
  <c r="W33" i="12"/>
  <c r="Y33" i="12" s="1"/>
  <c r="W34" i="12"/>
  <c r="Y34" i="12" s="1"/>
  <c r="W35" i="12"/>
  <c r="Y35" i="12" s="1"/>
  <c r="W36" i="12"/>
  <c r="Y36" i="12" s="1"/>
  <c r="W37" i="12"/>
  <c r="Y37" i="12" s="1"/>
  <c r="T7" i="12"/>
  <c r="V7" i="12" s="1"/>
  <c r="T8" i="12"/>
  <c r="V8" i="12" s="1"/>
  <c r="T9" i="12"/>
  <c r="V9" i="12" s="1"/>
  <c r="T10" i="12"/>
  <c r="V10" i="12" s="1"/>
  <c r="T11" i="12"/>
  <c r="V11" i="12" s="1"/>
  <c r="T12" i="12"/>
  <c r="V12" i="12" s="1"/>
  <c r="T13" i="12"/>
  <c r="V13" i="12" s="1"/>
  <c r="T14" i="12"/>
  <c r="V14" i="12" s="1"/>
  <c r="T16" i="12"/>
  <c r="V16" i="12" s="1"/>
  <c r="T17" i="12"/>
  <c r="V17" i="12" s="1"/>
  <c r="T18" i="12"/>
  <c r="V18" i="12" s="1"/>
  <c r="T19" i="12"/>
  <c r="V19" i="12" s="1"/>
  <c r="T20" i="12"/>
  <c r="V20" i="12" s="1"/>
  <c r="T21" i="12"/>
  <c r="V21" i="12" s="1"/>
  <c r="T22" i="12"/>
  <c r="V22" i="12" s="1"/>
  <c r="T23" i="12"/>
  <c r="V23" i="12" s="1"/>
  <c r="T24" i="12"/>
  <c r="V24" i="12" s="1"/>
  <c r="T25" i="12"/>
  <c r="V25" i="12" s="1"/>
  <c r="T26" i="12"/>
  <c r="V26" i="12" s="1"/>
  <c r="T27" i="12"/>
  <c r="V27" i="12" s="1"/>
  <c r="T28" i="12"/>
  <c r="V28" i="12" s="1"/>
  <c r="T29" i="12"/>
  <c r="V29" i="12" s="1"/>
  <c r="T30" i="12"/>
  <c r="V30" i="12" s="1"/>
  <c r="T31" i="12"/>
  <c r="V31" i="12" s="1"/>
  <c r="T32" i="12"/>
  <c r="V32" i="12" s="1"/>
  <c r="T33" i="12"/>
  <c r="V33" i="12" s="1"/>
  <c r="T34" i="12"/>
  <c r="V34" i="12" s="1"/>
  <c r="T35" i="12"/>
  <c r="V35" i="12" s="1"/>
  <c r="T36" i="12"/>
  <c r="V36" i="12" s="1"/>
  <c r="T37" i="12"/>
  <c r="V37" i="12" s="1"/>
  <c r="Q7" i="12"/>
  <c r="S7" i="12" s="1"/>
  <c r="Q8" i="12"/>
  <c r="S8" i="12" s="1"/>
  <c r="Q9" i="12"/>
  <c r="S9" i="12" s="1"/>
  <c r="Q10" i="12"/>
  <c r="S10" i="12" s="1"/>
  <c r="Q11" i="12"/>
  <c r="S11" i="12" s="1"/>
  <c r="Q12" i="12"/>
  <c r="S12" i="12" s="1"/>
  <c r="Q13" i="12"/>
  <c r="S13" i="12" s="1"/>
  <c r="S15" i="12"/>
  <c r="Q16" i="12"/>
  <c r="S16" i="12" s="1"/>
  <c r="Q17" i="12"/>
  <c r="S17" i="12" s="1"/>
  <c r="Q18" i="12"/>
  <c r="S18" i="12" s="1"/>
  <c r="Q19" i="12"/>
  <c r="S19" i="12" s="1"/>
  <c r="Q20" i="12"/>
  <c r="S20" i="12" s="1"/>
  <c r="Q21" i="12"/>
  <c r="S21" i="12" s="1"/>
  <c r="Q22" i="12"/>
  <c r="S22" i="12" s="1"/>
  <c r="Q23" i="12"/>
  <c r="S23" i="12" s="1"/>
  <c r="Q24" i="12"/>
  <c r="S24" i="12" s="1"/>
  <c r="Q25" i="12"/>
  <c r="S25" i="12" s="1"/>
  <c r="Q26" i="12"/>
  <c r="S26" i="12" s="1"/>
  <c r="Q27" i="12"/>
  <c r="S27" i="12" s="1"/>
  <c r="Q28" i="12"/>
  <c r="S28" i="12" s="1"/>
  <c r="Q29" i="12"/>
  <c r="S29" i="12" s="1"/>
  <c r="Q30" i="12"/>
  <c r="S30" i="12" s="1"/>
  <c r="Q31" i="12"/>
  <c r="S31" i="12" s="1"/>
  <c r="Q32" i="12"/>
  <c r="S32" i="12" s="1"/>
  <c r="Q33" i="12"/>
  <c r="S33" i="12" s="1"/>
  <c r="S35" i="12"/>
  <c r="Q36" i="12"/>
  <c r="S36" i="12" s="1"/>
  <c r="Q37" i="12"/>
  <c r="N7" i="12"/>
  <c r="P7" i="12" s="1"/>
  <c r="N8" i="12"/>
  <c r="P8" i="12" s="1"/>
  <c r="N9" i="12"/>
  <c r="P9" i="12" s="1"/>
  <c r="N10" i="12"/>
  <c r="P10" i="12" s="1"/>
  <c r="N11" i="12"/>
  <c r="P11" i="12" s="1"/>
  <c r="N12" i="12"/>
  <c r="P12" i="12" s="1"/>
  <c r="N14" i="12"/>
  <c r="N16" i="12"/>
  <c r="N18" i="12"/>
  <c r="N19" i="12"/>
  <c r="N20" i="12"/>
  <c r="N21" i="12"/>
  <c r="N22" i="12"/>
  <c r="N23" i="12"/>
  <c r="N24" i="12"/>
  <c r="P24" i="12" s="1"/>
  <c r="N25" i="12"/>
  <c r="P25" i="12" s="1"/>
  <c r="N26" i="12"/>
  <c r="P26" i="12" s="1"/>
  <c r="N27" i="12"/>
  <c r="P27" i="12" s="1"/>
  <c r="N28" i="12"/>
  <c r="P28" i="12" s="1"/>
  <c r="N29" i="12"/>
  <c r="P29" i="12" s="1"/>
  <c r="N30" i="12"/>
  <c r="P30" i="12" s="1"/>
  <c r="N31" i="12"/>
  <c r="P31" i="12" s="1"/>
  <c r="N32" i="12"/>
  <c r="P32" i="12" s="1"/>
  <c r="N33" i="12"/>
  <c r="P33" i="12" s="1"/>
  <c r="N34" i="12"/>
  <c r="P34" i="12" s="1"/>
  <c r="N35" i="12"/>
  <c r="P35" i="12" s="1"/>
  <c r="N36" i="12"/>
  <c r="P36" i="12" s="1"/>
  <c r="N37" i="12"/>
  <c r="P37" i="12" s="1"/>
  <c r="K7" i="12"/>
  <c r="M7" i="12" s="1"/>
  <c r="Z7" i="12" s="1"/>
  <c r="K8" i="12"/>
  <c r="M8" i="12" s="1"/>
  <c r="Z8" i="12" s="1"/>
  <c r="K10" i="12"/>
  <c r="M10" i="12" s="1"/>
  <c r="K11" i="12"/>
  <c r="M11" i="12" s="1"/>
  <c r="K12" i="12"/>
  <c r="M12" i="12" s="1"/>
  <c r="K13" i="12"/>
  <c r="M13" i="12" s="1"/>
  <c r="K14" i="12"/>
  <c r="M14" i="12" s="1"/>
  <c r="K28" i="12"/>
  <c r="M28" i="12" s="1"/>
  <c r="K29" i="12"/>
  <c r="M29" i="12" s="1"/>
  <c r="K30" i="12"/>
  <c r="M30" i="12" s="1"/>
  <c r="K31" i="12"/>
  <c r="M31" i="12" s="1"/>
  <c r="K32" i="12"/>
  <c r="M32" i="12" s="1"/>
  <c r="K33" i="12"/>
  <c r="M33" i="12" s="1"/>
  <c r="K34" i="12"/>
  <c r="M34" i="12" s="1"/>
  <c r="K35" i="12"/>
  <c r="M35" i="12" s="1"/>
  <c r="K36" i="12"/>
  <c r="M36" i="12" s="1"/>
  <c r="K37" i="12"/>
  <c r="M37" i="12" s="1"/>
  <c r="W6" i="12"/>
  <c r="Y6" i="12" s="1"/>
  <c r="T6" i="12"/>
  <c r="V6" i="12" s="1"/>
  <c r="Q6" i="12"/>
  <c r="S6" i="12" s="1"/>
  <c r="N6" i="12"/>
  <c r="P6" i="12" s="1"/>
  <c r="M6" i="12"/>
  <c r="Z9" i="12" l="1"/>
  <c r="Z10" i="12"/>
  <c r="Z6" i="12"/>
  <c r="B5" i="11" s="1"/>
  <c r="Z13" i="12"/>
  <c r="B12" i="11" s="1"/>
  <c r="Z14" i="12"/>
  <c r="I5" i="23"/>
  <c r="Z26" i="12"/>
  <c r="B25" i="11" s="1"/>
  <c r="Z18" i="12"/>
  <c r="B17" i="11" s="1"/>
  <c r="Z17" i="12"/>
  <c r="B16" i="11" s="1"/>
  <c r="B8" i="11"/>
  <c r="B6" i="11"/>
  <c r="B13" i="11"/>
  <c r="B9" i="11"/>
  <c r="Z20" i="12"/>
  <c r="B19" i="11" s="1"/>
  <c r="Z11" i="12"/>
  <c r="Z25" i="12"/>
  <c r="B24" i="11" s="1"/>
  <c r="Z16" i="12"/>
  <c r="B15" i="11" s="1"/>
  <c r="Z19" i="12"/>
  <c r="B18" i="11" s="1"/>
  <c r="Z15" i="12"/>
  <c r="B14" i="11" s="1"/>
  <c r="Z12" i="12"/>
  <c r="B11" i="11" s="1"/>
  <c r="Z24" i="12"/>
  <c r="B23" i="11" s="1"/>
  <c r="Z23" i="12"/>
  <c r="B22" i="11" s="1"/>
  <c r="Z21" i="12"/>
  <c r="B20" i="11" s="1"/>
  <c r="Z22" i="12"/>
  <c r="B21" i="11" s="1"/>
  <c r="Z30" i="12"/>
  <c r="B29" i="11" s="1"/>
  <c r="Z37" i="12"/>
  <c r="B36" i="11" s="1"/>
  <c r="Z35" i="12"/>
  <c r="B34" i="11" s="1"/>
  <c r="Z27" i="12"/>
  <c r="B26" i="11" s="1"/>
  <c r="Z36" i="12"/>
  <c r="B35" i="11" s="1"/>
  <c r="Z29" i="12"/>
  <c r="B28" i="11" s="1"/>
  <c r="Z28" i="12"/>
  <c r="B27" i="11" s="1"/>
  <c r="Z32" i="12"/>
  <c r="B31" i="11" s="1"/>
  <c r="Z31" i="12"/>
  <c r="B30" i="11" s="1"/>
  <c r="Q6" i="3"/>
  <c r="R6" i="3" s="1"/>
  <c r="S6" i="3"/>
  <c r="S7" i="3"/>
  <c r="S8" i="3"/>
  <c r="S9" i="3"/>
  <c r="S10" i="3"/>
  <c r="S11" i="3"/>
  <c r="S12" i="3"/>
  <c r="S13" i="3"/>
  <c r="S14" i="3"/>
  <c r="Q6" i="13"/>
  <c r="R6" i="13" s="1"/>
  <c r="Y6" i="13"/>
  <c r="Z6" i="13" s="1"/>
  <c r="AA6" i="13" s="1"/>
  <c r="AC6" i="13"/>
  <c r="H5" i="23" s="1"/>
  <c r="R7" i="13"/>
  <c r="AC7" i="13"/>
  <c r="H6" i="23" s="1"/>
  <c r="R8" i="13"/>
  <c r="AC8" i="13"/>
  <c r="H7" i="23" s="1"/>
  <c r="Q9" i="13"/>
  <c r="R9" i="13" s="1"/>
  <c r="AC9" i="13"/>
  <c r="H8" i="23" s="1"/>
  <c r="R10" i="13"/>
  <c r="AC10" i="13"/>
  <c r="H9" i="23" s="1"/>
  <c r="R11" i="13"/>
  <c r="AC11" i="13"/>
  <c r="H10" i="23" s="1"/>
  <c r="Q12" i="13"/>
  <c r="R12" i="13" s="1"/>
  <c r="U12" i="13"/>
  <c r="V12" i="13" s="1"/>
  <c r="Z12" i="13"/>
  <c r="AA12" i="13" s="1"/>
  <c r="AC12" i="13"/>
  <c r="H11" i="23" s="1"/>
  <c r="Q13" i="13"/>
  <c r="R13" i="13" s="1"/>
  <c r="U13" i="13"/>
  <c r="V13" i="13" s="1"/>
  <c r="AC13" i="13"/>
  <c r="H12" i="23" s="1"/>
  <c r="Q14" i="13"/>
  <c r="R14" i="13" s="1"/>
  <c r="U14" i="13"/>
  <c r="V14" i="13" s="1"/>
  <c r="AC14" i="13"/>
  <c r="H13" i="23" s="1"/>
  <c r="R15" i="13"/>
  <c r="U15" i="13"/>
  <c r="V15" i="13" s="1"/>
  <c r="AC15" i="13"/>
  <c r="H14" i="23" s="1"/>
  <c r="R16" i="13"/>
  <c r="U16" i="13"/>
  <c r="V16" i="13" s="1"/>
  <c r="AC16" i="13"/>
  <c r="U17" i="13"/>
  <c r="V17" i="13" s="1"/>
  <c r="AC17" i="13"/>
  <c r="H16" i="23" s="1"/>
  <c r="U18" i="13"/>
  <c r="V18" i="13" s="1"/>
  <c r="Z18" i="13"/>
  <c r="AA18" i="13" s="1"/>
  <c r="AC18" i="13"/>
  <c r="H17" i="23" s="1"/>
  <c r="U19" i="13"/>
  <c r="V19" i="13" s="1"/>
  <c r="Z19" i="13"/>
  <c r="AA19" i="13" s="1"/>
  <c r="Q20" i="13"/>
  <c r="R20" i="13" s="1"/>
  <c r="U20" i="13"/>
  <c r="V20" i="13" s="1"/>
  <c r="Z20" i="13"/>
  <c r="AA20" i="13" s="1"/>
  <c r="R21" i="13"/>
  <c r="V21" i="13"/>
  <c r="Z21" i="13"/>
  <c r="AA21" i="13" s="1"/>
  <c r="R22" i="13"/>
  <c r="V22" i="13"/>
  <c r="Y22" i="13"/>
  <c r="Z22" i="13" s="1"/>
  <c r="AA22" i="13" s="1"/>
  <c r="V23" i="13"/>
  <c r="Y23" i="13"/>
  <c r="R24" i="13"/>
  <c r="V24" i="13"/>
  <c r="Y24" i="13"/>
  <c r="AC24" i="13"/>
  <c r="R25" i="13"/>
  <c r="U25" i="13"/>
  <c r="V25" i="13" s="1"/>
  <c r="AC25" i="13"/>
  <c r="H22" i="23" s="1"/>
  <c r="R26" i="13"/>
  <c r="U26" i="13"/>
  <c r="V26" i="13" s="1"/>
  <c r="AC26" i="13"/>
  <c r="H23" i="23" s="1"/>
  <c r="Q27" i="13"/>
  <c r="R27" i="13" s="1"/>
  <c r="V27" i="13"/>
  <c r="AC27" i="13"/>
  <c r="H24" i="23" s="1"/>
  <c r="R28" i="13"/>
  <c r="U28" i="13"/>
  <c r="V28" i="13" s="1"/>
  <c r="AC28" i="13"/>
  <c r="H25" i="23" s="1"/>
  <c r="X19" i="3"/>
  <c r="AM18" i="3"/>
  <c r="AM19" i="3"/>
  <c r="AM20" i="3"/>
  <c r="AN20" i="3" s="1"/>
  <c r="AM21" i="3"/>
  <c r="AN21" i="3" s="1"/>
  <c r="AM22" i="3"/>
  <c r="AN22" i="3" s="1"/>
  <c r="AM23" i="3"/>
  <c r="AN23" i="3" s="1"/>
  <c r="AM24" i="3"/>
  <c r="AN24" i="3" s="1"/>
  <c r="AM25" i="3"/>
  <c r="AN25" i="3" s="1"/>
  <c r="AM26" i="3"/>
  <c r="C7" i="11"/>
  <c r="C4" i="7" s="1"/>
  <c r="C8" i="7"/>
  <c r="C15" i="11"/>
  <c r="C12" i="7" s="1"/>
  <c r="C19" i="11"/>
  <c r="C16" i="7" s="1"/>
  <c r="C23" i="11"/>
  <c r="C20" i="7" s="1"/>
  <c r="C6" i="11"/>
  <c r="C3" i="7" s="1"/>
  <c r="C8" i="11"/>
  <c r="C5" i="7" s="1"/>
  <c r="C9" i="11"/>
  <c r="C6" i="7" s="1"/>
  <c r="C10" i="11"/>
  <c r="C7" i="7" s="1"/>
  <c r="C12" i="11"/>
  <c r="C9" i="7" s="1"/>
  <c r="C13" i="11"/>
  <c r="C10" i="7" s="1"/>
  <c r="C14" i="11"/>
  <c r="C11" i="7" s="1"/>
  <c r="C16" i="11"/>
  <c r="C13" i="7" s="1"/>
  <c r="C17" i="11"/>
  <c r="C14" i="7" s="1"/>
  <c r="C18" i="11"/>
  <c r="C15" i="7" s="1"/>
  <c r="C20" i="11"/>
  <c r="C17" i="7" s="1"/>
  <c r="C21" i="11"/>
  <c r="C18" i="7" s="1"/>
  <c r="C22" i="11"/>
  <c r="C19" i="7" s="1"/>
  <c r="C24" i="11"/>
  <c r="C21" i="7" s="1"/>
  <c r="C25" i="11"/>
  <c r="C22" i="7" s="1"/>
  <c r="C26" i="11"/>
  <c r="C23" i="7" s="1"/>
  <c r="C27" i="11"/>
  <c r="C24" i="7" s="1"/>
  <c r="C28" i="11"/>
  <c r="C25" i="7" s="1"/>
  <c r="C29" i="11"/>
  <c r="C26" i="7" s="1"/>
  <c r="C30" i="11"/>
  <c r="C27" i="7" s="1"/>
  <c r="C31" i="11"/>
  <c r="C28" i="7" s="1"/>
  <c r="C32" i="11"/>
  <c r="C29" i="7" s="1"/>
  <c r="C33" i="11"/>
  <c r="C30" i="7" s="1"/>
  <c r="C34" i="11"/>
  <c r="C31" i="7" s="1"/>
  <c r="C35" i="11"/>
  <c r="C32" i="7" s="1"/>
  <c r="C36" i="11"/>
  <c r="AN19" i="3" l="1"/>
  <c r="G19" i="23"/>
  <c r="H15" i="23"/>
  <c r="G16" i="14"/>
  <c r="G22" i="23"/>
  <c r="G21" i="23"/>
  <c r="G20" i="23"/>
  <c r="Z16" i="13"/>
  <c r="AA16" i="13" s="1"/>
  <c r="Z15" i="13"/>
  <c r="AA15" i="13" s="1"/>
  <c r="Z14" i="13"/>
  <c r="AA14" i="13" s="1"/>
  <c r="Z13" i="13"/>
  <c r="AA13" i="13" s="1"/>
  <c r="G23" i="23"/>
  <c r="AM36" i="3"/>
  <c r="AM35" i="3"/>
  <c r="AM34" i="3"/>
  <c r="AM33" i="3"/>
  <c r="AM31" i="3"/>
  <c r="AM30" i="3"/>
  <c r="AM29" i="3"/>
  <c r="AM28" i="3"/>
  <c r="AM27" i="3"/>
  <c r="AM17" i="3"/>
  <c r="AM16" i="3"/>
  <c r="AN16" i="3" s="1"/>
  <c r="AM15" i="3"/>
  <c r="AN15" i="3" s="1"/>
  <c r="AM14" i="3"/>
  <c r="AN14" i="3" s="1"/>
  <c r="AM13" i="3"/>
  <c r="AM12" i="3"/>
  <c r="AM10" i="3"/>
  <c r="AM9" i="3"/>
  <c r="AM8" i="3"/>
  <c r="AM7" i="3"/>
  <c r="AM6" i="3"/>
  <c r="AM38" i="3" s="1"/>
  <c r="AG9" i="3"/>
  <c r="AG8" i="3"/>
  <c r="AG7" i="3"/>
  <c r="AG6" i="3"/>
  <c r="AA37" i="3"/>
  <c r="AN37" i="3" s="1"/>
  <c r="AA36" i="3"/>
  <c r="AN36" i="3" s="1"/>
  <c r="AA35" i="3"/>
  <c r="AA34" i="3"/>
  <c r="AA33" i="3"/>
  <c r="AA13" i="3"/>
  <c r="AN13" i="3" s="1"/>
  <c r="AA12" i="3"/>
  <c r="AN12" i="3" s="1"/>
  <c r="AA11" i="3"/>
  <c r="AA10" i="3"/>
  <c r="AA9" i="3"/>
  <c r="AN9" i="3" s="1"/>
  <c r="AA7" i="3"/>
  <c r="AA6" i="3"/>
  <c r="AN6" i="3" s="1"/>
  <c r="X35" i="3"/>
  <c r="AN35" i="3" s="1"/>
  <c r="X34" i="3"/>
  <c r="AN34" i="3" s="1"/>
  <c r="X33" i="3"/>
  <c r="AN33" i="3" s="1"/>
  <c r="X32" i="3"/>
  <c r="AN32" i="3" s="1"/>
  <c r="X31" i="3"/>
  <c r="AN31" i="3" s="1"/>
  <c r="X30" i="3"/>
  <c r="AN30" i="3" s="1"/>
  <c r="X29" i="3"/>
  <c r="AN29" i="3" s="1"/>
  <c r="X28" i="3"/>
  <c r="AN28" i="3" s="1"/>
  <c r="X27" i="3"/>
  <c r="AN27" i="3" s="1"/>
  <c r="X26" i="3"/>
  <c r="AN26" i="3" s="1"/>
  <c r="X18" i="3"/>
  <c r="AN18" i="3" s="1"/>
  <c r="X17" i="3"/>
  <c r="AN17" i="3" s="1"/>
  <c r="X11" i="3"/>
  <c r="X10" i="3"/>
  <c r="X8" i="3"/>
  <c r="AN8" i="3" s="1"/>
  <c r="X7" i="3"/>
  <c r="Q37" i="3"/>
  <c r="Q36" i="3"/>
  <c r="Q35" i="3"/>
  <c r="Q34" i="3"/>
  <c r="Q33" i="3"/>
  <c r="Q31" i="3"/>
  <c r="Q30" i="3"/>
  <c r="Q29" i="3"/>
  <c r="Q28" i="3"/>
  <c r="N37" i="3"/>
  <c r="N36" i="3"/>
  <c r="N35" i="3"/>
  <c r="N34" i="3"/>
  <c r="N33" i="3"/>
  <c r="N32" i="3"/>
  <c r="N31" i="3"/>
  <c r="N30" i="3"/>
  <c r="N29" i="3"/>
  <c r="N28" i="3"/>
  <c r="N27" i="3"/>
  <c r="R27" i="3" s="1"/>
  <c r="N26" i="3"/>
  <c r="R26" i="3" s="1"/>
  <c r="N25" i="3"/>
  <c r="R25" i="3" s="1"/>
  <c r="K37" i="3"/>
  <c r="K36" i="3"/>
  <c r="K35" i="3"/>
  <c r="K34" i="3"/>
  <c r="K33" i="3"/>
  <c r="K32" i="3"/>
  <c r="K31" i="3"/>
  <c r="K29" i="3"/>
  <c r="K28" i="3"/>
  <c r="H28" i="3"/>
  <c r="H29" i="3"/>
  <c r="H30" i="3"/>
  <c r="H31" i="3"/>
  <c r="H32" i="3"/>
  <c r="R32" i="3" s="1"/>
  <c r="H33" i="3"/>
  <c r="R33" i="3" s="1"/>
  <c r="H34" i="3"/>
  <c r="H35" i="3"/>
  <c r="H36" i="3"/>
  <c r="H37" i="3"/>
  <c r="E18" i="3"/>
  <c r="E19" i="3"/>
  <c r="F19" i="23"/>
  <c r="E22" i="3"/>
  <c r="E23" i="3"/>
  <c r="E24" i="3"/>
  <c r="I24" i="14" s="1"/>
  <c r="E28" i="3"/>
  <c r="I28" i="14" s="1"/>
  <c r="E29" i="3"/>
  <c r="I29" i="14" s="1"/>
  <c r="E30" i="3"/>
  <c r="I30" i="14" s="1"/>
  <c r="E32" i="3"/>
  <c r="I32" i="14" s="1"/>
  <c r="E33" i="3"/>
  <c r="I33" i="14" s="1"/>
  <c r="E34" i="3"/>
  <c r="I34" i="14" s="1"/>
  <c r="E35" i="3"/>
  <c r="I35" i="14" s="1"/>
  <c r="E36" i="3"/>
  <c r="E37" i="3"/>
  <c r="I10" i="14"/>
  <c r="E11" i="3"/>
  <c r="I11" i="14" s="1"/>
  <c r="E12" i="3"/>
  <c r="F13" i="23"/>
  <c r="F14" i="23"/>
  <c r="E17" i="3"/>
  <c r="AN10" i="3" l="1"/>
  <c r="AN11" i="3"/>
  <c r="AN7" i="3"/>
  <c r="K35" i="11"/>
  <c r="I36" i="14"/>
  <c r="R34" i="3"/>
  <c r="R35" i="3"/>
  <c r="R36" i="3"/>
  <c r="R37" i="3"/>
  <c r="R31" i="3"/>
  <c r="F16" i="23"/>
  <c r="I17" i="14"/>
  <c r="F18" i="23"/>
  <c r="I19" i="14"/>
  <c r="F17" i="23"/>
  <c r="I18" i="14"/>
  <c r="R30" i="3"/>
  <c r="F22" i="23"/>
  <c r="I23" i="14"/>
  <c r="F21" i="23"/>
  <c r="I22" i="14"/>
  <c r="G26" i="23"/>
  <c r="R29" i="3"/>
  <c r="R28" i="3"/>
  <c r="AG38" i="3"/>
  <c r="X38" i="3"/>
  <c r="AA38" i="3"/>
  <c r="K11" i="11"/>
  <c r="I12" i="14"/>
  <c r="U38" i="3"/>
  <c r="I13" i="14"/>
  <c r="F34" i="23"/>
  <c r="K36" i="10"/>
  <c r="F33" i="23"/>
  <c r="K35" i="10"/>
  <c r="F32" i="23"/>
  <c r="K34" i="10"/>
  <c r="F31" i="23"/>
  <c r="K33" i="10"/>
  <c r="F30" i="23"/>
  <c r="K32" i="10"/>
  <c r="F29" i="23"/>
  <c r="K31" i="10"/>
  <c r="F28" i="23"/>
  <c r="K30" i="10"/>
  <c r="F27" i="23"/>
  <c r="K29" i="10"/>
  <c r="F26" i="23"/>
  <c r="K28" i="10"/>
  <c r="F25" i="23"/>
  <c r="K27" i="10"/>
  <c r="F24" i="23"/>
  <c r="K26" i="10"/>
  <c r="F23" i="23"/>
  <c r="K25" i="10"/>
  <c r="K24" i="10"/>
  <c r="K23" i="10"/>
  <c r="K22" i="10"/>
  <c r="K21" i="10"/>
  <c r="K20" i="10"/>
  <c r="K19" i="10"/>
  <c r="K18" i="10"/>
  <c r="K17" i="10"/>
  <c r="K16" i="10"/>
  <c r="F12" i="23"/>
  <c r="K12" i="10"/>
  <c r="F11" i="23"/>
  <c r="K11" i="10"/>
  <c r="F10" i="23"/>
  <c r="K10" i="10"/>
  <c r="F9" i="23"/>
  <c r="K9" i="10"/>
  <c r="G28" i="23"/>
  <c r="G27" i="23"/>
  <c r="AN38" i="3" l="1"/>
  <c r="AH7" i="13"/>
  <c r="AH8" i="13"/>
  <c r="AH9" i="13"/>
  <c r="AH10" i="13"/>
  <c r="AH11" i="13"/>
  <c r="AH12" i="13"/>
  <c r="AH13" i="13"/>
  <c r="AH14" i="13"/>
  <c r="AH15" i="13"/>
  <c r="AH16" i="13"/>
  <c r="AH17" i="13"/>
  <c r="AH18" i="13"/>
  <c r="AH19" i="13"/>
  <c r="AH20" i="13"/>
  <c r="AH21" i="13"/>
  <c r="AH22" i="13"/>
  <c r="AH23" i="13"/>
  <c r="AH24" i="13"/>
  <c r="AH25" i="13"/>
  <c r="AH26" i="13"/>
  <c r="AH27" i="13"/>
  <c r="AH28" i="13"/>
  <c r="AH29" i="13"/>
  <c r="AH30" i="13"/>
  <c r="AH31" i="13"/>
  <c r="AH32" i="13"/>
  <c r="AH33" i="13"/>
  <c r="AH34" i="13"/>
  <c r="AH35" i="13"/>
  <c r="AH36" i="13"/>
  <c r="AH6" i="13"/>
  <c r="AG7" i="13"/>
  <c r="AG8" i="13"/>
  <c r="AG9" i="13"/>
  <c r="AG10" i="13"/>
  <c r="AG11" i="13"/>
  <c r="AG12" i="13"/>
  <c r="AG13" i="13"/>
  <c r="AG14" i="13"/>
  <c r="AG15" i="13"/>
  <c r="AG16" i="13"/>
  <c r="AG24" i="13"/>
  <c r="AG25" i="13"/>
  <c r="AG26" i="13"/>
  <c r="AG27" i="13"/>
  <c r="AG28" i="13"/>
  <c r="AG29" i="13"/>
  <c r="AG30" i="13"/>
  <c r="AG31" i="13"/>
  <c r="AG32" i="13"/>
  <c r="AG33" i="13"/>
  <c r="AG34" i="13"/>
  <c r="AG35" i="13"/>
  <c r="AG36" i="13"/>
  <c r="AG6" i="13"/>
  <c r="AF7" i="13"/>
  <c r="AF8" i="13"/>
  <c r="AF9" i="13"/>
  <c r="AF10" i="13"/>
  <c r="AF11" i="13"/>
  <c r="AF12" i="13"/>
  <c r="AF13" i="13"/>
  <c r="AF14" i="13"/>
  <c r="AF15" i="13"/>
  <c r="AF16" i="13"/>
  <c r="AF17" i="13"/>
  <c r="AF18" i="13"/>
  <c r="AF19" i="13"/>
  <c r="AF20" i="13"/>
  <c r="AF21" i="13"/>
  <c r="AF22" i="13"/>
  <c r="AF23" i="13"/>
  <c r="AF24" i="13"/>
  <c r="AF25" i="13"/>
  <c r="AF26" i="13"/>
  <c r="AF27" i="13"/>
  <c r="AF28" i="13"/>
  <c r="AF29" i="13"/>
  <c r="AF30" i="13"/>
  <c r="AF31" i="13"/>
  <c r="AF32" i="13"/>
  <c r="AF33" i="13"/>
  <c r="AF34" i="13"/>
  <c r="AF35" i="13"/>
  <c r="AF36" i="13"/>
  <c r="AF6" i="13"/>
  <c r="J9" i="13"/>
  <c r="L9" i="13" s="1"/>
  <c r="J10" i="13"/>
  <c r="L10" i="13" s="1"/>
  <c r="J11" i="13"/>
  <c r="L11" i="13" s="1"/>
  <c r="J12" i="13"/>
  <c r="L12" i="13" s="1"/>
  <c r="J13" i="13"/>
  <c r="L13" i="13" s="1"/>
  <c r="J14" i="13"/>
  <c r="J15" i="13"/>
  <c r="J16" i="13"/>
  <c r="J17" i="13"/>
  <c r="J18" i="13"/>
  <c r="J19" i="13"/>
  <c r="J20" i="13"/>
  <c r="J21" i="13"/>
  <c r="J22" i="13"/>
  <c r="J23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6" i="13"/>
  <c r="A7" i="13"/>
  <c r="A8" i="13"/>
  <c r="A9" i="13"/>
  <c r="A10" i="13"/>
  <c r="A11" i="13"/>
  <c r="A12" i="13"/>
  <c r="A13" i="13"/>
  <c r="A14" i="13"/>
  <c r="A15" i="13"/>
  <c r="A16" i="13"/>
  <c r="A17" i="13"/>
  <c r="A18" i="13"/>
  <c r="A19" i="13"/>
  <c r="A20" i="13"/>
  <c r="A21" i="13"/>
  <c r="A22" i="13"/>
  <c r="A23" i="13"/>
  <c r="A24" i="13"/>
  <c r="A25" i="13"/>
  <c r="A26" i="13"/>
  <c r="A27" i="13"/>
  <c r="A28" i="13"/>
  <c r="A29" i="13"/>
  <c r="A30" i="13"/>
  <c r="A31" i="13"/>
  <c r="A32" i="13"/>
  <c r="A33" i="13"/>
  <c r="A34" i="13"/>
  <c r="A35" i="13"/>
  <c r="A36" i="13"/>
  <c r="A6" i="13"/>
  <c r="A1" i="13" s="1"/>
  <c r="A5" i="18"/>
  <c r="A6" i="18"/>
  <c r="A7" i="18"/>
  <c r="A8" i="18"/>
  <c r="A9" i="18"/>
  <c r="A10" i="18"/>
  <c r="A11" i="18"/>
  <c r="A12" i="18"/>
  <c r="A13" i="18"/>
  <c r="A14" i="18"/>
  <c r="A15" i="18"/>
  <c r="A16" i="18"/>
  <c r="A17" i="18"/>
  <c r="A18" i="18"/>
  <c r="A19" i="18"/>
  <c r="A20" i="18"/>
  <c r="A21" i="18"/>
  <c r="A22" i="18"/>
  <c r="A23" i="18"/>
  <c r="A24" i="18"/>
  <c r="A25" i="18"/>
  <c r="A26" i="18"/>
  <c r="A27" i="18"/>
  <c r="A28" i="18"/>
  <c r="A29" i="18"/>
  <c r="A30" i="18"/>
  <c r="A31" i="18"/>
  <c r="A32" i="18"/>
  <c r="A33" i="18"/>
  <c r="A34" i="18"/>
  <c r="A4" i="18"/>
  <c r="B5" i="18"/>
  <c r="H5" i="18" s="1"/>
  <c r="M5" i="18" s="1"/>
  <c r="B6" i="18"/>
  <c r="H6" i="18" s="1"/>
  <c r="M6" i="18" s="1"/>
  <c r="B7" i="18"/>
  <c r="H7" i="18" s="1"/>
  <c r="M7" i="18" s="1"/>
  <c r="B8" i="18"/>
  <c r="H8" i="18" s="1"/>
  <c r="M8" i="18" s="1"/>
  <c r="B9" i="18"/>
  <c r="H9" i="18" s="1"/>
  <c r="M9" i="18" s="1"/>
  <c r="B10" i="18"/>
  <c r="H10" i="18" s="1"/>
  <c r="M10" i="18" s="1"/>
  <c r="B11" i="18"/>
  <c r="H11" i="18" s="1"/>
  <c r="M11" i="18" s="1"/>
  <c r="B12" i="18"/>
  <c r="B13" i="18"/>
  <c r="H13" i="18" s="1"/>
  <c r="M13" i="18" s="1"/>
  <c r="B14" i="18"/>
  <c r="H14" i="18" s="1"/>
  <c r="M14" i="18" s="1"/>
  <c r="T14" i="18" s="1"/>
  <c r="B15" i="18"/>
  <c r="H15" i="18" s="1"/>
  <c r="M15" i="18" s="1"/>
  <c r="B16" i="18"/>
  <c r="H16" i="18" s="1"/>
  <c r="M16" i="18" s="1"/>
  <c r="B17" i="18"/>
  <c r="H17" i="18" s="1"/>
  <c r="M17" i="18" s="1"/>
  <c r="B18" i="18"/>
  <c r="H18" i="18" s="1"/>
  <c r="M18" i="18" s="1"/>
  <c r="B19" i="18"/>
  <c r="H19" i="18" s="1"/>
  <c r="M19" i="18" s="1"/>
  <c r="B20" i="18"/>
  <c r="H20" i="18" s="1"/>
  <c r="M20" i="18" s="1"/>
  <c r="B21" i="18"/>
  <c r="H21" i="18" s="1"/>
  <c r="M21" i="18" s="1"/>
  <c r="B22" i="18"/>
  <c r="H22" i="18" s="1"/>
  <c r="M22" i="18" s="1"/>
  <c r="B23" i="18"/>
  <c r="H23" i="18" s="1"/>
  <c r="M23" i="18" s="1"/>
  <c r="T23" i="18" s="1"/>
  <c r="B24" i="18"/>
  <c r="H24" i="18" s="1"/>
  <c r="M24" i="18" s="1"/>
  <c r="T24" i="18" s="1"/>
  <c r="B25" i="18"/>
  <c r="H25" i="18" s="1"/>
  <c r="M25" i="18" s="1"/>
  <c r="T25" i="18" s="1"/>
  <c r="B26" i="18"/>
  <c r="H26" i="18" s="1"/>
  <c r="M26" i="18" s="1"/>
  <c r="B27" i="18"/>
  <c r="H27" i="18" s="1"/>
  <c r="M27" i="18" s="1"/>
  <c r="T27" i="18" s="1"/>
  <c r="B28" i="18"/>
  <c r="H28" i="18" s="1"/>
  <c r="M28" i="18" s="1"/>
  <c r="T28" i="18" s="1"/>
  <c r="B29" i="18"/>
  <c r="H29" i="18" s="1"/>
  <c r="M29" i="18" s="1"/>
  <c r="B30" i="18"/>
  <c r="H30" i="18" s="1"/>
  <c r="M30" i="18" s="1"/>
  <c r="B31" i="18"/>
  <c r="H31" i="18" s="1"/>
  <c r="M31" i="18" s="1"/>
  <c r="B32" i="18"/>
  <c r="H32" i="18" s="1"/>
  <c r="M32" i="18" s="1"/>
  <c r="H33" i="18"/>
  <c r="M33" i="18" s="1"/>
  <c r="B4" i="18"/>
  <c r="H4" i="18" s="1"/>
  <c r="M4" i="18" s="1"/>
  <c r="T4" i="18" s="1"/>
  <c r="Y4" i="18" s="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5" i="11"/>
  <c r="A1" i="11" s="1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6" i="12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6" i="3"/>
  <c r="L7" i="14"/>
  <c r="L8" i="14"/>
  <c r="L9" i="14"/>
  <c r="L10" i="14"/>
  <c r="L11" i="14"/>
  <c r="L12" i="14"/>
  <c r="L13" i="14"/>
  <c r="L14" i="14"/>
  <c r="L15" i="14"/>
  <c r="L16" i="14"/>
  <c r="L17" i="14"/>
  <c r="L18" i="14"/>
  <c r="L19" i="14"/>
  <c r="L20" i="14"/>
  <c r="L21" i="14"/>
  <c r="L22" i="14"/>
  <c r="L23" i="14"/>
  <c r="L24" i="14"/>
  <c r="L25" i="14"/>
  <c r="L26" i="14"/>
  <c r="L27" i="14"/>
  <c r="L28" i="14"/>
  <c r="L29" i="14"/>
  <c r="L30" i="14"/>
  <c r="L31" i="14"/>
  <c r="L32" i="14"/>
  <c r="L33" i="14"/>
  <c r="L34" i="14"/>
  <c r="L35" i="14"/>
  <c r="L36" i="14"/>
  <c r="L37" i="14"/>
  <c r="L6" i="14"/>
  <c r="K7" i="14"/>
  <c r="K8" i="14"/>
  <c r="K9" i="14"/>
  <c r="K10" i="14"/>
  <c r="K11" i="14"/>
  <c r="K12" i="14"/>
  <c r="K13" i="14"/>
  <c r="K14" i="14"/>
  <c r="K15" i="14"/>
  <c r="K16" i="14"/>
  <c r="K17" i="14"/>
  <c r="K21" i="14"/>
  <c r="K22" i="14"/>
  <c r="K23" i="14"/>
  <c r="K24" i="14"/>
  <c r="K25" i="14"/>
  <c r="K26" i="14"/>
  <c r="K27" i="14"/>
  <c r="K28" i="14"/>
  <c r="K29" i="14"/>
  <c r="K30" i="14"/>
  <c r="K31" i="14"/>
  <c r="K32" i="14"/>
  <c r="K33" i="14"/>
  <c r="K34" i="14"/>
  <c r="K35" i="14"/>
  <c r="K36" i="14"/>
  <c r="K37" i="14"/>
  <c r="K6" i="14"/>
  <c r="J7" i="14"/>
  <c r="J8" i="14"/>
  <c r="J9" i="14"/>
  <c r="J10" i="14"/>
  <c r="J11" i="14"/>
  <c r="J12" i="14"/>
  <c r="J13" i="14"/>
  <c r="J14" i="14"/>
  <c r="J15" i="14"/>
  <c r="J16" i="14"/>
  <c r="J17" i="14"/>
  <c r="J18" i="14"/>
  <c r="J19" i="14"/>
  <c r="J20" i="14"/>
  <c r="J21" i="14"/>
  <c r="J22" i="14"/>
  <c r="J23" i="14"/>
  <c r="J24" i="14"/>
  <c r="J25" i="14"/>
  <c r="J26" i="14"/>
  <c r="J27" i="14"/>
  <c r="J28" i="14"/>
  <c r="J29" i="14"/>
  <c r="J30" i="14"/>
  <c r="J31" i="14"/>
  <c r="J32" i="14"/>
  <c r="J33" i="14"/>
  <c r="J34" i="14"/>
  <c r="J35" i="14"/>
  <c r="J36" i="14"/>
  <c r="J37" i="14"/>
  <c r="J6" i="14"/>
  <c r="R37" i="14"/>
  <c r="O39" i="10"/>
  <c r="P39" i="10" s="1"/>
  <c r="M38" i="10"/>
  <c r="M39" i="10" s="1"/>
  <c r="C39" i="10"/>
  <c r="Q36" i="10"/>
  <c r="V36" i="10" s="1"/>
  <c r="O35" i="10"/>
  <c r="N35" i="10"/>
  <c r="M35" i="10"/>
  <c r="P35" i="10"/>
  <c r="O34" i="10"/>
  <c r="N34" i="10"/>
  <c r="M34" i="10"/>
  <c r="P34" i="10"/>
  <c r="O33" i="10"/>
  <c r="N33" i="10"/>
  <c r="M33" i="10"/>
  <c r="P33" i="10"/>
  <c r="O32" i="10"/>
  <c r="N32" i="10"/>
  <c r="M32" i="10"/>
  <c r="P32" i="10"/>
  <c r="O31" i="10"/>
  <c r="N31" i="10"/>
  <c r="M31" i="10"/>
  <c r="P31" i="10"/>
  <c r="O30" i="10"/>
  <c r="N30" i="10"/>
  <c r="M30" i="10"/>
  <c r="P30" i="10"/>
  <c r="O29" i="10"/>
  <c r="N29" i="10"/>
  <c r="M29" i="10"/>
  <c r="P29" i="10"/>
  <c r="O28" i="10"/>
  <c r="N28" i="10"/>
  <c r="M28" i="10"/>
  <c r="P28" i="10"/>
  <c r="O27" i="10"/>
  <c r="N27" i="10"/>
  <c r="M27" i="10"/>
  <c r="P27" i="10"/>
  <c r="O26" i="10"/>
  <c r="N26" i="10"/>
  <c r="M26" i="10"/>
  <c r="P26" i="10"/>
  <c r="O25" i="10"/>
  <c r="N25" i="10"/>
  <c r="M25" i="10"/>
  <c r="P25" i="10"/>
  <c r="O24" i="10"/>
  <c r="N24" i="10"/>
  <c r="M24" i="10"/>
  <c r="P24" i="10"/>
  <c r="O23" i="10"/>
  <c r="N23" i="10"/>
  <c r="M23" i="10"/>
  <c r="P23" i="10"/>
  <c r="O22" i="10"/>
  <c r="N22" i="10"/>
  <c r="M22" i="10"/>
  <c r="P22" i="10"/>
  <c r="O21" i="10"/>
  <c r="N21" i="10"/>
  <c r="M21" i="10"/>
  <c r="P21" i="10"/>
  <c r="O20" i="10"/>
  <c r="N20" i="10"/>
  <c r="M20" i="10"/>
  <c r="P20" i="10"/>
  <c r="O19" i="10"/>
  <c r="N19" i="10"/>
  <c r="M19" i="10"/>
  <c r="P19" i="10"/>
  <c r="O18" i="10"/>
  <c r="N18" i="10"/>
  <c r="M18" i="10"/>
  <c r="P18" i="10"/>
  <c r="O17" i="10"/>
  <c r="N17" i="10"/>
  <c r="M17" i="10"/>
  <c r="P17" i="10"/>
  <c r="O16" i="10"/>
  <c r="N16" i="10"/>
  <c r="M16" i="10"/>
  <c r="P16" i="10"/>
  <c r="O15" i="10"/>
  <c r="N15" i="10"/>
  <c r="M15" i="10"/>
  <c r="P15" i="10"/>
  <c r="O14" i="10"/>
  <c r="N14" i="10"/>
  <c r="M14" i="10"/>
  <c r="P14" i="10"/>
  <c r="I14" i="10"/>
  <c r="Q14" i="10" s="1"/>
  <c r="O13" i="10"/>
  <c r="N13" i="10"/>
  <c r="M13" i="10"/>
  <c r="P13" i="10"/>
  <c r="O12" i="10"/>
  <c r="N12" i="10"/>
  <c r="M12" i="10"/>
  <c r="P12" i="10"/>
  <c r="O11" i="10"/>
  <c r="N11" i="10"/>
  <c r="M11" i="10"/>
  <c r="P11" i="10"/>
  <c r="O10" i="10"/>
  <c r="N10" i="10"/>
  <c r="M10" i="10"/>
  <c r="P10" i="10"/>
  <c r="O9" i="10"/>
  <c r="N9" i="10"/>
  <c r="M9" i="10"/>
  <c r="P9" i="10"/>
  <c r="O8" i="10"/>
  <c r="N8" i="10"/>
  <c r="M8" i="10"/>
  <c r="P8" i="10"/>
  <c r="O7" i="10"/>
  <c r="N7" i="10"/>
  <c r="M7" i="10"/>
  <c r="P7" i="10"/>
  <c r="O6" i="10"/>
  <c r="N6" i="10"/>
  <c r="M6" i="10"/>
  <c r="P6" i="10"/>
  <c r="X5" i="10"/>
  <c r="X6" i="10" s="1"/>
  <c r="X7" i="10" s="1"/>
  <c r="O5" i="10"/>
  <c r="N5" i="10"/>
  <c r="M5" i="10"/>
  <c r="T5" i="10"/>
  <c r="P5" i="10"/>
  <c r="I5" i="10"/>
  <c r="Q5" i="10" s="1"/>
  <c r="M17" i="14"/>
  <c r="G13" i="26" s="1"/>
  <c r="M16" i="14"/>
  <c r="G12" i="26" s="1"/>
  <c r="M15" i="14"/>
  <c r="G11" i="26" s="1"/>
  <c r="M14" i="14"/>
  <c r="G10" i="26" s="1"/>
  <c r="G9" i="26"/>
  <c r="M12" i="14"/>
  <c r="G8" i="26" s="1"/>
  <c r="M11" i="14"/>
  <c r="G7" i="26" s="1"/>
  <c r="M10" i="14"/>
  <c r="G6" i="26" s="1"/>
  <c r="M9" i="14"/>
  <c r="G5" i="26" s="1"/>
  <c r="G4" i="26"/>
  <c r="M7" i="14"/>
  <c r="G3" i="26" s="1"/>
  <c r="M6" i="14"/>
  <c r="D36" i="11"/>
  <c r="M35" i="11"/>
  <c r="D35" i="11"/>
  <c r="M34" i="11"/>
  <c r="D34" i="11"/>
  <c r="M33" i="11"/>
  <c r="D33" i="11"/>
  <c r="M32" i="11"/>
  <c r="D32" i="11"/>
  <c r="M31" i="11"/>
  <c r="D31" i="11"/>
  <c r="M30" i="11"/>
  <c r="D30" i="11"/>
  <c r="M29" i="11"/>
  <c r="D29" i="11"/>
  <c r="M28" i="11"/>
  <c r="D28" i="11"/>
  <c r="M27" i="11"/>
  <c r="D27" i="11"/>
  <c r="M26" i="11"/>
  <c r="D26" i="11"/>
  <c r="M25" i="11"/>
  <c r="D25" i="11"/>
  <c r="M24" i="11"/>
  <c r="D24" i="11"/>
  <c r="M23" i="11"/>
  <c r="D23" i="11"/>
  <c r="M22" i="11"/>
  <c r="D22" i="11"/>
  <c r="M21" i="11"/>
  <c r="D21" i="11"/>
  <c r="M20" i="11"/>
  <c r="D20" i="11"/>
  <c r="M19" i="11"/>
  <c r="D19" i="11"/>
  <c r="M18" i="11"/>
  <c r="D18" i="11"/>
  <c r="M17" i="11"/>
  <c r="D17" i="11"/>
  <c r="M16" i="11"/>
  <c r="D16" i="11"/>
  <c r="M15" i="11"/>
  <c r="D15" i="11"/>
  <c r="M14" i="11"/>
  <c r="D14" i="11"/>
  <c r="M13" i="11"/>
  <c r="D13" i="11"/>
  <c r="M12" i="11"/>
  <c r="D12" i="11"/>
  <c r="M11" i="11"/>
  <c r="M10" i="11"/>
  <c r="D10" i="11"/>
  <c r="M9" i="11"/>
  <c r="D9" i="11"/>
  <c r="M8" i="11"/>
  <c r="D8" i="11"/>
  <c r="M7" i="11"/>
  <c r="D7" i="11"/>
  <c r="M6" i="11"/>
  <c r="D6" i="11"/>
  <c r="M5" i="11"/>
  <c r="J34" i="23"/>
  <c r="M35" i="18"/>
  <c r="T35" i="18" s="1"/>
  <c r="Y35" i="18" s="1"/>
  <c r="V34" i="18"/>
  <c r="X34" i="18" s="1"/>
  <c r="J33" i="23" s="1"/>
  <c r="I33" i="23"/>
  <c r="M34" i="18"/>
  <c r="V33" i="18"/>
  <c r="I32" i="23"/>
  <c r="V32" i="18"/>
  <c r="X32" i="18" s="1"/>
  <c r="I31" i="23"/>
  <c r="I30" i="23"/>
  <c r="V30" i="18"/>
  <c r="X30" i="18" s="1"/>
  <c r="I29" i="23"/>
  <c r="V29" i="18"/>
  <c r="X29" i="18" s="1"/>
  <c r="I28" i="23"/>
  <c r="V28" i="18"/>
  <c r="J27" i="23" s="1"/>
  <c r="I27" i="23"/>
  <c r="V27" i="18"/>
  <c r="X27" i="18" s="1"/>
  <c r="I26" i="23"/>
  <c r="I25" i="23"/>
  <c r="I24" i="23"/>
  <c r="Y24" i="18"/>
  <c r="I23" i="23"/>
  <c r="V23" i="18"/>
  <c r="I22" i="23"/>
  <c r="V22" i="18"/>
  <c r="V21" i="18"/>
  <c r="V20" i="18"/>
  <c r="V19" i="18"/>
  <c r="I20" i="23"/>
  <c r="I19" i="23"/>
  <c r="I18" i="23"/>
  <c r="J17" i="23"/>
  <c r="H12" i="18"/>
  <c r="M12" i="18" s="1"/>
  <c r="V10" i="18"/>
  <c r="V9" i="18"/>
  <c r="I10" i="23"/>
  <c r="V8" i="18"/>
  <c r="V7" i="18"/>
  <c r="V6" i="18"/>
  <c r="V5" i="18"/>
  <c r="I6" i="23"/>
  <c r="J5" i="23"/>
  <c r="AE37" i="13"/>
  <c r="H37" i="14" s="1"/>
  <c r="AC37" i="13"/>
  <c r="AE36" i="13"/>
  <c r="H36" i="14" s="1"/>
  <c r="AC36" i="13"/>
  <c r="H33" i="23" s="1"/>
  <c r="Y36" i="13"/>
  <c r="Z36" i="13" s="1"/>
  <c r="AA36" i="13" s="1"/>
  <c r="U36" i="13"/>
  <c r="V36" i="13" s="1"/>
  <c r="Q36" i="13"/>
  <c r="R36" i="13" s="1"/>
  <c r="AE35" i="13"/>
  <c r="H35" i="14" s="1"/>
  <c r="AC35" i="13"/>
  <c r="H32" i="23" s="1"/>
  <c r="Z35" i="13"/>
  <c r="AA35" i="13" s="1"/>
  <c r="U35" i="13"/>
  <c r="V35" i="13" s="1"/>
  <c r="Q35" i="13"/>
  <c r="R35" i="13" s="1"/>
  <c r="AE34" i="13"/>
  <c r="H34" i="14" s="1"/>
  <c r="AC34" i="13"/>
  <c r="H31" i="23" s="1"/>
  <c r="U34" i="13"/>
  <c r="V34" i="13" s="1"/>
  <c r="R34" i="13"/>
  <c r="AE33" i="13"/>
  <c r="H33" i="14" s="1"/>
  <c r="AC33" i="13"/>
  <c r="H30" i="23" s="1"/>
  <c r="U33" i="13"/>
  <c r="V33" i="13" s="1"/>
  <c r="Q33" i="13"/>
  <c r="R33" i="13" s="1"/>
  <c r="AE32" i="13"/>
  <c r="H32" i="14" s="1"/>
  <c r="AC32" i="13"/>
  <c r="H29" i="23" s="1"/>
  <c r="U32" i="13"/>
  <c r="V32" i="13" s="1"/>
  <c r="R32" i="13"/>
  <c r="AE31" i="13"/>
  <c r="H31" i="14" s="1"/>
  <c r="AC31" i="13"/>
  <c r="H28" i="23" s="1"/>
  <c r="U31" i="13"/>
  <c r="V31" i="13" s="1"/>
  <c r="Q31" i="13"/>
  <c r="R31" i="13" s="1"/>
  <c r="AE30" i="13"/>
  <c r="H30" i="14" s="1"/>
  <c r="AC30" i="13"/>
  <c r="U30" i="13"/>
  <c r="V30" i="13" s="1"/>
  <c r="Q30" i="13"/>
  <c r="R30" i="13" s="1"/>
  <c r="AE29" i="13"/>
  <c r="H29" i="14" s="1"/>
  <c r="AC29" i="13"/>
  <c r="H26" i="23" s="1"/>
  <c r="U29" i="13"/>
  <c r="V29" i="13" s="1"/>
  <c r="Q29" i="13"/>
  <c r="R29" i="13" s="1"/>
  <c r="AE28" i="13"/>
  <c r="H28" i="14" s="1"/>
  <c r="G28" i="14"/>
  <c r="AE27" i="13"/>
  <c r="H27" i="14" s="1"/>
  <c r="G27" i="14"/>
  <c r="AE26" i="13"/>
  <c r="H26" i="14" s="1"/>
  <c r="G26" i="14"/>
  <c r="AE25" i="13"/>
  <c r="H25" i="14" s="1"/>
  <c r="G25" i="14"/>
  <c r="AE24" i="13"/>
  <c r="H24" i="14" s="1"/>
  <c r="G24" i="14"/>
  <c r="AE23" i="13"/>
  <c r="H23" i="14" s="1"/>
  <c r="G23" i="14"/>
  <c r="AE22" i="13"/>
  <c r="H22" i="14" s="1"/>
  <c r="G22" i="14"/>
  <c r="AE21" i="13"/>
  <c r="H21" i="14" s="1"/>
  <c r="G21" i="14"/>
  <c r="G20" i="14"/>
  <c r="AE19" i="13"/>
  <c r="H19" i="14" s="1"/>
  <c r="G19" i="14"/>
  <c r="H18" i="14"/>
  <c r="G18" i="14"/>
  <c r="AE17" i="13"/>
  <c r="H17" i="14" s="1"/>
  <c r="G17" i="14"/>
  <c r="AE16" i="13"/>
  <c r="H16" i="14" s="1"/>
  <c r="H15" i="14"/>
  <c r="G15" i="14"/>
  <c r="H14" i="14"/>
  <c r="G14" i="14"/>
  <c r="H13" i="14"/>
  <c r="G13" i="14"/>
  <c r="H12" i="14"/>
  <c r="G12" i="14"/>
  <c r="H11" i="14"/>
  <c r="G11" i="14"/>
  <c r="H10" i="14"/>
  <c r="G10" i="14"/>
  <c r="H9" i="14"/>
  <c r="G9" i="14"/>
  <c r="H8" i="14"/>
  <c r="G8" i="14"/>
  <c r="AE7" i="13"/>
  <c r="H7" i="14" s="1"/>
  <c r="G7" i="14"/>
  <c r="AE6" i="13"/>
  <c r="H6" i="14" s="1"/>
  <c r="G6" i="14"/>
  <c r="F3" i="13"/>
  <c r="E6" i="13" s="1"/>
  <c r="P39" i="14"/>
  <c r="J49" i="3"/>
  <c r="J48" i="3"/>
  <c r="J47" i="3"/>
  <c r="N38" i="3"/>
  <c r="AE37" i="3"/>
  <c r="O37" i="3"/>
  <c r="L37" i="3"/>
  <c r="I37" i="3"/>
  <c r="F37" i="3"/>
  <c r="C37" i="3"/>
  <c r="AK36" i="3"/>
  <c r="AE36" i="3"/>
  <c r="Y36" i="3"/>
  <c r="V36" i="3"/>
  <c r="G33" i="23"/>
  <c r="N32" i="25"/>
  <c r="O36" i="3"/>
  <c r="L36" i="3"/>
  <c r="L32" i="25"/>
  <c r="I36" i="3"/>
  <c r="M32" i="25"/>
  <c r="F36" i="3"/>
  <c r="C36" i="3"/>
  <c r="AK35" i="3"/>
  <c r="AE35" i="3"/>
  <c r="Y35" i="3"/>
  <c r="V35" i="3"/>
  <c r="G32" i="23"/>
  <c r="N31" i="25"/>
  <c r="O35" i="3"/>
  <c r="L35" i="3"/>
  <c r="L31" i="25"/>
  <c r="I35" i="3"/>
  <c r="M31" i="25"/>
  <c r="F35" i="3"/>
  <c r="C35" i="3"/>
  <c r="AK34" i="3"/>
  <c r="AE34" i="3"/>
  <c r="Y34" i="3"/>
  <c r="V34" i="3"/>
  <c r="G31" i="23"/>
  <c r="N30" i="25"/>
  <c r="O34" i="3"/>
  <c r="L34" i="3"/>
  <c r="L30" i="25"/>
  <c r="I34" i="3"/>
  <c r="M30" i="25"/>
  <c r="F34" i="3"/>
  <c r="C34" i="3"/>
  <c r="AK33" i="3"/>
  <c r="AE33" i="3"/>
  <c r="Y33" i="3"/>
  <c r="V33" i="3"/>
  <c r="G30" i="23"/>
  <c r="N29" i="25"/>
  <c r="O33" i="3"/>
  <c r="L33" i="3"/>
  <c r="L29" i="25"/>
  <c r="I33" i="3"/>
  <c r="M29" i="25"/>
  <c r="F33" i="3"/>
  <c r="C33" i="3"/>
  <c r="AK32" i="3"/>
  <c r="AE32" i="3"/>
  <c r="Y32" i="3"/>
  <c r="V32" i="3"/>
  <c r="G29" i="23"/>
  <c r="N28" i="25"/>
  <c r="O32" i="3"/>
  <c r="L32" i="3"/>
  <c r="L28" i="25"/>
  <c r="M28" i="25"/>
  <c r="F32" i="3"/>
  <c r="AK31" i="3"/>
  <c r="AE31" i="3"/>
  <c r="Y31" i="3"/>
  <c r="V31" i="3"/>
  <c r="N27" i="25"/>
  <c r="O31" i="3"/>
  <c r="L31" i="3"/>
  <c r="L27" i="25"/>
  <c r="I31" i="3"/>
  <c r="M27" i="25"/>
  <c r="C31" i="3"/>
  <c r="AK30" i="3"/>
  <c r="AE30" i="3"/>
  <c r="Y30" i="3"/>
  <c r="V30" i="3"/>
  <c r="N26" i="25"/>
  <c r="O30" i="3"/>
  <c r="L30" i="3"/>
  <c r="L26" i="25"/>
  <c r="I30" i="3"/>
  <c r="M26" i="25"/>
  <c r="C30" i="3"/>
  <c r="AK29" i="3"/>
  <c r="AE29" i="3"/>
  <c r="Y29" i="3"/>
  <c r="V29" i="3"/>
  <c r="N25" i="25"/>
  <c r="O29" i="3"/>
  <c r="L29" i="3"/>
  <c r="L25" i="25"/>
  <c r="I29" i="3"/>
  <c r="M25" i="25"/>
  <c r="C29" i="3"/>
  <c r="AK28" i="3"/>
  <c r="AE28" i="3"/>
  <c r="Y28" i="3"/>
  <c r="V28" i="3"/>
  <c r="G25" i="23"/>
  <c r="N24" i="25"/>
  <c r="O28" i="3"/>
  <c r="L28" i="3"/>
  <c r="L24" i="25"/>
  <c r="I28" i="3"/>
  <c r="M24" i="25"/>
  <c r="C28" i="3"/>
  <c r="AK27" i="3"/>
  <c r="Y27" i="3"/>
  <c r="V27" i="3"/>
  <c r="G24" i="23"/>
  <c r="N23" i="25"/>
  <c r="O27" i="3"/>
  <c r="L27" i="3"/>
  <c r="L23" i="25"/>
  <c r="I27" i="3"/>
  <c r="M23" i="25"/>
  <c r="C27" i="3"/>
  <c r="AK26" i="3"/>
  <c r="Y26" i="3"/>
  <c r="V26" i="3"/>
  <c r="N22" i="25"/>
  <c r="O26" i="3"/>
  <c r="L26" i="3"/>
  <c r="L22" i="25"/>
  <c r="M22" i="25"/>
  <c r="F26" i="3"/>
  <c r="C26" i="3"/>
  <c r="AK25" i="3"/>
  <c r="Y25" i="3"/>
  <c r="V25" i="3"/>
  <c r="N21" i="25"/>
  <c r="L25" i="3"/>
  <c r="L21" i="25"/>
  <c r="M21" i="25"/>
  <c r="F25" i="3"/>
  <c r="C25" i="3"/>
  <c r="AK24" i="3"/>
  <c r="AE24" i="3"/>
  <c r="Y24" i="3"/>
  <c r="N20" i="25"/>
  <c r="L20" i="25"/>
  <c r="M20" i="25"/>
  <c r="F24" i="3"/>
  <c r="C24" i="3"/>
  <c r="AK23" i="3"/>
  <c r="AE23" i="3"/>
  <c r="Y23" i="3"/>
  <c r="N19" i="25"/>
  <c r="L19" i="25"/>
  <c r="M19" i="25"/>
  <c r="C23" i="3"/>
  <c r="AK22" i="3"/>
  <c r="AE22" i="3"/>
  <c r="Y22" i="3"/>
  <c r="N18" i="25"/>
  <c r="L18" i="25"/>
  <c r="M18" i="25"/>
  <c r="C22" i="3"/>
  <c r="AK21" i="3"/>
  <c r="AE21" i="3"/>
  <c r="Y21" i="3"/>
  <c r="V21" i="3"/>
  <c r="N17" i="25"/>
  <c r="L17" i="25"/>
  <c r="M17" i="25"/>
  <c r="C21" i="3"/>
  <c r="AK20" i="3"/>
  <c r="Y20" i="3"/>
  <c r="V20" i="3"/>
  <c r="N16" i="25"/>
  <c r="L16" i="25"/>
  <c r="M16" i="25"/>
  <c r="C20" i="3"/>
  <c r="AK19" i="3"/>
  <c r="Y19" i="3"/>
  <c r="V19" i="3"/>
  <c r="N15" i="25"/>
  <c r="L15" i="25"/>
  <c r="M15" i="25"/>
  <c r="C19" i="3"/>
  <c r="AK18" i="3"/>
  <c r="Y18" i="3"/>
  <c r="V18" i="3"/>
  <c r="N14" i="25"/>
  <c r="L14" i="25"/>
  <c r="M14" i="25"/>
  <c r="C18" i="3"/>
  <c r="AK17" i="3"/>
  <c r="Y17" i="3"/>
  <c r="V17" i="3"/>
  <c r="N13" i="25"/>
  <c r="L13" i="25"/>
  <c r="M13" i="25"/>
  <c r="K16" i="11"/>
  <c r="C17" i="3"/>
  <c r="AK16" i="3"/>
  <c r="Y16" i="3"/>
  <c r="V16" i="3"/>
  <c r="N12" i="25"/>
  <c r="L12" i="25"/>
  <c r="M12" i="25"/>
  <c r="N16" i="13"/>
  <c r="C16" i="3"/>
  <c r="AK15" i="3"/>
  <c r="Y15" i="3"/>
  <c r="V15" i="3"/>
  <c r="N11" i="25"/>
  <c r="L11" i="25"/>
  <c r="M11" i="25"/>
  <c r="P11" i="25"/>
  <c r="C15" i="3"/>
  <c r="AK14" i="3"/>
  <c r="Y14" i="3"/>
  <c r="N10" i="25"/>
  <c r="L10" i="25"/>
  <c r="M10" i="25"/>
  <c r="C14" i="3"/>
  <c r="AK13" i="3"/>
  <c r="Y13" i="3"/>
  <c r="N9" i="25"/>
  <c r="L9" i="25"/>
  <c r="M9" i="25"/>
  <c r="N13" i="13"/>
  <c r="C13" i="3"/>
  <c r="AK12" i="3"/>
  <c r="Y12" i="3"/>
  <c r="V12" i="3"/>
  <c r="N8" i="25"/>
  <c r="L8" i="25"/>
  <c r="M8" i="25"/>
  <c r="N12" i="13"/>
  <c r="C12" i="3"/>
  <c r="AK11" i="3"/>
  <c r="AE11" i="3"/>
  <c r="Y11" i="3"/>
  <c r="V11" i="3"/>
  <c r="N7" i="25"/>
  <c r="L7" i="25"/>
  <c r="M7" i="25"/>
  <c r="N11" i="13"/>
  <c r="C11" i="3"/>
  <c r="AK10" i="3"/>
  <c r="AE10" i="3"/>
  <c r="Y10" i="3"/>
  <c r="V10" i="3"/>
  <c r="N6" i="25"/>
  <c r="L6" i="25"/>
  <c r="M6" i="25"/>
  <c r="N10" i="13"/>
  <c r="C10" i="3"/>
  <c r="AK9" i="3"/>
  <c r="AE9" i="3"/>
  <c r="Y9" i="3"/>
  <c r="V9" i="3"/>
  <c r="N5" i="25"/>
  <c r="L5" i="25"/>
  <c r="M5" i="25"/>
  <c r="K8" i="11"/>
  <c r="C9" i="3"/>
  <c r="AK8" i="3"/>
  <c r="AE8" i="3"/>
  <c r="Y8" i="3"/>
  <c r="V8" i="3"/>
  <c r="N4" i="25"/>
  <c r="L4" i="25"/>
  <c r="M4" i="25"/>
  <c r="N8" i="13"/>
  <c r="C8" i="3"/>
  <c r="AK7" i="3"/>
  <c r="AE7" i="3"/>
  <c r="Y7" i="3"/>
  <c r="V7" i="3"/>
  <c r="N3" i="25"/>
  <c r="L3" i="25"/>
  <c r="M3" i="25"/>
  <c r="P3" i="25"/>
  <c r="C7" i="3"/>
  <c r="AK6" i="3"/>
  <c r="AE6" i="3"/>
  <c r="Y6" i="3"/>
  <c r="N2" i="25"/>
  <c r="L2" i="25"/>
  <c r="M2" i="25"/>
  <c r="P2" i="25"/>
  <c r="C6" i="3"/>
  <c r="AK5" i="3"/>
  <c r="C5" i="3"/>
  <c r="C33" i="14"/>
  <c r="C31" i="14"/>
  <c r="C30" i="14"/>
  <c r="C29" i="14"/>
  <c r="C25" i="14"/>
  <c r="C23" i="14"/>
  <c r="C22" i="14"/>
  <c r="C21" i="14"/>
  <c r="N21" i="14"/>
  <c r="C19" i="14"/>
  <c r="C18" i="14"/>
  <c r="N18" i="14"/>
  <c r="C17" i="14"/>
  <c r="N17" i="14"/>
  <c r="C16" i="14"/>
  <c r="C15" i="14"/>
  <c r="C14" i="14"/>
  <c r="N14" i="14"/>
  <c r="N13" i="14"/>
  <c r="N12" i="14"/>
  <c r="N10" i="14"/>
  <c r="Q10" i="14" s="1"/>
  <c r="S10" i="14" s="1"/>
  <c r="N9" i="14"/>
  <c r="Q9" i="14" s="1"/>
  <c r="S9" i="14" s="1"/>
  <c r="N8" i="14"/>
  <c r="Q8" i="14" s="1"/>
  <c r="X33" i="18" l="1"/>
  <c r="J32" i="23" s="1"/>
  <c r="J26" i="23"/>
  <c r="J28" i="23"/>
  <c r="J29" i="23"/>
  <c r="S8" i="14"/>
  <c r="H27" i="23"/>
  <c r="G30" i="14"/>
  <c r="I21" i="23"/>
  <c r="I17" i="23"/>
  <c r="I15" i="23"/>
  <c r="I16" i="23"/>
  <c r="S37" i="14"/>
  <c r="R21" i="14"/>
  <c r="T31" i="18"/>
  <c r="Y31" i="18" s="1"/>
  <c r="Y27" i="18"/>
  <c r="Y23" i="18"/>
  <c r="T19" i="18"/>
  <c r="Y19" i="18" s="1"/>
  <c r="T15" i="18"/>
  <c r="Y15" i="18" s="1"/>
  <c r="T11" i="18"/>
  <c r="Y11" i="18" s="1"/>
  <c r="T7" i="18"/>
  <c r="Y7" i="18" s="1"/>
  <c r="T12" i="18"/>
  <c r="Y12" i="18" s="1"/>
  <c r="T32" i="18"/>
  <c r="Y32" i="18" s="1"/>
  <c r="Y28" i="18"/>
  <c r="T20" i="18"/>
  <c r="Y20" i="18" s="1"/>
  <c r="T16" i="18"/>
  <c r="Y16" i="18" s="1"/>
  <c r="T8" i="18"/>
  <c r="Y8" i="18" s="1"/>
  <c r="T33" i="18"/>
  <c r="Y33" i="18" s="1"/>
  <c r="T29" i="18"/>
  <c r="Y29" i="18" s="1"/>
  <c r="Y25" i="18"/>
  <c r="T21" i="18"/>
  <c r="Y21" i="18" s="1"/>
  <c r="T17" i="18"/>
  <c r="Y17" i="18" s="1"/>
  <c r="T13" i="18"/>
  <c r="Y13" i="18" s="1"/>
  <c r="T9" i="18"/>
  <c r="Y9" i="18" s="1"/>
  <c r="T5" i="18"/>
  <c r="Y5" i="18" s="1"/>
  <c r="T34" i="18"/>
  <c r="Y34" i="18" s="1"/>
  <c r="T30" i="18"/>
  <c r="Y30" i="18" s="1"/>
  <c r="T26" i="18"/>
  <c r="Y26" i="18" s="1"/>
  <c r="T22" i="18"/>
  <c r="Y22" i="18" s="1"/>
  <c r="T18" i="18"/>
  <c r="Y18" i="18" s="1"/>
  <c r="Y14" i="18"/>
  <c r="T10" i="18"/>
  <c r="Y10" i="18" s="1"/>
  <c r="T6" i="18"/>
  <c r="Y6" i="18" s="1"/>
  <c r="H34" i="23"/>
  <c r="A1" i="12"/>
  <c r="J31" i="23"/>
  <c r="J30" i="23"/>
  <c r="J6" i="23"/>
  <c r="J10" i="23"/>
  <c r="J14" i="23"/>
  <c r="J19" i="23"/>
  <c r="J7" i="23"/>
  <c r="J8" i="23"/>
  <c r="J15" i="23"/>
  <c r="J22" i="23"/>
  <c r="J11" i="23"/>
  <c r="J23" i="23"/>
  <c r="J24" i="23"/>
  <c r="J9" i="23"/>
  <c r="J12" i="23"/>
  <c r="J13" i="23"/>
  <c r="J16" i="23"/>
  <c r="J25" i="23"/>
  <c r="AI19" i="13"/>
  <c r="J21" i="23"/>
  <c r="J20" i="23"/>
  <c r="J18" i="23"/>
  <c r="AI13" i="13"/>
  <c r="AI9" i="13"/>
  <c r="L6" i="18"/>
  <c r="L11" i="18"/>
  <c r="L14" i="18"/>
  <c r="L32" i="18"/>
  <c r="L5" i="18"/>
  <c r="L8" i="18"/>
  <c r="L10" i="18"/>
  <c r="L13" i="18"/>
  <c r="L20" i="18"/>
  <c r="L23" i="18"/>
  <c r="L25" i="18"/>
  <c r="L33" i="18"/>
  <c r="L29" i="18"/>
  <c r="L19" i="18"/>
  <c r="L22" i="18"/>
  <c r="L34" i="18"/>
  <c r="L30" i="18"/>
  <c r="L26" i="18"/>
  <c r="L17" i="18"/>
  <c r="L28" i="18"/>
  <c r="L7" i="18"/>
  <c r="L9" i="18"/>
  <c r="L15" i="18"/>
  <c r="L18" i="18"/>
  <c r="L21" i="18"/>
  <c r="L24" i="18"/>
  <c r="J35" i="18"/>
  <c r="L31" i="18"/>
  <c r="L27" i="18"/>
  <c r="J39" i="14"/>
  <c r="U5" i="10"/>
  <c r="V5" i="10" s="1"/>
  <c r="W5" i="10" s="1"/>
  <c r="I23" i="10"/>
  <c r="Q23" i="10" s="1"/>
  <c r="W24" i="25"/>
  <c r="W25" i="25"/>
  <c r="W26" i="25"/>
  <c r="W27" i="25"/>
  <c r="W28" i="25"/>
  <c r="W29" i="25"/>
  <c r="W30" i="25"/>
  <c r="W31" i="25"/>
  <c r="W32" i="25"/>
  <c r="AI16" i="13"/>
  <c r="W23" i="25"/>
  <c r="W22" i="25"/>
  <c r="W21" i="25"/>
  <c r="W20" i="25"/>
  <c r="W19" i="25"/>
  <c r="L39" i="14"/>
  <c r="W18" i="25"/>
  <c r="I19" i="10"/>
  <c r="Q19" i="10" s="1"/>
  <c r="I26" i="10"/>
  <c r="Q26" i="10" s="1"/>
  <c r="W17" i="25"/>
  <c r="K39" i="14"/>
  <c r="B39" i="14"/>
  <c r="R17" i="14"/>
  <c r="I14" i="23"/>
  <c r="I13" i="23"/>
  <c r="I12" i="23"/>
  <c r="O12" i="14"/>
  <c r="Q12" i="14" s="1"/>
  <c r="J30" i="13"/>
  <c r="I11" i="23"/>
  <c r="G32" i="14"/>
  <c r="G36" i="14"/>
  <c r="G31" i="14"/>
  <c r="G35" i="14"/>
  <c r="G34" i="14"/>
  <c r="G37" i="14"/>
  <c r="G29" i="14"/>
  <c r="G33" i="14"/>
  <c r="I9" i="23"/>
  <c r="I8" i="23"/>
  <c r="I7" i="23"/>
  <c r="M37" i="13"/>
  <c r="O16" i="14"/>
  <c r="K16" i="13"/>
  <c r="L16" i="13" s="1"/>
  <c r="K23" i="13"/>
  <c r="L23" i="13" s="1"/>
  <c r="N25" i="14"/>
  <c r="R25" i="14" s="1"/>
  <c r="J25" i="13"/>
  <c r="K27" i="13"/>
  <c r="O32" i="14"/>
  <c r="K32" i="13"/>
  <c r="M25" i="14"/>
  <c r="G21" i="26" s="1"/>
  <c r="T6" i="10"/>
  <c r="K19" i="13"/>
  <c r="L19" i="13" s="1"/>
  <c r="J24" i="13"/>
  <c r="K26" i="13"/>
  <c r="K18" i="13"/>
  <c r="L18" i="13" s="1"/>
  <c r="K22" i="13"/>
  <c r="L22" i="13" s="1"/>
  <c r="C24" i="14"/>
  <c r="O25" i="14"/>
  <c r="K25" i="13"/>
  <c r="J27" i="13"/>
  <c r="K30" i="13"/>
  <c r="J32" i="13"/>
  <c r="K34" i="13"/>
  <c r="K36" i="13"/>
  <c r="M24" i="14"/>
  <c r="G20" i="26" s="1"/>
  <c r="M26" i="14"/>
  <c r="G22" i="26" s="1"/>
  <c r="M28" i="14"/>
  <c r="G24" i="26" s="1"/>
  <c r="M30" i="14"/>
  <c r="G26" i="26" s="1"/>
  <c r="I10" i="10"/>
  <c r="Q10" i="10" s="1"/>
  <c r="I16" i="10"/>
  <c r="Q16" i="10" s="1"/>
  <c r="O20" i="14"/>
  <c r="K20" i="13"/>
  <c r="L20" i="13" s="1"/>
  <c r="N34" i="14"/>
  <c r="J34" i="13"/>
  <c r="K35" i="13"/>
  <c r="M27" i="14"/>
  <c r="G23" i="26" s="1"/>
  <c r="M29" i="14"/>
  <c r="G25" i="26" s="1"/>
  <c r="M31" i="14"/>
  <c r="G27" i="26" s="1"/>
  <c r="J28" i="13"/>
  <c r="N29" i="14"/>
  <c r="J29" i="13"/>
  <c r="K31" i="13"/>
  <c r="N33" i="14"/>
  <c r="J33" i="13"/>
  <c r="K17" i="13"/>
  <c r="L17" i="13" s="1"/>
  <c r="C20" i="14"/>
  <c r="O21" i="14"/>
  <c r="Q21" i="14" s="1"/>
  <c r="S21" i="14" s="1"/>
  <c r="K21" i="13"/>
  <c r="L21" i="13" s="1"/>
  <c r="O24" i="14"/>
  <c r="K24" i="13"/>
  <c r="J26" i="13"/>
  <c r="O28" i="14"/>
  <c r="K28" i="13"/>
  <c r="O29" i="14"/>
  <c r="K29" i="13"/>
  <c r="J31" i="13"/>
  <c r="C32" i="14"/>
  <c r="O33" i="14"/>
  <c r="K33" i="13"/>
  <c r="P14" i="25"/>
  <c r="N18" i="13"/>
  <c r="K17" i="11"/>
  <c r="N19" i="13"/>
  <c r="K18" i="11"/>
  <c r="P15" i="25"/>
  <c r="N20" i="13"/>
  <c r="K19" i="11"/>
  <c r="P16" i="25"/>
  <c r="P17" i="25"/>
  <c r="N21" i="13"/>
  <c r="K20" i="11"/>
  <c r="P18" i="25"/>
  <c r="N22" i="13"/>
  <c r="K21" i="11"/>
  <c r="N23" i="13"/>
  <c r="K22" i="11"/>
  <c r="P19" i="25"/>
  <c r="N24" i="13"/>
  <c r="K23" i="11"/>
  <c r="P20" i="25"/>
  <c r="P21" i="25"/>
  <c r="N25" i="13"/>
  <c r="K24" i="11"/>
  <c r="P22" i="25"/>
  <c r="N26" i="13"/>
  <c r="K25" i="11"/>
  <c r="N27" i="13"/>
  <c r="K26" i="11"/>
  <c r="P23" i="25"/>
  <c r="N28" i="13"/>
  <c r="K27" i="11"/>
  <c r="P24" i="25"/>
  <c r="P25" i="25"/>
  <c r="N29" i="13"/>
  <c r="K28" i="11"/>
  <c r="P26" i="25"/>
  <c r="N30" i="13"/>
  <c r="K29" i="11"/>
  <c r="N31" i="13"/>
  <c r="K30" i="11"/>
  <c r="P27" i="25"/>
  <c r="N32" i="13"/>
  <c r="K31" i="11"/>
  <c r="P28" i="25"/>
  <c r="P29" i="25"/>
  <c r="N33" i="13"/>
  <c r="K32" i="11"/>
  <c r="P30" i="25"/>
  <c r="N34" i="13"/>
  <c r="K33" i="11"/>
  <c r="N35" i="13"/>
  <c r="K34" i="11"/>
  <c r="P31" i="25"/>
  <c r="N36" i="13"/>
  <c r="P32" i="25"/>
  <c r="I37" i="14"/>
  <c r="N37" i="13"/>
  <c r="K36" i="11"/>
  <c r="M20" i="13"/>
  <c r="K61" i="3"/>
  <c r="M21" i="13" s="1"/>
  <c r="M25" i="13"/>
  <c r="K69" i="3"/>
  <c r="M29" i="13" s="1"/>
  <c r="K73" i="3"/>
  <c r="M33" i="13" s="1"/>
  <c r="M19" i="14"/>
  <c r="G15" i="26" s="1"/>
  <c r="M21" i="14"/>
  <c r="G17" i="26" s="1"/>
  <c r="M23" i="14"/>
  <c r="G19" i="26" s="1"/>
  <c r="M32" i="14"/>
  <c r="G28" i="26" s="1"/>
  <c r="G30" i="26"/>
  <c r="G32" i="26"/>
  <c r="I24" i="10"/>
  <c r="Q24" i="10" s="1"/>
  <c r="I35" i="10"/>
  <c r="Q35" i="10" s="1"/>
  <c r="R27" i="18"/>
  <c r="M18" i="14"/>
  <c r="G14" i="26" s="1"/>
  <c r="M20" i="14"/>
  <c r="G16" i="26" s="1"/>
  <c r="M22" i="14"/>
  <c r="G18" i="26" s="1"/>
  <c r="G29" i="26"/>
  <c r="I6" i="10"/>
  <c r="Q6" i="10" s="1"/>
  <c r="R6" i="10" s="1"/>
  <c r="U6" i="10"/>
  <c r="I12" i="10"/>
  <c r="Q12" i="10" s="1"/>
  <c r="I13" i="10"/>
  <c r="Q13" i="10" s="1"/>
  <c r="I17" i="10"/>
  <c r="Q17" i="10" s="1"/>
  <c r="I31" i="10"/>
  <c r="Q31" i="10" s="1"/>
  <c r="M37" i="14"/>
  <c r="N36" i="14"/>
  <c r="J36" i="13"/>
  <c r="AI30" i="13"/>
  <c r="AI26" i="13"/>
  <c r="J35" i="13"/>
  <c r="AI15" i="13"/>
  <c r="K56" i="3"/>
  <c r="M16" i="13" s="1"/>
  <c r="N17" i="13"/>
  <c r="P13" i="25"/>
  <c r="K15" i="11"/>
  <c r="P12" i="25"/>
  <c r="N30" i="14"/>
  <c r="R30" i="14" s="1"/>
  <c r="F30" i="14"/>
  <c r="K15" i="13"/>
  <c r="L15" i="13" s="1"/>
  <c r="K14" i="11"/>
  <c r="N15" i="13"/>
  <c r="K14" i="13"/>
  <c r="L14" i="13" s="1"/>
  <c r="P10" i="25"/>
  <c r="N14" i="13"/>
  <c r="C13" i="14"/>
  <c r="K52" i="3"/>
  <c r="M12" i="13" s="1"/>
  <c r="P9" i="25"/>
  <c r="C12" i="14"/>
  <c r="P8" i="25"/>
  <c r="L11" i="11"/>
  <c r="I10" i="11"/>
  <c r="C11" i="14"/>
  <c r="B10" i="11"/>
  <c r="C10" i="14"/>
  <c r="L9" i="11"/>
  <c r="C9" i="14"/>
  <c r="K48" i="3"/>
  <c r="M8" i="13" s="1"/>
  <c r="K9" i="11"/>
  <c r="P6" i="25"/>
  <c r="K10" i="11"/>
  <c r="P7" i="25"/>
  <c r="N9" i="13"/>
  <c r="P5" i="25"/>
  <c r="L8" i="11"/>
  <c r="J8" i="13"/>
  <c r="L8" i="13" s="1"/>
  <c r="L7" i="11"/>
  <c r="P4" i="25"/>
  <c r="K7" i="11"/>
  <c r="I6" i="11"/>
  <c r="C7" i="14"/>
  <c r="J7" i="13"/>
  <c r="L7" i="13" s="1"/>
  <c r="I8" i="10"/>
  <c r="Q8" i="10" s="1"/>
  <c r="I9" i="10"/>
  <c r="Q9" i="10" s="1"/>
  <c r="I11" i="10"/>
  <c r="Q11" i="10" s="1"/>
  <c r="I27" i="10"/>
  <c r="Q27" i="10" s="1"/>
  <c r="I28" i="10"/>
  <c r="Q28" i="10" s="1"/>
  <c r="I7" i="10"/>
  <c r="Q7" i="10" s="1"/>
  <c r="S7" i="10" s="1"/>
  <c r="Z7" i="10" s="1"/>
  <c r="I30" i="10"/>
  <c r="Q30" i="10" s="1"/>
  <c r="L6" i="11"/>
  <c r="N6" i="13"/>
  <c r="K6" i="11"/>
  <c r="N7" i="13"/>
  <c r="J6" i="13"/>
  <c r="L6" i="13" s="1"/>
  <c r="H39" i="14"/>
  <c r="B7" i="11"/>
  <c r="O34" i="14"/>
  <c r="O30" i="14"/>
  <c r="Q30" i="14" s="1"/>
  <c r="S30" i="14" s="1"/>
  <c r="O26" i="14"/>
  <c r="O22" i="14"/>
  <c r="O18" i="14"/>
  <c r="Q18" i="14" s="1"/>
  <c r="O14" i="14"/>
  <c r="Q14" i="14" s="1"/>
  <c r="O31" i="14"/>
  <c r="O27" i="14"/>
  <c r="O23" i="14"/>
  <c r="O19" i="14"/>
  <c r="O15" i="14"/>
  <c r="O17" i="14"/>
  <c r="Q17" i="14" s="1"/>
  <c r="S17" i="14" s="1"/>
  <c r="O13" i="14"/>
  <c r="Q13" i="14" s="1"/>
  <c r="S13" i="14" s="1"/>
  <c r="N28" i="14"/>
  <c r="N24" i="14"/>
  <c r="N20" i="14"/>
  <c r="N16" i="14"/>
  <c r="R16" i="14" s="1"/>
  <c r="N31" i="14"/>
  <c r="N26" i="14"/>
  <c r="N22" i="14"/>
  <c r="N32" i="14"/>
  <c r="N27" i="14"/>
  <c r="N23" i="14"/>
  <c r="R23" i="14" s="1"/>
  <c r="N19" i="14"/>
  <c r="N15" i="14"/>
  <c r="N11" i="14"/>
  <c r="N7" i="14"/>
  <c r="Q7" i="14" s="1"/>
  <c r="S7" i="14" s="1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M31" i="13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 i="3"/>
  <c r="E38" i="3"/>
  <c r="F35" i="23" s="1"/>
  <c r="AI18" i="13"/>
  <c r="AI22" i="13"/>
  <c r="AI23" i="13"/>
  <c r="P40" i="10"/>
  <c r="R25" i="18"/>
  <c r="I22" i="10"/>
  <c r="Q22" i="10" s="1"/>
  <c r="I33" i="10"/>
  <c r="Q33" i="10" s="1"/>
  <c r="R33" i="18"/>
  <c r="AI14" i="13"/>
  <c r="AI20" i="13"/>
  <c r="AI28" i="13"/>
  <c r="AI32" i="13"/>
  <c r="AI33" i="13"/>
  <c r="AI36" i="13"/>
  <c r="AJ37" i="13" s="1"/>
  <c r="I29" i="10"/>
  <c r="Q29" i="10" s="1"/>
  <c r="I34" i="10"/>
  <c r="Q34" i="10" s="1"/>
  <c r="AI7" i="13"/>
  <c r="AI11" i="13"/>
  <c r="AI17" i="13"/>
  <c r="AI21" i="13"/>
  <c r="AI24" i="13"/>
  <c r="AI35" i="13"/>
  <c r="R29" i="18"/>
  <c r="I20" i="10"/>
  <c r="Q20" i="10" s="1"/>
  <c r="Q25" i="10"/>
  <c r="AI8" i="13"/>
  <c r="AI12" i="13"/>
  <c r="AI25" i="13"/>
  <c r="AI27" i="13"/>
  <c r="AI29" i="13"/>
  <c r="AI31" i="13"/>
  <c r="AI34" i="13"/>
  <c r="R31" i="18"/>
  <c r="I15" i="10"/>
  <c r="Q15" i="10" s="1"/>
  <c r="I18" i="10"/>
  <c r="Q18" i="10" s="1"/>
  <c r="I21" i="10"/>
  <c r="Q21" i="10" s="1"/>
  <c r="I32" i="10"/>
  <c r="Q32" i="10" s="1"/>
  <c r="AI10" i="13"/>
  <c r="O36" i="14"/>
  <c r="M36" i="13"/>
  <c r="N35" i="14"/>
  <c r="F29" i="14"/>
  <c r="M35" i="13"/>
  <c r="K74" i="3"/>
  <c r="M34" i="13" s="1"/>
  <c r="R9" i="14"/>
  <c r="R10" i="14"/>
  <c r="S12" i="14"/>
  <c r="R13" i="14"/>
  <c r="R14" i="14"/>
  <c r="R18" i="14"/>
  <c r="R8" i="14"/>
  <c r="R12" i="14"/>
  <c r="S14" i="14"/>
  <c r="S18" i="14"/>
  <c r="R5" i="10"/>
  <c r="S5" i="10"/>
  <c r="X8" i="10"/>
  <c r="T7" i="10"/>
  <c r="U7" i="10"/>
  <c r="R34" i="18"/>
  <c r="R32" i="18"/>
  <c r="AI6" i="13"/>
  <c r="Q25" i="14" l="1"/>
  <c r="S25" i="14" s="1"/>
  <c r="R35" i="14"/>
  <c r="R27" i="14"/>
  <c r="Q27" i="14"/>
  <c r="S27" i="14" s="1"/>
  <c r="R32" i="14"/>
  <c r="Q32" i="14"/>
  <c r="S32" i="14" s="1"/>
  <c r="R26" i="14"/>
  <c r="Q26" i="14"/>
  <c r="S26" i="14" s="1"/>
  <c r="R31" i="14"/>
  <c r="Q31" i="14"/>
  <c r="S31" i="14" s="1"/>
  <c r="R24" i="14"/>
  <c r="Q24" i="14"/>
  <c r="S24" i="14" s="1"/>
  <c r="R36" i="14"/>
  <c r="Q36" i="14"/>
  <c r="S36" i="14" s="1"/>
  <c r="R33" i="14"/>
  <c r="Q33" i="14"/>
  <c r="S33" i="14" s="1"/>
  <c r="R34" i="14"/>
  <c r="Q34" i="14"/>
  <c r="S34" i="14" s="1"/>
  <c r="R28" i="14"/>
  <c r="Q28" i="14"/>
  <c r="S28" i="14" s="1"/>
  <c r="Q23" i="14"/>
  <c r="S23" i="14" s="1"/>
  <c r="R22" i="14"/>
  <c r="Q22" i="14"/>
  <c r="S22" i="14" s="1"/>
  <c r="R20" i="14"/>
  <c r="Q20" i="14"/>
  <c r="S20" i="14" s="1"/>
  <c r="R29" i="14"/>
  <c r="Q29" i="14"/>
  <c r="S29" i="14" s="1"/>
  <c r="R19" i="14"/>
  <c r="Q19" i="14"/>
  <c r="S19" i="14" s="1"/>
  <c r="Q16" i="14"/>
  <c r="S16" i="14" s="1"/>
  <c r="R15" i="14"/>
  <c r="Q15" i="14"/>
  <c r="S15" i="14" s="1"/>
  <c r="R11" i="14"/>
  <c r="Q11" i="14"/>
  <c r="S11" i="14" s="1"/>
  <c r="AJ13" i="13"/>
  <c r="S8" i="10"/>
  <c r="Z8" i="10" s="1"/>
  <c r="AJ19" i="13"/>
  <c r="AJ9" i="13"/>
  <c r="R38" i="3"/>
  <c r="K37" i="10"/>
  <c r="S6" i="10"/>
  <c r="Z6" i="10" s="1"/>
  <c r="R7" i="10"/>
  <c r="AJ26" i="13"/>
  <c r="L35" i="18"/>
  <c r="G39" i="14"/>
  <c r="L35" i="13"/>
  <c r="V6" i="10"/>
  <c r="W6" i="10" s="1"/>
  <c r="AJ16" i="13"/>
  <c r="AJ17" i="13"/>
  <c r="L34" i="13"/>
  <c r="AJ15" i="13"/>
  <c r="G7" i="13"/>
  <c r="L26" i="13"/>
  <c r="I7" i="11"/>
  <c r="L30" i="13"/>
  <c r="AJ11" i="13"/>
  <c r="I8" i="11"/>
  <c r="F17" i="14"/>
  <c r="F22" i="14"/>
  <c r="L31" i="13"/>
  <c r="F18" i="14"/>
  <c r="L32" i="13"/>
  <c r="L24" i="13"/>
  <c r="L29" i="13"/>
  <c r="AJ30" i="13"/>
  <c r="L36" i="13"/>
  <c r="L27" i="13"/>
  <c r="AJ31" i="13"/>
  <c r="V7" i="10"/>
  <c r="W7" i="10" s="1"/>
  <c r="L33" i="13"/>
  <c r="G6" i="13"/>
  <c r="L25" i="13"/>
  <c r="AJ27" i="13"/>
  <c r="F26" i="14"/>
  <c r="I9" i="11"/>
  <c r="L28" i="13"/>
  <c r="C39" i="14"/>
  <c r="I39" i="14"/>
  <c r="F6" i="13"/>
  <c r="J37" i="13"/>
  <c r="L37" i="13" s="1"/>
  <c r="AJ22" i="13"/>
  <c r="AJ36" i="13"/>
  <c r="AJ32" i="13"/>
  <c r="AJ18" i="13"/>
  <c r="AJ23" i="13"/>
  <c r="F24" i="14"/>
  <c r="F23" i="14"/>
  <c r="F28" i="14"/>
  <c r="F21" i="14"/>
  <c r="F31" i="14"/>
  <c r="F27" i="14"/>
  <c r="F19" i="14"/>
  <c r="F20" i="14"/>
  <c r="F25" i="14"/>
  <c r="AJ21" i="13"/>
  <c r="AJ34" i="13"/>
  <c r="AJ28" i="13"/>
  <c r="AJ8" i="13"/>
  <c r="R26" i="18"/>
  <c r="R22" i="18"/>
  <c r="R23" i="18"/>
  <c r="R19" i="18"/>
  <c r="AJ25" i="13"/>
  <c r="AJ29" i="13"/>
  <c r="AJ14" i="13"/>
  <c r="R20" i="18"/>
  <c r="AJ35" i="13"/>
  <c r="AJ10" i="13"/>
  <c r="AJ20" i="13"/>
  <c r="AJ24" i="13"/>
  <c r="AJ12" i="13"/>
  <c r="AJ33" i="13"/>
  <c r="R30" i="18"/>
  <c r="G31" i="26"/>
  <c r="M39" i="14"/>
  <c r="O35" i="14"/>
  <c r="O39" i="14" s="1"/>
  <c r="E39" i="14"/>
  <c r="D39" i="14"/>
  <c r="T8" i="10"/>
  <c r="U8" i="10"/>
  <c r="X9" i="10"/>
  <c r="Z5" i="10"/>
  <c r="S39" i="10"/>
  <c r="R8" i="10"/>
  <c r="R35" i="18"/>
  <c r="AJ6" i="13"/>
  <c r="AJ7" i="13"/>
  <c r="F7" i="13"/>
  <c r="E8" i="13"/>
  <c r="N39" i="14"/>
  <c r="R7" i="14"/>
  <c r="R39" i="14" s="1"/>
  <c r="Q35" i="14" l="1"/>
  <c r="S35" i="14" s="1"/>
  <c r="S39" i="14" s="1"/>
  <c r="F39" i="14"/>
  <c r="U9" i="10"/>
  <c r="X10" i="10"/>
  <c r="T9" i="10"/>
  <c r="S9" i="10"/>
  <c r="Z9" i="10" s="1"/>
  <c r="R9" i="10"/>
  <c r="V8" i="10"/>
  <c r="W8" i="10" s="1"/>
  <c r="F8" i="13"/>
  <c r="E9" i="13"/>
  <c r="G8" i="13"/>
  <c r="Q39" i="14" l="1"/>
  <c r="V9" i="10"/>
  <c r="W9" i="10" s="1"/>
  <c r="X11" i="10"/>
  <c r="S10" i="10"/>
  <c r="Z10" i="10" s="1"/>
  <c r="U10" i="10"/>
  <c r="R10" i="10"/>
  <c r="T10" i="10"/>
  <c r="F9" i="13"/>
  <c r="E10" i="13"/>
  <c r="G9" i="13"/>
  <c r="X12" i="10" l="1"/>
  <c r="T11" i="10"/>
  <c r="R11" i="10"/>
  <c r="U11" i="10"/>
  <c r="S11" i="10"/>
  <c r="Z11" i="10" s="1"/>
  <c r="V10" i="10"/>
  <c r="W10" i="10" s="1"/>
  <c r="F10" i="13"/>
  <c r="E11" i="13"/>
  <c r="G11" i="13" s="1"/>
  <c r="G10" i="13"/>
  <c r="V11" i="10" l="1"/>
  <c r="W11" i="10" s="1"/>
  <c r="T12" i="10"/>
  <c r="U12" i="10"/>
  <c r="X13" i="10"/>
  <c r="R12" i="10"/>
  <c r="S12" i="10"/>
  <c r="Z12" i="10" s="1"/>
  <c r="F11" i="13"/>
  <c r="E12" i="13"/>
  <c r="U13" i="10" l="1"/>
  <c r="X14" i="10"/>
  <c r="T13" i="10"/>
  <c r="S13" i="10"/>
  <c r="Z13" i="10" s="1"/>
  <c r="R13" i="10"/>
  <c r="V12" i="10"/>
  <c r="W12" i="10" s="1"/>
  <c r="F12" i="13"/>
  <c r="E13" i="13"/>
  <c r="G12" i="13"/>
  <c r="V13" i="10" l="1"/>
  <c r="W13" i="10" s="1"/>
  <c r="X15" i="10"/>
  <c r="U14" i="10"/>
  <c r="T14" i="10"/>
  <c r="S14" i="10"/>
  <c r="Z14" i="10" s="1"/>
  <c r="R14" i="10"/>
  <c r="F13" i="13"/>
  <c r="E14" i="13"/>
  <c r="G13" i="13"/>
  <c r="X16" i="10" l="1"/>
  <c r="T15" i="10"/>
  <c r="R15" i="10"/>
  <c r="U15" i="10"/>
  <c r="S15" i="10"/>
  <c r="Z15" i="10" s="1"/>
  <c r="V14" i="10"/>
  <c r="W14" i="10" s="1"/>
  <c r="F14" i="13"/>
  <c r="E15" i="13"/>
  <c r="G14" i="13"/>
  <c r="V15" i="10" l="1"/>
  <c r="W15" i="10" s="1"/>
  <c r="T16" i="10"/>
  <c r="U16" i="10"/>
  <c r="X17" i="10"/>
  <c r="S16" i="10"/>
  <c r="Z16" i="10" s="1"/>
  <c r="R16" i="10"/>
  <c r="F15" i="13"/>
  <c r="E16" i="13"/>
  <c r="G15" i="13"/>
  <c r="U17" i="10" l="1"/>
  <c r="X18" i="10"/>
  <c r="R17" i="10"/>
  <c r="T17" i="10"/>
  <c r="S17" i="10"/>
  <c r="Z17" i="10" s="1"/>
  <c r="V16" i="10"/>
  <c r="W16" i="10" s="1"/>
  <c r="F16" i="13"/>
  <c r="E17" i="13"/>
  <c r="G16" i="13"/>
  <c r="V17" i="10" l="1"/>
  <c r="W17" i="10" s="1"/>
  <c r="X19" i="10"/>
  <c r="T18" i="10"/>
  <c r="S18" i="10"/>
  <c r="Z18" i="10" s="1"/>
  <c r="U18" i="10"/>
  <c r="R18" i="10"/>
  <c r="F17" i="13"/>
  <c r="E18" i="13"/>
  <c r="G17" i="13"/>
  <c r="V18" i="10" l="1"/>
  <c r="W18" i="10" s="1"/>
  <c r="T19" i="10"/>
  <c r="U19" i="10"/>
  <c r="X20" i="10"/>
  <c r="S19" i="10"/>
  <c r="Z19" i="10" s="1"/>
  <c r="R19" i="10"/>
  <c r="E19" i="13"/>
  <c r="F18" i="13"/>
  <c r="G18" i="13"/>
  <c r="V19" i="10" l="1"/>
  <c r="W19" i="10" s="1"/>
  <c r="U20" i="10"/>
  <c r="X21" i="10"/>
  <c r="S20" i="10"/>
  <c r="Z20" i="10" s="1"/>
  <c r="R20" i="10"/>
  <c r="T20" i="10"/>
  <c r="E20" i="13"/>
  <c r="F19" i="13"/>
  <c r="G19" i="13"/>
  <c r="V20" i="10" l="1"/>
  <c r="W20" i="10" s="1"/>
  <c r="X22" i="10"/>
  <c r="T21" i="10"/>
  <c r="R21" i="10"/>
  <c r="U21" i="10"/>
  <c r="S21" i="10"/>
  <c r="Z21" i="10" s="1"/>
  <c r="F20" i="13"/>
  <c r="E21" i="13"/>
  <c r="G20" i="13"/>
  <c r="X23" i="10" l="1"/>
  <c r="T22" i="10"/>
  <c r="S22" i="10"/>
  <c r="Z22" i="10" s="1"/>
  <c r="R22" i="10"/>
  <c r="U22" i="10"/>
  <c r="V21" i="10"/>
  <c r="W21" i="10" s="1"/>
  <c r="F21" i="13"/>
  <c r="E22" i="13"/>
  <c r="G21" i="13"/>
  <c r="T23" i="10" l="1"/>
  <c r="U23" i="10"/>
  <c r="X24" i="10"/>
  <c r="R23" i="10"/>
  <c r="S23" i="10"/>
  <c r="Z23" i="10" s="1"/>
  <c r="V22" i="10"/>
  <c r="W22" i="10" s="1"/>
  <c r="F22" i="13"/>
  <c r="E23" i="13"/>
  <c r="G22" i="13"/>
  <c r="V23" i="10" l="1"/>
  <c r="W23" i="10" s="1"/>
  <c r="U24" i="10"/>
  <c r="X25" i="10"/>
  <c r="S24" i="10"/>
  <c r="Z24" i="10" s="1"/>
  <c r="R24" i="10"/>
  <c r="T24" i="10"/>
  <c r="F23" i="13"/>
  <c r="E24" i="13"/>
  <c r="G23" i="13"/>
  <c r="V24" i="10" l="1"/>
  <c r="W24" i="10" s="1"/>
  <c r="X26" i="10"/>
  <c r="U25" i="10"/>
  <c r="T25" i="10"/>
  <c r="S25" i="10"/>
  <c r="Z25" i="10" s="1"/>
  <c r="R25" i="10"/>
  <c r="F24" i="13"/>
  <c r="E25" i="13"/>
  <c r="G24" i="13"/>
  <c r="X27" i="10" l="1"/>
  <c r="T26" i="10"/>
  <c r="S26" i="10"/>
  <c r="Z26" i="10" s="1"/>
  <c r="U26" i="10"/>
  <c r="R26" i="10"/>
  <c r="V25" i="10"/>
  <c r="W25" i="10" s="1"/>
  <c r="F25" i="13"/>
  <c r="E26" i="13"/>
  <c r="G25" i="13"/>
  <c r="V26" i="10" l="1"/>
  <c r="W26" i="10" s="1"/>
  <c r="T27" i="10"/>
  <c r="U27" i="10"/>
  <c r="X28" i="10"/>
  <c r="S27" i="10"/>
  <c r="Z27" i="10" s="1"/>
  <c r="R27" i="10"/>
  <c r="E27" i="13"/>
  <c r="F26" i="13"/>
  <c r="G26" i="13"/>
  <c r="U28" i="10" l="1"/>
  <c r="X29" i="10"/>
  <c r="R28" i="10"/>
  <c r="T28" i="10"/>
  <c r="S28" i="10"/>
  <c r="Z28" i="10" s="1"/>
  <c r="V27" i="10"/>
  <c r="W27" i="10" s="1"/>
  <c r="F27" i="13"/>
  <c r="E28" i="13"/>
  <c r="G27" i="13"/>
  <c r="V28" i="10" l="1"/>
  <c r="W28" i="10" s="1"/>
  <c r="X30" i="10"/>
  <c r="U29" i="10"/>
  <c r="S29" i="10"/>
  <c r="Z29" i="10" s="1"/>
  <c r="T29" i="10"/>
  <c r="R29" i="10"/>
  <c r="F28" i="13"/>
  <c r="E29" i="13"/>
  <c r="G28" i="13"/>
  <c r="X31" i="10" l="1"/>
  <c r="T30" i="10"/>
  <c r="R30" i="10"/>
  <c r="U30" i="10"/>
  <c r="S30" i="10"/>
  <c r="Z30" i="10" s="1"/>
  <c r="V29" i="10"/>
  <c r="W29" i="10" s="1"/>
  <c r="E30" i="13"/>
  <c r="F29" i="13"/>
  <c r="G29" i="13"/>
  <c r="V30" i="10" l="1"/>
  <c r="W30" i="10" s="1"/>
  <c r="T31" i="10"/>
  <c r="U31" i="10"/>
  <c r="X32" i="10"/>
  <c r="S31" i="10"/>
  <c r="Z31" i="10" s="1"/>
  <c r="R31" i="10"/>
  <c r="E31" i="13"/>
  <c r="F30" i="13"/>
  <c r="G30" i="13"/>
  <c r="U32" i="10" l="1"/>
  <c r="X33" i="10"/>
  <c r="R32" i="10"/>
  <c r="S32" i="10"/>
  <c r="Z32" i="10" s="1"/>
  <c r="T32" i="10"/>
  <c r="V31" i="10"/>
  <c r="W31" i="10" s="1"/>
  <c r="F31" i="13"/>
  <c r="E32" i="13"/>
  <c r="G31" i="13"/>
  <c r="V32" i="10" l="1"/>
  <c r="W32" i="10" s="1"/>
  <c r="T33" i="10"/>
  <c r="X34" i="10"/>
  <c r="S33" i="10"/>
  <c r="Z33" i="10" s="1"/>
  <c r="R33" i="10"/>
  <c r="U33" i="10"/>
  <c r="F32" i="13"/>
  <c r="E33" i="13"/>
  <c r="G32" i="13"/>
  <c r="U34" i="10" l="1"/>
  <c r="X35" i="10"/>
  <c r="R34" i="10"/>
  <c r="T34" i="10"/>
  <c r="S34" i="10"/>
  <c r="Z34" i="10" s="1"/>
  <c r="V33" i="10"/>
  <c r="W33" i="10" s="1"/>
  <c r="E34" i="13"/>
  <c r="F33" i="13"/>
  <c r="G33" i="13"/>
  <c r="V34" i="10" l="1"/>
  <c r="W34" i="10" s="1"/>
  <c r="T35" i="10"/>
  <c r="U35" i="10"/>
  <c r="R35" i="10"/>
  <c r="S35" i="10"/>
  <c r="Z35" i="10" s="1"/>
  <c r="E35" i="13"/>
  <c r="F34" i="13"/>
  <c r="G34" i="13"/>
  <c r="V35" i="10" l="1"/>
  <c r="W35" i="10" s="1"/>
  <c r="E36" i="13"/>
  <c r="F35" i="13"/>
  <c r="G35" i="13"/>
  <c r="F36" i="13" l="1"/>
  <c r="G36" i="13"/>
  <c r="V3" i="25" l="1"/>
  <c r="V4" i="25"/>
  <c r="V5" i="25"/>
  <c r="V6" i="25"/>
  <c r="V7" i="25"/>
  <c r="V8" i="25"/>
  <c r="V9" i="25"/>
  <c r="V10" i="25"/>
  <c r="V11" i="25"/>
  <c r="V12" i="25"/>
  <c r="V13" i="25"/>
  <c r="V14" i="25"/>
  <c r="V15" i="25"/>
  <c r="V16" i="25"/>
  <c r="V17" i="25"/>
  <c r="V18" i="25"/>
  <c r="V19" i="25"/>
  <c r="V20" i="25"/>
  <c r="V21" i="25"/>
  <c r="V22" i="25"/>
  <c r="V23" i="25"/>
  <c r="V24" i="25"/>
  <c r="V25" i="25"/>
  <c r="V26" i="25"/>
  <c r="V27" i="25"/>
  <c r="V28" i="25"/>
  <c r="V29" i="25"/>
  <c r="V30" i="25"/>
  <c r="V31" i="25"/>
  <c r="V32" i="25"/>
  <c r="U3" i="25"/>
  <c r="U4" i="25"/>
  <c r="U5" i="25"/>
  <c r="U6" i="25"/>
  <c r="U7" i="25"/>
  <c r="U8" i="25"/>
  <c r="U9" i="25"/>
  <c r="U10" i="25"/>
  <c r="U11" i="25"/>
  <c r="U12" i="25"/>
  <c r="U16" i="25"/>
  <c r="U17" i="25"/>
  <c r="U18" i="25"/>
  <c r="U19" i="25"/>
  <c r="U20" i="25"/>
  <c r="U21" i="25"/>
  <c r="U26" i="25"/>
  <c r="U27" i="25"/>
  <c r="U28" i="25"/>
  <c r="U29" i="25"/>
  <c r="U30" i="25"/>
  <c r="U31" i="25"/>
  <c r="U32" i="25"/>
  <c r="T3" i="25"/>
  <c r="T4" i="25"/>
  <c r="T5" i="25"/>
  <c r="T6" i="25"/>
  <c r="T7" i="25"/>
  <c r="T8" i="25"/>
  <c r="T9" i="25"/>
  <c r="T10" i="25"/>
  <c r="T11" i="25"/>
  <c r="T12" i="25"/>
  <c r="T13" i="25"/>
  <c r="T14" i="25"/>
  <c r="T15" i="25"/>
  <c r="T16" i="25"/>
  <c r="T17" i="25"/>
  <c r="T18" i="25"/>
  <c r="T19" i="25"/>
  <c r="T20" i="25"/>
  <c r="T21" i="25"/>
  <c r="T22" i="25"/>
  <c r="T23" i="25"/>
  <c r="T24" i="25"/>
  <c r="T25" i="25"/>
  <c r="T26" i="25"/>
  <c r="T27" i="25"/>
  <c r="T28" i="25"/>
  <c r="T29" i="25"/>
  <c r="T30" i="25"/>
  <c r="T31" i="25"/>
  <c r="T32" i="25"/>
  <c r="S3" i="25"/>
  <c r="S4" i="25"/>
  <c r="S5" i="25"/>
  <c r="S6" i="25"/>
  <c r="S7" i="25"/>
  <c r="S8" i="25"/>
  <c r="S9" i="25"/>
  <c r="S10" i="25"/>
  <c r="S11" i="25"/>
  <c r="S12" i="25"/>
  <c r="S13" i="25"/>
  <c r="S14" i="25"/>
  <c r="S15" i="25"/>
  <c r="S16" i="25"/>
  <c r="S17" i="25"/>
  <c r="S18" i="25"/>
  <c r="S19" i="25"/>
  <c r="S20" i="25"/>
  <c r="S21" i="25"/>
  <c r="S22" i="25"/>
  <c r="S23" i="25"/>
  <c r="S24" i="25"/>
  <c r="S25" i="25"/>
  <c r="S26" i="25"/>
  <c r="S27" i="25"/>
  <c r="S28" i="25"/>
  <c r="S29" i="25"/>
  <c r="S30" i="25"/>
  <c r="S31" i="25"/>
  <c r="S32" i="25"/>
  <c r="V2" i="25"/>
  <c r="U2" i="25"/>
  <c r="T2" i="25"/>
  <c r="S2" i="25"/>
  <c r="R3" i="25"/>
  <c r="R4" i="25"/>
  <c r="R5" i="25"/>
  <c r="R6" i="25"/>
  <c r="R7" i="25"/>
  <c r="R8" i="25"/>
  <c r="R9" i="25"/>
  <c r="R10" i="25"/>
  <c r="R11" i="25"/>
  <c r="R12" i="25"/>
  <c r="R13" i="25"/>
  <c r="R14" i="25"/>
  <c r="R15" i="25"/>
  <c r="R16" i="25"/>
  <c r="R17" i="25"/>
  <c r="R18" i="25"/>
  <c r="R19" i="25"/>
  <c r="R20" i="25"/>
  <c r="R21" i="25"/>
  <c r="R22" i="25"/>
  <c r="R23" i="25"/>
  <c r="R24" i="25"/>
  <c r="R25" i="25"/>
  <c r="R26" i="25"/>
  <c r="R27" i="25"/>
  <c r="R28" i="25"/>
  <c r="R29" i="25"/>
  <c r="R30" i="25"/>
  <c r="R31" i="25"/>
  <c r="R32" i="25"/>
  <c r="R2" i="25"/>
  <c r="Q17" i="25"/>
  <c r="Q18" i="25"/>
  <c r="Q19" i="25"/>
  <c r="Q20" i="25"/>
  <c r="Q21" i="25"/>
  <c r="Q22" i="25"/>
  <c r="Q23" i="25"/>
  <c r="Q24" i="25"/>
  <c r="Q25" i="25"/>
  <c r="Q26" i="25"/>
  <c r="Q27" i="25"/>
  <c r="Q28" i="25"/>
  <c r="Q29" i="25"/>
  <c r="Q30" i="25"/>
  <c r="Q31" i="25"/>
  <c r="Q32" i="25"/>
  <c r="J3" i="25"/>
  <c r="J4" i="25"/>
  <c r="J5" i="25"/>
  <c r="J6" i="25"/>
  <c r="J7" i="25"/>
  <c r="J8" i="25"/>
  <c r="J9" i="25"/>
  <c r="J10" i="25"/>
  <c r="J11" i="25"/>
  <c r="J12" i="25"/>
  <c r="J13" i="25"/>
  <c r="J14" i="25"/>
  <c r="J15" i="25"/>
  <c r="J16" i="25"/>
  <c r="J17" i="25"/>
  <c r="J18" i="25"/>
  <c r="J19" i="25"/>
  <c r="J20" i="25"/>
  <c r="J21" i="25"/>
  <c r="J22" i="25"/>
  <c r="J23" i="25"/>
  <c r="J24" i="25"/>
  <c r="J25" i="25"/>
  <c r="J26" i="25"/>
  <c r="J27" i="25"/>
  <c r="J28" i="25"/>
  <c r="J29" i="25"/>
  <c r="J30" i="25"/>
  <c r="J31" i="25"/>
  <c r="J32" i="25"/>
  <c r="J2" i="25"/>
  <c r="I3" i="25"/>
  <c r="I4" i="25"/>
  <c r="I5" i="25"/>
  <c r="I6" i="25"/>
  <c r="I7" i="25"/>
  <c r="I8" i="25"/>
  <c r="I9" i="25"/>
  <c r="I10" i="25"/>
  <c r="I11" i="25"/>
  <c r="I12" i="25"/>
  <c r="I13" i="25"/>
  <c r="I14" i="25"/>
  <c r="I15" i="25"/>
  <c r="I16" i="25"/>
  <c r="I17" i="25"/>
  <c r="I18" i="25"/>
  <c r="I19" i="25"/>
  <c r="I20" i="25"/>
  <c r="I21" i="25"/>
  <c r="I22" i="25"/>
  <c r="I23" i="25"/>
  <c r="I24" i="25"/>
  <c r="I25" i="25"/>
  <c r="I26" i="25"/>
  <c r="I27" i="25"/>
  <c r="I28" i="25"/>
  <c r="I29" i="25"/>
  <c r="I30" i="25"/>
  <c r="I31" i="25"/>
  <c r="I32" i="25"/>
  <c r="I2" i="25"/>
  <c r="H3" i="25"/>
  <c r="H4" i="25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2" i="25"/>
  <c r="G2" i="26"/>
  <c r="B3" i="25" l="1"/>
  <c r="B4" i="25" s="1"/>
  <c r="B5" i="25" s="1"/>
  <c r="B6" i="25" s="1"/>
  <c r="B7" i="25" s="1"/>
  <c r="B8" i="25" s="1"/>
  <c r="B9" i="25" s="1"/>
  <c r="B10" i="25" s="1"/>
  <c r="B11" i="25" s="1"/>
  <c r="B12" i="25" s="1"/>
  <c r="B13" i="25" s="1"/>
  <c r="B14" i="25" s="1"/>
  <c r="B15" i="25" s="1"/>
  <c r="B16" i="25" s="1"/>
  <c r="B17" i="25" s="1"/>
  <c r="B18" i="25" s="1"/>
  <c r="B19" i="25" s="1"/>
  <c r="B20" i="25" s="1"/>
  <c r="B21" i="25" s="1"/>
  <c r="B22" i="25" s="1"/>
  <c r="B23" i="25" s="1"/>
  <c r="B24" i="25" s="1"/>
  <c r="B25" i="25" s="1"/>
  <c r="B26" i="25" s="1"/>
  <c r="B27" i="25" s="1"/>
  <c r="B28" i="25" s="1"/>
  <c r="B29" i="25" s="1"/>
  <c r="B30" i="25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E11" i="25"/>
  <c r="X3" i="25"/>
  <c r="X4" i="25"/>
  <c r="X5" i="25"/>
  <c r="X6" i="25"/>
  <c r="X7" i="25"/>
  <c r="X8" i="25"/>
  <c r="X9" i="25"/>
  <c r="X10" i="25"/>
  <c r="X11" i="25"/>
  <c r="X12" i="25"/>
  <c r="X13" i="25"/>
  <c r="X14" i="25"/>
  <c r="X15" i="25"/>
  <c r="X16" i="25"/>
  <c r="X17" i="25"/>
  <c r="X18" i="25"/>
  <c r="X19" i="25"/>
  <c r="X20" i="25"/>
  <c r="X21" i="25"/>
  <c r="X22" i="25"/>
  <c r="X23" i="25"/>
  <c r="X24" i="25"/>
  <c r="X25" i="25"/>
  <c r="X26" i="25"/>
  <c r="X27" i="25"/>
  <c r="X28" i="25"/>
  <c r="X29" i="25"/>
  <c r="X30" i="25"/>
  <c r="X31" i="25"/>
  <c r="X2" i="25"/>
  <c r="B6" i="24"/>
  <c r="B7" i="24"/>
  <c r="B8" i="24"/>
  <c r="B9" i="24"/>
  <c r="B10" i="24"/>
  <c r="B11" i="24"/>
  <c r="B12" i="24"/>
  <c r="B13" i="24"/>
  <c r="B14" i="24"/>
  <c r="B15" i="24"/>
  <c r="B16" i="24"/>
  <c r="B17" i="24"/>
  <c r="B18" i="24"/>
  <c r="B19" i="24"/>
  <c r="B20" i="24"/>
  <c r="B21" i="24"/>
  <c r="B22" i="24"/>
  <c r="B23" i="24"/>
  <c r="B24" i="24"/>
  <c r="B25" i="24"/>
  <c r="B26" i="24"/>
  <c r="B27" i="24"/>
  <c r="B28" i="24"/>
  <c r="B29" i="24"/>
  <c r="B30" i="24"/>
  <c r="B31" i="24"/>
  <c r="B32" i="24"/>
  <c r="B33" i="24"/>
  <c r="X32" i="25" l="1"/>
  <c r="F30" i="25"/>
  <c r="F18" i="25"/>
  <c r="F14" i="25"/>
  <c r="F10" i="25"/>
  <c r="F5" i="25"/>
  <c r="F24" i="25"/>
  <c r="F15" i="25"/>
  <c r="F3" i="25"/>
  <c r="F6" i="25"/>
  <c r="F27" i="25"/>
  <c r="F16" i="25"/>
  <c r="F7" i="25"/>
  <c r="F26" i="25"/>
  <c r="F31" i="25"/>
  <c r="F19" i="25"/>
  <c r="F8" i="25"/>
  <c r="F28" i="25"/>
  <c r="F17" i="25"/>
  <c r="F13" i="25"/>
  <c r="F32" i="25"/>
  <c r="F23" i="25"/>
  <c r="F11" i="25"/>
  <c r="H9" i="24"/>
  <c r="K8" i="25" s="1"/>
  <c r="F4" i="25" l="1"/>
  <c r="F9" i="25"/>
  <c r="F25" i="25"/>
  <c r="F22" i="25"/>
  <c r="F20" i="25"/>
  <c r="F29" i="25"/>
  <c r="F12" i="25"/>
  <c r="F21" i="25"/>
  <c r="E2" i="25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H24" i="24"/>
  <c r="K23" i="25" s="1"/>
  <c r="H16" i="24"/>
  <c r="K15" i="25" s="1"/>
  <c r="H7" i="24"/>
  <c r="K6" i="25" s="1"/>
  <c r="H19" i="24"/>
  <c r="K18" i="25" s="1"/>
  <c r="H11" i="24"/>
  <c r="K10" i="25" s="1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E21" i="25"/>
  <c r="E22" i="25"/>
  <c r="E25" i="25"/>
  <c r="E28" i="25"/>
  <c r="E29" i="25"/>
  <c r="E32" i="25"/>
  <c r="E4" i="25"/>
  <c r="E6" i="25"/>
  <c r="E8" i="25"/>
  <c r="E12" i="25"/>
  <c r="E14" i="25"/>
  <c r="E32" i="26" l="1"/>
  <c r="G32" i="25"/>
  <c r="F2" i="25"/>
  <c r="H27" i="24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E17" i="25"/>
  <c r="H26" i="24"/>
  <c r="K25" i="25" s="1"/>
  <c r="E7" i="25"/>
  <c r="E3" i="25"/>
  <c r="E24" i="25"/>
  <c r="E20" i="25"/>
  <c r="E16" i="25"/>
  <c r="H25" i="24"/>
  <c r="K24" i="25" s="1"/>
  <c r="E10" i="25"/>
  <c r="E27" i="25"/>
  <c r="E23" i="25"/>
  <c r="E19" i="25"/>
  <c r="E15" i="25"/>
  <c r="F2" i="26"/>
  <c r="E13" i="25"/>
  <c r="E9" i="25"/>
  <c r="E5" i="25"/>
  <c r="E26" i="25"/>
  <c r="E18" i="25"/>
  <c r="E31" i="25"/>
  <c r="O6" i="25" l="1"/>
  <c r="O8" i="25"/>
  <c r="O19" i="25"/>
  <c r="O23" i="25"/>
  <c r="O26" i="25"/>
  <c r="O10" i="25"/>
  <c r="O13" i="25"/>
  <c r="O4" i="25"/>
  <c r="O12" i="25"/>
  <c r="O25" i="25"/>
  <c r="O7" i="25"/>
  <c r="O16" i="25"/>
  <c r="O31" i="25"/>
  <c r="O24" i="25"/>
  <c r="O22" i="25"/>
  <c r="O18" i="25"/>
  <c r="O27" i="25"/>
  <c r="O20" i="25"/>
  <c r="O3" i="25"/>
  <c r="O14" i="25"/>
  <c r="O9" i="25"/>
  <c r="O11" i="25"/>
  <c r="O15" i="25"/>
  <c r="O17" i="25"/>
  <c r="O2" i="25"/>
  <c r="O29" i="25"/>
  <c r="O28" i="25"/>
  <c r="O21" i="25"/>
  <c r="O5" i="25"/>
  <c r="G29" i="25"/>
  <c r="E29" i="26"/>
  <c r="G27" i="25"/>
  <c r="E27" i="26"/>
  <c r="G7" i="25"/>
  <c r="E7" i="26"/>
  <c r="E4" i="26"/>
  <c r="G4" i="25"/>
  <c r="F4" i="26"/>
  <c r="E20" i="26"/>
  <c r="G20" i="25"/>
  <c r="F20" i="26"/>
  <c r="G25" i="25"/>
  <c r="E25" i="26"/>
  <c r="G22" i="25"/>
  <c r="E22" i="26"/>
  <c r="E8" i="26"/>
  <c r="G8" i="25"/>
  <c r="F8" i="26"/>
  <c r="G3" i="25"/>
  <c r="E3" i="26"/>
  <c r="F3" i="26"/>
  <c r="G21" i="25"/>
  <c r="E21" i="26"/>
  <c r="G15" i="25"/>
  <c r="E15" i="26"/>
  <c r="F15" i="26"/>
  <c r="G11" i="25"/>
  <c r="E11" i="26"/>
  <c r="F11" i="26"/>
  <c r="G17" i="25"/>
  <c r="E17" i="26"/>
  <c r="F17" i="26"/>
  <c r="G14" i="25"/>
  <c r="E14" i="26"/>
  <c r="F14" i="26"/>
  <c r="E24" i="26"/>
  <c r="G24" i="25"/>
  <c r="G30" i="25"/>
  <c r="E30" i="26"/>
  <c r="E28" i="26"/>
  <c r="G28" i="25"/>
  <c r="G31" i="25"/>
  <c r="E31" i="26"/>
  <c r="G18" i="25"/>
  <c r="E18" i="26"/>
  <c r="F18" i="26"/>
  <c r="G5" i="25"/>
  <c r="E5" i="26"/>
  <c r="F5" i="26"/>
  <c r="G26" i="25"/>
  <c r="E26" i="26"/>
  <c r="E16" i="26"/>
  <c r="G16" i="25"/>
  <c r="F16" i="26"/>
  <c r="E12" i="26"/>
  <c r="G12" i="25"/>
  <c r="F12" i="26"/>
  <c r="G23" i="25"/>
  <c r="E23" i="26"/>
  <c r="G9" i="25"/>
  <c r="E9" i="26"/>
  <c r="F9" i="26"/>
  <c r="G6" i="25"/>
  <c r="E6" i="26"/>
  <c r="F6" i="26"/>
  <c r="E2" i="26"/>
  <c r="L2" i="26" s="1"/>
  <c r="G2" i="25"/>
  <c r="G19" i="25"/>
  <c r="E19" i="26"/>
  <c r="F19" i="26"/>
  <c r="G13" i="25"/>
  <c r="E13" i="26"/>
  <c r="F13" i="26"/>
  <c r="G10" i="25"/>
  <c r="E10" i="26"/>
  <c r="F10" i="26"/>
  <c r="E30" i="25"/>
  <c r="L28" i="26" l="1"/>
  <c r="L20" i="26"/>
  <c r="L13" i="26"/>
  <c r="L27" i="26"/>
  <c r="L6" i="26"/>
  <c r="L14" i="26"/>
  <c r="L21" i="26"/>
  <c r="L25" i="26"/>
  <c r="L31" i="26"/>
  <c r="L19" i="26"/>
  <c r="L9" i="26"/>
  <c r="L26" i="26"/>
  <c r="L17" i="26"/>
  <c r="L3" i="26"/>
  <c r="L8" i="26"/>
  <c r="L4" i="26"/>
  <c r="L29" i="26"/>
  <c r="O30" i="25"/>
  <c r="L23" i="26"/>
  <c r="L5" i="26"/>
  <c r="L30" i="26"/>
  <c r="L11" i="26"/>
  <c r="L12" i="26"/>
  <c r="L24" i="26"/>
  <c r="L10" i="26"/>
  <c r="L16" i="26"/>
  <c r="L18" i="26"/>
  <c r="L15" i="26"/>
  <c r="L22" i="26"/>
  <c r="L7" i="26"/>
  <c r="Q5" i="25" l="1"/>
  <c r="Q8" i="25"/>
  <c r="Q7" i="25"/>
  <c r="Q15" i="25"/>
  <c r="Q12" i="25"/>
  <c r="Q16" i="25"/>
  <c r="Q13" i="25"/>
  <c r="Q14" i="25"/>
  <c r="Q9" i="25"/>
  <c r="Q10" i="25"/>
  <c r="Q11" i="25"/>
  <c r="Q3" i="25"/>
  <c r="Q6" i="25"/>
  <c r="Q4" i="25"/>
  <c r="Q2" i="25"/>
  <c r="G12" i="23"/>
  <c r="G13" i="23"/>
  <c r="W3" i="25"/>
  <c r="W5" i="25"/>
  <c r="G7" i="23"/>
  <c r="G5" i="23"/>
  <c r="W6" i="25"/>
  <c r="G15" i="23"/>
  <c r="G11" i="23"/>
  <c r="G17" i="23"/>
  <c r="G10" i="23"/>
  <c r="G14" i="23"/>
  <c r="G35" i="23"/>
  <c r="W16" i="25" l="1"/>
  <c r="W15" i="25"/>
  <c r="G18" i="23"/>
  <c r="W13" i="25"/>
  <c r="G16" i="23"/>
  <c r="W7" i="25"/>
  <c r="W11" i="25"/>
  <c r="W2" i="25"/>
  <c r="G8" i="23"/>
  <c r="W14" i="25"/>
  <c r="W12" i="25"/>
  <c r="W10" i="25"/>
  <c r="G34" i="23"/>
  <c r="W8" i="25"/>
  <c r="G9" i="23"/>
  <c r="W4" i="25"/>
  <c r="G6" i="23"/>
  <c r="W9" i="25"/>
  <c r="Q34" i="12" l="1"/>
  <c r="S34" i="12" s="1"/>
  <c r="Z34" i="12"/>
  <c r="B33" i="11" s="1"/>
  <c r="Z33" i="12"/>
  <c r="B32" i="11" s="1"/>
  <c r="E5" i="23" l="1"/>
  <c r="J5" i="11"/>
  <c r="H6" i="13"/>
  <c r="H3" i="13"/>
  <c r="AU11" i="1"/>
  <c r="E6" i="23" l="1"/>
  <c r="AU12" i="1"/>
  <c r="J6" i="11"/>
  <c r="H7" i="13"/>
  <c r="AU13" i="1" l="1"/>
  <c r="AU14" i="1"/>
  <c r="H8" i="13"/>
  <c r="E7" i="23"/>
  <c r="J7" i="11"/>
  <c r="H9" i="13" l="1"/>
  <c r="E8" i="23"/>
  <c r="J8" i="11"/>
  <c r="H10" i="13" l="1"/>
  <c r="AU15" i="1"/>
  <c r="J9" i="11"/>
  <c r="E9" i="23"/>
  <c r="J10" i="11" l="1"/>
  <c r="AU16" i="1"/>
  <c r="H11" i="13"/>
  <c r="E10" i="23"/>
  <c r="J11" i="11" l="1"/>
  <c r="AU17" i="1"/>
  <c r="E11" i="23"/>
  <c r="H12" i="13"/>
  <c r="E12" i="23" l="1"/>
  <c r="J12" i="11"/>
  <c r="AU18" i="1"/>
  <c r="H13" i="13"/>
  <c r="J13" i="11" l="1"/>
  <c r="AU19" i="1"/>
  <c r="E13" i="23"/>
  <c r="H14" i="13"/>
  <c r="J14" i="11" l="1"/>
  <c r="AU20" i="1"/>
  <c r="E14" i="23"/>
  <c r="H15" i="13"/>
  <c r="E15" i="23" l="1"/>
  <c r="AU21" i="1"/>
  <c r="H16" i="13"/>
  <c r="J15" i="11"/>
  <c r="H17" i="13" l="1"/>
  <c r="AU22" i="1"/>
  <c r="J16" i="11"/>
  <c r="E16" i="23"/>
  <c r="H18" i="13" l="1"/>
  <c r="E17" i="23"/>
  <c r="AU23" i="1"/>
  <c r="J17" i="11"/>
  <c r="J18" i="11" l="1"/>
  <c r="AU24" i="1"/>
  <c r="H19" i="13"/>
  <c r="E18" i="23"/>
  <c r="E19" i="23" l="1"/>
  <c r="J19" i="11"/>
  <c r="AU25" i="1"/>
  <c r="H20" i="13"/>
  <c r="H21" i="13" l="1"/>
  <c r="J20" i="11"/>
  <c r="AU26" i="1"/>
  <c r="E20" i="23"/>
  <c r="H22" i="13" l="1"/>
  <c r="AU27" i="1"/>
  <c r="E21" i="23"/>
  <c r="J21" i="11"/>
  <c r="J22" i="11" l="1"/>
  <c r="AU28" i="1"/>
  <c r="H23" i="13"/>
  <c r="J23" i="11" l="1"/>
  <c r="H24" i="13"/>
  <c r="AU29" i="1"/>
  <c r="E22" i="23" l="1"/>
  <c r="AU30" i="1"/>
  <c r="J24" i="11"/>
  <c r="H25" i="13"/>
  <c r="J25" i="11" l="1"/>
  <c r="H26" i="13"/>
  <c r="E23" i="23"/>
  <c r="AU31" i="1"/>
  <c r="AU32" i="1" l="1"/>
  <c r="J26" i="11"/>
  <c r="H27" i="13"/>
  <c r="E24" i="23"/>
  <c r="E25" i="23" l="1"/>
  <c r="J27" i="11"/>
  <c r="H28" i="13"/>
  <c r="AU33" i="1"/>
  <c r="AU34" i="1" l="1"/>
  <c r="E26" i="23"/>
  <c r="J28" i="11"/>
  <c r="H29" i="13"/>
  <c r="AU35" i="1" l="1"/>
  <c r="H30" i="13"/>
  <c r="E27" i="23"/>
  <c r="J29" i="11"/>
  <c r="AU36" i="1" l="1"/>
  <c r="H31" i="13"/>
  <c r="J30" i="11"/>
  <c r="E28" i="23"/>
  <c r="AU37" i="1" l="1"/>
  <c r="H32" i="13"/>
  <c r="E29" i="23"/>
  <c r="J31" i="11"/>
  <c r="AU38" i="1" l="1"/>
  <c r="E30" i="23"/>
  <c r="H33" i="13"/>
  <c r="J32" i="11"/>
  <c r="AU39" i="1" l="1"/>
  <c r="H34" i="13"/>
  <c r="J33" i="11"/>
  <c r="E31" i="23"/>
  <c r="AU40" i="1" l="1"/>
  <c r="E32" i="23"/>
  <c r="J34" i="11"/>
  <c r="H35" i="13"/>
  <c r="AU41" i="1" l="1"/>
  <c r="H36" i="13"/>
  <c r="J35" i="11"/>
  <c r="E33" i="23"/>
  <c r="AU42" i="1" l="1"/>
  <c r="E34" i="23"/>
  <c r="J36" i="11"/>
  <c r="AU43" i="1" l="1"/>
  <c r="E35" i="2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tc={D8C645B5-9CB7-40CC-B638-A797822D6E10}</author>
  </authors>
  <commentList>
    <comment ref="AJ26" authorId="0" shapeId="0" xr:uid="{D8C645B5-9CB7-40CC-B638-A797822D6E10}">
      <text>
        <t>[Threaded comment]
Your version of Excel allows you to read this threaded comment; however, any edits to it will get removed if the file is opened in a newer version of Excel. Learn more: https://go.microsoft.com/fwlink/?linkid=870924
Comment:
    paid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<sst xmlns="http://schemas.openxmlformats.org/spreadsheetml/2006/main" count="685" uniqueCount="379">
  <si>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</si>
  <si>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</si>
  <si>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</si>
  <si>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</si>
  <si>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</si>
  <si>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</si>
  <si>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</si>
  <si>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</si>
  <si>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</si>
  <si>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</si>
  <si>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</si>
  <si>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</si>
  <si>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</si>
  <si>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 xml:space="preserve"> </t>
  </si>
  <si>
    <t xml:space="preserve">Transport Consumption (LT) </t>
  </si>
  <si>
    <t xml:space="preserve">Generators Consumption (LT) </t>
  </si>
  <si>
    <t>Kitchen (KWh)</t>
  </si>
  <si>
    <t>Laundry (KWh)</t>
  </si>
  <si>
    <t>STP (M3)</t>
  </si>
  <si>
    <t>RO prodution  (M3)</t>
  </si>
  <si>
    <t>Amani Restaurant (M3)</t>
  </si>
  <si>
    <t>Kitchen (M3)</t>
  </si>
  <si>
    <t>Laundry (M3)</t>
  </si>
  <si>
    <t>Total water Consumption 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</si>
  <si>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</si>
  <si>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</si>
  <si>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</si>
  <si>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</si>
  <si>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</si>
  <si>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</si>
  <si>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 xml:space="preserve">Total Bore holes production  (M3) </t>
  </si>
  <si>
    <t>Date</t>
  </si>
  <si>
    <t>Usage KW</t>
  </si>
  <si>
    <t>Occ %</t>
  </si>
  <si>
    <t>Total Occ</t>
  </si>
  <si>
    <t>Guest Occ</t>
  </si>
  <si>
    <t xml:space="preserve"> UTILITY REPORT </t>
  </si>
  <si>
    <t>%</t>
  </si>
  <si>
    <t xml:space="preserve"> Guest Rooms Occupied </t>
  </si>
  <si>
    <t>Diesel cost  Per  Liter        ($)</t>
  </si>
  <si>
    <t>Diesel consumption (LT)</t>
  </si>
  <si>
    <t>Power production (KW)</t>
  </si>
  <si>
    <t>Water consumption (M3)</t>
  </si>
  <si>
    <t xml:space="preserve">Transport Consupmtion (LT) </t>
  </si>
  <si>
    <t xml:space="preserve">Date </t>
  </si>
  <si>
    <t>Total occupancy</t>
  </si>
  <si>
    <t>Diesel balance LTS</t>
  </si>
  <si>
    <t>Diesel Deliveries</t>
  </si>
  <si>
    <t>Gen.Diesel              consumption LTS</t>
  </si>
  <si>
    <t>Total Diesel consumption LTS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</si>
  <si>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</si>
  <si>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</si>
  <si>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</si>
  <si>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</si>
  <si>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RO Meter reading</t>
  </si>
  <si>
    <t>STP</t>
  </si>
  <si>
    <t>GAS TANK A</t>
  </si>
  <si>
    <t>GAS TANK B</t>
  </si>
  <si>
    <t>GAS TANK C</t>
  </si>
  <si>
    <t xml:space="preserve">Total Gas Tanks </t>
  </si>
  <si>
    <t>Kg /day</t>
  </si>
  <si>
    <t>TOTAL GAS cons.</t>
  </si>
  <si>
    <t>Rate Tsh /$</t>
  </si>
  <si>
    <t>Diesel cost / lits</t>
  </si>
  <si>
    <t>Transport consumption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</si>
  <si>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</si>
  <si>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</si>
  <si>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</si>
  <si>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</si>
  <si>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</si>
  <si>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</si>
  <si>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</si>
  <si>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</si>
  <si>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Rooms  OCC</t>
  </si>
  <si>
    <t xml:space="preserve"> Guest Rooms Occ </t>
  </si>
  <si>
    <t xml:space="preserve"> Electricity Production Cost /Room Occ by guest</t>
  </si>
  <si>
    <t>All Cost /Room Occ by guest</t>
  </si>
  <si>
    <t>Flow M3</t>
  </si>
  <si>
    <t>Reading Hours Meter</t>
  </si>
  <si>
    <t>Hrs</t>
  </si>
  <si>
    <t>total production M3</t>
  </si>
  <si>
    <t>READING HOURS METER</t>
  </si>
  <si>
    <t>M3</t>
  </si>
  <si>
    <t>Kg</t>
  </si>
  <si>
    <t xml:space="preserve">          KITCHEN THREE PHASE KWH METER READING</t>
  </si>
  <si>
    <t xml:space="preserve">          KITCHEN WATER METER READING</t>
  </si>
  <si>
    <t>AMANI Restaurant WATER METER READING</t>
  </si>
  <si>
    <t xml:space="preserve">         LAUNDRY THREE PHASE KWH METER READING</t>
  </si>
  <si>
    <t xml:space="preserve">        LAUNDRY WATER METER READING</t>
  </si>
  <si>
    <t xml:space="preserve">   DATE</t>
  </si>
  <si>
    <t xml:space="preserve"> READING  TIME</t>
  </si>
  <si>
    <t>METER READING OPEN</t>
  </si>
  <si>
    <t>METER READING ClOSE</t>
  </si>
  <si>
    <t>UNIT USED Kwh</t>
  </si>
  <si>
    <t>METER READING OPEN Cbm</t>
  </si>
  <si>
    <t>METER READING ClOSE Cbm</t>
  </si>
  <si>
    <t>UNIT USED Cbm</t>
  </si>
  <si>
    <t>Cost Per day Elct+Water $</t>
  </si>
  <si>
    <t xml:space="preserve">% as per the total Lodge consumption </t>
  </si>
  <si>
    <t>METER READING OPEN (Kwh)</t>
  </si>
  <si>
    <t>METER READING ClOSE (Kwh)</t>
  </si>
  <si>
    <t xml:space="preserve">Close Last Month </t>
  </si>
  <si>
    <t xml:space="preserve">Room Occupied </t>
  </si>
  <si>
    <t>Electricity Units Generated KW</t>
  </si>
  <si>
    <t>Diseal</t>
  </si>
  <si>
    <t>Water</t>
  </si>
  <si>
    <t>Gas</t>
  </si>
  <si>
    <t>Cost of utilites</t>
  </si>
  <si>
    <t>Generator</t>
  </si>
  <si>
    <t>Transport</t>
  </si>
  <si>
    <t xml:space="preserve">Total </t>
  </si>
  <si>
    <t>RO</t>
  </si>
  <si>
    <t>Total Consumption</t>
  </si>
  <si>
    <t>2 ton</t>
  </si>
  <si>
    <t>1 Ton</t>
  </si>
  <si>
    <t>Total consumption</t>
  </si>
  <si>
    <t>Electricity /1.4$/liter</t>
  </si>
  <si>
    <t>Diseal for Transport</t>
  </si>
  <si>
    <t>Gas /2.38$/Kg</t>
  </si>
  <si>
    <t>Total HLP Cost</t>
  </si>
  <si>
    <t>Electricity Cost/Room  $</t>
  </si>
  <si>
    <t>cost/Room $</t>
  </si>
  <si>
    <t>Total</t>
  </si>
  <si>
    <t>BILILA LODGE INVESTMENT LIMITED</t>
  </si>
  <si>
    <t xml:space="preserve">Diesel Consumed by 500KVA Generator </t>
  </si>
  <si>
    <t>500KVA  Generator KWh</t>
  </si>
  <si>
    <t>Safari-STAFF</t>
  </si>
  <si>
    <t>Lc/swg/gust</t>
  </si>
  <si>
    <t>Eng pikcup</t>
  </si>
  <si>
    <t xml:space="preserve">VIP Safari Car </t>
  </si>
  <si>
    <t>GX Guest</t>
  </si>
  <si>
    <t>T/Hillux/pur</t>
  </si>
  <si>
    <t xml:space="preserve">    TATA</t>
  </si>
  <si>
    <t>MAN</t>
  </si>
  <si>
    <t>F/Truck</t>
  </si>
  <si>
    <t>Incenerator</t>
  </si>
  <si>
    <t>A&amp;K</t>
  </si>
  <si>
    <t>OTHER</t>
  </si>
  <si>
    <t>TOTAL CO</t>
  </si>
  <si>
    <t>Occupancy %</t>
  </si>
  <si>
    <t>OPENING</t>
  </si>
  <si>
    <t>Received</t>
  </si>
  <si>
    <t>Schedule delivery</t>
  </si>
  <si>
    <t>Company</t>
  </si>
  <si>
    <t>Total Diseal Consumed</t>
  </si>
  <si>
    <t>Total Kwh generated</t>
  </si>
  <si>
    <t>Average Diesel/Kwh</t>
  </si>
  <si>
    <t>T 128 AXJ</t>
  </si>
  <si>
    <t>T 134 AXJ</t>
  </si>
  <si>
    <t>T 499 AXG</t>
  </si>
  <si>
    <t>T 217 CHV</t>
  </si>
  <si>
    <t>T 214 CHV</t>
  </si>
  <si>
    <t>T 139 AXE</t>
  </si>
  <si>
    <t xml:space="preserve">  T 242 AXN</t>
  </si>
  <si>
    <t>T 476 AWZ</t>
  </si>
  <si>
    <t>T 226 AUQ</t>
  </si>
  <si>
    <t>T 308 CLD</t>
  </si>
  <si>
    <t>T 852 AWU</t>
  </si>
  <si>
    <t>Machine ENG</t>
  </si>
  <si>
    <t>Vehicle</t>
  </si>
  <si>
    <t>Total Diseal Consumed Gen &amp;  Vehicle</t>
  </si>
  <si>
    <t>Total cost /Day (TSH)</t>
  </si>
  <si>
    <t>BALANCE</t>
  </si>
  <si>
    <t>PUMA</t>
  </si>
  <si>
    <t>RAHA</t>
  </si>
  <si>
    <t>BF</t>
  </si>
  <si>
    <t>Nb Day</t>
  </si>
  <si>
    <t>TZS</t>
  </si>
  <si>
    <t>Av. Occ</t>
  </si>
  <si>
    <t>USD</t>
  </si>
  <si>
    <t xml:space="preserve">A &amp; K  VEHICLES </t>
  </si>
  <si>
    <t>MAULY VEHICLES</t>
  </si>
  <si>
    <t>GREEN LAND VEHICLES</t>
  </si>
  <si>
    <t>OTHERS VEHICLES</t>
  </si>
  <si>
    <t>Vehicles</t>
  </si>
  <si>
    <t xml:space="preserve">Liters </t>
  </si>
  <si>
    <t>Driver name</t>
  </si>
  <si>
    <t>Authority manager</t>
  </si>
  <si>
    <t>Authorized Manager</t>
  </si>
  <si>
    <t>Liters</t>
  </si>
  <si>
    <t>Athorized Manager</t>
  </si>
  <si>
    <t>Reasons</t>
  </si>
  <si>
    <t>T132CWQ</t>
  </si>
  <si>
    <t>Hassan</t>
  </si>
  <si>
    <t>NOEL</t>
  </si>
  <si>
    <t>T559DLW</t>
  </si>
  <si>
    <t>Elifuraha</t>
  </si>
  <si>
    <t>16/1/2022</t>
  </si>
  <si>
    <t>T882DLC</t>
  </si>
  <si>
    <t>BENSON</t>
  </si>
  <si>
    <t>PAID</t>
  </si>
  <si>
    <t>T106CWQ</t>
  </si>
  <si>
    <t>Dominik</t>
  </si>
  <si>
    <t>T367DHU</t>
  </si>
  <si>
    <t>FREDY</t>
  </si>
  <si>
    <t>T840DDW</t>
  </si>
  <si>
    <t>DICKSON</t>
  </si>
  <si>
    <t>HURUMA</t>
  </si>
  <si>
    <t>T726DCD</t>
  </si>
  <si>
    <t>Jafary</t>
  </si>
  <si>
    <t>T882DKQ</t>
  </si>
  <si>
    <t>HErman</t>
  </si>
  <si>
    <t>T755CJQ</t>
  </si>
  <si>
    <t>Karume</t>
  </si>
  <si>
    <t>T880DKQ</t>
  </si>
  <si>
    <t>PRISCUS</t>
  </si>
  <si>
    <t>hURUMA</t>
  </si>
  <si>
    <t>T391DQR</t>
  </si>
  <si>
    <t>JOSEPH</t>
  </si>
  <si>
    <t>T827CUD</t>
  </si>
  <si>
    <t>Charles</t>
  </si>
  <si>
    <t>T111CWQ</t>
  </si>
  <si>
    <t>RICHARD</t>
  </si>
  <si>
    <t>14/01/2022</t>
  </si>
  <si>
    <t>T88ODKQ</t>
  </si>
  <si>
    <t>16/01/2022</t>
  </si>
  <si>
    <t>KESSY</t>
  </si>
  <si>
    <t>T254DCP</t>
  </si>
  <si>
    <t>RAFAEL</t>
  </si>
  <si>
    <t>20/01/2022</t>
  </si>
  <si>
    <t>NURU</t>
  </si>
  <si>
    <t>T228CRW</t>
  </si>
  <si>
    <t>Shaban</t>
  </si>
  <si>
    <t>GODLUCK</t>
  </si>
  <si>
    <t>T728CXC</t>
  </si>
  <si>
    <t>PETER</t>
  </si>
  <si>
    <t>21/01/2022</t>
  </si>
  <si>
    <t>FADHILI</t>
  </si>
  <si>
    <t>T662CZG</t>
  </si>
  <si>
    <t>MICHAEL</t>
  </si>
  <si>
    <t>23/01/2022</t>
  </si>
  <si>
    <t>29/01/2022</t>
  </si>
  <si>
    <t>24/01/2022</t>
  </si>
  <si>
    <t>27/01/2022</t>
  </si>
  <si>
    <t>Herman</t>
  </si>
  <si>
    <t>30/01/2022</t>
  </si>
  <si>
    <t>31/01/2022</t>
  </si>
  <si>
    <t>T364AHF</t>
  </si>
  <si>
    <t>T675ANT</t>
  </si>
  <si>
    <t xml:space="preserve">Four Sasons Safari Lodge Serengeti </t>
  </si>
  <si>
    <t>VALUE</t>
  </si>
  <si>
    <t xml:space="preserve">Cost </t>
  </si>
  <si>
    <t>DATE</t>
  </si>
  <si>
    <t>A</t>
  </si>
  <si>
    <t>B</t>
  </si>
  <si>
    <t>C</t>
  </si>
  <si>
    <t xml:space="preserve">Meter Reading </t>
  </si>
  <si>
    <t>Occu</t>
  </si>
  <si>
    <t xml:space="preserve">No.of </t>
  </si>
  <si>
    <t>2Ton%</t>
  </si>
  <si>
    <t>1Ton (%)</t>
  </si>
  <si>
    <t>1Ton%</t>
  </si>
  <si>
    <t>consumption</t>
  </si>
  <si>
    <t>Consumption Kg</t>
  </si>
  <si>
    <t>pax</t>
  </si>
  <si>
    <t>per pax</t>
  </si>
  <si>
    <t>TOTAL USAGE</t>
  </si>
  <si>
    <t>Gen Set Hours Working</t>
  </si>
  <si>
    <t>Occ%</t>
  </si>
  <si>
    <t>Total OCC  Room</t>
  </si>
  <si>
    <t>Guest Room Occ</t>
  </si>
  <si>
    <t>Total Kwh Generated</t>
  </si>
  <si>
    <t xml:space="preserve"> Diesel consumed by Gen (Ltrs)</t>
  </si>
  <si>
    <t xml:space="preserve"> Diesel consumed by Vehicle (Ltrs)</t>
  </si>
  <si>
    <t>Total diesel consumed (Ltrs)</t>
  </si>
  <si>
    <t>Balance stock of Diesel (Ltrs)</t>
  </si>
  <si>
    <t xml:space="preserve">Water consumed </t>
  </si>
  <si>
    <t xml:space="preserve">Gas consumed (KG) </t>
  </si>
  <si>
    <t>GENERATOR NO.1</t>
  </si>
  <si>
    <t>GENERATOR NO.2</t>
  </si>
  <si>
    <t>GENERATOR NO.4</t>
  </si>
  <si>
    <t>GENERATOR NO.5</t>
  </si>
  <si>
    <t>GENERATOR NO.6</t>
  </si>
  <si>
    <t xml:space="preserve">DATE </t>
  </si>
  <si>
    <t>OCC%</t>
  </si>
  <si>
    <t>D-TANK A</t>
  </si>
  <si>
    <t>D-TANK B</t>
  </si>
  <si>
    <t>DELIVERY DATE</t>
  </si>
  <si>
    <t xml:space="preserve">DELIVERY </t>
  </si>
  <si>
    <t>ISSUED-VEHICLE</t>
  </si>
  <si>
    <t>OTHERS</t>
  </si>
  <si>
    <t>M-R LV PANEL 1. KW-HR</t>
  </si>
  <si>
    <t>M-R LV PANEL 2. KW-HR</t>
  </si>
  <si>
    <t xml:space="preserve">OPEN HRS READING </t>
  </si>
  <si>
    <t>CLOSE HRS READING</t>
  </si>
  <si>
    <t>RUNNING HRS</t>
  </si>
  <si>
    <t>TOTAL RUNNING HRS</t>
  </si>
  <si>
    <t>MAX KW</t>
  </si>
  <si>
    <t>MIN-KW</t>
  </si>
  <si>
    <t>TOTAL DIESEL CONS.</t>
  </si>
  <si>
    <t>288..08</t>
  </si>
  <si>
    <t>23/1/2022</t>
  </si>
  <si>
    <t>27/1/2022</t>
  </si>
  <si>
    <t xml:space="preserve">Four Seasons Safari Lodge Serengeti - Water Report </t>
  </si>
  <si>
    <t>Main Meter</t>
  </si>
  <si>
    <t>KITCHEN</t>
  </si>
  <si>
    <t xml:space="preserve">Amani café </t>
  </si>
  <si>
    <t>Main SW POOL</t>
  </si>
  <si>
    <t>Laundry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</si>
  <si>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</si>
  <si>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</si>
  <si>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</si>
  <si>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</si>
  <si>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BORE HOLE NO.5      METER READING</t>
  </si>
  <si>
    <t>BORE HOLE NO.6      METER READING</t>
  </si>
  <si>
    <t>RAIN WATER  - METER READING</t>
  </si>
  <si>
    <t>TOTAL WATER PRODUCTION</t>
  </si>
  <si>
    <t>Open Bal</t>
  </si>
  <si>
    <t>Final</t>
  </si>
  <si>
    <t>Total        consumption</t>
  </si>
  <si>
    <t xml:space="preserve">OPEN </t>
  </si>
  <si>
    <t>FINAL</t>
  </si>
  <si>
    <t>PROD.</t>
  </si>
  <si>
    <t>10/27//2009</t>
  </si>
  <si>
    <t>KL</t>
  </si>
  <si>
    <t xml:space="preserve">WATER TANK LEVEL </t>
  </si>
  <si>
    <t>RAW WATER TANK NO.1</t>
  </si>
  <si>
    <t>RAW WATER TANK NO.2</t>
  </si>
  <si>
    <t xml:space="preserve">TREATED WATER TANK </t>
  </si>
  <si>
    <t xml:space="preserve">TREATED -HILL TANK </t>
  </si>
  <si>
    <t>TOTAL WATER AVAILABLE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</si>
  <si>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</si>
  <si>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</si>
  <si>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</si>
  <si>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</si>
  <si>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cm </t>
  </si>
  <si>
    <t>m³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</si>
  <si>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</si>
  <si>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</si>
  <si>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</si>
  <si>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</si>
  <si>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Usage KG</t>
  </si>
  <si>
    <t>Usage</t>
  </si>
  <si>
    <t>Generator and Diseal Summry Report</t>
  </si>
  <si>
    <t>Diesel Cost</t>
  </si>
  <si>
    <t>Rate$</t>
  </si>
  <si>
    <t xml:space="preserve">% of Gas  balance in Tank </t>
  </si>
  <si>
    <t xml:space="preserve">% of Dieasel balance in Tank </t>
  </si>
  <si>
    <t>HLP Cost (TSH)</t>
  </si>
  <si>
    <t>Total Cost (TSH)</t>
  </si>
  <si>
    <t>Consumption Guest Occ%</t>
  </si>
  <si>
    <t>Budget Cost Per Room occ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</si>
  <si>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</si>
  <si>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</si>
  <si>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</si>
  <si>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</si>
  <si>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>Electricity</t>
  </si>
  <si>
    <t>Cost per Room Total OOC  Usd</t>
  </si>
  <si>
    <t>Cost per Room  Guest OOC  Usd</t>
  </si>
  <si>
    <t xml:space="preserve">Over budget </t>
  </si>
  <si>
    <t>VODACOM AND AIRTEL KWH  METER READING</t>
  </si>
  <si>
    <t>VODACOM TOWER</t>
  </si>
  <si>
    <t>AIRTEL TOWER</t>
  </si>
  <si>
    <t>OPEN METER READING</t>
  </si>
  <si>
    <t>CLOSE METER READING</t>
  </si>
  <si>
    <t>UNIT CONSUMED</t>
  </si>
  <si>
    <t>VODACOM POWER METER READING</t>
  </si>
  <si>
    <t>AITEL POWER METER READING</t>
  </si>
  <si>
    <t>FUEL METER  1 READNG</t>
  </si>
  <si>
    <t>FUEL METER 2 READING</t>
  </si>
  <si>
    <t xml:space="preserve">Diesel consumed </t>
  </si>
  <si>
    <t>HLP-GENSETS</t>
  </si>
  <si>
    <t>DIFFERENCE</t>
  </si>
  <si>
    <t>OPEN METER</t>
  </si>
  <si>
    <t>CLOSE METER</t>
  </si>
  <si>
    <t>DIESEL CONSUMED</t>
  </si>
  <si>
    <t>HLP-VEHICLES</t>
  </si>
  <si>
    <t>DIESEL PUMP 01 READINGS</t>
  </si>
  <si>
    <t>DIESEL PUMP 02 READINGS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</si>
  <si>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</si>
  <si>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</si>
  <si>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</si>
  <si>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</si>
  <si>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</si>
  <si>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VEHICLE CONSUMPTION</t>
  </si>
  <si>
    <t>CONSUMPTION</t>
  </si>
  <si>
    <t>BOREHOLE PRODUCTION</t>
  </si>
  <si>
    <t>RO PRODUCTION</t>
  </si>
  <si>
    <t>LAUNDRY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</si>
</sst>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TSh&quot;* #,##0_-;\-&quot;TSh&quot;* #,##0_-;_-&quot;TSh&quot;* &quot;-&quot;_-;_-@_-"/>
    <numFmt numFmtId="165" formatCode="_-* #,##0_-;\-* #,##0_-;_-* &quot;-&quot;_-;_-@_-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0.0%"/>
    <numFmt numFmtId="171" formatCode="0.0"/>
    <numFmt numFmtId="172" formatCode="_([$TZS]\ * #,##0_);_([$TZS]\ * \(#,##0\);_([$TZS]\ * &quot;-&quot;_);_(@_)"/>
    <numFmt numFmtId="173" formatCode="_([$TZS]\ * #,##0.00_);_([$TZS]\ * \(#,##0.00\);_([$TZS]\ * &quot;-&quot;??_);_(@_)"/>
    <numFmt numFmtId="174" formatCode="0.000"/>
    <numFmt numFmtId="175" formatCode="_(* #,##0.000_);_(* \(#,##0.000\);_(* &quot;-&quot;??_);_(@_)"/>
  </numFmts>
  <fonts count="7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1"/>
      <color rgb="FF000000"/>
      <name val="Arial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name val="Arial"/>
    </font>
    <font>
      <sz val="12"/>
      <name val="Arial"/>
    </font>
    <font>
      <b/>
      <sz val="12"/>
      <color rgb="FF000000"/>
      <name val="Century Gothic"/>
      <family val="2"/>
    </font>
    <font>
      <b/>
      <sz val="12"/>
      <color rgb="FF000000"/>
      <name val="Arial"/>
      <family val="2"/>
    </font>
    <font>
      <b/>
      <sz val="12"/>
      <color rgb="FFFF0000"/>
      <name val="Arial"/>
      <family val="2"/>
    </font>
    <font>
      <b/>
      <sz val="12"/>
      <color rgb="FFFF0000"/>
      <name val="Century Gothic"/>
      <family val="2"/>
    </font>
    <font>
      <sz val="8"/>
      <color rgb="FF000000"/>
      <name val="Century Gothic"/>
      <family val="2"/>
    </font>
    <font>
      <b/>
      <sz val="9"/>
      <color rgb="FF000000"/>
      <name val="Calibri"/>
      <family val="2"/>
    </font>
    <font>
      <sz val="14"/>
      <color rgb="FF000000"/>
      <name val="Calibri"/>
      <family val="2"/>
    </font>
    <font>
      <sz val="8"/>
      <name val="Arial"/>
    </font>
    <font>
      <sz val="10"/>
      <color theme="1"/>
      <name val="Arial"/>
    </font>
    <font>
      <sz val="10"/>
      <color rgb="FF000000"/>
      <name val="Arial"/>
    </font>
    <font>
      <b/>
      <sz val="14"/>
      <color rgb="FF000000"/>
      <name val="Calibri"/>
      <family val="2"/>
    </font>
  </fonts>
  <fills count="5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CCFFFF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DA9694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rgb="FFE26B0A"/>
        <bgColor rgb="FF000000"/>
      </patternFill>
    </fill>
    <fill>
      <patternFill patternType="solid">
        <fgColor rgb="FF538DD5"/>
        <bgColor rgb="FF000000"/>
      </patternFill>
    </fill>
    <fill>
      <patternFill patternType="solid">
        <fgColor rgb="FF948A54"/>
        <bgColor rgb="FF000000"/>
      </patternFill>
    </fill>
    <fill>
      <patternFill patternType="solid">
        <fgColor rgb="FFFFFFFF"/>
        <bgColor indexed="64"/>
      </patternFill>
    </fill>
  </fills>
  <borders count="1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6">
    <xf numFmtId="0" fontId="0" fillId="0" borderId="0"/>
    <xf numFmtId="43" fontId="2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65" fontId="48" fillId="0" borderId="0" applyFont="0" applyFill="0" applyBorder="0" applyAlignment="0" applyProtection="0"/>
    <xf numFmtId="164" fontId="5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2" fillId="0" borderId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1031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/>
    <xf numFmtId="0" fontId="0" fillId="0" borderId="1" xfId="0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3" fillId="0" borderId="23" xfId="0" applyFont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Border="1"/>
    <xf numFmtId="0" fontId="6" fillId="2" borderId="1" xfId="0" applyFont="1" applyFill="1" applyBorder="1"/>
    <xf numFmtId="43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43" fontId="3" fillId="9" borderId="1" xfId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0" fillId="0" borderId="4" xfId="0" applyBorder="1"/>
    <xf numFmtId="44" fontId="0" fillId="0" borderId="1" xfId="3" applyFont="1" applyBorder="1"/>
    <xf numFmtId="4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43" fontId="0" fillId="0" borderId="22" xfId="1" applyFont="1" applyBorder="1"/>
    <xf numFmtId="43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43" fontId="0" fillId="0" borderId="0" xfId="1" applyFont="1"/>
    <xf numFmtId="170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43" fontId="12" fillId="0" borderId="4" xfId="1" applyFont="1" applyBorder="1"/>
    <xf numFmtId="43" fontId="12" fillId="0" borderId="14" xfId="1" applyFont="1" applyBorder="1"/>
    <xf numFmtId="43" fontId="12" fillId="0" borderId="1" xfId="1" applyFont="1" applyBorder="1"/>
    <xf numFmtId="43" fontId="12" fillId="0" borderId="26" xfId="1" applyFont="1" applyBorder="1"/>
    <xf numFmtId="43" fontId="0" fillId="0" borderId="1" xfId="1" applyFont="1" applyBorder="1"/>
    <xf numFmtId="9" fontId="0" fillId="0" borderId="0" xfId="6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44" fontId="0" fillId="0" borderId="9" xfId="3" applyFont="1" applyBorder="1"/>
    <xf numFmtId="44" fontId="0" fillId="0" borderId="8" xfId="3" applyFont="1" applyBorder="1"/>
    <xf numFmtId="44" fontId="0" fillId="0" borderId="10" xfId="3" applyFont="1" applyBorder="1"/>
    <xf numFmtId="44" fontId="8" fillId="0" borderId="1" xfId="3" applyFont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0" fontId="0" fillId="12" borderId="43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3" fillId="18" borderId="0" xfId="0" applyFont="1" applyFill="1" applyAlignment="1">
      <alignment horizontal="center"/>
    </xf>
    <xf numFmtId="0" fontId="3" fillId="18" borderId="0" xfId="0" applyFont="1" applyFill="1"/>
    <xf numFmtId="1" fontId="0" fillId="0" borderId="1" xfId="0" applyNumberFormat="1" applyBorder="1"/>
    <xf numFmtId="43" fontId="0" fillId="0" borderId="1" xfId="0" applyNumberFormat="1" applyBorder="1"/>
    <xf numFmtId="43" fontId="0" fillId="19" borderId="1" xfId="0" applyNumberFormat="1" applyFill="1" applyBorder="1"/>
    <xf numFmtId="0" fontId="0" fillId="20" borderId="1" xfId="0" applyFill="1" applyBorder="1"/>
    <xf numFmtId="1" fontId="0" fillId="21" borderId="1" xfId="0" applyNumberFormat="1" applyFill="1" applyBorder="1"/>
    <xf numFmtId="0" fontId="7" fillId="2" borderId="4" xfId="0" applyFont="1" applyFill="1" applyBorder="1" applyAlignment="1">
      <alignment horizontal="center"/>
    </xf>
    <xf numFmtId="171" fontId="0" fillId="0" borderId="0" xfId="0" applyNumberFormat="1"/>
    <xf numFmtId="0" fontId="25" fillId="16" borderId="0" xfId="0" applyFont="1" applyFill="1" applyAlignment="1">
      <alignment wrapText="1"/>
    </xf>
    <xf numFmtId="0" fontId="19" fillId="16" borderId="64" xfId="0" applyFont="1" applyFill="1" applyBorder="1" applyAlignment="1">
      <alignment horizontal="center" vertical="center" wrapText="1"/>
    </xf>
    <xf numFmtId="0" fontId="19" fillId="16" borderId="65" xfId="0" applyFont="1" applyFill="1" applyBorder="1" applyAlignment="1">
      <alignment horizont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0" xfId="0" applyFont="1" applyFill="1" applyAlignment="1">
      <alignment horizontal="center" vertical="center" wrapText="1"/>
    </xf>
    <xf numFmtId="172" fontId="0" fillId="0" borderId="0" xfId="0" applyNumberFormat="1"/>
    <xf numFmtId="173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69" xfId="0" applyFont="1" applyFill="1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2" borderId="54" xfId="0" applyNumberFormat="1" applyFill="1" applyBorder="1"/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43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24" xfId="0" applyFont="1" applyBorder="1" applyAlignment="1">
      <alignment horizontal="center"/>
    </xf>
    <xf numFmtId="4" fontId="4" fillId="0" borderId="0" xfId="0" applyNumberFormat="1" applyFont="1" applyAlignment="1">
      <alignment horizontal="center"/>
    </xf>
    <xf numFmtId="0" fontId="4" fillId="0" borderId="4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4" xfId="0" applyFont="1" applyBorder="1" applyAlignment="1">
      <alignment horizontal="center"/>
    </xf>
    <xf numFmtId="43" fontId="16" fillId="16" borderId="4" xfId="1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3" borderId="24" xfId="0" applyFont="1" applyFill="1" applyBorder="1" applyAlignment="1">
      <alignment horizontal="center"/>
    </xf>
    <xf numFmtId="43" fontId="16" fillId="0" borderId="1" xfId="1" applyFont="1" applyBorder="1" applyAlignment="1">
      <alignment horizontal="center"/>
    </xf>
    <xf numFmtId="43" fontId="16" fillId="0" borderId="22" xfId="1" applyFont="1" applyBorder="1" applyAlignment="1">
      <alignment horizontal="center"/>
    </xf>
    <xf numFmtId="43" fontId="16" fillId="16" borderId="1" xfId="1" applyFont="1" applyFill="1" applyBorder="1" applyAlignment="1">
      <alignment horizontal="center"/>
    </xf>
    <xf numFmtId="43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43" fontId="11" fillId="9" borderId="1" xfId="1" applyFont="1" applyFill="1" applyBorder="1" applyAlignment="1">
      <alignment horizontal="center"/>
    </xf>
    <xf numFmtId="169" fontId="11" fillId="0" borderId="1" xfId="0" applyNumberFormat="1" applyFont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43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4" fillId="5" borderId="62" xfId="0" applyFont="1" applyFill="1" applyBorder="1" applyAlignment="1">
      <alignment horizontal="center"/>
    </xf>
    <xf numFmtId="0" fontId="34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0" fontId="10" fillId="8" borderId="0" xfId="0" applyFont="1" applyFill="1"/>
    <xf numFmtId="0" fontId="32" fillId="0" borderId="0" xfId="0" applyFont="1" applyAlignment="1">
      <alignment horizontal="center"/>
    </xf>
    <xf numFmtId="9" fontId="4" fillId="0" borderId="0" xfId="6" applyFont="1" applyAlignment="1">
      <alignment horizontal="center"/>
    </xf>
    <xf numFmtId="43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0" fillId="0" borderId="48" xfId="0" applyBorder="1"/>
    <xf numFmtId="0" fontId="0" fillId="7" borderId="5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6" xfId="4" applyFont="1" applyFill="1" applyBorder="1" applyAlignment="1">
      <alignment horizontal="center"/>
    </xf>
    <xf numFmtId="166" fontId="35" fillId="0" borderId="1" xfId="2" applyNumberFormat="1" applyFont="1" applyFill="1" applyBorder="1" applyAlignment="1">
      <alignment horizontal="center"/>
    </xf>
    <xf numFmtId="169" fontId="5" fillId="0" borderId="26" xfId="0" applyNumberFormat="1" applyFont="1" applyBorder="1" applyAlignment="1">
      <alignment horizontal="center"/>
    </xf>
    <xf numFmtId="0" fontId="23" fillId="0" borderId="32" xfId="0" applyFont="1" applyBorder="1" applyAlignment="1">
      <alignment horizontal="center" vertical="center"/>
    </xf>
    <xf numFmtId="0" fontId="0" fillId="28" borderId="8" xfId="0" applyFill="1" applyBorder="1" applyAlignment="1">
      <alignment horizontal="center" wrapText="1"/>
    </xf>
    <xf numFmtId="0" fontId="4" fillId="0" borderId="1" xfId="0" applyFont="1" applyBorder="1"/>
    <xf numFmtId="0" fontId="6" fillId="29" borderId="22" xfId="0" applyFont="1" applyFill="1" applyBorder="1"/>
    <xf numFmtId="0" fontId="39" fillId="0" borderId="1" xfId="0" applyFont="1" applyBorder="1"/>
    <xf numFmtId="1" fontId="36" fillId="0" borderId="1" xfId="0" applyNumberFormat="1" applyFont="1" applyBorder="1"/>
    <xf numFmtId="43" fontId="15" fillId="11" borderId="22" xfId="1" applyFont="1" applyFill="1" applyBorder="1" applyAlignment="1">
      <alignment horizontal="center"/>
    </xf>
    <xf numFmtId="0" fontId="0" fillId="0" borderId="35" xfId="0" applyBorder="1"/>
    <xf numFmtId="14" fontId="0" fillId="16" borderId="0" xfId="0" applyNumberFormat="1" applyFill="1"/>
    <xf numFmtId="166" fontId="0" fillId="16" borderId="0" xfId="1" applyNumberFormat="1" applyFont="1" applyFill="1" applyBorder="1"/>
    <xf numFmtId="9" fontId="0" fillId="16" borderId="0" xfId="0" applyNumberFormat="1" applyFill="1"/>
    <xf numFmtId="43" fontId="0" fillId="16" borderId="0" xfId="0" applyNumberFormat="1" applyFill="1"/>
    <xf numFmtId="0" fontId="0" fillId="16" borderId="0" xfId="0" applyFill="1"/>
    <xf numFmtId="43" fontId="33" fillId="7" borderId="1" xfId="0" applyNumberFormat="1" applyFont="1" applyFill="1" applyBorder="1" applyAlignment="1">
      <alignment horizontal="center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43" fontId="0" fillId="11" borderId="1" xfId="0" applyNumberFormat="1" applyFill="1" applyBorder="1"/>
    <xf numFmtId="9" fontId="0" fillId="20" borderId="1" xfId="0" applyNumberFormat="1" applyFill="1" applyBorder="1"/>
    <xf numFmtId="43" fontId="16" fillId="16" borderId="12" xfId="1" applyFont="1" applyFill="1" applyBorder="1" applyAlignment="1">
      <alignment horizontal="center"/>
    </xf>
    <xf numFmtId="43" fontId="16" fillId="16" borderId="22" xfId="1" applyFont="1" applyFill="1" applyBorder="1" applyAlignment="1">
      <alignment horizontal="center"/>
    </xf>
    <xf numFmtId="43" fontId="16" fillId="0" borderId="55" xfId="1" applyFont="1" applyBorder="1" applyAlignment="1">
      <alignment horizontal="center"/>
    </xf>
    <xf numFmtId="0" fontId="0" fillId="11" borderId="38" xfId="0" applyFill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0" fillId="36" borderId="26" xfId="0" applyFill="1" applyBorder="1"/>
    <xf numFmtId="0" fontId="0" fillId="0" borderId="26" xfId="0" applyBorder="1"/>
    <xf numFmtId="0" fontId="0" fillId="36" borderId="1" xfId="0" applyFill="1" applyBorder="1"/>
    <xf numFmtId="0" fontId="0" fillId="13" borderId="26" xfId="0" applyFill="1" applyBorder="1"/>
    <xf numFmtId="43" fontId="10" fillId="8" borderId="38" xfId="0" applyNumberFormat="1" applyFont="1" applyFill="1" applyBorder="1" applyAlignment="1">
      <alignment horizontal="center"/>
    </xf>
    <xf numFmtId="0" fontId="10" fillId="0" borderId="28" xfId="0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3" fillId="7" borderId="4" xfId="0" applyFont="1" applyFill="1" applyBorder="1" applyAlignment="1">
      <alignment horizontal="center"/>
    </xf>
    <xf numFmtId="43" fontId="10" fillId="8" borderId="30" xfId="0" applyNumberFormat="1" applyFont="1" applyFill="1" applyBorder="1" applyAlignment="1">
      <alignment horizontal="center"/>
    </xf>
    <xf numFmtId="43" fontId="22" fillId="0" borderId="0" xfId="0" applyNumberFormat="1" applyFont="1" applyAlignment="1">
      <alignment horizontal="center"/>
    </xf>
    <xf numFmtId="0" fontId="22" fillId="0" borderId="0" xfId="0" applyFont="1" applyAlignment="1">
      <alignment horizontal="left"/>
    </xf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0" fontId="23" fillId="0" borderId="33" xfId="0" applyFont="1" applyBorder="1" applyAlignment="1">
      <alignment horizontal="center" vertical="center"/>
    </xf>
    <xf numFmtId="0" fontId="23" fillId="0" borderId="33" xfId="0" applyFont="1" applyBorder="1" applyAlignment="1">
      <alignment horizontal="center" vertical="center" wrapText="1"/>
    </xf>
    <xf numFmtId="0" fontId="23" fillId="0" borderId="61" xfId="0" applyFont="1" applyBorder="1" applyAlignment="1">
      <alignment horizontal="center" vertical="center" wrapText="1"/>
    </xf>
    <xf numFmtId="0" fontId="23" fillId="0" borderId="32" xfId="0" applyFont="1" applyBorder="1" applyAlignment="1">
      <alignment horizontal="center" vertical="center" wrapText="1"/>
    </xf>
    <xf numFmtId="0" fontId="23" fillId="0" borderId="30" xfId="0" applyFont="1" applyBorder="1" applyAlignment="1">
      <alignment horizontal="center" vertical="center" wrapText="1"/>
    </xf>
    <xf numFmtId="0" fontId="23" fillId="0" borderId="61" xfId="0" applyFont="1" applyBorder="1" applyAlignment="1">
      <alignment horizontal="center" vertical="center"/>
    </xf>
    <xf numFmtId="0" fontId="23" fillId="0" borderId="38" xfId="0" applyFont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43" fontId="4" fillId="0" borderId="9" xfId="1" applyFont="1" applyBorder="1" applyAlignment="1">
      <alignment horizontal="center"/>
    </xf>
    <xf numFmtId="0" fontId="4" fillId="34" borderId="58" xfId="0" applyFont="1" applyFill="1" applyBorder="1" applyAlignment="1">
      <alignment horizontal="center"/>
    </xf>
    <xf numFmtId="0" fontId="4" fillId="34" borderId="60" xfId="0" applyFont="1" applyFill="1" applyBorder="1" applyAlignment="1">
      <alignment horizontal="center"/>
    </xf>
    <xf numFmtId="0" fontId="4" fillId="34" borderId="59" xfId="0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Font="1" applyBorder="1" applyAlignment="1">
      <alignment horizontal="center"/>
    </xf>
    <xf numFmtId="0" fontId="10" fillId="0" borderId="30" xfId="0" applyFont="1" applyBorder="1" applyAlignment="1">
      <alignment horizontal="center"/>
    </xf>
    <xf numFmtId="0" fontId="10" fillId="0" borderId="31" xfId="0" applyFont="1" applyBorder="1" applyAlignment="1">
      <alignment horizontal="center"/>
    </xf>
    <xf numFmtId="0" fontId="10" fillId="3" borderId="32" xfId="0" applyFont="1" applyFill="1" applyBorder="1" applyAlignment="1">
      <alignment horizontal="center"/>
    </xf>
    <xf numFmtId="0" fontId="10" fillId="3" borderId="33" xfId="0" applyFont="1" applyFill="1" applyBorder="1" applyAlignment="1">
      <alignment horizontal="center"/>
    </xf>
    <xf numFmtId="0" fontId="10" fillId="3" borderId="34" xfId="0" applyFont="1" applyFill="1" applyBorder="1" applyAlignment="1">
      <alignment horizontal="center"/>
    </xf>
    <xf numFmtId="0" fontId="11" fillId="3" borderId="33" xfId="0" applyFont="1" applyFill="1" applyBorder="1" applyAlignment="1">
      <alignment horizontal="center"/>
    </xf>
    <xf numFmtId="0" fontId="10" fillId="3" borderId="30" xfId="0" applyFont="1" applyFill="1" applyBorder="1" applyAlignment="1">
      <alignment horizontal="center"/>
    </xf>
    <xf numFmtId="0" fontId="10" fillId="3" borderId="61" xfId="0" applyFont="1" applyFill="1" applyBorder="1" applyAlignment="1">
      <alignment horizontal="center"/>
    </xf>
    <xf numFmtId="0" fontId="16" fillId="0" borderId="26" xfId="0" applyFont="1" applyBorder="1" applyAlignment="1">
      <alignment horizontal="center"/>
    </xf>
    <xf numFmtId="43" fontId="15" fillId="11" borderId="26" xfId="1" applyFont="1" applyFill="1" applyBorder="1" applyAlignment="1">
      <alignment horizontal="center"/>
    </xf>
    <xf numFmtId="0" fontId="10" fillId="11" borderId="38" xfId="0" applyFont="1" applyFill="1" applyBorder="1" applyAlignment="1">
      <alignment horizontal="center"/>
    </xf>
    <xf numFmtId="43" fontId="11" fillId="9" borderId="26" xfId="1" applyFont="1" applyFill="1" applyBorder="1" applyAlignment="1">
      <alignment horizontal="center"/>
    </xf>
    <xf numFmtId="43" fontId="16" fillId="16" borderId="15" xfId="1" applyFont="1" applyFill="1" applyBorder="1" applyAlignment="1">
      <alignment horizontal="center"/>
    </xf>
    <xf numFmtId="43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43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6" fillId="0" borderId="1" xfId="2" applyNumberFormat="1" applyFont="1" applyBorder="1"/>
    <xf numFmtId="0" fontId="47" fillId="0" borderId="1" xfId="0" applyFont="1" applyBorder="1"/>
    <xf numFmtId="0" fontId="4" fillId="0" borderId="1" xfId="0" applyFont="1" applyBorder="1" applyAlignment="1">
      <alignment horizontal="center"/>
    </xf>
    <xf numFmtId="0" fontId="25" fillId="0" borderId="89" xfId="0" applyFont="1" applyBorder="1"/>
    <xf numFmtId="0" fontId="26" fillId="0" borderId="0" xfId="0" applyFont="1" applyAlignment="1">
      <alignment horizontal="center"/>
    </xf>
    <xf numFmtId="0" fontId="19" fillId="14" borderId="38" xfId="0" applyFont="1" applyFill="1" applyBorder="1" applyAlignment="1">
      <alignment horizontal="center" wrapText="1"/>
    </xf>
    <xf numFmtId="165" fontId="0" fillId="0" borderId="40" xfId="9" applyFont="1" applyBorder="1" applyAlignment="1">
      <alignment horizontal="center" vertical="center"/>
    </xf>
    <xf numFmtId="165" fontId="0" fillId="0" borderId="49" xfId="9" applyFont="1" applyBorder="1" applyAlignment="1">
      <alignment horizontal="center" vertical="center"/>
    </xf>
    <xf numFmtId="165" fontId="0" fillId="0" borderId="16" xfId="9" applyFont="1" applyBorder="1" applyAlignment="1">
      <alignment horizontal="center" vertical="center"/>
    </xf>
    <xf numFmtId="165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0" fontId="19" fillId="0" borderId="0" xfId="0" applyFont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4" fillId="0" borderId="48" xfId="0" applyFont="1" applyBorder="1" applyAlignment="1">
      <alignment horizontal="center"/>
    </xf>
    <xf numFmtId="1" fontId="54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7" borderId="33" xfId="0" applyFont="1" applyFill="1" applyBorder="1" applyAlignment="1">
      <alignment horizontal="center"/>
    </xf>
    <xf numFmtId="0" fontId="55" fillId="0" borderId="48" xfId="0" applyFont="1" applyBorder="1" applyAlignment="1">
      <alignment horizontal="center" wrapText="1"/>
    </xf>
    <xf numFmtId="2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23" borderId="54" xfId="1" applyNumberFormat="1" applyFont="1" applyFill="1" applyBorder="1"/>
    <xf numFmtId="166" fontId="2" fillId="23" borderId="49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44" fontId="2" fillId="12" borderId="1" xfId="3" applyFont="1" applyFill="1" applyBorder="1"/>
    <xf numFmtId="4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43" fontId="16" fillId="0" borderId="5" xfId="1" applyFont="1" applyFill="1" applyBorder="1" applyAlignment="1">
      <alignment horizontal="center"/>
    </xf>
    <xf numFmtId="165" fontId="0" fillId="0" borderId="90" xfId="9" applyFont="1" applyBorder="1" applyAlignment="1">
      <alignment horizontal="center" vertical="center"/>
    </xf>
    <xf numFmtId="165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14" fontId="38" fillId="0" borderId="16" xfId="0" applyNumberFormat="1" applyFont="1" applyBorder="1" applyAlignment="1">
      <alignment vertical="top"/>
    </xf>
    <xf numFmtId="43" fontId="0" fillId="0" borderId="8" xfId="0" applyNumberFormat="1" applyBorder="1"/>
    <xf numFmtId="0" fontId="0" fillId="0" borderId="8" xfId="0" applyBorder="1"/>
    <xf numFmtId="43" fontId="0" fillId="0" borderId="9" xfId="0" applyNumberFormat="1" applyBorder="1"/>
    <xf numFmtId="43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4" fillId="0" borderId="33" xfId="0" applyFont="1" applyBorder="1" applyAlignment="1">
      <alignment horizontal="center"/>
    </xf>
    <xf numFmtId="1" fontId="54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0" fontId="0" fillId="16" borderId="26" xfId="0" applyFill="1" applyBorder="1"/>
    <xf numFmtId="0" fontId="19" fillId="0" borderId="80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43" fontId="3" fillId="9" borderId="1" xfId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1" xfId="0" applyFont="1" applyBorder="1" applyAlignment="1">
      <alignment horizontal="center" vertical="top" wrapText="1"/>
    </xf>
    <xf numFmtId="0" fontId="0" fillId="34" borderId="16" xfId="0" applyFill="1" applyBorder="1" applyAlignment="1">
      <alignment horizontal="center" wrapText="1"/>
    </xf>
    <xf numFmtId="0" fontId="10" fillId="0" borderId="34" xfId="1" applyNumberFormat="1" applyFont="1" applyFill="1" applyBorder="1" applyAlignment="1">
      <alignment horizontal="center" vertical="center" wrapText="1"/>
    </xf>
    <xf numFmtId="43" fontId="16" fillId="0" borderId="8" xfId="1" applyFont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43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/>
    <xf numFmtId="0" fontId="4" fillId="7" borderId="61" xfId="0" applyFont="1" applyFill="1" applyBorder="1" applyAlignment="1">
      <alignment wrapText="1"/>
    </xf>
    <xf numFmtId="0" fontId="4" fillId="0" borderId="9" xfId="0" applyFont="1" applyBorder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/>
    <xf numFmtId="0" fontId="4" fillId="0" borderId="16" xfId="0" applyFont="1" applyBorder="1"/>
    <xf numFmtId="0" fontId="39" fillId="0" borderId="16" xfId="0" applyFont="1" applyBorder="1"/>
    <xf numFmtId="0" fontId="4" fillId="0" borderId="21" xfId="0" applyFont="1" applyBorder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/>
    <xf numFmtId="0" fontId="37" fillId="37" borderId="11" xfId="0" applyFont="1" applyFill="1" applyBorder="1"/>
    <xf numFmtId="0" fontId="37" fillId="37" borderId="28" xfId="0" applyFont="1" applyFill="1" applyBorder="1"/>
    <xf numFmtId="0" fontId="37" fillId="37" borderId="12" xfId="0" applyFont="1" applyFill="1" applyBorder="1"/>
    <xf numFmtId="0" fontId="3" fillId="37" borderId="12" xfId="0" applyFont="1" applyFill="1" applyBorder="1" applyAlignment="1">
      <alignment horizontal="center" vertical="center"/>
    </xf>
    <xf numFmtId="14" fontId="0" fillId="0" borderId="0" xfId="0" applyNumberFormat="1"/>
    <xf numFmtId="0" fontId="58" fillId="0" borderId="0" xfId="0" applyFont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0" fontId="4" fillId="0" borderId="6" xfId="0" applyFont="1" applyBorder="1" applyAlignment="1">
      <alignment horizontal="center"/>
    </xf>
    <xf numFmtId="43" fontId="16" fillId="16" borderId="55" xfId="1" applyFont="1" applyFill="1" applyBorder="1" applyAlignment="1">
      <alignment horizontal="center"/>
    </xf>
    <xf numFmtId="14" fontId="4" fillId="0" borderId="49" xfId="0" applyNumberFormat="1" applyFont="1" applyBorder="1"/>
    <xf numFmtId="14" fontId="4" fillId="0" borderId="8" xfId="0" applyNumberFormat="1" applyFont="1" applyBorder="1"/>
    <xf numFmtId="14" fontId="4" fillId="0" borderId="10" xfId="0" applyNumberFormat="1" applyFont="1" applyBorder="1"/>
    <xf numFmtId="14" fontId="4" fillId="0" borderId="17" xfId="0" applyNumberFormat="1" applyFont="1" applyBorder="1"/>
    <xf numFmtId="14" fontId="4" fillId="0" borderId="7" xfId="0" applyNumberFormat="1" applyFont="1" applyBorder="1"/>
    <xf numFmtId="0" fontId="4" fillId="7" borderId="60" xfId="0" applyFont="1" applyFill="1" applyBorder="1" applyAlignment="1">
      <alignment horizontal="center"/>
    </xf>
    <xf numFmtId="0" fontId="4" fillId="7" borderId="93" xfId="0" applyFont="1" applyFill="1" applyBorder="1" applyAlignment="1">
      <alignment horizontal="center" wrapText="1"/>
    </xf>
    <xf numFmtId="0" fontId="4" fillId="7" borderId="59" xfId="0" applyFont="1" applyFill="1" applyBorder="1" applyAlignment="1">
      <alignment horizontal="center" wrapText="1"/>
    </xf>
    <xf numFmtId="0" fontId="41" fillId="0" borderId="1" xfId="0" applyFont="1" applyBorder="1" applyAlignment="1">
      <alignment horizontal="center"/>
    </xf>
    <xf numFmtId="0" fontId="39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3" xfId="0" applyFont="1" applyFill="1" applyBorder="1" applyAlignment="1">
      <alignment horizontal="center"/>
    </xf>
    <xf numFmtId="0" fontId="4" fillId="7" borderId="80" xfId="0" applyFont="1" applyFill="1" applyBorder="1" applyAlignment="1">
      <alignment horizontal="center"/>
    </xf>
    <xf numFmtId="43" fontId="15" fillId="11" borderId="12" xfId="1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0" fontId="11" fillId="8" borderId="80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3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43" fontId="11" fillId="8" borderId="61" xfId="1" applyFont="1" applyFill="1" applyBorder="1" applyAlignment="1">
      <alignment horizontal="center"/>
    </xf>
    <xf numFmtId="43" fontId="16" fillId="0" borderId="35" xfId="1" applyFont="1" applyBorder="1" applyAlignment="1">
      <alignment horizontal="center"/>
    </xf>
    <xf numFmtId="43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43" fontId="16" fillId="0" borderId="6" xfId="1" applyFont="1" applyBorder="1" applyAlignment="1">
      <alignment horizontal="center"/>
    </xf>
    <xf numFmtId="43" fontId="16" fillId="0" borderId="42" xfId="1" applyFont="1" applyBorder="1" applyAlignment="1">
      <alignment horizontal="center"/>
    </xf>
    <xf numFmtId="43" fontId="16" fillId="0" borderId="9" xfId="1" applyFont="1" applyBorder="1" applyAlignment="1">
      <alignment horizontal="center"/>
    </xf>
    <xf numFmtId="43" fontId="16" fillId="0" borderId="92" xfId="1" applyFont="1" applyBorder="1" applyAlignment="1">
      <alignment horizontal="center"/>
    </xf>
    <xf numFmtId="43" fontId="16" fillId="16" borderId="13" xfId="1" applyFont="1" applyFill="1" applyBorder="1" applyAlignment="1">
      <alignment horizontal="center"/>
    </xf>
    <xf numFmtId="43" fontId="16" fillId="16" borderId="5" xfId="1" applyFont="1" applyFill="1" applyBorder="1" applyAlignment="1">
      <alignment horizontal="center"/>
    </xf>
    <xf numFmtId="43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43" fontId="11" fillId="11" borderId="17" xfId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3" xfId="1" applyNumberFormat="1" applyFont="1" applyFill="1" applyBorder="1" applyAlignment="1">
      <alignment horizontal="center"/>
    </xf>
    <xf numFmtId="43" fontId="11" fillId="11" borderId="16" xfId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5" fillId="0" borderId="30" xfId="0" applyFont="1" applyBorder="1"/>
    <xf numFmtId="3" fontId="0" fillId="28" borderId="80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4" xfId="0" applyFont="1" applyFill="1" applyBorder="1"/>
    <xf numFmtId="169" fontId="5" fillId="0" borderId="17" xfId="0" applyNumberFormat="1" applyFont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5" fillId="0" borderId="16" xfId="0" applyNumberFormat="1" applyFont="1" applyBorder="1" applyAlignment="1">
      <alignment horizontal="center"/>
    </xf>
    <xf numFmtId="0" fontId="25" fillId="23" borderId="9" xfId="0" applyFont="1" applyFill="1" applyBorder="1"/>
    <xf numFmtId="0" fontId="0" fillId="28" borderId="6" xfId="0" applyFill="1" applyBorder="1" applyAlignment="1">
      <alignment horizontal="center" vertical="center" wrapText="1"/>
    </xf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26" fillId="0" borderId="9" xfId="0" applyFont="1" applyBorder="1"/>
    <xf numFmtId="43" fontId="10" fillId="0" borderId="0" xfId="0" applyNumberFormat="1" applyFont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6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5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3" xfId="0" applyFont="1" applyFill="1" applyBorder="1" applyAlignment="1">
      <alignment horizontal="center"/>
    </xf>
    <xf numFmtId="0" fontId="4" fillId="34" borderId="95" xfId="0" applyFont="1" applyFill="1" applyBorder="1" applyAlignment="1">
      <alignment horizontal="center"/>
    </xf>
    <xf numFmtId="0" fontId="4" fillId="34" borderId="38" xfId="0" applyFont="1" applyFill="1" applyBorder="1" applyAlignment="1">
      <alignment horizontal="center"/>
    </xf>
    <xf numFmtId="0" fontId="19" fillId="12" borderId="0" xfId="0" applyFont="1" applyFill="1" applyAlignment="1">
      <alignment horizontal="center" vertical="center" wrapText="1"/>
    </xf>
    <xf numFmtId="169" fontId="17" fillId="0" borderId="1" xfId="0" applyNumberFormat="1" applyFont="1" applyBorder="1" applyAlignment="1">
      <alignment horizontal="center"/>
    </xf>
    <xf numFmtId="3" fontId="0" fillId="0" borderId="1" xfId="0" applyNumberFormat="1" applyBorder="1"/>
    <xf numFmtId="3" fontId="0" fillId="28" borderId="1" xfId="0" applyNumberFormat="1" applyFill="1" applyBorder="1" applyAlignment="1">
      <alignment horizontal="center" vertical="center" wrapText="1"/>
    </xf>
    <xf numFmtId="44" fontId="25" fillId="0" borderId="1" xfId="3" applyFont="1" applyBorder="1"/>
    <xf numFmtId="10" fontId="0" fillId="0" borderId="1" xfId="6" applyNumberFormat="1" applyFont="1" applyBorder="1" applyAlignment="1">
      <alignment horizontal="center" vertical="center" wrapText="1"/>
    </xf>
    <xf numFmtId="169" fontId="17" fillId="0" borderId="6" xfId="0" applyNumberFormat="1" applyFont="1" applyBorder="1" applyAlignment="1">
      <alignment horizontal="center"/>
    </xf>
    <xf numFmtId="3" fontId="0" fillId="0" borderId="6" xfId="0" applyNumberFormat="1" applyBorder="1"/>
    <xf numFmtId="3" fontId="0" fillId="28" borderId="6" xfId="0" applyNumberFormat="1" applyFill="1" applyBorder="1" applyAlignment="1">
      <alignment horizontal="center" vertical="center" wrapText="1"/>
    </xf>
    <xf numFmtId="10" fontId="0" fillId="0" borderId="6" xfId="6" applyNumberFormat="1" applyFont="1" applyBorder="1" applyAlignment="1">
      <alignment horizontal="center" vertical="center" wrapText="1"/>
    </xf>
    <xf numFmtId="0" fontId="25" fillId="0" borderId="8" xfId="0" applyFont="1" applyBorder="1"/>
    <xf numFmtId="169" fontId="17" fillId="0" borderId="9" xfId="0" applyNumberFormat="1" applyFont="1" applyBorder="1" applyAlignment="1">
      <alignment horizontal="center"/>
    </xf>
    <xf numFmtId="3" fontId="0" fillId="28" borderId="9" xfId="0" applyNumberFormat="1" applyFill="1" applyBorder="1" applyAlignment="1">
      <alignment horizontal="center" vertical="center" wrapText="1"/>
    </xf>
    <xf numFmtId="44" fontId="25" fillId="0" borderId="9" xfId="3" applyFont="1" applyBorder="1"/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6" borderId="45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166" fontId="2" fillId="15" borderId="6" xfId="1" applyNumberFormat="1" applyFont="1" applyFill="1" applyBorder="1"/>
    <xf numFmtId="4" fontId="0" fillId="6" borderId="6" xfId="0" applyNumberFormat="1" applyFill="1" applyBorder="1"/>
    <xf numFmtId="43" fontId="0" fillId="11" borderId="6" xfId="0" applyNumberFormat="1" applyFill="1" applyBorder="1"/>
    <xf numFmtId="1" fontId="0" fillId="13" borderId="7" xfId="0" applyNumberFormat="1" applyFill="1" applyBorder="1"/>
    <xf numFmtId="0" fontId="0" fillId="0" borderId="16" xfId="1" applyNumberFormat="1" applyFont="1" applyBorder="1"/>
    <xf numFmtId="1" fontId="0" fillId="13" borderId="8" xfId="0" applyNumberFormat="1" applyFill="1" applyBorder="1"/>
    <xf numFmtId="9" fontId="0" fillId="14" borderId="9" xfId="0" applyNumberFormat="1" applyFill="1" applyBorder="1"/>
    <xf numFmtId="166" fontId="2" fillId="15" borderId="9" xfId="1" applyNumberFormat="1" applyFont="1" applyFill="1" applyBorder="1"/>
    <xf numFmtId="166" fontId="0" fillId="0" borderId="9" xfId="1" applyNumberFormat="1" applyFont="1" applyBorder="1"/>
    <xf numFmtId="4" fontId="0" fillId="6" borderId="9" xfId="0" applyNumberFormat="1" applyFill="1" applyBorder="1"/>
    <xf numFmtId="43" fontId="0" fillId="11" borderId="9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61" xfId="0" applyFont="1" applyBorder="1" applyAlignment="1">
      <alignment horizontal="center" vertical="top" wrapText="1"/>
    </xf>
    <xf numFmtId="9" fontId="23" fillId="0" borderId="40" xfId="0" applyNumberFormat="1" applyFont="1" applyBorder="1" applyAlignment="1">
      <alignment horizontal="center" vertical="center"/>
    </xf>
    <xf numFmtId="0" fontId="0" fillId="0" borderId="49" xfId="0" applyBorder="1"/>
    <xf numFmtId="0" fontId="0" fillId="0" borderId="97" xfId="0" applyBorder="1"/>
    <xf numFmtId="0" fontId="0" fillId="0" borderId="98" xfId="0" applyBorder="1"/>
    <xf numFmtId="169" fontId="5" fillId="0" borderId="41" xfId="0" applyNumberFormat="1" applyFont="1" applyBorder="1" applyAlignment="1">
      <alignment horizontal="center"/>
    </xf>
    <xf numFmtId="169" fontId="5" fillId="0" borderId="2" xfId="0" applyNumberFormat="1" applyFont="1" applyBorder="1" applyAlignment="1">
      <alignment horizontal="center"/>
    </xf>
    <xf numFmtId="0" fontId="0" fillId="16" borderId="6" xfId="0" applyFill="1" applyBorder="1"/>
    <xf numFmtId="0" fontId="23" fillId="0" borderId="6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0" fillId="36" borderId="40" xfId="0" applyFill="1" applyBorder="1"/>
    <xf numFmtId="43" fontId="0" fillId="29" borderId="49" xfId="0" applyNumberFormat="1" applyFill="1" applyBorder="1"/>
    <xf numFmtId="0" fontId="0" fillId="36" borderId="96" xfId="0" applyFill="1" applyBorder="1"/>
    <xf numFmtId="0" fontId="0" fillId="36" borderId="97" xfId="0" applyFill="1" applyBorder="1"/>
    <xf numFmtId="0" fontId="0" fillId="36" borderId="9" xfId="0" applyFill="1" applyBorder="1"/>
    <xf numFmtId="0" fontId="0" fillId="13" borderId="97" xfId="0" applyFill="1" applyBorder="1"/>
    <xf numFmtId="166" fontId="0" fillId="12" borderId="43" xfId="0" applyNumberFormat="1" applyFill="1" applyBorder="1"/>
    <xf numFmtId="166" fontId="0" fillId="12" borderId="44" xfId="0" applyNumberFormat="1" applyFill="1" applyBorder="1"/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0" fillId="12" borderId="50" xfId="0" applyNumberFormat="1" applyFill="1" applyBorder="1"/>
    <xf numFmtId="0" fontId="46" fillId="0" borderId="16" xfId="0" applyFont="1" applyBorder="1" applyAlignment="1">
      <alignment horizontal="center" vertical="center" wrapText="1"/>
    </xf>
    <xf numFmtId="2" fontId="38" fillId="16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3" borderId="27" xfId="1" applyNumberFormat="1" applyFont="1" applyFill="1" applyBorder="1"/>
    <xf numFmtId="0" fontId="19" fillId="0" borderId="16" xfId="0" applyFont="1" applyBorder="1" applyAlignment="1">
      <alignment horizontal="center" vertical="center" wrapText="1"/>
    </xf>
    <xf numFmtId="166" fontId="2" fillId="23" borderId="23" xfId="1" applyNumberFormat="1" applyFont="1" applyFill="1" applyBorder="1"/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3" borderId="43" xfId="1" applyNumberFormat="1" applyFont="1" applyFill="1" applyBorder="1"/>
    <xf numFmtId="166" fontId="2" fillId="23" borderId="41" xfId="1" applyNumberFormat="1" applyFont="1" applyFill="1" applyBorder="1"/>
    <xf numFmtId="0" fontId="19" fillId="0" borderId="7" xfId="0" applyFont="1" applyBorder="1" applyAlignment="1">
      <alignment horizontal="center" vertical="center" wrapText="1"/>
    </xf>
    <xf numFmtId="0" fontId="0" fillId="12" borderId="49" xfId="0" applyFill="1" applyBorder="1"/>
    <xf numFmtId="0" fontId="0" fillId="12" borderId="98" xfId="0" applyFill="1" applyBorder="1"/>
    <xf numFmtId="9" fontId="19" fillId="12" borderId="17" xfId="0" applyNumberFormat="1" applyFont="1" applyFill="1" applyBorder="1" applyAlignment="1">
      <alignment horizontal="center" vertical="center" wrapText="1"/>
    </xf>
    <xf numFmtId="9" fontId="19" fillId="12" borderId="6" xfId="0" applyNumberFormat="1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/>
    </xf>
    <xf numFmtId="166" fontId="2" fillId="12" borderId="1" xfId="1" applyNumberFormat="1" applyFont="1" applyFill="1" applyBorder="1"/>
    <xf numFmtId="0" fontId="19" fillId="0" borderId="78" xfId="0" applyFont="1" applyBorder="1" applyAlignment="1">
      <alignment horizontal="center" vertical="center" wrapText="1"/>
    </xf>
    <xf numFmtId="166" fontId="2" fillId="12" borderId="63" xfId="1" applyNumberFormat="1" applyFont="1" applyFill="1" applyBorder="1"/>
    <xf numFmtId="166" fontId="8" fillId="12" borderId="91" xfId="1" applyNumberFormat="1" applyFont="1" applyFill="1" applyBorder="1"/>
    <xf numFmtId="166" fontId="0" fillId="0" borderId="17" xfId="1" applyNumberFormat="1" applyFont="1" applyBorder="1"/>
    <xf numFmtId="166" fontId="2" fillId="23" borderId="16" xfId="1" applyNumberFormat="1" applyFont="1" applyFill="1" applyBorder="1"/>
    <xf numFmtId="166" fontId="2" fillId="23" borderId="21" xfId="1" applyNumberFormat="1" applyFont="1" applyFill="1" applyBorder="1"/>
    <xf numFmtId="166" fontId="2" fillId="23" borderId="50" xfId="1" applyNumberFormat="1" applyFont="1" applyFill="1" applyBorder="1"/>
    <xf numFmtId="166" fontId="2" fillId="23" borderId="98" xfId="1" applyNumberFormat="1" applyFont="1" applyFill="1" applyBorder="1"/>
    <xf numFmtId="166" fontId="2" fillId="23" borderId="99" xfId="1" applyNumberFormat="1" applyFont="1" applyFill="1" applyBorder="1"/>
    <xf numFmtId="166" fontId="2" fillId="23" borderId="2" xfId="1" applyNumberFormat="1" applyFont="1" applyFill="1" applyBorder="1"/>
    <xf numFmtId="9" fontId="19" fillId="12" borderId="7" xfId="0" applyNumberFormat="1" applyFont="1" applyFill="1" applyBorder="1" applyAlignment="1">
      <alignment horizontal="center" vertical="center" wrapText="1"/>
    </xf>
    <xf numFmtId="1" fontId="6" fillId="29" borderId="8" xfId="1" applyNumberFormat="1" applyFont="1" applyFill="1" applyBorder="1"/>
    <xf numFmtId="0" fontId="6" fillId="29" borderId="21" xfId="0" applyFont="1" applyFill="1" applyBorder="1" applyAlignment="1">
      <alignment horizontal="center"/>
    </xf>
    <xf numFmtId="0" fontId="6" fillId="29" borderId="37" xfId="0" applyFont="1" applyFill="1" applyBorder="1"/>
    <xf numFmtId="1" fontId="6" fillId="29" borderId="10" xfId="1" applyNumberFormat="1" applyFont="1" applyFill="1" applyBorder="1"/>
    <xf numFmtId="0" fontId="19" fillId="0" borderId="100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51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vertical="center"/>
    </xf>
    <xf numFmtId="0" fontId="19" fillId="12" borderId="32" xfId="0" applyFont="1" applyFill="1" applyBorder="1" applyAlignment="1">
      <alignment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0" fillId="12" borderId="30" xfId="0" applyFill="1" applyBorder="1"/>
    <xf numFmtId="0" fontId="19" fillId="12" borderId="95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78" xfId="0" applyFont="1" applyBorder="1" applyAlignment="1">
      <alignment vertical="center"/>
    </xf>
    <xf numFmtId="169" fontId="5" fillId="0" borderId="63" xfId="0" applyNumberFormat="1" applyFont="1" applyBorder="1" applyAlignment="1">
      <alignment horizontal="center"/>
    </xf>
    <xf numFmtId="169" fontId="5" fillId="0" borderId="91" xfId="0" applyNumberFormat="1" applyFont="1" applyBorder="1" applyAlignment="1">
      <alignment horizontal="center"/>
    </xf>
    <xf numFmtId="43" fontId="0" fillId="12" borderId="25" xfId="0" applyNumberFormat="1" applyFill="1" applyBorder="1"/>
    <xf numFmtId="43" fontId="0" fillId="12" borderId="101" xfId="0" applyNumberFormat="1" applyFill="1" applyBorder="1"/>
    <xf numFmtId="0" fontId="19" fillId="12" borderId="60" xfId="0" applyFont="1" applyFill="1" applyBorder="1" applyAlignment="1">
      <alignment vertical="center" wrapText="1"/>
    </xf>
    <xf numFmtId="9" fontId="0" fillId="12" borderId="1" xfId="0" applyNumberFormat="1" applyFill="1" applyBorder="1"/>
    <xf numFmtId="43" fontId="0" fillId="12" borderId="1" xfId="0" applyNumberFormat="1" applyFill="1" applyBorder="1"/>
    <xf numFmtId="0" fontId="19" fillId="12" borderId="6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vertical="center"/>
    </xf>
    <xf numFmtId="43" fontId="0" fillId="12" borderId="8" xfId="0" applyNumberFormat="1" applyFill="1" applyBorder="1"/>
    <xf numFmtId="9" fontId="8" fillId="0" borderId="9" xfId="0" applyNumberFormat="1" applyFont="1" applyBorder="1"/>
    <xf numFmtId="166" fontId="8" fillId="12" borderId="9" xfId="1" applyNumberFormat="1" applyFont="1" applyFill="1" applyBorder="1"/>
    <xf numFmtId="166" fontId="8" fillId="0" borderId="9" xfId="1" applyNumberFormat="1" applyFont="1" applyBorder="1"/>
    <xf numFmtId="43" fontId="8" fillId="0" borderId="9" xfId="0" applyNumberFormat="1" applyFont="1" applyBorder="1"/>
    <xf numFmtId="43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10" fillId="21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61" fillId="0" borderId="26" xfId="0" applyFont="1" applyBorder="1" applyAlignment="1">
      <alignment horizontal="right"/>
    </xf>
    <xf numFmtId="43" fontId="39" fillId="0" borderId="0" xfId="0" applyNumberFormat="1" applyFont="1" applyAlignment="1">
      <alignment horizontal="center"/>
    </xf>
    <xf numFmtId="14" fontId="4" fillId="0" borderId="40" xfId="0" applyNumberFormat="1" applyFont="1" applyBorder="1"/>
    <xf numFmtId="0" fontId="4" fillId="0" borderId="26" xfId="0" applyFont="1" applyBorder="1"/>
    <xf numFmtId="0" fontId="4" fillId="0" borderId="49" xfId="0" applyFont="1" applyBorder="1" applyAlignment="1">
      <alignment horizontal="center"/>
    </xf>
    <xf numFmtId="0" fontId="23" fillId="0" borderId="52" xfId="0" applyFont="1" applyBorder="1" applyAlignment="1">
      <alignment horizontal="center" vertical="center" wrapText="1"/>
    </xf>
    <xf numFmtId="0" fontId="23" fillId="0" borderId="34" xfId="0" applyFont="1" applyBorder="1" applyAlignment="1">
      <alignment horizontal="center" vertical="center" wrapText="1"/>
    </xf>
    <xf numFmtId="9" fontId="62" fillId="0" borderId="1" xfId="0" applyNumberFormat="1" applyFont="1" applyBorder="1" applyAlignment="1">
      <alignment horizontal="center"/>
    </xf>
    <xf numFmtId="0" fontId="0" fillId="0" borderId="56" xfId="0" applyBorder="1"/>
    <xf numFmtId="0" fontId="0" fillId="0" borderId="57" xfId="0" applyBorder="1"/>
    <xf numFmtId="0" fontId="0" fillId="0" borderId="51" xfId="0" applyBorder="1"/>
    <xf numFmtId="0" fontId="0" fillId="0" borderId="50" xfId="0" applyBorder="1"/>
    <xf numFmtId="0" fontId="0" fillId="0" borderId="20" xfId="0" applyBorder="1"/>
    <xf numFmtId="0" fontId="0" fillId="0" borderId="53" xfId="0" applyBorder="1"/>
    <xf numFmtId="0" fontId="8" fillId="0" borderId="52" xfId="0" applyFont="1" applyBorder="1"/>
    <xf numFmtId="0" fontId="8" fillId="0" borderId="30" xfId="0" applyFont="1" applyBorder="1"/>
    <xf numFmtId="0" fontId="8" fillId="0" borderId="31" xfId="0" applyFont="1" applyBorder="1"/>
    <xf numFmtId="43" fontId="0" fillId="0" borderId="0" xfId="1" applyFont="1" applyBorder="1"/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10" fillId="0" borderId="99" xfId="0" applyFont="1" applyBorder="1" applyAlignment="1">
      <alignment horizontal="center"/>
    </xf>
    <xf numFmtId="0" fontId="10" fillId="0" borderId="101" xfId="0" applyFont="1" applyBorder="1" applyAlignment="1">
      <alignment horizontal="center"/>
    </xf>
    <xf numFmtId="0" fontId="0" fillId="38" borderId="1" xfId="0" applyFill="1" applyBorder="1"/>
    <xf numFmtId="43" fontId="0" fillId="29" borderId="1" xfId="1" applyFont="1" applyFill="1" applyBorder="1"/>
    <xf numFmtId="0" fontId="23" fillId="0" borderId="60" xfId="0" applyFont="1" applyBorder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0" fontId="23" fillId="0" borderId="60" xfId="0" applyFont="1" applyBorder="1" applyAlignment="1">
      <alignment horizontal="center" vertical="center" wrapText="1"/>
    </xf>
    <xf numFmtId="0" fontId="23" fillId="0" borderId="78" xfId="0" applyFont="1" applyBorder="1" applyAlignment="1">
      <alignment horizontal="center" vertical="center"/>
    </xf>
    <xf numFmtId="169" fontId="5" fillId="0" borderId="102" xfId="0" applyNumberFormat="1" applyFont="1" applyBorder="1" applyAlignment="1">
      <alignment horizontal="center"/>
    </xf>
    <xf numFmtId="0" fontId="0" fillId="16" borderId="39" xfId="0" applyFill="1" applyBorder="1"/>
    <xf numFmtId="0" fontId="0" fillId="36" borderId="25" xfId="0" applyFill="1" applyBorder="1"/>
    <xf numFmtId="0" fontId="23" fillId="0" borderId="59" xfId="0" applyFont="1" applyBorder="1" applyAlignment="1">
      <alignment horizontal="center" vertical="center" wrapText="1"/>
    </xf>
    <xf numFmtId="3" fontId="25" fillId="0" borderId="1" xfId="0" applyNumberFormat="1" applyFont="1" applyBorder="1"/>
    <xf numFmtId="0" fontId="16" fillId="0" borderId="22" xfId="0" applyFont="1" applyBorder="1" applyAlignment="1">
      <alignment horizontal="center"/>
    </xf>
    <xf numFmtId="0" fontId="16" fillId="0" borderId="55" xfId="0" applyFont="1" applyBorder="1" applyAlignment="1">
      <alignment horizontal="center"/>
    </xf>
    <xf numFmtId="4" fontId="16" fillId="39" borderId="22" xfId="0" applyNumberFormat="1" applyFont="1" applyFill="1" applyBorder="1" applyAlignment="1">
      <alignment horizontal="center"/>
    </xf>
    <xf numFmtId="0" fontId="16" fillId="39" borderId="1" xfId="0" applyFont="1" applyFill="1" applyBorder="1" applyAlignment="1">
      <alignment horizontal="center"/>
    </xf>
    <xf numFmtId="4" fontId="16" fillId="39" borderId="5" xfId="0" applyNumberFormat="1" applyFont="1" applyFill="1" applyBorder="1" applyAlignment="1">
      <alignment horizontal="center"/>
    </xf>
    <xf numFmtId="4" fontId="16" fillId="39" borderId="1" xfId="0" applyNumberFormat="1" applyFont="1" applyFill="1" applyBorder="1" applyAlignment="1">
      <alignment horizontal="center"/>
    </xf>
    <xf numFmtId="0" fontId="4" fillId="0" borderId="40" xfId="0" applyFont="1" applyBorder="1" applyAlignment="1">
      <alignment horizontal="center"/>
    </xf>
    <xf numFmtId="0" fontId="4" fillId="0" borderId="49" xfId="0" applyFont="1" applyBorder="1"/>
    <xf numFmtId="0" fontId="36" fillId="0" borderId="1" xfId="0" applyFont="1" applyBorder="1"/>
    <xf numFmtId="0" fontId="63" fillId="0" borderId="43" xfId="0" applyFont="1" applyBorder="1" applyAlignment="1">
      <alignment wrapText="1"/>
    </xf>
    <xf numFmtId="0" fontId="64" fillId="0" borderId="8" xfId="0" applyFont="1" applyBorder="1" applyAlignment="1">
      <alignment wrapText="1"/>
    </xf>
    <xf numFmtId="43" fontId="0" fillId="6" borderId="6" xfId="0" applyNumberFormat="1" applyFill="1" applyBorder="1"/>
    <xf numFmtId="43" fontId="0" fillId="6" borderId="1" xfId="0" applyNumberFormat="1" applyFill="1" applyBorder="1"/>
    <xf numFmtId="2" fontId="0" fillId="14" borderId="1" xfId="0" applyNumberFormat="1" applyFill="1" applyBorder="1"/>
    <xf numFmtId="2" fontId="0" fillId="0" borderId="0" xfId="6" applyNumberFormat="1" applyFont="1"/>
    <xf numFmtId="0" fontId="0" fillId="13" borderId="25" xfId="0" applyFill="1" applyBorder="1"/>
    <xf numFmtId="166" fontId="65" fillId="13" borderId="22" xfId="0" applyNumberFormat="1" applyFont="1" applyFill="1" applyBorder="1"/>
    <xf numFmtId="166" fontId="67" fillId="8" borderId="1" xfId="0" applyNumberFormat="1" applyFont="1" applyFill="1" applyBorder="1"/>
    <xf numFmtId="166" fontId="68" fillId="8" borderId="1" xfId="0" applyNumberFormat="1" applyFont="1" applyFill="1" applyBorder="1"/>
    <xf numFmtId="166" fontId="46" fillId="8" borderId="1" xfId="4" applyNumberFormat="1" applyFont="1" applyFill="1" applyBorder="1" applyAlignment="1">
      <alignment horizontal="right"/>
    </xf>
    <xf numFmtId="0" fontId="7" fillId="8" borderId="25" xfId="0" applyFont="1" applyFill="1" applyBorder="1"/>
    <xf numFmtId="166" fontId="7" fillId="8" borderId="26" xfId="0" applyNumberFormat="1" applyFont="1" applyFill="1" applyBorder="1"/>
    <xf numFmtId="0" fontId="65" fillId="8" borderId="1" xfId="0" applyFont="1" applyFill="1" applyBorder="1"/>
    <xf numFmtId="0" fontId="65" fillId="8" borderId="22" xfId="0" applyFont="1" applyFill="1" applyBorder="1"/>
    <xf numFmtId="166" fontId="65" fillId="8" borderId="25" xfId="0" applyNumberFormat="1" applyFont="1" applyFill="1" applyBorder="1"/>
    <xf numFmtId="0" fontId="65" fillId="8" borderId="26" xfId="0" applyFont="1" applyFill="1" applyBorder="1"/>
    <xf numFmtId="166" fontId="65" fillId="8" borderId="1" xfId="0" applyNumberFormat="1" applyFont="1" applyFill="1" applyBorder="1"/>
    <xf numFmtId="166" fontId="65" fillId="8" borderId="26" xfId="0" applyNumberFormat="1" applyFont="1" applyFill="1" applyBorder="1"/>
    <xf numFmtId="166" fontId="7" fillId="9" borderId="1" xfId="1" applyNumberFormat="1" applyFont="1" applyFill="1" applyBorder="1"/>
    <xf numFmtId="0" fontId="69" fillId="8" borderId="1" xfId="0" applyFont="1" applyFill="1" applyBorder="1"/>
    <xf numFmtId="43" fontId="70" fillId="8" borderId="1" xfId="1" applyFont="1" applyFill="1" applyBorder="1"/>
    <xf numFmtId="0" fontId="68" fillId="8" borderId="1" xfId="0" applyFont="1" applyFill="1" applyBorder="1"/>
    <xf numFmtId="166" fontId="69" fillId="8" borderId="1" xfId="0" applyNumberFormat="1" applyFont="1" applyFill="1" applyBorder="1"/>
    <xf numFmtId="0" fontId="65" fillId="0" borderId="0" xfId="0" applyFont="1"/>
    <xf numFmtId="169" fontId="11" fillId="0" borderId="5" xfId="0" applyNumberFormat="1" applyFont="1" applyBorder="1" applyAlignment="1">
      <alignment horizontal="center"/>
    </xf>
    <xf numFmtId="9" fontId="19" fillId="0" borderId="103" xfId="9" applyNumberFormat="1" applyFont="1" applyBorder="1" applyAlignment="1">
      <alignment horizontal="center" vertical="center"/>
    </xf>
    <xf numFmtId="9" fontId="19" fillId="0" borderId="104" xfId="9" applyNumberFormat="1" applyFont="1" applyBorder="1" applyAlignment="1">
      <alignment horizontal="center" vertical="center"/>
    </xf>
    <xf numFmtId="43" fontId="0" fillId="20" borderId="1" xfId="0" applyNumberFormat="1" applyFill="1" applyBorder="1"/>
    <xf numFmtId="2" fontId="0" fillId="6" borderId="1" xfId="0" applyNumberFormat="1" applyFill="1" applyBorder="1"/>
    <xf numFmtId="0" fontId="0" fillId="6" borderId="6" xfId="0" applyFill="1" applyBorder="1"/>
    <xf numFmtId="2" fontId="11" fillId="11" borderId="49" xfId="1" applyNumberFormat="1" applyFont="1" applyFill="1" applyBorder="1" applyAlignment="1">
      <alignment horizontal="center"/>
    </xf>
    <xf numFmtId="9" fontId="59" fillId="0" borderId="104" xfId="9" applyNumberFormat="1" applyFont="1" applyBorder="1" applyAlignment="1">
      <alignment horizontal="center" vertical="center"/>
    </xf>
    <xf numFmtId="2" fontId="4" fillId="0" borderId="26" xfId="0" applyNumberFormat="1" applyFont="1" applyBorder="1"/>
    <xf numFmtId="0" fontId="66" fillId="0" borderId="0" xfId="0" applyFont="1" applyAlignment="1">
      <alignment horizontal="center"/>
    </xf>
    <xf numFmtId="0" fontId="0" fillId="0" borderId="104" xfId="0" applyBorder="1"/>
    <xf numFmtId="14" fontId="0" fillId="0" borderId="104" xfId="0" applyNumberFormat="1" applyBorder="1"/>
    <xf numFmtId="9" fontId="59" fillId="0" borderId="105" xfId="9" applyNumberFormat="1" applyFont="1" applyBorder="1" applyAlignment="1">
      <alignment horizontal="center" vertical="center"/>
    </xf>
    <xf numFmtId="0" fontId="0" fillId="0" borderId="14" xfId="0" applyBorder="1"/>
    <xf numFmtId="0" fontId="0" fillId="0" borderId="90" xfId="0" applyBorder="1"/>
    <xf numFmtId="43" fontId="16" fillId="0" borderId="95" xfId="1" applyFont="1" applyBorder="1" applyAlignment="1">
      <alignment horizontal="center"/>
    </xf>
    <xf numFmtId="166" fontId="16" fillId="16" borderId="1" xfId="1" applyNumberFormat="1" applyFont="1" applyFill="1" applyBorder="1" applyAlignment="1">
      <alignment horizontal="center"/>
    </xf>
    <xf numFmtId="0" fontId="38" fillId="43" borderId="33" xfId="0" applyFont="1" applyFill="1" applyBorder="1" applyAlignment="1">
      <alignment wrapText="1"/>
    </xf>
    <xf numFmtId="0" fontId="38" fillId="43" borderId="61" xfId="0" applyFont="1" applyFill="1" applyBorder="1" applyAlignment="1">
      <alignment wrapText="1"/>
    </xf>
    <xf numFmtId="0" fontId="2" fillId="44" borderId="33" xfId="0" applyFont="1" applyFill="1" applyBorder="1" applyAlignment="1">
      <alignment wrapText="1"/>
    </xf>
    <xf numFmtId="0" fontId="2" fillId="44" borderId="61" xfId="0" applyFont="1" applyFill="1" applyBorder="1" applyAlignment="1">
      <alignment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9" fontId="4" fillId="8" borderId="0" xfId="0" applyNumberFormat="1" applyFont="1" applyFill="1" applyAlignment="1">
      <alignment horizontal="center"/>
    </xf>
    <xf numFmtId="3" fontId="3" fillId="39" borderId="1" xfId="0" applyNumberFormat="1" applyFont="1" applyFill="1" applyBorder="1"/>
    <xf numFmtId="3" fontId="36" fillId="0" borderId="1" xfId="0" applyNumberFormat="1" applyFont="1" applyBorder="1"/>
    <xf numFmtId="0" fontId="72" fillId="0" borderId="0" xfId="0" applyFont="1" applyAlignment="1">
      <alignment horizontal="center" vertical="center"/>
    </xf>
    <xf numFmtId="0" fontId="73" fillId="0" borderId="1" xfId="0" applyFont="1" applyBorder="1"/>
    <xf numFmtId="43" fontId="0" fillId="0" borderId="104" xfId="0" applyNumberFormat="1" applyBorder="1"/>
    <xf numFmtId="0" fontId="38" fillId="39" borderId="49" xfId="0" applyFont="1" applyFill="1" applyBorder="1"/>
    <xf numFmtId="0" fontId="1" fillId="0" borderId="0" xfId="4" applyFont="1"/>
    <xf numFmtId="43" fontId="1" fillId="0" borderId="0" xfId="1" applyFont="1"/>
    <xf numFmtId="43" fontId="1" fillId="0" borderId="0" xfId="1" applyFont="1" applyBorder="1"/>
    <xf numFmtId="3" fontId="1" fillId="0" borderId="68" xfId="0" applyNumberFormat="1" applyFont="1" applyBorder="1"/>
    <xf numFmtId="1" fontId="1" fillId="0" borderId="22" xfId="9" applyNumberFormat="1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2" fontId="0" fillId="0" borderId="1" xfId="0" applyNumberFormat="1" applyBorder="1"/>
    <xf numFmtId="174" fontId="16" fillId="11" borderId="104" xfId="1" applyNumberFormat="1" applyFont="1" applyFill="1" applyBorder="1" applyAlignment="1">
      <alignment horizontal="center"/>
    </xf>
    <xf numFmtId="9" fontId="76" fillId="0" borderId="1" xfId="0" applyNumberFormat="1" applyFont="1" applyBorder="1" applyAlignment="1">
      <alignment horizontal="center"/>
    </xf>
    <xf numFmtId="0" fontId="0" fillId="36" borderId="5" xfId="0" applyFill="1" applyBorder="1"/>
    <xf numFmtId="0" fontId="0" fillId="36" borderId="27" xfId="0" applyFill="1" applyBorder="1"/>
    <xf numFmtId="0" fontId="19" fillId="7" borderId="116" xfId="4" applyFont="1" applyFill="1" applyBorder="1" applyAlignment="1">
      <alignment horizontal="center"/>
    </xf>
    <xf numFmtId="0" fontId="19" fillId="7" borderId="117" xfId="4" applyFont="1" applyFill="1" applyBorder="1" applyAlignment="1">
      <alignment horizontal="center"/>
    </xf>
    <xf numFmtId="1" fontId="36" fillId="0" borderId="22" xfId="0" applyNumberFormat="1" applyFont="1" applyBorder="1"/>
    <xf numFmtId="0" fontId="36" fillId="0" borderId="26" xfId="0" applyFont="1" applyBorder="1"/>
    <xf numFmtId="0" fontId="4" fillId="0" borderId="0" xfId="0" applyFont="1" applyAlignment="1">
      <alignment horizontal="right" vertical="top"/>
    </xf>
    <xf numFmtId="0" fontId="19" fillId="12" borderId="118" xfId="0" applyFont="1" applyFill="1" applyBorder="1" applyAlignment="1">
      <alignment horizontal="center" vertical="center" wrapText="1"/>
    </xf>
    <xf numFmtId="0" fontId="19" fillId="12" borderId="119" xfId="0" applyFont="1" applyFill="1" applyBorder="1" applyAlignment="1">
      <alignment horizontal="center" vertical="center" wrapText="1"/>
    </xf>
    <xf numFmtId="0" fontId="19" fillId="12" borderId="120" xfId="0" applyFont="1" applyFill="1" applyBorder="1" applyAlignment="1">
      <alignment horizontal="center" vertical="center" wrapText="1"/>
    </xf>
    <xf numFmtId="0" fontId="19" fillId="12" borderId="35" xfId="0" applyFont="1" applyFill="1" applyBorder="1" applyAlignment="1">
      <alignment horizontal="center" vertical="center" wrapText="1"/>
    </xf>
    <xf numFmtId="0" fontId="19" fillId="0" borderId="40" xfId="0" applyFont="1" applyBorder="1" applyAlignment="1">
      <alignment horizontal="center" vertical="center" wrapText="1"/>
    </xf>
    <xf numFmtId="0" fontId="19" fillId="0" borderId="27" xfId="0" applyFont="1" applyBorder="1" applyAlignment="1">
      <alignment horizontal="center" vertical="center" wrapText="1"/>
    </xf>
    <xf numFmtId="43" fontId="4" fillId="0" borderId="0" xfId="0" applyNumberFormat="1" applyFont="1"/>
    <xf numFmtId="43" fontId="16" fillId="0" borderId="121" xfId="1" applyFont="1" applyBorder="1" applyAlignment="1">
      <alignment horizontal="center"/>
    </xf>
    <xf numFmtId="1" fontId="36" fillId="0" borderId="5" xfId="0" applyNumberFormat="1" applyFont="1" applyBorder="1"/>
    <xf numFmtId="0" fontId="36" fillId="0" borderId="104" xfId="0" applyFont="1" applyBorder="1"/>
    <xf numFmtId="0" fontId="16" fillId="0" borderId="104" xfId="0" applyFont="1" applyBorder="1" applyAlignment="1">
      <alignment horizontal="center"/>
    </xf>
    <xf numFmtId="43" fontId="16" fillId="0" borderId="104" xfId="1" applyFont="1" applyBorder="1" applyAlignment="1">
      <alignment horizontal="center"/>
    </xf>
    <xf numFmtId="43" fontId="16" fillId="0" borderId="104" xfId="1" applyFont="1" applyFill="1" applyBorder="1" applyAlignment="1">
      <alignment horizontal="center"/>
    </xf>
    <xf numFmtId="43" fontId="16" fillId="0" borderId="12" xfId="1" applyFont="1" applyBorder="1" applyAlignment="1">
      <alignment horizontal="center"/>
    </xf>
    <xf numFmtId="43" fontId="16" fillId="0" borderId="4" xfId="1" applyFont="1" applyBorder="1" applyAlignment="1">
      <alignment horizontal="center"/>
    </xf>
    <xf numFmtId="43" fontId="16" fillId="0" borderId="26" xfId="1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122" xfId="0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43" fontId="31" fillId="10" borderId="1" xfId="1" applyFont="1" applyFill="1" applyBorder="1" applyAlignment="1">
      <alignment horizontal="center"/>
    </xf>
    <xf numFmtId="167" fontId="16" fillId="0" borderId="1" xfId="0" applyNumberFormat="1" applyFont="1" applyBorder="1" applyAlignment="1">
      <alignment horizontal="center"/>
    </xf>
    <xf numFmtId="4" fontId="10" fillId="8" borderId="1" xfId="0" applyNumberFormat="1" applyFont="1" applyFill="1" applyBorder="1"/>
    <xf numFmtId="43" fontId="16" fillId="10" borderId="1" xfId="1" applyFont="1" applyFill="1" applyBorder="1" applyAlignment="1">
      <alignment horizontal="center"/>
    </xf>
    <xf numFmtId="169" fontId="11" fillId="16" borderId="1" xfId="0" applyNumberFormat="1" applyFont="1" applyFill="1" applyBorder="1" applyAlignment="1">
      <alignment horizontal="center"/>
    </xf>
    <xf numFmtId="9" fontId="75" fillId="0" borderId="1" xfId="9" applyNumberFormat="1" applyFont="1" applyBorder="1" applyAlignment="1">
      <alignment horizontal="center" vertical="center"/>
    </xf>
    <xf numFmtId="4" fontId="10" fillId="7" borderId="1" xfId="0" applyNumberFormat="1" applyFont="1" applyFill="1" applyBorder="1"/>
    <xf numFmtId="43" fontId="16" fillId="7" borderId="1" xfId="1" applyFont="1" applyFill="1" applyBorder="1" applyAlignment="1">
      <alignment horizontal="center"/>
    </xf>
    <xf numFmtId="166" fontId="16" fillId="10" borderId="1" xfId="1" applyNumberFormat="1" applyFont="1" applyFill="1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9" fontId="10" fillId="8" borderId="1" xfId="0" applyNumberFormat="1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4" fontId="4" fillId="8" borderId="1" xfId="0" applyNumberFormat="1" applyFont="1" applyFill="1" applyBorder="1"/>
    <xf numFmtId="0" fontId="10" fillId="8" borderId="1" xfId="0" applyFont="1" applyFill="1" applyBorder="1"/>
    <xf numFmtId="43" fontId="10" fillId="8" borderId="1" xfId="0" applyNumberFormat="1" applyFont="1" applyFill="1" applyBorder="1" applyAlignment="1">
      <alignment horizontal="center"/>
    </xf>
    <xf numFmtId="4" fontId="10" fillId="40" borderId="63" xfId="0" applyNumberFormat="1" applyFont="1" applyFill="1" applyBorder="1"/>
    <xf numFmtId="174" fontId="0" fillId="0" borderId="1" xfId="0" applyNumberFormat="1" applyBorder="1"/>
    <xf numFmtId="0" fontId="2" fillId="0" borderId="1" xfId="0" applyFont="1" applyBorder="1" applyAlignment="1">
      <alignment horizontal="center" vertical="center" wrapText="1"/>
    </xf>
    <xf numFmtId="0" fontId="2" fillId="0" borderId="104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1" fontId="0" fillId="32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32" borderId="5" xfId="0" applyNumberFormat="1" applyFill="1" applyBorder="1" applyAlignment="1">
      <alignment horizontal="center" vertical="center"/>
    </xf>
    <xf numFmtId="1" fontId="0" fillId="32" borderId="22" xfId="0" applyNumberFormat="1" applyFill="1" applyBorder="1" applyAlignment="1">
      <alignment horizontal="center" vertical="center"/>
    </xf>
    <xf numFmtId="1" fontId="0" fillId="33" borderId="8" xfId="0" applyNumberFormat="1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07" xfId="0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10" borderId="6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0" fillId="10" borderId="6" xfId="0" applyFill="1" applyBorder="1" applyAlignment="1">
      <alignment horizontal="center" vertical="center" wrapText="1"/>
    </xf>
    <xf numFmtId="0" fontId="2" fillId="0" borderId="60" xfId="0" applyFont="1" applyBorder="1" applyAlignment="1">
      <alignment horizontal="center" vertical="center" wrapText="1"/>
    </xf>
    <xf numFmtId="0" fontId="0" fillId="10" borderId="7" xfId="0" applyFill="1" applyBorder="1" applyAlignment="1">
      <alignment horizontal="center" vertical="center"/>
    </xf>
    <xf numFmtId="3" fontId="0" fillId="0" borderId="38" xfId="0" applyNumberFormat="1" applyBorder="1" applyAlignment="1">
      <alignment horizontal="center" vertical="center" wrapText="1"/>
    </xf>
    <xf numFmtId="3" fontId="26" fillId="0" borderId="104" xfId="0" applyNumberFormat="1" applyFont="1" applyBorder="1"/>
    <xf numFmtId="0" fontId="26" fillId="0" borderId="104" xfId="0" applyFont="1" applyBorder="1"/>
    <xf numFmtId="0" fontId="25" fillId="0" borderId="36" xfId="0" applyFont="1" applyBorder="1"/>
    <xf numFmtId="0" fontId="25" fillId="0" borderId="5" xfId="0" applyFont="1" applyBorder="1"/>
    <xf numFmtId="18" fontId="25" fillId="0" borderId="5" xfId="0" applyNumberFormat="1" applyFont="1" applyBorder="1"/>
    <xf numFmtId="0" fontId="0" fillId="28" borderId="39" xfId="0" applyFill="1" applyBorder="1" applyAlignment="1">
      <alignment horizontal="center" vertical="center" wrapText="1"/>
    </xf>
    <xf numFmtId="0" fontId="0" fillId="28" borderId="22" xfId="0" applyFill="1" applyBorder="1" applyAlignment="1">
      <alignment horizontal="center" vertical="center" wrapText="1"/>
    </xf>
    <xf numFmtId="0" fontId="0" fillId="0" borderId="45" xfId="0" applyBorder="1"/>
    <xf numFmtId="0" fontId="26" fillId="0" borderId="97" xfId="0" applyFont="1" applyBorder="1"/>
    <xf numFmtId="3" fontId="25" fillId="0" borderId="8" xfId="0" applyNumberFormat="1" applyFont="1" applyBorder="1"/>
    <xf numFmtId="0" fontId="25" fillId="23" borderId="104" xfId="0" applyFont="1" applyFill="1" applyBorder="1"/>
    <xf numFmtId="0" fontId="26" fillId="0" borderId="5" xfId="0" applyFont="1" applyBorder="1" applyAlignment="1">
      <alignment horizontal="center"/>
    </xf>
    <xf numFmtId="0" fontId="73" fillId="0" borderId="5" xfId="0" applyFont="1" applyBorder="1" applyAlignment="1">
      <alignment horizontal="center"/>
    </xf>
    <xf numFmtId="0" fontId="25" fillId="0" borderId="39" xfId="0" applyFont="1" applyBorder="1"/>
    <xf numFmtId="0" fontId="25" fillId="0" borderId="22" xfId="0" applyFont="1" applyBorder="1"/>
    <xf numFmtId="0" fontId="26" fillId="0" borderId="123" xfId="0" applyFont="1" applyBorder="1" applyAlignment="1">
      <alignment horizontal="center"/>
    </xf>
    <xf numFmtId="0" fontId="25" fillId="23" borderId="124" xfId="0" applyFont="1" applyFill="1" applyBorder="1"/>
    <xf numFmtId="43" fontId="71" fillId="0" borderId="104" xfId="1" applyFont="1" applyBorder="1" applyAlignment="1">
      <alignment horizontal="center"/>
    </xf>
    <xf numFmtId="0" fontId="16" fillId="0" borderId="106" xfId="0" applyFont="1" applyBorder="1" applyAlignment="1">
      <alignment horizontal="center"/>
    </xf>
    <xf numFmtId="175" fontId="4" fillId="0" borderId="0" xfId="0" applyNumberFormat="1" applyFont="1" applyAlignment="1">
      <alignment horizontal="center"/>
    </xf>
    <xf numFmtId="0" fontId="16" fillId="3" borderId="1" xfId="0" applyFont="1" applyFill="1" applyBorder="1" applyAlignment="1">
      <alignment horizontal="center" vertical="center" wrapText="1"/>
    </xf>
    <xf numFmtId="43" fontId="11" fillId="10" borderId="1" xfId="1" applyFont="1" applyFill="1" applyBorder="1" applyAlignment="1">
      <alignment horizontal="center" vertical="center" wrapText="1"/>
    </xf>
    <xf numFmtId="43" fontId="11" fillId="3" borderId="1" xfId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vertical="center" wrapText="1"/>
    </xf>
    <xf numFmtId="0" fontId="11" fillId="11" borderId="61" xfId="1" applyNumberFormat="1" applyFont="1" applyFill="1" applyBorder="1" applyAlignment="1">
      <alignment horizontal="center" vertical="center" wrapText="1"/>
    </xf>
    <xf numFmtId="0" fontId="30" fillId="3" borderId="32" xfId="1" applyNumberFormat="1" applyFont="1" applyFill="1" applyBorder="1" applyAlignment="1">
      <alignment horizontal="center" vertical="center" wrapText="1"/>
    </xf>
    <xf numFmtId="0" fontId="30" fillId="3" borderId="33" xfId="0" applyFont="1" applyFill="1" applyBorder="1" applyAlignment="1">
      <alignment horizontal="center" vertical="center" wrapText="1"/>
    </xf>
    <xf numFmtId="0" fontId="30" fillId="3" borderId="33" xfId="0" applyFont="1" applyFill="1" applyBorder="1" applyAlignment="1">
      <alignment horizontal="center" vertical="center"/>
    </xf>
    <xf numFmtId="0" fontId="30" fillId="3" borderId="34" xfId="0" applyFont="1" applyFill="1" applyBorder="1" applyAlignment="1">
      <alignment horizontal="center" vertical="center" wrapText="1"/>
    </xf>
    <xf numFmtId="0" fontId="11" fillId="3" borderId="30" xfId="0" applyFont="1" applyFill="1" applyBorder="1" applyAlignment="1">
      <alignment horizontal="center" vertical="center" wrapText="1"/>
    </xf>
    <xf numFmtId="0" fontId="11" fillId="3" borderId="33" xfId="0" applyFont="1" applyFill="1" applyBorder="1" applyAlignment="1">
      <alignment horizontal="center" vertical="center" wrapText="1"/>
    </xf>
    <xf numFmtId="0" fontId="11" fillId="3" borderId="61" xfId="0" applyFont="1" applyFill="1" applyBorder="1" applyAlignment="1">
      <alignment horizontal="center" vertical="center" wrapText="1"/>
    </xf>
    <xf numFmtId="43" fontId="15" fillId="11" borderId="38" xfId="1" applyFont="1" applyFill="1" applyBorder="1" applyAlignment="1">
      <alignment horizontal="center" vertical="center"/>
    </xf>
    <xf numFmtId="0" fontId="11" fillId="3" borderId="22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11" fillId="3" borderId="38" xfId="0" applyFont="1" applyFill="1" applyBorder="1" applyAlignment="1">
      <alignment horizontal="center" vertical="center" wrapText="1"/>
    </xf>
    <xf numFmtId="0" fontId="11" fillId="9" borderId="38" xfId="0" applyFont="1" applyFill="1" applyBorder="1" applyAlignment="1">
      <alignment horizontal="center" vertical="center" wrapText="1"/>
    </xf>
    <xf numFmtId="0" fontId="16" fillId="41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5" fillId="0" borderId="1" xfId="4" applyFont="1" applyBorder="1" applyAlignment="1">
      <alignment vertical="center"/>
    </xf>
    <xf numFmtId="166" fontId="3" fillId="11" borderId="5" xfId="1" applyNumberFormat="1" applyFont="1" applyFill="1" applyBorder="1" applyAlignment="1">
      <alignment vertical="center"/>
    </xf>
    <xf numFmtId="166" fontId="70" fillId="8" borderId="5" xfId="1" applyNumberFormat="1" applyFont="1" applyFill="1" applyBorder="1" applyAlignment="1">
      <alignment vertical="center"/>
    </xf>
    <xf numFmtId="166" fontId="3" fillId="11" borderId="5" xfId="1" applyNumberFormat="1" applyFont="1" applyFill="1" applyBorder="1" applyAlignment="1">
      <alignment horizontal="center" vertical="center"/>
    </xf>
    <xf numFmtId="2" fontId="36" fillId="0" borderId="1" xfId="0" applyNumberFormat="1" applyFont="1" applyBorder="1"/>
    <xf numFmtId="43" fontId="0" fillId="0" borderId="8" xfId="0" applyNumberFormat="1" applyBorder="1" applyAlignment="1">
      <alignment horizontal="right" vertical="center"/>
    </xf>
    <xf numFmtId="174" fontId="10" fillId="8" borderId="30" xfId="0" applyNumberFormat="1" applyFont="1" applyFill="1" applyBorder="1" applyAlignment="1">
      <alignment horizontal="center"/>
    </xf>
    <xf numFmtId="0" fontId="77" fillId="0" borderId="1" xfId="0" applyFont="1" applyBorder="1"/>
    <xf numFmtId="3" fontId="3" fillId="0" borderId="1" xfId="0" applyNumberFormat="1" applyFont="1" applyBorder="1"/>
    <xf numFmtId="0" fontId="73" fillId="0" borderId="123" xfId="0" applyFont="1" applyBorder="1"/>
    <xf numFmtId="166" fontId="0" fillId="23" borderId="23" xfId="1" applyNumberFormat="1" applyFont="1" applyFill="1" applyBorder="1"/>
    <xf numFmtId="166" fontId="0" fillId="23" borderId="43" xfId="1" applyNumberFormat="1" applyFont="1" applyFill="1" applyBorder="1"/>
    <xf numFmtId="166" fontId="0" fillId="23" borderId="41" xfId="1" applyNumberFormat="1" applyFont="1" applyFill="1" applyBorder="1"/>
    <xf numFmtId="166" fontId="0" fillId="23" borderId="27" xfId="1" applyNumberFormat="1" applyFont="1" applyFill="1" applyBorder="1"/>
    <xf numFmtId="0" fontId="73" fillId="0" borderId="5" xfId="0" applyFont="1" applyBorder="1"/>
    <xf numFmtId="3" fontId="25" fillId="0" borderId="6" xfId="0" applyNumberFormat="1" applyFont="1" applyBorder="1"/>
    <xf numFmtId="0" fontId="0" fillId="42" borderId="0" xfId="0" applyFill="1"/>
    <xf numFmtId="0" fontId="9" fillId="42" borderId="0" xfId="0" applyFont="1" applyFill="1"/>
    <xf numFmtId="0" fontId="0" fillId="43" borderId="32" xfId="0" applyFill="1" applyBorder="1"/>
    <xf numFmtId="0" fontId="0" fillId="43" borderId="33" xfId="0" applyFill="1" applyBorder="1" applyAlignment="1">
      <alignment wrapText="1"/>
    </xf>
    <xf numFmtId="0" fontId="2" fillId="44" borderId="34" xfId="0" applyFont="1" applyFill="1" applyBorder="1"/>
    <xf numFmtId="0" fontId="2" fillId="44" borderId="33" xfId="0" applyFont="1" applyFill="1" applyBorder="1"/>
    <xf numFmtId="14" fontId="0" fillId="0" borderId="63" xfId="0" applyNumberFormat="1" applyBorder="1"/>
    <xf numFmtId="0" fontId="0" fillId="45" borderId="16" xfId="0" applyFill="1" applyBorder="1" applyAlignment="1">
      <alignment wrapText="1"/>
    </xf>
    <xf numFmtId="0" fontId="0" fillId="46" borderId="1" xfId="0" applyFill="1" applyBorder="1" applyAlignment="1">
      <alignment wrapText="1"/>
    </xf>
    <xf numFmtId="0" fontId="0" fillId="47" borderId="8" xfId="0" applyFill="1" applyBorder="1"/>
    <xf numFmtId="0" fontId="0" fillId="48" borderId="16" xfId="0" applyFill="1" applyBorder="1"/>
    <xf numFmtId="0" fontId="0" fillId="42" borderId="1" xfId="0" applyFill="1" applyBorder="1"/>
    <xf numFmtId="0" fontId="0" fillId="47" borderId="1" xfId="0" applyFill="1" applyBorder="1"/>
    <xf numFmtId="0" fontId="0" fillId="49" borderId="8" xfId="0" applyFill="1" applyBorder="1"/>
    <xf numFmtId="0" fontId="0" fillId="39" borderId="1" xfId="0" applyFill="1" applyBorder="1" applyAlignment="1">
      <alignment wrapText="1"/>
    </xf>
    <xf numFmtId="0" fontId="0" fillId="39" borderId="1" xfId="0" applyFill="1" applyBorder="1"/>
    <xf numFmtId="14" fontId="0" fillId="0" borderId="77" xfId="0" applyNumberFormat="1" applyBorder="1"/>
    <xf numFmtId="1" fontId="0" fillId="38" borderId="1" xfId="0" applyNumberFormat="1" applyFill="1" applyBorder="1"/>
    <xf numFmtId="9" fontId="0" fillId="0" borderId="0" xfId="6" applyNumberFormat="1" applyFont="1"/>
    <xf numFmtId="0" fontId="0" fillId="0" borderId="26" xfId="0" applyFont="1" applyFill="1" applyBorder="1" applyAlignment="1"/>
    <xf numFmtId="0" fontId="0" fillId="39" borderId="1" xfId="0" applyFont="1" applyFill="1" applyBorder="1" applyAlignment="1"/>
    <xf numFmtId="0" fontId="0" fillId="39" borderId="26" xfId="0" applyFont="1" applyFill="1" applyBorder="1" applyAlignment="1"/>
    <xf numFmtId="0" fontId="0" fillId="47" borderId="16" xfId="0" applyFont="1" applyFill="1" applyBorder="1" applyAlignment="1">
      <alignment horizontal="center" wrapText="1"/>
    </xf>
    <xf numFmtId="0" fontId="0" fillId="47" borderId="40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26" xfId="0" applyFont="1" applyFill="1" applyBorder="1" applyAlignment="1">
      <alignment horizontal="center"/>
    </xf>
    <xf numFmtId="0" fontId="0" fillId="50" borderId="1" xfId="0" applyFill="1" applyBorder="1"/>
    <xf numFmtId="0" fontId="53" fillId="0" borderId="48" xfId="0" applyFont="1" applyBorder="1" applyAlignment="1">
      <alignment horizontal="center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/>
    </xf>
    <xf numFmtId="169" fontId="27" fillId="0" borderId="52" xfId="0" applyNumberFormat="1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44" fontId="19" fillId="0" borderId="52" xfId="3" applyFont="1" applyBorder="1" applyAlignment="1">
      <alignment horizontal="center" vertical="center" wrapText="1"/>
    </xf>
    <xf numFmtId="44" fontId="0" fillId="0" borderId="31" xfId="3" applyFont="1" applyBorder="1" applyAlignment="1"/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5" fillId="16" borderId="52" xfId="0" applyFont="1" applyFill="1" applyBorder="1" applyAlignment="1">
      <alignment horizontal="left" vertical="top" wrapText="1"/>
    </xf>
    <xf numFmtId="0" fontId="25" fillId="16" borderId="30" xfId="0" applyFont="1" applyFill="1" applyBorder="1" applyAlignment="1">
      <alignment horizontal="left" vertical="top" wrapText="1"/>
    </xf>
    <xf numFmtId="0" fontId="25" fillId="16" borderId="31" xfId="0" applyFont="1" applyFill="1" applyBorder="1" applyAlignment="1">
      <alignment horizontal="left" vertical="top" wrapText="1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21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2" xfId="0" applyFont="1" applyFill="1" applyBorder="1" applyAlignment="1">
      <alignment horizontal="center"/>
    </xf>
    <xf numFmtId="0" fontId="4" fillId="32" borderId="30" xfId="0" applyFont="1" applyFill="1" applyBorder="1" applyAlignment="1">
      <alignment horizontal="center"/>
    </xf>
    <xf numFmtId="0" fontId="4" fillId="32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4" fillId="0" borderId="0" xfId="0" applyNumberFormat="1" applyFont="1" applyAlignment="1">
      <alignment horizontal="center"/>
    </xf>
    <xf numFmtId="0" fontId="45" fillId="0" borderId="0" xfId="0" applyFont="1" applyAlignment="1">
      <alignment horizontal="center"/>
    </xf>
    <xf numFmtId="169" fontId="47" fillId="16" borderId="0" xfId="0" applyNumberFormat="1" applyFont="1" applyFill="1" applyAlignment="1">
      <alignment horizontal="center" vertical="center"/>
    </xf>
    <xf numFmtId="0" fontId="43" fillId="2" borderId="52" xfId="0" applyFont="1" applyFill="1" applyBorder="1" applyAlignment="1">
      <alignment horizontal="center"/>
    </xf>
    <xf numFmtId="0" fontId="43" fillId="2" borderId="30" xfId="0" applyFont="1" applyFill="1" applyBorder="1" applyAlignment="1">
      <alignment horizontal="center"/>
    </xf>
    <xf numFmtId="0" fontId="43" fillId="2" borderId="31" xfId="0" applyFont="1" applyFill="1" applyBorder="1" applyAlignment="1">
      <alignment horizontal="center"/>
    </xf>
    <xf numFmtId="0" fontId="35" fillId="0" borderId="20" xfId="0" applyFont="1" applyBorder="1" applyAlignment="1">
      <alignment horizontal="center"/>
    </xf>
    <xf numFmtId="0" fontId="35" fillId="0" borderId="30" xfId="0" applyFont="1" applyBorder="1" applyAlignment="1">
      <alignment horizontal="center"/>
    </xf>
    <xf numFmtId="0" fontId="35" fillId="0" borderId="31" xfId="0" applyFont="1" applyBorder="1" applyAlignment="1">
      <alignment horizontal="center"/>
    </xf>
    <xf numFmtId="0" fontId="42" fillId="0" borderId="52" xfId="0" applyFont="1" applyBorder="1" applyAlignment="1">
      <alignment horizontal="center"/>
    </xf>
    <xf numFmtId="0" fontId="42" fillId="0" borderId="30" xfId="0" applyFont="1" applyBorder="1" applyAlignment="1">
      <alignment horizontal="center"/>
    </xf>
    <xf numFmtId="0" fontId="42" fillId="0" borderId="31" xfId="0" applyFont="1" applyBorder="1" applyAlignment="1">
      <alignment horizontal="center"/>
    </xf>
    <xf numFmtId="0" fontId="57" fillId="31" borderId="52" xfId="0" applyFont="1" applyFill="1" applyBorder="1" applyAlignment="1">
      <alignment horizontal="center"/>
    </xf>
    <xf numFmtId="0" fontId="57" fillId="31" borderId="30" xfId="0" applyFont="1" applyFill="1" applyBorder="1" applyAlignment="1">
      <alignment horizontal="center"/>
    </xf>
    <xf numFmtId="0" fontId="57" fillId="31" borderId="31" xfId="0" applyFont="1" applyFill="1" applyBorder="1" applyAlignment="1">
      <alignment horizontal="center"/>
    </xf>
    <xf numFmtId="0" fontId="47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169" fontId="2" fillId="0" borderId="0" xfId="0" applyNumberFormat="1" applyFont="1" applyAlignment="1">
      <alignment horizontal="center" vertical="center"/>
    </xf>
    <xf numFmtId="169" fontId="2" fillId="0" borderId="24" xfId="0" applyNumberFormat="1" applyFont="1" applyBorder="1" applyAlignment="1">
      <alignment horizontal="center" vertical="center"/>
    </xf>
    <xf numFmtId="17" fontId="28" fillId="0" borderId="0" xfId="0" applyNumberFormat="1" applyFont="1" applyAlignment="1">
      <alignment horizontal="center" wrapText="1"/>
    </xf>
    <xf numFmtId="0" fontId="0" fillId="0" borderId="0" xfId="0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2" fillId="28" borderId="54" xfId="0" applyFont="1" applyFill="1" applyBorder="1" applyAlignment="1">
      <alignment horizontal="center" vertical="center" wrapText="1"/>
    </xf>
    <xf numFmtId="0" fontId="2" fillId="28" borderId="87" xfId="0" applyFont="1" applyFill="1" applyBorder="1" applyAlignment="1">
      <alignment horizontal="center" vertical="center" wrapText="1"/>
    </xf>
    <xf numFmtId="0" fontId="36" fillId="11" borderId="52" xfId="0" applyFont="1" applyFill="1" applyBorder="1" applyAlignment="1">
      <alignment horizontal="center" vertical="center"/>
    </xf>
    <xf numFmtId="0" fontId="36" fillId="11" borderId="30" xfId="0" applyFont="1" applyFill="1" applyBorder="1" applyAlignment="1">
      <alignment horizontal="center" vertical="center"/>
    </xf>
    <xf numFmtId="0" fontId="36" fillId="11" borderId="31" xfId="0" applyFont="1" applyFill="1" applyBorder="1" applyAlignment="1">
      <alignment horizontal="center" vertic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78" xfId="0" applyFill="1" applyBorder="1" applyAlignment="1">
      <alignment horizontal="center" vertical="center" wrapText="1"/>
    </xf>
    <xf numFmtId="0" fontId="0" fillId="28" borderId="42" xfId="0" applyFill="1" applyBorder="1" applyAlignment="1">
      <alignment horizontal="center" vertical="center" wrapText="1"/>
    </xf>
    <xf numFmtId="0" fontId="0" fillId="28" borderId="17" xfId="0" applyFill="1" applyBorder="1" applyAlignment="1">
      <alignment horizontal="center" vertical="center" wrapText="1"/>
    </xf>
    <xf numFmtId="0" fontId="0" fillId="28" borderId="7" xfId="0" applyFill="1" applyBorder="1" applyAlignment="1">
      <alignment horizontal="center" vertical="center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center" wrapText="1"/>
    </xf>
    <xf numFmtId="0" fontId="0" fillId="28" borderId="19" xfId="0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7" fillId="26" borderId="13" xfId="0" applyFont="1" applyFill="1" applyBorder="1" applyAlignment="1">
      <alignment horizontal="center"/>
    </xf>
    <xf numFmtId="0" fontId="37" fillId="26" borderId="0" xfId="0" applyFont="1" applyFill="1" applyAlignment="1">
      <alignment horizontal="center"/>
    </xf>
    <xf numFmtId="0" fontId="19" fillId="7" borderId="81" xfId="4" applyFont="1" applyFill="1" applyBorder="1" applyAlignment="1">
      <alignment horizontal="center" vertical="center" wrapText="1"/>
    </xf>
    <xf numFmtId="0" fontId="19" fillId="7" borderId="79" xfId="4" applyFont="1" applyFill="1" applyBorder="1" applyAlignment="1">
      <alignment horizontal="center" vertical="center" wrapText="1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108" xfId="4" applyFont="1" applyFill="1" applyBorder="1" applyAlignment="1">
      <alignment horizontal="center" vertical="center" wrapText="1"/>
    </xf>
    <xf numFmtId="0" fontId="19" fillId="7" borderId="109" xfId="4" applyFont="1" applyFill="1" applyBorder="1" applyAlignment="1">
      <alignment horizontal="center" vertical="center" wrapText="1"/>
    </xf>
    <xf numFmtId="0" fontId="19" fillId="7" borderId="110" xfId="4" applyFont="1" applyFill="1" applyBorder="1" applyAlignment="1">
      <alignment horizontal="center" vertical="center" wrapText="1"/>
    </xf>
    <xf numFmtId="0" fontId="19" fillId="7" borderId="111" xfId="4" applyFont="1" applyFill="1" applyBorder="1" applyAlignment="1">
      <alignment horizontal="center" vertical="center" wrapText="1"/>
    </xf>
    <xf numFmtId="0" fontId="19" fillId="7" borderId="112" xfId="4" applyFont="1" applyFill="1" applyBorder="1" applyAlignment="1">
      <alignment horizontal="center" vertical="center" wrapText="1"/>
    </xf>
    <xf numFmtId="0" fontId="19" fillId="7" borderId="113" xfId="4" applyFont="1" applyFill="1" applyBorder="1" applyAlignment="1">
      <alignment horizontal="center" vertical="center" wrapText="1"/>
    </xf>
    <xf numFmtId="0" fontId="19" fillId="7" borderId="114" xfId="4" applyFont="1" applyFill="1" applyBorder="1" applyAlignment="1">
      <alignment horizontal="center" vertic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115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70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82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7" fillId="8" borderId="26" xfId="0" applyFont="1" applyFill="1" applyBorder="1" applyAlignment="1">
      <alignment horizontal="center"/>
    </xf>
    <xf numFmtId="0" fontId="2" fillId="0" borderId="78" xfId="0" applyFont="1" applyBorder="1" applyAlignment="1">
      <alignment horizontal="center"/>
    </xf>
    <xf numFmtId="0" fontId="2" fillId="0" borderId="88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29" fillId="0" borderId="20" xfId="0" applyFont="1" applyBorder="1" applyAlignment="1"/>
    <xf numFmtId="0" fontId="29" fillId="0" borderId="35" xfId="0" applyFont="1" applyBorder="1" applyAlignment="1"/>
    <xf numFmtId="0" fontId="0" fillId="0" borderId="20" xfId="0" applyBorder="1" applyAlignment="1"/>
    <xf numFmtId="0" fontId="0" fillId="0" borderId="35" xfId="0" applyBorder="1" applyAlignment="1"/>
    <xf numFmtId="0" fontId="0" fillId="0" borderId="56" xfId="0" applyBorder="1" applyAlignment="1"/>
    <xf numFmtId="0" fontId="0" fillId="0" borderId="0" xfId="0" applyAlignment="1"/>
    <xf numFmtId="0" fontId="60" fillId="0" borderId="20" xfId="0" applyFont="1" applyBorder="1" applyAlignment="1"/>
    <xf numFmtId="0" fontId="60" fillId="0" borderId="35" xfId="0" applyFont="1" applyBorder="1" applyAlignment="1"/>
    <xf numFmtId="0" fontId="60" fillId="0" borderId="56" xfId="0" applyFont="1" applyBorder="1" applyAlignment="1"/>
    <xf numFmtId="0" fontId="60" fillId="0" borderId="0" xfId="0" applyFont="1" applyAlignment="1"/>
    <xf numFmtId="0" fontId="49" fillId="0" borderId="0" xfId="0" applyFont="1" applyAlignment="1">
      <alignment horizontal="center"/>
    </xf>
    <xf numFmtId="0" fontId="19" fillId="14" borderId="78" xfId="0" applyFont="1" applyFill="1" applyBorder="1" applyAlignment="1">
      <alignment horizontal="center" vertical="center"/>
    </xf>
    <xf numFmtId="0" fontId="19" fillId="14" borderId="77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1" fillId="0" borderId="48" xfId="0" applyNumberFormat="1" applyFont="1" applyBorder="1" applyAlignment="1">
      <alignment horizontal="center"/>
    </xf>
    <xf numFmtId="0" fontId="51" fillId="0" borderId="48" xfId="0" applyFont="1" applyBorder="1" applyAlignment="1">
      <alignment horizontal="center"/>
    </xf>
  </cellXfs>
  <cellStyles count="16">
    <cellStyle name="Comma" xfId="1" builtinId="3"/>
    <cellStyle name="Comma [0]" xfId="9" builtinId="6"/>
    <cellStyle name="Comma [0] 2" xfId="14" xr:uid="{71CB2E2F-2955-4284-82E2-C3A05D3BEFB9}"/>
    <cellStyle name="Comma 2" xfId="2" xr:uid="{00000000-0005-0000-0000-000002000000}"/>
    <cellStyle name="Comma 2 2" xfId="11" xr:uid="{E71805F7-33B8-4425-B898-93794F1D54B7}"/>
    <cellStyle name="Currency" xfId="3" builtinId="4"/>
    <cellStyle name="Currency [0]" xfId="10" builtinId="7"/>
    <cellStyle name="Currency [0] 2" xfId="15" xr:uid="{C477308E-D3B7-423D-866F-8FF1010413FC}"/>
    <cellStyle name="Normal" xfId="0" builtinId="0"/>
    <cellStyle name="Normal 2" xfId="4" xr:uid="{00000000-0005-0000-0000-000006000000}"/>
    <cellStyle name="Normal 2 2" xfId="12" xr:uid="{2A91E745-1510-4D22-98C0-9FC5A57A35CF}"/>
    <cellStyle name="Normal 2 4" xfId="5" xr:uid="{00000000-0005-0000-0000-000007000000}"/>
    <cellStyle name="Normal 2 4 2" xfId="13" xr:uid="{52CEC55B-2368-4408-9EB1-06C66F36FAEA}"/>
    <cellStyle name="Normal 3" xfId="7" xr:uid="{00000000-0005-0000-0000-000008000000}"/>
    <cellStyle name="Normal 4" xfId="8" xr:uid="{00000000-0005-0000-0000-000009000000}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06/relationships/rdRichValue" Target="richData/rdrichvalue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eetMetadata" Target="metadata.xml"/><Relationship Id="rId33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32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microsoft.com/office/2017/06/relationships/rdRichValueTypes" Target="richData/rdRichValueTyp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microsoft.com/office/2017/06/relationships/rdRichValueStructure" Target="richData/rdrichvaluestructure.xml"/><Relationship Id="rId30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varyColors val="0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4734</c:v>
                </c:pt>
                <c:pt idx="1">
                  <c:v>4563</c:v>
                </c:pt>
                <c:pt idx="2">
                  <c:v>4574</c:v>
                </c:pt>
                <c:pt idx="3">
                  <c:v>4346</c:v>
                </c:pt>
                <c:pt idx="4">
                  <c:v>3969</c:v>
                </c:pt>
                <c:pt idx="5">
                  <c:v>4325</c:v>
                </c:pt>
                <c:pt idx="6">
                  <c:v>4444</c:v>
                </c:pt>
                <c:pt idx="7">
                  <c:v>4291</c:v>
                </c:pt>
                <c:pt idx="8">
                  <c:v>4336</c:v>
                </c:pt>
                <c:pt idx="9">
                  <c:v>4279</c:v>
                </c:pt>
                <c:pt idx="10">
                  <c:v>3862</c:v>
                </c:pt>
                <c:pt idx="11">
                  <c:v>3803</c:v>
                </c:pt>
                <c:pt idx="12">
                  <c:v>3648</c:v>
                </c:pt>
                <c:pt idx="13">
                  <c:v>3795</c:v>
                </c:pt>
                <c:pt idx="14">
                  <c:v>3648</c:v>
                </c:pt>
                <c:pt idx="15">
                  <c:v>3393</c:v>
                </c:pt>
                <c:pt idx="16">
                  <c:v>2977</c:v>
                </c:pt>
                <c:pt idx="17">
                  <c:v>3443</c:v>
                </c:pt>
                <c:pt idx="18">
                  <c:v>3010</c:v>
                </c:pt>
                <c:pt idx="19">
                  <c:v>3323</c:v>
                </c:pt>
                <c:pt idx="20">
                  <c:v>3113</c:v>
                </c:pt>
                <c:pt idx="21">
                  <c:v>3124</c:v>
                </c:pt>
                <c:pt idx="22">
                  <c:v>2797</c:v>
                </c:pt>
                <c:pt idx="23">
                  <c:v>3295</c:v>
                </c:pt>
                <c:pt idx="24">
                  <c:v>3205</c:v>
                </c:pt>
                <c:pt idx="25">
                  <c:v>3575</c:v>
                </c:pt>
                <c:pt idx="26">
                  <c:v>3610</c:v>
                </c:pt>
                <c:pt idx="27">
                  <c:v>3593</c:v>
                </c:pt>
                <c:pt idx="28">
                  <c:v>3589</c:v>
                </c:pt>
                <c:pt idx="29">
                  <c:v>3575</c:v>
                </c:pt>
                <c:pt idx="30">
                  <c:v>3272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383616"/>
        <c:axId val="126385152"/>
      </c:lineChart>
      <c:lineChart>
        <c:grouping val="stacked"/>
        <c:varyColors val="0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0.41560000000000002</c:v>
                </c:pt>
                <c:pt idx="1">
                  <c:v>0.53</c:v>
                </c:pt>
                <c:pt idx="2">
                  <c:v>0.36</c:v>
                </c:pt>
                <c:pt idx="3">
                  <c:v>0.35</c:v>
                </c:pt>
                <c:pt idx="4">
                  <c:v>0.26</c:v>
                </c:pt>
                <c:pt idx="5">
                  <c:v>0.31</c:v>
                </c:pt>
                <c:pt idx="6">
                  <c:v>0.24679999999999999</c:v>
                </c:pt>
                <c:pt idx="7">
                  <c:v>0.23</c:v>
                </c:pt>
                <c:pt idx="8">
                  <c:v>0.20780000000000001</c:v>
                </c:pt>
                <c:pt idx="9">
                  <c:v>0.17</c:v>
                </c:pt>
                <c:pt idx="10">
                  <c:v>0.1</c:v>
                </c:pt>
                <c:pt idx="11">
                  <c:v>6.4899999999999999E-2</c:v>
                </c:pt>
                <c:pt idx="12">
                  <c:v>0.13</c:v>
                </c:pt>
                <c:pt idx="13">
                  <c:v>0.18</c:v>
                </c:pt>
                <c:pt idx="14">
                  <c:v>0.16</c:v>
                </c:pt>
                <c:pt idx="15">
                  <c:v>0.18</c:v>
                </c:pt>
                <c:pt idx="16">
                  <c:v>0.09</c:v>
                </c:pt>
                <c:pt idx="17">
                  <c:v>0.16</c:v>
                </c:pt>
                <c:pt idx="18">
                  <c:v>0.18</c:v>
                </c:pt>
                <c:pt idx="19">
                  <c:v>0.21</c:v>
                </c:pt>
                <c:pt idx="20">
                  <c:v>0.09</c:v>
                </c:pt>
                <c:pt idx="21">
                  <c:v>0.08</c:v>
                </c:pt>
                <c:pt idx="22">
                  <c:v>0.04</c:v>
                </c:pt>
                <c:pt idx="23">
                  <c:v>0.1</c:v>
                </c:pt>
                <c:pt idx="24">
                  <c:v>0.14000000000000001</c:v>
                </c:pt>
                <c:pt idx="25">
                  <c:v>0.16</c:v>
                </c:pt>
                <c:pt idx="26">
                  <c:v>0.13</c:v>
                </c:pt>
                <c:pt idx="27">
                  <c:v>0.09</c:v>
                </c:pt>
                <c:pt idx="28">
                  <c:v>0.09</c:v>
                </c:pt>
                <c:pt idx="29">
                  <c:v>0.06</c:v>
                </c:pt>
                <c:pt idx="30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403328"/>
        <c:axId val="126404864"/>
      </c:lineChart>
      <c:catAx>
        <c:axId val="126383616"/>
        <c:scaling>
          <c:orientation val="minMax"/>
        </c:scaling>
        <c:delete val="0"/>
        <c:axPos val="b"/>
        <c:numFmt formatCode="[$-409]d\-mmm\-yy;@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385152"/>
        <c:crosses val="autoZero"/>
        <c:auto val="0"/>
        <c:lblAlgn val="ctr"/>
        <c:lblOffset val="100"/>
        <c:tickMarkSkip val="1"/>
        <c:noMultiLvlLbl val="0"/>
      </c:catAx>
      <c:valAx>
        <c:axId val="126385152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383616"/>
        <c:crosses val="autoZero"/>
        <c:crossBetween val="between"/>
      </c:valAx>
      <c:catAx>
        <c:axId val="126403328"/>
        <c:scaling>
          <c:orientation val="minMax"/>
        </c:scaling>
        <c:delete val="1"/>
        <c:axPos val="b"/>
        <c:numFmt formatCode="[$-409]d\-mmm\-yy;@" sourceLinked="1"/>
        <c:majorTickMark val="out"/>
        <c:minorTickMark val="none"/>
        <c:tickLblPos val="none"/>
        <c:crossAx val="126404864"/>
        <c:crosses val="autoZero"/>
        <c:auto val="0"/>
        <c:lblAlgn val="ctr"/>
        <c:lblOffset val="100"/>
        <c:noMultiLvlLbl val="0"/>
      </c:catAx>
      <c:valAx>
        <c:axId val="126404864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40332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varyColors val="0"/>
        <c:ser>
          <c:idx val="0"/>
          <c:order val="0"/>
          <c:tx>
            <c:strRef>
              <c:f>'Energy Graph'!$D$1</c:f>
              <c:strCache>
                <c:ptCount val="1"/>
                <c:pt idx="0">
                  <c:v>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0.00</c:formatCode>
                <c:ptCount val="31"/>
                <c:pt idx="0">
                  <c:v>34</c:v>
                </c:pt>
                <c:pt idx="1">
                  <c:v>42</c:v>
                </c:pt>
                <c:pt idx="2">
                  <c:v>29</c:v>
                </c:pt>
                <c:pt idx="3">
                  <c:v>28</c:v>
                </c:pt>
                <c:pt idx="4">
                  <c:v>21</c:v>
                </c:pt>
                <c:pt idx="5">
                  <c:v>25</c:v>
                </c:pt>
                <c:pt idx="6">
                  <c:v>20</c:v>
                </c:pt>
                <c:pt idx="7">
                  <c:v>19</c:v>
                </c:pt>
                <c:pt idx="8">
                  <c:v>17</c:v>
                </c:pt>
                <c:pt idx="9">
                  <c:v>16</c:v>
                </c:pt>
                <c:pt idx="10">
                  <c:v>11</c:v>
                </c:pt>
                <c:pt idx="11">
                  <c:v>8</c:v>
                </c:pt>
                <c:pt idx="12">
                  <c:v>13</c:v>
                </c:pt>
                <c:pt idx="13">
                  <c:v>17</c:v>
                </c:pt>
                <c:pt idx="14">
                  <c:v>15</c:v>
                </c:pt>
                <c:pt idx="15">
                  <c:v>17</c:v>
                </c:pt>
                <c:pt idx="16">
                  <c:v>10</c:v>
                </c:pt>
                <c:pt idx="17">
                  <c:v>14</c:v>
                </c:pt>
                <c:pt idx="18">
                  <c:v>15</c:v>
                </c:pt>
                <c:pt idx="19">
                  <c:v>17</c:v>
                </c:pt>
                <c:pt idx="20">
                  <c:v>8</c:v>
                </c:pt>
                <c:pt idx="21">
                  <c:v>7</c:v>
                </c:pt>
                <c:pt idx="22">
                  <c:v>4</c:v>
                </c:pt>
                <c:pt idx="23">
                  <c:v>9</c:v>
                </c:pt>
                <c:pt idx="24">
                  <c:v>12</c:v>
                </c:pt>
                <c:pt idx="25">
                  <c:v>13</c:v>
                </c:pt>
                <c:pt idx="26">
                  <c:v>11</c:v>
                </c:pt>
                <c:pt idx="27">
                  <c:v>8</c:v>
                </c:pt>
                <c:pt idx="28">
                  <c:v>8</c:v>
                </c:pt>
                <c:pt idx="29">
                  <c:v>6</c:v>
                </c:pt>
                <c:pt idx="30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413056"/>
        <c:axId val="126414848"/>
      </c:lineChart>
      <c:catAx>
        <c:axId val="126413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414848"/>
        <c:crosses val="autoZero"/>
        <c:auto val="1"/>
        <c:lblAlgn val="ctr"/>
        <c:lblOffset val="100"/>
        <c:noMultiLvlLbl val="0"/>
      </c:catAx>
      <c:valAx>
        <c:axId val="12641484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413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varyColors val="0"/>
        <c:ser>
          <c:idx val="0"/>
          <c:order val="0"/>
          <c:tx>
            <c:strRef>
              <c:f>'Energy Graph'!$E$1</c:f>
              <c:strCache>
                <c:ptCount val="1"/>
                <c:pt idx="0">
                  <c:v>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0.00</c:formatCode>
                <c:ptCount val="31"/>
                <c:pt idx="0">
                  <c:v>34</c:v>
                </c:pt>
                <c:pt idx="1">
                  <c:v>42</c:v>
                </c:pt>
                <c:pt idx="2">
                  <c:v>29</c:v>
                </c:pt>
                <c:pt idx="3">
                  <c:v>28</c:v>
                </c:pt>
                <c:pt idx="4">
                  <c:v>21</c:v>
                </c:pt>
                <c:pt idx="5">
                  <c:v>25</c:v>
                </c:pt>
                <c:pt idx="6">
                  <c:v>20</c:v>
                </c:pt>
                <c:pt idx="7">
                  <c:v>19</c:v>
                </c:pt>
                <c:pt idx="8">
                  <c:v>17</c:v>
                </c:pt>
                <c:pt idx="9">
                  <c:v>16</c:v>
                </c:pt>
                <c:pt idx="10">
                  <c:v>11</c:v>
                </c:pt>
                <c:pt idx="11">
                  <c:v>8</c:v>
                </c:pt>
                <c:pt idx="12">
                  <c:v>13</c:v>
                </c:pt>
                <c:pt idx="13">
                  <c:v>17</c:v>
                </c:pt>
                <c:pt idx="14">
                  <c:v>15</c:v>
                </c:pt>
                <c:pt idx="15">
                  <c:v>17</c:v>
                </c:pt>
                <c:pt idx="16">
                  <c:v>10</c:v>
                </c:pt>
                <c:pt idx="17">
                  <c:v>14</c:v>
                </c:pt>
                <c:pt idx="18">
                  <c:v>15</c:v>
                </c:pt>
                <c:pt idx="19">
                  <c:v>17</c:v>
                </c:pt>
                <c:pt idx="20">
                  <c:v>8</c:v>
                </c:pt>
                <c:pt idx="21">
                  <c:v>7</c:v>
                </c:pt>
                <c:pt idx="22">
                  <c:v>4</c:v>
                </c:pt>
                <c:pt idx="23">
                  <c:v>9</c:v>
                </c:pt>
                <c:pt idx="24">
                  <c:v>12</c:v>
                </c:pt>
                <c:pt idx="25">
                  <c:v>13</c:v>
                </c:pt>
                <c:pt idx="26">
                  <c:v>11</c:v>
                </c:pt>
                <c:pt idx="27">
                  <c:v>8</c:v>
                </c:pt>
                <c:pt idx="28">
                  <c:v>8</c:v>
                </c:pt>
                <c:pt idx="29">
                  <c:v>6</c:v>
                </c:pt>
                <c:pt idx="30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976000"/>
        <c:axId val="126977536"/>
      </c:lineChart>
      <c:catAx>
        <c:axId val="1269760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977536"/>
        <c:crosses val="autoZero"/>
        <c:auto val="1"/>
        <c:lblAlgn val="ctr"/>
        <c:lblOffset val="100"/>
        <c:noMultiLvlLbl val="0"/>
      </c:catAx>
      <c:valAx>
        <c:axId val="126977536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976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v>Disceal</c:v>
          </c:tx>
          <c:invertIfNegative val="0"/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1927.08</c:v>
                </c:pt>
                <c:pt idx="1">
                  <c:v>1859.9199999999998</c:v>
                </c:pt>
                <c:pt idx="2">
                  <c:v>1889.6999999999998</c:v>
                </c:pt>
                <c:pt idx="3">
                  <c:v>1716.3900000000003</c:v>
                </c:pt>
                <c:pt idx="4">
                  <c:v>1829.15</c:v>
                </c:pt>
                <c:pt idx="5">
                  <c:v>1866.3500000000001</c:v>
                </c:pt>
                <c:pt idx="6">
                  <c:v>1767.24</c:v>
                </c:pt>
                <c:pt idx="7">
                  <c:v>1846.05</c:v>
                </c:pt>
                <c:pt idx="8">
                  <c:v>1765.63</c:v>
                </c:pt>
                <c:pt idx="9">
                  <c:v>1625.2799999999997</c:v>
                </c:pt>
                <c:pt idx="10">
                  <c:v>1599.77</c:v>
                </c:pt>
                <c:pt idx="11">
                  <c:v>1507.29</c:v>
                </c:pt>
                <c:pt idx="12">
                  <c:v>1511.92</c:v>
                </c:pt>
                <c:pt idx="13">
                  <c:v>1442</c:v>
                </c:pt>
                <c:pt idx="14">
                  <c:v>1354.38</c:v>
                </c:pt>
                <c:pt idx="15">
                  <c:v>1220.47</c:v>
                </c:pt>
                <c:pt idx="16">
                  <c:v>1382.6399999999999</c:v>
                </c:pt>
                <c:pt idx="17">
                  <c:v>1252.71</c:v>
                </c:pt>
                <c:pt idx="18">
                  <c:v>1370.45</c:v>
                </c:pt>
                <c:pt idx="19">
                  <c:v>1280.31</c:v>
                </c:pt>
                <c:pt idx="20">
                  <c:v>1286.26</c:v>
                </c:pt>
                <c:pt idx="21">
                  <c:v>1199.2800000000002</c:v>
                </c:pt>
                <c:pt idx="22">
                  <c:v>1340.81</c:v>
                </c:pt>
                <c:pt idx="23">
                  <c:v>1255.47</c:v>
                </c:pt>
                <c:pt idx="24">
                  <c:v>1351.98</c:v>
                </c:pt>
                <c:pt idx="25">
                  <c:v>1411.45</c:v>
                </c:pt>
                <c:pt idx="26">
                  <c:v>1429.2</c:v>
                </c:pt>
                <c:pt idx="27">
                  <c:v>1414.19</c:v>
                </c:pt>
                <c:pt idx="28">
                  <c:v>1346.8700000000001</c:v>
                </c:pt>
                <c:pt idx="29">
                  <c:v>1283.56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5141888"/>
        <c:axId val="167429248"/>
      </c:barChart>
      <c:lineChart>
        <c:grouping val="standard"/>
        <c:varyColors val="0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0</c:formatCode>
                <c:ptCount val="31"/>
                <c:pt idx="0">
                  <c:v>42</c:v>
                </c:pt>
                <c:pt idx="1">
                  <c:v>29</c:v>
                </c:pt>
                <c:pt idx="2">
                  <c:v>28</c:v>
                </c:pt>
                <c:pt idx="3">
                  <c:v>21</c:v>
                </c:pt>
                <c:pt idx="4">
                  <c:v>25</c:v>
                </c:pt>
                <c:pt idx="5">
                  <c:v>20</c:v>
                </c:pt>
                <c:pt idx="6">
                  <c:v>19</c:v>
                </c:pt>
                <c:pt idx="7">
                  <c:v>17</c:v>
                </c:pt>
                <c:pt idx="8">
                  <c:v>16</c:v>
                </c:pt>
                <c:pt idx="9">
                  <c:v>11</c:v>
                </c:pt>
                <c:pt idx="10">
                  <c:v>8</c:v>
                </c:pt>
                <c:pt idx="11">
                  <c:v>13</c:v>
                </c:pt>
                <c:pt idx="12">
                  <c:v>17</c:v>
                </c:pt>
                <c:pt idx="13">
                  <c:v>15</c:v>
                </c:pt>
                <c:pt idx="14">
                  <c:v>17</c:v>
                </c:pt>
                <c:pt idx="15">
                  <c:v>10</c:v>
                </c:pt>
                <c:pt idx="16">
                  <c:v>14</c:v>
                </c:pt>
                <c:pt idx="17">
                  <c:v>15</c:v>
                </c:pt>
                <c:pt idx="18">
                  <c:v>17</c:v>
                </c:pt>
                <c:pt idx="19">
                  <c:v>8</c:v>
                </c:pt>
                <c:pt idx="20">
                  <c:v>7</c:v>
                </c:pt>
                <c:pt idx="21">
                  <c:v>4</c:v>
                </c:pt>
                <c:pt idx="22">
                  <c:v>9</c:v>
                </c:pt>
                <c:pt idx="23">
                  <c:v>12</c:v>
                </c:pt>
                <c:pt idx="24">
                  <c:v>13</c:v>
                </c:pt>
                <c:pt idx="25">
                  <c:v>11</c:v>
                </c:pt>
                <c:pt idx="26">
                  <c:v>8</c:v>
                </c:pt>
                <c:pt idx="27">
                  <c:v>8</c:v>
                </c:pt>
                <c:pt idx="28">
                  <c:v>6</c:v>
                </c:pt>
                <c:pt idx="29">
                  <c:v>5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444288"/>
        <c:axId val="168457344"/>
      </c:lineChart>
      <c:catAx>
        <c:axId val="165141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429248"/>
        <c:crosses val="autoZero"/>
        <c:auto val="1"/>
        <c:lblAlgn val="ctr"/>
        <c:lblOffset val="100"/>
        <c:noMultiLvlLbl val="0"/>
      </c:catAx>
      <c:valAx>
        <c:axId val="167429248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141888"/>
        <c:crosses val="autoZero"/>
        <c:crossBetween val="between"/>
        <c:majorUnit val="200"/>
      </c:valAx>
      <c:catAx>
        <c:axId val="168444288"/>
        <c:scaling>
          <c:orientation val="minMax"/>
        </c:scaling>
        <c:delete val="1"/>
        <c:axPos val="b"/>
        <c:majorTickMark val="out"/>
        <c:minorTickMark val="none"/>
        <c:tickLblPos val="none"/>
        <c:crossAx val="168457344"/>
        <c:crosses val="autoZero"/>
        <c:auto val="1"/>
        <c:lblAlgn val="ctr"/>
        <c:lblOffset val="100"/>
        <c:noMultiLvlLbl val="0"/>
      </c:catAx>
      <c:valAx>
        <c:axId val="168457344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44428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overlay val="0"/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v>Disceal</c:v>
          </c:tx>
          <c:invertIfNegative val="0"/>
          <c:val>
            <c:numRef>
              <c:f>'[1]Utility summery'!$D$7:$D$38</c:f>
              <c:numCache>
                <c:formatCode>General</c:formatCode>
                <c:ptCount val="32"/>
              </c:numCache>
            </c:numRef>
          </c:val>
          <c:extLst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0105088"/>
        <c:axId val="170142336"/>
      </c:barChart>
      <c:lineChart>
        <c:grouping val="standard"/>
        <c:varyColors val="0"/>
        <c:ser>
          <c:idx val="0"/>
          <c:order val="0"/>
          <c:tx>
            <c:v>Room Occ.</c:v>
          </c:tx>
          <c:val>
            <c:numRef>
              <c:f>'[1]Utility summery'!$B$7:$B$37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515776"/>
        <c:axId val="115517312"/>
      </c:lineChart>
      <c:catAx>
        <c:axId val="170105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142336"/>
        <c:crosses val="autoZero"/>
        <c:auto val="1"/>
        <c:lblAlgn val="ctr"/>
        <c:lblOffset val="100"/>
        <c:noMultiLvlLbl val="0"/>
      </c:catAx>
      <c:valAx>
        <c:axId val="1701423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105088"/>
        <c:crosses val="autoZero"/>
        <c:crossBetween val="between"/>
        <c:majorUnit val="200"/>
      </c:valAx>
      <c:catAx>
        <c:axId val="115515776"/>
        <c:scaling>
          <c:orientation val="minMax"/>
        </c:scaling>
        <c:delete val="1"/>
        <c:axPos val="b"/>
        <c:majorTickMark val="out"/>
        <c:minorTickMark val="none"/>
        <c:tickLblPos val="none"/>
        <c:crossAx val="115517312"/>
        <c:crosses val="autoZero"/>
        <c:auto val="1"/>
        <c:lblAlgn val="ctr"/>
        <c:lblOffset val="100"/>
        <c:noMultiLvlLbl val="0"/>
      </c:catAx>
      <c:valAx>
        <c:axId val="11551731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51577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overlay val="0"/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74914852924E-2"/>
          <c:y val="3.7036787513880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2285.41</c:v>
                </c:pt>
                <c:pt idx="1">
                  <c:v>2164.39</c:v>
                </c:pt>
                <c:pt idx="2" formatCode="0.00">
                  <c:v>2090.92</c:v>
                </c:pt>
                <c:pt idx="3">
                  <c:v>2137.1799999999998</c:v>
                </c:pt>
                <c:pt idx="4">
                  <c:v>1826.3900000000003</c:v>
                </c:pt>
                <c:pt idx="5">
                  <c:v>2128.19</c:v>
                </c:pt>
                <c:pt idx="6">
                  <c:v>1999.3500000000001</c:v>
                </c:pt>
                <c:pt idx="7">
                  <c:v>1929.71</c:v>
                </c:pt>
                <c:pt idx="8">
                  <c:v>1955.79</c:v>
                </c:pt>
                <c:pt idx="9">
                  <c:v>1845.46</c:v>
                </c:pt>
                <c:pt idx="10">
                  <c:v>2011.7399999999998</c:v>
                </c:pt>
                <c:pt idx="11">
                  <c:v>1599.77</c:v>
                </c:pt>
                <c:pt idx="12">
                  <c:v>1573.6</c:v>
                </c:pt>
                <c:pt idx="13">
                  <c:v>1800</c:v>
                </c:pt>
                <c:pt idx="14">
                  <c:v>1442</c:v>
                </c:pt>
                <c:pt idx="15" formatCode="_(* #,##0.00_);_(* \(#,##0.00\);_(* &quot;-&quot;??_);_(@_)">
                  <c:v>1801.38</c:v>
                </c:pt>
                <c:pt idx="16" formatCode="_(* #,##0.00_);_(* \(#,##0.00\);_(* &quot;-&quot;??_);_(@_)">
                  <c:v>1220.47</c:v>
                </c:pt>
                <c:pt idx="17">
                  <c:v>1603.6499999999999</c:v>
                </c:pt>
                <c:pt idx="18">
                  <c:v>1380.55</c:v>
                </c:pt>
                <c:pt idx="19">
                  <c:v>1608.47</c:v>
                </c:pt>
                <c:pt idx="20">
                  <c:v>1295.31</c:v>
                </c:pt>
                <c:pt idx="21">
                  <c:v>1551.08</c:v>
                </c:pt>
                <c:pt idx="22">
                  <c:v>1452.5200000000002</c:v>
                </c:pt>
                <c:pt idx="23">
                  <c:v>1577.85</c:v>
                </c:pt>
                <c:pt idx="24">
                  <c:v>1373.5</c:v>
                </c:pt>
                <c:pt idx="25">
                  <c:v>1425.35</c:v>
                </c:pt>
                <c:pt idx="26">
                  <c:v>1765.33</c:v>
                </c:pt>
                <c:pt idx="27">
                  <c:v>1429.2</c:v>
                </c:pt>
                <c:pt idx="28">
                  <c:v>1462.78</c:v>
                </c:pt>
                <c:pt idx="29">
                  <c:v>1442.8700000000001</c:v>
                </c:pt>
                <c:pt idx="30">
                  <c:v>1795.26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934016"/>
        <c:axId val="124935552"/>
      </c:lineChart>
      <c:catAx>
        <c:axId val="124934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35552"/>
        <c:crosses val="autoZero"/>
        <c:auto val="1"/>
        <c:lblAlgn val="ctr"/>
        <c:lblOffset val="200"/>
        <c:tickLblSkip val="1"/>
        <c:noMultiLvlLbl val="0"/>
      </c:catAx>
      <c:valAx>
        <c:axId val="124935552"/>
        <c:scaling>
          <c:orientation val="minMax"/>
          <c:max val="3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34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08872251624"/>
          <c:y val="4.166685686028377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0.41560000000000002</c:v>
                </c:pt>
                <c:pt idx="1">
                  <c:v>0.53</c:v>
                </c:pt>
                <c:pt idx="2">
                  <c:v>0.36</c:v>
                </c:pt>
                <c:pt idx="3">
                  <c:v>0.35</c:v>
                </c:pt>
                <c:pt idx="4">
                  <c:v>0.26</c:v>
                </c:pt>
                <c:pt idx="5">
                  <c:v>0.31</c:v>
                </c:pt>
                <c:pt idx="6">
                  <c:v>0.24679999999999999</c:v>
                </c:pt>
                <c:pt idx="7">
                  <c:v>0.23</c:v>
                </c:pt>
                <c:pt idx="8">
                  <c:v>0.20780000000000001</c:v>
                </c:pt>
                <c:pt idx="9">
                  <c:v>0.17</c:v>
                </c:pt>
                <c:pt idx="10">
                  <c:v>0.1</c:v>
                </c:pt>
                <c:pt idx="11">
                  <c:v>6.4899999999999999E-2</c:v>
                </c:pt>
                <c:pt idx="12">
                  <c:v>0.13</c:v>
                </c:pt>
                <c:pt idx="13">
                  <c:v>0.18</c:v>
                </c:pt>
                <c:pt idx="14">
                  <c:v>0.16</c:v>
                </c:pt>
                <c:pt idx="15">
                  <c:v>0.18</c:v>
                </c:pt>
                <c:pt idx="16">
                  <c:v>0.09</c:v>
                </c:pt>
                <c:pt idx="17">
                  <c:v>0.16</c:v>
                </c:pt>
                <c:pt idx="18">
                  <c:v>0.18</c:v>
                </c:pt>
                <c:pt idx="19">
                  <c:v>0.21</c:v>
                </c:pt>
                <c:pt idx="20">
                  <c:v>0.09</c:v>
                </c:pt>
                <c:pt idx="21">
                  <c:v>0.08</c:v>
                </c:pt>
                <c:pt idx="22">
                  <c:v>0.04</c:v>
                </c:pt>
                <c:pt idx="23">
                  <c:v>0.1</c:v>
                </c:pt>
                <c:pt idx="24">
                  <c:v>0.14000000000000001</c:v>
                </c:pt>
                <c:pt idx="25">
                  <c:v>0.16</c:v>
                </c:pt>
                <c:pt idx="26">
                  <c:v>0.13</c:v>
                </c:pt>
                <c:pt idx="27">
                  <c:v>0.09</c:v>
                </c:pt>
                <c:pt idx="28">
                  <c:v>0.09</c:v>
                </c:pt>
                <c:pt idx="29">
                  <c:v>0.06</c:v>
                </c:pt>
                <c:pt idx="30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956032"/>
        <c:axId val="124957824"/>
      </c:lineChart>
      <c:catAx>
        <c:axId val="124956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57824"/>
        <c:crosses val="autoZero"/>
        <c:auto val="1"/>
        <c:lblAlgn val="ctr"/>
        <c:lblOffset val="100"/>
        <c:noMultiLvlLbl val="0"/>
      </c:catAx>
      <c:valAx>
        <c:axId val="124957824"/>
        <c:scaling>
          <c:orientation val="minMax"/>
          <c:max val="1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56032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0.00</c:formatCode>
                <c:ptCount val="32"/>
                <c:pt idx="0">
                  <c:v>4734</c:v>
                </c:pt>
                <c:pt idx="1">
                  <c:v>4563</c:v>
                </c:pt>
                <c:pt idx="2">
                  <c:v>4574</c:v>
                </c:pt>
                <c:pt idx="3">
                  <c:v>4346</c:v>
                </c:pt>
                <c:pt idx="4">
                  <c:v>3969</c:v>
                </c:pt>
                <c:pt idx="5">
                  <c:v>4325</c:v>
                </c:pt>
                <c:pt idx="6">
                  <c:v>4444</c:v>
                </c:pt>
                <c:pt idx="7">
                  <c:v>4291</c:v>
                </c:pt>
                <c:pt idx="8">
                  <c:v>4336</c:v>
                </c:pt>
                <c:pt idx="9">
                  <c:v>4279</c:v>
                </c:pt>
                <c:pt idx="10">
                  <c:v>3862</c:v>
                </c:pt>
                <c:pt idx="11">
                  <c:v>3803</c:v>
                </c:pt>
                <c:pt idx="12">
                  <c:v>3648</c:v>
                </c:pt>
                <c:pt idx="13">
                  <c:v>3795</c:v>
                </c:pt>
                <c:pt idx="14">
                  <c:v>3648</c:v>
                </c:pt>
                <c:pt idx="15">
                  <c:v>3393</c:v>
                </c:pt>
                <c:pt idx="16">
                  <c:v>2977</c:v>
                </c:pt>
                <c:pt idx="17">
                  <c:v>3443</c:v>
                </c:pt>
                <c:pt idx="18">
                  <c:v>3010</c:v>
                </c:pt>
                <c:pt idx="19">
                  <c:v>3323</c:v>
                </c:pt>
                <c:pt idx="20">
                  <c:v>3113</c:v>
                </c:pt>
                <c:pt idx="21">
                  <c:v>3124</c:v>
                </c:pt>
                <c:pt idx="22">
                  <c:v>2797</c:v>
                </c:pt>
                <c:pt idx="23">
                  <c:v>3295</c:v>
                </c:pt>
                <c:pt idx="24">
                  <c:v>3205</c:v>
                </c:pt>
                <c:pt idx="25">
                  <c:v>3575</c:v>
                </c:pt>
                <c:pt idx="26">
                  <c:v>3610</c:v>
                </c:pt>
                <c:pt idx="27">
                  <c:v>3593</c:v>
                </c:pt>
                <c:pt idx="28">
                  <c:v>3589</c:v>
                </c:pt>
                <c:pt idx="29">
                  <c:v>3575</c:v>
                </c:pt>
                <c:pt idx="30">
                  <c:v>3272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974208"/>
        <c:axId val="124976128"/>
      </c:lineChart>
      <c:catAx>
        <c:axId val="124974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76128"/>
        <c:crosses val="autoZero"/>
        <c:auto val="1"/>
        <c:lblAlgn val="ctr"/>
        <c:lblOffset val="100"/>
        <c:noMultiLvlLbl val="0"/>
      </c:catAx>
      <c:valAx>
        <c:axId val="124976128"/>
        <c:scaling>
          <c:orientation val="minMax"/>
          <c:max val="50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74208"/>
        <c:crosses val="autoZero"/>
        <c:crossBetween val="between"/>
        <c:minorUnit val="2000"/>
      </c:valAx>
    </c:plotArea>
    <c:legend>
      <c:legendPos val="b"/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116</c:v>
                </c:pt>
                <c:pt idx="1">
                  <c:v>94</c:v>
                </c:pt>
                <c:pt idx="2">
                  <c:v>110</c:v>
                </c:pt>
                <c:pt idx="3">
                  <c:v>94</c:v>
                </c:pt>
                <c:pt idx="4">
                  <c:v>86</c:v>
                </c:pt>
                <c:pt idx="5">
                  <c:v>90</c:v>
                </c:pt>
                <c:pt idx="6">
                  <c:v>92</c:v>
                </c:pt>
                <c:pt idx="7">
                  <c:v>108</c:v>
                </c:pt>
                <c:pt idx="8">
                  <c:v>101</c:v>
                </c:pt>
                <c:pt idx="9">
                  <c:v>83</c:v>
                </c:pt>
                <c:pt idx="10">
                  <c:v>67</c:v>
                </c:pt>
                <c:pt idx="11">
                  <c:v>133</c:v>
                </c:pt>
                <c:pt idx="12">
                  <c:v>86</c:v>
                </c:pt>
                <c:pt idx="13">
                  <c:v>92</c:v>
                </c:pt>
                <c:pt idx="14">
                  <c:v>102</c:v>
                </c:pt>
                <c:pt idx="15">
                  <c:v>74</c:v>
                </c:pt>
                <c:pt idx="16">
                  <c:v>68</c:v>
                </c:pt>
                <c:pt idx="17">
                  <c:v>62</c:v>
                </c:pt>
                <c:pt idx="18">
                  <c:v>70</c:v>
                </c:pt>
                <c:pt idx="19">
                  <c:v>88</c:v>
                </c:pt>
                <c:pt idx="20">
                  <c:v>81</c:v>
                </c:pt>
                <c:pt idx="21">
                  <c:v>71</c:v>
                </c:pt>
                <c:pt idx="22">
                  <c:v>62</c:v>
                </c:pt>
                <c:pt idx="23">
                  <c:v>75</c:v>
                </c:pt>
                <c:pt idx="24">
                  <c:v>160</c:v>
                </c:pt>
                <c:pt idx="25">
                  <c:v>66</c:v>
                </c:pt>
                <c:pt idx="26">
                  <c:v>75</c:v>
                </c:pt>
                <c:pt idx="27">
                  <c:v>64</c:v>
                </c:pt>
                <c:pt idx="28">
                  <c:v>80</c:v>
                </c:pt>
                <c:pt idx="29">
                  <c:v>110</c:v>
                </c:pt>
                <c:pt idx="30">
                  <c:v>104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058432"/>
        <c:axId val="125076992"/>
      </c:lineChart>
      <c:catAx>
        <c:axId val="1250584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076992"/>
        <c:crosses val="autoZero"/>
        <c:auto val="1"/>
        <c:lblAlgn val="ctr"/>
        <c:lblOffset val="100"/>
        <c:noMultiLvlLbl val="0"/>
      </c:catAx>
      <c:valAx>
        <c:axId val="125076992"/>
        <c:scaling>
          <c:orientation val="minMax"/>
          <c:max val="250"/>
          <c:min val="50"/>
        </c:scaling>
        <c:delete val="0"/>
        <c:axPos val="l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058432"/>
        <c:crosses val="autoZero"/>
        <c:crossBetween val="between"/>
        <c:majorUnit val="50"/>
      </c:valAx>
    </c:plotArea>
    <c:legend>
      <c:legendPos val="b"/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144.4520000000077</c:v>
                </c:pt>
                <c:pt idx="1">
                  <c:v>150.70000000000002</c:v>
                </c:pt>
                <c:pt idx="2">
                  <c:v>156.94799999999233</c:v>
                </c:pt>
                <c:pt idx="3">
                  <c:v>132.08800000001793</c:v>
                </c:pt>
                <c:pt idx="4">
                  <c:v>122.1879999999539</c:v>
                </c:pt>
                <c:pt idx="5">
                  <c:v>137.72000000001282</c:v>
                </c:pt>
                <c:pt idx="6">
                  <c:v>132.87999999998721</c:v>
                </c:pt>
                <c:pt idx="7">
                  <c:v>112.02400000002818</c:v>
                </c:pt>
                <c:pt idx="8">
                  <c:v>106.08400000000258</c:v>
                </c:pt>
                <c:pt idx="9">
                  <c:v>113.78400000000256</c:v>
                </c:pt>
                <c:pt idx="10">
                  <c:v>116.90799999996672</c:v>
                </c:pt>
                <c:pt idx="11">
                  <c:v>99.484000000002567</c:v>
                </c:pt>
                <c:pt idx="12">
                  <c:v>90.904000000015373</c:v>
                </c:pt>
                <c:pt idx="13">
                  <c:v>73.568000000005128</c:v>
                </c:pt>
                <c:pt idx="14">
                  <c:v>74.315999999997445</c:v>
                </c:pt>
                <c:pt idx="15">
                  <c:v>109.60400000001538</c:v>
                </c:pt>
                <c:pt idx="16">
                  <c:v>108.9</c:v>
                </c:pt>
                <c:pt idx="17">
                  <c:v>98.823999999964158</c:v>
                </c:pt>
                <c:pt idx="18">
                  <c:v>113.82800000004355</c:v>
                </c:pt>
                <c:pt idx="19">
                  <c:v>115.14799999999232</c:v>
                </c:pt>
                <c:pt idx="20">
                  <c:v>113.82799999997953</c:v>
                </c:pt>
                <c:pt idx="21">
                  <c:v>96.711999999982083</c:v>
                </c:pt>
                <c:pt idx="22">
                  <c:v>93.23600000001025</c:v>
                </c:pt>
                <c:pt idx="23">
                  <c:v>103.31200000004611</c:v>
                </c:pt>
                <c:pt idx="24">
                  <c:v>113.38799999995391</c:v>
                </c:pt>
                <c:pt idx="25">
                  <c:v>121.35200000000769</c:v>
                </c:pt>
                <c:pt idx="26">
                  <c:v>119.32799999997953</c:v>
                </c:pt>
                <c:pt idx="27">
                  <c:v>116.07200000002049</c:v>
                </c:pt>
                <c:pt idx="28">
                  <c:v>112.81599999999744</c:v>
                </c:pt>
                <c:pt idx="29">
                  <c:v>103.79599999998464</c:v>
                </c:pt>
                <c:pt idx="30">
                  <c:v>-4278.8239999999641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089664"/>
        <c:axId val="125091200"/>
      </c:lineChart>
      <c:catAx>
        <c:axId val="125089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091200"/>
        <c:crosses val="autoZero"/>
        <c:auto val="1"/>
        <c:lblAlgn val="ctr"/>
        <c:lblOffset val="100"/>
        <c:noMultiLvlLbl val="0"/>
      </c:catAx>
      <c:valAx>
        <c:axId val="125091200"/>
        <c:scaling>
          <c:orientation val="minMax"/>
          <c:max val="200"/>
          <c:min val="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089664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456768"/>
        <c:axId val="125458304"/>
      </c:lineChart>
      <c:catAx>
        <c:axId val="125456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458304"/>
        <c:crosses val="autoZero"/>
        <c:auto val="1"/>
        <c:lblAlgn val="ctr"/>
        <c:lblOffset val="100"/>
        <c:noMultiLvlLbl val="0"/>
      </c:catAx>
      <c:valAx>
        <c:axId val="1254583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456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Diesel consumed by Gen (Ltrs)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_(* #,##0.00_);_(* \(#,##0.00\);_(* "-"??_);_(@_)</c:formatCode>
                <c:ptCount val="31"/>
                <c:pt idx="0">
                  <c:v>1965.3</c:v>
                </c:pt>
                <c:pt idx="1">
                  <c:v>1927.08</c:v>
                </c:pt>
                <c:pt idx="2">
                  <c:v>1859.9199999999998</c:v>
                </c:pt>
                <c:pt idx="3">
                  <c:v>1889.6999999999998</c:v>
                </c:pt>
                <c:pt idx="4">
                  <c:v>1716.3900000000003</c:v>
                </c:pt>
                <c:pt idx="5">
                  <c:v>1829.15</c:v>
                </c:pt>
                <c:pt idx="6">
                  <c:v>1866.3500000000001</c:v>
                </c:pt>
                <c:pt idx="7">
                  <c:v>1767.24</c:v>
                </c:pt>
                <c:pt idx="8">
                  <c:v>1846.05</c:v>
                </c:pt>
                <c:pt idx="9">
                  <c:v>1765.63</c:v>
                </c:pt>
                <c:pt idx="10">
                  <c:v>1625.2799999999997</c:v>
                </c:pt>
                <c:pt idx="11">
                  <c:v>1599.77</c:v>
                </c:pt>
                <c:pt idx="12">
                  <c:v>1507.29</c:v>
                </c:pt>
                <c:pt idx="13">
                  <c:v>1511.92</c:v>
                </c:pt>
                <c:pt idx="14">
                  <c:v>1442</c:v>
                </c:pt>
                <c:pt idx="15">
                  <c:v>1354.38</c:v>
                </c:pt>
                <c:pt idx="16">
                  <c:v>1220.47</c:v>
                </c:pt>
                <c:pt idx="17">
                  <c:v>1382.6399999999999</c:v>
                </c:pt>
                <c:pt idx="18">
                  <c:v>1252.71</c:v>
                </c:pt>
                <c:pt idx="19">
                  <c:v>1370.45</c:v>
                </c:pt>
                <c:pt idx="20">
                  <c:v>1280.31</c:v>
                </c:pt>
                <c:pt idx="21">
                  <c:v>1286.26</c:v>
                </c:pt>
                <c:pt idx="22">
                  <c:v>1199.2800000000002</c:v>
                </c:pt>
                <c:pt idx="23">
                  <c:v>1340.81</c:v>
                </c:pt>
                <c:pt idx="24">
                  <c:v>1255.47</c:v>
                </c:pt>
                <c:pt idx="25">
                  <c:v>1351.98</c:v>
                </c:pt>
                <c:pt idx="26">
                  <c:v>1411.45</c:v>
                </c:pt>
                <c:pt idx="27">
                  <c:v>1429.2</c:v>
                </c:pt>
                <c:pt idx="28">
                  <c:v>1414.19</c:v>
                </c:pt>
                <c:pt idx="29">
                  <c:v>1346.8700000000001</c:v>
                </c:pt>
                <c:pt idx="30">
                  <c:v>1283.56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478400"/>
        <c:axId val="125479936"/>
      </c:lineChart>
      <c:catAx>
        <c:axId val="125478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479936"/>
        <c:crosses val="autoZero"/>
        <c:auto val="1"/>
        <c:lblAlgn val="ctr"/>
        <c:lblOffset val="100"/>
        <c:noMultiLvlLbl val="0"/>
      </c:catAx>
      <c:valAx>
        <c:axId val="125479936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47840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marker>
            <c:symbol val="triangle"/>
            <c:size val="5"/>
          </c:marker>
          <c:dLbls>
            <c:spPr>
              <a:noFill/>
              <a:ln>
                <a:solidFill>
                  <a:srgbClr val="000000"/>
                </a:solidFill>
                <a:prstDash val="solid"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Report'!$F$5:$F$36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549184"/>
        <c:axId val="125555456"/>
      </c:lineChart>
      <c:catAx>
        <c:axId val="1255491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555456"/>
        <c:crosses val="autoZero"/>
        <c:auto val="1"/>
        <c:lblAlgn val="ctr"/>
        <c:lblOffset val="100"/>
        <c:noMultiLvlLbl val="0"/>
      </c:catAx>
      <c:valAx>
        <c:axId val="125555456"/>
        <c:scaling>
          <c:orientation val="minMax"/>
          <c:max val="5000"/>
          <c:min val="30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549184"/>
        <c:crosses val="autoZero"/>
        <c:crossBetween val="between"/>
        <c:majorUnit val="500"/>
        <c:minorUnit val="100"/>
      </c:valAx>
      <c:dTable>
        <c:showHorzBorder val="1"/>
        <c:showVertBorder val="1"/>
        <c:showOutline val="1"/>
        <c:showKeys val="1"/>
        <c:spPr>
          <a:ln>
            <a:solidFill>
              <a:srgbClr val="FF0000"/>
            </a:solidFill>
            <a:prstDash val="solid"/>
          </a:ln>
        </c:spPr>
      </c:dTable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varyColors val="0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144.4520000000077</c:v>
                </c:pt>
                <c:pt idx="1">
                  <c:v>150.70000000000002</c:v>
                </c:pt>
                <c:pt idx="2">
                  <c:v>156.94799999999233</c:v>
                </c:pt>
                <c:pt idx="3">
                  <c:v>132.08800000001793</c:v>
                </c:pt>
                <c:pt idx="4">
                  <c:v>122.1879999999539</c:v>
                </c:pt>
                <c:pt idx="5">
                  <c:v>137.72000000001282</c:v>
                </c:pt>
                <c:pt idx="6">
                  <c:v>132.87999999998721</c:v>
                </c:pt>
                <c:pt idx="7">
                  <c:v>112.02400000002818</c:v>
                </c:pt>
                <c:pt idx="8">
                  <c:v>106.08400000000258</c:v>
                </c:pt>
                <c:pt idx="9">
                  <c:v>113.78400000000256</c:v>
                </c:pt>
                <c:pt idx="10">
                  <c:v>116.90799999996672</c:v>
                </c:pt>
                <c:pt idx="11">
                  <c:v>99.484000000002567</c:v>
                </c:pt>
                <c:pt idx="12">
                  <c:v>90.904000000015373</c:v>
                </c:pt>
                <c:pt idx="13">
                  <c:v>73.568000000005128</c:v>
                </c:pt>
                <c:pt idx="14">
                  <c:v>74.315999999997445</c:v>
                </c:pt>
                <c:pt idx="15">
                  <c:v>109.60400000001538</c:v>
                </c:pt>
                <c:pt idx="16">
                  <c:v>108.9</c:v>
                </c:pt>
                <c:pt idx="17">
                  <c:v>98.823999999964158</c:v>
                </c:pt>
                <c:pt idx="18">
                  <c:v>113.82800000004355</c:v>
                </c:pt>
                <c:pt idx="19">
                  <c:v>115.14799999999232</c:v>
                </c:pt>
                <c:pt idx="20">
                  <c:v>113.82799999997953</c:v>
                </c:pt>
                <c:pt idx="21">
                  <c:v>96.711999999982083</c:v>
                </c:pt>
                <c:pt idx="22">
                  <c:v>93.23600000001025</c:v>
                </c:pt>
                <c:pt idx="23">
                  <c:v>103.31200000004611</c:v>
                </c:pt>
                <c:pt idx="24">
                  <c:v>113.38799999995391</c:v>
                </c:pt>
                <c:pt idx="25">
                  <c:v>121.35200000000769</c:v>
                </c:pt>
                <c:pt idx="26">
                  <c:v>119.32799999997953</c:v>
                </c:pt>
                <c:pt idx="27">
                  <c:v>116.07200000002049</c:v>
                </c:pt>
                <c:pt idx="28">
                  <c:v>112.81599999999744</c:v>
                </c:pt>
                <c:pt idx="29">
                  <c:v>103.79599999998464</c:v>
                </c:pt>
                <c:pt idx="30">
                  <c:v>-4278.8239999999641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299392"/>
        <c:axId val="130300928"/>
      </c:lineChart>
      <c:lineChart>
        <c:grouping val="stacked"/>
        <c:varyColors val="0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0.41560000000000002</c:v>
                </c:pt>
                <c:pt idx="1">
                  <c:v>0.53</c:v>
                </c:pt>
                <c:pt idx="2">
                  <c:v>0.36</c:v>
                </c:pt>
                <c:pt idx="3">
                  <c:v>0.35</c:v>
                </c:pt>
                <c:pt idx="4">
                  <c:v>0.26</c:v>
                </c:pt>
                <c:pt idx="5">
                  <c:v>0.31</c:v>
                </c:pt>
                <c:pt idx="6">
                  <c:v>0.24679999999999999</c:v>
                </c:pt>
                <c:pt idx="7">
                  <c:v>0.23</c:v>
                </c:pt>
                <c:pt idx="8">
                  <c:v>0.20780000000000001</c:v>
                </c:pt>
                <c:pt idx="9">
                  <c:v>0.17</c:v>
                </c:pt>
                <c:pt idx="10">
                  <c:v>0.1</c:v>
                </c:pt>
                <c:pt idx="11">
                  <c:v>6.4899999999999999E-2</c:v>
                </c:pt>
                <c:pt idx="12">
                  <c:v>0.13</c:v>
                </c:pt>
                <c:pt idx="13">
                  <c:v>0.18</c:v>
                </c:pt>
                <c:pt idx="14">
                  <c:v>0.16</c:v>
                </c:pt>
                <c:pt idx="15">
                  <c:v>0.18</c:v>
                </c:pt>
                <c:pt idx="16">
                  <c:v>0.09</c:v>
                </c:pt>
                <c:pt idx="17">
                  <c:v>0.16</c:v>
                </c:pt>
                <c:pt idx="18">
                  <c:v>0.18</c:v>
                </c:pt>
                <c:pt idx="19">
                  <c:v>0.21</c:v>
                </c:pt>
                <c:pt idx="20">
                  <c:v>0.09</c:v>
                </c:pt>
                <c:pt idx="21">
                  <c:v>0.08</c:v>
                </c:pt>
                <c:pt idx="22">
                  <c:v>0.04</c:v>
                </c:pt>
                <c:pt idx="23">
                  <c:v>0.1</c:v>
                </c:pt>
                <c:pt idx="24">
                  <c:v>0.14000000000000001</c:v>
                </c:pt>
                <c:pt idx="25">
                  <c:v>0.16</c:v>
                </c:pt>
                <c:pt idx="26">
                  <c:v>0.13</c:v>
                </c:pt>
                <c:pt idx="27">
                  <c:v>0.09</c:v>
                </c:pt>
                <c:pt idx="28">
                  <c:v>0.09</c:v>
                </c:pt>
                <c:pt idx="29">
                  <c:v>0.06</c:v>
                </c:pt>
                <c:pt idx="30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306816"/>
        <c:axId val="130308352"/>
      </c:lineChart>
      <c:catAx>
        <c:axId val="130299392"/>
        <c:scaling>
          <c:orientation val="minMax"/>
        </c:scaling>
        <c:delete val="0"/>
        <c:axPos val="b"/>
        <c:numFmt formatCode="[$-409]d\-mmm\-yy;@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00928"/>
        <c:crosses val="autoZero"/>
        <c:auto val="0"/>
        <c:lblAlgn val="ctr"/>
        <c:lblOffset val="100"/>
        <c:tickMarkSkip val="1"/>
        <c:noMultiLvlLbl val="0"/>
      </c:catAx>
      <c:valAx>
        <c:axId val="130300928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299392"/>
        <c:crosses val="autoZero"/>
        <c:crossBetween val="between"/>
      </c:valAx>
      <c:catAx>
        <c:axId val="130306816"/>
        <c:scaling>
          <c:orientation val="minMax"/>
        </c:scaling>
        <c:delete val="1"/>
        <c:axPos val="b"/>
        <c:numFmt formatCode="[$-409]d\-mmm\-yy;@" sourceLinked="1"/>
        <c:majorTickMark val="out"/>
        <c:minorTickMark val="none"/>
        <c:tickLblPos val="none"/>
        <c:crossAx val="130308352"/>
        <c:crosses val="autoZero"/>
        <c:auto val="0"/>
        <c:lblAlgn val="ctr"/>
        <c:lblOffset val="100"/>
        <c:noMultiLvlLbl val="0"/>
      </c:catAx>
      <c:valAx>
        <c:axId val="130308352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0681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varyColors val="0"/>
        <c:ser>
          <c:idx val="0"/>
          <c:order val="0"/>
          <c:tx>
            <c:strRef>
              <c:f>[2]LPG_Graph!$B$1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[1]LPG_Graph!$A$2:$A$32</c:f>
              <c:numCache>
                <c:formatCode>General</c:formatCode>
                <c:ptCount val="31"/>
              </c:numCache>
            </c:numRef>
          </c:cat>
          <c:val>
            <c:numRef>
              <c:f>[1]LPG_Graph!$B$2:$B$32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339584"/>
        <c:axId val="130341120"/>
      </c:lineChart>
      <c:lineChart>
        <c:grouping val="stacked"/>
        <c:varyColors val="0"/>
        <c:ser>
          <c:idx val="1"/>
          <c:order val="1"/>
          <c:tx>
            <c:strRef>
              <c:f>[2]LPG_Graph!$C$1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[1]LPG_Graph!$A$2:$A$32</c:f>
              <c:numCache>
                <c:formatCode>General</c:formatCode>
                <c:ptCount val="31"/>
              </c:numCache>
            </c:numRef>
          </c:cat>
          <c:val>
            <c:numRef>
              <c:f>[1]LPG_Graph!$C$2:$C$32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342912"/>
        <c:axId val="130344448"/>
      </c:lineChart>
      <c:catAx>
        <c:axId val="130339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41120"/>
        <c:crosses val="autoZero"/>
        <c:auto val="0"/>
        <c:lblAlgn val="ctr"/>
        <c:lblOffset val="100"/>
        <c:tickMarkSkip val="1"/>
        <c:noMultiLvlLbl val="0"/>
      </c:catAx>
      <c:valAx>
        <c:axId val="1303411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39584"/>
        <c:crosses val="autoZero"/>
        <c:crossBetween val="between"/>
      </c:valAx>
      <c:catAx>
        <c:axId val="1303429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130344448"/>
        <c:crosses val="autoZero"/>
        <c:auto val="0"/>
        <c:lblAlgn val="ctr"/>
        <c:lblOffset val="100"/>
        <c:noMultiLvlLbl val="0"/>
      </c:catAx>
      <c:valAx>
        <c:axId val="13034444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4291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varyColors val="0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967040"/>
        <c:axId val="154977024"/>
      </c:lineChart>
      <c:lineChart>
        <c:grouping val="stacked"/>
        <c:varyColors val="0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</c:numCache>
            </c:numRef>
          </c:cat>
          <c:val>
            <c:numRef>
              <c:f>'Water_Graph '!$C$2:$C$32</c:f>
              <c:numCache>
                <c:formatCode>0%</c:formatCode>
                <c:ptCount val="31"/>
                <c:pt idx="0">
                  <c:v>0.41560000000000002</c:v>
                </c:pt>
                <c:pt idx="1">
                  <c:v>0.53</c:v>
                </c:pt>
                <c:pt idx="2">
                  <c:v>0.36</c:v>
                </c:pt>
                <c:pt idx="3">
                  <c:v>0.35</c:v>
                </c:pt>
                <c:pt idx="4">
                  <c:v>0.26</c:v>
                </c:pt>
                <c:pt idx="5">
                  <c:v>0.31</c:v>
                </c:pt>
                <c:pt idx="6">
                  <c:v>0.24679999999999999</c:v>
                </c:pt>
                <c:pt idx="7">
                  <c:v>0.23</c:v>
                </c:pt>
                <c:pt idx="8">
                  <c:v>0.20780000000000001</c:v>
                </c:pt>
                <c:pt idx="9">
                  <c:v>0.17</c:v>
                </c:pt>
                <c:pt idx="10">
                  <c:v>0.1</c:v>
                </c:pt>
                <c:pt idx="11">
                  <c:v>6.4899999999999999E-2</c:v>
                </c:pt>
                <c:pt idx="12">
                  <c:v>0.13</c:v>
                </c:pt>
                <c:pt idx="13">
                  <c:v>0.18</c:v>
                </c:pt>
                <c:pt idx="14">
                  <c:v>0.16</c:v>
                </c:pt>
                <c:pt idx="15">
                  <c:v>0.18</c:v>
                </c:pt>
                <c:pt idx="16">
                  <c:v>0.09</c:v>
                </c:pt>
                <c:pt idx="17">
                  <c:v>0.16</c:v>
                </c:pt>
                <c:pt idx="18">
                  <c:v>0.18</c:v>
                </c:pt>
                <c:pt idx="19">
                  <c:v>0.21</c:v>
                </c:pt>
                <c:pt idx="20">
                  <c:v>0.09</c:v>
                </c:pt>
                <c:pt idx="21">
                  <c:v>0.08</c:v>
                </c:pt>
                <c:pt idx="22">
                  <c:v>0.04</c:v>
                </c:pt>
                <c:pt idx="23">
                  <c:v>0.1</c:v>
                </c:pt>
                <c:pt idx="24">
                  <c:v>0.14000000000000001</c:v>
                </c:pt>
                <c:pt idx="25">
                  <c:v>0.16</c:v>
                </c:pt>
                <c:pt idx="26">
                  <c:v>0.13</c:v>
                </c:pt>
                <c:pt idx="27">
                  <c:v>0.09</c:v>
                </c:pt>
                <c:pt idx="28">
                  <c:v>0.09</c:v>
                </c:pt>
                <c:pt idx="29">
                  <c:v>0.06</c:v>
                </c:pt>
                <c:pt idx="30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978560"/>
        <c:axId val="154980352"/>
      </c:lineChart>
      <c:catAx>
        <c:axId val="154967040"/>
        <c:scaling>
          <c:orientation val="minMax"/>
        </c:scaling>
        <c:delete val="0"/>
        <c:axPos val="b"/>
        <c:numFmt formatCode="[$-409]d\-mmm\-yy;@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977024"/>
        <c:crosses val="autoZero"/>
        <c:auto val="0"/>
        <c:lblAlgn val="ctr"/>
        <c:lblOffset val="100"/>
        <c:tickMarkSkip val="1"/>
        <c:noMultiLvlLbl val="0"/>
      </c:catAx>
      <c:valAx>
        <c:axId val="154977024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967040"/>
        <c:crosses val="autoZero"/>
        <c:crossBetween val="between"/>
      </c:valAx>
      <c:catAx>
        <c:axId val="154978560"/>
        <c:scaling>
          <c:orientation val="minMax"/>
        </c:scaling>
        <c:delete val="1"/>
        <c:axPos val="b"/>
        <c:numFmt formatCode="[$-409]d\-mmm\-yy;@" sourceLinked="1"/>
        <c:majorTickMark val="out"/>
        <c:minorTickMark val="none"/>
        <c:tickLblPos val="none"/>
        <c:crossAx val="154980352"/>
        <c:crosses val="autoZero"/>
        <c:auto val="0"/>
        <c:lblAlgn val="ctr"/>
        <c:lblOffset val="100"/>
        <c:noMultiLvlLbl val="0"/>
      </c:catAx>
      <c:valAx>
        <c:axId val="154980352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97856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varyColors val="0"/>
        <c:ser>
          <c:idx val="0"/>
          <c:order val="0"/>
          <c:tx>
            <c:strRef>
              <c:f>'[2]Water_Graph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'[1]Water_Graph '!$A$2:$A$32</c:f>
              <c:numCache>
                <c:formatCode>General</c:formatCode>
                <c:ptCount val="31"/>
              </c:numCache>
            </c:numRef>
          </c:cat>
          <c:val>
            <c:numRef>
              <c:f>'[1]Water_Graph '!$B$2:$B$32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982080"/>
        <c:axId val="155996160"/>
      </c:lineChart>
      <c:lineChart>
        <c:grouping val="stacked"/>
        <c:varyColors val="0"/>
        <c:ser>
          <c:idx val="1"/>
          <c:order val="1"/>
          <c:tx>
            <c:strRef>
              <c:f>'[2]Water_Graph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'[1]Water_Graph '!$A$2:$A$32</c:f>
              <c:numCache>
                <c:formatCode>General</c:formatCode>
                <c:ptCount val="31"/>
              </c:numCache>
            </c:numRef>
          </c:cat>
          <c:val>
            <c:numRef>
              <c:f>'[1]Water_Graph '!$C$2:$C$32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997696"/>
        <c:axId val="155999232"/>
      </c:lineChart>
      <c:catAx>
        <c:axId val="155982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996160"/>
        <c:crosses val="autoZero"/>
        <c:auto val="0"/>
        <c:lblAlgn val="ctr"/>
        <c:lblOffset val="100"/>
        <c:tickMarkSkip val="1"/>
        <c:noMultiLvlLbl val="0"/>
      </c:catAx>
      <c:valAx>
        <c:axId val="1559961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982080"/>
        <c:crosses val="autoZero"/>
        <c:crossBetween val="between"/>
      </c:valAx>
      <c:catAx>
        <c:axId val="1559976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155999232"/>
        <c:crosses val="autoZero"/>
        <c:auto val="0"/>
        <c:lblAlgn val="ctr"/>
        <c:lblOffset val="100"/>
        <c:noMultiLvlLbl val="0"/>
      </c:catAx>
      <c:valAx>
        <c:axId val="15599923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99769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0.00</c:formatCode>
                <c:ptCount val="32"/>
                <c:pt idx="0">
                  <c:v>4734</c:v>
                </c:pt>
                <c:pt idx="1">
                  <c:v>4563</c:v>
                </c:pt>
                <c:pt idx="2">
                  <c:v>4574</c:v>
                </c:pt>
                <c:pt idx="3">
                  <c:v>4346</c:v>
                </c:pt>
                <c:pt idx="4">
                  <c:v>3969</c:v>
                </c:pt>
                <c:pt idx="5">
                  <c:v>4325</c:v>
                </c:pt>
                <c:pt idx="6">
                  <c:v>4444</c:v>
                </c:pt>
                <c:pt idx="7">
                  <c:v>4291</c:v>
                </c:pt>
                <c:pt idx="8">
                  <c:v>4336</c:v>
                </c:pt>
                <c:pt idx="9">
                  <c:v>4279</c:v>
                </c:pt>
                <c:pt idx="10">
                  <c:v>3862</c:v>
                </c:pt>
                <c:pt idx="11">
                  <c:v>3803</c:v>
                </c:pt>
                <c:pt idx="12">
                  <c:v>3648</c:v>
                </c:pt>
                <c:pt idx="13">
                  <c:v>3795</c:v>
                </c:pt>
                <c:pt idx="14">
                  <c:v>3648</c:v>
                </c:pt>
                <c:pt idx="15">
                  <c:v>3393</c:v>
                </c:pt>
                <c:pt idx="16">
                  <c:v>2977</c:v>
                </c:pt>
                <c:pt idx="17">
                  <c:v>3443</c:v>
                </c:pt>
                <c:pt idx="18">
                  <c:v>3010</c:v>
                </c:pt>
                <c:pt idx="19">
                  <c:v>3323</c:v>
                </c:pt>
                <c:pt idx="20">
                  <c:v>3113</c:v>
                </c:pt>
                <c:pt idx="21">
                  <c:v>3124</c:v>
                </c:pt>
                <c:pt idx="22">
                  <c:v>2797</c:v>
                </c:pt>
                <c:pt idx="23">
                  <c:v>3295</c:v>
                </c:pt>
                <c:pt idx="24">
                  <c:v>3205</c:v>
                </c:pt>
                <c:pt idx="25">
                  <c:v>3575</c:v>
                </c:pt>
                <c:pt idx="26">
                  <c:v>3610</c:v>
                </c:pt>
                <c:pt idx="27">
                  <c:v>3593</c:v>
                </c:pt>
                <c:pt idx="28">
                  <c:v>3589</c:v>
                </c:pt>
                <c:pt idx="29">
                  <c:v>3575</c:v>
                </c:pt>
                <c:pt idx="30">
                  <c:v>3272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506752"/>
        <c:axId val="156545792"/>
      </c:lineChart>
      <c:catAx>
        <c:axId val="1565067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545792"/>
        <c:crosses val="autoZero"/>
        <c:auto val="1"/>
        <c:lblAlgn val="ctr"/>
        <c:lblOffset val="100"/>
        <c:noMultiLvlLbl val="0"/>
      </c:catAx>
      <c:valAx>
        <c:axId val="156545792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50675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116</c:v>
                </c:pt>
                <c:pt idx="1">
                  <c:v>94</c:v>
                </c:pt>
                <c:pt idx="2">
                  <c:v>110</c:v>
                </c:pt>
                <c:pt idx="3">
                  <c:v>94</c:v>
                </c:pt>
                <c:pt idx="4">
                  <c:v>86</c:v>
                </c:pt>
                <c:pt idx="5">
                  <c:v>90</c:v>
                </c:pt>
                <c:pt idx="6">
                  <c:v>92</c:v>
                </c:pt>
                <c:pt idx="7">
                  <c:v>108</c:v>
                </c:pt>
                <c:pt idx="8">
                  <c:v>101</c:v>
                </c:pt>
                <c:pt idx="9">
                  <c:v>83</c:v>
                </c:pt>
                <c:pt idx="10">
                  <c:v>67</c:v>
                </c:pt>
                <c:pt idx="11">
                  <c:v>133</c:v>
                </c:pt>
                <c:pt idx="12">
                  <c:v>86</c:v>
                </c:pt>
                <c:pt idx="13">
                  <c:v>92</c:v>
                </c:pt>
                <c:pt idx="14">
                  <c:v>102</c:v>
                </c:pt>
                <c:pt idx="15">
                  <c:v>74</c:v>
                </c:pt>
                <c:pt idx="16">
                  <c:v>68</c:v>
                </c:pt>
                <c:pt idx="17">
                  <c:v>62</c:v>
                </c:pt>
                <c:pt idx="18">
                  <c:v>70</c:v>
                </c:pt>
                <c:pt idx="19">
                  <c:v>88</c:v>
                </c:pt>
                <c:pt idx="20">
                  <c:v>81</c:v>
                </c:pt>
                <c:pt idx="21">
                  <c:v>71</c:v>
                </c:pt>
                <c:pt idx="22">
                  <c:v>62</c:v>
                </c:pt>
                <c:pt idx="23">
                  <c:v>75</c:v>
                </c:pt>
                <c:pt idx="24">
                  <c:v>160</c:v>
                </c:pt>
                <c:pt idx="25">
                  <c:v>66</c:v>
                </c:pt>
                <c:pt idx="26">
                  <c:v>75</c:v>
                </c:pt>
                <c:pt idx="27">
                  <c:v>64</c:v>
                </c:pt>
                <c:pt idx="28">
                  <c:v>80</c:v>
                </c:pt>
                <c:pt idx="29">
                  <c:v>110</c:v>
                </c:pt>
                <c:pt idx="30">
                  <c:v>104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558464"/>
        <c:axId val="156560384"/>
      </c:lineChart>
      <c:catAx>
        <c:axId val="1565584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560384"/>
        <c:crosses val="autoZero"/>
        <c:auto val="1"/>
        <c:lblAlgn val="ctr"/>
        <c:lblOffset val="100"/>
        <c:noMultiLvlLbl val="0"/>
      </c:catAx>
      <c:valAx>
        <c:axId val="156560384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55846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57471492529E-2"/>
          <c:y val="3.7037154275315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2285.41</c:v>
                </c:pt>
                <c:pt idx="1">
                  <c:v>2164.39</c:v>
                </c:pt>
                <c:pt idx="2" formatCode="0.00">
                  <c:v>2090.92</c:v>
                </c:pt>
                <c:pt idx="3">
                  <c:v>2137.1799999999998</c:v>
                </c:pt>
                <c:pt idx="4">
                  <c:v>1826.3900000000003</c:v>
                </c:pt>
                <c:pt idx="5">
                  <c:v>2128.19</c:v>
                </c:pt>
                <c:pt idx="6">
                  <c:v>1999.3500000000001</c:v>
                </c:pt>
                <c:pt idx="7">
                  <c:v>1929.71</c:v>
                </c:pt>
                <c:pt idx="8">
                  <c:v>1955.79</c:v>
                </c:pt>
                <c:pt idx="9">
                  <c:v>1845.46</c:v>
                </c:pt>
                <c:pt idx="10">
                  <c:v>2011.7399999999998</c:v>
                </c:pt>
                <c:pt idx="11">
                  <c:v>1599.77</c:v>
                </c:pt>
                <c:pt idx="12">
                  <c:v>1573.6</c:v>
                </c:pt>
                <c:pt idx="13">
                  <c:v>1800</c:v>
                </c:pt>
                <c:pt idx="14">
                  <c:v>1442</c:v>
                </c:pt>
                <c:pt idx="15" formatCode="_(* #,##0.00_);_(* \(#,##0.00\);_(* &quot;-&quot;??_);_(@_)">
                  <c:v>1801.38</c:v>
                </c:pt>
                <c:pt idx="16" formatCode="_(* #,##0.00_);_(* \(#,##0.00\);_(* &quot;-&quot;??_);_(@_)">
                  <c:v>1220.47</c:v>
                </c:pt>
                <c:pt idx="17">
                  <c:v>1603.6499999999999</c:v>
                </c:pt>
                <c:pt idx="18">
                  <c:v>1380.55</c:v>
                </c:pt>
                <c:pt idx="19">
                  <c:v>1608.47</c:v>
                </c:pt>
                <c:pt idx="20">
                  <c:v>1295.31</c:v>
                </c:pt>
                <c:pt idx="21">
                  <c:v>1551.08</c:v>
                </c:pt>
                <c:pt idx="22">
                  <c:v>1452.5200000000002</c:v>
                </c:pt>
                <c:pt idx="23">
                  <c:v>1577.85</c:v>
                </c:pt>
                <c:pt idx="24">
                  <c:v>1373.5</c:v>
                </c:pt>
                <c:pt idx="25">
                  <c:v>1425.35</c:v>
                </c:pt>
                <c:pt idx="26">
                  <c:v>1765.33</c:v>
                </c:pt>
                <c:pt idx="27">
                  <c:v>1429.2</c:v>
                </c:pt>
                <c:pt idx="28">
                  <c:v>1462.78</c:v>
                </c:pt>
                <c:pt idx="29">
                  <c:v>1442.8700000000001</c:v>
                </c:pt>
                <c:pt idx="30">
                  <c:v>1795.26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790144"/>
        <c:axId val="156824704"/>
      </c:lineChart>
      <c:catAx>
        <c:axId val="156790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824704"/>
        <c:crosses val="autoZero"/>
        <c:auto val="1"/>
        <c:lblAlgn val="ctr"/>
        <c:lblOffset val="200"/>
        <c:tickLblSkip val="1"/>
        <c:noMultiLvlLbl val="0"/>
      </c:catAx>
      <c:valAx>
        <c:axId val="156824704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790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14966262944"/>
          <c:y val="4.1667064344229704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0.41560000000000002</c:v>
                </c:pt>
                <c:pt idx="1">
                  <c:v>0.53</c:v>
                </c:pt>
                <c:pt idx="2">
                  <c:v>0.36</c:v>
                </c:pt>
                <c:pt idx="3">
                  <c:v>0.35</c:v>
                </c:pt>
                <c:pt idx="4">
                  <c:v>0.26</c:v>
                </c:pt>
                <c:pt idx="5">
                  <c:v>0.31</c:v>
                </c:pt>
                <c:pt idx="6">
                  <c:v>0.24679999999999999</c:v>
                </c:pt>
                <c:pt idx="7">
                  <c:v>0.23</c:v>
                </c:pt>
                <c:pt idx="8">
                  <c:v>0.20780000000000001</c:v>
                </c:pt>
                <c:pt idx="9">
                  <c:v>0.17</c:v>
                </c:pt>
                <c:pt idx="10">
                  <c:v>0.1</c:v>
                </c:pt>
                <c:pt idx="11">
                  <c:v>6.4899999999999999E-2</c:v>
                </c:pt>
                <c:pt idx="12">
                  <c:v>0.13</c:v>
                </c:pt>
                <c:pt idx="13">
                  <c:v>0.18</c:v>
                </c:pt>
                <c:pt idx="14">
                  <c:v>0.16</c:v>
                </c:pt>
                <c:pt idx="15">
                  <c:v>0.18</c:v>
                </c:pt>
                <c:pt idx="16">
                  <c:v>0.09</c:v>
                </c:pt>
                <c:pt idx="17">
                  <c:v>0.16</c:v>
                </c:pt>
                <c:pt idx="18">
                  <c:v>0.18</c:v>
                </c:pt>
                <c:pt idx="19">
                  <c:v>0.21</c:v>
                </c:pt>
                <c:pt idx="20">
                  <c:v>0.09</c:v>
                </c:pt>
                <c:pt idx="21">
                  <c:v>0.08</c:v>
                </c:pt>
                <c:pt idx="22">
                  <c:v>0.04</c:v>
                </c:pt>
                <c:pt idx="23">
                  <c:v>0.1</c:v>
                </c:pt>
                <c:pt idx="24">
                  <c:v>0.14000000000000001</c:v>
                </c:pt>
                <c:pt idx="25">
                  <c:v>0.16</c:v>
                </c:pt>
                <c:pt idx="26">
                  <c:v>0.13</c:v>
                </c:pt>
                <c:pt idx="27">
                  <c:v>0.09</c:v>
                </c:pt>
                <c:pt idx="28">
                  <c:v>0.09</c:v>
                </c:pt>
                <c:pt idx="29">
                  <c:v>0.06</c:v>
                </c:pt>
                <c:pt idx="30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127808"/>
        <c:axId val="157129344"/>
      </c:lineChart>
      <c:catAx>
        <c:axId val="157127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129344"/>
        <c:crosses val="autoZero"/>
        <c:auto val="1"/>
        <c:lblAlgn val="ctr"/>
        <c:lblOffset val="100"/>
        <c:noMultiLvlLbl val="0"/>
      </c:catAx>
      <c:valAx>
        <c:axId val="15712934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127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2161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144.4520000000077</c:v>
                </c:pt>
                <c:pt idx="1">
                  <c:v>150.70000000000002</c:v>
                </c:pt>
                <c:pt idx="2">
                  <c:v>156.94799999999233</c:v>
                </c:pt>
                <c:pt idx="3">
                  <c:v>132.08800000001793</c:v>
                </c:pt>
                <c:pt idx="4">
                  <c:v>122.1879999999539</c:v>
                </c:pt>
                <c:pt idx="5">
                  <c:v>137.72000000001282</c:v>
                </c:pt>
                <c:pt idx="6">
                  <c:v>132.87999999998721</c:v>
                </c:pt>
                <c:pt idx="7">
                  <c:v>112.02400000002818</c:v>
                </c:pt>
                <c:pt idx="8">
                  <c:v>106.08400000000258</c:v>
                </c:pt>
                <c:pt idx="9">
                  <c:v>113.78400000000256</c:v>
                </c:pt>
                <c:pt idx="10">
                  <c:v>116.90799999996672</c:v>
                </c:pt>
                <c:pt idx="11">
                  <c:v>99.484000000002567</c:v>
                </c:pt>
                <c:pt idx="12">
                  <c:v>90.904000000015373</c:v>
                </c:pt>
                <c:pt idx="13">
                  <c:v>73.568000000005128</c:v>
                </c:pt>
                <c:pt idx="14">
                  <c:v>74.315999999997445</c:v>
                </c:pt>
                <c:pt idx="15">
                  <c:v>109.60400000001538</c:v>
                </c:pt>
                <c:pt idx="16">
                  <c:v>108.9</c:v>
                </c:pt>
                <c:pt idx="17">
                  <c:v>98.823999999964158</c:v>
                </c:pt>
                <c:pt idx="18">
                  <c:v>113.82800000004355</c:v>
                </c:pt>
                <c:pt idx="19">
                  <c:v>115.14799999999232</c:v>
                </c:pt>
                <c:pt idx="20">
                  <c:v>113.82799999997953</c:v>
                </c:pt>
                <c:pt idx="21">
                  <c:v>96.711999999982083</c:v>
                </c:pt>
                <c:pt idx="22">
                  <c:v>93.23600000001025</c:v>
                </c:pt>
                <c:pt idx="23">
                  <c:v>103.31200000004611</c:v>
                </c:pt>
                <c:pt idx="24">
                  <c:v>113.38799999995391</c:v>
                </c:pt>
                <c:pt idx="25">
                  <c:v>121.35200000000769</c:v>
                </c:pt>
                <c:pt idx="26">
                  <c:v>119.32799999997953</c:v>
                </c:pt>
                <c:pt idx="27">
                  <c:v>116.07200000002049</c:v>
                </c:pt>
                <c:pt idx="28">
                  <c:v>112.81599999999744</c:v>
                </c:pt>
                <c:pt idx="29">
                  <c:v>103.79599999998464</c:v>
                </c:pt>
                <c:pt idx="30">
                  <c:v>-4278.8239999999641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153920"/>
        <c:axId val="157294976"/>
      </c:lineChart>
      <c:catAx>
        <c:axId val="157153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294976"/>
        <c:crosses val="autoZero"/>
        <c:auto val="1"/>
        <c:lblAlgn val="ctr"/>
        <c:lblOffset val="100"/>
        <c:noMultiLvlLbl val="0"/>
      </c:catAx>
      <c:valAx>
        <c:axId val="15729497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153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0.00</c:formatCode>
                <c:ptCount val="32"/>
                <c:pt idx="0">
                  <c:v>4734</c:v>
                </c:pt>
                <c:pt idx="1">
                  <c:v>4563</c:v>
                </c:pt>
                <c:pt idx="2">
                  <c:v>4574</c:v>
                </c:pt>
                <c:pt idx="3">
                  <c:v>4346</c:v>
                </c:pt>
                <c:pt idx="4">
                  <c:v>3969</c:v>
                </c:pt>
                <c:pt idx="5">
                  <c:v>4325</c:v>
                </c:pt>
                <c:pt idx="6">
                  <c:v>4444</c:v>
                </c:pt>
                <c:pt idx="7">
                  <c:v>4291</c:v>
                </c:pt>
                <c:pt idx="8">
                  <c:v>4336</c:v>
                </c:pt>
                <c:pt idx="9">
                  <c:v>4279</c:v>
                </c:pt>
                <c:pt idx="10">
                  <c:v>3862</c:v>
                </c:pt>
                <c:pt idx="11">
                  <c:v>3803</c:v>
                </c:pt>
                <c:pt idx="12">
                  <c:v>3648</c:v>
                </c:pt>
                <c:pt idx="13">
                  <c:v>3795</c:v>
                </c:pt>
                <c:pt idx="14">
                  <c:v>3648</c:v>
                </c:pt>
                <c:pt idx="15">
                  <c:v>3393</c:v>
                </c:pt>
                <c:pt idx="16">
                  <c:v>2977</c:v>
                </c:pt>
                <c:pt idx="17">
                  <c:v>3443</c:v>
                </c:pt>
                <c:pt idx="18">
                  <c:v>3010</c:v>
                </c:pt>
                <c:pt idx="19">
                  <c:v>3323</c:v>
                </c:pt>
                <c:pt idx="20">
                  <c:v>3113</c:v>
                </c:pt>
                <c:pt idx="21">
                  <c:v>3124</c:v>
                </c:pt>
                <c:pt idx="22">
                  <c:v>2797</c:v>
                </c:pt>
                <c:pt idx="23">
                  <c:v>3295</c:v>
                </c:pt>
                <c:pt idx="24">
                  <c:v>3205</c:v>
                </c:pt>
                <c:pt idx="25">
                  <c:v>3575</c:v>
                </c:pt>
                <c:pt idx="26">
                  <c:v>3610</c:v>
                </c:pt>
                <c:pt idx="27">
                  <c:v>3593</c:v>
                </c:pt>
                <c:pt idx="28">
                  <c:v>3589</c:v>
                </c:pt>
                <c:pt idx="29">
                  <c:v>3575</c:v>
                </c:pt>
                <c:pt idx="30">
                  <c:v>3272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614464"/>
        <c:axId val="157616384"/>
      </c:lineChart>
      <c:catAx>
        <c:axId val="1576144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616384"/>
        <c:crosses val="autoZero"/>
        <c:auto val="1"/>
        <c:lblAlgn val="ctr"/>
        <c:lblOffset val="100"/>
        <c:noMultiLvlLbl val="0"/>
      </c:catAx>
      <c:valAx>
        <c:axId val="157616384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61446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116</c:v>
                </c:pt>
                <c:pt idx="1">
                  <c:v>94</c:v>
                </c:pt>
                <c:pt idx="2">
                  <c:v>110</c:v>
                </c:pt>
                <c:pt idx="3">
                  <c:v>94</c:v>
                </c:pt>
                <c:pt idx="4">
                  <c:v>86</c:v>
                </c:pt>
                <c:pt idx="5">
                  <c:v>90</c:v>
                </c:pt>
                <c:pt idx="6">
                  <c:v>92</c:v>
                </c:pt>
                <c:pt idx="7">
                  <c:v>108</c:v>
                </c:pt>
                <c:pt idx="8">
                  <c:v>101</c:v>
                </c:pt>
                <c:pt idx="9">
                  <c:v>83</c:v>
                </c:pt>
                <c:pt idx="10">
                  <c:v>67</c:v>
                </c:pt>
                <c:pt idx="11">
                  <c:v>133</c:v>
                </c:pt>
                <c:pt idx="12">
                  <c:v>86</c:v>
                </c:pt>
                <c:pt idx="13">
                  <c:v>92</c:v>
                </c:pt>
                <c:pt idx="14">
                  <c:v>102</c:v>
                </c:pt>
                <c:pt idx="15">
                  <c:v>74</c:v>
                </c:pt>
                <c:pt idx="16">
                  <c:v>68</c:v>
                </c:pt>
                <c:pt idx="17">
                  <c:v>62</c:v>
                </c:pt>
                <c:pt idx="18">
                  <c:v>70</c:v>
                </c:pt>
                <c:pt idx="19">
                  <c:v>88</c:v>
                </c:pt>
                <c:pt idx="20">
                  <c:v>81</c:v>
                </c:pt>
                <c:pt idx="21">
                  <c:v>71</c:v>
                </c:pt>
                <c:pt idx="22">
                  <c:v>62</c:v>
                </c:pt>
                <c:pt idx="23">
                  <c:v>75</c:v>
                </c:pt>
                <c:pt idx="24">
                  <c:v>160</c:v>
                </c:pt>
                <c:pt idx="25">
                  <c:v>66</c:v>
                </c:pt>
                <c:pt idx="26">
                  <c:v>75</c:v>
                </c:pt>
                <c:pt idx="27">
                  <c:v>64</c:v>
                </c:pt>
                <c:pt idx="28">
                  <c:v>80</c:v>
                </c:pt>
                <c:pt idx="29">
                  <c:v>110</c:v>
                </c:pt>
                <c:pt idx="30">
                  <c:v>104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649536"/>
        <c:axId val="157672192"/>
      </c:lineChart>
      <c:catAx>
        <c:axId val="157649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672192"/>
        <c:crosses val="autoZero"/>
        <c:auto val="1"/>
        <c:lblAlgn val="ctr"/>
        <c:lblOffset val="100"/>
        <c:noMultiLvlLbl val="0"/>
      </c:catAx>
      <c:valAx>
        <c:axId val="157672192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64953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57471492529E-2"/>
          <c:y val="3.7037154275315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2285.41</c:v>
                </c:pt>
                <c:pt idx="1">
                  <c:v>2164.39</c:v>
                </c:pt>
                <c:pt idx="2" formatCode="0.00">
                  <c:v>2090.92</c:v>
                </c:pt>
                <c:pt idx="3">
                  <c:v>2137.1799999999998</c:v>
                </c:pt>
                <c:pt idx="4">
                  <c:v>1826.3900000000003</c:v>
                </c:pt>
                <c:pt idx="5">
                  <c:v>2128.19</c:v>
                </c:pt>
                <c:pt idx="6">
                  <c:v>1999.3500000000001</c:v>
                </c:pt>
                <c:pt idx="7">
                  <c:v>1929.71</c:v>
                </c:pt>
                <c:pt idx="8">
                  <c:v>1955.79</c:v>
                </c:pt>
                <c:pt idx="9">
                  <c:v>1845.46</c:v>
                </c:pt>
                <c:pt idx="10">
                  <c:v>2011.7399999999998</c:v>
                </c:pt>
                <c:pt idx="11">
                  <c:v>1599.77</c:v>
                </c:pt>
                <c:pt idx="12">
                  <c:v>1573.6</c:v>
                </c:pt>
                <c:pt idx="13">
                  <c:v>1800</c:v>
                </c:pt>
                <c:pt idx="14">
                  <c:v>1442</c:v>
                </c:pt>
                <c:pt idx="15" formatCode="_(* #,##0.00_);_(* \(#,##0.00\);_(* &quot;-&quot;??_);_(@_)">
                  <c:v>1801.38</c:v>
                </c:pt>
                <c:pt idx="16" formatCode="_(* #,##0.00_);_(* \(#,##0.00\);_(* &quot;-&quot;??_);_(@_)">
                  <c:v>1220.47</c:v>
                </c:pt>
                <c:pt idx="17">
                  <c:v>1603.6499999999999</c:v>
                </c:pt>
                <c:pt idx="18">
                  <c:v>1380.55</c:v>
                </c:pt>
                <c:pt idx="19">
                  <c:v>1608.47</c:v>
                </c:pt>
                <c:pt idx="20">
                  <c:v>1295.31</c:v>
                </c:pt>
                <c:pt idx="21">
                  <c:v>1551.08</c:v>
                </c:pt>
                <c:pt idx="22">
                  <c:v>1452.5200000000002</c:v>
                </c:pt>
                <c:pt idx="23">
                  <c:v>1577.85</c:v>
                </c:pt>
                <c:pt idx="24">
                  <c:v>1373.5</c:v>
                </c:pt>
                <c:pt idx="25">
                  <c:v>1425.35</c:v>
                </c:pt>
                <c:pt idx="26">
                  <c:v>1765.33</c:v>
                </c:pt>
                <c:pt idx="27">
                  <c:v>1429.2</c:v>
                </c:pt>
                <c:pt idx="28">
                  <c:v>1462.78</c:v>
                </c:pt>
                <c:pt idx="29">
                  <c:v>1442.8700000000001</c:v>
                </c:pt>
                <c:pt idx="30">
                  <c:v>1795.26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823552"/>
        <c:axId val="158825088"/>
      </c:lineChart>
      <c:catAx>
        <c:axId val="158823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825088"/>
        <c:crosses val="autoZero"/>
        <c:auto val="1"/>
        <c:lblAlgn val="ctr"/>
        <c:lblOffset val="200"/>
        <c:tickLblSkip val="1"/>
        <c:noMultiLvlLbl val="0"/>
      </c:catAx>
      <c:valAx>
        <c:axId val="158825088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823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14966262944"/>
          <c:y val="4.1667064344229704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0.41560000000000002</c:v>
                </c:pt>
                <c:pt idx="1">
                  <c:v>0.53</c:v>
                </c:pt>
                <c:pt idx="2">
                  <c:v>0.36</c:v>
                </c:pt>
                <c:pt idx="3">
                  <c:v>0.35</c:v>
                </c:pt>
                <c:pt idx="4">
                  <c:v>0.26</c:v>
                </c:pt>
                <c:pt idx="5">
                  <c:v>0.31</c:v>
                </c:pt>
                <c:pt idx="6">
                  <c:v>0.24679999999999999</c:v>
                </c:pt>
                <c:pt idx="7">
                  <c:v>0.23</c:v>
                </c:pt>
                <c:pt idx="8">
                  <c:v>0.20780000000000001</c:v>
                </c:pt>
                <c:pt idx="9">
                  <c:v>0.17</c:v>
                </c:pt>
                <c:pt idx="10">
                  <c:v>0.1</c:v>
                </c:pt>
                <c:pt idx="11">
                  <c:v>6.4899999999999999E-2</c:v>
                </c:pt>
                <c:pt idx="12">
                  <c:v>0.13</c:v>
                </c:pt>
                <c:pt idx="13">
                  <c:v>0.18</c:v>
                </c:pt>
                <c:pt idx="14">
                  <c:v>0.16</c:v>
                </c:pt>
                <c:pt idx="15">
                  <c:v>0.18</c:v>
                </c:pt>
                <c:pt idx="16">
                  <c:v>0.09</c:v>
                </c:pt>
                <c:pt idx="17">
                  <c:v>0.16</c:v>
                </c:pt>
                <c:pt idx="18">
                  <c:v>0.18</c:v>
                </c:pt>
                <c:pt idx="19">
                  <c:v>0.21</c:v>
                </c:pt>
                <c:pt idx="20">
                  <c:v>0.09</c:v>
                </c:pt>
                <c:pt idx="21">
                  <c:v>0.08</c:v>
                </c:pt>
                <c:pt idx="22">
                  <c:v>0.04</c:v>
                </c:pt>
                <c:pt idx="23">
                  <c:v>0.1</c:v>
                </c:pt>
                <c:pt idx="24">
                  <c:v>0.14000000000000001</c:v>
                </c:pt>
                <c:pt idx="25">
                  <c:v>0.16</c:v>
                </c:pt>
                <c:pt idx="26">
                  <c:v>0.13</c:v>
                </c:pt>
                <c:pt idx="27">
                  <c:v>0.09</c:v>
                </c:pt>
                <c:pt idx="28">
                  <c:v>0.09</c:v>
                </c:pt>
                <c:pt idx="29">
                  <c:v>0.06</c:v>
                </c:pt>
                <c:pt idx="30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857856"/>
        <c:axId val="158925184"/>
      </c:lineChart>
      <c:catAx>
        <c:axId val="158857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925184"/>
        <c:crosses val="autoZero"/>
        <c:auto val="1"/>
        <c:lblAlgn val="ctr"/>
        <c:lblOffset val="100"/>
        <c:noMultiLvlLbl val="0"/>
      </c:catAx>
      <c:valAx>
        <c:axId val="15892518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857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2161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144.4520000000077</c:v>
                </c:pt>
                <c:pt idx="1">
                  <c:v>150.70000000000002</c:v>
                </c:pt>
                <c:pt idx="2">
                  <c:v>156.94799999999233</c:v>
                </c:pt>
                <c:pt idx="3">
                  <c:v>132.08800000001793</c:v>
                </c:pt>
                <c:pt idx="4">
                  <c:v>122.1879999999539</c:v>
                </c:pt>
                <c:pt idx="5">
                  <c:v>137.72000000001282</c:v>
                </c:pt>
                <c:pt idx="6">
                  <c:v>132.87999999998721</c:v>
                </c:pt>
                <c:pt idx="7">
                  <c:v>112.02400000002818</c:v>
                </c:pt>
                <c:pt idx="8">
                  <c:v>106.08400000000258</c:v>
                </c:pt>
                <c:pt idx="9">
                  <c:v>113.78400000000256</c:v>
                </c:pt>
                <c:pt idx="10">
                  <c:v>116.90799999996672</c:v>
                </c:pt>
                <c:pt idx="11">
                  <c:v>99.484000000002567</c:v>
                </c:pt>
                <c:pt idx="12">
                  <c:v>90.904000000015373</c:v>
                </c:pt>
                <c:pt idx="13">
                  <c:v>73.568000000005128</c:v>
                </c:pt>
                <c:pt idx="14">
                  <c:v>74.315999999997445</c:v>
                </c:pt>
                <c:pt idx="15">
                  <c:v>109.60400000001538</c:v>
                </c:pt>
                <c:pt idx="16">
                  <c:v>108.9</c:v>
                </c:pt>
                <c:pt idx="17">
                  <c:v>98.823999999964158</c:v>
                </c:pt>
                <c:pt idx="18">
                  <c:v>113.82800000004355</c:v>
                </c:pt>
                <c:pt idx="19">
                  <c:v>115.14799999999232</c:v>
                </c:pt>
                <c:pt idx="20">
                  <c:v>113.82799999997953</c:v>
                </c:pt>
                <c:pt idx="21">
                  <c:v>96.711999999982083</c:v>
                </c:pt>
                <c:pt idx="22">
                  <c:v>93.23600000001025</c:v>
                </c:pt>
                <c:pt idx="23">
                  <c:v>103.31200000004611</c:v>
                </c:pt>
                <c:pt idx="24">
                  <c:v>113.38799999995391</c:v>
                </c:pt>
                <c:pt idx="25">
                  <c:v>121.35200000000769</c:v>
                </c:pt>
                <c:pt idx="26">
                  <c:v>119.32799999997953</c:v>
                </c:pt>
                <c:pt idx="27">
                  <c:v>116.07200000002049</c:v>
                </c:pt>
                <c:pt idx="28">
                  <c:v>112.81599999999744</c:v>
                </c:pt>
                <c:pt idx="29">
                  <c:v>103.79599999998464</c:v>
                </c:pt>
                <c:pt idx="30">
                  <c:v>-4278.8239999999641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949760"/>
        <c:axId val="158951296"/>
      </c:lineChart>
      <c:catAx>
        <c:axId val="158949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951296"/>
        <c:crosses val="autoZero"/>
        <c:auto val="1"/>
        <c:lblAlgn val="ctr"/>
        <c:lblOffset val="100"/>
        <c:noMultiLvlLbl val="0"/>
      </c:catAx>
      <c:valAx>
        <c:axId val="15895129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949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Report'!$F$5:$F$36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040832"/>
        <c:axId val="160075776"/>
      </c:lineChart>
      <c:catAx>
        <c:axId val="1600408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075776"/>
        <c:crosses val="autoZero"/>
        <c:auto val="1"/>
        <c:lblAlgn val="ctr"/>
        <c:lblOffset val="100"/>
        <c:noMultiLvlLbl val="0"/>
      </c:catAx>
      <c:valAx>
        <c:axId val="160075776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04083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Report'!$K$5:$K$36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096640"/>
        <c:axId val="160098560"/>
      </c:lineChart>
      <c:catAx>
        <c:axId val="160096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098560"/>
        <c:crosses val="autoZero"/>
        <c:auto val="1"/>
        <c:lblAlgn val="ctr"/>
        <c:lblOffset val="100"/>
        <c:noMultiLvlLbl val="0"/>
      </c:catAx>
      <c:valAx>
        <c:axId val="160098560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09664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57471492529E-2"/>
          <c:y val="3.7037154275315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varyColors val="0"/>
        <c:ser>
          <c:idx val="0"/>
          <c:order val="0"/>
          <c:tx>
            <c:strRef>
              <c:f>'[2]Summery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Report'!$I$5:$I$35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529024"/>
        <c:axId val="160547200"/>
      </c:lineChart>
      <c:catAx>
        <c:axId val="160529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547200"/>
        <c:crosses val="autoZero"/>
        <c:auto val="1"/>
        <c:lblAlgn val="ctr"/>
        <c:lblOffset val="200"/>
        <c:tickLblSkip val="1"/>
        <c:noMultiLvlLbl val="0"/>
      </c:catAx>
      <c:valAx>
        <c:axId val="160547200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529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14966262944"/>
          <c:y val="4.1667064344229704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strRef>
              <c:f>'[2]Summery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Report'!$C$5:$C$35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108352"/>
        <c:axId val="161109888"/>
      </c:lineChart>
      <c:catAx>
        <c:axId val="1611083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09888"/>
        <c:crosses val="autoZero"/>
        <c:auto val="1"/>
        <c:lblAlgn val="ctr"/>
        <c:lblOffset val="100"/>
        <c:noMultiLvlLbl val="0"/>
      </c:catAx>
      <c:valAx>
        <c:axId val="1611098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08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2328"/>
        </c:manualLayout>
      </c:layout>
      <c:lineChart>
        <c:grouping val="standard"/>
        <c:varyColors val="0"/>
        <c:ser>
          <c:idx val="0"/>
          <c:order val="0"/>
          <c:tx>
            <c:strRef>
              <c:f>'[2]Summery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Report'!$L$5:$L$35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150848"/>
        <c:axId val="161152384"/>
      </c:lineChart>
      <c:catAx>
        <c:axId val="161150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52384"/>
        <c:crosses val="autoZero"/>
        <c:auto val="1"/>
        <c:lblAlgn val="ctr"/>
        <c:lblOffset val="100"/>
        <c:noMultiLvlLbl val="0"/>
      </c:catAx>
      <c:valAx>
        <c:axId val="1611523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50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Report'!$F$5:$F$36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172864"/>
        <c:axId val="161216000"/>
      </c:lineChart>
      <c:catAx>
        <c:axId val="1611728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216000"/>
        <c:crosses val="autoZero"/>
        <c:auto val="1"/>
        <c:lblAlgn val="ctr"/>
        <c:lblOffset val="100"/>
        <c:noMultiLvlLbl val="0"/>
      </c:catAx>
      <c:valAx>
        <c:axId val="161216000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7286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Report'!$K$5:$K$36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585024"/>
        <c:axId val="161599488"/>
      </c:lineChart>
      <c:catAx>
        <c:axId val="161585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599488"/>
        <c:crosses val="autoZero"/>
        <c:auto val="1"/>
        <c:lblAlgn val="ctr"/>
        <c:lblOffset val="100"/>
        <c:noMultiLvlLbl val="0"/>
      </c:catAx>
      <c:valAx>
        <c:axId val="161599488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58502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57471492529E-2"/>
          <c:y val="3.7037154275315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varyColors val="0"/>
        <c:ser>
          <c:idx val="0"/>
          <c:order val="0"/>
          <c:tx>
            <c:strRef>
              <c:f>'[2]Summery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Report'!$I$5:$I$35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628544"/>
        <c:axId val="161630080"/>
      </c:lineChart>
      <c:catAx>
        <c:axId val="1616285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630080"/>
        <c:crosses val="autoZero"/>
        <c:auto val="1"/>
        <c:lblAlgn val="ctr"/>
        <c:lblOffset val="200"/>
        <c:tickLblSkip val="1"/>
        <c:noMultiLvlLbl val="0"/>
      </c:catAx>
      <c:valAx>
        <c:axId val="161630080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628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14966262944"/>
          <c:y val="4.1667064344229704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strRef>
              <c:f>'[2]Summery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Report'!$C$5:$C$35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658752"/>
        <c:axId val="161660288"/>
      </c:lineChart>
      <c:catAx>
        <c:axId val="161658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660288"/>
        <c:crosses val="autoZero"/>
        <c:auto val="1"/>
        <c:lblAlgn val="ctr"/>
        <c:lblOffset val="100"/>
        <c:noMultiLvlLbl val="0"/>
      </c:catAx>
      <c:valAx>
        <c:axId val="1616602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658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2328"/>
        </c:manualLayout>
      </c:layout>
      <c:lineChart>
        <c:grouping val="standard"/>
        <c:varyColors val="0"/>
        <c:ser>
          <c:idx val="0"/>
          <c:order val="0"/>
          <c:tx>
            <c:strRef>
              <c:f>'[2]Summery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Report'!$L$5:$L$35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766208"/>
        <c:axId val="162788480"/>
      </c:lineChart>
      <c:catAx>
        <c:axId val="162766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788480"/>
        <c:crosses val="autoZero"/>
        <c:auto val="1"/>
        <c:lblAlgn val="ctr"/>
        <c:lblOffset val="100"/>
        <c:noMultiLvlLbl val="0"/>
      </c:catAx>
      <c:valAx>
        <c:axId val="1627884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766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.xml"/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5.xml"/><Relationship Id="rId13" Type="http://schemas.openxmlformats.org/officeDocument/2006/relationships/chart" Target="../charts/chart30.xml"/><Relationship Id="rId18" Type="http://schemas.openxmlformats.org/officeDocument/2006/relationships/chart" Target="../charts/chart35.xml"/><Relationship Id="rId3" Type="http://schemas.openxmlformats.org/officeDocument/2006/relationships/chart" Target="../charts/chart20.xml"/><Relationship Id="rId7" Type="http://schemas.openxmlformats.org/officeDocument/2006/relationships/chart" Target="../charts/chart24.xml"/><Relationship Id="rId12" Type="http://schemas.openxmlformats.org/officeDocument/2006/relationships/chart" Target="../charts/chart29.xml"/><Relationship Id="rId17" Type="http://schemas.openxmlformats.org/officeDocument/2006/relationships/chart" Target="../charts/chart34.xml"/><Relationship Id="rId2" Type="http://schemas.openxmlformats.org/officeDocument/2006/relationships/chart" Target="../charts/chart19.xml"/><Relationship Id="rId16" Type="http://schemas.openxmlformats.org/officeDocument/2006/relationships/chart" Target="../charts/chart33.xml"/><Relationship Id="rId20" Type="http://schemas.openxmlformats.org/officeDocument/2006/relationships/chart" Target="../charts/chart37.xml"/><Relationship Id="rId1" Type="http://schemas.openxmlformats.org/officeDocument/2006/relationships/chart" Target="../charts/chart18.xml"/><Relationship Id="rId6" Type="http://schemas.openxmlformats.org/officeDocument/2006/relationships/chart" Target="../charts/chart23.xml"/><Relationship Id="rId11" Type="http://schemas.openxmlformats.org/officeDocument/2006/relationships/chart" Target="../charts/chart28.xml"/><Relationship Id="rId5" Type="http://schemas.openxmlformats.org/officeDocument/2006/relationships/chart" Target="../charts/chart22.xml"/><Relationship Id="rId15" Type="http://schemas.openxmlformats.org/officeDocument/2006/relationships/chart" Target="../charts/chart32.xml"/><Relationship Id="rId10" Type="http://schemas.openxmlformats.org/officeDocument/2006/relationships/chart" Target="../charts/chart27.xml"/><Relationship Id="rId19" Type="http://schemas.openxmlformats.org/officeDocument/2006/relationships/chart" Target="../charts/chart36.xml"/><Relationship Id="rId4" Type="http://schemas.openxmlformats.org/officeDocument/2006/relationships/chart" Target="../charts/chart21.xml"/><Relationship Id="rId9" Type="http://schemas.openxmlformats.org/officeDocument/2006/relationships/chart" Target="../charts/chart26.xml"/><Relationship Id="rId14" Type="http://schemas.openxmlformats.org/officeDocument/2006/relationships/chart" Target="../charts/chart31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:a16="http://schemas.microsoft.com/office/drawing/2014/main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:a16="http://schemas.microsoft.com/office/drawing/2014/main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:a16="http://schemas.microsoft.com/office/drawing/2014/main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:a16="http://schemas.microsoft.com/office/drawing/2014/main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215610</xdr:rowOff>
    </xdr:from>
    <xdr:to>
      <xdr:col>3</xdr:col>
      <xdr:colOff>133350</xdr:colOff>
      <xdr:row>6</xdr:row>
      <xdr:rowOff>184438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58485"/>
          <a:ext cx="1401906" cy="100705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185738</xdr:colOff>
      <xdr:row>0</xdr:row>
      <xdr:rowOff>128586</xdr:rowOff>
    </xdr:from>
    <xdr:to>
      <xdr:col>2</xdr:col>
      <xdr:colOff>581025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242888</xdr:colOff>
      <xdr:row>2</xdr:row>
      <xdr:rowOff>33336</xdr:rowOff>
    </xdr:from>
    <xdr:to>
      <xdr:col>2</xdr:col>
      <xdr:colOff>638175</xdr:colOff>
      <xdr:row>6</xdr:row>
      <xdr:rowOff>63643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2888" y="509586"/>
          <a:ext cx="995362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96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:a16="http://schemas.microsoft.com/office/drawing/2014/main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209550</xdr:colOff>
      <xdr:row>78</xdr:row>
      <xdr:rowOff>133350</xdr:rowOff>
    </xdr:from>
    <xdr:to>
      <xdr:col>13</xdr:col>
      <xdr:colOff>66675</xdr:colOff>
      <xdr:row>93</xdr:row>
      <xdr:rowOff>47625</xdr:rowOff>
    </xdr:to>
    <xdr:graphicFrame macro="">
      <xdr:nvGraphicFramePr>
        <xdr:cNvPr id="65118788" name="Chart 7">
          <a:extLst>
            <a:ext uri="{FF2B5EF4-FFF2-40B4-BE49-F238E27FC236}">
              <a16:creationId xmlns:a16="http://schemas.microsoft.com/office/drawing/2014/main" id="{00000000-0008-0000-0600-000044A2E103}"/>
            </a:ext>
            <a:ext uri="{147F2762-F138-4A5C-976F-8EAC2B608ADB}">
              <a16:predDERef xmlns:a16="http://schemas.microsoft.com/office/drawing/2014/main" pre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152400</xdr:colOff>
      <xdr:row>36</xdr:row>
      <xdr:rowOff>152400</xdr:rowOff>
    </xdr:from>
    <xdr:to>
      <xdr:col>11</xdr:col>
      <xdr:colOff>819150</xdr:colOff>
      <xdr:row>60</xdr:row>
      <xdr:rowOff>123825</xdr:rowOff>
    </xdr:to>
    <xdr:graphicFrame macro="">
      <xdr:nvGraphicFramePr>
        <xdr:cNvPr id="65118789" name="Chart 1">
          <a:extLst>
            <a:ext uri="{FF2B5EF4-FFF2-40B4-BE49-F238E27FC236}">
              <a16:creationId xmlns:a16="http://schemas.microsoft.com/office/drawing/2014/main" id="{00000000-0008-0000-0600-000045A2E103}"/>
            </a:ext>
            <a:ext uri="{147F2762-F138-4A5C-976F-8EAC2B608ADB}">
              <a16:predDERef xmlns:a16="http://schemas.microsoft.com/office/drawing/2014/main" pre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171450</xdr:colOff>
      <xdr:row>60</xdr:row>
      <xdr:rowOff>152400</xdr:rowOff>
    </xdr:from>
    <xdr:to>
      <xdr:col>26</xdr:col>
      <xdr:colOff>561975</xdr:colOff>
      <xdr:row>78</xdr:row>
      <xdr:rowOff>19050</xdr:rowOff>
    </xdr:to>
    <xdr:graphicFrame macro="">
      <xdr:nvGraphicFramePr>
        <xdr:cNvPr id="65118790" name="Chart 3">
          <a:extLst>
            <a:ext uri="{FF2B5EF4-FFF2-40B4-BE49-F238E27FC236}">
              <a16:creationId xmlns:a16="http://schemas.microsoft.com/office/drawing/2014/main" id="{00000000-0008-0000-0600-000046A2E103}"/>
            </a:ext>
            <a:ext uri="{147F2762-F138-4A5C-976F-8EAC2B608ADB}">
              <a16:predDERef xmlns:a16="http://schemas.microsoft.com/office/drawing/2014/main" pre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95250</xdr:colOff>
      <xdr:row>36</xdr:row>
      <xdr:rowOff>104775</xdr:rowOff>
    </xdr:from>
    <xdr:to>
      <xdr:col>26</xdr:col>
      <xdr:colOff>571500</xdr:colOff>
      <xdr:row>60</xdr:row>
      <xdr:rowOff>123825</xdr:rowOff>
    </xdr:to>
    <xdr:graphicFrame macro="">
      <xdr:nvGraphicFramePr>
        <xdr:cNvPr id="65118791" name="Chart 12">
          <a:extLst>
            <a:ext uri="{FF2B5EF4-FFF2-40B4-BE49-F238E27FC236}">
              <a16:creationId xmlns:a16="http://schemas.microsoft.com/office/drawing/2014/main" id="{00000000-0008-0000-0600-000047A2E103}"/>
            </a:ext>
            <a:ext uri="{147F2762-F138-4A5C-976F-8EAC2B608ADB}">
              <a16:predDERef xmlns:a16="http://schemas.microsoft.com/office/drawing/2014/main" pre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400050</xdr:colOff>
      <xdr:row>114</xdr:row>
      <xdr:rowOff>47625</xdr:rowOff>
    </xdr:from>
    <xdr:to>
      <xdr:col>35</xdr:col>
      <xdr:colOff>180975</xdr:colOff>
      <xdr:row>129</xdr:row>
      <xdr:rowOff>66675</xdr:rowOff>
    </xdr:to>
    <xdr:graphicFrame macro="">
      <xdr:nvGraphicFramePr>
        <xdr:cNvPr id="65118792" name="Chart 16">
          <a:extLst>
            <a:ext uri="{FF2B5EF4-FFF2-40B4-BE49-F238E27FC236}">
              <a16:creationId xmlns:a16="http://schemas.microsoft.com/office/drawing/2014/main" id="{00000000-0008-0000-0600-000048A2E103}"/>
            </a:ext>
            <a:ext uri="{147F2762-F138-4A5C-976F-8EAC2B608ADB}">
              <a16:predDERef xmlns:a16="http://schemas.microsoft.com/office/drawing/2014/main" pre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61</xdr:row>
      <xdr:rowOff>104775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:a16="http://schemas.microsoft.com/office/drawing/2014/main" id="{00000000-0008-0000-0600-000049A2E103}"/>
            </a:ext>
            <a:ext uri="{147F2762-F138-4A5C-976F-8EAC2B608ADB}">
              <a16:predDERef xmlns:a16="http://schemas.microsoft.com/office/drawing/2014/main" pre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28575</xdr:colOff>
      <xdr:row>3</xdr:row>
      <xdr:rowOff>0</xdr:rowOff>
    </xdr:from>
    <xdr:to>
      <xdr:col>26</xdr:col>
      <xdr:colOff>400050</xdr:colOff>
      <xdr:row>37</xdr:row>
      <xdr:rowOff>19050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id="{00000000-0008-0000-0600-00000B000000}"/>
            </a:ext>
            <a:ext uri="{147F2762-F138-4A5C-976F-8EAC2B608ADB}">
              <a16:predDERef xmlns:a16="http://schemas.microsoft.com/office/drawing/2014/main" pre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:a16="http://schemas.microsoft.com/office/drawing/2014/main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B00-000003000000}"/>
            </a:ext>
            <a:ext uri="{147F2762-F138-4A5C-976F-8EAC2B608ADB}">
              <a16:predDERef xmlns:a16="http://schemas.microsoft.com/office/drawing/2014/main" pre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:a16="http://schemas.microsoft.com/office/drawing/2014/main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:a16="http://schemas.microsoft.com/office/drawing/2014/main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:a16="http://schemas.microsoft.com/office/drawing/2014/main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:a16="http://schemas.microsoft.com/office/drawing/2014/main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:a16="http://schemas.microsoft.com/office/drawing/2014/main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:a16="http://schemas.microsoft.com/office/drawing/2014/main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:a16="http://schemas.microsoft.com/office/drawing/2014/main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:a16="http://schemas.microsoft.com/office/drawing/2014/main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:a16="http://schemas.microsoft.com/office/drawing/2014/main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:a16="http://schemas.microsoft.com/office/drawing/2014/main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:a16="http://schemas.microsoft.com/office/drawing/2014/main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:a16="http://schemas.microsoft.com/office/drawing/2014/main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:a16="http://schemas.microsoft.com/office/drawing/2014/main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:a16="http://schemas.microsoft.com/office/drawing/2014/main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:a16="http://schemas.microsoft.com/office/drawing/2014/main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:a16="http://schemas.microsoft.com/office/drawing/2014/main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:a16="http://schemas.microsoft.com/office/drawing/2014/main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76</xdr:row>
      <xdr:rowOff>28575</xdr:rowOff>
    </xdr:from>
    <xdr:to>
      <xdr:col>3</xdr:col>
      <xdr:colOff>876300</xdr:colOff>
      <xdr:row>87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7D25B5-03DC-4889-9124-428530D96A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" y="12744450"/>
          <a:ext cx="2505075" cy="1895475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76</xdr:row>
      <xdr:rowOff>19050</xdr:rowOff>
    </xdr:from>
    <xdr:to>
      <xdr:col>6</xdr:col>
      <xdr:colOff>809625</xdr:colOff>
      <xdr:row>87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E9264A-6C40-44DE-919B-813B4265995A}"/>
            </a:ext>
            <a:ext uri="{147F2762-F138-4A5C-976F-8EAC2B608ADB}">
              <a16:predDERef xmlns:a16="http://schemas.microsoft.com/office/drawing/2014/main" pred="{AF7D25B5-03DC-4889-9124-428530D96A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38500" y="12734925"/>
          <a:ext cx="2457450" cy="1895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57150</xdr:colOff>
      <xdr:row>75</xdr:row>
      <xdr:rowOff>28575</xdr:rowOff>
    </xdr:from>
    <xdr:to>
      <xdr:col>11</xdr:col>
      <xdr:colOff>771525</xdr:colOff>
      <xdr:row>89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D81C05-6E48-43D5-A5D7-DC37FC8B5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19900" y="12420600"/>
          <a:ext cx="4333875" cy="23812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75</xdr:row>
      <xdr:rowOff>0</xdr:rowOff>
    </xdr:from>
    <xdr:to>
      <xdr:col>5</xdr:col>
      <xdr:colOff>447675</xdr:colOff>
      <xdr:row>92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4365A79-B68B-4CC9-B655-B652F8EF65BA}"/>
            </a:ext>
            <a:ext uri="{147F2762-F138-4A5C-976F-8EAC2B608ADB}">
              <a16:predDERef xmlns:a16="http://schemas.microsoft.com/office/drawing/2014/main" pred="{D0D81C05-6E48-43D5-A5D7-DC37FC8B5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6275" y="12392025"/>
          <a:ext cx="4572000" cy="28956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shr.sharepoint.com/DOCUME~1/JEAN-N~1.BRA/LOCALS~1/Temp/notes5669A7/DAILY%20UTILITY%20REPORT%20DECEMBER%20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tility summery"/>
      <sheetName val="Summery Report"/>
      <sheetName val="Energy Graph"/>
      <sheetName val="LPG_Graph"/>
      <sheetName val="Water_Graph "/>
      <sheetName val="Sheet1"/>
    </sheetNames>
    <sheetDataSet>
      <sheetData sheetId="0" refreshError="1"/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Josephat Mng'anya" id="{5A788076-8F52-4C74-8A54-4AA34EAF1240}" userId="S::josephat.mnganya@fourseasons.com::67f60825-9cb0-4003-a669-09094968c066" providerId="AD"/>
</personList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9</v>
    <v>9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J26" dT="2022-01-17T05:15:01.79" personId="{5A788076-8F52-4C74-8A54-4AA34EAF1240}" id="{D8C645B5-9CB7-40CC-B638-A797822D6E10}">
    <text>paid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L39"/>
  <sheetViews>
    <sheetView tabSelected="1" workbookViewId="0">
      <selection activeCell="E5" sqref="E5"/>
    </sheetView>
  </sheetViews>
  <sheetFormatPr defaultColWidth="11.5703125" defaultRowHeight="12.75" x14ac:dyDescent="0.2"/>
  <cols>
    <col min="1" max="1" width="12.42578125" style="11" customWidth="1"/>
    <col min="2" max="3" width="11.5703125" style="334"/>
    <col min="4" max="4" width="13.42578125" style="335" customWidth="1"/>
    <col min="5" max="5" width="12.5703125" style="336" customWidth="1"/>
    <col min="6" max="6" width="14.42578125" style="11" customWidth="1"/>
    <col min="7" max="7" width="11.5703125" style="11"/>
    <col min="8" max="8" width="11.5703125" style="342"/>
    <col min="9" max="9" width="11.5703125" style="11"/>
    <col min="10" max="10" width="11.5703125" style="342"/>
    <col min="11" max="11" width="11.5703125" style="336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332" customFormat="1" ht="60.75" thickBot="1" x14ac:dyDescent="0.3">
      <c r="A1" s="326" t="s">
        <v>0</v>
      </c>
      <c r="B1" s="327" t="s">
        <v>1</v>
      </c>
      <c r="C1" s="327" t="s">
        <v>2</v>
      </c>
      <c r="D1" s="328" t="s">
        <v>3</v>
      </c>
      <c r="E1" s="329" t="s">
        <v>4</v>
      </c>
      <c r="F1" s="330" t="s">
        <v>5</v>
      </c>
      <c r="G1" s="330" t="s">
        <v>6</v>
      </c>
      <c r="H1" s="340" t="s">
        <v>7</v>
      </c>
      <c r="I1" s="330" t="s">
        <v>8</v>
      </c>
      <c r="J1" s="340" t="s">
        <v>9</v>
      </c>
      <c r="K1" s="329" t="s">
        <v>10</v>
      </c>
      <c r="L1" s="331" t="s">
        <v>11</v>
      </c>
    </row>
    <row r="2" spans="1:12" x14ac:dyDescent="0.2">
      <c r="A2" s="333" t="s">
        <v>12</v>
      </c>
      <c r="B2" s="334">
        <v>1</v>
      </c>
      <c r="C2" s="334">
        <v>1</v>
      </c>
      <c r="D2" s="335">
        <f>Submetering!D2</f>
        <v>2022</v>
      </c>
      <c r="E2" s="336">
        <f>'UTILITY REPORT 1'!F3</f>
        <v>4734</v>
      </c>
      <c r="F2" s="337">
        <f>('UTILITY REPORT 1'!E3*'UTILITY REPORT 1'!D3)/'UTILITY REPORT 1'!F3</f>
        <v>0.41514575411913812</v>
      </c>
      <c r="G2" s="337">
        <f>IF('Utility summery'!M6&lt;0,"0",'Utility summery'!M6)</f>
        <v>144.4520000000077</v>
      </c>
      <c r="H2" s="341">
        <v>2.165</v>
      </c>
      <c r="I2" s="337">
        <f>IF('UTILITY REPORT 1'!G3&lt;0,"0",'UTILITY REPORT 1'!G3)</f>
        <v>116</v>
      </c>
      <c r="J2" s="341">
        <v>0</v>
      </c>
      <c r="K2" s="336">
        <v>89</v>
      </c>
      <c r="L2" s="338" t="e">
        <f>E2*F2+G2*H2+#REF!*#REF!+I2*J2</f>
        <v>#REF!</v>
      </c>
    </row>
    <row r="3" spans="1:12" x14ac:dyDescent="0.2">
      <c r="A3" s="333" t="s">
        <v>12</v>
      </c>
      <c r="B3" s="334">
        <f>B2+1</f>
        <v>2</v>
      </c>
      <c r="C3" s="334">
        <v>1</v>
      </c>
      <c r="D3" s="335">
        <f>Submetering!D3</f>
        <v>2022</v>
      </c>
      <c r="E3" s="336">
        <f>'UTILITY REPORT 1'!F4</f>
        <v>4563</v>
      </c>
      <c r="F3" s="337">
        <f>('UTILITY REPORT 1'!E4*'UTILITY REPORT 1'!D4)/'UTILITY REPORT 1'!F4</f>
        <v>0.42232741617357</v>
      </c>
      <c r="G3" s="337">
        <f>IF('Utility summery'!M7&lt;0,"0",'Utility summery'!M7)</f>
        <v>150.70000000000002</v>
      </c>
      <c r="H3" s="341">
        <v>2.165</v>
      </c>
      <c r="I3" s="337">
        <f>IF('UTILITY REPORT 1'!G4&lt;0,"0",'UTILITY REPORT 1'!G4)</f>
        <v>94</v>
      </c>
      <c r="J3" s="341">
        <v>0</v>
      </c>
      <c r="K3" s="336">
        <v>102</v>
      </c>
      <c r="L3" s="338" t="e">
        <f>E3*F3+G3*H3+#REF!*#REF!+I3*J3</f>
        <v>#REF!</v>
      </c>
    </row>
    <row r="4" spans="1:12" x14ac:dyDescent="0.2">
      <c r="A4" s="333" t="s">
        <v>12</v>
      </c>
      <c r="B4" s="334">
        <f t="shared" ref="B4:B30" si="0">B3+1</f>
        <v>3</v>
      </c>
      <c r="C4" s="334">
        <v>1</v>
      </c>
      <c r="D4" s="335">
        <f>Submetering!D4</f>
        <v>2022</v>
      </c>
      <c r="E4" s="336">
        <f>'UTILITY REPORT 1'!F5</f>
        <v>4574</v>
      </c>
      <c r="F4" s="337">
        <f>('UTILITY REPORT 1'!E5*'UTILITY REPORT 1'!D5)/'UTILITY REPORT 1'!F5</f>
        <v>0.40662877131613462</v>
      </c>
      <c r="G4" s="337">
        <f>IF('Utility summery'!M8&lt;0,"0",'Utility summery'!M8)</f>
        <v>156.94799999999233</v>
      </c>
      <c r="H4" s="341">
        <v>2.165</v>
      </c>
      <c r="I4" s="337">
        <f>IF('UTILITY REPORT 1'!G5&lt;0,"0",'UTILITY REPORT 1'!G5)</f>
        <v>110</v>
      </c>
      <c r="J4" s="341">
        <v>0</v>
      </c>
      <c r="K4" s="336">
        <v>74</v>
      </c>
      <c r="L4" s="338" t="e">
        <f>E4*F4+G4*H4+#REF!*#REF!+I4*J4</f>
        <v>#REF!</v>
      </c>
    </row>
    <row r="5" spans="1:12" x14ac:dyDescent="0.2">
      <c r="A5" s="333" t="s">
        <v>12</v>
      </c>
      <c r="B5" s="334">
        <f t="shared" si="0"/>
        <v>4</v>
      </c>
      <c r="C5" s="334">
        <v>1</v>
      </c>
      <c r="D5" s="335">
        <f>Submetering!D5</f>
        <v>2022</v>
      </c>
      <c r="E5" s="336">
        <f>'UTILITY REPORT 1'!F6</f>
        <v>4346</v>
      </c>
      <c r="F5" s="337">
        <f>('UTILITY REPORT 1'!E6*'UTILITY REPORT 1'!D6)/'UTILITY REPORT 1'!F6</f>
        <v>0.43481362172112281</v>
      </c>
      <c r="G5" s="337">
        <f>IF('Utility summery'!M9&lt;0,"0",'Utility summery'!M9)</f>
        <v>132.08800000001793</v>
      </c>
      <c r="H5" s="341">
        <v>2.165</v>
      </c>
      <c r="I5" s="337">
        <f>IF('UTILITY REPORT 1'!G6&lt;0,"0",'UTILITY REPORT 1'!G6)</f>
        <v>94</v>
      </c>
      <c r="J5" s="341">
        <v>0</v>
      </c>
      <c r="K5" s="336">
        <v>68</v>
      </c>
      <c r="L5" s="338" t="e">
        <f>E5*F5+G5*H5+#REF!*#REF!+I5*J5</f>
        <v>#REF!</v>
      </c>
    </row>
    <row r="6" spans="1:12" x14ac:dyDescent="0.2">
      <c r="A6" s="333" t="s">
        <v>12</v>
      </c>
      <c r="B6" s="334">
        <f t="shared" si="0"/>
        <v>5</v>
      </c>
      <c r="C6" s="334">
        <v>1</v>
      </c>
      <c r="D6" s="335">
        <f>Submetering!D6</f>
        <v>2022</v>
      </c>
      <c r="E6" s="336">
        <f>'UTILITY REPORT 1'!F7</f>
        <v>3969</v>
      </c>
      <c r="F6" s="337">
        <f>('UTILITY REPORT 1'!E7*'UTILITY REPORT 1'!D7)/'UTILITY REPORT 1'!F7</f>
        <v>0.43244897959183681</v>
      </c>
      <c r="G6" s="337">
        <f>IF('Utility summery'!M10&lt;0,"0",'Utility summery'!M10)</f>
        <v>122.1879999999539</v>
      </c>
      <c r="H6" s="341">
        <v>2.165</v>
      </c>
      <c r="I6" s="337">
        <f>IF('UTILITY REPORT 1'!G7&lt;0,"0",'UTILITY REPORT 1'!G7)</f>
        <v>86</v>
      </c>
      <c r="J6" s="341">
        <v>0</v>
      </c>
      <c r="K6" s="336">
        <v>48</v>
      </c>
      <c r="L6" s="338" t="e">
        <f>E6*F6+G6*H6+#REF!*#REF!+I6*J6</f>
        <v>#REF!</v>
      </c>
    </row>
    <row r="7" spans="1:12" x14ac:dyDescent="0.2">
      <c r="A7" s="333" t="s">
        <v>12</v>
      </c>
      <c r="B7" s="334">
        <f t="shared" si="0"/>
        <v>6</v>
      </c>
      <c r="C7" s="334">
        <v>1</v>
      </c>
      <c r="D7" s="335">
        <f>Submetering!D7</f>
        <v>2022</v>
      </c>
      <c r="E7" s="336">
        <f>'UTILITY REPORT 1'!F8</f>
        <v>4325</v>
      </c>
      <c r="F7" s="337">
        <f>('UTILITY REPORT 1'!E8*'UTILITY REPORT 1'!D8)/'UTILITY REPORT 1'!F8</f>
        <v>0.42292485549132952</v>
      </c>
      <c r="G7" s="337">
        <f>IF('Utility summery'!M11&lt;0,"0",'Utility summery'!M11)</f>
        <v>137.72000000001282</v>
      </c>
      <c r="H7" s="341">
        <v>2.165</v>
      </c>
      <c r="I7" s="337">
        <f>IF('UTILITY REPORT 1'!G8&lt;0,"0",'UTILITY REPORT 1'!G8)</f>
        <v>90</v>
      </c>
      <c r="J7" s="341">
        <v>0</v>
      </c>
      <c r="K7" s="336">
        <v>61</v>
      </c>
      <c r="L7" s="338" t="e">
        <f>E7*F7+G7*H7+#REF!*#REF!+I7*J7</f>
        <v>#REF!</v>
      </c>
    </row>
    <row r="8" spans="1:12" x14ac:dyDescent="0.2">
      <c r="A8" s="333" t="s">
        <v>12</v>
      </c>
      <c r="B8" s="334">
        <f t="shared" si="0"/>
        <v>7</v>
      </c>
      <c r="C8" s="334">
        <v>1</v>
      </c>
      <c r="D8" s="335">
        <f>Submetering!D8</f>
        <v>2022</v>
      </c>
      <c r="E8" s="336">
        <f>'UTILITY REPORT 1'!F9</f>
        <v>4444</v>
      </c>
      <c r="F8" s="337">
        <f>('UTILITY REPORT 1'!E9*'UTILITY REPORT 1'!D9)/'UTILITY REPORT 1'!F9</f>
        <v>0.4199707470747075</v>
      </c>
      <c r="G8" s="337">
        <f>IF('Utility summery'!M12&lt;0,"0",'Utility summery'!M12)</f>
        <v>132.87999999998721</v>
      </c>
      <c r="H8" s="341">
        <v>2.165</v>
      </c>
      <c r="I8" s="337">
        <f>IF('UTILITY REPORT 1'!G9&lt;0,"0",'UTILITY REPORT 1'!G9)</f>
        <v>92</v>
      </c>
      <c r="J8" s="341">
        <v>0</v>
      </c>
      <c r="K8" s="336">
        <v>46</v>
      </c>
      <c r="L8" s="338" t="e">
        <f>E8*F8+G8*H8+#REF!*#REF!+I8*J8</f>
        <v>#REF!</v>
      </c>
    </row>
    <row r="9" spans="1:12" x14ac:dyDescent="0.2">
      <c r="A9" s="333" t="s">
        <v>12</v>
      </c>
      <c r="B9" s="334">
        <f t="shared" si="0"/>
        <v>8</v>
      </c>
      <c r="C9" s="334">
        <v>1</v>
      </c>
      <c r="D9" s="335">
        <f>Submetering!D9</f>
        <v>2022</v>
      </c>
      <c r="E9" s="336">
        <f>'UTILITY REPORT 1'!F10</f>
        <v>4291</v>
      </c>
      <c r="F9" s="337">
        <f>('UTILITY REPORT 1'!E10*'UTILITY REPORT 1'!D10)/'UTILITY REPORT 1'!F10</f>
        <v>0.41184805406665115</v>
      </c>
      <c r="G9" s="337">
        <f>IF('Utility summery'!M13&lt;0,"0",'Utility summery'!M13)</f>
        <v>112.02400000002818</v>
      </c>
      <c r="H9" s="341">
        <v>2.165</v>
      </c>
      <c r="I9" s="337">
        <f>IF('UTILITY REPORT 1'!G10&lt;0,"0",'UTILITY REPORT 1'!G10)</f>
        <v>108</v>
      </c>
      <c r="J9" s="341">
        <v>0</v>
      </c>
      <c r="K9" s="336">
        <v>48</v>
      </c>
      <c r="L9" s="338" t="e">
        <f>E9*F9+G9*H9+#REF!*#REF!+I9*J9</f>
        <v>#REF!</v>
      </c>
    </row>
    <row r="10" spans="1:12" x14ac:dyDescent="0.2">
      <c r="A10" s="333" t="s">
        <v>12</v>
      </c>
      <c r="B10" s="334">
        <f t="shared" si="0"/>
        <v>9</v>
      </c>
      <c r="C10" s="334">
        <v>1</v>
      </c>
      <c r="D10" s="335">
        <f>Submetering!D10</f>
        <v>2022</v>
      </c>
      <c r="E10" s="336">
        <f>'UTILITY REPORT 1'!F11</f>
        <v>4336</v>
      </c>
      <c r="F10" s="337">
        <f>('UTILITY REPORT 1'!E11*'UTILITY REPORT 1'!D11)/'UTILITY REPORT 1'!F11</f>
        <v>0.42574953874538746</v>
      </c>
      <c r="G10" s="337">
        <f>IF('Utility summery'!M14&lt;0,"0",'Utility summery'!M14)</f>
        <v>106.08400000000258</v>
      </c>
      <c r="H10" s="341">
        <v>2.165</v>
      </c>
      <c r="I10" s="337">
        <f>IF('UTILITY REPORT 1'!G11&lt;0,"0",'UTILITY REPORT 1'!G11)</f>
        <v>101</v>
      </c>
      <c r="J10" s="341">
        <v>0</v>
      </c>
      <c r="K10" s="336">
        <v>43</v>
      </c>
      <c r="L10" s="338" t="e">
        <f>E10*F10+G10*H10+#REF!*#REF!+I10*J10</f>
        <v>#REF!</v>
      </c>
    </row>
    <row r="11" spans="1:12" x14ac:dyDescent="0.2">
      <c r="A11" s="333" t="s">
        <v>12</v>
      </c>
      <c r="B11" s="334">
        <f t="shared" si="0"/>
        <v>10</v>
      </c>
      <c r="C11" s="334">
        <v>1</v>
      </c>
      <c r="D11" s="335">
        <f>Submetering!D11</f>
        <v>2022</v>
      </c>
      <c r="E11" s="336">
        <f>'UTILITY REPORT 1'!F12</f>
        <v>4279</v>
      </c>
      <c r="F11" s="337">
        <f>('UTILITY REPORT 1'!E12*'UTILITY REPORT 1'!D12)/'UTILITY REPORT 1'!F12</f>
        <v>0.41262678195840152</v>
      </c>
      <c r="G11" s="337">
        <f>IF('Utility summery'!M15&lt;0,"0",'Utility summery'!M15)</f>
        <v>113.78400000000256</v>
      </c>
      <c r="H11" s="341">
        <v>2.165</v>
      </c>
      <c r="I11" s="337">
        <f>IF('UTILITY REPORT 1'!G12&lt;0,"0",'UTILITY REPORT 1'!G12)</f>
        <v>83</v>
      </c>
      <c r="J11" s="341">
        <v>0</v>
      </c>
      <c r="K11" s="336">
        <v>39</v>
      </c>
      <c r="L11" s="338" t="e">
        <f>E11*F11+G11*H11+#REF!*#REF!+I11*J11</f>
        <v>#REF!</v>
      </c>
    </row>
    <row r="12" spans="1:12" x14ac:dyDescent="0.2">
      <c r="A12" s="333" t="s">
        <v>12</v>
      </c>
      <c r="B12" s="334">
        <f t="shared" si="0"/>
        <v>11</v>
      </c>
      <c r="C12" s="334">
        <v>1</v>
      </c>
      <c r="D12" s="335">
        <f>Submetering!D12</f>
        <v>2022</v>
      </c>
      <c r="E12" s="336">
        <f>'UTILITY REPORT 1'!F13</f>
        <v>3862</v>
      </c>
      <c r="F12" s="337">
        <f>('UTILITY REPORT 1'!E13*'UTILITY REPORT 1'!D13)/'UTILITY REPORT 1'!F13</f>
        <v>0.42083894355256335</v>
      </c>
      <c r="G12" s="337">
        <f>IF('Utility summery'!M16&lt;0,"0",'Utility summery'!M16)</f>
        <v>116.90799999996672</v>
      </c>
      <c r="H12" s="341">
        <v>2.165</v>
      </c>
      <c r="I12" s="337">
        <f>IF('UTILITY REPORT 1'!G13&lt;0,"0",'UTILITY REPORT 1'!G13)</f>
        <v>67</v>
      </c>
      <c r="J12" s="341">
        <v>0</v>
      </c>
      <c r="K12" s="336">
        <v>23</v>
      </c>
      <c r="L12" s="338" t="e">
        <f>E12*F12+G12*H12+#REF!*#REF!+I12*J12</f>
        <v>#REF!</v>
      </c>
    </row>
    <row r="13" spans="1:12" x14ac:dyDescent="0.2">
      <c r="A13" s="333" t="s">
        <v>12</v>
      </c>
      <c r="B13" s="334">
        <f t="shared" si="0"/>
        <v>12</v>
      </c>
      <c r="C13" s="334">
        <v>1</v>
      </c>
      <c r="D13" s="335">
        <f>Submetering!D13</f>
        <v>2022</v>
      </c>
      <c r="E13" s="336">
        <f>'UTILITY REPORT 1'!F14</f>
        <v>3803</v>
      </c>
      <c r="F13" s="337">
        <f>('UTILITY REPORT 1'!E14*'UTILITY REPORT 1'!D14)/'UTILITY REPORT 1'!F14</f>
        <v>0.42066000525900604</v>
      </c>
      <c r="G13" s="337">
        <f>IF('Utility summery'!M17&lt;0,"0",'Utility summery'!M17)</f>
        <v>99.484000000002567</v>
      </c>
      <c r="H13" s="341">
        <v>2.165</v>
      </c>
      <c r="I13" s="337">
        <f>IF('UTILITY REPORT 1'!G14&lt;0,"0",'UTILITY REPORT 1'!G14)</f>
        <v>133</v>
      </c>
      <c r="J13" s="341">
        <v>0</v>
      </c>
      <c r="K13" s="336">
        <v>17</v>
      </c>
      <c r="L13" s="338" t="e">
        <f>E13*F13+G13*H13+#REF!*#REF!+I13*J13</f>
        <v>#REF!</v>
      </c>
    </row>
    <row r="14" spans="1:12" x14ac:dyDescent="0.2">
      <c r="A14" s="333" t="s">
        <v>12</v>
      </c>
      <c r="B14" s="334">
        <f t="shared" si="0"/>
        <v>13</v>
      </c>
      <c r="C14" s="334">
        <v>1</v>
      </c>
      <c r="D14" s="335">
        <f>Submetering!D14</f>
        <v>2022</v>
      </c>
      <c r="E14" s="336">
        <f>'UTILITY REPORT 1'!F15</f>
        <v>3648</v>
      </c>
      <c r="F14" s="337">
        <f>('UTILITY REPORT 1'!E15*'UTILITY REPORT 1'!D15)/'UTILITY REPORT 1'!F15</f>
        <v>0.41318256578947365</v>
      </c>
      <c r="G14" s="337">
        <f>IF('Utility summery'!M18&lt;0,"0",'Utility summery'!M18)</f>
        <v>90.904000000015373</v>
      </c>
      <c r="H14" s="341">
        <v>2.165</v>
      </c>
      <c r="I14" s="337">
        <f>IF('UTILITY REPORT 1'!G15&lt;0,"0",'UTILITY REPORT 1'!G15)</f>
        <v>86</v>
      </c>
      <c r="J14" s="341">
        <v>0</v>
      </c>
      <c r="K14" s="336">
        <v>29</v>
      </c>
      <c r="L14" s="338" t="e">
        <f>E14*F14+G14*H14+#REF!*#REF!+I14*J14</f>
        <v>#REF!</v>
      </c>
    </row>
    <row r="15" spans="1:12" x14ac:dyDescent="0.2">
      <c r="A15" s="333" t="s">
        <v>12</v>
      </c>
      <c r="B15" s="334">
        <f t="shared" si="0"/>
        <v>14</v>
      </c>
      <c r="C15" s="334">
        <v>1</v>
      </c>
      <c r="D15" s="335">
        <f>Submetering!D15</f>
        <v>2022</v>
      </c>
      <c r="E15" s="336">
        <f>'UTILITY REPORT 1'!F16</f>
        <v>3795</v>
      </c>
      <c r="F15" s="337">
        <f>('UTILITY REPORT 1'!E16*'UTILITY REPORT 1'!D16)/'UTILITY REPORT 1'!F16</f>
        <v>0.39839789196310937</v>
      </c>
      <c r="G15" s="337">
        <f>IF('Utility summery'!M19&lt;0,"0",'Utility summery'!M19)</f>
        <v>73.568000000005128</v>
      </c>
      <c r="H15" s="341">
        <v>2.165</v>
      </c>
      <c r="I15" s="337">
        <f>IF('UTILITY REPORT 1'!G16&lt;0,"0",'UTILITY REPORT 1'!G16)</f>
        <v>92</v>
      </c>
      <c r="J15" s="341">
        <v>0</v>
      </c>
      <c r="K15" s="336">
        <v>37</v>
      </c>
      <c r="L15" s="338" t="e">
        <f>E15*F15+G15*H15+#REF!*#REF!+I15*J15</f>
        <v>#REF!</v>
      </c>
    </row>
    <row r="16" spans="1:12" x14ac:dyDescent="0.2">
      <c r="A16" s="333" t="s">
        <v>12</v>
      </c>
      <c r="B16" s="334">
        <f t="shared" si="0"/>
        <v>15</v>
      </c>
      <c r="C16" s="334">
        <v>1</v>
      </c>
      <c r="D16" s="335">
        <f>Submetering!D16</f>
        <v>2022</v>
      </c>
      <c r="E16" s="336">
        <f>'UTILITY REPORT 1'!F17</f>
        <v>3648</v>
      </c>
      <c r="F16" s="337">
        <f>('UTILITY REPORT 1'!E17*'UTILITY REPORT 1'!D17)/'UTILITY REPORT 1'!F17</f>
        <v>0.39528508771929827</v>
      </c>
      <c r="G16" s="337">
        <f>IF('Utility summery'!M20&lt;0,"0",'Utility summery'!M20)</f>
        <v>74.315999999997445</v>
      </c>
      <c r="H16" s="341">
        <v>2.165</v>
      </c>
      <c r="I16" s="337">
        <f>IF('UTILITY REPORT 1'!G17&lt;0,"0",'UTILITY REPORT 1'!G17)</f>
        <v>102</v>
      </c>
      <c r="J16" s="341">
        <v>0</v>
      </c>
      <c r="K16" s="336">
        <v>31</v>
      </c>
      <c r="L16" s="338" t="e">
        <f>E16*F16+G16*H16+#REF!*#REF!+I16*J16</f>
        <v>#REF!</v>
      </c>
    </row>
    <row r="17" spans="1:12" x14ac:dyDescent="0.2">
      <c r="A17" s="333" t="s">
        <v>12</v>
      </c>
      <c r="B17" s="334">
        <f t="shared" si="0"/>
        <v>16</v>
      </c>
      <c r="C17" s="334">
        <v>1</v>
      </c>
      <c r="D17" s="335">
        <f>Submetering!D17</f>
        <v>2022</v>
      </c>
      <c r="E17" s="336">
        <f>'UTILITY REPORT 1'!F18</f>
        <v>3393</v>
      </c>
      <c r="F17" s="337">
        <f>('UTILITY REPORT 1'!E18*'UTILITY REPORT 1'!D18)/'UTILITY REPORT 1'!F18</f>
        <v>0.39916887709991161</v>
      </c>
      <c r="G17" s="337">
        <f>IF('Utility summery'!M21&lt;0,"0",'Utility summery'!M21)</f>
        <v>109.60400000001538</v>
      </c>
      <c r="H17" s="341">
        <v>2.165</v>
      </c>
      <c r="I17" s="337">
        <f>IF('UTILITY REPORT 1'!G18&lt;0,"0",'UTILITY REPORT 1'!G18)</f>
        <v>74</v>
      </c>
      <c r="J17" s="341">
        <v>0</v>
      </c>
      <c r="K17" s="336">
        <v>32</v>
      </c>
      <c r="L17" s="338" t="e">
        <f>E17*F17+G17*H17+#REF!*#REF!+I17*J17</f>
        <v>#REF!</v>
      </c>
    </row>
    <row r="18" spans="1:12" x14ac:dyDescent="0.2">
      <c r="A18" s="333" t="s">
        <v>12</v>
      </c>
      <c r="B18" s="334">
        <f t="shared" si="0"/>
        <v>17</v>
      </c>
      <c r="C18" s="334">
        <v>1</v>
      </c>
      <c r="D18" s="335">
        <f>Submetering!D18</f>
        <v>2022</v>
      </c>
      <c r="E18" s="336">
        <f>'UTILITY REPORT 1'!F19</f>
        <v>2977</v>
      </c>
      <c r="F18" s="337">
        <f>('UTILITY REPORT 1'!E19*'UTILITY REPORT 1'!D19)/'UTILITY REPORT 1'!F19</f>
        <v>0.40996640913671484</v>
      </c>
      <c r="G18" s="337">
        <f>IF('Utility summery'!M22&lt;0,"0",'Utility summery'!M22)</f>
        <v>108.9</v>
      </c>
      <c r="H18" s="341">
        <v>2.165</v>
      </c>
      <c r="I18" s="337">
        <f>IF('UTILITY REPORT 1'!G19&lt;0,"0",'UTILITY REPORT 1'!G19)</f>
        <v>68</v>
      </c>
      <c r="J18" s="341">
        <v>0</v>
      </c>
      <c r="K18" s="336">
        <v>15</v>
      </c>
      <c r="L18" s="338" t="e">
        <f>E18*F18+G18*H18+#REF!*#REF!+I18*J18</f>
        <v>#REF!</v>
      </c>
    </row>
    <row r="19" spans="1:12" x14ac:dyDescent="0.2">
      <c r="A19" s="333" t="s">
        <v>12</v>
      </c>
      <c r="B19" s="334">
        <f t="shared" si="0"/>
        <v>18</v>
      </c>
      <c r="C19" s="334">
        <v>1</v>
      </c>
      <c r="D19" s="335">
        <f>Submetering!D19</f>
        <v>2022</v>
      </c>
      <c r="E19" s="336">
        <f>'UTILITY REPORT 1'!F20</f>
        <v>3443</v>
      </c>
      <c r="F19" s="337">
        <f>('UTILITY REPORT 1'!E20*'UTILITY REPORT 1'!D20)/'UTILITY REPORT 1'!F20</f>
        <v>0.40158001742666277</v>
      </c>
      <c r="G19" s="337">
        <f>IF('Utility summery'!M23&lt;0,"0",'Utility summery'!M23)</f>
        <v>98.823999999964158</v>
      </c>
      <c r="H19" s="341">
        <v>2.165</v>
      </c>
      <c r="I19" s="337">
        <f>IF('UTILITY REPORT 1'!G20&lt;0,"0",'UTILITY REPORT 1'!G20)</f>
        <v>62</v>
      </c>
      <c r="J19" s="341">
        <v>0</v>
      </c>
      <c r="K19" s="336">
        <v>25</v>
      </c>
      <c r="L19" s="338" t="e">
        <f>E19*F19+G19*H19+#REF!*#REF!+I19*J19</f>
        <v>#REF!</v>
      </c>
    </row>
    <row r="20" spans="1:12" x14ac:dyDescent="0.2">
      <c r="A20" s="333" t="s">
        <v>12</v>
      </c>
      <c r="B20" s="334">
        <f t="shared" si="0"/>
        <v>19</v>
      </c>
      <c r="C20" s="334">
        <v>1</v>
      </c>
      <c r="D20" s="335">
        <f>Submetering!D20</f>
        <v>2022</v>
      </c>
      <c r="E20" s="336">
        <f>'UTILITY REPORT 1'!F21</f>
        <v>3010</v>
      </c>
      <c r="F20" s="337">
        <f>('UTILITY REPORT 1'!E21*'UTILITY REPORT 1'!D21)/'UTILITY REPORT 1'!F21</f>
        <v>0.4161827242524917</v>
      </c>
      <c r="G20" s="337">
        <f>IF('Utility summery'!M24&lt;0,"0",'Utility summery'!M24)</f>
        <v>113.82800000004355</v>
      </c>
      <c r="H20" s="341">
        <v>2.165</v>
      </c>
      <c r="I20" s="337">
        <f>IF('UTILITY REPORT 1'!G21&lt;0,"0",'UTILITY REPORT 1'!G21)</f>
        <v>70</v>
      </c>
      <c r="J20" s="341">
        <v>0</v>
      </c>
      <c r="K20" s="336">
        <v>28</v>
      </c>
      <c r="L20" s="338" t="e">
        <f>E20*F20+G20*H20+#REF!*#REF!+I20*J20</f>
        <v>#REF!</v>
      </c>
    </row>
    <row r="21" spans="1:12" x14ac:dyDescent="0.2">
      <c r="A21" s="333" t="s">
        <v>12</v>
      </c>
      <c r="B21" s="334">
        <f t="shared" si="0"/>
        <v>20</v>
      </c>
      <c r="C21" s="334">
        <v>1</v>
      </c>
      <c r="D21" s="335">
        <f>Submetering!D21</f>
        <v>2022</v>
      </c>
      <c r="E21" s="336">
        <f>'UTILITY REPORT 1'!F22</f>
        <v>3323</v>
      </c>
      <c r="F21" s="337">
        <f>('UTILITY REPORT 1'!E22*'UTILITY REPORT 1'!D22)/'UTILITY REPORT 1'!F22</f>
        <v>0.41241348179356008</v>
      </c>
      <c r="G21" s="337">
        <f>IF('Utility summery'!M25&lt;0,"0",'Utility summery'!M25)</f>
        <v>115.14799999999232</v>
      </c>
      <c r="H21" s="341">
        <v>2.165</v>
      </c>
      <c r="I21" s="337">
        <f>IF('UTILITY REPORT 1'!G22&lt;0,"0",'UTILITY REPORT 1'!G22)</f>
        <v>88</v>
      </c>
      <c r="J21" s="341">
        <v>0</v>
      </c>
      <c r="K21" s="336">
        <v>29</v>
      </c>
      <c r="L21" s="338" t="e">
        <f>E21*F21+G21*H21+#REF!*#REF!+I21*J21</f>
        <v>#REF!</v>
      </c>
    </row>
    <row r="22" spans="1:12" x14ac:dyDescent="0.2">
      <c r="A22" s="333" t="s">
        <v>12</v>
      </c>
      <c r="B22" s="334">
        <f t="shared" si="0"/>
        <v>21</v>
      </c>
      <c r="C22" s="334">
        <v>1</v>
      </c>
      <c r="D22" s="335">
        <f>Submetering!D22</f>
        <v>2022</v>
      </c>
      <c r="E22" s="336">
        <f>'UTILITY REPORT 1'!F23</f>
        <v>3113</v>
      </c>
      <c r="F22" s="337">
        <f>('UTILITY REPORT 1'!E23*'UTILITY REPORT 1'!D23)/'UTILITY REPORT 1'!F23</f>
        <v>0.41127850947638933</v>
      </c>
      <c r="G22" s="337">
        <f>IF('Utility summery'!M26&lt;0,"0",'Utility summery'!M26)</f>
        <v>113.82799999997953</v>
      </c>
      <c r="H22" s="341">
        <v>2.165</v>
      </c>
      <c r="I22" s="337">
        <f>IF('UTILITY REPORT 1'!G23&lt;0,"0",'UTILITY REPORT 1'!G23)</f>
        <v>81</v>
      </c>
      <c r="J22" s="341">
        <v>0</v>
      </c>
      <c r="K22" s="336">
        <v>13</v>
      </c>
      <c r="L22" s="338" t="e">
        <f>E22*F22+G22*H22+#REF!*#REF!+I22*J22</f>
        <v>#REF!</v>
      </c>
    </row>
    <row r="23" spans="1:12" x14ac:dyDescent="0.2">
      <c r="A23" s="333" t="s">
        <v>12</v>
      </c>
      <c r="B23" s="334">
        <f t="shared" si="0"/>
        <v>22</v>
      </c>
      <c r="C23" s="334">
        <v>1</v>
      </c>
      <c r="D23" s="335">
        <f>Submetering!D23</f>
        <v>2022</v>
      </c>
      <c r="E23" s="336">
        <f>'UTILITY REPORT 1'!F24</f>
        <v>3124</v>
      </c>
      <c r="F23" s="337">
        <f>('UTILITY REPORT 1'!E24*'UTILITY REPORT 1'!D24)/'UTILITY REPORT 1'!F24</f>
        <v>0.41173495518565939</v>
      </c>
      <c r="G23" s="337">
        <f>IF('Utility summery'!M27&lt;0,"0",'Utility summery'!M27)</f>
        <v>96.711999999982083</v>
      </c>
      <c r="H23" s="341">
        <v>2.165</v>
      </c>
      <c r="I23" s="337">
        <f>IF('UTILITY REPORT 1'!G24&lt;0,"0",'UTILITY REPORT 1'!G24)</f>
        <v>71</v>
      </c>
      <c r="J23" s="341">
        <v>0</v>
      </c>
      <c r="K23" s="336">
        <v>11</v>
      </c>
      <c r="L23" s="338" t="e">
        <f>E23*F23+G23*H23+#REF!*#REF!+I23*J23</f>
        <v>#REF!</v>
      </c>
    </row>
    <row r="24" spans="1:12" x14ac:dyDescent="0.2">
      <c r="A24" s="333" t="s">
        <v>12</v>
      </c>
      <c r="B24" s="334">
        <f t="shared" si="0"/>
        <v>23</v>
      </c>
      <c r="C24" s="334">
        <v>1</v>
      </c>
      <c r="D24" s="335">
        <f>Submetering!D24</f>
        <v>2022</v>
      </c>
      <c r="E24" s="336">
        <f>'UTILITY REPORT 1'!F25</f>
        <v>2797</v>
      </c>
      <c r="F24" s="337">
        <f>('UTILITY REPORT 1'!E25*'UTILITY REPORT 1'!D25)/'UTILITY REPORT 1'!F25</f>
        <v>0.42877368609224176</v>
      </c>
      <c r="G24" s="337">
        <f>IF('Utility summery'!M28&lt;0,"0",'Utility summery'!M28)</f>
        <v>93.23600000001025</v>
      </c>
      <c r="H24" s="341">
        <v>2.165</v>
      </c>
      <c r="I24" s="337">
        <f>IF('UTILITY REPORT 1'!G25&lt;0,"0",'UTILITY REPORT 1'!G25)</f>
        <v>62</v>
      </c>
      <c r="J24" s="341">
        <v>0</v>
      </c>
      <c r="K24" s="336">
        <v>5</v>
      </c>
      <c r="L24" s="338" t="e">
        <f>E24*F24+G24*H24+#REF!*#REF!+I24*J24</f>
        <v>#REF!</v>
      </c>
    </row>
    <row r="25" spans="1:12" x14ac:dyDescent="0.2">
      <c r="A25" s="333" t="s">
        <v>12</v>
      </c>
      <c r="B25" s="334">
        <f t="shared" si="0"/>
        <v>24</v>
      </c>
      <c r="C25" s="334">
        <v>1</v>
      </c>
      <c r="D25" s="335">
        <f>Submetering!D25</f>
        <v>2022</v>
      </c>
      <c r="E25" s="336">
        <f>'UTILITY REPORT 1'!F26</f>
        <v>3295</v>
      </c>
      <c r="F25" s="337">
        <f>('UTILITY REPORT 1'!E26*'UTILITY REPORT 1'!D26)/'UTILITY REPORT 1'!F26</f>
        <v>0.40692261001517449</v>
      </c>
      <c r="G25" s="337">
        <f>IF('Utility summery'!M29&lt;0,"0",'Utility summery'!M29)</f>
        <v>103.31200000004611</v>
      </c>
      <c r="H25" s="341">
        <v>2.165</v>
      </c>
      <c r="I25" s="337">
        <f>IF('UTILITY REPORT 1'!G26&lt;0,"0",'UTILITY REPORT 1'!G26)</f>
        <v>75</v>
      </c>
      <c r="J25" s="341">
        <v>0</v>
      </c>
      <c r="K25" s="336">
        <v>15</v>
      </c>
      <c r="L25" s="338" t="e">
        <f>E25*F25+G25*H25+#REF!*#REF!+I25*J25</f>
        <v>#REF!</v>
      </c>
    </row>
    <row r="26" spans="1:12" x14ac:dyDescent="0.2">
      <c r="A26" s="333" t="s">
        <v>12</v>
      </c>
      <c r="B26" s="334">
        <f>B25+1</f>
        <v>25</v>
      </c>
      <c r="C26" s="334">
        <v>1</v>
      </c>
      <c r="D26" s="335">
        <f>Submetering!D26</f>
        <v>2022</v>
      </c>
      <c r="E26" s="336">
        <f>'UTILITY REPORT 1'!F27</f>
        <v>3205</v>
      </c>
      <c r="F26" s="337">
        <f>('UTILITY REPORT 1'!E27*'UTILITY REPORT 1'!D27)/'UTILITY REPORT 1'!F27</f>
        <v>0.39172230889235571</v>
      </c>
      <c r="G26" s="337">
        <f>IF('Utility summery'!M30&lt;0,"0",'Utility summery'!M30)</f>
        <v>113.38799999995391</v>
      </c>
      <c r="H26" s="341">
        <v>2.165</v>
      </c>
      <c r="I26" s="337">
        <f>IF('UTILITY REPORT 1'!G27&lt;0,"0",'UTILITY REPORT 1'!G27)</f>
        <v>160</v>
      </c>
      <c r="J26" s="341">
        <v>0</v>
      </c>
      <c r="K26" s="336">
        <v>23</v>
      </c>
      <c r="L26" s="338" t="e">
        <f>E26*F26+G26*H26+#REF!*#REF!+I26*J26</f>
        <v>#REF!</v>
      </c>
    </row>
    <row r="27" spans="1:12" x14ac:dyDescent="0.2">
      <c r="A27" s="333" t="s">
        <v>12</v>
      </c>
      <c r="B27" s="334">
        <f t="shared" si="0"/>
        <v>26</v>
      </c>
      <c r="C27" s="334">
        <v>1</v>
      </c>
      <c r="D27" s="335">
        <f>Submetering!D27</f>
        <v>2022</v>
      </c>
      <c r="E27" s="336">
        <f>'UTILITY REPORT 1'!F28</f>
        <v>3575</v>
      </c>
      <c r="F27" s="337">
        <f>('UTILITY REPORT 1'!E28*'UTILITY REPORT 1'!D28)/'UTILITY REPORT 1'!F28</f>
        <v>0.37817622377622379</v>
      </c>
      <c r="G27" s="337">
        <f>IF('Utility summery'!M31&lt;0,"0",'Utility summery'!M31)</f>
        <v>121.35200000000769</v>
      </c>
      <c r="H27" s="341">
        <v>2.165</v>
      </c>
      <c r="I27" s="337">
        <f>IF('UTILITY REPORT 1'!G28&lt;0,"0",'UTILITY REPORT 1'!G28)</f>
        <v>66</v>
      </c>
      <c r="J27" s="341">
        <v>0</v>
      </c>
      <c r="K27" s="336">
        <v>24</v>
      </c>
      <c r="L27" s="338" t="e">
        <f>E27*F27+G27*H27+#REF!*#REF!+I27*J27</f>
        <v>#REF!</v>
      </c>
    </row>
    <row r="28" spans="1:12" x14ac:dyDescent="0.2">
      <c r="A28" s="333" t="s">
        <v>12</v>
      </c>
      <c r="B28" s="334">
        <f t="shared" si="0"/>
        <v>27</v>
      </c>
      <c r="C28" s="334">
        <v>1</v>
      </c>
      <c r="D28" s="335">
        <f>Submetering!D28</f>
        <v>2022</v>
      </c>
      <c r="E28" s="336">
        <f>'UTILITY REPORT 1'!F29</f>
        <v>3610</v>
      </c>
      <c r="F28" s="337">
        <f>('UTILITY REPORT 1'!E29*'UTILITY REPORT 1'!D29)/'UTILITY REPORT 1'!F29</f>
        <v>0.39098337950138506</v>
      </c>
      <c r="G28" s="337">
        <f>IF('Utility summery'!M32&lt;0,"0",'Utility summery'!M32)</f>
        <v>119.32799999997953</v>
      </c>
      <c r="H28" s="341">
        <v>2.165</v>
      </c>
      <c r="I28" s="337">
        <f>IF('UTILITY REPORT 1'!G29&lt;0,"0",'UTILITY REPORT 1'!G29)</f>
        <v>75</v>
      </c>
      <c r="J28" s="341">
        <v>0</v>
      </c>
      <c r="K28" s="336">
        <v>22</v>
      </c>
      <c r="L28" s="338" t="e">
        <f>E28*F28+G28*H28+#REF!*#REF!+I28*J28</f>
        <v>#REF!</v>
      </c>
    </row>
    <row r="29" spans="1:12" x14ac:dyDescent="0.2">
      <c r="A29" s="333" t="s">
        <v>12</v>
      </c>
      <c r="B29" s="334">
        <f t="shared" si="0"/>
        <v>28</v>
      </c>
      <c r="C29" s="334">
        <v>1</v>
      </c>
      <c r="D29" s="335">
        <f>Submetering!D29</f>
        <v>2022</v>
      </c>
      <c r="E29" s="336">
        <f>'UTILITY REPORT 1'!F30</f>
        <v>3593</v>
      </c>
      <c r="F29" s="337">
        <f>('UTILITY REPORT 1'!E30*'UTILITY REPORT 1'!D30)/'UTILITY REPORT 1'!F30</f>
        <v>0.39777344837183415</v>
      </c>
      <c r="G29" s="337">
        <f>IF('Utility summery'!M33&lt;0,"0",'Utility summery'!M33)</f>
        <v>116.07200000002049</v>
      </c>
      <c r="H29" s="341">
        <v>2.165</v>
      </c>
      <c r="I29" s="337">
        <f>IF('UTILITY REPORT 1'!G30&lt;0,"0",'UTILITY REPORT 1'!G30)</f>
        <v>64</v>
      </c>
      <c r="J29" s="341">
        <v>0</v>
      </c>
      <c r="K29" s="336">
        <v>18</v>
      </c>
      <c r="L29" s="338" t="e">
        <f>E29*F29+G29*H29+#REF!*#REF!+I29*J29</f>
        <v>#REF!</v>
      </c>
    </row>
    <row r="30" spans="1:12" x14ac:dyDescent="0.2">
      <c r="A30" s="333" t="s">
        <v>12</v>
      </c>
      <c r="B30" s="334">
        <f t="shared" si="0"/>
        <v>29</v>
      </c>
      <c r="C30" s="334">
        <v>1</v>
      </c>
      <c r="D30" s="335">
        <f>Submetering!D30</f>
        <v>2022</v>
      </c>
      <c r="E30" s="336">
        <f>'UTILITY REPORT 1'!F31</f>
        <v>3589</v>
      </c>
      <c r="F30" s="337">
        <f>('UTILITY REPORT 1'!E31*'UTILITY REPORT 1'!D31)/'UTILITY REPORT 1'!F31</f>
        <v>0.39403455001393145</v>
      </c>
      <c r="G30" s="337">
        <f>IF('Utility summery'!M34&lt;0,"0",'Utility summery'!M34)</f>
        <v>112.81599999999744</v>
      </c>
      <c r="H30" s="341">
        <v>2.165</v>
      </c>
      <c r="I30" s="337">
        <f>IF('UTILITY REPORT 1'!G31&lt;0,"0",'UTILITY REPORT 1'!G31)</f>
        <v>80</v>
      </c>
      <c r="J30" s="341">
        <v>0</v>
      </c>
      <c r="K30" s="336">
        <v>20</v>
      </c>
      <c r="L30" s="338" t="e">
        <f>E30*F30+G30*H30+#REF!*#REF!+I30*J30</f>
        <v>#REF!</v>
      </c>
    </row>
    <row r="31" spans="1:12" x14ac:dyDescent="0.2">
      <c r="A31" s="333" t="s">
        <v>12</v>
      </c>
      <c r="B31" s="334">
        <v>30</v>
      </c>
      <c r="C31" s="334">
        <v>1</v>
      </c>
      <c r="D31" s="335">
        <f>Submetering!D31</f>
        <v>2022</v>
      </c>
      <c r="E31" s="336">
        <f>'UTILITY REPORT 1'!F32</f>
        <v>3575</v>
      </c>
      <c r="F31" s="337">
        <f>('UTILITY REPORT 1'!E32*'UTILITY REPORT 1'!D32)/'UTILITY REPORT 1'!F32</f>
        <v>0.37674685314685319</v>
      </c>
      <c r="G31" s="337">
        <f>IF('Utility summery'!M35&lt;0,"0",'Utility summery'!M35)</f>
        <v>103.79599999998464</v>
      </c>
      <c r="H31" s="341">
        <v>2.165</v>
      </c>
      <c r="I31" s="337">
        <f>IF('UTILITY REPORT 1'!G32&lt;0,"0",'UTILITY REPORT 1'!G32)</f>
        <v>110</v>
      </c>
      <c r="J31" s="341">
        <v>0</v>
      </c>
      <c r="K31" s="336">
        <v>18</v>
      </c>
      <c r="L31" s="338" t="e">
        <f>E31*F31+G31*H31+#REF!*#REF!+I31*J31</f>
        <v>#REF!</v>
      </c>
    </row>
    <row r="32" spans="1:12" x14ac:dyDescent="0.2">
      <c r="A32" s="333" t="s">
        <v>12</v>
      </c>
      <c r="B32" s="334">
        <v>31</v>
      </c>
      <c r="C32" s="334">
        <v>1</v>
      </c>
      <c r="D32" s="335">
        <f>Submetering!D32</f>
        <v>2022</v>
      </c>
      <c r="E32" s="336">
        <f>'UTILITY REPORT 1'!F33</f>
        <v>3272</v>
      </c>
      <c r="F32" s="337">
        <f>('UTILITY REPORT 1'!E33*'UTILITY REPORT 1'!D33)/'UTILITY REPORT 1'!F33</f>
        <v>0.39228606356968215</v>
      </c>
      <c r="G32" s="337" t="str">
        <f>IF('Utility summery'!M36&lt;0,"0",'Utility summery'!M36)</f>
        <v>0</v>
      </c>
      <c r="H32" s="341">
        <v>2.165</v>
      </c>
      <c r="I32" s="337">
        <f>IF('UTILITY REPORT 1'!G33&lt;0,"0",'UTILITY REPORT 1'!G33)</f>
        <v>104</v>
      </c>
      <c r="J32" s="341">
        <v>0</v>
      </c>
      <c r="K32" s="336">
        <v>12</v>
      </c>
    </row>
    <row r="33" spans="6:10" x14ac:dyDescent="0.2">
      <c r="F33" s="337"/>
      <c r="G33" s="337"/>
      <c r="H33" s="341"/>
      <c r="I33" s="337" t="s">
        <v>13</v>
      </c>
      <c r="J33" s="341"/>
    </row>
    <row r="34" spans="6:10" x14ac:dyDescent="0.2">
      <c r="F34" s="337"/>
      <c r="G34" s="337"/>
      <c r="H34" s="341"/>
      <c r="I34" s="337"/>
      <c r="J34" s="341"/>
    </row>
    <row r="35" spans="6:10" x14ac:dyDescent="0.2">
      <c r="F35" s="337"/>
      <c r="G35" s="337"/>
      <c r="H35" s="341"/>
      <c r="I35" s="337"/>
      <c r="J35" s="341"/>
    </row>
    <row r="36" spans="6:10" x14ac:dyDescent="0.2">
      <c r="F36" s="337"/>
      <c r="G36" s="337"/>
      <c r="H36" s="341"/>
      <c r="I36" s="337"/>
      <c r="J36" s="341"/>
    </row>
    <row r="37" spans="6:10" x14ac:dyDescent="0.2">
      <c r="F37" s="337"/>
      <c r="G37" s="337"/>
      <c r="H37" s="341"/>
      <c r="I37" s="337"/>
      <c r="J37" s="341"/>
    </row>
    <row r="38" spans="6:10" x14ac:dyDescent="0.2">
      <c r="F38" s="337"/>
      <c r="G38" s="337"/>
      <c r="H38" s="341"/>
      <c r="I38" s="337"/>
      <c r="J38" s="341"/>
    </row>
    <row r="39" spans="6:10" x14ac:dyDescent="0.2">
      <c r="F39" s="337"/>
      <c r="G39" s="337"/>
      <c r="H39" s="341"/>
      <c r="I39" s="337"/>
      <c r="J39" s="34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X38"/>
  <sheetViews>
    <sheetView topLeftCell="D1" workbookViewId="0">
      <selection activeCell="I10" sqref="I10"/>
    </sheetView>
  </sheetViews>
  <sheetFormatPr defaultColWidth="11.5703125" defaultRowHeight="12.75" x14ac:dyDescent="0.2"/>
  <cols>
    <col min="1" max="1" width="12.42578125" style="11" customWidth="1"/>
    <col min="2" max="3" width="11.5703125" style="334"/>
    <col min="4" max="4" width="13.42578125" style="335" customWidth="1"/>
    <col min="5" max="6" width="12.5703125" style="11" customWidth="1"/>
    <col min="7" max="7" width="12.5703125" style="336" customWidth="1"/>
    <col min="8" max="10" width="11.5703125" style="11"/>
    <col min="11" max="11" width="12.5703125" style="336" customWidth="1"/>
    <col min="12" max="12" width="11.5703125" style="11"/>
    <col min="13" max="14" width="11.5703125" style="336"/>
    <col min="15" max="15" width="0" style="11" hidden="1" customWidth="1"/>
    <col min="16" max="16" width="13.42578125" style="11" customWidth="1"/>
    <col min="17" max="22" width="11.5703125" style="11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332" customFormat="1" ht="60.75" thickBot="1" x14ac:dyDescent="0.3">
      <c r="A1" s="376" t="s">
        <v>0</v>
      </c>
      <c r="B1" s="377" t="s">
        <v>1</v>
      </c>
      <c r="C1" s="377" t="s">
        <v>2</v>
      </c>
      <c r="D1" s="378" t="s">
        <v>3</v>
      </c>
      <c r="E1" s="379" t="s">
        <v>14</v>
      </c>
      <c r="F1" s="379" t="s">
        <v>15</v>
      </c>
      <c r="G1" s="380" t="s">
        <v>4</v>
      </c>
      <c r="H1" s="379" t="s">
        <v>16</v>
      </c>
      <c r="I1" s="379" t="s">
        <v>17</v>
      </c>
      <c r="J1" s="379" t="s">
        <v>18</v>
      </c>
      <c r="K1" s="380" t="s">
        <v>19</v>
      </c>
      <c r="L1" s="379" t="s">
        <v>20</v>
      </c>
      <c r="M1" s="380" t="s">
        <v>21</v>
      </c>
      <c r="N1" s="380" t="s">
        <v>22</v>
      </c>
      <c r="O1" s="380" t="s">
        <v>22</v>
      </c>
      <c r="P1" s="380" t="s">
        <v>23</v>
      </c>
      <c r="Q1" s="380" t="s">
        <v>24</v>
      </c>
      <c r="R1" s="380" t="s">
        <v>25</v>
      </c>
      <c r="S1" s="380" t="s">
        <v>26</v>
      </c>
      <c r="T1" s="380" t="s">
        <v>27</v>
      </c>
      <c r="U1" s="380" t="s">
        <v>28</v>
      </c>
      <c r="V1" s="380" t="s">
        <v>29</v>
      </c>
      <c r="W1" s="382" t="s">
        <v>30</v>
      </c>
      <c r="X1" s="383" t="s">
        <v>10</v>
      </c>
    </row>
    <row r="2" spans="1:24" x14ac:dyDescent="0.2">
      <c r="A2" s="371" t="s">
        <v>12</v>
      </c>
      <c r="B2" s="372">
        <v>1</v>
      </c>
      <c r="C2" s="372">
        <v>1</v>
      </c>
      <c r="D2" s="373">
        <v>2022</v>
      </c>
      <c r="E2" s="374">
        <f>'UTILITY REPORT 1'!I3</f>
        <v>320.11</v>
      </c>
      <c r="F2" s="374">
        <f>'UTILITY REPORT 1'!E3</f>
        <v>1965.3</v>
      </c>
      <c r="G2" s="375">
        <f>'UTILITY REPORT 1'!F3</f>
        <v>4734</v>
      </c>
      <c r="H2" s="374">
        <f>IF('Kit report'!F4&lt;0,"0",'Kit report'!F4)</f>
        <v>563.99999999986903</v>
      </c>
      <c r="I2" s="374">
        <f>IF('Kit report'!X4&lt;0,"0",'Kit report'!X4)</f>
        <v>940.00000000014552</v>
      </c>
      <c r="J2" s="374">
        <f>IF('Utility summery'!H6&lt;0,"0",'Utility summery'!H6)</f>
        <v>56</v>
      </c>
      <c r="K2" s="375">
        <f>IF('UTILITY REPORT 1'!H3&lt;0,"0",'UTILITY REPORT 1'!H3)</f>
        <v>102</v>
      </c>
      <c r="L2" s="374">
        <f>'Water-Meter'!K6</f>
        <v>3</v>
      </c>
      <c r="M2" s="375">
        <f>'Water-Meter'!H6</f>
        <v>0</v>
      </c>
      <c r="N2" s="375">
        <f>'Water-Meter'!Q6</f>
        <v>11</v>
      </c>
      <c r="O2" s="374" t="e">
        <f>K2*E2+H2*I2+#REF!*#REF!+J2*L2</f>
        <v>#REF!</v>
      </c>
      <c r="P2" s="374">
        <f>'Water-Meter'!E6</f>
        <v>116</v>
      </c>
      <c r="Q2" s="324">
        <f>IF('Water-Meter'!U6&lt;0,"0",'Water-Meter'!U6)</f>
        <v>69</v>
      </c>
      <c r="R2" s="324">
        <f>IF('Water-Meter'!X6&lt;0,"0",'Water-Meter'!X6)</f>
        <v>0</v>
      </c>
      <c r="S2" s="324">
        <f>IF('Water-Meter'!AA6&lt;0,"0",'Water-Meter'!AA6)</f>
        <v>36</v>
      </c>
      <c r="T2" s="324">
        <f>IF('Water-Meter'!AD6&lt;0,"0",'Water-Meter'!AD6)</f>
        <v>17</v>
      </c>
      <c r="U2" s="324">
        <f>IF('Water-Meter'!AG6&lt;0,"0",'Water-Meter'!AG6)</f>
        <v>0</v>
      </c>
      <c r="V2" s="324">
        <f>IF('Water-Meter'!AJ6&lt;0,"0",'Water-Meter'!AJ6)</f>
        <v>35</v>
      </c>
      <c r="W2" s="21">
        <f>'Water-Meter'!AN6</f>
        <v>157</v>
      </c>
      <c r="X2" s="384">
        <f>Total!K2</f>
        <v>89</v>
      </c>
    </row>
    <row r="3" spans="1:24" x14ac:dyDescent="0.2">
      <c r="A3" s="370" t="s">
        <v>12</v>
      </c>
      <c r="B3" s="367">
        <f>B2+1</f>
        <v>2</v>
      </c>
      <c r="C3" s="372">
        <v>1</v>
      </c>
      <c r="D3" s="373">
        <v>2022</v>
      </c>
      <c r="E3" s="368">
        <f>'UTILITY REPORT 1'!I4</f>
        <v>237.31</v>
      </c>
      <c r="F3" s="368">
        <f>'UTILITY REPORT 1'!E4</f>
        <v>1927.08</v>
      </c>
      <c r="G3" s="369">
        <f>'UTILITY REPORT 1'!F4</f>
        <v>4563</v>
      </c>
      <c r="H3" s="368">
        <f>IF('Kit report'!F5&lt;0,"0",'Kit report'!F5)</f>
        <v>204.00000000008731</v>
      </c>
      <c r="I3" s="368">
        <f>IF('Kit report'!X5&lt;0,"0",'Kit report'!X5)</f>
        <v>1039.9999999997817</v>
      </c>
      <c r="J3" s="368">
        <f>IF('Utility summery'!H7&lt;0,"0",'Utility summery'!H7)</f>
        <v>55</v>
      </c>
      <c r="K3" s="369">
        <f>IF('UTILITY REPORT 1'!H4&lt;0,"0",'UTILITY REPORT 1'!H4)</f>
        <v>64</v>
      </c>
      <c r="L3" s="368">
        <f>'Water-Meter'!K7</f>
        <v>3</v>
      </c>
      <c r="M3" s="369">
        <f>'Water-Meter'!H7</f>
        <v>0</v>
      </c>
      <c r="N3" s="369">
        <f>'Water-Meter'!Q7</f>
        <v>9</v>
      </c>
      <c r="O3" s="368" t="e">
        <f>K3*E3+H3*I3+#REF!*#REF!+J3*L3</f>
        <v>#REF!</v>
      </c>
      <c r="P3" s="374">
        <f>'Water-Meter'!E7</f>
        <v>94</v>
      </c>
      <c r="Q3" s="209">
        <f>IF('Water-Meter'!U7&lt;0,"0",'Water-Meter'!U7)</f>
        <v>70</v>
      </c>
      <c r="R3" s="209">
        <f>IF('Water-Meter'!X7&lt;0,"0",'Water-Meter'!X7)</f>
        <v>0</v>
      </c>
      <c r="S3" s="209">
        <f>IF('Water-Meter'!AA7&lt;0,"0",'Water-Meter'!AA7)</f>
        <v>36</v>
      </c>
      <c r="T3" s="209">
        <f>IF('Water-Meter'!AD7&lt;0,"0",'Water-Meter'!AD7)</f>
        <v>18</v>
      </c>
      <c r="U3" s="209">
        <f>IF('Water-Meter'!AG7&lt;0,"0",'Water-Meter'!AG7)</f>
        <v>0</v>
      </c>
      <c r="V3" s="209">
        <f>IF('Water-Meter'!AJ7&lt;0,"0",'Water-Meter'!AJ7)</f>
        <v>35</v>
      </c>
      <c r="W3" s="21">
        <f>'Water-Meter'!AN7</f>
        <v>159</v>
      </c>
      <c r="X3" s="384">
        <f>Total!K3</f>
        <v>102</v>
      </c>
    </row>
    <row r="4" spans="1:24" x14ac:dyDescent="0.2">
      <c r="A4" s="370" t="s">
        <v>12</v>
      </c>
      <c r="B4" s="367">
        <f t="shared" ref="B4:B30" si="0">B3+1</f>
        <v>3</v>
      </c>
      <c r="C4" s="372">
        <v>1</v>
      </c>
      <c r="D4" s="373">
        <v>2022</v>
      </c>
      <c r="E4" s="368">
        <f>'UTILITY REPORT 1'!I5</f>
        <v>231</v>
      </c>
      <c r="F4" s="368">
        <f>'UTILITY REPORT 1'!E5</f>
        <v>1859.9199999999998</v>
      </c>
      <c r="G4" s="369">
        <f>'UTILITY REPORT 1'!F5</f>
        <v>4574</v>
      </c>
      <c r="H4" s="368">
        <f>IF('Kit report'!F6&lt;0,"0",'Kit report'!F6)</f>
        <v>275.99999999991269</v>
      </c>
      <c r="I4" s="368">
        <f>IF('Kit report'!X6&lt;0,"0",'Kit report'!X6)</f>
        <v>920.00000000007276</v>
      </c>
      <c r="J4" s="368">
        <f>IF('Utility summery'!H8&lt;0,"0",'Utility summery'!H8)</f>
        <v>56</v>
      </c>
      <c r="K4" s="369">
        <f>IF('UTILITY REPORT 1'!H5&lt;0,"0",'UTILITY REPORT 1'!H5)</f>
        <v>105</v>
      </c>
      <c r="L4" s="368">
        <f>'Water-Meter'!K8</f>
        <v>4</v>
      </c>
      <c r="M4" s="369">
        <f>'Water-Meter'!H8</f>
        <v>0</v>
      </c>
      <c r="N4" s="369">
        <f>'Water-Meter'!Q8</f>
        <v>12</v>
      </c>
      <c r="O4" s="368" t="e">
        <f>K4*E4+H4*I4+#REF!*#REF!+J4*L4</f>
        <v>#REF!</v>
      </c>
      <c r="P4" s="374">
        <f>'Water-Meter'!E8</f>
        <v>110</v>
      </c>
      <c r="Q4" s="209">
        <f>IF('Water-Meter'!U8&lt;0,"0",'Water-Meter'!U8)</f>
        <v>67</v>
      </c>
      <c r="R4" s="209">
        <f>IF('Water-Meter'!X8&lt;0,"0",'Water-Meter'!X8)</f>
        <v>0</v>
      </c>
      <c r="S4" s="209">
        <f>IF('Water-Meter'!AA8&lt;0,"0",'Water-Meter'!AA8)</f>
        <v>36</v>
      </c>
      <c r="T4" s="209">
        <f>IF('Water-Meter'!AD8&lt;0,"0",'Water-Meter'!AD8)</f>
        <v>18</v>
      </c>
      <c r="U4" s="209">
        <f>IF('Water-Meter'!AG8&lt;0,"0",'Water-Meter'!AG8)</f>
        <v>0</v>
      </c>
      <c r="V4" s="209">
        <f>IF('Water-Meter'!AJ8&lt;0,"0",'Water-Meter'!AJ8)</f>
        <v>36</v>
      </c>
      <c r="W4" s="21">
        <f>'Water-Meter'!AG17</f>
        <v>0</v>
      </c>
      <c r="X4" s="384">
        <f>Total!K4</f>
        <v>74</v>
      </c>
    </row>
    <row r="5" spans="1:24" x14ac:dyDescent="0.2">
      <c r="A5" s="370" t="s">
        <v>12</v>
      </c>
      <c r="B5" s="367">
        <f t="shared" si="0"/>
        <v>4</v>
      </c>
      <c r="C5" s="372">
        <v>1</v>
      </c>
      <c r="D5" s="373">
        <v>2022</v>
      </c>
      <c r="E5" s="368">
        <f>'UTILITY REPORT 1'!I6</f>
        <v>247.48</v>
      </c>
      <c r="F5" s="368">
        <f>'UTILITY REPORT 1'!E6</f>
        <v>1889.6999999999998</v>
      </c>
      <c r="G5" s="369">
        <f>'UTILITY REPORT 1'!F6</f>
        <v>4346</v>
      </c>
      <c r="H5" s="368">
        <f>IF('Kit report'!F7&lt;0,"0",'Kit report'!F7)</f>
        <v>227.99999999995634</v>
      </c>
      <c r="I5" s="368">
        <f>IF('Kit report'!X7&lt;0,"0",'Kit report'!X7)</f>
        <v>740.00000000014552</v>
      </c>
      <c r="J5" s="368">
        <f>IF('Utility summery'!H9&lt;0,"0",'Utility summery'!H9)</f>
        <v>59</v>
      </c>
      <c r="K5" s="369">
        <f>IF('UTILITY REPORT 1'!H6&lt;0,"0",'UTILITY REPORT 1'!H6)</f>
        <v>147</v>
      </c>
      <c r="L5" s="368">
        <f>'Water-Meter'!K9</f>
        <v>3</v>
      </c>
      <c r="M5" s="369">
        <f>'Water-Meter'!H9</f>
        <v>0</v>
      </c>
      <c r="N5" s="369">
        <f>'Water-Meter'!Q9</f>
        <v>9</v>
      </c>
      <c r="O5" s="368" t="e">
        <f>K5*E5+H5*I5+#REF!*#REF!+J5*L5</f>
        <v>#REF!</v>
      </c>
      <c r="P5" s="374">
        <f>'Water-Meter'!E9</f>
        <v>94</v>
      </c>
      <c r="Q5" s="209">
        <f>IF('Water-Meter'!U9&lt;0,"0",'Water-Meter'!U9)</f>
        <v>69</v>
      </c>
      <c r="R5" s="209">
        <f>IF('Water-Meter'!X9&lt;0,"0",'Water-Meter'!X9)</f>
        <v>0</v>
      </c>
      <c r="S5" s="209">
        <f>IF('Water-Meter'!AA9&lt;0,"0",'Water-Meter'!AA9)</f>
        <v>38</v>
      </c>
      <c r="T5" s="209">
        <f>IF('Water-Meter'!AD9&lt;0,"0",'Water-Meter'!AD9)</f>
        <v>18</v>
      </c>
      <c r="U5" s="209">
        <f>IF('Water-Meter'!AG9&lt;0,"0",'Water-Meter'!AG9)</f>
        <v>0</v>
      </c>
      <c r="V5" s="209">
        <f>IF('Water-Meter'!AJ9&lt;0,"0",'Water-Meter'!AJ9)</f>
        <v>38</v>
      </c>
      <c r="W5" s="21">
        <f>'Water-Meter'!AN9</f>
        <v>163</v>
      </c>
      <c r="X5" s="384">
        <f>Total!K5</f>
        <v>68</v>
      </c>
    </row>
    <row r="6" spans="1:24" x14ac:dyDescent="0.2">
      <c r="A6" s="370" t="s">
        <v>12</v>
      </c>
      <c r="B6" s="367">
        <f t="shared" si="0"/>
        <v>5</v>
      </c>
      <c r="C6" s="372">
        <v>1</v>
      </c>
      <c r="D6" s="373">
        <v>2022</v>
      </c>
      <c r="E6" s="368">
        <f>'UTILITY REPORT 1'!I7</f>
        <v>110</v>
      </c>
      <c r="F6" s="368">
        <f>'UTILITY REPORT 1'!E7</f>
        <v>1716.3900000000003</v>
      </c>
      <c r="G6" s="369">
        <f>'UTILITY REPORT 1'!F7</f>
        <v>3969</v>
      </c>
      <c r="H6" s="368">
        <f>IF('Kit report'!F8&lt;0,"0",'Kit report'!F8)</f>
        <v>204.00000000008731</v>
      </c>
      <c r="I6" s="368">
        <f>IF('Kit report'!X8&lt;0,"0",'Kit report'!X8)</f>
        <v>739.99999999978172</v>
      </c>
      <c r="J6" s="368">
        <f>IF('Utility summery'!H10&lt;0,"0",'Utility summery'!H10)</f>
        <v>49</v>
      </c>
      <c r="K6" s="369">
        <f>IF('UTILITY REPORT 1'!H7&lt;0,"0",'UTILITY REPORT 1'!H7)</f>
        <v>0</v>
      </c>
      <c r="L6" s="368">
        <f>'Water-Meter'!K10</f>
        <v>3</v>
      </c>
      <c r="M6" s="369">
        <f>'Water-Meter'!H10</f>
        <v>0</v>
      </c>
      <c r="N6" s="369">
        <f>'Water-Meter'!Q10</f>
        <v>9</v>
      </c>
      <c r="O6" s="368" t="e">
        <f>K6*E6+H6*I6+#REF!*#REF!+J6*L6</f>
        <v>#REF!</v>
      </c>
      <c r="P6" s="374">
        <f>'Water-Meter'!E10</f>
        <v>86</v>
      </c>
      <c r="Q6" s="209">
        <f>IF('Water-Meter'!U10&lt;0,"0",'Water-Meter'!U10)</f>
        <v>69</v>
      </c>
      <c r="R6" s="209">
        <f>IF('Water-Meter'!X10&lt;0,"0",'Water-Meter'!X10)</f>
        <v>0</v>
      </c>
      <c r="S6" s="209">
        <f>IF('Water-Meter'!AA10&lt;0,"0",'Water-Meter'!AA10)</f>
        <v>38</v>
      </c>
      <c r="T6" s="209">
        <f>IF('Water-Meter'!AD10&lt;0,"0",'Water-Meter'!AD10)</f>
        <v>16</v>
      </c>
      <c r="U6" s="209">
        <f>IF('Water-Meter'!AG10&lt;0,"0",'Water-Meter'!AG10)</f>
        <v>0</v>
      </c>
      <c r="V6" s="209">
        <f>IF('Water-Meter'!AJ10&lt;0,"0",'Water-Meter'!AJ10)</f>
        <v>33</v>
      </c>
      <c r="W6" s="21">
        <f>'Water-Meter'!AN10</f>
        <v>156</v>
      </c>
      <c r="X6" s="384">
        <f>Total!K6</f>
        <v>48</v>
      </c>
    </row>
    <row r="7" spans="1:24" x14ac:dyDescent="0.2">
      <c r="A7" s="370" t="s">
        <v>12</v>
      </c>
      <c r="B7" s="367">
        <f t="shared" si="0"/>
        <v>6</v>
      </c>
      <c r="C7" s="372">
        <v>1</v>
      </c>
      <c r="D7" s="373">
        <v>2022</v>
      </c>
      <c r="E7" s="368">
        <f>'UTILITY REPORT 1'!I8</f>
        <v>299.04000000000002</v>
      </c>
      <c r="F7" s="368">
        <f>'UTILITY REPORT 1'!E8</f>
        <v>1829.15</v>
      </c>
      <c r="G7" s="369">
        <f>'UTILITY REPORT 1'!F8</f>
        <v>4325</v>
      </c>
      <c r="H7" s="368">
        <f>IF('Kit report'!F9&lt;0,"0",'Kit report'!F9)</f>
        <v>227.99999999995634</v>
      </c>
      <c r="I7" s="368">
        <f>IF('Kit report'!X9&lt;0,"0",'Kit report'!X9)</f>
        <v>660.00000000021828</v>
      </c>
      <c r="J7" s="368">
        <f>IF('Utility summery'!H11&lt;0,"0",'Utility summery'!H11)</f>
        <v>54</v>
      </c>
      <c r="K7" s="369">
        <f>IF('UTILITY REPORT 1'!H8&lt;0,"0",'UTILITY REPORT 1'!H8)</f>
        <v>148</v>
      </c>
      <c r="L7" s="368">
        <f>'Water-Meter'!K11</f>
        <v>-1</v>
      </c>
      <c r="M7" s="369">
        <f>'Water-Meter'!H11</f>
        <v>0</v>
      </c>
      <c r="N7" s="369">
        <f>'Water-Meter'!Q11</f>
        <v>34</v>
      </c>
      <c r="O7" s="368" t="e">
        <f>K7*E7+H7*I7+#REF!*#REF!+J7*L7</f>
        <v>#REF!</v>
      </c>
      <c r="P7" s="374">
        <f>'Water-Meter'!E11</f>
        <v>90</v>
      </c>
      <c r="Q7" s="209">
        <f>IF('Water-Meter'!U11&lt;0,"0",'Water-Meter'!U11)</f>
        <v>67</v>
      </c>
      <c r="R7" s="209">
        <f>IF('Water-Meter'!X11&lt;0,"0",'Water-Meter'!X11)</f>
        <v>0</v>
      </c>
      <c r="S7" s="209">
        <f>IF('Water-Meter'!AA11&lt;0,"0",'Water-Meter'!AA11)</f>
        <v>32</v>
      </c>
      <c r="T7" s="209">
        <f>IF('Water-Meter'!AD11&lt;0,"0",'Water-Meter'!AD11)</f>
        <v>17</v>
      </c>
      <c r="U7" s="209">
        <f>IF('Water-Meter'!AG11&lt;0,"0",'Water-Meter'!AG11)</f>
        <v>0</v>
      </c>
      <c r="V7" s="209">
        <f>IF('Water-Meter'!AJ11&lt;0,"0",'Water-Meter'!AJ11)</f>
        <v>36</v>
      </c>
      <c r="W7" s="21">
        <f>'Water-Meter'!AN11</f>
        <v>152</v>
      </c>
      <c r="X7" s="384">
        <f>Total!K7</f>
        <v>61</v>
      </c>
    </row>
    <row r="8" spans="1:24" x14ac:dyDescent="0.2">
      <c r="A8" s="370" t="s">
        <v>12</v>
      </c>
      <c r="B8" s="367">
        <f t="shared" si="0"/>
        <v>7</v>
      </c>
      <c r="C8" s="372">
        <v>1</v>
      </c>
      <c r="D8" s="373">
        <v>2022</v>
      </c>
      <c r="E8" s="368">
        <f>'UTILITY REPORT 1'!I9</f>
        <v>133</v>
      </c>
      <c r="F8" s="368">
        <f>'UTILITY REPORT 1'!E9</f>
        <v>1866.3500000000001</v>
      </c>
      <c r="G8" s="369">
        <f>'UTILITY REPORT 1'!F9</f>
        <v>4444</v>
      </c>
      <c r="H8" s="368">
        <f>IF('Kit report'!F10&lt;0,"0",'Kit report'!F10)</f>
        <v>216.00000000013097</v>
      </c>
      <c r="I8" s="368">
        <f>IF('Kit report'!X10&lt;0,"0",'Kit report'!X10)</f>
        <v>739.99999999978172</v>
      </c>
      <c r="J8" s="368" t="str">
        <f>IF('Utility summery'!H12&lt;0,"0",'Utility summery'!H12)</f>
        <v>0</v>
      </c>
      <c r="K8" s="369" t="str">
        <f>IF('UTILITY REPORT 1'!H9&lt;0,"0",'UTILITY REPORT 1'!H9)</f>
        <v>0</v>
      </c>
      <c r="L8" s="368">
        <f>'Water-Meter'!K12</f>
        <v>2</v>
      </c>
      <c r="M8" s="369">
        <f>'Water-Meter'!H12</f>
        <v>0</v>
      </c>
      <c r="N8" s="369">
        <f>'Water-Meter'!Q12</f>
        <v>8</v>
      </c>
      <c r="O8" s="368" t="e">
        <f>K8*E8+H8*I8+#REF!*#REF!+J8*L8</f>
        <v>#REF!</v>
      </c>
      <c r="P8" s="374">
        <f>'Water-Meter'!E12</f>
        <v>92</v>
      </c>
      <c r="Q8" s="209">
        <f>IF('Water-Meter'!U12&lt;0,"0",'Water-Meter'!U12)</f>
        <v>66</v>
      </c>
      <c r="R8" s="209">
        <f>IF('Water-Meter'!X12&lt;0,"0",'Water-Meter'!X12)</f>
        <v>0</v>
      </c>
      <c r="S8" s="209">
        <f>IF('Water-Meter'!AA12&lt;0,"0",'Water-Meter'!AA12)</f>
        <v>38</v>
      </c>
      <c r="T8" s="209">
        <f>IF('Water-Meter'!AD12&lt;0,"0",'Water-Meter'!AD12)</f>
        <v>16</v>
      </c>
      <c r="U8" s="209">
        <f>IF('Water-Meter'!AG12&lt;0,"0",'Water-Meter'!AG12)</f>
        <v>0</v>
      </c>
      <c r="V8" s="209">
        <f>IF('Water-Meter'!AJ12&lt;0,"0",'Water-Meter'!AJ12)</f>
        <v>37</v>
      </c>
      <c r="W8" s="21">
        <f>'Water-Meter'!AN12</f>
        <v>157</v>
      </c>
      <c r="X8" s="384">
        <f>Total!K8</f>
        <v>46</v>
      </c>
    </row>
    <row r="9" spans="1:24" x14ac:dyDescent="0.2">
      <c r="A9" s="370" t="s">
        <v>12</v>
      </c>
      <c r="B9" s="367">
        <f t="shared" si="0"/>
        <v>8</v>
      </c>
      <c r="C9" s="372">
        <v>1</v>
      </c>
      <c r="D9" s="373">
        <v>2022</v>
      </c>
      <c r="E9" s="368">
        <f>'UTILITY REPORT 1'!I10</f>
        <v>162.47</v>
      </c>
      <c r="F9" s="368">
        <f>'UTILITY REPORT 1'!E10</f>
        <v>1767.24</v>
      </c>
      <c r="G9" s="369">
        <f>'UTILITY REPORT 1'!F10</f>
        <v>4291</v>
      </c>
      <c r="H9" s="368">
        <f>IF('Kit report'!F11&lt;0,"0",'Kit report'!F11)</f>
        <v>240</v>
      </c>
      <c r="I9" s="368">
        <f>IF('Kit report'!X11&lt;0,"0",'Kit report'!X11)</f>
        <v>700</v>
      </c>
      <c r="J9" s="368">
        <f>IF('Utility summery'!H13&lt;0,"0",'Utility summery'!H13)</f>
        <v>229265</v>
      </c>
      <c r="K9" s="369">
        <f>IF('UTILITY REPORT 1'!H10&lt;0,"0",'UTILITY REPORT 1'!H10)</f>
        <v>22575</v>
      </c>
      <c r="L9" s="368">
        <f>'Water-Meter'!K13</f>
        <v>2</v>
      </c>
      <c r="M9" s="369">
        <f>'Water-Meter'!H13</f>
        <v>0</v>
      </c>
      <c r="N9" s="369">
        <f>'Water-Meter'!Q13</f>
        <v>6</v>
      </c>
      <c r="O9" s="368" t="e">
        <f>K9*E9+H9*I9+#REF!*#REF!+J9*L9</f>
        <v>#REF!</v>
      </c>
      <c r="P9" s="374">
        <f>'Water-Meter'!E13</f>
        <v>108</v>
      </c>
      <c r="Q9" s="209">
        <f>IF('Water-Meter'!U13&lt;0,"0",'Water-Meter'!U13)</f>
        <v>72</v>
      </c>
      <c r="R9" s="209">
        <f>IF('Water-Meter'!X13&lt;0,"0",'Water-Meter'!X13)</f>
        <v>0</v>
      </c>
      <c r="S9" s="209">
        <f>IF('Water-Meter'!AA13&lt;0,"0",'Water-Meter'!AA13)</f>
        <v>35</v>
      </c>
      <c r="T9" s="209">
        <f>IF('Water-Meter'!AD13&lt;0,"0",'Water-Meter'!AD13)</f>
        <v>16</v>
      </c>
      <c r="U9" s="209">
        <f>IF('Water-Meter'!AG13&lt;0,"0",'Water-Meter'!AG13)</f>
        <v>0</v>
      </c>
      <c r="V9" s="209">
        <f>IF('Water-Meter'!AJ13&lt;0,"0",'Water-Meter'!AJ13)</f>
        <v>35</v>
      </c>
      <c r="W9" s="21">
        <f>'Water-Meter'!AN13</f>
        <v>158</v>
      </c>
      <c r="X9" s="384">
        <f>Total!K9</f>
        <v>48</v>
      </c>
    </row>
    <row r="10" spans="1:24" x14ac:dyDescent="0.2">
      <c r="A10" s="370" t="s">
        <v>12</v>
      </c>
      <c r="B10" s="367">
        <f t="shared" si="0"/>
        <v>9</v>
      </c>
      <c r="C10" s="372">
        <v>1</v>
      </c>
      <c r="D10" s="373">
        <v>2022</v>
      </c>
      <c r="E10" s="368">
        <f>'UTILITY REPORT 1'!I11</f>
        <v>109.74</v>
      </c>
      <c r="F10" s="368">
        <f>'UTILITY REPORT 1'!E11</f>
        <v>1846.05</v>
      </c>
      <c r="G10" s="369">
        <f>'UTILITY REPORT 1'!F11</f>
        <v>4336</v>
      </c>
      <c r="H10" s="368">
        <f>IF('Kit report'!F12&lt;0,"0",'Kit report'!F12)</f>
        <v>251.99999999982538</v>
      </c>
      <c r="I10" s="368">
        <f>IF('Kit report'!X12&lt;0,"0",'Kit report'!X12)</f>
        <v>780.00000000029104</v>
      </c>
      <c r="J10" s="368">
        <f>IF('Utility summery'!H14&lt;0,"0",'Utility summery'!H14)</f>
        <v>56</v>
      </c>
      <c r="K10" s="369">
        <f>IF('UTILITY REPORT 1'!H11&lt;0,"0",'UTILITY REPORT 1'!H11)</f>
        <v>128</v>
      </c>
      <c r="L10" s="368">
        <f>'Water-Meter'!K14</f>
        <v>3</v>
      </c>
      <c r="M10" s="369">
        <f>'Water-Meter'!H14</f>
        <v>0</v>
      </c>
      <c r="N10" s="369">
        <f>'Water-Meter'!Q14</f>
        <v>4</v>
      </c>
      <c r="O10" s="368" t="e">
        <f>K10*E10+H10*I10+#REF!*#REF!+J10*L10</f>
        <v>#REF!</v>
      </c>
      <c r="P10" s="374">
        <f>'Water-Meter'!E14</f>
        <v>101</v>
      </c>
      <c r="Q10" s="209">
        <f>IF('Water-Meter'!U14&lt;0,"0",'Water-Meter'!U14)</f>
        <v>67</v>
      </c>
      <c r="R10" s="209">
        <f>IF('Water-Meter'!X14&lt;0,"0",'Water-Meter'!X14)</f>
        <v>0</v>
      </c>
      <c r="S10" s="209">
        <f>IF('Water-Meter'!AA14&lt;0,"0",'Water-Meter'!AA14)</f>
        <v>39</v>
      </c>
      <c r="T10" s="209">
        <f>IF('Water-Meter'!AD14&lt;0,"0",'Water-Meter'!AD14)</f>
        <v>13</v>
      </c>
      <c r="U10" s="209">
        <f>IF('Water-Meter'!AG14&lt;0,"0",'Water-Meter'!AG14)</f>
        <v>0</v>
      </c>
      <c r="V10" s="209">
        <f>IF('Water-Meter'!AJ14&lt;0,"0",'Water-Meter'!AJ14)</f>
        <v>35</v>
      </c>
      <c r="W10" s="21">
        <f>'Water-Meter'!AN14</f>
        <v>154</v>
      </c>
      <c r="X10" s="384">
        <f>Total!K10</f>
        <v>43</v>
      </c>
    </row>
    <row r="11" spans="1:24" x14ac:dyDescent="0.2">
      <c r="A11" s="370" t="s">
        <v>12</v>
      </c>
      <c r="B11" s="367">
        <f t="shared" si="0"/>
        <v>10</v>
      </c>
      <c r="C11" s="372">
        <v>1</v>
      </c>
      <c r="D11" s="373">
        <v>2022</v>
      </c>
      <c r="E11" s="368">
        <f>'UTILITY REPORT 1'!I12</f>
        <v>79.83</v>
      </c>
      <c r="F11" s="368">
        <f>'UTILITY REPORT 1'!E12</f>
        <v>1765.63</v>
      </c>
      <c r="G11" s="369">
        <f>'UTILITY REPORT 1'!F12</f>
        <v>4279</v>
      </c>
      <c r="H11" s="368">
        <f>IF('Kit report'!F13&lt;0,"0",'Kit report'!F13)</f>
        <v>288.00000000017462</v>
      </c>
      <c r="I11" s="368">
        <f>IF('Kit report'!X13&lt;0,"0",'Kit report'!X13)</f>
        <v>639.99999999978172</v>
      </c>
      <c r="J11" s="368">
        <f>IF('Utility summery'!H15&lt;0,"0",'Utility summery'!H15)</f>
        <v>3</v>
      </c>
      <c r="K11" s="369">
        <f>IF('UTILITY REPORT 1'!H12&lt;0,"0",'UTILITY REPORT 1'!H12)</f>
        <v>77</v>
      </c>
      <c r="L11" s="368">
        <f>'Water-Meter'!K15</f>
        <v>2</v>
      </c>
      <c r="M11" s="369">
        <f>'Water-Meter'!H15</f>
        <v>0</v>
      </c>
      <c r="N11" s="369">
        <f>'Water-Meter'!Q15</f>
        <v>17</v>
      </c>
      <c r="O11" s="368" t="e">
        <f>K11*E11+H11*I11+#REF!*#REF!+J11*L11</f>
        <v>#REF!</v>
      </c>
      <c r="P11" s="374">
        <f>'Water-Meter'!E15</f>
        <v>83</v>
      </c>
      <c r="Q11" s="209">
        <f>IF('Water-Meter'!U15&lt;0,"0",'Water-Meter'!U15)</f>
        <v>0</v>
      </c>
      <c r="R11" s="209">
        <f>IF('Water-Meter'!X15&lt;0,"0",'Water-Meter'!X15)</f>
        <v>0</v>
      </c>
      <c r="S11" s="209">
        <f>IF('Water-Meter'!AA15&lt;0,"0",'Water-Meter'!AA15)</f>
        <v>38</v>
      </c>
      <c r="T11" s="209">
        <f>IF('Water-Meter'!AD15&lt;0,"0",'Water-Meter'!AD15)</f>
        <v>14</v>
      </c>
      <c r="U11" s="209">
        <f>IF('Water-Meter'!AG15&lt;0,"0",'Water-Meter'!AG15)</f>
        <v>0</v>
      </c>
      <c r="V11" s="209">
        <f>IF('Water-Meter'!AJ15&lt;0,"0",'Water-Meter'!AJ15)</f>
        <v>36</v>
      </c>
      <c r="W11" s="21">
        <f>'Water-Meter'!AN15</f>
        <v>88</v>
      </c>
      <c r="X11" s="384">
        <f>Total!K11</f>
        <v>39</v>
      </c>
    </row>
    <row r="12" spans="1:24" x14ac:dyDescent="0.2">
      <c r="A12" s="370" t="s">
        <v>12</v>
      </c>
      <c r="B12" s="367">
        <f t="shared" si="0"/>
        <v>11</v>
      </c>
      <c r="C12" s="372">
        <v>1</v>
      </c>
      <c r="D12" s="373">
        <v>2022</v>
      </c>
      <c r="E12" s="368">
        <f>'UTILITY REPORT 1'!I13</f>
        <v>386.46</v>
      </c>
      <c r="F12" s="368">
        <f>'UTILITY REPORT 1'!E13</f>
        <v>1625.2799999999997</v>
      </c>
      <c r="G12" s="369">
        <f>'UTILITY REPORT 1'!F13</f>
        <v>3862</v>
      </c>
      <c r="H12" s="368">
        <f>IF('Kit report'!F14&lt;0,"0",'Kit report'!F14)</f>
        <v>287.99999999995634</v>
      </c>
      <c r="I12" s="368">
        <f>IF('Kit report'!X14&lt;0,"0",'Kit report'!X14)</f>
        <v>500</v>
      </c>
      <c r="J12" s="368">
        <f>IF('Utility summery'!H16&lt;0,"0",'Utility summery'!H16)</f>
        <v>3</v>
      </c>
      <c r="K12" s="369">
        <f>IF('UTILITY REPORT 1'!H13&lt;0,"0",'UTILITY REPORT 1'!H13)</f>
        <v>114</v>
      </c>
      <c r="L12" s="368">
        <f>'Water-Meter'!K16</f>
        <v>2</v>
      </c>
      <c r="M12" s="369">
        <f>'Water-Meter'!H16</f>
        <v>0</v>
      </c>
      <c r="N12" s="369">
        <f>'Water-Meter'!Q16</f>
        <v>8</v>
      </c>
      <c r="O12" s="368" t="e">
        <f>K12*E12+H12*I12+#REF!*#REF!+J12*L12</f>
        <v>#REF!</v>
      </c>
      <c r="P12" s="374">
        <f>'Water-Meter'!E16</f>
        <v>67</v>
      </c>
      <c r="Q12" s="209">
        <f>IF('Water-Meter'!U16&lt;0,"0",'Water-Meter'!U16)</f>
        <v>0</v>
      </c>
      <c r="R12" s="209">
        <f>IF('Water-Meter'!X16&lt;0,"0",'Water-Meter'!X16)</f>
        <v>0</v>
      </c>
      <c r="S12" s="209">
        <f>IF('Water-Meter'!AA16&lt;0,"0",'Water-Meter'!AA16)</f>
        <v>42</v>
      </c>
      <c r="T12" s="209">
        <f>IF('Water-Meter'!AD16&lt;0,"0",'Water-Meter'!AD16)</f>
        <v>11</v>
      </c>
      <c r="U12" s="209">
        <f>IF('Water-Meter'!AG16&lt;0,"0",'Water-Meter'!AG16)</f>
        <v>0</v>
      </c>
      <c r="V12" s="209">
        <f>IF('Water-Meter'!AJ16&lt;0,"0",'Water-Meter'!AJ16)</f>
        <v>34</v>
      </c>
      <c r="W12" s="21">
        <f>'Water-Meter'!AN16</f>
        <v>87</v>
      </c>
      <c r="X12" s="384">
        <f>Total!K12</f>
        <v>23</v>
      </c>
    </row>
    <row r="13" spans="1:24" x14ac:dyDescent="0.2">
      <c r="A13" s="370" t="s">
        <v>12</v>
      </c>
      <c r="B13" s="367">
        <f t="shared" si="0"/>
        <v>12</v>
      </c>
      <c r="C13" s="372">
        <v>1</v>
      </c>
      <c r="D13" s="373">
        <v>2022</v>
      </c>
      <c r="E13" s="368">
        <f>'UTILITY REPORT 1'!I14</f>
        <v>0</v>
      </c>
      <c r="F13" s="368">
        <f>'UTILITY REPORT 1'!E14</f>
        <v>1599.77</v>
      </c>
      <c r="G13" s="369">
        <f>'UTILITY REPORT 1'!F14</f>
        <v>3803</v>
      </c>
      <c r="H13" s="368">
        <f>IF('Kit report'!F15&lt;0,"0",'Kit report'!F15)</f>
        <v>240</v>
      </c>
      <c r="I13" s="368">
        <f>IF('Kit report'!X15&lt;0,"0",'Kit report'!X15)</f>
        <v>540.00000000014552</v>
      </c>
      <c r="J13" s="368">
        <f>IF('Utility summery'!H17&lt;0,"0",'Utility summery'!H17)</f>
        <v>0</v>
      </c>
      <c r="K13" s="369">
        <f>IF('UTILITY REPORT 1'!H14&lt;0,"0",'UTILITY REPORT 1'!H14)</f>
        <v>112</v>
      </c>
      <c r="L13" s="368">
        <f>'Water-Meter'!K17</f>
        <v>3</v>
      </c>
      <c r="M13" s="369">
        <f>'Water-Meter'!H17</f>
        <v>0</v>
      </c>
      <c r="N13" s="369">
        <f>'Water-Meter'!Q17</f>
        <v>9</v>
      </c>
      <c r="O13" s="368" t="e">
        <f>K13*E13+H13*I13+#REF!*#REF!+J13*L13</f>
        <v>#REF!</v>
      </c>
      <c r="P13" s="374">
        <f>'Water-Meter'!E17</f>
        <v>133</v>
      </c>
      <c r="Q13" s="209">
        <f>IF('Water-Meter'!U17&lt;0,"0",'Water-Meter'!U17)</f>
        <v>0</v>
      </c>
      <c r="R13" s="209">
        <f>IF('Water-Meter'!X17&lt;0,"0",'Water-Meter'!X17)</f>
        <v>0</v>
      </c>
      <c r="S13" s="209">
        <f>IF('Water-Meter'!AA17&lt;0,"0",'Water-Meter'!AA17)</f>
        <v>38</v>
      </c>
      <c r="T13" s="209">
        <f>IF('Water-Meter'!AD17&lt;0,"0",'Water-Meter'!AD17)</f>
        <v>13</v>
      </c>
      <c r="U13" s="209">
        <f>IF('Water-Meter'!AG17&lt;0,"0",'Water-Meter'!AG17)</f>
        <v>0</v>
      </c>
      <c r="V13" s="209">
        <f>IF('Water-Meter'!AJ17&lt;0,"0",'Water-Meter'!AJ17)</f>
        <v>35</v>
      </c>
      <c r="W13" s="21">
        <f>'Water-Meter'!AN17</f>
        <v>86</v>
      </c>
      <c r="X13" s="384">
        <f>Total!K13</f>
        <v>17</v>
      </c>
    </row>
    <row r="14" spans="1:24" x14ac:dyDescent="0.2">
      <c r="A14" s="370" t="s">
        <v>12</v>
      </c>
      <c r="B14" s="367">
        <f t="shared" si="0"/>
        <v>13</v>
      </c>
      <c r="C14" s="372">
        <v>1</v>
      </c>
      <c r="D14" s="373">
        <v>2022</v>
      </c>
      <c r="E14" s="368">
        <f>'UTILITY REPORT 1'!I15</f>
        <v>66.31</v>
      </c>
      <c r="F14" s="368">
        <f>'UTILITY REPORT 1'!E15</f>
        <v>1507.29</v>
      </c>
      <c r="G14" s="369">
        <f>'UTILITY REPORT 1'!F15</f>
        <v>3648</v>
      </c>
      <c r="H14" s="368">
        <f>IF('Kit report'!F16&lt;0,"0",'Kit report'!F16)</f>
        <v>287.99999999995634</v>
      </c>
      <c r="I14" s="368">
        <f>IF('Kit report'!X16&lt;0,"0",'Kit report'!X16)</f>
        <v>500</v>
      </c>
      <c r="J14" s="368">
        <f>IF('Utility summery'!H18&lt;0,"0",'Utility summery'!H18)</f>
        <v>0</v>
      </c>
      <c r="K14" s="369">
        <f>IF('UTILITY REPORT 1'!H15&lt;0,"0",'UTILITY REPORT 1'!H15)</f>
        <v>111</v>
      </c>
      <c r="L14" s="368">
        <f>'Water-Meter'!K18</f>
        <v>2</v>
      </c>
      <c r="M14" s="369">
        <f>'Water-Meter'!H18</f>
        <v>0</v>
      </c>
      <c r="N14" s="369">
        <f>'Water-Meter'!Q18</f>
        <v>6</v>
      </c>
      <c r="O14" s="368" t="e">
        <f>K14*E14+H14*I14+#REF!*#REF!+J14*L14</f>
        <v>#REF!</v>
      </c>
      <c r="P14" s="374">
        <f>'Water-Meter'!E18</f>
        <v>86</v>
      </c>
      <c r="Q14" s="209">
        <f>IF('Water-Meter'!U18&lt;0,"0",'Water-Meter'!U18)</f>
        <v>0</v>
      </c>
      <c r="R14" s="209">
        <f>IF('Water-Meter'!X18&lt;0,"0",'Water-Meter'!X18)</f>
        <v>0</v>
      </c>
      <c r="S14" s="209">
        <f>IF('Water-Meter'!AA18&lt;0,"0",'Water-Meter'!AA18)</f>
        <v>39</v>
      </c>
      <c r="T14" s="209">
        <f>IF('Water-Meter'!AD18&lt;0,"0",'Water-Meter'!AD18)</f>
        <v>14</v>
      </c>
      <c r="U14" s="209">
        <f>IF('Water-Meter'!AG18&lt;0,"0",'Water-Meter'!AG18)</f>
        <v>0</v>
      </c>
      <c r="V14" s="209">
        <f>IF('Water-Meter'!AJ18&lt;0,"0",'Water-Meter'!AJ18)</f>
        <v>33</v>
      </c>
      <c r="W14" s="21">
        <f>'Water-Meter'!AN18</f>
        <v>86</v>
      </c>
      <c r="X14" s="384">
        <f>Total!K14</f>
        <v>29</v>
      </c>
    </row>
    <row r="15" spans="1:24" x14ac:dyDescent="0.2">
      <c r="A15" s="370" t="s">
        <v>12</v>
      </c>
      <c r="B15" s="367">
        <f t="shared" si="0"/>
        <v>14</v>
      </c>
      <c r="C15" s="372">
        <v>1</v>
      </c>
      <c r="D15" s="373">
        <v>2022</v>
      </c>
      <c r="E15" s="368">
        <f>'UTILITY REPORT 1'!I16</f>
        <v>288.08</v>
      </c>
      <c r="F15" s="368">
        <f>'UTILITY REPORT 1'!E16</f>
        <v>1511.92</v>
      </c>
      <c r="G15" s="369">
        <f>'UTILITY REPORT 1'!F16</f>
        <v>3795</v>
      </c>
      <c r="H15" s="368">
        <f>IF('Kit report'!F17&lt;0,"0",'Kit report'!F17)</f>
        <v>275.99999999991269</v>
      </c>
      <c r="I15" s="368">
        <f>IF('Kit report'!X17&lt;0,"0",'Kit report'!X17)</f>
        <v>500</v>
      </c>
      <c r="J15" s="368">
        <f>IF('Utility summery'!H19&lt;0,"0",'Utility summery'!H19)</f>
        <v>43</v>
      </c>
      <c r="K15" s="369">
        <f>IF('UTILITY REPORT 1'!H16&lt;0,"0",'UTILITY REPORT 1'!H16)</f>
        <v>92</v>
      </c>
      <c r="L15" s="368">
        <f>'Water-Meter'!K19</f>
        <v>2</v>
      </c>
      <c r="M15" s="369">
        <f>'Water-Meter'!H19</f>
        <v>0</v>
      </c>
      <c r="N15" s="369">
        <f>'Water-Meter'!Q19</f>
        <v>8</v>
      </c>
      <c r="O15" s="368" t="e">
        <f>K15*E15+H15*I15+#REF!*#REF!+J15*L15</f>
        <v>#REF!</v>
      </c>
      <c r="P15" s="374">
        <f>'Water-Meter'!E19</f>
        <v>92</v>
      </c>
      <c r="Q15" s="209">
        <f>IF('Water-Meter'!U19&lt;0,"0",'Water-Meter'!U19)</f>
        <v>0</v>
      </c>
      <c r="R15" s="209">
        <f>IF('Water-Meter'!X19&lt;0,"0",'Water-Meter'!X19)</f>
        <v>0</v>
      </c>
      <c r="S15" s="209">
        <f>IF('Water-Meter'!AA19&lt;0,"0",'Water-Meter'!AA19)</f>
        <v>40</v>
      </c>
      <c r="T15" s="209">
        <f>IF('Water-Meter'!AD19&lt;0,"0",'Water-Meter'!AD19)</f>
        <v>18</v>
      </c>
      <c r="U15" s="209">
        <f>IF('Water-Meter'!AG19&lt;0,"0",'Water-Meter'!AG19)</f>
        <v>0</v>
      </c>
      <c r="V15" s="209">
        <f>IF('Water-Meter'!AJ19&lt;0,"0",'Water-Meter'!AJ19)</f>
        <v>33</v>
      </c>
      <c r="W15" s="21">
        <f>'Water-Meter'!AN19</f>
        <v>91</v>
      </c>
      <c r="X15" s="384">
        <f>Total!K15</f>
        <v>37</v>
      </c>
    </row>
    <row r="16" spans="1:24" x14ac:dyDescent="0.2">
      <c r="A16" s="370" t="s">
        <v>12</v>
      </c>
      <c r="B16" s="367">
        <f t="shared" si="0"/>
        <v>15</v>
      </c>
      <c r="C16" s="372">
        <v>1</v>
      </c>
      <c r="D16" s="373">
        <v>2022</v>
      </c>
      <c r="E16" s="368">
        <f>'UTILITY REPORT 1'!I17</f>
        <v>0</v>
      </c>
      <c r="F16" s="368">
        <f>'UTILITY REPORT 1'!E17</f>
        <v>1442</v>
      </c>
      <c r="G16" s="369">
        <f>'UTILITY REPORT 1'!F17</f>
        <v>3648</v>
      </c>
      <c r="H16" s="368">
        <f>IF('Kit report'!F18&lt;0,"0",'Kit report'!F18)</f>
        <v>276.00000000013097</v>
      </c>
      <c r="I16" s="368">
        <f>IF('Kit report'!X18&lt;0,"0",'Kit report'!X18)</f>
        <v>579.99999999992724</v>
      </c>
      <c r="J16" s="368">
        <f>IF('Utility summery'!H20&lt;0,"0",'Utility summery'!H20)</f>
        <v>26</v>
      </c>
      <c r="K16" s="369">
        <f>IF('UTILITY REPORT 1'!H17&lt;0,"0",'UTILITY REPORT 1'!H17)</f>
        <v>58</v>
      </c>
      <c r="L16" s="368">
        <f>'Water-Meter'!K20</f>
        <v>2</v>
      </c>
      <c r="M16" s="369">
        <f>'Water-Meter'!H20</f>
        <v>0</v>
      </c>
      <c r="N16" s="369">
        <f>'Water-Meter'!Q20</f>
        <v>10</v>
      </c>
      <c r="O16" s="368" t="e">
        <f>K16*E16+H16*I16+#REF!*#REF!+J16*L16</f>
        <v>#REF!</v>
      </c>
      <c r="P16" s="374">
        <f>'Water-Meter'!E20</f>
        <v>102</v>
      </c>
      <c r="Q16" s="209">
        <f>IF('Water-Meter'!U20&lt;0,"0",'Water-Meter'!U20)</f>
        <v>0</v>
      </c>
      <c r="R16" s="209">
        <f>IF('Water-Meter'!X20&lt;0,"0",'Water-Meter'!X20)</f>
        <v>0</v>
      </c>
      <c r="S16" s="209">
        <f>IF('Water-Meter'!AA20&lt;0,"0",'Water-Meter'!AA20)</f>
        <v>39</v>
      </c>
      <c r="T16" s="209">
        <f>IF('Water-Meter'!AD20&lt;0,"0",'Water-Meter'!AD20)</f>
        <v>27</v>
      </c>
      <c r="U16" s="209">
        <f>IF('Water-Meter'!AG20&lt;0,"0",'Water-Meter'!AG20)</f>
        <v>0</v>
      </c>
      <c r="V16" s="209">
        <f>IF('Water-Meter'!AJ20&lt;0,"0",'Water-Meter'!AJ20)</f>
        <v>0</v>
      </c>
      <c r="W16" s="21">
        <f>'Water-Meter'!AN20</f>
        <v>66</v>
      </c>
      <c r="X16" s="384">
        <f>Total!K16</f>
        <v>31</v>
      </c>
    </row>
    <row r="17" spans="1:24" x14ac:dyDescent="0.2">
      <c r="A17" s="370" t="s">
        <v>12</v>
      </c>
      <c r="B17" s="367">
        <f t="shared" si="0"/>
        <v>16</v>
      </c>
      <c r="C17" s="372">
        <v>1</v>
      </c>
      <c r="D17" s="373">
        <v>2022</v>
      </c>
      <c r="E17" s="368">
        <f>'UTILITY REPORT 1'!I18</f>
        <v>447</v>
      </c>
      <c r="F17" s="368">
        <f>'UTILITY REPORT 1'!E18</f>
        <v>1354.38</v>
      </c>
      <c r="G17" s="369">
        <f>'UTILITY REPORT 1'!F18</f>
        <v>3393</v>
      </c>
      <c r="H17" s="368">
        <f>IF('Kit report'!F19&lt;0,"0",'Kit report'!F19)</f>
        <v>252.00000000004366</v>
      </c>
      <c r="I17" s="368">
        <f>IF('Kit report'!X19&lt;0,"0",'Kit report'!X19)</f>
        <v>520.00000000007276</v>
      </c>
      <c r="J17" s="368">
        <f>IF('Utility summery'!H21&lt;0,"0",'Utility summery'!H21)</f>
        <v>63</v>
      </c>
      <c r="K17" s="369">
        <f>IF('UTILITY REPORT 1'!H18&lt;0,"0",'UTILITY REPORT 1'!H18)</f>
        <v>91</v>
      </c>
      <c r="L17" s="368">
        <f>'Water-Meter'!K21</f>
        <v>2</v>
      </c>
      <c r="M17" s="369">
        <f>'Water-Meter'!H21</f>
        <v>0</v>
      </c>
      <c r="N17" s="369">
        <f>'Water-Meter'!Q21</f>
        <v>8</v>
      </c>
      <c r="O17" s="368" t="e">
        <f>K17*E17+H17*I17+#REF!*#REF!+J17*L17</f>
        <v>#REF!</v>
      </c>
      <c r="P17" s="374">
        <f>'Water-Meter'!E21</f>
        <v>74</v>
      </c>
      <c r="Q17" s="209">
        <f>IF('Water-Meter'!U21&lt;0,"0",'Water-Meter'!U21)</f>
        <v>0</v>
      </c>
      <c r="R17" s="209">
        <f>IF('Water-Meter'!X21&lt;0,"0",'Water-Meter'!X21)</f>
        <v>0</v>
      </c>
      <c r="S17" s="209">
        <f>IF('Water-Meter'!AA21&lt;0,"0",'Water-Meter'!AA21)</f>
        <v>36</v>
      </c>
      <c r="T17" s="209">
        <f>IF('Water-Meter'!AD21&lt;0,"0",'Water-Meter'!AD21)</f>
        <v>25</v>
      </c>
      <c r="U17" s="209">
        <f>IF('Water-Meter'!AG21&lt;0,"0",'Water-Meter'!AG21)</f>
        <v>0</v>
      </c>
      <c r="V17" s="209">
        <f>IF('Water-Meter'!AJ21&lt;0,"0",'Water-Meter'!AJ21)</f>
        <v>0</v>
      </c>
      <c r="W17" s="21">
        <f>'Water-Meter'!AN21</f>
        <v>61</v>
      </c>
      <c r="X17" s="384">
        <f>Total!K17</f>
        <v>32</v>
      </c>
    </row>
    <row r="18" spans="1:24" x14ac:dyDescent="0.2">
      <c r="A18" s="370" t="s">
        <v>12</v>
      </c>
      <c r="B18" s="367">
        <f t="shared" si="0"/>
        <v>17</v>
      </c>
      <c r="C18" s="372">
        <v>1</v>
      </c>
      <c r="D18" s="373">
        <v>2022</v>
      </c>
      <c r="E18" s="368">
        <f>'UTILITY REPORT 1'!I19</f>
        <v>0</v>
      </c>
      <c r="F18" s="368">
        <f>'UTILITY REPORT 1'!E19</f>
        <v>1220.47</v>
      </c>
      <c r="G18" s="369">
        <f>'UTILITY REPORT 1'!F19</f>
        <v>2977</v>
      </c>
      <c r="H18" s="368">
        <f>IF('Kit report'!F20&lt;0,"0",'Kit report'!F20)</f>
        <v>203.99999999986903</v>
      </c>
      <c r="I18" s="368">
        <f>IF('Kit report'!X20&lt;0,"0",'Kit report'!X20)</f>
        <v>600</v>
      </c>
      <c r="J18" s="368">
        <f>IF('Utility summery'!H22&lt;0,"0",'Utility summery'!H22)</f>
        <v>36</v>
      </c>
      <c r="K18" s="369">
        <f>IF('UTILITY REPORT 1'!H19&lt;0,"0",'UTILITY REPORT 1'!H19)</f>
        <v>78</v>
      </c>
      <c r="L18" s="368">
        <f>'Water-Meter'!K22</f>
        <v>2</v>
      </c>
      <c r="M18" s="369">
        <f>'Water-Meter'!H22</f>
        <v>0</v>
      </c>
      <c r="N18" s="369">
        <f>'Water-Meter'!Q22</f>
        <v>7</v>
      </c>
      <c r="O18" s="368" t="e">
        <f>K18*E18+H18*I18+#REF!*#REF!+J18*L18</f>
        <v>#REF!</v>
      </c>
      <c r="P18" s="374">
        <f>'Water-Meter'!E22</f>
        <v>68</v>
      </c>
      <c r="Q18" s="209">
        <f>IF('Water-Meter'!U22&lt;0,"0",'Water-Meter'!U22)</f>
        <v>0</v>
      </c>
      <c r="R18" s="209">
        <f>IF('Water-Meter'!X22&lt;0,"0",'Water-Meter'!X22)</f>
        <v>0</v>
      </c>
      <c r="S18" s="209">
        <f>IF('Water-Meter'!AA22&lt;0,"0",'Water-Meter'!AA22)</f>
        <v>36</v>
      </c>
      <c r="T18" s="209">
        <f>IF('Water-Meter'!AD22&lt;0,"0",'Water-Meter'!AD22)</f>
        <v>25</v>
      </c>
      <c r="U18" s="209">
        <f>IF('Water-Meter'!AG22&lt;0,"0",'Water-Meter'!AG22)</f>
        <v>0</v>
      </c>
      <c r="V18" s="209">
        <f>IF('Water-Meter'!AJ22&lt;0,"0",'Water-Meter'!AJ22)</f>
        <v>0</v>
      </c>
      <c r="W18" s="21">
        <f>'Water-Meter'!AN22</f>
        <v>61</v>
      </c>
      <c r="X18" s="384">
        <f>Total!K18</f>
        <v>15</v>
      </c>
    </row>
    <row r="19" spans="1:24" x14ac:dyDescent="0.2">
      <c r="A19" s="370" t="s">
        <v>12</v>
      </c>
      <c r="B19" s="367">
        <f t="shared" si="0"/>
        <v>18</v>
      </c>
      <c r="C19" s="372">
        <v>1</v>
      </c>
      <c r="D19" s="373">
        <v>2022</v>
      </c>
      <c r="E19" s="368">
        <f>'UTILITY REPORT 1'!I20</f>
        <v>221.01000000000002</v>
      </c>
      <c r="F19" s="368">
        <f>'UTILITY REPORT 1'!E20</f>
        <v>1382.6399999999999</v>
      </c>
      <c r="G19" s="369">
        <f>'UTILITY REPORT 1'!F20</f>
        <v>3443</v>
      </c>
      <c r="H19" s="368">
        <f>IF('Kit report'!F21&lt;0,"0",'Kit report'!F21)</f>
        <v>276.00000000013097</v>
      </c>
      <c r="I19" s="368">
        <f>IF('Kit report'!X21&lt;0,"0",'Kit report'!X21)</f>
        <v>539.99999999978172</v>
      </c>
      <c r="J19" s="368">
        <f>IF('Utility summery'!H23&lt;0,"0",'Utility summery'!H23)</f>
        <v>0</v>
      </c>
      <c r="K19" s="369">
        <f>IF('UTILITY REPORT 1'!H20&lt;0,"0",'UTILITY REPORT 1'!H20)</f>
        <v>0</v>
      </c>
      <c r="L19" s="368">
        <f>'Water-Meter'!K23</f>
        <v>2</v>
      </c>
      <c r="M19" s="369">
        <f>'Water-Meter'!H23</f>
        <v>0</v>
      </c>
      <c r="N19" s="369">
        <f>'Water-Meter'!Q23</f>
        <v>8</v>
      </c>
      <c r="O19" s="368" t="e">
        <f>K19*E19+H19*I19+#REF!*#REF!+J19*L19</f>
        <v>#REF!</v>
      </c>
      <c r="P19" s="374">
        <f>'Water-Meter'!E23</f>
        <v>62</v>
      </c>
      <c r="Q19" s="209">
        <f>IF('Water-Meter'!U23&lt;0,"0",'Water-Meter'!U23)</f>
        <v>0</v>
      </c>
      <c r="R19" s="209">
        <f>IF('Water-Meter'!X23&lt;0,"0",'Water-Meter'!X23)</f>
        <v>0</v>
      </c>
      <c r="S19" s="209">
        <f>IF('Water-Meter'!AA23&lt;0,"0",'Water-Meter'!AA23)</f>
        <v>37</v>
      </c>
      <c r="T19" s="209">
        <f>IF('Water-Meter'!AD23&lt;0,"0",'Water-Meter'!AD23)</f>
        <v>26</v>
      </c>
      <c r="U19" s="209">
        <f>IF('Water-Meter'!AG27&lt;0,"0",'Water-Meter'!AG27)</f>
        <v>0</v>
      </c>
      <c r="V19" s="209">
        <f>IF('Water-Meter'!AJ23&lt;0,"0",'Water-Meter'!AJ23)</f>
        <v>0</v>
      </c>
      <c r="W19" s="21">
        <f>'Water-Meter'!AN23</f>
        <v>63</v>
      </c>
      <c r="X19" s="384">
        <f>Total!K19</f>
        <v>25</v>
      </c>
    </row>
    <row r="20" spans="1:24" x14ac:dyDescent="0.2">
      <c r="A20" s="370" t="s">
        <v>12</v>
      </c>
      <c r="B20" s="367">
        <f t="shared" si="0"/>
        <v>19</v>
      </c>
      <c r="C20" s="372">
        <v>1</v>
      </c>
      <c r="D20" s="373">
        <v>2022</v>
      </c>
      <c r="E20" s="368">
        <f>'UTILITY REPORT 1'!I21</f>
        <v>127.84</v>
      </c>
      <c r="F20" s="368">
        <f>'UTILITY REPORT 1'!E21</f>
        <v>1252.71</v>
      </c>
      <c r="G20" s="369">
        <f>'UTILITY REPORT 1'!F21</f>
        <v>3010</v>
      </c>
      <c r="H20" s="368">
        <f>IF('Kit report'!F22&lt;0,"0",'Kit report'!F22)</f>
        <v>191.99999999982538</v>
      </c>
      <c r="I20" s="368">
        <f>IF('Kit report'!X22&lt;0,"0",'Kit report'!X22)</f>
        <v>520.00000000007276</v>
      </c>
      <c r="J20" s="368">
        <f>IF('Utility summery'!H24&lt;0,"0",'Utility summery'!H24)</f>
        <v>1</v>
      </c>
      <c r="K20" s="369">
        <f>IF('UTILITY REPORT 1'!H21&lt;0,"0",'UTILITY REPORT 1'!H21)</f>
        <v>144</v>
      </c>
      <c r="L20" s="368">
        <f>'Water-Meter'!K24</f>
        <v>2</v>
      </c>
      <c r="M20" s="369">
        <f>'Water-Meter'!H24</f>
        <v>0</v>
      </c>
      <c r="N20" s="369">
        <f>'Water-Meter'!Q24</f>
        <v>6</v>
      </c>
      <c r="O20" s="368" t="e">
        <f>K20*E20+H20*I20+#REF!*#REF!+J20*L20</f>
        <v>#REF!</v>
      </c>
      <c r="P20" s="374">
        <f>'Water-Meter'!E24</f>
        <v>70</v>
      </c>
      <c r="Q20" s="209" t="str">
        <f>IF('Water-Meter'!U24&lt;0,"0",'Water-Meter'!U24)</f>
        <v>0</v>
      </c>
      <c r="R20" s="209">
        <f>IF('Water-Meter'!X24&lt;0,"0",'Water-Meter'!X24)</f>
        <v>0</v>
      </c>
      <c r="S20" s="209">
        <f>IF('Water-Meter'!AA24&lt;0,"0",'Water-Meter'!AA24)</f>
        <v>39</v>
      </c>
      <c r="T20" s="209">
        <f>IF('Water-Meter'!AD24&lt;0,"0",'Water-Meter'!AD24)</f>
        <v>13</v>
      </c>
      <c r="U20" s="209">
        <f>IF('Water-Meter'!AG24&lt;0,"0",'Water-Meter'!AG24)</f>
        <v>0</v>
      </c>
      <c r="V20" s="209">
        <f>IF('Water-Meter'!AJ24&lt;0,"0",'Water-Meter'!AJ24)</f>
        <v>0</v>
      </c>
      <c r="W20" s="21">
        <f>'Water-Meter'!AN24</f>
        <v>52</v>
      </c>
      <c r="X20" s="384">
        <f>Total!K20</f>
        <v>28</v>
      </c>
    </row>
    <row r="21" spans="1:24" x14ac:dyDescent="0.2">
      <c r="A21" s="370" t="s">
        <v>12</v>
      </c>
      <c r="B21" s="367">
        <f t="shared" si="0"/>
        <v>20</v>
      </c>
      <c r="C21" s="372">
        <v>1</v>
      </c>
      <c r="D21" s="373">
        <v>2022</v>
      </c>
      <c r="E21" s="368">
        <f>'UTILITY REPORT 1'!I22</f>
        <v>238.01999999999998</v>
      </c>
      <c r="F21" s="368">
        <f>'UTILITY REPORT 1'!E22</f>
        <v>1370.45</v>
      </c>
      <c r="G21" s="369">
        <f>'UTILITY REPORT 1'!F22</f>
        <v>3323</v>
      </c>
      <c r="H21" s="368">
        <f>IF('Kit report'!F23&lt;0,"0",'Kit report'!F23)</f>
        <v>240</v>
      </c>
      <c r="I21" s="368">
        <f>IF('Kit report'!X23&lt;0,"0",'Kit report'!X23)</f>
        <v>500</v>
      </c>
      <c r="J21" s="368">
        <f>IF('Utility summery'!H25&lt;0,"0",'Utility summery'!H25)</f>
        <v>0</v>
      </c>
      <c r="K21" s="369">
        <f>IF('UTILITY REPORT 1'!H22&lt;0,"0",'UTILITY REPORT 1'!H22)</f>
        <v>45</v>
      </c>
      <c r="L21" s="368">
        <f>'Water-Meter'!K25</f>
        <v>2</v>
      </c>
      <c r="M21" s="369">
        <f>'Water-Meter'!H25</f>
        <v>0</v>
      </c>
      <c r="N21" s="369">
        <f>'Water-Meter'!Q25</f>
        <v>7</v>
      </c>
      <c r="O21" s="368" t="e">
        <f>K21*E21+H21*I21+#REF!*#REF!+J21*L21</f>
        <v>#REF!</v>
      </c>
      <c r="P21" s="374">
        <f>'Water-Meter'!E25</f>
        <v>88</v>
      </c>
      <c r="Q21" s="209">
        <f>IF('Water-Meter'!U25&lt;0,"0",'Water-Meter'!U25)</f>
        <v>80</v>
      </c>
      <c r="R21" s="209">
        <f>IF('Water-Meter'!X25&lt;0,"0",'Water-Meter'!X25)</f>
        <v>0</v>
      </c>
      <c r="S21" s="209">
        <f>IF('Water-Meter'!AA25&lt;0,"0",'Water-Meter'!AA25)</f>
        <v>39</v>
      </c>
      <c r="T21" s="209">
        <f>IF('Water-Meter'!AD25&lt;0,"0",'Water-Meter'!AD25)</f>
        <v>14</v>
      </c>
      <c r="U21" s="209">
        <f>IF('Water-Meter'!AG25&lt;0,"0",'Water-Meter'!AG25)</f>
        <v>0</v>
      </c>
      <c r="V21" s="209">
        <f>IF('Water-Meter'!AJ25&lt;0,"0",'Water-Meter'!AJ25)</f>
        <v>0</v>
      </c>
      <c r="W21" s="21">
        <f>'Water-Meter'!AN25</f>
        <v>133</v>
      </c>
      <c r="X21" s="384">
        <f>Total!K21</f>
        <v>29</v>
      </c>
    </row>
    <row r="22" spans="1:24" x14ac:dyDescent="0.2">
      <c r="A22" s="370" t="s">
        <v>12</v>
      </c>
      <c r="B22" s="367">
        <f t="shared" si="0"/>
        <v>21</v>
      </c>
      <c r="C22" s="372">
        <v>1</v>
      </c>
      <c r="D22" s="373">
        <v>2022</v>
      </c>
      <c r="E22" s="368">
        <f>'UTILITY REPORT 1'!I23</f>
        <v>15</v>
      </c>
      <c r="F22" s="368">
        <f>'UTILITY REPORT 1'!E23</f>
        <v>1280.31</v>
      </c>
      <c r="G22" s="369">
        <f>'UTILITY REPORT 1'!F23</f>
        <v>3113</v>
      </c>
      <c r="H22" s="368">
        <f>IF('Kit report'!F24&lt;0,"0",'Kit report'!F24)</f>
        <v>228.00000000017462</v>
      </c>
      <c r="I22" s="368">
        <f>IF('Kit report'!X24&lt;0,"0",'Kit report'!X24)</f>
        <v>520.00000000007276</v>
      </c>
      <c r="J22" s="368">
        <f>IF('Utility summery'!H26&lt;0,"0",'Utility summery'!H26)</f>
        <v>30</v>
      </c>
      <c r="K22" s="369">
        <f>IF('UTILITY REPORT 1'!H23&lt;0,"0",'UTILITY REPORT 1'!H23)</f>
        <v>139</v>
      </c>
      <c r="L22" s="368">
        <f>'Water-Meter'!K26</f>
        <v>2</v>
      </c>
      <c r="M22" s="369">
        <f>'Water-Meter'!H26</f>
        <v>0</v>
      </c>
      <c r="N22" s="369">
        <f>'Water-Meter'!Q26</f>
        <v>8</v>
      </c>
      <c r="O22" s="368" t="e">
        <f>K22*E22+H22*I22+#REF!*#REF!+J22*L22</f>
        <v>#REF!</v>
      </c>
      <c r="P22" s="374">
        <f>'Water-Meter'!E26</f>
        <v>81</v>
      </c>
      <c r="Q22" s="209">
        <f>IF('Water-Meter'!U26&lt;0,"0",'Water-Meter'!U26)</f>
        <v>78</v>
      </c>
      <c r="R22" s="209">
        <f>IF('Water-Meter'!X26&lt;0,"0",'Water-Meter'!X26)</f>
        <v>0</v>
      </c>
      <c r="S22" s="209">
        <f>IF('Water-Meter'!AA26&lt;0,"0",'Water-Meter'!AA26)</f>
        <v>39</v>
      </c>
      <c r="T22" s="209">
        <f>IF('Water-Meter'!AD26&lt;0,"0",'Water-Meter'!AD26)</f>
        <v>13</v>
      </c>
      <c r="U22" s="209">
        <f>IF('Water-Meter'!AG26&lt;0,"0",'Water-Meter'!AG26)</f>
        <v>0</v>
      </c>
      <c r="V22" s="209">
        <f>IF('Water-Meter'!AJ26&lt;0,"0",'Water-Meter'!AJ26)</f>
        <v>8</v>
      </c>
      <c r="W22" s="21">
        <f>'Water-Meter'!AN26</f>
        <v>138</v>
      </c>
      <c r="X22" s="384">
        <f>Total!K22</f>
        <v>13</v>
      </c>
    </row>
    <row r="23" spans="1:24" x14ac:dyDescent="0.2">
      <c r="A23" s="370" t="s">
        <v>12</v>
      </c>
      <c r="B23" s="367">
        <f t="shared" si="0"/>
        <v>22</v>
      </c>
      <c r="C23" s="372">
        <v>1</v>
      </c>
      <c r="D23" s="373">
        <v>2022</v>
      </c>
      <c r="E23" s="368">
        <f>'UTILITY REPORT 1'!I24</f>
        <v>264.82</v>
      </c>
      <c r="F23" s="368">
        <f>'UTILITY REPORT 1'!E24</f>
        <v>1286.26</v>
      </c>
      <c r="G23" s="369">
        <f>'UTILITY REPORT 1'!F24</f>
        <v>3124</v>
      </c>
      <c r="H23" s="368">
        <f>IF('Kit report'!F25&lt;0,"0",'Kit report'!F25)</f>
        <v>1183860</v>
      </c>
      <c r="I23" s="368">
        <f>IF('Kit report'!X25&lt;0,"0",'Kit report'!X25)</f>
        <v>459.99999999985448</v>
      </c>
      <c r="J23" s="368">
        <f>IF('Utility summery'!H27&lt;0,"0",'Utility summery'!H27)</f>
        <v>43</v>
      </c>
      <c r="K23" s="369">
        <f>IF('UTILITY REPORT 1'!H24&lt;0,"0",'UTILITY REPORT 1'!H24)</f>
        <v>100</v>
      </c>
      <c r="L23" s="368">
        <f>'Water-Meter'!K27</f>
        <v>2</v>
      </c>
      <c r="M23" s="369">
        <f>'Water-Meter'!H27</f>
        <v>0</v>
      </c>
      <c r="N23" s="369">
        <f>'Water-Meter'!Q27</f>
        <v>4</v>
      </c>
      <c r="O23" s="368" t="e">
        <f>K23*E23+H23*I23+#REF!*#REF!+J23*L23</f>
        <v>#REF!</v>
      </c>
      <c r="P23" s="374">
        <f>'Water-Meter'!E27</f>
        <v>71</v>
      </c>
      <c r="Q23" s="209">
        <f>IF('Water-Meter'!U27&lt;0,"0",'Water-Meter'!U27)</f>
        <v>80</v>
      </c>
      <c r="R23" s="209">
        <f>IF('Water-Meter'!X27&lt;0,"0",'Water-Meter'!X27)</f>
        <v>0</v>
      </c>
      <c r="S23" s="209">
        <f>IF('Water-Meter'!AA27&lt;0,"0",'Water-Meter'!AA27)</f>
        <v>37</v>
      </c>
      <c r="T23" s="209">
        <f>IF('Water-Meter'!AD27&lt;0,"0",'Water-Meter'!AD27)</f>
        <v>14</v>
      </c>
      <c r="U23" s="209">
        <f>IF('Water-Meter'!AG27&lt;0,"0",'Water-Meter'!AG27)</f>
        <v>0</v>
      </c>
      <c r="V23" s="209">
        <f>IF('Water-Meter'!AJ27&lt;0,"0",'Water-Meter'!AJ27)</f>
        <v>0</v>
      </c>
      <c r="W23" s="21">
        <f>'Water-Meter'!AN27</f>
        <v>131</v>
      </c>
      <c r="X23" s="384">
        <f>Total!K23</f>
        <v>11</v>
      </c>
    </row>
    <row r="24" spans="1:24" x14ac:dyDescent="0.2">
      <c r="A24" s="370" t="s">
        <v>12</v>
      </c>
      <c r="B24" s="367">
        <f t="shared" si="0"/>
        <v>23</v>
      </c>
      <c r="C24" s="372">
        <v>1</v>
      </c>
      <c r="D24" s="373">
        <v>2022</v>
      </c>
      <c r="E24" s="368">
        <f>'UTILITY REPORT 1'!I25</f>
        <v>253.24</v>
      </c>
      <c r="F24" s="368">
        <f>'UTILITY REPORT 1'!E25</f>
        <v>1199.2800000000002</v>
      </c>
      <c r="G24" s="369">
        <f>'UTILITY REPORT 1'!F25</f>
        <v>2797</v>
      </c>
      <c r="H24" s="368">
        <f>IF('Kit report'!F26&lt;0,"0",'Kit report'!F26)</f>
        <v>204.00000000008731</v>
      </c>
      <c r="I24" s="368">
        <f>IF('Kit report'!X26&lt;0,"0",'Kit report'!X26)</f>
        <v>400</v>
      </c>
      <c r="J24" s="368">
        <f>IF('Utility summery'!H28&lt;0,"0",'Utility summery'!H28)</f>
        <v>93</v>
      </c>
      <c r="K24" s="369">
        <f>IF('UTILITY REPORT 1'!H25&lt;0,"0",'UTILITY REPORT 1'!H25)</f>
        <v>74</v>
      </c>
      <c r="L24" s="368">
        <f>'Water-Meter'!K28</f>
        <v>2</v>
      </c>
      <c r="M24" s="369">
        <f>'Water-Meter'!H28</f>
        <v>0</v>
      </c>
      <c r="N24" s="369">
        <f>'Water-Meter'!Q28</f>
        <v>3</v>
      </c>
      <c r="O24" s="368" t="e">
        <f>K24*E24+H24*I24+#REF!*#REF!+J24*L24</f>
        <v>#REF!</v>
      </c>
      <c r="P24" s="374">
        <f>'Water-Meter'!E28</f>
        <v>62</v>
      </c>
      <c r="Q24" s="209">
        <f>IF('Water-Meter'!U28&lt;0,"0",'Water-Meter'!U28)</f>
        <v>34</v>
      </c>
      <c r="R24" s="209">
        <f>IF('Water-Meter'!X28&lt;0,"0",'Water-Meter'!X28)</f>
        <v>0</v>
      </c>
      <c r="S24" s="209">
        <f>IF('Water-Meter'!AA28&lt;0,"0",'Water-Meter'!AA28)</f>
        <v>39</v>
      </c>
      <c r="T24" s="209">
        <f>IF('Water-Meter'!AD28&lt;0,"0",'Water-Meter'!AD28)</f>
        <v>18</v>
      </c>
      <c r="U24" s="209">
        <f>IF('Water-Meter'!AG28&lt;0,"0",'Water-Meter'!AG28)</f>
        <v>0</v>
      </c>
      <c r="V24" s="209">
        <f>IF('Water-Meter'!AJ28&lt;0,"0",'Water-Meter'!AJ28)</f>
        <v>0</v>
      </c>
      <c r="W24" s="21">
        <f>'Water-Meter'!AN28</f>
        <v>91</v>
      </c>
      <c r="X24" s="384">
        <f>Total!K24</f>
        <v>5</v>
      </c>
    </row>
    <row r="25" spans="1:24" x14ac:dyDescent="0.2">
      <c r="A25" s="370" t="s">
        <v>12</v>
      </c>
      <c r="B25" s="367">
        <f t="shared" si="0"/>
        <v>24</v>
      </c>
      <c r="C25" s="372">
        <v>1</v>
      </c>
      <c r="D25" s="373">
        <v>2022</v>
      </c>
      <c r="E25" s="368">
        <f>'UTILITY REPORT 1'!I26</f>
        <v>237.04000000000002</v>
      </c>
      <c r="F25" s="368">
        <f>'UTILITY REPORT 1'!E26</f>
        <v>1340.81</v>
      </c>
      <c r="G25" s="369">
        <f>'UTILITY REPORT 1'!F26</f>
        <v>3295</v>
      </c>
      <c r="H25" s="368">
        <f>IF('Kit report'!F27&lt;0,"0",'Kit report'!F27)</f>
        <v>240</v>
      </c>
      <c r="I25" s="368">
        <f>IF('Kit report'!X27&lt;0,"0",'Kit report'!X27)</f>
        <v>480.00000000029104</v>
      </c>
      <c r="J25" s="368">
        <f>IF('Utility summery'!H29&lt;0,"0",'Utility summery'!H29)</f>
        <v>61</v>
      </c>
      <c r="K25" s="369">
        <f>IF('UTILITY REPORT 1'!H26&lt;0,"0",'UTILITY REPORT 1'!H26)</f>
        <v>17</v>
      </c>
      <c r="L25" s="368">
        <f>'Water-Meter'!K29</f>
        <v>3</v>
      </c>
      <c r="M25" s="369">
        <f>'Water-Meter'!H29</f>
        <v>0</v>
      </c>
      <c r="N25" s="369">
        <f>'Water-Meter'!Q29</f>
        <v>9</v>
      </c>
      <c r="O25" s="368" t="e">
        <f>K25*E25+H25*I25+#REF!*#REF!+J25*L25</f>
        <v>#REF!</v>
      </c>
      <c r="P25" s="374">
        <f>'Water-Meter'!E29</f>
        <v>75</v>
      </c>
      <c r="Q25" s="209">
        <f>IF('Water-Meter'!U29&lt;0,"0",'Water-Meter'!U29)</f>
        <v>0</v>
      </c>
      <c r="R25" s="209">
        <f>IF('Water-Meter'!X29&lt;0,"0",'Water-Meter'!X29)</f>
        <v>0</v>
      </c>
      <c r="S25" s="209">
        <f>IF('Water-Meter'!AA29&lt;0,"0",'Water-Meter'!AA29)</f>
        <v>39</v>
      </c>
      <c r="T25" s="209">
        <f>IF('Water-Meter'!AD29&lt;0,"0",'Water-Meter'!AD29)</f>
        <v>16</v>
      </c>
      <c r="U25" s="209">
        <f>IF('Water-Meter'!AG29&lt;0,"0",'Water-Meter'!AG29)</f>
        <v>0</v>
      </c>
      <c r="V25" s="209">
        <f>IF('Water-Meter'!AJ29&lt;0,"0",'Water-Meter'!AJ29)</f>
        <v>0</v>
      </c>
      <c r="W25" s="21">
        <f>'Water-Meter'!AN29</f>
        <v>55</v>
      </c>
      <c r="X25" s="384">
        <f>Total!K25</f>
        <v>15</v>
      </c>
    </row>
    <row r="26" spans="1:24" x14ac:dyDescent="0.2">
      <c r="A26" s="370" t="s">
        <v>12</v>
      </c>
      <c r="B26" s="367">
        <f>B25+1</f>
        <v>25</v>
      </c>
      <c r="C26" s="372">
        <v>1</v>
      </c>
      <c r="D26" s="373">
        <v>2022</v>
      </c>
      <c r="E26" s="368">
        <f>'UTILITY REPORT 1'!I27</f>
        <v>118.03</v>
      </c>
      <c r="F26" s="368">
        <f>'UTILITY REPORT 1'!E27</f>
        <v>1255.47</v>
      </c>
      <c r="G26" s="369">
        <f>'UTILITY REPORT 1'!F27</f>
        <v>3205</v>
      </c>
      <c r="H26" s="368">
        <f>IF('Kit report'!F28&lt;0,"0",'Kit report'!F28)</f>
        <v>263.99999999986903</v>
      </c>
      <c r="I26" s="368">
        <f>IF('Kit report'!X28&lt;0,"0",'Kit report'!X28)</f>
        <v>7000</v>
      </c>
      <c r="J26" s="368">
        <f>IF('Utility summery'!H30&lt;0,"0",'Utility summery'!H30)</f>
        <v>65</v>
      </c>
      <c r="K26" s="369">
        <f>IF('UTILITY REPORT 1'!H27&lt;0,"0",'UTILITY REPORT 1'!H27)</f>
        <v>133</v>
      </c>
      <c r="L26" s="368">
        <f>'Water-Meter'!K30</f>
        <v>2</v>
      </c>
      <c r="M26" s="369">
        <f>'Water-Meter'!H30</f>
        <v>0</v>
      </c>
      <c r="N26" s="369">
        <f>'Water-Meter'!Q30</f>
        <v>7</v>
      </c>
      <c r="O26" s="368" t="e">
        <f>K26*E26+H26*I26+#REF!*#REF!+J26*L26</f>
        <v>#REF!</v>
      </c>
      <c r="P26" s="374">
        <f>'Water-Meter'!E30</f>
        <v>160</v>
      </c>
      <c r="Q26" s="209">
        <f>IF('Water-Meter'!U30&lt;0,"0",'Water-Meter'!U30)</f>
        <v>0</v>
      </c>
      <c r="R26" s="209">
        <f>IF('Water-Meter'!X30&lt;0,"0",'Water-Meter'!X30)</f>
        <v>0</v>
      </c>
      <c r="S26" s="209">
        <f>IF('Water-Meter'!AA30&lt;0,"0",'Water-Meter'!AA30)</f>
        <v>36</v>
      </c>
      <c r="T26" s="209">
        <f>IF('Water-Meter'!AD30&lt;0,"0",'Water-Meter'!AD30)</f>
        <v>17</v>
      </c>
      <c r="U26" s="209">
        <f>IF('Water-Meter'!AG30&lt;0,"0",'Water-Meter'!AG30)</f>
        <v>0</v>
      </c>
      <c r="V26" s="209">
        <f>IF('Water-Meter'!AJ30&lt;0,"0",'Water-Meter'!AJ30)</f>
        <v>0</v>
      </c>
      <c r="W26" s="21">
        <f>'Water-Meter'!AN30</f>
        <v>53</v>
      </c>
      <c r="X26" s="384">
        <f>Total!K26</f>
        <v>23</v>
      </c>
    </row>
    <row r="27" spans="1:24" x14ac:dyDescent="0.2">
      <c r="A27" s="370" t="s">
        <v>12</v>
      </c>
      <c r="B27" s="367">
        <f t="shared" si="0"/>
        <v>26</v>
      </c>
      <c r="C27" s="372">
        <v>1</v>
      </c>
      <c r="D27" s="373">
        <v>2022</v>
      </c>
      <c r="E27" s="368">
        <f>'UTILITY REPORT 1'!I28</f>
        <v>73.37</v>
      </c>
      <c r="F27" s="368">
        <f>'UTILITY REPORT 1'!E28</f>
        <v>1351.98</v>
      </c>
      <c r="G27" s="369">
        <f>'UTILITY REPORT 1'!F28</f>
        <v>3575</v>
      </c>
      <c r="H27" s="368">
        <f>IF('Kit report'!F29&lt;0,"0",'Kit report'!F29)</f>
        <v>264.00000000008731</v>
      </c>
      <c r="I27" s="368">
        <f>IF('Kit report'!X29&lt;0,"0",'Kit report'!X29)</f>
        <v>479.99999999992724</v>
      </c>
      <c r="J27" s="368">
        <f>IF('Utility summery'!H31&lt;0,"0",'Utility summery'!H31)</f>
        <v>67</v>
      </c>
      <c r="K27" s="369">
        <f>IF('UTILITY REPORT 1'!H28&lt;0,"0",'UTILITY REPORT 1'!H28)</f>
        <v>12</v>
      </c>
      <c r="L27" s="368">
        <f>'Water-Meter'!K31</f>
        <v>2</v>
      </c>
      <c r="M27" s="369">
        <f>'Water-Meter'!H31</f>
        <v>0</v>
      </c>
      <c r="N27" s="369">
        <f>'Water-Meter'!Q31</f>
        <v>5</v>
      </c>
      <c r="O27" s="368" t="e">
        <f>K27*E27+H27*I27+#REF!*#REF!+J27*L27</f>
        <v>#REF!</v>
      </c>
      <c r="P27" s="374">
        <f>'Water-Meter'!E31</f>
        <v>66</v>
      </c>
      <c r="Q27" s="209">
        <f>IF('Water-Meter'!U31&lt;0,"0",'Water-Meter'!U31)</f>
        <v>71</v>
      </c>
      <c r="R27" s="209">
        <f>IF('Water-Meter'!X31&lt;0,"0",'Water-Meter'!X31)</f>
        <v>0</v>
      </c>
      <c r="S27" s="209">
        <f>IF('Water-Meter'!AA31&lt;0,"0",'Water-Meter'!AA31)</f>
        <v>36</v>
      </c>
      <c r="T27" s="209">
        <f>IF('Water-Meter'!AD31&lt;0,"0",'Water-Meter'!AD31)</f>
        <v>16</v>
      </c>
      <c r="U27" s="209">
        <f>IF('Water-Meter'!AG31&lt;0,"0",'Water-Meter'!AG31)</f>
        <v>0</v>
      </c>
      <c r="V27" s="209">
        <f>IF('Water-Meter'!AJ31&lt;0,"0",'Water-Meter'!AJ31)</f>
        <v>0</v>
      </c>
      <c r="W27" s="21">
        <f>'Water-Meter'!AN31</f>
        <v>123</v>
      </c>
      <c r="X27" s="384">
        <f>Total!K27</f>
        <v>24</v>
      </c>
    </row>
    <row r="28" spans="1:24" x14ac:dyDescent="0.2">
      <c r="A28" s="370" t="s">
        <v>12</v>
      </c>
      <c r="B28" s="367">
        <f t="shared" si="0"/>
        <v>27</v>
      </c>
      <c r="C28" s="372">
        <v>1</v>
      </c>
      <c r="D28" s="373">
        <v>2022</v>
      </c>
      <c r="E28" s="368">
        <f>'UTILITY REPORT 1'!I29</f>
        <v>353.88</v>
      </c>
      <c r="F28" s="368">
        <f>'UTILITY REPORT 1'!E29</f>
        <v>1411.45</v>
      </c>
      <c r="G28" s="369">
        <f>'UTILITY REPORT 1'!F29</f>
        <v>3610</v>
      </c>
      <c r="H28" s="368">
        <f>IF('Kit report'!F30&lt;0,"0",'Kit report'!F30)</f>
        <v>227.99999999995634</v>
      </c>
      <c r="I28" s="368">
        <f>IF('Kit report'!X30&lt;0,"0",'Kit report'!X30)</f>
        <v>520.00000000007276</v>
      </c>
      <c r="J28" s="368">
        <f>IF('Utility summery'!H32&lt;0,"0",'Utility summery'!H32)</f>
        <v>76</v>
      </c>
      <c r="K28" s="369">
        <f>IF('UTILITY REPORT 1'!H29&lt;0,"0",'UTILITY REPORT 1'!H29)</f>
        <v>184</v>
      </c>
      <c r="L28" s="368">
        <f>'Water-Meter'!K32</f>
        <v>2</v>
      </c>
      <c r="M28" s="369">
        <f>'Water-Meter'!H32</f>
        <v>0</v>
      </c>
      <c r="N28" s="369">
        <f>'Water-Meter'!Q32</f>
        <v>6</v>
      </c>
      <c r="O28" s="368" t="e">
        <f>K28*E28+H28*I28+#REF!*#REF!+J28*L28</f>
        <v>#REF!</v>
      </c>
      <c r="P28" s="374">
        <f>'Water-Meter'!E32</f>
        <v>75</v>
      </c>
      <c r="Q28" s="209">
        <f>IF('Water-Meter'!U32&lt;0,"0",'Water-Meter'!U32)</f>
        <v>69</v>
      </c>
      <c r="R28" s="209">
        <f>IF('Water-Meter'!X32&lt;0,"0",'Water-Meter'!X32)</f>
        <v>0</v>
      </c>
      <c r="S28" s="209">
        <f>IF('Water-Meter'!AA32&lt;0,"0",'Water-Meter'!AA32)</f>
        <v>42</v>
      </c>
      <c r="T28" s="209">
        <f>IF('Water-Meter'!AD32&lt;0,"0",'Water-Meter'!AD32)</f>
        <v>17</v>
      </c>
      <c r="U28" s="209">
        <f>IF('Water-Meter'!AG32&lt;0,"0",'Water-Meter'!AG32)</f>
        <v>0</v>
      </c>
      <c r="V28" s="209">
        <f>IF('Water-Meter'!AJ32&lt;0,"0",'Water-Meter'!AJ32)</f>
        <v>49</v>
      </c>
      <c r="W28" s="21">
        <f>'Water-Meter'!AN32</f>
        <v>177</v>
      </c>
      <c r="X28" s="384">
        <f>Total!K28</f>
        <v>22</v>
      </c>
    </row>
    <row r="29" spans="1:24" x14ac:dyDescent="0.2">
      <c r="A29" s="370" t="s">
        <v>12</v>
      </c>
      <c r="B29" s="367">
        <f t="shared" si="0"/>
        <v>28</v>
      </c>
      <c r="C29" s="372">
        <v>1</v>
      </c>
      <c r="D29" s="373">
        <v>2022</v>
      </c>
      <c r="E29" s="368">
        <f>'UTILITY REPORT 1'!I30</f>
        <v>0</v>
      </c>
      <c r="F29" s="368">
        <f>'UTILITY REPORT 1'!E30</f>
        <v>1429.2</v>
      </c>
      <c r="G29" s="369">
        <f>'UTILITY REPORT 1'!F30</f>
        <v>3593</v>
      </c>
      <c r="H29" s="368">
        <f>IF('Kit report'!F31&lt;0,"0",'Kit report'!F31)</f>
        <v>264.00000000008731</v>
      </c>
      <c r="I29" s="368">
        <f>IF('Kit report'!X31&lt;0,"0",'Kit report'!X31)</f>
        <v>479.99999999992724</v>
      </c>
      <c r="J29" s="368">
        <f>IF('Utility summery'!H33&lt;0,"0",'Utility summery'!H33)</f>
        <v>61</v>
      </c>
      <c r="K29" s="369">
        <f>IF('UTILITY REPORT 1'!H30&lt;0,"0",'UTILITY REPORT 1'!H30)</f>
        <v>66</v>
      </c>
      <c r="L29" s="368">
        <f>'Water-Meter'!K33</f>
        <v>2</v>
      </c>
      <c r="M29" s="369">
        <f>'Water-Meter'!H33</f>
        <v>0</v>
      </c>
      <c r="N29" s="369">
        <f>'Water-Meter'!Q33</f>
        <v>5</v>
      </c>
      <c r="O29" s="368" t="e">
        <f>K29*E29+H29*I29+#REF!*#REF!+J29*L29</f>
        <v>#REF!</v>
      </c>
      <c r="P29" s="374">
        <f>'Water-Meter'!E33</f>
        <v>64</v>
      </c>
      <c r="Q29" s="209">
        <f>IF('Water-Meter'!U33&lt;0,"0",'Water-Meter'!U33)</f>
        <v>69</v>
      </c>
      <c r="R29" s="209">
        <f>IF('Water-Meter'!X33&lt;0,"0",'Water-Meter'!X33)</f>
        <v>0</v>
      </c>
      <c r="S29" s="209">
        <f>IF('Water-Meter'!AA33&lt;0,"0",'Water-Meter'!AA33)</f>
        <v>37</v>
      </c>
      <c r="T29" s="209">
        <f>IF('Water-Meter'!AD33&lt;0,"0",'Water-Meter'!AD33)</f>
        <v>15</v>
      </c>
      <c r="U29" s="209">
        <f>IF('Water-Meter'!AG33&lt;0,"0",'Water-Meter'!AG33)</f>
        <v>0</v>
      </c>
      <c r="V29" s="209">
        <f>IF('Water-Meter'!AJ33&lt;0,"0",'Water-Meter'!AJ33)</f>
        <v>38</v>
      </c>
      <c r="W29" s="21">
        <f>'Water-Meter'!AN33</f>
        <v>159</v>
      </c>
      <c r="X29" s="384">
        <f>Total!K29</f>
        <v>18</v>
      </c>
    </row>
    <row r="30" spans="1:24" x14ac:dyDescent="0.2">
      <c r="A30" s="370" t="s">
        <v>12</v>
      </c>
      <c r="B30" s="367">
        <f t="shared" si="0"/>
        <v>29</v>
      </c>
      <c r="C30" s="372">
        <v>1</v>
      </c>
      <c r="D30" s="373">
        <v>2022</v>
      </c>
      <c r="E30" s="368">
        <f>'UTILITY REPORT 1'!I31</f>
        <v>48.59</v>
      </c>
      <c r="F30" s="368">
        <f>'UTILITY REPORT 1'!E31</f>
        <v>1414.19</v>
      </c>
      <c r="G30" s="369">
        <f>'UTILITY REPORT 1'!F31</f>
        <v>3589</v>
      </c>
      <c r="H30" s="368">
        <f>IF('Kit report'!F32&lt;0,"0",'Kit report'!F32)</f>
        <v>263.99999999986903</v>
      </c>
      <c r="I30" s="368">
        <f>IF('Kit report'!X32&lt;0,"0",'Kit report'!X32)</f>
        <v>560.00000000021828</v>
      </c>
      <c r="J30" s="368">
        <f>IF('Utility summery'!H34&lt;0,"0",'Utility summery'!H34)</f>
        <v>67</v>
      </c>
      <c r="K30" s="369">
        <f>IF('UTILITY REPORT 1'!H31&lt;0,"0",'UTILITY REPORT 1'!H31)</f>
        <v>135</v>
      </c>
      <c r="L30" s="368">
        <f>'Water-Meter'!K34</f>
        <v>6</v>
      </c>
      <c r="M30" s="369">
        <f>'Water-Meter'!H34</f>
        <v>0</v>
      </c>
      <c r="N30" s="369">
        <f>'Water-Meter'!Q34</f>
        <v>6</v>
      </c>
      <c r="O30" s="368" t="e">
        <f>K30*E30+H30*I30+#REF!*#REF!+J30*L30</f>
        <v>#REF!</v>
      </c>
      <c r="P30" s="374">
        <f>'Water-Meter'!E34</f>
        <v>80</v>
      </c>
      <c r="Q30" s="209">
        <f>IF('Water-Meter'!U34&lt;0,"0",'Water-Meter'!U34)</f>
        <v>68</v>
      </c>
      <c r="R30" s="209">
        <f>IF('Water-Meter'!X34&lt;0,"0",'Water-Meter'!X34)</f>
        <v>0</v>
      </c>
      <c r="S30" s="209">
        <f>IF('Water-Meter'!AA34&lt;0,"0",'Water-Meter'!AA34)</f>
        <v>36</v>
      </c>
      <c r="T30" s="209">
        <f>IF('Water-Meter'!AD34&lt;0,"0",'Water-Meter'!AD34)</f>
        <v>15</v>
      </c>
      <c r="U30" s="209">
        <f>IF('Water-Meter'!AG34&lt;0,"0",'Water-Meter'!AG34)</f>
        <v>0</v>
      </c>
      <c r="V30" s="209">
        <f>IF('Water-Meter'!AJ34&lt;0,"0",'Water-Meter'!AJ34)</f>
        <v>36</v>
      </c>
      <c r="W30" s="21">
        <f>'Water-Meter'!AN34</f>
        <v>155</v>
      </c>
      <c r="X30" s="384">
        <f>Total!K30</f>
        <v>20</v>
      </c>
    </row>
    <row r="31" spans="1:24" x14ac:dyDescent="0.2">
      <c r="A31" s="370" t="s">
        <v>12</v>
      </c>
      <c r="B31" s="367">
        <v>30</v>
      </c>
      <c r="C31" s="372">
        <v>1</v>
      </c>
      <c r="D31" s="373">
        <v>2022</v>
      </c>
      <c r="E31" s="368">
        <f>'UTILITY REPORT 1'!I32</f>
        <v>96</v>
      </c>
      <c r="F31" s="368">
        <f>'UTILITY REPORT 1'!E32</f>
        <v>1346.8700000000001</v>
      </c>
      <c r="G31" s="369">
        <f>'UTILITY REPORT 1'!F32</f>
        <v>3575</v>
      </c>
      <c r="H31" s="368">
        <f>IF('Kit report'!F33&lt;0,"0",'Kit report'!F33)</f>
        <v>216.00000000013097</v>
      </c>
      <c r="I31" s="368">
        <f>IF('Kit report'!X33&lt;0,"0",'Kit report'!X33)</f>
        <v>400</v>
      </c>
      <c r="J31" s="368">
        <f>IF('Utility summery'!H35&lt;0,"0",'Utility summery'!H35)</f>
        <v>68</v>
      </c>
      <c r="K31" s="369">
        <f>IF('UTILITY REPORT 1'!H32&lt;0,"0",'UTILITY REPORT 1'!H32)</f>
        <v>11</v>
      </c>
      <c r="L31" s="368">
        <f>'Water-Meter'!K35</f>
        <v>3</v>
      </c>
      <c r="M31" s="369">
        <f>'Water-Meter'!H35</f>
        <v>0</v>
      </c>
      <c r="N31" s="369">
        <f>'Water-Meter'!Q35</f>
        <v>8</v>
      </c>
      <c r="O31" s="368" t="e">
        <f>K31*E31+H31*I31+#REF!*#REF!+J31*L31</f>
        <v>#REF!</v>
      </c>
      <c r="P31" s="374">
        <f>'Water-Meter'!E35</f>
        <v>110</v>
      </c>
      <c r="Q31" s="209">
        <f>IF('Water-Meter'!U35&lt;0,"0",'Water-Meter'!U35)</f>
        <v>67</v>
      </c>
      <c r="R31" s="209">
        <f>IF('Water-Meter'!X35&lt;0,"0",'Water-Meter'!X35)</f>
        <v>0</v>
      </c>
      <c r="S31" s="209">
        <f>IF('Water-Meter'!AA35&lt;0,"0",'Water-Meter'!AA35)</f>
        <v>36</v>
      </c>
      <c r="T31" s="209">
        <f>IF('Water-Meter'!AD35&lt;0,"0",'Water-Meter'!AD35)</f>
        <v>14</v>
      </c>
      <c r="U31" s="209">
        <f>IF('Water-Meter'!AG35&lt;0,"0",'Water-Meter'!AG35)</f>
        <v>0</v>
      </c>
      <c r="V31" s="209">
        <f>IF('Water-Meter'!AJ35&lt;0,"0",'Water-Meter'!AJ35)</f>
        <v>36</v>
      </c>
      <c r="W31" s="21">
        <f>'Water-Meter'!AN35</f>
        <v>153</v>
      </c>
      <c r="X31" s="384">
        <f>Total!K31</f>
        <v>18</v>
      </c>
    </row>
    <row r="32" spans="1:24" x14ac:dyDescent="0.2">
      <c r="A32" s="370" t="s">
        <v>12</v>
      </c>
      <c r="B32" s="367">
        <v>31</v>
      </c>
      <c r="C32" s="372">
        <v>1</v>
      </c>
      <c r="D32" s="373">
        <v>2022</v>
      </c>
      <c r="E32" s="368">
        <f>'UTILITY REPORT 1'!I33</f>
        <v>511.7</v>
      </c>
      <c r="F32" s="368">
        <f>'UTILITY REPORT 1'!E33</f>
        <v>1283.56</v>
      </c>
      <c r="G32" s="369">
        <f>'UTILITY REPORT 1'!F33</f>
        <v>3272</v>
      </c>
      <c r="H32" s="368">
        <f>IF('Kit report'!F34&lt;0,"0",'Kit report'!F34)</f>
        <v>180</v>
      </c>
      <c r="I32" s="368">
        <f>IF('Kit report'!X34&lt;0,"0",'Kit report'!X34)</f>
        <v>459.99999999985448</v>
      </c>
      <c r="J32" s="368">
        <f>IF('Utility summery'!H36&lt;0,"0",'Utility summery'!H36)</f>
        <v>66</v>
      </c>
      <c r="K32" s="369">
        <f>IF('UTILITY REPORT 1'!H33&lt;0,"0",'UTILITY REPORT 1'!H33)</f>
        <v>135</v>
      </c>
      <c r="L32" s="368">
        <f>'Water-Meter'!K36</f>
        <v>3</v>
      </c>
      <c r="M32" s="369">
        <f>'Water-Meter'!H36</f>
        <v>0</v>
      </c>
      <c r="N32" s="369">
        <f>'Water-Meter'!Q36</f>
        <v>9</v>
      </c>
      <c r="O32" s="209"/>
      <c r="P32" s="374">
        <f>'Water-Meter'!E36</f>
        <v>104</v>
      </c>
      <c r="Q32" s="209">
        <f>IF('Water-Meter'!U36&lt;0,"0",'Water-Meter'!U36)</f>
        <v>63</v>
      </c>
      <c r="R32" s="209">
        <f>IF('Water-Meter'!X36&lt;0,"0",'Water-Meter'!X36)</f>
        <v>0</v>
      </c>
      <c r="S32" s="209">
        <f>IF('Water-Meter'!AA36&lt;0,"0",'Water-Meter'!AA36)</f>
        <v>36</v>
      </c>
      <c r="T32" s="209">
        <f>IF('Water-Meter'!AD36&lt;0,"0",'Water-Meter'!AD36)</f>
        <v>15</v>
      </c>
      <c r="U32" s="209">
        <f>IF('Water-Meter'!AG36&lt;0,"0",'Water-Meter'!AG36)</f>
        <v>0</v>
      </c>
      <c r="V32" s="209">
        <f>IF('Water-Meter'!AJ36&lt;0,"0",'Water-Meter'!AJ36)</f>
        <v>37</v>
      </c>
      <c r="W32" s="21">
        <f>'Water-Meter'!AN36</f>
        <v>151</v>
      </c>
      <c r="X32" s="384">
        <f>Total!K32</f>
        <v>12</v>
      </c>
    </row>
    <row r="33" spans="5:12" x14ac:dyDescent="0.2">
      <c r="E33" s="337"/>
      <c r="F33" s="337"/>
      <c r="H33" s="337"/>
      <c r="I33" s="337"/>
      <c r="J33" s="337"/>
      <c r="L33" s="337"/>
    </row>
    <row r="34" spans="5:12" x14ac:dyDescent="0.2">
      <c r="E34" s="337"/>
      <c r="F34" s="337"/>
      <c r="H34" s="337"/>
      <c r="I34" s="337"/>
      <c r="J34" s="337"/>
      <c r="L34" s="337"/>
    </row>
    <row r="35" spans="5:12" x14ac:dyDescent="0.2">
      <c r="E35" s="337"/>
      <c r="F35" s="337"/>
      <c r="H35" s="337"/>
      <c r="I35" s="337"/>
      <c r="J35" s="337"/>
      <c r="L35" s="337"/>
    </row>
    <row r="36" spans="5:12" x14ac:dyDescent="0.2">
      <c r="E36" s="337"/>
      <c r="F36" s="337"/>
      <c r="H36" s="337"/>
      <c r="I36" s="337"/>
      <c r="J36" s="337"/>
      <c r="L36" s="337"/>
    </row>
    <row r="37" spans="5:12" x14ac:dyDescent="0.2">
      <c r="E37" s="337"/>
      <c r="F37" s="337"/>
      <c r="H37" s="337"/>
      <c r="I37" s="337"/>
      <c r="J37" s="337"/>
      <c r="L37" s="337"/>
    </row>
    <row r="38" spans="5:12" x14ac:dyDescent="0.2">
      <c r="E38" s="337"/>
      <c r="F38" s="337"/>
      <c r="H38" s="337"/>
      <c r="I38" s="337"/>
      <c r="J38" s="337"/>
      <c r="L38" s="33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F35"/>
  <sheetViews>
    <sheetView workbookViewId="0">
      <selection activeCell="E5" sqref="E5"/>
    </sheetView>
  </sheetViews>
  <sheetFormatPr defaultRowHeight="12.75" x14ac:dyDescent="0.2"/>
  <cols>
    <col min="1" max="1" width="9.7109375" bestFit="1" customWidth="1"/>
    <col min="2" max="2" width="10.28515625" style="11" bestFit="1" customWidth="1"/>
    <col min="3" max="6" width="15.7109375" customWidth="1"/>
  </cols>
  <sheetData>
    <row r="1" spans="1:6" s="14" customFormat="1" ht="20.25" customHeight="1" x14ac:dyDescent="0.2">
      <c r="A1" s="10" t="s">
        <v>31</v>
      </c>
      <c r="B1" s="13" t="s">
        <v>32</v>
      </c>
      <c r="C1" s="10" t="s">
        <v>33</v>
      </c>
      <c r="D1" s="10" t="s">
        <v>34</v>
      </c>
      <c r="E1" s="10" t="s">
        <v>35</v>
      </c>
    </row>
    <row r="2" spans="1:6" x14ac:dyDescent="0.2">
      <c r="A2" s="77">
        <f>Gen!B11</f>
        <v>44562</v>
      </c>
      <c r="B2" s="12">
        <f>'Summery Report'!F5</f>
        <v>4734</v>
      </c>
      <c r="C2" s="101">
        <f>'Summery Report'!C5</f>
        <v>0.41560000000000002</v>
      </c>
      <c r="D2" s="685">
        <v>34</v>
      </c>
      <c r="E2" s="685">
        <f>D2</f>
        <v>34</v>
      </c>
      <c r="F2" s="18"/>
    </row>
    <row r="3" spans="1:6" x14ac:dyDescent="0.2">
      <c r="A3" s="77">
        <f>Gen!B12</f>
        <v>44563</v>
      </c>
      <c r="B3" s="12">
        <f>'Summery Report'!F6</f>
        <v>4563</v>
      </c>
      <c r="C3" s="101">
        <f>'Summery Report'!C6</f>
        <v>0.53</v>
      </c>
      <c r="D3" s="685">
        <v>42</v>
      </c>
      <c r="E3" s="685">
        <f t="shared" ref="E3:E32" si="0">D3</f>
        <v>42</v>
      </c>
      <c r="F3" s="18"/>
    </row>
    <row r="4" spans="1:6" x14ac:dyDescent="0.2">
      <c r="A4" s="77">
        <f>Gen!B13</f>
        <v>44564</v>
      </c>
      <c r="B4" s="12">
        <f>'Summery Report'!F7</f>
        <v>4574</v>
      </c>
      <c r="C4" s="101">
        <f>'Summery Report'!C7</f>
        <v>0.36</v>
      </c>
      <c r="D4" s="685">
        <v>29</v>
      </c>
      <c r="E4" s="685">
        <f t="shared" si="0"/>
        <v>29</v>
      </c>
      <c r="F4" s="18"/>
    </row>
    <row r="5" spans="1:6" x14ac:dyDescent="0.2">
      <c r="A5" s="77">
        <f>Gen!B14</f>
        <v>44565</v>
      </c>
      <c r="B5" s="12">
        <f>'Summery Report'!F8</f>
        <v>4346</v>
      </c>
      <c r="C5" s="101">
        <f>'Summery Report'!C8</f>
        <v>0.35</v>
      </c>
      <c r="D5" s="685">
        <v>28</v>
      </c>
      <c r="E5" s="685">
        <f t="shared" si="0"/>
        <v>28</v>
      </c>
      <c r="F5" s="18"/>
    </row>
    <row r="6" spans="1:6" x14ac:dyDescent="0.2">
      <c r="A6" s="77">
        <f>Gen!B15</f>
        <v>44566</v>
      </c>
      <c r="B6" s="12">
        <f>'Summery Report'!F9</f>
        <v>3969</v>
      </c>
      <c r="C6" s="101">
        <f>'Summery Report'!C9</f>
        <v>0.26</v>
      </c>
      <c r="D6" s="685">
        <v>21</v>
      </c>
      <c r="E6" s="685">
        <f t="shared" si="0"/>
        <v>21</v>
      </c>
      <c r="F6" s="18"/>
    </row>
    <row r="7" spans="1:6" x14ac:dyDescent="0.2">
      <c r="A7" s="77">
        <f>Gen!B16</f>
        <v>44567</v>
      </c>
      <c r="B7" s="12">
        <f>'Summery Report'!F10</f>
        <v>4325</v>
      </c>
      <c r="C7" s="101">
        <f>'Summery Report'!C10</f>
        <v>0.31</v>
      </c>
      <c r="D7" s="685">
        <v>25</v>
      </c>
      <c r="E7" s="685">
        <f t="shared" si="0"/>
        <v>25</v>
      </c>
      <c r="F7" s="18"/>
    </row>
    <row r="8" spans="1:6" x14ac:dyDescent="0.2">
      <c r="A8" s="77">
        <f>Gen!B17</f>
        <v>44568</v>
      </c>
      <c r="B8" s="12">
        <f>'Summery Report'!F11</f>
        <v>4444</v>
      </c>
      <c r="C8" s="101">
        <f>'Summery Report'!C11</f>
        <v>0.24679999999999999</v>
      </c>
      <c r="D8" s="685">
        <v>20</v>
      </c>
      <c r="E8" s="685">
        <f t="shared" si="0"/>
        <v>20</v>
      </c>
      <c r="F8" s="18"/>
    </row>
    <row r="9" spans="1:6" x14ac:dyDescent="0.2">
      <c r="A9" s="77">
        <f>Gen!B18</f>
        <v>44569</v>
      </c>
      <c r="B9" s="12">
        <f>'Summery Report'!F12</f>
        <v>4291</v>
      </c>
      <c r="C9" s="101">
        <f>'Summery Report'!C12</f>
        <v>0.23</v>
      </c>
      <c r="D9" s="685">
        <v>19</v>
      </c>
      <c r="E9" s="685">
        <f t="shared" si="0"/>
        <v>19</v>
      </c>
      <c r="F9" s="18"/>
    </row>
    <row r="10" spans="1:6" x14ac:dyDescent="0.2">
      <c r="A10" s="77">
        <f>Gen!B19</f>
        <v>44570</v>
      </c>
      <c r="B10" s="12">
        <f>'Summery Report'!F13</f>
        <v>4336</v>
      </c>
      <c r="C10" s="101">
        <f>'Summery Report'!C13</f>
        <v>0.20780000000000001</v>
      </c>
      <c r="D10" s="685">
        <v>17</v>
      </c>
      <c r="E10" s="685">
        <f t="shared" si="0"/>
        <v>17</v>
      </c>
      <c r="F10" s="18"/>
    </row>
    <row r="11" spans="1:6" x14ac:dyDescent="0.2">
      <c r="A11" s="77">
        <f>Gen!B20</f>
        <v>44571</v>
      </c>
      <c r="B11" s="12">
        <f>'Summery Report'!F14</f>
        <v>4279</v>
      </c>
      <c r="C11" s="101">
        <f>'Summery Report'!C14</f>
        <v>0.17</v>
      </c>
      <c r="D11" s="685">
        <v>16</v>
      </c>
      <c r="E11" s="685">
        <f t="shared" si="0"/>
        <v>16</v>
      </c>
      <c r="F11" s="18"/>
    </row>
    <row r="12" spans="1:6" x14ac:dyDescent="0.2">
      <c r="A12" s="77">
        <f>Gen!B21</f>
        <v>44572</v>
      </c>
      <c r="B12" s="12">
        <f>'Summery Report'!F15</f>
        <v>3862</v>
      </c>
      <c r="C12" s="101">
        <f>'Summery Report'!C15</f>
        <v>0.1</v>
      </c>
      <c r="D12" s="685">
        <v>11</v>
      </c>
      <c r="E12" s="685">
        <f t="shared" si="0"/>
        <v>11</v>
      </c>
      <c r="F12" s="18"/>
    </row>
    <row r="13" spans="1:6" x14ac:dyDescent="0.2">
      <c r="A13" s="77">
        <f>Gen!B22</f>
        <v>44573</v>
      </c>
      <c r="B13" s="12">
        <f>'Summery Report'!F16</f>
        <v>3803</v>
      </c>
      <c r="C13" s="101">
        <f>'Summery Report'!C16</f>
        <v>6.4899999999999999E-2</v>
      </c>
      <c r="D13" s="685">
        <v>8</v>
      </c>
      <c r="E13" s="685">
        <f t="shared" si="0"/>
        <v>8</v>
      </c>
      <c r="F13" s="18"/>
    </row>
    <row r="14" spans="1:6" x14ac:dyDescent="0.2">
      <c r="A14" s="77">
        <f>Gen!B23</f>
        <v>44574</v>
      </c>
      <c r="B14" s="12">
        <f>'Summery Report'!F17</f>
        <v>3648</v>
      </c>
      <c r="C14" s="101">
        <f>'Summery Report'!C17</f>
        <v>0.13</v>
      </c>
      <c r="D14" s="685">
        <v>13</v>
      </c>
      <c r="E14" s="685">
        <f t="shared" si="0"/>
        <v>13</v>
      </c>
      <c r="F14" s="18"/>
    </row>
    <row r="15" spans="1:6" x14ac:dyDescent="0.2">
      <c r="A15" s="77">
        <f>Gen!B24</f>
        <v>44575</v>
      </c>
      <c r="B15" s="12">
        <f>'Summery Report'!F18</f>
        <v>3795</v>
      </c>
      <c r="C15" s="101">
        <f>'Summery Report'!C18</f>
        <v>0.18</v>
      </c>
      <c r="D15" s="685">
        <v>17</v>
      </c>
      <c r="E15" s="685">
        <f t="shared" si="0"/>
        <v>17</v>
      </c>
      <c r="F15" s="18"/>
    </row>
    <row r="16" spans="1:6" x14ac:dyDescent="0.2">
      <c r="A16" s="77">
        <f>Gen!B25</f>
        <v>44576</v>
      </c>
      <c r="B16" s="12">
        <f>'Summery Report'!F19</f>
        <v>3648</v>
      </c>
      <c r="C16" s="101">
        <f>'Summery Report'!C19</f>
        <v>0.16</v>
      </c>
      <c r="D16" s="685">
        <v>15</v>
      </c>
      <c r="E16" s="685">
        <f t="shared" si="0"/>
        <v>15</v>
      </c>
      <c r="F16" s="18"/>
    </row>
    <row r="17" spans="1:6" x14ac:dyDescent="0.2">
      <c r="A17" s="77">
        <f>Gen!B26</f>
        <v>44577</v>
      </c>
      <c r="B17" s="12">
        <f>'Summery Report'!F20</f>
        <v>3393</v>
      </c>
      <c r="C17" s="101">
        <f>'Summery Report'!C20</f>
        <v>0.18</v>
      </c>
      <c r="D17" s="685">
        <v>17</v>
      </c>
      <c r="E17" s="685">
        <f t="shared" si="0"/>
        <v>17</v>
      </c>
      <c r="F17" s="18"/>
    </row>
    <row r="18" spans="1:6" x14ac:dyDescent="0.2">
      <c r="A18" s="77">
        <f>Gen!B27</f>
        <v>44578</v>
      </c>
      <c r="B18" s="12">
        <f>'Summery Report'!F21</f>
        <v>2977</v>
      </c>
      <c r="C18" s="101">
        <f>'Summery Report'!C21</f>
        <v>0.09</v>
      </c>
      <c r="D18" s="685">
        <v>10</v>
      </c>
      <c r="E18" s="685">
        <f t="shared" si="0"/>
        <v>10</v>
      </c>
      <c r="F18" s="18"/>
    </row>
    <row r="19" spans="1:6" x14ac:dyDescent="0.2">
      <c r="A19" s="77">
        <f>Gen!B28</f>
        <v>44579</v>
      </c>
      <c r="B19" s="12">
        <f>'Summery Report'!F22</f>
        <v>3443</v>
      </c>
      <c r="C19" s="101">
        <f>'Summery Report'!C22</f>
        <v>0.16</v>
      </c>
      <c r="D19" s="685">
        <v>14</v>
      </c>
      <c r="E19" s="685">
        <f t="shared" si="0"/>
        <v>14</v>
      </c>
      <c r="F19" s="18"/>
    </row>
    <row r="20" spans="1:6" x14ac:dyDescent="0.2">
      <c r="A20" s="77">
        <f>Gen!B29</f>
        <v>44580</v>
      </c>
      <c r="B20" s="12">
        <f>'Summery Report'!F23</f>
        <v>3010</v>
      </c>
      <c r="C20" s="101">
        <f>'Summery Report'!C23</f>
        <v>0.18</v>
      </c>
      <c r="D20" s="685">
        <v>15</v>
      </c>
      <c r="E20" s="685">
        <f t="shared" si="0"/>
        <v>15</v>
      </c>
      <c r="F20" s="18"/>
    </row>
    <row r="21" spans="1:6" x14ac:dyDescent="0.2">
      <c r="A21" s="77">
        <f>Gen!B30</f>
        <v>44581</v>
      </c>
      <c r="B21" s="12">
        <f>'Summery Report'!F24</f>
        <v>3323</v>
      </c>
      <c r="C21" s="101">
        <f>'Summery Report'!C24</f>
        <v>0.21</v>
      </c>
      <c r="D21" s="685">
        <v>17</v>
      </c>
      <c r="E21" s="685">
        <f t="shared" si="0"/>
        <v>17</v>
      </c>
      <c r="F21" s="18"/>
    </row>
    <row r="22" spans="1:6" x14ac:dyDescent="0.2">
      <c r="A22" s="77">
        <f>Gen!B31</f>
        <v>44582</v>
      </c>
      <c r="B22" s="12">
        <f>'Summery Report'!F25</f>
        <v>3113</v>
      </c>
      <c r="C22" s="101">
        <f>'Summery Report'!C25</f>
        <v>0.09</v>
      </c>
      <c r="D22" s="685">
        <v>8</v>
      </c>
      <c r="E22" s="685">
        <f t="shared" si="0"/>
        <v>8</v>
      </c>
      <c r="F22" s="18"/>
    </row>
    <row r="23" spans="1:6" x14ac:dyDescent="0.2">
      <c r="A23" s="77">
        <f>Gen!B32</f>
        <v>44583</v>
      </c>
      <c r="B23" s="12">
        <f>'Summery Report'!F26</f>
        <v>3124</v>
      </c>
      <c r="C23" s="101">
        <f>'Summery Report'!C26</f>
        <v>0.08</v>
      </c>
      <c r="D23" s="685">
        <v>7</v>
      </c>
      <c r="E23" s="685">
        <f t="shared" si="0"/>
        <v>7</v>
      </c>
      <c r="F23" s="18"/>
    </row>
    <row r="24" spans="1:6" x14ac:dyDescent="0.2">
      <c r="A24" s="77">
        <f>Gen!B33</f>
        <v>44584</v>
      </c>
      <c r="B24" s="12">
        <f>'Summery Report'!F27</f>
        <v>2797</v>
      </c>
      <c r="C24" s="101">
        <f>'Summery Report'!C27</f>
        <v>0.04</v>
      </c>
      <c r="D24" s="685">
        <v>4</v>
      </c>
      <c r="E24" s="685">
        <f t="shared" si="0"/>
        <v>4</v>
      </c>
      <c r="F24" s="18"/>
    </row>
    <row r="25" spans="1:6" x14ac:dyDescent="0.2">
      <c r="A25" s="77">
        <f>Gen!B34</f>
        <v>44585</v>
      </c>
      <c r="B25" s="12">
        <f>'Summery Report'!F28</f>
        <v>3295</v>
      </c>
      <c r="C25" s="101">
        <f>'Summery Report'!C28</f>
        <v>0.1</v>
      </c>
      <c r="D25" s="685">
        <v>9</v>
      </c>
      <c r="E25" s="685">
        <f t="shared" si="0"/>
        <v>9</v>
      </c>
      <c r="F25" s="18"/>
    </row>
    <row r="26" spans="1:6" x14ac:dyDescent="0.2">
      <c r="A26" s="77">
        <f>Gen!B35</f>
        <v>44586</v>
      </c>
      <c r="B26" s="12">
        <f>'Summery Report'!F29</f>
        <v>3205</v>
      </c>
      <c r="C26" s="101">
        <f>'Summery Report'!C29</f>
        <v>0.14000000000000001</v>
      </c>
      <c r="D26" s="685">
        <v>12</v>
      </c>
      <c r="E26" s="685">
        <f t="shared" si="0"/>
        <v>12</v>
      </c>
      <c r="F26" s="18"/>
    </row>
    <row r="27" spans="1:6" x14ac:dyDescent="0.2">
      <c r="A27" s="77">
        <f>Gen!B36</f>
        <v>44587</v>
      </c>
      <c r="B27" s="12">
        <f>'Summery Report'!F30</f>
        <v>3575</v>
      </c>
      <c r="C27" s="101">
        <f>'Summery Report'!C30</f>
        <v>0.16</v>
      </c>
      <c r="D27" s="685">
        <v>13</v>
      </c>
      <c r="E27" s="685">
        <f t="shared" si="0"/>
        <v>13</v>
      </c>
      <c r="F27" s="18"/>
    </row>
    <row r="28" spans="1:6" x14ac:dyDescent="0.2">
      <c r="A28" s="77">
        <f>Gen!B37</f>
        <v>44588</v>
      </c>
      <c r="B28" s="12">
        <f>'Summery Report'!F31</f>
        <v>3610</v>
      </c>
      <c r="C28" s="101">
        <f>'Summery Report'!C31</f>
        <v>0.13</v>
      </c>
      <c r="D28" s="685">
        <v>11</v>
      </c>
      <c r="E28" s="685">
        <f t="shared" si="0"/>
        <v>11</v>
      </c>
      <c r="F28" s="18"/>
    </row>
    <row r="29" spans="1:6" x14ac:dyDescent="0.2">
      <c r="A29" s="77">
        <f>Gen!B38</f>
        <v>44589</v>
      </c>
      <c r="B29" s="12">
        <f>'Summery Report'!F32</f>
        <v>3593</v>
      </c>
      <c r="C29" s="101">
        <f>'Summery Report'!C32</f>
        <v>0.09</v>
      </c>
      <c r="D29" s="685">
        <v>8</v>
      </c>
      <c r="E29" s="685">
        <f t="shared" si="0"/>
        <v>8</v>
      </c>
      <c r="F29" s="18"/>
    </row>
    <row r="30" spans="1:6" x14ac:dyDescent="0.2">
      <c r="A30" s="77">
        <f>Gen!B39</f>
        <v>44590</v>
      </c>
      <c r="B30" s="12">
        <f>'Summery Report'!F33</f>
        <v>3589</v>
      </c>
      <c r="C30" s="101">
        <f>'Summery Report'!C33</f>
        <v>0.09</v>
      </c>
      <c r="D30" s="685">
        <v>8</v>
      </c>
      <c r="E30" s="685">
        <f t="shared" si="0"/>
        <v>8</v>
      </c>
      <c r="F30" s="18"/>
    </row>
    <row r="31" spans="1:6" x14ac:dyDescent="0.2">
      <c r="A31" s="77">
        <f>Gen!B40</f>
        <v>44591</v>
      </c>
      <c r="B31" s="12">
        <f>'Summery Report'!F34</f>
        <v>3575</v>
      </c>
      <c r="C31" s="101">
        <f>'Summery Report'!C34</f>
        <v>0.06</v>
      </c>
      <c r="D31" s="685">
        <v>6</v>
      </c>
      <c r="E31" s="685">
        <f t="shared" si="0"/>
        <v>6</v>
      </c>
      <c r="F31" s="18"/>
    </row>
    <row r="32" spans="1:6" x14ac:dyDescent="0.2">
      <c r="A32" s="77">
        <f>Gen!B41</f>
        <v>44592</v>
      </c>
      <c r="B32" s="12">
        <f>'Summery Report'!F35</f>
        <v>3272</v>
      </c>
      <c r="C32" s="101">
        <f>'Summery Report'!C35</f>
        <v>0.05</v>
      </c>
      <c r="D32" s="685">
        <v>5</v>
      </c>
      <c r="E32" s="685">
        <f t="shared" si="0"/>
        <v>5</v>
      </c>
      <c r="F32" s="18"/>
    </row>
    <row r="33" spans="1:2" x14ac:dyDescent="0.2">
      <c r="A33" s="77">
        <f>Gen!B42</f>
        <v>0</v>
      </c>
      <c r="B33" s="12">
        <v>0</v>
      </c>
    </row>
    <row r="34" spans="1:2" x14ac:dyDescent="0.2">
      <c r="A34" s="9"/>
      <c r="B34" s="12"/>
    </row>
    <row r="35" spans="1:2" x14ac:dyDescent="0.2">
      <c r="A35" s="9"/>
    </row>
  </sheetData>
  <pageMargins left="0.7" right="0.7" top="0.75" bottom="0.75" header="0.3" footer="0.3"/>
  <pageSetup scale="4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4"/>
  <sheetViews>
    <sheetView workbookViewId="0">
      <selection activeCell="K32" sqref="K32"/>
    </sheetView>
  </sheetViews>
  <sheetFormatPr defaultRowHeight="12.75" x14ac:dyDescent="0.2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 x14ac:dyDescent="0.4">
      <c r="A1" s="889" t="s">
        <v>36</v>
      </c>
      <c r="B1" s="889"/>
      <c r="C1" s="889"/>
      <c r="D1" s="889"/>
      <c r="E1" s="889"/>
      <c r="F1" s="889"/>
      <c r="G1" s="889"/>
      <c r="H1" s="889"/>
    </row>
    <row r="2" spans="1:9" ht="48" customHeight="1" thickBot="1" x14ac:dyDescent="0.25">
      <c r="A2" s="208" t="s">
        <v>31</v>
      </c>
      <c r="B2" s="114" t="s">
        <v>37</v>
      </c>
      <c r="C2" s="322" t="s">
        <v>38</v>
      </c>
      <c r="D2" s="236" t="s">
        <v>39</v>
      </c>
      <c r="E2" s="320" t="s">
        <v>40</v>
      </c>
      <c r="F2" s="236" t="s">
        <v>41</v>
      </c>
      <c r="G2" s="236" t="s">
        <v>42</v>
      </c>
      <c r="H2" s="322" t="s">
        <v>19</v>
      </c>
      <c r="I2" s="236" t="s">
        <v>43</v>
      </c>
    </row>
    <row r="3" spans="1:9" ht="13.5" x14ac:dyDescent="0.25">
      <c r="A3" s="321">
        <f>Gen!B11</f>
        <v>44562</v>
      </c>
      <c r="B3" s="323">
        <f>Gen!C11</f>
        <v>0.41560000000000002</v>
      </c>
      <c r="C3" s="336">
        <f>'Energy Graph'!E2</f>
        <v>34</v>
      </c>
      <c r="D3" s="325">
        <v>1</v>
      </c>
      <c r="E3" s="324">
        <f>Gen!T11</f>
        <v>1965.3</v>
      </c>
      <c r="F3" s="324">
        <f>Gen!U11</f>
        <v>4734</v>
      </c>
      <c r="G3" s="324">
        <f>'Water-Meter'!E6</f>
        <v>116</v>
      </c>
      <c r="H3" s="324">
        <f>'Utility report '!AC6</f>
        <v>102</v>
      </c>
      <c r="I3" s="324">
        <f>Gen!AK11</f>
        <v>320.11</v>
      </c>
    </row>
    <row r="4" spans="1:9" ht="13.5" x14ac:dyDescent="0.25">
      <c r="A4" s="321">
        <f>Gen!B12</f>
        <v>44563</v>
      </c>
      <c r="B4" s="323">
        <f>Gen!C12</f>
        <v>0.53</v>
      </c>
      <c r="C4" s="336">
        <f>'Energy Graph'!E3</f>
        <v>42</v>
      </c>
      <c r="D4" s="325">
        <v>1</v>
      </c>
      <c r="E4" s="324">
        <f>Gen!T12</f>
        <v>1927.08</v>
      </c>
      <c r="F4" s="324">
        <f>Gen!U12</f>
        <v>4563</v>
      </c>
      <c r="G4" s="324">
        <f>'Water-Meter'!E7</f>
        <v>94</v>
      </c>
      <c r="H4" s="324">
        <f>'Utility report '!AC7</f>
        <v>64</v>
      </c>
      <c r="I4" s="324">
        <f>Gen!AK12</f>
        <v>237.31</v>
      </c>
    </row>
    <row r="5" spans="1:9" ht="13.5" x14ac:dyDescent="0.25">
      <c r="A5" s="321">
        <f>Gen!B13</f>
        <v>44564</v>
      </c>
      <c r="B5" s="323">
        <f>Gen!C13</f>
        <v>0.36</v>
      </c>
      <c r="C5" s="336">
        <f>'Energy Graph'!E4</f>
        <v>29</v>
      </c>
      <c r="D5" s="325">
        <v>1</v>
      </c>
      <c r="E5" s="324">
        <f>Gen!T13</f>
        <v>1859.9199999999998</v>
      </c>
      <c r="F5" s="324">
        <f>Gen!U13</f>
        <v>4574</v>
      </c>
      <c r="G5" s="324">
        <f>'Water-Meter'!E8</f>
        <v>110</v>
      </c>
      <c r="H5" s="324">
        <f>'Utility report '!AC8</f>
        <v>105</v>
      </c>
      <c r="I5" s="324">
        <f>Gen!AK13</f>
        <v>231</v>
      </c>
    </row>
    <row r="6" spans="1:9" ht="13.5" x14ac:dyDescent="0.25">
      <c r="A6" s="321">
        <f>Gen!B14</f>
        <v>44565</v>
      </c>
      <c r="B6" s="323">
        <f>Gen!C14</f>
        <v>0.35</v>
      </c>
      <c r="C6" s="336">
        <f>'Energy Graph'!E5</f>
        <v>28</v>
      </c>
      <c r="D6" s="325">
        <v>1</v>
      </c>
      <c r="E6" s="324">
        <f>Gen!T14</f>
        <v>1889.6999999999998</v>
      </c>
      <c r="F6" s="324">
        <f>Gen!U14</f>
        <v>4346</v>
      </c>
      <c r="G6" s="324">
        <f>'Water-Meter'!E9</f>
        <v>94</v>
      </c>
      <c r="H6" s="324">
        <f>'Utility report '!AC9</f>
        <v>147</v>
      </c>
      <c r="I6" s="324">
        <f>Gen!AK14</f>
        <v>247.48</v>
      </c>
    </row>
    <row r="7" spans="1:9" ht="13.5" x14ac:dyDescent="0.25">
      <c r="A7" s="321">
        <f>Gen!B15</f>
        <v>44566</v>
      </c>
      <c r="B7" s="323">
        <f>Gen!C15</f>
        <v>0.26</v>
      </c>
      <c r="C7" s="336">
        <f>'Energy Graph'!E6</f>
        <v>21</v>
      </c>
      <c r="D7" s="325">
        <v>1</v>
      </c>
      <c r="E7" s="324">
        <f>Gen!T15</f>
        <v>1716.3900000000003</v>
      </c>
      <c r="F7" s="324">
        <f>Gen!U15</f>
        <v>3969</v>
      </c>
      <c r="G7" s="324">
        <f>'Water-Meter'!E10</f>
        <v>86</v>
      </c>
      <c r="H7" s="324">
        <f>'Utility report '!AC10</f>
        <v>0</v>
      </c>
      <c r="I7" s="324">
        <f>Gen!AK15</f>
        <v>110</v>
      </c>
    </row>
    <row r="8" spans="1:9" ht="13.5" x14ac:dyDescent="0.25">
      <c r="A8" s="321">
        <f>Gen!B16</f>
        <v>44567</v>
      </c>
      <c r="B8" s="323">
        <f>Gen!C16</f>
        <v>0.31</v>
      </c>
      <c r="C8" s="336">
        <f>'Energy Graph'!E7</f>
        <v>25</v>
      </c>
      <c r="D8" s="325">
        <v>1</v>
      </c>
      <c r="E8" s="324">
        <f>Gen!T16</f>
        <v>1829.15</v>
      </c>
      <c r="F8" s="324">
        <f>Gen!U16</f>
        <v>4325</v>
      </c>
      <c r="G8" s="324">
        <f>'Water-Meter'!E11</f>
        <v>90</v>
      </c>
      <c r="H8" s="324">
        <f>'Utility report '!AC11</f>
        <v>148</v>
      </c>
      <c r="I8" s="324">
        <f>Gen!AK16</f>
        <v>299.04000000000002</v>
      </c>
    </row>
    <row r="9" spans="1:9" ht="13.5" x14ac:dyDescent="0.25">
      <c r="A9" s="321">
        <f>Gen!B17</f>
        <v>44568</v>
      </c>
      <c r="B9" s="323">
        <f>Gen!C17</f>
        <v>0.24679999999999999</v>
      </c>
      <c r="C9" s="336">
        <f>'Energy Graph'!E8</f>
        <v>20</v>
      </c>
      <c r="D9" s="325">
        <v>1</v>
      </c>
      <c r="E9" s="324">
        <f>Gen!T17</f>
        <v>1866.3500000000001</v>
      </c>
      <c r="F9" s="324">
        <f>Gen!U17</f>
        <v>4444</v>
      </c>
      <c r="G9" s="324">
        <f>'Water-Meter'!E12</f>
        <v>92</v>
      </c>
      <c r="H9" s="324">
        <f>'Utility report '!AC12</f>
        <v>-22473</v>
      </c>
      <c r="I9" s="324">
        <f>Gen!AK17</f>
        <v>133</v>
      </c>
    </row>
    <row r="10" spans="1:9" ht="13.5" x14ac:dyDescent="0.25">
      <c r="A10" s="321">
        <f>Gen!B18</f>
        <v>44569</v>
      </c>
      <c r="B10" s="323">
        <f>Gen!C18</f>
        <v>0.23</v>
      </c>
      <c r="C10" s="336">
        <f>'Energy Graph'!E9</f>
        <v>19</v>
      </c>
      <c r="D10" s="325">
        <v>1</v>
      </c>
      <c r="E10" s="324">
        <f>Gen!T18</f>
        <v>1767.24</v>
      </c>
      <c r="F10" s="324">
        <f>Gen!U18</f>
        <v>4291</v>
      </c>
      <c r="G10" s="324">
        <f>'Water-Meter'!E13</f>
        <v>108</v>
      </c>
      <c r="H10" s="324">
        <f>'Utility report '!AC13</f>
        <v>22575</v>
      </c>
      <c r="I10" s="324">
        <f>Gen!AK18</f>
        <v>162.47</v>
      </c>
    </row>
    <row r="11" spans="1:9" ht="13.5" x14ac:dyDescent="0.25">
      <c r="A11" s="321">
        <f>Gen!B19</f>
        <v>44570</v>
      </c>
      <c r="B11" s="323">
        <f>Gen!C19</f>
        <v>0.20780000000000001</v>
      </c>
      <c r="C11" s="336">
        <f>'Energy Graph'!E10</f>
        <v>17</v>
      </c>
      <c r="D11" s="325">
        <v>1</v>
      </c>
      <c r="E11" s="324">
        <f>Gen!T19</f>
        <v>1846.05</v>
      </c>
      <c r="F11" s="324">
        <f>Gen!U19</f>
        <v>4336</v>
      </c>
      <c r="G11" s="324">
        <f>'Water-Meter'!E14</f>
        <v>101</v>
      </c>
      <c r="H11" s="324">
        <f>'Utility report '!AC14</f>
        <v>128</v>
      </c>
      <c r="I11" s="324">
        <f>Gen!AK19</f>
        <v>109.74</v>
      </c>
    </row>
    <row r="12" spans="1:9" ht="13.5" x14ac:dyDescent="0.25">
      <c r="A12" s="321">
        <f>Gen!B20</f>
        <v>44571</v>
      </c>
      <c r="B12" s="323">
        <f>Gen!C20</f>
        <v>0.17</v>
      </c>
      <c r="C12" s="336">
        <f>'Energy Graph'!E11</f>
        <v>16</v>
      </c>
      <c r="D12" s="325">
        <v>1</v>
      </c>
      <c r="E12" s="324">
        <f>Gen!T20</f>
        <v>1765.63</v>
      </c>
      <c r="F12" s="324">
        <f>Gen!U20</f>
        <v>4279</v>
      </c>
      <c r="G12" s="324">
        <f>'Water-Meter'!E15</f>
        <v>83</v>
      </c>
      <c r="H12" s="324">
        <f>'Utility report '!AC15</f>
        <v>77</v>
      </c>
      <c r="I12" s="324">
        <f>Gen!AK20</f>
        <v>79.83</v>
      </c>
    </row>
    <row r="13" spans="1:9" ht="13.5" x14ac:dyDescent="0.25">
      <c r="A13" s="321">
        <f>Gen!B21</f>
        <v>44572</v>
      </c>
      <c r="B13" s="323">
        <f>Gen!C21</f>
        <v>0.1</v>
      </c>
      <c r="C13" s="336">
        <f>'Energy Graph'!E12</f>
        <v>11</v>
      </c>
      <c r="D13" s="325">
        <v>1</v>
      </c>
      <c r="E13" s="324">
        <f>Gen!T21</f>
        <v>1625.2799999999997</v>
      </c>
      <c r="F13" s="324">
        <f>Gen!U21</f>
        <v>3862</v>
      </c>
      <c r="G13" s="324">
        <f>'Water-Meter'!E16</f>
        <v>67</v>
      </c>
      <c r="H13" s="324">
        <f>'Utility report '!AC16</f>
        <v>114</v>
      </c>
      <c r="I13" s="324">
        <f>Gen!AK21</f>
        <v>386.46</v>
      </c>
    </row>
    <row r="14" spans="1:9" ht="13.5" x14ac:dyDescent="0.25">
      <c r="A14" s="321">
        <f>Gen!B22</f>
        <v>44573</v>
      </c>
      <c r="B14" s="323">
        <f>Gen!C22</f>
        <v>6.4899999999999999E-2</v>
      </c>
      <c r="C14" s="336">
        <f>'Energy Graph'!E13</f>
        <v>8</v>
      </c>
      <c r="D14" s="325">
        <v>1</v>
      </c>
      <c r="E14" s="324">
        <f>Gen!T22</f>
        <v>1599.77</v>
      </c>
      <c r="F14" s="324">
        <f>Gen!U22</f>
        <v>3803</v>
      </c>
      <c r="G14" s="324">
        <f>'Water-Meter'!E17</f>
        <v>133</v>
      </c>
      <c r="H14" s="324">
        <f>'Utility report '!AC17</f>
        <v>112</v>
      </c>
      <c r="I14" s="324">
        <f>Gen!AK22</f>
        <v>0</v>
      </c>
    </row>
    <row r="15" spans="1:9" ht="13.5" x14ac:dyDescent="0.25">
      <c r="A15" s="321">
        <f>Gen!B23</f>
        <v>44574</v>
      </c>
      <c r="B15" s="323">
        <f>Gen!C23</f>
        <v>0.13</v>
      </c>
      <c r="C15" s="336">
        <f>'Energy Graph'!E14</f>
        <v>13</v>
      </c>
      <c r="D15" s="325">
        <v>1</v>
      </c>
      <c r="E15" s="324">
        <f>Gen!T23</f>
        <v>1507.29</v>
      </c>
      <c r="F15" s="324">
        <f>Gen!U23</f>
        <v>3648</v>
      </c>
      <c r="G15" s="324">
        <f>'Water-Meter'!E18</f>
        <v>86</v>
      </c>
      <c r="H15" s="324">
        <f>'Utility report '!AC18</f>
        <v>111</v>
      </c>
      <c r="I15" s="324">
        <f>Gen!AK23</f>
        <v>66.31</v>
      </c>
    </row>
    <row r="16" spans="1:9" ht="13.5" x14ac:dyDescent="0.25">
      <c r="A16" s="321">
        <f>Gen!B24</f>
        <v>44575</v>
      </c>
      <c r="B16" s="323">
        <f>Gen!C24</f>
        <v>0.18</v>
      </c>
      <c r="C16" s="336">
        <f>'Energy Graph'!E15</f>
        <v>17</v>
      </c>
      <c r="D16" s="325">
        <v>1</v>
      </c>
      <c r="E16" s="324">
        <f>Gen!T24</f>
        <v>1511.92</v>
      </c>
      <c r="F16" s="324">
        <f>Gen!U24</f>
        <v>3795</v>
      </c>
      <c r="G16" s="324">
        <f>'Water-Meter'!E19</f>
        <v>92</v>
      </c>
      <c r="H16" s="324">
        <f>'Utility report '!AC19</f>
        <v>92</v>
      </c>
      <c r="I16" s="324">
        <f>Gen!AK24</f>
        <v>288.08</v>
      </c>
    </row>
    <row r="17" spans="1:9" ht="13.5" x14ac:dyDescent="0.25">
      <c r="A17" s="321">
        <f>Gen!B25</f>
        <v>44576</v>
      </c>
      <c r="B17" s="323">
        <f>Gen!C25</f>
        <v>0.16</v>
      </c>
      <c r="C17" s="336">
        <f>'Energy Graph'!E16</f>
        <v>15</v>
      </c>
      <c r="D17" s="325">
        <v>1</v>
      </c>
      <c r="E17" s="324">
        <f>Gen!T25</f>
        <v>1442</v>
      </c>
      <c r="F17" s="324">
        <f>Gen!U25</f>
        <v>3648</v>
      </c>
      <c r="G17" s="324">
        <f>'Water-Meter'!E20</f>
        <v>102</v>
      </c>
      <c r="H17" s="324">
        <f>'Utility report '!AC20</f>
        <v>58</v>
      </c>
      <c r="I17" s="324">
        <f>Gen!AK25</f>
        <v>0</v>
      </c>
    </row>
    <row r="18" spans="1:9" ht="13.5" x14ac:dyDescent="0.25">
      <c r="A18" s="321">
        <f>Gen!B26</f>
        <v>44577</v>
      </c>
      <c r="B18" s="323">
        <f>Gen!C26</f>
        <v>0.18</v>
      </c>
      <c r="C18" s="336">
        <f>'Energy Graph'!E17</f>
        <v>17</v>
      </c>
      <c r="D18" s="325">
        <v>1</v>
      </c>
      <c r="E18" s="324">
        <f>Gen!T26</f>
        <v>1354.38</v>
      </c>
      <c r="F18" s="324">
        <f>Gen!U26</f>
        <v>3393</v>
      </c>
      <c r="G18" s="324">
        <f>'Water-Meter'!E21</f>
        <v>74</v>
      </c>
      <c r="H18" s="324">
        <f>'Utility report '!AC21</f>
        <v>91</v>
      </c>
      <c r="I18" s="324">
        <f>Gen!AK26</f>
        <v>447</v>
      </c>
    </row>
    <row r="19" spans="1:9" ht="13.5" x14ac:dyDescent="0.25">
      <c r="A19" s="321">
        <f>Gen!B27</f>
        <v>44578</v>
      </c>
      <c r="B19" s="323">
        <f>Gen!C27</f>
        <v>0.09</v>
      </c>
      <c r="C19" s="336">
        <f>'Energy Graph'!E18</f>
        <v>10</v>
      </c>
      <c r="D19" s="325">
        <v>1</v>
      </c>
      <c r="E19" s="324">
        <f>Gen!T27</f>
        <v>1220.47</v>
      </c>
      <c r="F19" s="324">
        <f>Gen!U27</f>
        <v>2977</v>
      </c>
      <c r="G19" s="324">
        <f>'Water-Meter'!E22</f>
        <v>68</v>
      </c>
      <c r="H19" s="324">
        <f>'Utility report '!AC22</f>
        <v>78</v>
      </c>
      <c r="I19" s="324">
        <f>Gen!AK27</f>
        <v>0</v>
      </c>
    </row>
    <row r="20" spans="1:9" ht="13.5" x14ac:dyDescent="0.25">
      <c r="A20" s="321">
        <f>Gen!B28</f>
        <v>44579</v>
      </c>
      <c r="B20" s="323">
        <f>Gen!C28</f>
        <v>0.16</v>
      </c>
      <c r="C20" s="336">
        <f>'Energy Graph'!E19</f>
        <v>14</v>
      </c>
      <c r="D20" s="325">
        <v>1</v>
      </c>
      <c r="E20" s="324">
        <f>Gen!T28</f>
        <v>1382.6399999999999</v>
      </c>
      <c r="F20" s="324">
        <f>Gen!U28</f>
        <v>3443</v>
      </c>
      <c r="G20" s="324">
        <f>'Water-Meter'!E23</f>
        <v>62</v>
      </c>
      <c r="H20" s="324">
        <f>'Utility report '!AC23</f>
        <v>0</v>
      </c>
      <c r="I20" s="324">
        <f>Gen!AK28</f>
        <v>221.01000000000002</v>
      </c>
    </row>
    <row r="21" spans="1:9" ht="13.5" x14ac:dyDescent="0.25">
      <c r="A21" s="321">
        <f>Gen!B29</f>
        <v>44580</v>
      </c>
      <c r="B21" s="323">
        <f>Gen!C29</f>
        <v>0.18</v>
      </c>
      <c r="C21" s="336">
        <f>'Energy Graph'!E20</f>
        <v>15</v>
      </c>
      <c r="D21" s="325">
        <v>1</v>
      </c>
      <c r="E21" s="324">
        <f>Gen!T29</f>
        <v>1252.71</v>
      </c>
      <c r="F21" s="324">
        <f>Gen!U29</f>
        <v>3010</v>
      </c>
      <c r="G21" s="324">
        <f>'Water-Meter'!E24</f>
        <v>70</v>
      </c>
      <c r="H21" s="324">
        <f>'Utility report '!AC24</f>
        <v>144</v>
      </c>
      <c r="I21" s="324">
        <f>Gen!AK29</f>
        <v>127.84</v>
      </c>
    </row>
    <row r="22" spans="1:9" ht="13.5" x14ac:dyDescent="0.25">
      <c r="A22" s="321">
        <f>Gen!B30</f>
        <v>44581</v>
      </c>
      <c r="B22" s="323">
        <f>Gen!C30</f>
        <v>0.21</v>
      </c>
      <c r="C22" s="336">
        <f>'Energy Graph'!E21</f>
        <v>17</v>
      </c>
      <c r="D22" s="325">
        <v>1</v>
      </c>
      <c r="E22" s="324">
        <f>Gen!T30</f>
        <v>1370.45</v>
      </c>
      <c r="F22" s="324">
        <f>Gen!U30</f>
        <v>3323</v>
      </c>
      <c r="G22" s="324">
        <f>'Water-Meter'!E25</f>
        <v>88</v>
      </c>
      <c r="H22" s="324">
        <f>'Utility report '!AC25</f>
        <v>45</v>
      </c>
      <c r="I22" s="324">
        <f>Gen!AK30</f>
        <v>238.01999999999998</v>
      </c>
    </row>
    <row r="23" spans="1:9" ht="13.5" x14ac:dyDescent="0.25">
      <c r="A23" s="321">
        <f>Gen!B31</f>
        <v>44582</v>
      </c>
      <c r="B23" s="323">
        <f>Gen!C31</f>
        <v>0.09</v>
      </c>
      <c r="C23" s="336">
        <f>'Energy Graph'!E22</f>
        <v>8</v>
      </c>
      <c r="D23" s="325">
        <v>1</v>
      </c>
      <c r="E23" s="324">
        <f>Gen!T31</f>
        <v>1280.31</v>
      </c>
      <c r="F23" s="324">
        <f>Gen!U31</f>
        <v>3113</v>
      </c>
      <c r="G23" s="324">
        <f>'Water-Meter'!E26</f>
        <v>81</v>
      </c>
      <c r="H23" s="324">
        <f>'Utility report '!AC26</f>
        <v>139</v>
      </c>
      <c r="I23" s="324">
        <f>Gen!AK31</f>
        <v>15</v>
      </c>
    </row>
    <row r="24" spans="1:9" ht="13.5" x14ac:dyDescent="0.25">
      <c r="A24" s="321">
        <f>Gen!B32</f>
        <v>44583</v>
      </c>
      <c r="B24" s="323">
        <f>Gen!C32</f>
        <v>0.08</v>
      </c>
      <c r="C24" s="336">
        <f>'Energy Graph'!E23</f>
        <v>7</v>
      </c>
      <c r="D24" s="325">
        <v>1</v>
      </c>
      <c r="E24" s="324">
        <f>Gen!T32</f>
        <v>1286.26</v>
      </c>
      <c r="F24" s="324">
        <f>Gen!U32</f>
        <v>3124</v>
      </c>
      <c r="G24" s="324">
        <f>'Water-Meter'!E27</f>
        <v>71</v>
      </c>
      <c r="H24" s="324">
        <f>'Utility report '!AC27</f>
        <v>100</v>
      </c>
      <c r="I24" s="324">
        <f>Gen!AK32</f>
        <v>264.82</v>
      </c>
    </row>
    <row r="25" spans="1:9" ht="13.5" x14ac:dyDescent="0.25">
      <c r="A25" s="321">
        <f>Gen!B33</f>
        <v>44584</v>
      </c>
      <c r="B25" s="323">
        <f>Gen!C33</f>
        <v>0.04</v>
      </c>
      <c r="C25" s="336">
        <f>'Energy Graph'!E24</f>
        <v>4</v>
      </c>
      <c r="D25" s="325">
        <v>1</v>
      </c>
      <c r="E25" s="324">
        <f>Gen!T33</f>
        <v>1199.2800000000002</v>
      </c>
      <c r="F25" s="324">
        <f>Gen!U33</f>
        <v>2797</v>
      </c>
      <c r="G25" s="324">
        <f>'Water-Meter'!E28</f>
        <v>62</v>
      </c>
      <c r="H25" s="324">
        <f>'Utility report '!AC28</f>
        <v>74</v>
      </c>
      <c r="I25" s="324">
        <f>Gen!AK33</f>
        <v>253.24</v>
      </c>
    </row>
    <row r="26" spans="1:9" ht="13.5" x14ac:dyDescent="0.25">
      <c r="A26" s="321">
        <f>Gen!B34</f>
        <v>44585</v>
      </c>
      <c r="B26" s="323">
        <f>Gen!C34</f>
        <v>0.1</v>
      </c>
      <c r="C26" s="336">
        <f>'Energy Graph'!E25</f>
        <v>9</v>
      </c>
      <c r="D26" s="325">
        <v>1</v>
      </c>
      <c r="E26" s="324">
        <f>Gen!T34</f>
        <v>1340.81</v>
      </c>
      <c r="F26" s="324">
        <f>Gen!U34</f>
        <v>3295</v>
      </c>
      <c r="G26" s="324">
        <f>'Water-Meter'!E29</f>
        <v>75</v>
      </c>
      <c r="H26" s="324">
        <f>'Utility report '!AC29</f>
        <v>17</v>
      </c>
      <c r="I26" s="324">
        <f>Gen!AK34</f>
        <v>237.04000000000002</v>
      </c>
    </row>
    <row r="27" spans="1:9" ht="13.5" x14ac:dyDescent="0.25">
      <c r="A27" s="321">
        <f>Gen!B35</f>
        <v>44586</v>
      </c>
      <c r="B27" s="323">
        <f>Gen!C35</f>
        <v>0.14000000000000001</v>
      </c>
      <c r="C27" s="336">
        <f>'Energy Graph'!E26</f>
        <v>12</v>
      </c>
      <c r="D27" s="325">
        <v>1</v>
      </c>
      <c r="E27" s="324">
        <f>Gen!T35</f>
        <v>1255.47</v>
      </c>
      <c r="F27" s="324">
        <f>Gen!U35</f>
        <v>3205</v>
      </c>
      <c r="G27" s="324">
        <f>'Water-Meter'!E30</f>
        <v>160</v>
      </c>
      <c r="H27" s="324">
        <f>'Utility report '!AC30</f>
        <v>133</v>
      </c>
      <c r="I27" s="324">
        <f>Gen!AK35</f>
        <v>118.03</v>
      </c>
    </row>
    <row r="28" spans="1:9" ht="13.5" x14ac:dyDescent="0.25">
      <c r="A28" s="321">
        <f>Gen!B36</f>
        <v>44587</v>
      </c>
      <c r="B28" s="323">
        <f>Gen!C36</f>
        <v>0.16</v>
      </c>
      <c r="C28" s="336">
        <f>'Energy Graph'!E27</f>
        <v>13</v>
      </c>
      <c r="D28" s="325">
        <v>1</v>
      </c>
      <c r="E28" s="324">
        <f>Gen!T36</f>
        <v>1351.98</v>
      </c>
      <c r="F28" s="324">
        <f>Gen!U36</f>
        <v>3575</v>
      </c>
      <c r="G28" s="324">
        <f>'Water-Meter'!E31</f>
        <v>66</v>
      </c>
      <c r="H28" s="324">
        <f>'Utility report '!AC31</f>
        <v>12</v>
      </c>
      <c r="I28" s="324">
        <f>Gen!AK36</f>
        <v>73.37</v>
      </c>
    </row>
    <row r="29" spans="1:9" ht="13.5" x14ac:dyDescent="0.25">
      <c r="A29" s="321">
        <f>Gen!B37</f>
        <v>44588</v>
      </c>
      <c r="B29" s="323">
        <f>Gen!C37</f>
        <v>0.13</v>
      </c>
      <c r="C29" s="336">
        <f>'Energy Graph'!E28</f>
        <v>11</v>
      </c>
      <c r="D29" s="325">
        <v>1</v>
      </c>
      <c r="E29" s="324">
        <f>Gen!T37</f>
        <v>1411.45</v>
      </c>
      <c r="F29" s="324">
        <f>Gen!U37</f>
        <v>3610</v>
      </c>
      <c r="G29" s="324">
        <f>'Water-Meter'!E32</f>
        <v>75</v>
      </c>
      <c r="H29" s="324">
        <f>'Utility report '!AC32</f>
        <v>184</v>
      </c>
      <c r="I29" s="324">
        <f>Gen!AK37</f>
        <v>353.88</v>
      </c>
    </row>
    <row r="30" spans="1:9" ht="13.5" x14ac:dyDescent="0.25">
      <c r="A30" s="321">
        <f>Gen!B38</f>
        <v>44589</v>
      </c>
      <c r="B30" s="323">
        <f>Gen!C38</f>
        <v>0.09</v>
      </c>
      <c r="C30" s="336">
        <f>'Energy Graph'!E29</f>
        <v>8</v>
      </c>
      <c r="D30" s="325">
        <v>1</v>
      </c>
      <c r="E30" s="324">
        <f>Gen!T38</f>
        <v>1429.2</v>
      </c>
      <c r="F30" s="324">
        <f>Gen!U38</f>
        <v>3593</v>
      </c>
      <c r="G30" s="324">
        <f>'Water-Meter'!E33</f>
        <v>64</v>
      </c>
      <c r="H30" s="324">
        <f>'Utility report '!AC33</f>
        <v>66</v>
      </c>
      <c r="I30" s="324">
        <f>Gen!AK38</f>
        <v>0</v>
      </c>
    </row>
    <row r="31" spans="1:9" ht="13.5" x14ac:dyDescent="0.25">
      <c r="A31" s="321">
        <f>Gen!B39</f>
        <v>44590</v>
      </c>
      <c r="B31" s="323">
        <f>Gen!C39</f>
        <v>0.09</v>
      </c>
      <c r="C31" s="336">
        <f>'Energy Graph'!E30</f>
        <v>8</v>
      </c>
      <c r="D31" s="325">
        <v>1</v>
      </c>
      <c r="E31" s="324">
        <f>Gen!T39</f>
        <v>1414.19</v>
      </c>
      <c r="F31" s="324">
        <f>Gen!U39</f>
        <v>3589</v>
      </c>
      <c r="G31" s="324">
        <f>'Water-Meter'!E34</f>
        <v>80</v>
      </c>
      <c r="H31" s="324">
        <f>'Utility report '!AC34</f>
        <v>135</v>
      </c>
      <c r="I31" s="324">
        <f>Gen!AK39</f>
        <v>48.59</v>
      </c>
    </row>
    <row r="32" spans="1:9" ht="13.5" x14ac:dyDescent="0.25">
      <c r="A32" s="321">
        <f>Gen!B40</f>
        <v>44591</v>
      </c>
      <c r="B32" s="323">
        <f>Gen!C40</f>
        <v>0.06</v>
      </c>
      <c r="C32" s="336">
        <f>'Energy Graph'!E31</f>
        <v>6</v>
      </c>
      <c r="D32" s="325">
        <v>1</v>
      </c>
      <c r="E32" s="324">
        <f>Gen!T40</f>
        <v>1346.8700000000001</v>
      </c>
      <c r="F32" s="324">
        <f>Gen!U40</f>
        <v>3575</v>
      </c>
      <c r="G32" s="324">
        <f>'Water-Meter'!E35</f>
        <v>110</v>
      </c>
      <c r="H32" s="324">
        <f>'Utility report '!AC35</f>
        <v>11</v>
      </c>
      <c r="I32" s="324">
        <f>Gen!AK40</f>
        <v>96</v>
      </c>
    </row>
    <row r="33" spans="1:9" ht="13.5" x14ac:dyDescent="0.25">
      <c r="A33" s="321">
        <f>Gen!B41</f>
        <v>44592</v>
      </c>
      <c r="B33" s="323">
        <f>Gen!C41</f>
        <v>0.05</v>
      </c>
      <c r="C33" s="336">
        <f>'Energy Graph'!E32</f>
        <v>5</v>
      </c>
      <c r="D33" s="325">
        <v>1</v>
      </c>
      <c r="E33" s="324">
        <f>Gen!T41</f>
        <v>1283.56</v>
      </c>
      <c r="F33" s="324">
        <f>Gen!U41</f>
        <v>3272</v>
      </c>
      <c r="G33" s="324">
        <f>'Water-Meter'!E36</f>
        <v>104</v>
      </c>
      <c r="H33" s="324">
        <f>'Utility report '!AC36</f>
        <v>135</v>
      </c>
      <c r="I33" s="324">
        <f>Gen!AK41</f>
        <v>511.7</v>
      </c>
    </row>
    <row r="34" spans="1:9" ht="13.5" x14ac:dyDescent="0.25">
      <c r="A34" s="321"/>
      <c r="B34" s="323">
        <f>Gen!C42</f>
        <v>0</v>
      </c>
      <c r="C34" s="336">
        <f>'Energy Graph'!E33</f>
        <v>0</v>
      </c>
      <c r="D34" s="325"/>
      <c r="E34" s="324"/>
      <c r="F34" s="324"/>
      <c r="G34" s="324"/>
      <c r="H34" s="324"/>
      <c r="I34" s="324"/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AK74"/>
  <sheetViews>
    <sheetView topLeftCell="A4" zoomScalePageLayoutView="85" workbookViewId="0">
      <pane xSplit="1" topLeftCell="B1" activePane="topRight" state="frozen"/>
      <selection pane="topRight" activeCell="C8" sqref="C8"/>
    </sheetView>
  </sheetViews>
  <sheetFormatPr defaultRowHeight="12.75" x14ac:dyDescent="0.2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11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.28515625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customHeight="1" thickBot="1" x14ac:dyDescent="0.25">
      <c r="A1" s="897">
        <f>A6</f>
        <v>44562</v>
      </c>
      <c r="B1" s="898"/>
      <c r="C1" s="898"/>
      <c r="D1" s="898"/>
      <c r="E1" s="898"/>
      <c r="F1" s="898"/>
      <c r="G1" s="898"/>
      <c r="H1" s="898"/>
      <c r="I1" s="898"/>
      <c r="J1" s="898"/>
      <c r="K1" s="898"/>
      <c r="L1" s="898"/>
      <c r="M1" s="898"/>
      <c r="N1" s="898"/>
      <c r="O1" s="898"/>
      <c r="P1" s="898"/>
      <c r="Q1" s="898"/>
      <c r="R1" s="898"/>
      <c r="S1" s="898"/>
      <c r="T1" s="898"/>
      <c r="U1" s="898"/>
      <c r="V1" s="898"/>
      <c r="W1" s="898"/>
      <c r="X1" s="898"/>
      <c r="Y1" s="898"/>
      <c r="Z1" s="898"/>
      <c r="AA1" s="898"/>
      <c r="AB1" s="898"/>
      <c r="AC1" s="898"/>
      <c r="AD1" s="898"/>
      <c r="AE1" s="898"/>
      <c r="AF1" s="898"/>
      <c r="AG1" s="898"/>
      <c r="AH1" s="898"/>
      <c r="AI1" s="898"/>
      <c r="AJ1" s="898"/>
      <c r="AK1" s="899"/>
    </row>
    <row r="2" spans="1:37" ht="61.5" customHeight="1" thickBot="1" x14ac:dyDescent="0.25">
      <c r="A2" s="120" t="s">
        <v>44</v>
      </c>
      <c r="B2" s="900" t="s">
        <v>45</v>
      </c>
      <c r="C2" s="901"/>
      <c r="D2" s="902"/>
      <c r="E2" s="121"/>
      <c r="F2" s="121"/>
      <c r="G2" s="121"/>
      <c r="H2" s="118" t="s">
        <v>46</v>
      </c>
      <c r="I2" s="595" t="s">
        <v>47</v>
      </c>
      <c r="J2" s="597" t="s">
        <v>48</v>
      </c>
      <c r="K2" s="598"/>
      <c r="L2" s="599" t="s">
        <v>49</v>
      </c>
      <c r="M2" s="726" t="s">
        <v>50</v>
      </c>
      <c r="N2" s="235" t="s">
        <v>51</v>
      </c>
      <c r="O2" s="890" t="s">
        <v>52</v>
      </c>
      <c r="P2" s="890"/>
      <c r="Q2" s="890"/>
      <c r="R2" s="890"/>
      <c r="S2" s="890"/>
      <c r="T2" s="890"/>
      <c r="U2" s="890"/>
      <c r="V2" s="890"/>
      <c r="W2" s="890"/>
      <c r="X2" s="890"/>
      <c r="Y2" s="890"/>
      <c r="Z2" s="890"/>
      <c r="AA2" s="235" t="s">
        <v>53</v>
      </c>
      <c r="AB2" s="900" t="s">
        <v>54</v>
      </c>
      <c r="AC2" s="902"/>
      <c r="AD2" s="117">
        <v>0</v>
      </c>
      <c r="AE2" s="319" t="s">
        <v>55</v>
      </c>
      <c r="AF2" s="122" t="s">
        <v>56</v>
      </c>
      <c r="AG2" s="118" t="s">
        <v>57</v>
      </c>
      <c r="AH2" s="122" t="s">
        <v>58</v>
      </c>
      <c r="AI2" s="118" t="s">
        <v>59</v>
      </c>
      <c r="AJ2" s="119" t="s">
        <v>60</v>
      </c>
      <c r="AK2" s="118" t="s">
        <v>61</v>
      </c>
    </row>
    <row r="3" spans="1:37" ht="44.25" customHeight="1" x14ac:dyDescent="0.25">
      <c r="A3" s="125" t="s">
        <v>62</v>
      </c>
      <c r="B3" s="126">
        <v>1640</v>
      </c>
      <c r="C3" s="124" t="s">
        <v>63</v>
      </c>
      <c r="D3" s="126">
        <v>2175</v>
      </c>
      <c r="E3" s="127"/>
      <c r="F3" s="903">
        <f>SUM(D3/B3)</f>
        <v>1.3262195121951219</v>
      </c>
      <c r="G3" s="904"/>
      <c r="H3" s="110">
        <f>Gen!D11</f>
        <v>39200.629999999997</v>
      </c>
      <c r="I3" s="727"/>
      <c r="J3" s="600"/>
      <c r="K3" s="601" t="s">
        <v>64</v>
      </c>
      <c r="L3" s="600"/>
      <c r="M3" s="491" t="s">
        <v>65</v>
      </c>
      <c r="N3" s="600"/>
      <c r="O3" s="890" t="s">
        <v>66</v>
      </c>
      <c r="P3" s="890"/>
      <c r="Q3" s="890"/>
      <c r="R3" s="890"/>
      <c r="S3" s="891" t="s">
        <v>67</v>
      </c>
      <c r="T3" s="892"/>
      <c r="U3" s="892"/>
      <c r="V3" s="893"/>
      <c r="W3" s="894" t="s">
        <v>68</v>
      </c>
      <c r="X3" s="895"/>
      <c r="Y3" s="895"/>
      <c r="Z3" s="896"/>
      <c r="AA3" s="237" t="s">
        <v>69</v>
      </c>
      <c r="AB3" s="109" t="s">
        <v>65</v>
      </c>
      <c r="AD3" s="109">
        <v>0</v>
      </c>
      <c r="AE3" s="109" t="s">
        <v>70</v>
      </c>
      <c r="AF3" s="589" t="s">
        <v>71</v>
      </c>
      <c r="AG3" s="590" t="s">
        <v>71</v>
      </c>
      <c r="AH3" s="319" t="s">
        <v>71</v>
      </c>
      <c r="AI3" s="117" t="s">
        <v>72</v>
      </c>
      <c r="AJ3" s="591" t="s">
        <v>69</v>
      </c>
      <c r="AK3" s="592" t="s">
        <v>69</v>
      </c>
    </row>
    <row r="4" spans="1:37" ht="60" x14ac:dyDescent="0.2">
      <c r="A4" s="149"/>
      <c r="B4" s="150" t="s">
        <v>73</v>
      </c>
      <c r="C4" s="151" t="s">
        <v>37</v>
      </c>
      <c r="D4" s="152" t="s">
        <v>74</v>
      </c>
      <c r="E4" s="153"/>
      <c r="F4" s="153" t="s">
        <v>75</v>
      </c>
      <c r="G4" s="153" t="s">
        <v>76</v>
      </c>
      <c r="H4" s="154"/>
      <c r="I4" s="596"/>
      <c r="J4" s="610"/>
      <c r="K4" s="240"/>
      <c r="L4" s="599"/>
      <c r="M4" s="602"/>
      <c r="N4" s="235"/>
      <c r="O4" s="603" t="s">
        <v>77</v>
      </c>
      <c r="P4" s="239" t="s">
        <v>78</v>
      </c>
      <c r="Q4" s="239" t="s">
        <v>79</v>
      </c>
      <c r="R4" s="152" t="s">
        <v>80</v>
      </c>
      <c r="S4" s="238" t="s">
        <v>77</v>
      </c>
      <c r="T4" s="239" t="s">
        <v>78</v>
      </c>
      <c r="U4" s="239" t="s">
        <v>79</v>
      </c>
      <c r="V4" s="755" t="s">
        <v>80</v>
      </c>
      <c r="W4" s="752" t="s">
        <v>77</v>
      </c>
      <c r="X4" s="753" t="s">
        <v>81</v>
      </c>
      <c r="Y4" s="753" t="s">
        <v>79</v>
      </c>
      <c r="Z4" s="754" t="s">
        <v>80</v>
      </c>
      <c r="AA4" s="241" t="s">
        <v>82</v>
      </c>
      <c r="AB4" s="157"/>
      <c r="AC4" s="155" t="s">
        <v>82</v>
      </c>
      <c r="AD4" s="157"/>
      <c r="AE4" s="155" t="s">
        <v>82</v>
      </c>
      <c r="AF4" s="593">
        <v>2000</v>
      </c>
      <c r="AG4" s="594">
        <v>1000</v>
      </c>
      <c r="AH4" s="726">
        <v>1000</v>
      </c>
      <c r="AI4" s="109" t="e" vm="1">
        <v>#VALUE!</v>
      </c>
      <c r="AJ4" s="728" t="s">
        <v>83</v>
      </c>
      <c r="AK4" s="109" t="s">
        <v>82</v>
      </c>
    </row>
    <row r="5" spans="1:37" ht="18.75" x14ac:dyDescent="0.25">
      <c r="A5" s="605"/>
      <c r="B5" s="343"/>
      <c r="C5" s="611"/>
      <c r="D5" s="613"/>
      <c r="E5" s="613"/>
      <c r="F5" s="613"/>
      <c r="G5" s="613"/>
      <c r="H5" s="614"/>
      <c r="I5" s="614"/>
      <c r="J5" s="553"/>
      <c r="K5" s="567"/>
      <c r="L5" s="111"/>
      <c r="M5" s="381"/>
      <c r="N5" s="604"/>
      <c r="O5" s="552"/>
      <c r="P5" s="681"/>
      <c r="Q5" s="577"/>
      <c r="R5" s="567"/>
      <c r="S5" s="552"/>
      <c r="T5" s="557">
        <v>20528</v>
      </c>
      <c r="U5" s="552"/>
      <c r="V5" s="567"/>
      <c r="W5" s="756"/>
      <c r="X5" s="735"/>
      <c r="Y5" s="756"/>
      <c r="Z5" s="757"/>
      <c r="AA5" s="564"/>
      <c r="AB5" s="563">
        <v>21907</v>
      </c>
      <c r="AC5" s="552"/>
      <c r="AD5" s="680">
        <v>228878</v>
      </c>
      <c r="AE5" s="554"/>
      <c r="AF5" s="570">
        <v>0.85</v>
      </c>
      <c r="AG5" s="571">
        <v>0.85</v>
      </c>
      <c r="AH5" s="584">
        <v>0.85</v>
      </c>
      <c r="AI5" s="574"/>
      <c r="AJ5" s="564"/>
      <c r="AK5" s="564"/>
    </row>
    <row r="6" spans="1:37" ht="18.75" x14ac:dyDescent="0.3">
      <c r="A6" s="606">
        <f>Gen!B11</f>
        <v>44562</v>
      </c>
      <c r="B6" s="343">
        <f>'UTILITY REPORT 1'!C3</f>
        <v>34</v>
      </c>
      <c r="C6" s="611"/>
      <c r="D6" s="573">
        <f>B6</f>
        <v>34</v>
      </c>
      <c r="E6" s="573">
        <f>SUM(F3)</f>
        <v>1.3262195121951219</v>
      </c>
      <c r="F6" s="352">
        <f>SUM(J6*E6)/D6</f>
        <v>184.65656384505021</v>
      </c>
      <c r="G6" s="352">
        <f t="shared" ref="G6:G36" si="0">SUM(L6*E6)/D6</f>
        <v>184.65656384505021</v>
      </c>
      <c r="H6" s="573">
        <f>Gen!D11</f>
        <v>39200.629999999997</v>
      </c>
      <c r="I6" s="573">
        <f>Gen!F11</f>
        <v>0</v>
      </c>
      <c r="J6" s="612">
        <f>Gen!U11</f>
        <v>4734</v>
      </c>
      <c r="K6" s="615">
        <f>Gen!AL11</f>
        <v>0</v>
      </c>
      <c r="L6" s="608">
        <f t="shared" ref="L6:L13" si="1">SUM(J6:K6)</f>
        <v>4734</v>
      </c>
      <c r="M6" s="361">
        <f>'Water-Meter'!K46</f>
        <v>452.06799907279299</v>
      </c>
      <c r="N6" s="568">
        <f>'Water-Meter'!E6</f>
        <v>116</v>
      </c>
      <c r="O6" s="552"/>
      <c r="P6" s="681">
        <v>19044</v>
      </c>
      <c r="Q6" s="578">
        <f t="shared" ref="Q6:Q36" si="2">SUM(P6-P5)</f>
        <v>19044</v>
      </c>
      <c r="R6" s="344">
        <f>SUM(Q6*O6)</f>
        <v>0</v>
      </c>
      <c r="S6" s="552">
        <v>6.7</v>
      </c>
      <c r="T6" s="557">
        <v>20544</v>
      </c>
      <c r="U6" s="578">
        <f t="shared" ref="U6:U36" si="3">T6-T5</f>
        <v>16</v>
      </c>
      <c r="V6" s="345">
        <f t="shared" ref="V6:V10" si="4">SUM(U6*S7)</f>
        <v>107.2</v>
      </c>
      <c r="W6" s="552"/>
      <c r="X6" s="735">
        <v>29498</v>
      </c>
      <c r="Y6" s="578">
        <f>X6-X5</f>
        <v>29498</v>
      </c>
      <c r="Z6" s="562">
        <f t="shared" ref="Z6:AA6" si="5">Y6-Y5</f>
        <v>29498</v>
      </c>
      <c r="AA6" s="565">
        <f t="shared" si="5"/>
        <v>29498</v>
      </c>
      <c r="AB6" s="563">
        <v>22009</v>
      </c>
      <c r="AC6" s="550">
        <f>AB6-AB5</f>
        <v>102</v>
      </c>
      <c r="AD6" s="680">
        <v>228934</v>
      </c>
      <c r="AE6" s="156">
        <f>AD6-AD5</f>
        <v>56</v>
      </c>
      <c r="AF6" s="572">
        <f>'Lpg (2)'!B10*2000/85</f>
        <v>1176.4705882352941</v>
      </c>
      <c r="AG6" s="224">
        <f>'Lpg (2)'!C10*1000/85</f>
        <v>0</v>
      </c>
      <c r="AH6" s="585">
        <f>'Lpg (2)'!D10*1000/85</f>
        <v>0</v>
      </c>
      <c r="AI6" s="575">
        <f>SUM(AF6*2000)+(AG6*1000)+(AH6*1000)</f>
        <v>2352941.1764705884</v>
      </c>
      <c r="AJ6" s="346">
        <f t="shared" ref="AJ6:AJ36" si="6">SUM(AI5-AI6)</f>
        <v>-2352941.1764705884</v>
      </c>
      <c r="AK6" s="115"/>
    </row>
    <row r="7" spans="1:37" ht="18.75" x14ac:dyDescent="0.3">
      <c r="A7" s="606">
        <f>Gen!B12</f>
        <v>44563</v>
      </c>
      <c r="B7" s="343">
        <f>'UTILITY REPORT 1'!C4</f>
        <v>42</v>
      </c>
      <c r="C7" s="611"/>
      <c r="D7" s="573">
        <f t="shared" ref="D7:D36" si="7">B7</f>
        <v>42</v>
      </c>
      <c r="E7" s="573">
        <f>SUM(E6)</f>
        <v>1.3262195121951219</v>
      </c>
      <c r="F7" s="352">
        <f>SUM(J7*E7)/D7</f>
        <v>144.08427700348432</v>
      </c>
      <c r="G7" s="352">
        <f t="shared" si="0"/>
        <v>144.08427700348432</v>
      </c>
      <c r="H7" s="573">
        <f>Gen!D12</f>
        <v>36915.22</v>
      </c>
      <c r="I7" s="573">
        <f>Gen!F12</f>
        <v>0</v>
      </c>
      <c r="J7" s="612">
        <f>Gen!U12</f>
        <v>4563</v>
      </c>
      <c r="K7" s="615">
        <f>Gen!AL12</f>
        <v>0</v>
      </c>
      <c r="L7" s="608">
        <f t="shared" si="1"/>
        <v>4563</v>
      </c>
      <c r="M7" s="361">
        <f>'Water-Meter'!K47</f>
        <v>449.21462333697059</v>
      </c>
      <c r="N7" s="568">
        <f>'Water-Meter'!E7</f>
        <v>94</v>
      </c>
      <c r="O7" s="552"/>
      <c r="P7" s="681">
        <v>19044</v>
      </c>
      <c r="Q7" s="578">
        <f t="shared" si="2"/>
        <v>0</v>
      </c>
      <c r="R7" s="344">
        <f t="shared" ref="R7:R36" si="8">SUM(Q7*O7)</f>
        <v>0</v>
      </c>
      <c r="S7" s="552">
        <v>6.7</v>
      </c>
      <c r="T7" s="557">
        <v>20544</v>
      </c>
      <c r="U7" s="578">
        <f t="shared" si="3"/>
        <v>0</v>
      </c>
      <c r="V7" s="345">
        <f t="shared" si="4"/>
        <v>0</v>
      </c>
      <c r="W7" s="552"/>
      <c r="X7" s="735">
        <v>29498</v>
      </c>
      <c r="Y7" s="578">
        <f>X7-X6</f>
        <v>0</v>
      </c>
      <c r="Z7" s="856">
        <f t="shared" ref="Z7:AA9" si="9">Y7-Y6</f>
        <v>-29498</v>
      </c>
      <c r="AA7" s="857">
        <f t="shared" si="9"/>
        <v>-58996</v>
      </c>
      <c r="AB7" s="563">
        <v>22073</v>
      </c>
      <c r="AC7" s="550">
        <f t="shared" ref="AC7:AC27" si="10">AB7-AB6</f>
        <v>64</v>
      </c>
      <c r="AD7" s="680">
        <v>228989</v>
      </c>
      <c r="AE7" s="156">
        <f>AD7-AD6</f>
        <v>55</v>
      </c>
      <c r="AF7" s="572">
        <f>'Lpg (2)'!B11*2000/85</f>
        <v>1058.8235294117646</v>
      </c>
      <c r="AG7" s="224">
        <f>'Lpg (2)'!C11*1000/85</f>
        <v>0</v>
      </c>
      <c r="AH7" s="585">
        <f>'Lpg (2)'!D11*1000/85</f>
        <v>0</v>
      </c>
      <c r="AI7" s="575">
        <f t="shared" ref="AI7:AI14" si="11">SUM(AF6*2000)+(AG7*1000)+(AH7*1000)</f>
        <v>2352941.1764705884</v>
      </c>
      <c r="AJ7" s="346">
        <f t="shared" si="6"/>
        <v>0</v>
      </c>
      <c r="AK7" s="115"/>
    </row>
    <row r="8" spans="1:37" ht="18.75" x14ac:dyDescent="0.3">
      <c r="A8" s="606">
        <f>Gen!B13</f>
        <v>44564</v>
      </c>
      <c r="B8" s="343">
        <f>'UTILITY REPORT 1'!C5</f>
        <v>29</v>
      </c>
      <c r="C8" s="611"/>
      <c r="D8" s="573">
        <f t="shared" si="7"/>
        <v>29</v>
      </c>
      <c r="E8" s="573">
        <f t="shared" ref="E8:E36" si="12">SUM(E7)</f>
        <v>1.3262195121951219</v>
      </c>
      <c r="F8" s="352">
        <f t="shared" ref="F8:F36" si="13">SUM(J8*E8)/D8</f>
        <v>209.17682926829269</v>
      </c>
      <c r="G8" s="352">
        <f t="shared" si="0"/>
        <v>209.17682926829269</v>
      </c>
      <c r="H8" s="573">
        <f>Gen!D13</f>
        <v>34750.83</v>
      </c>
      <c r="I8" s="573">
        <f>Gen!F13</f>
        <v>0</v>
      </c>
      <c r="J8" s="612">
        <f>Gen!U13</f>
        <v>4574</v>
      </c>
      <c r="K8" s="615">
        <f>Gen!AL13</f>
        <v>0</v>
      </c>
      <c r="L8" s="608">
        <f t="shared" si="1"/>
        <v>4574</v>
      </c>
      <c r="M8" s="361">
        <f>'Water-Meter'!K48</f>
        <v>474.25282978802647</v>
      </c>
      <c r="N8" s="568">
        <f>'Water-Meter'!E8</f>
        <v>110</v>
      </c>
      <c r="O8" s="552"/>
      <c r="P8" s="681">
        <v>19044</v>
      </c>
      <c r="Q8" s="578">
        <f t="shared" si="2"/>
        <v>0</v>
      </c>
      <c r="R8" s="344">
        <f t="shared" si="8"/>
        <v>0</v>
      </c>
      <c r="S8" s="552">
        <v>6.7</v>
      </c>
      <c r="T8" s="557">
        <v>20554</v>
      </c>
      <c r="U8" s="578">
        <f t="shared" si="3"/>
        <v>10</v>
      </c>
      <c r="V8" s="345">
        <f t="shared" si="4"/>
        <v>68</v>
      </c>
      <c r="W8" s="552"/>
      <c r="X8" s="735">
        <v>29498</v>
      </c>
      <c r="Y8" s="578">
        <f>X8-X7</f>
        <v>0</v>
      </c>
      <c r="Z8" s="856">
        <f t="shared" si="9"/>
        <v>0</v>
      </c>
      <c r="AA8" s="857">
        <f t="shared" si="9"/>
        <v>29498</v>
      </c>
      <c r="AB8" s="563">
        <v>22178</v>
      </c>
      <c r="AC8" s="550">
        <f t="shared" si="10"/>
        <v>105</v>
      </c>
      <c r="AD8" s="680">
        <v>229045</v>
      </c>
      <c r="AE8" s="156">
        <f t="shared" ref="AE8:AE14" si="14">AD8-AD7</f>
        <v>56</v>
      </c>
      <c r="AF8" s="572">
        <f>'Lpg (2)'!B12*2000/85</f>
        <v>964.70588235294122</v>
      </c>
      <c r="AG8" s="224">
        <f>'Lpg (2)'!C12*1000/85</f>
        <v>0</v>
      </c>
      <c r="AH8" s="585">
        <f>'Lpg (2)'!D12*1000/85</f>
        <v>0</v>
      </c>
      <c r="AI8" s="575">
        <f t="shared" si="11"/>
        <v>2117647.0588235292</v>
      </c>
      <c r="AJ8" s="346">
        <f t="shared" si="6"/>
        <v>235294.11764705926</v>
      </c>
      <c r="AK8" s="115"/>
    </row>
    <row r="9" spans="1:37" ht="18.75" x14ac:dyDescent="0.3">
      <c r="A9" s="606">
        <f>Gen!B14</f>
        <v>44565</v>
      </c>
      <c r="B9" s="343">
        <f>'UTILITY REPORT 1'!C6</f>
        <v>28</v>
      </c>
      <c r="C9" s="611"/>
      <c r="D9" s="573">
        <f t="shared" si="7"/>
        <v>28</v>
      </c>
      <c r="E9" s="573">
        <f t="shared" si="12"/>
        <v>1.3262195121951219</v>
      </c>
      <c r="F9" s="352">
        <f t="shared" si="13"/>
        <v>205.84821428571428</v>
      </c>
      <c r="G9" s="352">
        <f t="shared" si="0"/>
        <v>205.84821428571428</v>
      </c>
      <c r="H9" s="573">
        <f>Gen!D14</f>
        <v>32659.910000000003</v>
      </c>
      <c r="I9" s="573">
        <f>Gen!F14</f>
        <v>0</v>
      </c>
      <c r="J9" s="612">
        <f>Gen!U14</f>
        <v>4346</v>
      </c>
      <c r="K9" s="615">
        <f>Gen!AL14</f>
        <v>0</v>
      </c>
      <c r="L9" s="608">
        <f t="shared" si="1"/>
        <v>4346</v>
      </c>
      <c r="M9" s="361">
        <f>'Water-Meter'!K49</f>
        <v>536.57201256917688</v>
      </c>
      <c r="N9" s="568">
        <f>'Water-Meter'!E9</f>
        <v>94</v>
      </c>
      <c r="O9" s="552"/>
      <c r="P9" s="681">
        <v>19044</v>
      </c>
      <c r="Q9" s="578">
        <f>SUM(P9-P7)</f>
        <v>0</v>
      </c>
      <c r="R9" s="344">
        <f t="shared" si="8"/>
        <v>0</v>
      </c>
      <c r="S9" s="552">
        <v>6.8</v>
      </c>
      <c r="T9" s="557">
        <v>20595</v>
      </c>
      <c r="U9" s="578">
        <f t="shared" si="3"/>
        <v>41</v>
      </c>
      <c r="V9" s="345">
        <f t="shared" si="4"/>
        <v>278.8</v>
      </c>
      <c r="W9" s="552"/>
      <c r="X9" s="735">
        <v>29498</v>
      </c>
      <c r="Y9" s="578">
        <f>X9-X8</f>
        <v>0</v>
      </c>
      <c r="Z9" s="856">
        <f t="shared" si="9"/>
        <v>0</v>
      </c>
      <c r="AA9" s="857">
        <f t="shared" si="9"/>
        <v>0</v>
      </c>
      <c r="AB9" s="563">
        <v>22325</v>
      </c>
      <c r="AC9" s="550">
        <f t="shared" si="10"/>
        <v>147</v>
      </c>
      <c r="AD9" s="680">
        <v>229104</v>
      </c>
      <c r="AE9" s="156">
        <f t="shared" si="14"/>
        <v>59</v>
      </c>
      <c r="AF9" s="572">
        <f>'Lpg (2)'!B13*2000/85</f>
        <v>941.17647058823525</v>
      </c>
      <c r="AG9" s="224">
        <f>'Lpg (2)'!C13*1000/85</f>
        <v>0</v>
      </c>
      <c r="AH9" s="585">
        <f>'Lpg (2)'!D13*1000/85</f>
        <v>0</v>
      </c>
      <c r="AI9" s="575">
        <f t="shared" si="11"/>
        <v>1929411.7647058824</v>
      </c>
      <c r="AJ9" s="346">
        <f t="shared" si="6"/>
        <v>188235.29411764676</v>
      </c>
      <c r="AK9" s="115"/>
    </row>
    <row r="10" spans="1:37" ht="18.75" x14ac:dyDescent="0.3">
      <c r="A10" s="606">
        <f>Gen!B15</f>
        <v>44566</v>
      </c>
      <c r="B10" s="343">
        <f>'UTILITY REPORT 1'!C7</f>
        <v>21</v>
      </c>
      <c r="C10" s="611"/>
      <c r="D10" s="573">
        <f t="shared" si="7"/>
        <v>21</v>
      </c>
      <c r="E10" s="573">
        <f t="shared" si="12"/>
        <v>1.3262195121951219</v>
      </c>
      <c r="F10" s="352">
        <f t="shared" si="13"/>
        <v>250.65548780487802</v>
      </c>
      <c r="G10" s="352">
        <f t="shared" si="0"/>
        <v>250.65548780487802</v>
      </c>
      <c r="H10" s="573">
        <f>Gen!D15</f>
        <v>30522.730000000003</v>
      </c>
      <c r="I10" s="573">
        <f>Gen!F15</f>
        <v>0</v>
      </c>
      <c r="J10" s="612">
        <f>Gen!U15</f>
        <v>3969</v>
      </c>
      <c r="K10" s="615">
        <f>Gen!AL15</f>
        <v>0</v>
      </c>
      <c r="L10" s="608">
        <f t="shared" si="1"/>
        <v>3969</v>
      </c>
      <c r="M10" s="361">
        <f>'Water-Meter'!K50</f>
        <v>525.16540876692397</v>
      </c>
      <c r="N10" s="568">
        <f>'Water-Meter'!E10</f>
        <v>86</v>
      </c>
      <c r="O10" s="552"/>
      <c r="P10" s="681">
        <v>19044</v>
      </c>
      <c r="Q10" s="578">
        <f>SUM(P10-P9)</f>
        <v>0</v>
      </c>
      <c r="R10" s="344">
        <f t="shared" si="8"/>
        <v>0</v>
      </c>
      <c r="S10" s="552">
        <v>6.8</v>
      </c>
      <c r="T10" s="557">
        <v>20595</v>
      </c>
      <c r="U10" s="578">
        <f t="shared" si="3"/>
        <v>0</v>
      </c>
      <c r="V10" s="345">
        <f t="shared" si="4"/>
        <v>0</v>
      </c>
      <c r="W10" s="552"/>
      <c r="X10" s="735">
        <v>29498</v>
      </c>
      <c r="Y10" s="578">
        <f t="shared" ref="Y10:Y21" si="15">X10-X9</f>
        <v>0</v>
      </c>
      <c r="Z10" s="859">
        <f>SUM(Y10*W10)</f>
        <v>0</v>
      </c>
      <c r="AA10" s="857">
        <f>Z10-Z9</f>
        <v>0</v>
      </c>
      <c r="AB10" s="563">
        <v>22325</v>
      </c>
      <c r="AC10" s="550">
        <f t="shared" si="10"/>
        <v>0</v>
      </c>
      <c r="AD10" s="680">
        <v>229153</v>
      </c>
      <c r="AE10" s="156">
        <f t="shared" si="14"/>
        <v>49</v>
      </c>
      <c r="AF10" s="572">
        <f>'Lpg (2)'!B14*2000/85</f>
        <v>894.11764705882354</v>
      </c>
      <c r="AG10" s="224">
        <f>'Lpg (2)'!C14*1000/85</f>
        <v>0</v>
      </c>
      <c r="AH10" s="585">
        <f>'Lpg (2)'!D14*1000/85</f>
        <v>0</v>
      </c>
      <c r="AI10" s="575">
        <f t="shared" si="11"/>
        <v>1882352.9411764706</v>
      </c>
      <c r="AJ10" s="346">
        <f t="shared" si="6"/>
        <v>47058.823529411806</v>
      </c>
      <c r="AK10" s="115"/>
    </row>
    <row r="11" spans="1:37" ht="18.75" x14ac:dyDescent="0.3">
      <c r="A11" s="606">
        <f>Gen!B16</f>
        <v>44567</v>
      </c>
      <c r="B11" s="343">
        <f>'UTILITY REPORT 1'!C8</f>
        <v>25</v>
      </c>
      <c r="C11" s="611"/>
      <c r="D11" s="573">
        <f t="shared" si="7"/>
        <v>25</v>
      </c>
      <c r="E11" s="573">
        <f t="shared" si="12"/>
        <v>1.3262195121951219</v>
      </c>
      <c r="F11" s="352">
        <f t="shared" si="13"/>
        <v>229.4359756097561</v>
      </c>
      <c r="G11" s="352">
        <f>SUM(L11*E11)/D11</f>
        <v>229.4359756097561</v>
      </c>
      <c r="H11" s="573">
        <f>Gen!D16</f>
        <v>28696.340000000004</v>
      </c>
      <c r="I11" s="573">
        <f>Gen!F16</f>
        <v>0</v>
      </c>
      <c r="J11" s="612">
        <f>Gen!U16</f>
        <v>4325</v>
      </c>
      <c r="K11" s="615">
        <f>Gen!AL16</f>
        <v>0</v>
      </c>
      <c r="L11" s="608">
        <f t="shared" si="1"/>
        <v>4325</v>
      </c>
      <c r="M11" s="361">
        <f>'Water-Meter'!K51</f>
        <v>534.09828199878712</v>
      </c>
      <c r="N11" s="568">
        <f>'Water-Meter'!E11</f>
        <v>90</v>
      </c>
      <c r="O11" s="552"/>
      <c r="P11" s="681">
        <v>19044</v>
      </c>
      <c r="Q11" s="578">
        <f t="shared" si="2"/>
        <v>0</v>
      </c>
      <c r="R11" s="344">
        <f t="shared" si="8"/>
        <v>0</v>
      </c>
      <c r="S11" s="552">
        <v>6.8</v>
      </c>
      <c r="T11" s="557">
        <v>20618</v>
      </c>
      <c r="U11" s="578">
        <f>T11-T10</f>
        <v>23</v>
      </c>
      <c r="V11" s="345">
        <f t="shared" ref="V11" si="16">SUM(U11*S12)</f>
        <v>156.4</v>
      </c>
      <c r="W11" s="552"/>
      <c r="X11" s="735">
        <v>29498</v>
      </c>
      <c r="Y11" s="578">
        <f t="shared" si="15"/>
        <v>0</v>
      </c>
      <c r="Z11" s="859">
        <f>SUM(Y11*W11)</f>
        <v>0</v>
      </c>
      <c r="AA11" s="858">
        <f>SUM(Z11*X13)</f>
        <v>0</v>
      </c>
      <c r="AB11" s="563">
        <v>22473</v>
      </c>
      <c r="AC11" s="550">
        <f t="shared" si="10"/>
        <v>148</v>
      </c>
      <c r="AD11" s="680">
        <v>229207</v>
      </c>
      <c r="AE11" s="156">
        <f t="shared" si="14"/>
        <v>54</v>
      </c>
      <c r="AF11" s="572">
        <f>'Lpg (2)'!B15*2000/85</f>
        <v>1694.1176470588234</v>
      </c>
      <c r="AG11" s="224">
        <f>'Lpg (2)'!C15*1000/85</f>
        <v>1000</v>
      </c>
      <c r="AH11" s="585">
        <f>'Lpg (2)'!D15*1000/85</f>
        <v>1000</v>
      </c>
      <c r="AI11" s="575">
        <f t="shared" si="11"/>
        <v>3788235.2941176472</v>
      </c>
      <c r="AJ11" s="346">
        <f t="shared" si="6"/>
        <v>-1905882.3529411766</v>
      </c>
      <c r="AK11" s="115"/>
    </row>
    <row r="12" spans="1:37" ht="18.75" x14ac:dyDescent="0.3">
      <c r="A12" s="606">
        <f>Gen!B17</f>
        <v>44568</v>
      </c>
      <c r="B12" s="343">
        <f>'UTILITY REPORT 1'!C9</f>
        <v>20</v>
      </c>
      <c r="C12" s="611"/>
      <c r="D12" s="573">
        <f t="shared" si="7"/>
        <v>20</v>
      </c>
      <c r="E12" s="573">
        <f t="shared" si="12"/>
        <v>1.3262195121951219</v>
      </c>
      <c r="F12" s="352">
        <f t="shared" si="13"/>
        <v>294.6859756097561</v>
      </c>
      <c r="G12" s="352">
        <f t="shared" si="0"/>
        <v>294.6859756097561</v>
      </c>
      <c r="H12" s="573">
        <f>Gen!D17</f>
        <v>26568.150000000005</v>
      </c>
      <c r="I12" s="573">
        <f>Gen!F17</f>
        <v>18000</v>
      </c>
      <c r="J12" s="612">
        <f>Gen!U17</f>
        <v>4444</v>
      </c>
      <c r="K12" s="615">
        <f>Gen!AL17</f>
        <v>0</v>
      </c>
      <c r="L12" s="608">
        <f t="shared" si="1"/>
        <v>4444</v>
      </c>
      <c r="M12" s="361">
        <f>'Water-Meter'!K52</f>
        <v>568.94889621785137</v>
      </c>
      <c r="N12" s="568">
        <f>'Water-Meter'!E12</f>
        <v>92</v>
      </c>
      <c r="O12" s="552"/>
      <c r="P12" s="681">
        <v>19044</v>
      </c>
      <c r="Q12" s="578">
        <f t="shared" si="2"/>
        <v>0</v>
      </c>
      <c r="R12" s="344">
        <f t="shared" si="8"/>
        <v>0</v>
      </c>
      <c r="S12" s="552">
        <v>6.8</v>
      </c>
      <c r="T12" s="557">
        <v>20634</v>
      </c>
      <c r="U12" s="578">
        <f t="shared" si="3"/>
        <v>16</v>
      </c>
      <c r="V12" s="345">
        <f t="shared" ref="V12:V16" si="17">SUM(U12*S12)</f>
        <v>108.8</v>
      </c>
      <c r="W12" s="552"/>
      <c r="X12" s="735">
        <v>29498</v>
      </c>
      <c r="Y12" s="578">
        <f t="shared" si="15"/>
        <v>0</v>
      </c>
      <c r="Z12" s="560">
        <f>SUM(Y12*W12)</f>
        <v>0</v>
      </c>
      <c r="AA12" s="858">
        <f>SUM(Z12*X14)</f>
        <v>0</v>
      </c>
      <c r="AB12" s="563"/>
      <c r="AC12" s="550">
        <f t="shared" si="10"/>
        <v>-22473</v>
      </c>
      <c r="AD12" s="680"/>
      <c r="AE12" s="156">
        <f t="shared" si="14"/>
        <v>-229207</v>
      </c>
      <c r="AF12" s="572">
        <f>'Lpg (2)'!B16*2000/85</f>
        <v>1647.0588235294117</v>
      </c>
      <c r="AG12" s="224">
        <f>'Lpg (2)'!C16*1000/85</f>
        <v>1000</v>
      </c>
      <c r="AH12" s="585">
        <f>'Lpg (2)'!D16*1000/85</f>
        <v>1000</v>
      </c>
      <c r="AI12" s="575">
        <f t="shared" si="11"/>
        <v>5388235.2941176463</v>
      </c>
      <c r="AJ12" s="346">
        <f t="shared" si="6"/>
        <v>-1599999.9999999991</v>
      </c>
      <c r="AK12" s="115"/>
    </row>
    <row r="13" spans="1:37" ht="18.75" x14ac:dyDescent="0.3">
      <c r="A13" s="606">
        <f>Gen!B18</f>
        <v>44569</v>
      </c>
      <c r="B13" s="343">
        <f>'UTILITY REPORT 1'!C10</f>
        <v>19</v>
      </c>
      <c r="C13" s="611"/>
      <c r="D13" s="573">
        <f t="shared" si="7"/>
        <v>19</v>
      </c>
      <c r="E13" s="573">
        <f t="shared" si="12"/>
        <v>1.3262195121951219</v>
      </c>
      <c r="F13" s="352">
        <f t="shared" si="13"/>
        <v>299.51620667522462</v>
      </c>
      <c r="G13" s="352">
        <f t="shared" si="0"/>
        <v>299.51620667522462</v>
      </c>
      <c r="H13" s="573">
        <f>Gen!D18</f>
        <v>24568.800000000007</v>
      </c>
      <c r="I13" s="573">
        <f>Gen!F18</f>
        <v>0</v>
      </c>
      <c r="J13" s="612">
        <f>Gen!U18</f>
        <v>4291</v>
      </c>
      <c r="K13" s="615">
        <f>Gen!AL18</f>
        <v>0</v>
      </c>
      <c r="L13" s="608">
        <f t="shared" si="1"/>
        <v>4291</v>
      </c>
      <c r="M13" s="361">
        <f>'Water-Meter'!K53</f>
        <v>571.96528966047435</v>
      </c>
      <c r="N13" s="568">
        <f>'Water-Meter'!E13</f>
        <v>108</v>
      </c>
      <c r="O13" s="552"/>
      <c r="P13" s="681">
        <v>19044</v>
      </c>
      <c r="Q13" s="578">
        <f t="shared" si="2"/>
        <v>0</v>
      </c>
      <c r="R13" s="344">
        <f>SUM(Q13*O13)</f>
        <v>0</v>
      </c>
      <c r="S13" s="552">
        <v>6.8</v>
      </c>
      <c r="T13" s="557">
        <v>20634</v>
      </c>
      <c r="U13" s="578">
        <f t="shared" si="3"/>
        <v>0</v>
      </c>
      <c r="V13" s="345">
        <f t="shared" si="17"/>
        <v>0</v>
      </c>
      <c r="W13" s="552"/>
      <c r="X13" s="735">
        <v>29498</v>
      </c>
      <c r="Y13" s="578">
        <f t="shared" si="15"/>
        <v>0</v>
      </c>
      <c r="Z13" s="560">
        <f t="shared" ref="Z13:Z16" si="18">SUM(Y13*W13)</f>
        <v>0</v>
      </c>
      <c r="AA13" s="858">
        <f>SUM(Z13*X15)</f>
        <v>0</v>
      </c>
      <c r="AB13" s="563">
        <v>22575</v>
      </c>
      <c r="AC13" s="550">
        <f t="shared" si="10"/>
        <v>22575</v>
      </c>
      <c r="AD13" s="680">
        <v>229265</v>
      </c>
      <c r="AE13" s="156">
        <f t="shared" si="14"/>
        <v>229265</v>
      </c>
      <c r="AF13" s="572">
        <f>'Lpg (2)'!B17*2000/85</f>
        <v>1647.0588235294117</v>
      </c>
      <c r="AG13" s="224">
        <f>'Lpg (2)'!C17*1000/85</f>
        <v>1000</v>
      </c>
      <c r="AH13" s="585">
        <f>'Lpg (2)'!D17*1000/85</f>
        <v>1000</v>
      </c>
      <c r="AI13" s="575">
        <f t="shared" si="11"/>
        <v>5294117.6470588241</v>
      </c>
      <c r="AJ13" s="346">
        <f t="shared" si="6"/>
        <v>94117.647058822215</v>
      </c>
      <c r="AK13" s="115"/>
    </row>
    <row r="14" spans="1:37" ht="18.75" x14ac:dyDescent="0.3">
      <c r="A14" s="606">
        <f>Gen!B19</f>
        <v>44570</v>
      </c>
      <c r="B14" s="343">
        <f>'UTILITY REPORT 1'!C11</f>
        <v>17</v>
      </c>
      <c r="C14" s="611"/>
      <c r="D14" s="573">
        <f t="shared" si="7"/>
        <v>17</v>
      </c>
      <c r="E14" s="573">
        <f t="shared" si="12"/>
        <v>1.3262195121951219</v>
      </c>
      <c r="F14" s="352">
        <f t="shared" si="13"/>
        <v>338.26398852223815</v>
      </c>
      <c r="G14" s="352">
        <f t="shared" si="0"/>
        <v>338.26398852223815</v>
      </c>
      <c r="H14" s="573">
        <f>Gen!D19</f>
        <v>40639.090000000011</v>
      </c>
      <c r="I14" s="573">
        <f>Gen!F19</f>
        <v>0</v>
      </c>
      <c r="J14" s="612">
        <f>Gen!U19</f>
        <v>4336</v>
      </c>
      <c r="K14" s="615">
        <f>Gen!AL19</f>
        <v>0</v>
      </c>
      <c r="L14" s="608">
        <f t="shared" ref="L14:L37" si="19">SUM(J14:K14)</f>
        <v>4336</v>
      </c>
      <c r="M14" s="361">
        <f>'Water-Meter'!K54</f>
        <v>575.97264388153621</v>
      </c>
      <c r="N14" s="568">
        <f>'Water-Meter'!E14</f>
        <v>101</v>
      </c>
      <c r="O14" s="552"/>
      <c r="P14" s="681">
        <v>19044</v>
      </c>
      <c r="Q14" s="578">
        <f t="shared" si="2"/>
        <v>0</v>
      </c>
      <c r="R14" s="344">
        <f t="shared" si="8"/>
        <v>0</v>
      </c>
      <c r="S14" s="552">
        <v>6.8</v>
      </c>
      <c r="T14" s="557">
        <v>20655</v>
      </c>
      <c r="U14" s="578">
        <f t="shared" si="3"/>
        <v>21</v>
      </c>
      <c r="V14" s="345">
        <f t="shared" si="17"/>
        <v>142.79999999999998</v>
      </c>
      <c r="W14" s="552"/>
      <c r="X14" s="735">
        <v>29498</v>
      </c>
      <c r="Y14" s="578">
        <f t="shared" si="15"/>
        <v>0</v>
      </c>
      <c r="Z14" s="560">
        <f t="shared" si="18"/>
        <v>0</v>
      </c>
      <c r="AA14" s="566">
        <f t="shared" ref="AA14:AA36" si="20">SUM(Z14*X16)</f>
        <v>0</v>
      </c>
      <c r="AB14" s="563">
        <v>22703</v>
      </c>
      <c r="AC14" s="550">
        <f t="shared" si="10"/>
        <v>128</v>
      </c>
      <c r="AD14" s="680">
        <v>229321</v>
      </c>
      <c r="AE14" s="156">
        <f t="shared" si="14"/>
        <v>56</v>
      </c>
      <c r="AF14" s="572">
        <f>'Lpg (2)'!B18*2000/85</f>
        <v>1529.4117647058824</v>
      </c>
      <c r="AG14" s="224">
        <f>'Lpg (2)'!C18*1000/85</f>
        <v>1000</v>
      </c>
      <c r="AH14" s="585">
        <f>'Lpg (2)'!D18*1000/85</f>
        <v>1000</v>
      </c>
      <c r="AI14" s="575">
        <f t="shared" si="11"/>
        <v>5294117.6470588241</v>
      </c>
      <c r="AJ14" s="346">
        <f t="shared" si="6"/>
        <v>0</v>
      </c>
      <c r="AK14" s="115"/>
    </row>
    <row r="15" spans="1:37" ht="18.75" x14ac:dyDescent="0.3">
      <c r="A15" s="606">
        <f>Gen!B20</f>
        <v>44571</v>
      </c>
      <c r="B15" s="343">
        <f>'UTILITY REPORT 1'!C12</f>
        <v>16</v>
      </c>
      <c r="C15" s="611"/>
      <c r="D15" s="573">
        <f t="shared" si="7"/>
        <v>16</v>
      </c>
      <c r="E15" s="573">
        <f t="shared" si="12"/>
        <v>1.3262195121951219</v>
      </c>
      <c r="F15" s="352">
        <f t="shared" si="13"/>
        <v>354.68083079268291</v>
      </c>
      <c r="G15" s="352">
        <f t="shared" si="0"/>
        <v>354.68083079268291</v>
      </c>
      <c r="H15" s="573">
        <f>Gen!D20</f>
        <v>38683.30000000001</v>
      </c>
      <c r="I15" s="573">
        <f>Gen!F20</f>
        <v>0</v>
      </c>
      <c r="J15" s="612">
        <f>Gen!U20</f>
        <v>4279</v>
      </c>
      <c r="K15" s="615">
        <f>Gen!AL20</f>
        <v>0</v>
      </c>
      <c r="L15" s="608">
        <f t="shared" si="19"/>
        <v>4279</v>
      </c>
      <c r="M15" s="361">
        <f>'Water-Meter'!K55</f>
        <v>615.62823965188602</v>
      </c>
      <c r="N15" s="568">
        <f>'Water-Meter'!E15</f>
        <v>83</v>
      </c>
      <c r="O15" s="552"/>
      <c r="P15" s="681">
        <v>19044</v>
      </c>
      <c r="Q15" s="578">
        <f>SUM(P15-P14)</f>
        <v>0</v>
      </c>
      <c r="R15" s="344">
        <f t="shared" si="8"/>
        <v>0</v>
      </c>
      <c r="S15" s="552">
        <v>6.8</v>
      </c>
      <c r="T15" s="557">
        <v>20667</v>
      </c>
      <c r="U15" s="578">
        <f t="shared" si="3"/>
        <v>12</v>
      </c>
      <c r="V15" s="345">
        <f t="shared" si="17"/>
        <v>81.599999999999994</v>
      </c>
      <c r="W15" s="552"/>
      <c r="X15" s="735">
        <v>29498</v>
      </c>
      <c r="Y15" s="578">
        <f t="shared" si="15"/>
        <v>0</v>
      </c>
      <c r="Z15" s="560">
        <f t="shared" si="18"/>
        <v>0</v>
      </c>
      <c r="AA15" s="566">
        <f t="shared" si="20"/>
        <v>0</v>
      </c>
      <c r="AB15" s="563">
        <v>22780</v>
      </c>
      <c r="AC15" s="550">
        <f t="shared" si="10"/>
        <v>77</v>
      </c>
      <c r="AD15" s="680">
        <v>229324</v>
      </c>
      <c r="AE15" s="156">
        <f>AD15-AD14</f>
        <v>3</v>
      </c>
      <c r="AF15" s="572">
        <f>'Lpg (2)'!B19*2000/85</f>
        <v>1458.8235294117646</v>
      </c>
      <c r="AG15" s="224">
        <f>'Lpg (2)'!C19*1000/85</f>
        <v>1000</v>
      </c>
      <c r="AH15" s="585">
        <f>'Lpg (2)'!D19*1000/85</f>
        <v>1000</v>
      </c>
      <c r="AI15" s="575">
        <f t="shared" ref="AI15:AI35" si="21">SUM(AF15*2000)+(AG15*1000)+(AH15*1000)</f>
        <v>4917647.0588235296</v>
      </c>
      <c r="AJ15" s="346">
        <f t="shared" si="6"/>
        <v>376470.58823529445</v>
      </c>
      <c r="AK15" s="115"/>
    </row>
    <row r="16" spans="1:37" ht="18.75" x14ac:dyDescent="0.3">
      <c r="A16" s="606">
        <f>Gen!B21</f>
        <v>44572</v>
      </c>
      <c r="B16" s="343">
        <f>'UTILITY REPORT 1'!C13</f>
        <v>11</v>
      </c>
      <c r="C16" s="611"/>
      <c r="D16" s="573">
        <f t="shared" si="7"/>
        <v>11</v>
      </c>
      <c r="E16" s="573">
        <f t="shared" si="12"/>
        <v>1.3262195121951219</v>
      </c>
      <c r="F16" s="352">
        <f t="shared" si="13"/>
        <v>465.62361419068731</v>
      </c>
      <c r="G16" s="352">
        <f t="shared" si="0"/>
        <v>465.62361419068731</v>
      </c>
      <c r="H16" s="573">
        <f>Gen!D21</f>
        <v>36837.840000000011</v>
      </c>
      <c r="I16" s="573">
        <f>Gen!F21</f>
        <v>0</v>
      </c>
      <c r="J16" s="612">
        <f>Gen!U21</f>
        <v>3862</v>
      </c>
      <c r="K16" s="615">
        <f>Gen!AL21</f>
        <v>0</v>
      </c>
      <c r="L16" s="608">
        <f t="shared" si="19"/>
        <v>3862</v>
      </c>
      <c r="M16" s="361">
        <f>'Water-Meter'!K56</f>
        <v>590.08919700054821</v>
      </c>
      <c r="N16" s="568">
        <f>'Water-Meter'!E16</f>
        <v>67</v>
      </c>
      <c r="O16" s="552"/>
      <c r="P16" s="681">
        <v>19044</v>
      </c>
      <c r="Q16" s="578">
        <f t="shared" ref="Q16:Q19" si="22">SUM(P16-P15)</f>
        <v>0</v>
      </c>
      <c r="R16" s="344">
        <f t="shared" si="8"/>
        <v>0</v>
      </c>
      <c r="S16" s="552">
        <v>6.8</v>
      </c>
      <c r="T16" s="557">
        <v>20685</v>
      </c>
      <c r="U16" s="578">
        <f t="shared" si="3"/>
        <v>18</v>
      </c>
      <c r="V16" s="345">
        <f t="shared" si="17"/>
        <v>122.39999999999999</v>
      </c>
      <c r="W16" s="552"/>
      <c r="X16" s="735">
        <v>29498</v>
      </c>
      <c r="Y16" s="578">
        <f t="shared" si="15"/>
        <v>0</v>
      </c>
      <c r="Z16" s="560">
        <f t="shared" si="18"/>
        <v>0</v>
      </c>
      <c r="AA16" s="566">
        <f t="shared" si="20"/>
        <v>0</v>
      </c>
      <c r="AB16" s="563">
        <v>22894</v>
      </c>
      <c r="AC16" s="550">
        <f t="shared" si="10"/>
        <v>114</v>
      </c>
      <c r="AD16" s="680">
        <v>229327</v>
      </c>
      <c r="AE16" s="156">
        <f t="shared" ref="AE16:AE37" si="23">AD16-AD15</f>
        <v>3</v>
      </c>
      <c r="AF16" s="572">
        <f>'Lpg (2)'!B20*2000/85</f>
        <v>1411.7647058823529</v>
      </c>
      <c r="AG16" s="224">
        <f>'Lpg (2)'!C20*1000/85</f>
        <v>682.35294117647061</v>
      </c>
      <c r="AH16" s="585">
        <f>'Lpg (2)'!D20*1000/85</f>
        <v>1000</v>
      </c>
      <c r="AI16" s="575">
        <f t="shared" si="21"/>
        <v>4505882.3529411769</v>
      </c>
      <c r="AJ16" s="346">
        <f t="shared" si="6"/>
        <v>411764.70588235278</v>
      </c>
      <c r="AK16" s="115"/>
    </row>
    <row r="17" spans="1:37" ht="18.75" x14ac:dyDescent="0.3">
      <c r="A17" s="606">
        <f>Gen!B22</f>
        <v>44573</v>
      </c>
      <c r="B17" s="343">
        <f>'UTILITY REPORT 1'!C14</f>
        <v>8</v>
      </c>
      <c r="C17" s="611"/>
      <c r="D17" s="573">
        <f t="shared" si="7"/>
        <v>8</v>
      </c>
      <c r="E17" s="573">
        <f t="shared" si="12"/>
        <v>1.3262195121951219</v>
      </c>
      <c r="F17" s="352">
        <f t="shared" si="13"/>
        <v>630.45160060975604</v>
      </c>
      <c r="G17" s="352">
        <f t="shared" si="0"/>
        <v>630.45160060975604</v>
      </c>
      <c r="H17" s="573">
        <f>Gen!D22</f>
        <v>34826.100000000013</v>
      </c>
      <c r="I17" s="573">
        <f>Gen!F22</f>
        <v>0</v>
      </c>
      <c r="J17" s="612">
        <f>Gen!U22</f>
        <v>3803</v>
      </c>
      <c r="K17" s="615">
        <f>Gen!AL22</f>
        <v>0</v>
      </c>
      <c r="L17" s="608">
        <f t="shared" si="19"/>
        <v>3803</v>
      </c>
      <c r="M17" s="361">
        <f>'Water-Meter'!K57</f>
        <v>581.09750726951427</v>
      </c>
      <c r="N17" s="568">
        <f>'Water-Meter'!E17</f>
        <v>133</v>
      </c>
      <c r="O17" s="552"/>
      <c r="P17" s="559">
        <v>19044</v>
      </c>
      <c r="Q17" s="578">
        <f t="shared" si="22"/>
        <v>0</v>
      </c>
      <c r="R17" s="344">
        <f t="shared" si="8"/>
        <v>0</v>
      </c>
      <c r="S17" s="552">
        <v>6.8</v>
      </c>
      <c r="T17" s="557">
        <v>20702</v>
      </c>
      <c r="U17" s="578">
        <f t="shared" si="3"/>
        <v>17</v>
      </c>
      <c r="V17" s="345">
        <f t="shared" ref="V17:V36" si="24">SUM(U17*S17)</f>
        <v>115.6</v>
      </c>
      <c r="W17" s="552"/>
      <c r="X17" s="559">
        <v>29498</v>
      </c>
      <c r="Y17" s="578">
        <f t="shared" si="15"/>
        <v>0</v>
      </c>
      <c r="Z17" s="560">
        <f>SUM(Y17*W17)</f>
        <v>0</v>
      </c>
      <c r="AA17" s="566">
        <f t="shared" si="20"/>
        <v>0</v>
      </c>
      <c r="AB17" s="563">
        <v>23006</v>
      </c>
      <c r="AC17" s="550">
        <f t="shared" si="10"/>
        <v>112</v>
      </c>
      <c r="AD17" s="680">
        <v>229327</v>
      </c>
      <c r="AE17" s="156">
        <f t="shared" si="23"/>
        <v>0</v>
      </c>
      <c r="AF17" s="572">
        <f>'Lpg (2)'!B21*2000/85</f>
        <v>1364.7058823529412</v>
      </c>
      <c r="AG17" s="224">
        <f>'Lpg (2)'!C21*1000/85</f>
        <v>1000</v>
      </c>
      <c r="AH17" s="585">
        <f>'Lpg (2)'!D21*1000/85</f>
        <v>1000</v>
      </c>
      <c r="AI17" s="575">
        <f t="shared" si="21"/>
        <v>4729411.7647058824</v>
      </c>
      <c r="AJ17" s="346">
        <f t="shared" si="6"/>
        <v>-223529.41176470555</v>
      </c>
      <c r="AK17" s="115"/>
    </row>
    <row r="18" spans="1:37" ht="18.75" x14ac:dyDescent="0.3">
      <c r="A18" s="606">
        <f>Gen!B23</f>
        <v>44574</v>
      </c>
      <c r="B18" s="343">
        <f>'UTILITY REPORT 1'!C15</f>
        <v>13</v>
      </c>
      <c r="C18" s="611"/>
      <c r="D18" s="573">
        <f t="shared" si="7"/>
        <v>13</v>
      </c>
      <c r="E18" s="573">
        <f t="shared" si="12"/>
        <v>1.3262195121951219</v>
      </c>
      <c r="F18" s="352">
        <f t="shared" si="13"/>
        <v>372.15759849906192</v>
      </c>
      <c r="G18" s="352">
        <f t="shared" si="0"/>
        <v>372.15759849906192</v>
      </c>
      <c r="H18" s="573">
        <f>Gen!D23</f>
        <v>33226.330000000016</v>
      </c>
      <c r="I18" s="573">
        <f>Gen!F23</f>
        <v>0</v>
      </c>
      <c r="J18" s="612">
        <f>Gen!U23</f>
        <v>3648</v>
      </c>
      <c r="K18" s="615">
        <f>Gen!AL23</f>
        <v>0</v>
      </c>
      <c r="L18" s="608">
        <f t="shared" si="19"/>
        <v>3648</v>
      </c>
      <c r="M18" s="361">
        <f>'Water-Meter'!K58</f>
        <v>590.08919700054821</v>
      </c>
      <c r="N18" s="568">
        <f>'Water-Meter'!E18</f>
        <v>86</v>
      </c>
      <c r="O18" s="552"/>
      <c r="P18" s="559">
        <v>19044</v>
      </c>
      <c r="Q18" s="578">
        <f t="shared" si="22"/>
        <v>0</v>
      </c>
      <c r="R18" s="344">
        <f t="shared" si="8"/>
        <v>0</v>
      </c>
      <c r="S18" s="552">
        <v>6.8</v>
      </c>
      <c r="T18" s="557">
        <v>20720</v>
      </c>
      <c r="U18" s="578">
        <f t="shared" si="3"/>
        <v>18</v>
      </c>
      <c r="V18" s="345">
        <f t="shared" si="24"/>
        <v>122.39999999999999</v>
      </c>
      <c r="W18" s="552"/>
      <c r="X18" s="559">
        <v>29498</v>
      </c>
      <c r="Y18" s="578">
        <f t="shared" si="15"/>
        <v>0</v>
      </c>
      <c r="Z18" s="560">
        <f t="shared" ref="Z18:Z36" si="25">SUM(Y18*W18)</f>
        <v>0</v>
      </c>
      <c r="AA18" s="566">
        <f t="shared" si="20"/>
        <v>0</v>
      </c>
      <c r="AB18" s="563">
        <v>23117</v>
      </c>
      <c r="AC18" s="550">
        <f t="shared" si="10"/>
        <v>111</v>
      </c>
      <c r="AD18" s="680">
        <v>229327</v>
      </c>
      <c r="AE18" s="156">
        <f>AD18-AD17</f>
        <v>0</v>
      </c>
      <c r="AF18" s="572">
        <f>'Lpg (2)'!B22*2000/85</f>
        <v>1294.1176470588234</v>
      </c>
      <c r="AG18" s="224">
        <f>'Lpg (2)'!C22*1000/85</f>
        <v>1000</v>
      </c>
      <c r="AH18" s="585">
        <f>'Lpg (2)'!D22*1000/85</f>
        <v>1000</v>
      </c>
      <c r="AI18" s="575">
        <f t="shared" si="21"/>
        <v>4588235.2941176463</v>
      </c>
      <c r="AJ18" s="346">
        <f t="shared" si="6"/>
        <v>141176.47058823612</v>
      </c>
      <c r="AK18" s="115"/>
    </row>
    <row r="19" spans="1:37" ht="18.75" x14ac:dyDescent="0.3">
      <c r="A19" s="606">
        <f>Gen!B24</f>
        <v>44575</v>
      </c>
      <c r="B19" s="343">
        <f>'UTILITY REPORT 1'!C16</f>
        <v>17</v>
      </c>
      <c r="C19" s="611"/>
      <c r="D19" s="573">
        <f t="shared" si="7"/>
        <v>17</v>
      </c>
      <c r="E19" s="573">
        <f t="shared" si="12"/>
        <v>1.3262195121951219</v>
      </c>
      <c r="F19" s="352">
        <f t="shared" si="13"/>
        <v>296.05900286944046</v>
      </c>
      <c r="G19" s="352">
        <f t="shared" si="0"/>
        <v>296.05900286944046</v>
      </c>
      <c r="H19" s="573">
        <f>Gen!D24</f>
        <v>31652.730000000018</v>
      </c>
      <c r="I19" s="573">
        <f>Gen!F24</f>
        <v>0</v>
      </c>
      <c r="J19" s="612">
        <f>Gen!U24</f>
        <v>3795</v>
      </c>
      <c r="K19" s="615">
        <f>Gen!AL24</f>
        <v>0</v>
      </c>
      <c r="L19" s="608">
        <f t="shared" si="19"/>
        <v>3795</v>
      </c>
      <c r="M19" s="361">
        <f>'Water-Meter'!K59</f>
        <v>594.52250194696796</v>
      </c>
      <c r="N19" s="568">
        <f>'Water-Meter'!E19</f>
        <v>92</v>
      </c>
      <c r="O19" s="561"/>
      <c r="P19" s="559">
        <v>19044</v>
      </c>
      <c r="Q19" s="578">
        <f t="shared" si="22"/>
        <v>0</v>
      </c>
      <c r="R19" s="344">
        <f t="shared" si="8"/>
        <v>0</v>
      </c>
      <c r="S19" s="552">
        <v>6.8</v>
      </c>
      <c r="T19" s="557">
        <v>20734</v>
      </c>
      <c r="U19" s="578">
        <f t="shared" si="3"/>
        <v>14</v>
      </c>
      <c r="V19" s="345">
        <f t="shared" si="24"/>
        <v>95.2</v>
      </c>
      <c r="W19" s="552"/>
      <c r="X19" s="559">
        <v>29498</v>
      </c>
      <c r="Y19" s="578">
        <f t="shared" si="15"/>
        <v>0</v>
      </c>
      <c r="Z19" s="560">
        <f t="shared" si="25"/>
        <v>0</v>
      </c>
      <c r="AA19" s="566">
        <f t="shared" si="20"/>
        <v>0</v>
      </c>
      <c r="AB19" s="563">
        <v>23209</v>
      </c>
      <c r="AC19" s="550">
        <f t="shared" si="10"/>
        <v>92</v>
      </c>
      <c r="AD19" s="680">
        <v>229370</v>
      </c>
      <c r="AE19" s="156">
        <f t="shared" si="23"/>
        <v>43</v>
      </c>
      <c r="AF19" s="572">
        <f>'Lpg (2)'!B23*2000/85</f>
        <v>1223.5294117647059</v>
      </c>
      <c r="AG19" s="224">
        <f>'Lpg (2)'!C23*1000/85</f>
        <v>1000</v>
      </c>
      <c r="AH19" s="585">
        <f>'Lpg (2)'!D23*1000/85</f>
        <v>1000</v>
      </c>
      <c r="AI19" s="575">
        <f t="shared" si="21"/>
        <v>4447058.8235294111</v>
      </c>
      <c r="AJ19" s="346">
        <f t="shared" si="6"/>
        <v>141176.47058823518</v>
      </c>
      <c r="AK19" s="115"/>
    </row>
    <row r="20" spans="1:37" ht="18.75" x14ac:dyDescent="0.3">
      <c r="A20" s="606">
        <f>Gen!B25</f>
        <v>44576</v>
      </c>
      <c r="B20" s="343">
        <f>'UTILITY REPORT 1'!C17</f>
        <v>15</v>
      </c>
      <c r="C20" s="611"/>
      <c r="D20" s="573">
        <f t="shared" si="7"/>
        <v>15</v>
      </c>
      <c r="E20" s="573">
        <f t="shared" si="12"/>
        <v>1.3262195121951219</v>
      </c>
      <c r="F20" s="352">
        <f t="shared" si="13"/>
        <v>322.53658536585368</v>
      </c>
      <c r="G20" s="352">
        <f t="shared" si="0"/>
        <v>322.53658536585368</v>
      </c>
      <c r="H20" s="573">
        <f>Gen!D25</f>
        <v>29852.730000000018</v>
      </c>
      <c r="I20" s="573">
        <f>Gen!F25</f>
        <v>0</v>
      </c>
      <c r="J20" s="612">
        <f>Gen!U25</f>
        <v>3648</v>
      </c>
      <c r="K20" s="615">
        <f>Gen!AL25</f>
        <v>0</v>
      </c>
      <c r="L20" s="608">
        <f t="shared" si="19"/>
        <v>3648</v>
      </c>
      <c r="M20" s="361">
        <f>'Water-Meter'!K60</f>
        <v>566.29313568481484</v>
      </c>
      <c r="N20" s="568">
        <f>'Water-Meter'!E20</f>
        <v>102</v>
      </c>
      <c r="O20" s="561"/>
      <c r="P20" s="559">
        <v>19044</v>
      </c>
      <c r="Q20" s="578">
        <f>SUM(P20-P18)</f>
        <v>0</v>
      </c>
      <c r="R20" s="344">
        <f t="shared" si="8"/>
        <v>0</v>
      </c>
      <c r="S20" s="552">
        <v>6.8</v>
      </c>
      <c r="T20" s="557">
        <v>20743</v>
      </c>
      <c r="U20" s="578">
        <f t="shared" si="3"/>
        <v>9</v>
      </c>
      <c r="V20" s="345">
        <f t="shared" si="24"/>
        <v>61.199999999999996</v>
      </c>
      <c r="W20" s="552"/>
      <c r="X20" s="559">
        <v>29498</v>
      </c>
      <c r="Y20" s="578">
        <f t="shared" si="15"/>
        <v>0</v>
      </c>
      <c r="Z20" s="560">
        <f t="shared" si="25"/>
        <v>0</v>
      </c>
      <c r="AA20" s="566">
        <f t="shared" si="20"/>
        <v>0</v>
      </c>
      <c r="AB20" s="563">
        <v>23267</v>
      </c>
      <c r="AC20" s="550">
        <f t="shared" si="10"/>
        <v>58</v>
      </c>
      <c r="AD20" s="680">
        <v>229396</v>
      </c>
      <c r="AE20" s="156">
        <f>AD20-AD19</f>
        <v>26</v>
      </c>
      <c r="AF20" s="572">
        <f>'Lpg (2)'!B24*2000/85</f>
        <v>1176.4705882352941</v>
      </c>
      <c r="AG20" s="224">
        <f>'Lpg (2)'!C24*1000/85</f>
        <v>1000</v>
      </c>
      <c r="AH20" s="585">
        <f>'Lpg (2)'!D24*1000/85</f>
        <v>1000</v>
      </c>
      <c r="AI20" s="575">
        <f t="shared" si="21"/>
        <v>4352941.1764705889</v>
      </c>
      <c r="AJ20" s="346">
        <f t="shared" si="6"/>
        <v>94117.647058822215</v>
      </c>
      <c r="AK20" s="115"/>
    </row>
    <row r="21" spans="1:37" ht="18.75" x14ac:dyDescent="0.3">
      <c r="A21" s="606">
        <f>Gen!B26</f>
        <v>44577</v>
      </c>
      <c r="B21" s="343">
        <f>'UTILITY REPORT 1'!C18</f>
        <v>17</v>
      </c>
      <c r="C21" s="611"/>
      <c r="D21" s="573">
        <f t="shared" si="7"/>
        <v>17</v>
      </c>
      <c r="E21" s="573">
        <f t="shared" si="12"/>
        <v>1.3262195121951219</v>
      </c>
      <c r="F21" s="352">
        <f t="shared" si="13"/>
        <v>264.69781205164992</v>
      </c>
      <c r="G21" s="352">
        <f t="shared" si="0"/>
        <v>264.69781205164992</v>
      </c>
      <c r="H21" s="573">
        <f>Gen!D26</f>
        <v>28410.730000000018</v>
      </c>
      <c r="I21" s="573">
        <f>Gen!F26</f>
        <v>0</v>
      </c>
      <c r="J21" s="612">
        <f>Gen!U26</f>
        <v>3393</v>
      </c>
      <c r="K21" s="615">
        <f>Gen!AL26</f>
        <v>0</v>
      </c>
      <c r="L21" s="608">
        <f t="shared" si="19"/>
        <v>3393</v>
      </c>
      <c r="M21" s="361">
        <f>'Water-Meter'!K61</f>
        <v>550.85723579093224</v>
      </c>
      <c r="N21" s="568">
        <f>'Water-Meter'!E21</f>
        <v>74</v>
      </c>
      <c r="O21" s="561"/>
      <c r="P21" s="559">
        <v>19044</v>
      </c>
      <c r="Q21" s="578">
        <f t="shared" si="2"/>
        <v>0</v>
      </c>
      <c r="R21" s="344">
        <f t="shared" si="8"/>
        <v>0</v>
      </c>
      <c r="S21" s="552">
        <v>6.8</v>
      </c>
      <c r="T21" s="557">
        <v>20758</v>
      </c>
      <c r="U21" s="578">
        <f t="shared" si="3"/>
        <v>15</v>
      </c>
      <c r="V21" s="345">
        <f t="shared" si="24"/>
        <v>102</v>
      </c>
      <c r="W21" s="552"/>
      <c r="X21" s="559">
        <v>29498</v>
      </c>
      <c r="Y21" s="578">
        <f t="shared" si="15"/>
        <v>0</v>
      </c>
      <c r="Z21" s="560">
        <f t="shared" si="25"/>
        <v>0</v>
      </c>
      <c r="AA21" s="566">
        <f>SUM(Z21*X23)</f>
        <v>0</v>
      </c>
      <c r="AB21" s="563">
        <v>23358</v>
      </c>
      <c r="AC21" s="550">
        <f t="shared" si="10"/>
        <v>91</v>
      </c>
      <c r="AD21" s="680">
        <v>229459</v>
      </c>
      <c r="AE21" s="156">
        <f t="shared" si="23"/>
        <v>63</v>
      </c>
      <c r="AF21" s="572">
        <f>'Lpg (2)'!B25*2000/85</f>
        <v>1105.8823529411766</v>
      </c>
      <c r="AG21" s="224">
        <f>'Lpg (2)'!C25*1000/85</f>
        <v>1000</v>
      </c>
      <c r="AH21" s="585">
        <f>'Lpg (2)'!D25*1000/85</f>
        <v>1000</v>
      </c>
      <c r="AI21" s="575">
        <f t="shared" si="21"/>
        <v>4211764.7058823537</v>
      </c>
      <c r="AJ21" s="346">
        <f t="shared" si="6"/>
        <v>141176.47058823518</v>
      </c>
      <c r="AK21" s="115"/>
    </row>
    <row r="22" spans="1:37" ht="18.75" x14ac:dyDescent="0.3">
      <c r="A22" s="606">
        <f>Gen!B27</f>
        <v>44578</v>
      </c>
      <c r="B22" s="343">
        <f>'UTILITY REPORT 1'!C19</f>
        <v>10</v>
      </c>
      <c r="C22" s="611"/>
      <c r="D22" s="573">
        <f t="shared" si="7"/>
        <v>10</v>
      </c>
      <c r="E22" s="573">
        <f t="shared" si="12"/>
        <v>1.3262195121951219</v>
      </c>
      <c r="F22" s="352">
        <f t="shared" si="13"/>
        <v>394.8155487804878</v>
      </c>
      <c r="G22" s="352">
        <f t="shared" si="0"/>
        <v>394.8155487804878</v>
      </c>
      <c r="H22" s="573">
        <f>Gen!D27</f>
        <v>26609.350000000017</v>
      </c>
      <c r="I22" s="573">
        <f>Gen!F27</f>
        <v>18000</v>
      </c>
      <c r="J22" s="612">
        <f>Gen!U27</f>
        <v>2977</v>
      </c>
      <c r="K22" s="615">
        <f>Gen!AL27</f>
        <v>0</v>
      </c>
      <c r="L22" s="608">
        <f t="shared" si="19"/>
        <v>2977</v>
      </c>
      <c r="M22" s="361">
        <f>'Water-Meter'!K62</f>
        <v>575.40818500707724</v>
      </c>
      <c r="N22" s="568">
        <f>'Water-Meter'!E22</f>
        <v>68</v>
      </c>
      <c r="O22" s="561"/>
      <c r="P22" s="559">
        <v>19044</v>
      </c>
      <c r="Q22" s="578">
        <f t="shared" si="2"/>
        <v>0</v>
      </c>
      <c r="R22" s="344">
        <f t="shared" si="8"/>
        <v>0</v>
      </c>
      <c r="S22" s="552">
        <v>6.8</v>
      </c>
      <c r="T22" s="557">
        <v>20771</v>
      </c>
      <c r="U22" s="578">
        <f t="shared" si="3"/>
        <v>13</v>
      </c>
      <c r="V22" s="345">
        <f t="shared" si="24"/>
        <v>88.399999999999991</v>
      </c>
      <c r="W22" s="552"/>
      <c r="X22" s="559">
        <v>29498</v>
      </c>
      <c r="Y22" s="578">
        <f t="shared" ref="Y22:Y36" si="26">X22-X21</f>
        <v>0</v>
      </c>
      <c r="Z22" s="560">
        <f t="shared" si="25"/>
        <v>0</v>
      </c>
      <c r="AA22" s="566">
        <f>SUM(Z22*X24)</f>
        <v>0</v>
      </c>
      <c r="AB22" s="563">
        <v>23436</v>
      </c>
      <c r="AC22" s="550">
        <f t="shared" si="10"/>
        <v>78</v>
      </c>
      <c r="AD22" s="680">
        <v>229495</v>
      </c>
      <c r="AE22" s="156">
        <f t="shared" si="23"/>
        <v>36</v>
      </c>
      <c r="AF22" s="572">
        <f>'Lpg (2)'!B26*2000/85</f>
        <v>1035.2941176470588</v>
      </c>
      <c r="AG22" s="224">
        <f>'Lpg (2)'!C26*1000/85</f>
        <v>1000</v>
      </c>
      <c r="AH22" s="585">
        <f>'Lpg (2)'!D26*1000/85</f>
        <v>1000</v>
      </c>
      <c r="AI22" s="575">
        <f t="shared" si="21"/>
        <v>4070588.2352941176</v>
      </c>
      <c r="AJ22" s="346">
        <f t="shared" si="6"/>
        <v>141176.47058823612</v>
      </c>
      <c r="AK22" s="115"/>
    </row>
    <row r="23" spans="1:37" ht="18.75" x14ac:dyDescent="0.3">
      <c r="A23" s="606">
        <f>Gen!B28</f>
        <v>44579</v>
      </c>
      <c r="B23" s="343">
        <f>'UTILITY REPORT 1'!C20</f>
        <v>14</v>
      </c>
      <c r="C23" s="611"/>
      <c r="D23" s="573">
        <f t="shared" si="7"/>
        <v>14</v>
      </c>
      <c r="E23" s="573">
        <f t="shared" si="12"/>
        <v>1.3262195121951219</v>
      </c>
      <c r="F23" s="352">
        <f t="shared" si="13"/>
        <v>326.15527003484323</v>
      </c>
      <c r="G23" s="352">
        <f t="shared" si="0"/>
        <v>326.15527003484323</v>
      </c>
      <c r="H23" s="573">
        <f>Gen!D28</f>
        <v>25388.880000000016</v>
      </c>
      <c r="I23" s="573">
        <f>Gen!F28</f>
        <v>0</v>
      </c>
      <c r="J23" s="612">
        <f>Gen!U28</f>
        <v>3443</v>
      </c>
      <c r="K23" s="615">
        <f>Gen!AL28</f>
        <v>0</v>
      </c>
      <c r="L23" s="608">
        <f t="shared" si="19"/>
        <v>3443</v>
      </c>
      <c r="M23" s="361">
        <f>'Water-Meter'!K63</f>
        <v>544.43275275424401</v>
      </c>
      <c r="N23" s="568">
        <f>'Water-Meter'!E23</f>
        <v>62</v>
      </c>
      <c r="O23" s="561"/>
      <c r="P23" s="559">
        <v>19044</v>
      </c>
      <c r="Q23" s="578">
        <f t="shared" si="2"/>
        <v>0</v>
      </c>
      <c r="R23" s="344">
        <f t="shared" si="8"/>
        <v>0</v>
      </c>
      <c r="S23" s="552">
        <v>6.8</v>
      </c>
      <c r="T23" s="557">
        <v>20771</v>
      </c>
      <c r="U23" s="578">
        <f>T23-T22</f>
        <v>0</v>
      </c>
      <c r="V23" s="345">
        <f t="shared" si="24"/>
        <v>0</v>
      </c>
      <c r="W23" s="552"/>
      <c r="X23" s="559">
        <v>29498</v>
      </c>
      <c r="Y23" s="578">
        <f t="shared" si="26"/>
        <v>0</v>
      </c>
      <c r="Z23" s="560">
        <f t="shared" si="25"/>
        <v>0</v>
      </c>
      <c r="AA23" s="566">
        <f>SUM(Z23*X25)</f>
        <v>0</v>
      </c>
      <c r="AB23" s="563">
        <v>23436</v>
      </c>
      <c r="AC23" s="550">
        <f>AB23-AB22</f>
        <v>0</v>
      </c>
      <c r="AD23" s="680">
        <v>229495</v>
      </c>
      <c r="AE23" s="156">
        <f t="shared" si="23"/>
        <v>0</v>
      </c>
      <c r="AF23" s="572">
        <f>'Lpg (2)'!B27*2000/85</f>
        <v>964.70588235294122</v>
      </c>
      <c r="AG23" s="224">
        <f>'Lpg (2)'!C27*1000/85</f>
        <v>1000</v>
      </c>
      <c r="AH23" s="585">
        <f>'Lpg (2)'!D27*1000/85</f>
        <v>1000</v>
      </c>
      <c r="AI23" s="575">
        <f t="shared" si="21"/>
        <v>3929411.7647058824</v>
      </c>
      <c r="AJ23" s="346">
        <f t="shared" si="6"/>
        <v>141176.47058823518</v>
      </c>
      <c r="AK23" s="115"/>
    </row>
    <row r="24" spans="1:37" ht="18.75" x14ac:dyDescent="0.3">
      <c r="A24" s="606">
        <f>Gen!B29</f>
        <v>44580</v>
      </c>
      <c r="B24" s="343">
        <f>'UTILITY REPORT 1'!C21</f>
        <v>15</v>
      </c>
      <c r="C24" s="611"/>
      <c r="D24" s="573">
        <f t="shared" si="7"/>
        <v>15</v>
      </c>
      <c r="E24" s="573">
        <f t="shared" si="12"/>
        <v>1.3262195121951219</v>
      </c>
      <c r="F24" s="352">
        <f t="shared" si="13"/>
        <v>266.1280487804878</v>
      </c>
      <c r="G24" s="352">
        <f t="shared" si="0"/>
        <v>266.1280487804878</v>
      </c>
      <c r="H24" s="573">
        <f>Gen!D29</f>
        <v>23785.230000000014</v>
      </c>
      <c r="I24" s="573">
        <f>Gen!F29</f>
        <v>0</v>
      </c>
      <c r="J24" s="612">
        <f>Gen!U29</f>
        <v>3010</v>
      </c>
      <c r="K24" s="615">
        <f>Gen!AL29</f>
        <v>0</v>
      </c>
      <c r="L24" s="608">
        <f t="shared" si="19"/>
        <v>3010</v>
      </c>
      <c r="M24" s="361">
        <f>'Water-Meter'!K64</f>
        <v>445.94505396015046</v>
      </c>
      <c r="N24" s="568">
        <f>'Water-Meter'!E24</f>
        <v>70</v>
      </c>
      <c r="O24" s="561"/>
      <c r="P24" s="559">
        <v>19044</v>
      </c>
      <c r="Q24" s="578">
        <f t="shared" si="2"/>
        <v>0</v>
      </c>
      <c r="R24" s="344">
        <f t="shared" si="8"/>
        <v>0</v>
      </c>
      <c r="S24" s="552">
        <v>6.8</v>
      </c>
      <c r="T24" s="559">
        <v>20794</v>
      </c>
      <c r="U24" s="578">
        <f t="shared" si="3"/>
        <v>23</v>
      </c>
      <c r="V24" s="345">
        <f t="shared" si="24"/>
        <v>156.4</v>
      </c>
      <c r="W24" s="552"/>
      <c r="X24" s="559">
        <v>29498</v>
      </c>
      <c r="Y24" s="578">
        <f t="shared" si="26"/>
        <v>0</v>
      </c>
      <c r="Z24" s="560">
        <f t="shared" si="25"/>
        <v>0</v>
      </c>
      <c r="AA24" s="566">
        <f t="shared" ref="AA24:AA33" si="27">SUM(Z24*X26)</f>
        <v>0</v>
      </c>
      <c r="AB24" s="563">
        <v>23580</v>
      </c>
      <c r="AC24" s="550">
        <f>AB24-AB23</f>
        <v>144</v>
      </c>
      <c r="AD24" s="680">
        <v>229496</v>
      </c>
      <c r="AE24" s="156">
        <f t="shared" si="23"/>
        <v>1</v>
      </c>
      <c r="AF24" s="572">
        <f>'Lpg (2)'!B28*2000/85</f>
        <v>894.11764705882354</v>
      </c>
      <c r="AG24" s="224">
        <f>'Lpg (2)'!C28*1000/85</f>
        <v>1000</v>
      </c>
      <c r="AH24" s="585">
        <f>'Lpg (2)'!D28*1000/85</f>
        <v>1000</v>
      </c>
      <c r="AI24" s="575">
        <f t="shared" si="21"/>
        <v>3788235.2941176472</v>
      </c>
      <c r="AJ24" s="346">
        <f t="shared" si="6"/>
        <v>141176.47058823518</v>
      </c>
      <c r="AK24" s="115"/>
    </row>
    <row r="25" spans="1:37" ht="18.75" x14ac:dyDescent="0.3">
      <c r="A25" s="606">
        <f>Gen!B30</f>
        <v>44581</v>
      </c>
      <c r="B25" s="343">
        <f>'UTILITY REPORT 1'!C22</f>
        <v>17</v>
      </c>
      <c r="C25" s="611"/>
      <c r="D25" s="573">
        <f t="shared" si="7"/>
        <v>17</v>
      </c>
      <c r="E25" s="573">
        <f t="shared" si="12"/>
        <v>1.3262195121951219</v>
      </c>
      <c r="F25" s="352">
        <f t="shared" si="13"/>
        <v>259.23690817790532</v>
      </c>
      <c r="G25" s="352">
        <f t="shared" si="0"/>
        <v>259.23690817790532</v>
      </c>
      <c r="H25" s="573">
        <f>Gen!D30</f>
        <v>22404.680000000015</v>
      </c>
      <c r="I25" s="573">
        <f>Gen!F30</f>
        <v>0</v>
      </c>
      <c r="J25" s="612">
        <f>Gen!U30</f>
        <v>3323</v>
      </c>
      <c r="K25" s="615">
        <f>Gen!AL30</f>
        <v>0</v>
      </c>
      <c r="L25" s="608">
        <f t="shared" si="19"/>
        <v>3323</v>
      </c>
      <c r="M25" s="361">
        <f>'Water-Meter'!K65</f>
        <v>616.79832771061206</v>
      </c>
      <c r="N25" s="568">
        <f>'Water-Meter'!E25</f>
        <v>88</v>
      </c>
      <c r="O25" s="561"/>
      <c r="P25" s="559">
        <v>19044</v>
      </c>
      <c r="Q25" s="578">
        <f t="shared" si="2"/>
        <v>0</v>
      </c>
      <c r="R25" s="344">
        <f t="shared" si="8"/>
        <v>0</v>
      </c>
      <c r="S25" s="552">
        <v>6.8</v>
      </c>
      <c r="T25" s="559">
        <v>20802</v>
      </c>
      <c r="U25" s="578">
        <f t="shared" si="3"/>
        <v>8</v>
      </c>
      <c r="V25" s="345">
        <f t="shared" si="24"/>
        <v>54.4</v>
      </c>
      <c r="W25" s="552"/>
      <c r="X25" s="559">
        <v>29498</v>
      </c>
      <c r="Y25" s="578">
        <f t="shared" si="26"/>
        <v>0</v>
      </c>
      <c r="Z25" s="560">
        <f t="shared" si="25"/>
        <v>0</v>
      </c>
      <c r="AA25" s="566">
        <f t="shared" si="27"/>
        <v>0</v>
      </c>
      <c r="AB25" s="563">
        <v>23625</v>
      </c>
      <c r="AC25" s="550">
        <f>AB25-AB24</f>
        <v>45</v>
      </c>
      <c r="AD25" s="680">
        <v>229496</v>
      </c>
      <c r="AE25" s="156">
        <f t="shared" si="23"/>
        <v>0</v>
      </c>
      <c r="AF25" s="572">
        <f>'Lpg (2)'!B29*2000/85</f>
        <v>870.58823529411768</v>
      </c>
      <c r="AG25" s="224">
        <f>'Lpg (2)'!C29*1000/85</f>
        <v>1000</v>
      </c>
      <c r="AH25" s="585">
        <f>'Lpg (2)'!D29*1000/85</f>
        <v>1000</v>
      </c>
      <c r="AI25" s="575">
        <f t="shared" si="21"/>
        <v>3741176.4705882352</v>
      </c>
      <c r="AJ25" s="346">
        <f t="shared" si="6"/>
        <v>47058.823529412039</v>
      </c>
      <c r="AK25" s="115"/>
    </row>
    <row r="26" spans="1:37" ht="18.75" x14ac:dyDescent="0.3">
      <c r="A26" s="606">
        <f>Gen!B31</f>
        <v>44582</v>
      </c>
      <c r="B26" s="343">
        <f>'UTILITY REPORT 1'!C23</f>
        <v>8</v>
      </c>
      <c r="C26" s="611"/>
      <c r="D26" s="573">
        <f t="shared" si="7"/>
        <v>8</v>
      </c>
      <c r="E26" s="573">
        <f t="shared" si="12"/>
        <v>1.3262195121951219</v>
      </c>
      <c r="F26" s="352">
        <f>SUM(J26*E26)/D26</f>
        <v>516.06516768292681</v>
      </c>
      <c r="G26" s="352">
        <f t="shared" si="0"/>
        <v>516.06516768292681</v>
      </c>
      <c r="H26" s="573">
        <f>Gen!D31</f>
        <v>20796.210000000014</v>
      </c>
      <c r="I26" s="573">
        <f>Gen!F31</f>
        <v>0</v>
      </c>
      <c r="J26" s="612">
        <f>Gen!U31</f>
        <v>3113</v>
      </c>
      <c r="K26" s="615">
        <f>Gen!AL31</f>
        <v>0</v>
      </c>
      <c r="L26" s="608">
        <f t="shared" si="19"/>
        <v>3113</v>
      </c>
      <c r="M26" s="361">
        <f>'Water-Meter'!K66</f>
        <v>552.01539812183137</v>
      </c>
      <c r="N26" s="568">
        <f>'Water-Meter'!E26</f>
        <v>81</v>
      </c>
      <c r="O26" s="561"/>
      <c r="P26" s="559">
        <v>19044</v>
      </c>
      <c r="Q26" s="578">
        <f t="shared" si="2"/>
        <v>0</v>
      </c>
      <c r="R26" s="344">
        <f t="shared" si="8"/>
        <v>0</v>
      </c>
      <c r="S26" s="552">
        <v>6.8</v>
      </c>
      <c r="T26" s="559">
        <v>20826</v>
      </c>
      <c r="U26" s="578">
        <f t="shared" si="3"/>
        <v>24</v>
      </c>
      <c r="V26" s="345">
        <f t="shared" si="24"/>
        <v>163.19999999999999</v>
      </c>
      <c r="W26" s="552"/>
      <c r="X26" s="559">
        <v>29498</v>
      </c>
      <c r="Y26" s="578">
        <f t="shared" si="26"/>
        <v>0</v>
      </c>
      <c r="Z26" s="560">
        <f t="shared" si="25"/>
        <v>0</v>
      </c>
      <c r="AA26" s="566">
        <f t="shared" si="27"/>
        <v>0</v>
      </c>
      <c r="AB26" s="563">
        <v>23764</v>
      </c>
      <c r="AC26" s="550">
        <f>AB26-AB25</f>
        <v>139</v>
      </c>
      <c r="AD26" s="680">
        <v>229526</v>
      </c>
      <c r="AE26" s="156">
        <f t="shared" si="23"/>
        <v>30</v>
      </c>
      <c r="AF26" s="572">
        <f>'Lpg (2)'!B30*2000/85</f>
        <v>847.05882352941171</v>
      </c>
      <c r="AG26" s="224">
        <f>'Lpg (2)'!C30*1000/85</f>
        <v>1000</v>
      </c>
      <c r="AH26" s="585">
        <f>'Lpg (2)'!D30*1000/85</f>
        <v>1000</v>
      </c>
      <c r="AI26" s="575">
        <f t="shared" si="21"/>
        <v>3694117.6470588231</v>
      </c>
      <c r="AJ26" s="346">
        <f t="shared" si="6"/>
        <v>47058.823529412039</v>
      </c>
      <c r="AK26" s="115"/>
    </row>
    <row r="27" spans="1:37" ht="18.75" x14ac:dyDescent="0.3">
      <c r="A27" s="606">
        <f>Gen!B32</f>
        <v>44583</v>
      </c>
      <c r="B27" s="343">
        <f>'UTILITY REPORT 1'!C24</f>
        <v>7</v>
      </c>
      <c r="C27" s="611"/>
      <c r="D27" s="573">
        <f t="shared" si="7"/>
        <v>7</v>
      </c>
      <c r="E27" s="573">
        <f t="shared" si="12"/>
        <v>1.3262195121951219</v>
      </c>
      <c r="F27" s="352">
        <f t="shared" si="13"/>
        <v>591.87282229965149</v>
      </c>
      <c r="G27" s="352">
        <f t="shared" si="0"/>
        <v>591.87282229965149</v>
      </c>
      <c r="H27" s="573">
        <f>Gen!D32</f>
        <v>19500.900000000012</v>
      </c>
      <c r="I27" s="573">
        <f>Gen!F32</f>
        <v>0</v>
      </c>
      <c r="J27" s="612">
        <f>Gen!U32</f>
        <v>3124</v>
      </c>
      <c r="K27" s="615">
        <f>Gen!AL32</f>
        <v>0</v>
      </c>
      <c r="L27" s="608">
        <f t="shared" si="19"/>
        <v>3124</v>
      </c>
      <c r="M27" s="361">
        <f>'Water-Meter'!K67</f>
        <v>541.21610933260558</v>
      </c>
      <c r="N27" s="568">
        <f>'Water-Meter'!E27</f>
        <v>71</v>
      </c>
      <c r="O27" s="561"/>
      <c r="P27" s="559">
        <v>19044</v>
      </c>
      <c r="Q27" s="578">
        <f t="shared" si="2"/>
        <v>0</v>
      </c>
      <c r="R27" s="344">
        <f t="shared" si="8"/>
        <v>0</v>
      </c>
      <c r="S27" s="552">
        <v>6.8</v>
      </c>
      <c r="T27" s="559">
        <v>20843</v>
      </c>
      <c r="U27" s="578">
        <f>T27-T26</f>
        <v>17</v>
      </c>
      <c r="V27" s="345">
        <f t="shared" si="24"/>
        <v>115.6</v>
      </c>
      <c r="X27" s="559">
        <v>29498</v>
      </c>
      <c r="Y27" s="578">
        <f>'Utility report '!X18</f>
        <v>29498</v>
      </c>
      <c r="Z27" s="560">
        <f t="shared" si="25"/>
        <v>0</v>
      </c>
      <c r="AA27" s="566">
        <f t="shared" si="27"/>
        <v>0</v>
      </c>
      <c r="AB27" s="563">
        <v>23864</v>
      </c>
      <c r="AC27" s="550">
        <f t="shared" si="10"/>
        <v>100</v>
      </c>
      <c r="AD27" s="680">
        <v>229569</v>
      </c>
      <c r="AE27" s="156">
        <f t="shared" si="23"/>
        <v>43</v>
      </c>
      <c r="AF27" s="572">
        <f>'Lpg (2)'!B31*2000/85</f>
        <v>800</v>
      </c>
      <c r="AG27" s="224">
        <f>'Lpg (2)'!C31*1000/85</f>
        <v>1000</v>
      </c>
      <c r="AH27" s="585">
        <f>'Lpg (2)'!D31*1000/85</f>
        <v>1000</v>
      </c>
      <c r="AI27" s="575">
        <f t="shared" si="21"/>
        <v>3600000</v>
      </c>
      <c r="AJ27" s="346">
        <f t="shared" si="6"/>
        <v>94117.647058823146</v>
      </c>
      <c r="AK27" s="115"/>
    </row>
    <row r="28" spans="1:37" ht="18.75" x14ac:dyDescent="0.3">
      <c r="A28" s="606">
        <f>Gen!B33</f>
        <v>44584</v>
      </c>
      <c r="B28" s="343">
        <f>'UTILITY REPORT 1'!C25</f>
        <v>4</v>
      </c>
      <c r="C28" s="611"/>
      <c r="D28" s="573">
        <f t="shared" si="7"/>
        <v>4</v>
      </c>
      <c r="E28" s="573">
        <f t="shared" si="12"/>
        <v>1.3262195121951219</v>
      </c>
      <c r="F28" s="352">
        <f t="shared" si="13"/>
        <v>927.35899390243901</v>
      </c>
      <c r="G28" s="352">
        <f t="shared" si="0"/>
        <v>927.35899390243901</v>
      </c>
      <c r="H28" s="573">
        <f>Gen!D33</f>
        <v>35949.820000000014</v>
      </c>
      <c r="I28" s="573">
        <f>Gen!F33</f>
        <v>0</v>
      </c>
      <c r="J28" s="612">
        <f>Gen!U33</f>
        <v>2797</v>
      </c>
      <c r="K28" s="615">
        <f>Gen!AL33</f>
        <v>0</v>
      </c>
      <c r="L28" s="608">
        <f t="shared" si="19"/>
        <v>2797</v>
      </c>
      <c r="M28" s="361">
        <f>'Water-Meter'!K68</f>
        <v>577.19831629655278</v>
      </c>
      <c r="N28" s="568">
        <f>'Water-Meter'!E28</f>
        <v>62</v>
      </c>
      <c r="O28" s="561"/>
      <c r="P28" s="559">
        <v>19044</v>
      </c>
      <c r="Q28" s="578">
        <f>SUM(P28-P27)</f>
        <v>0</v>
      </c>
      <c r="R28" s="344">
        <f t="shared" si="8"/>
        <v>0</v>
      </c>
      <c r="S28" s="552">
        <v>6.9</v>
      </c>
      <c r="T28" s="559">
        <v>20854</v>
      </c>
      <c r="U28" s="578">
        <f t="shared" si="3"/>
        <v>11</v>
      </c>
      <c r="V28" s="345">
        <f t="shared" si="24"/>
        <v>75.900000000000006</v>
      </c>
      <c r="X28" s="559">
        <v>29498</v>
      </c>
      <c r="Y28" s="578">
        <f t="shared" si="26"/>
        <v>0</v>
      </c>
      <c r="Z28" s="560">
        <f t="shared" si="25"/>
        <v>0</v>
      </c>
      <c r="AA28" s="566">
        <f t="shared" si="27"/>
        <v>0</v>
      </c>
      <c r="AB28" s="563">
        <v>23938</v>
      </c>
      <c r="AC28" s="550">
        <f t="shared" ref="AC28:AC37" si="28">SUM(AB28-AB27)</f>
        <v>74</v>
      </c>
      <c r="AD28" s="680">
        <v>229662</v>
      </c>
      <c r="AE28" s="156">
        <f t="shared" si="23"/>
        <v>93</v>
      </c>
      <c r="AF28" s="572">
        <f>'Lpg (2)'!B32*2000/85</f>
        <v>705.88235294117646</v>
      </c>
      <c r="AG28" s="224">
        <f>'Lpg (2)'!C32*1000/85</f>
        <v>1000</v>
      </c>
      <c r="AH28" s="585">
        <f>'Lpg (2)'!D32*1000/85</f>
        <v>1000</v>
      </c>
      <c r="AI28" s="575">
        <f t="shared" si="21"/>
        <v>3411764.7058823528</v>
      </c>
      <c r="AJ28" s="346">
        <f t="shared" si="6"/>
        <v>188235.29411764722</v>
      </c>
      <c r="AK28" s="115"/>
    </row>
    <row r="29" spans="1:37" ht="18.75" x14ac:dyDescent="0.3">
      <c r="A29" s="606">
        <f>Gen!B34</f>
        <v>44585</v>
      </c>
      <c r="B29" s="343">
        <f>'UTILITY REPORT 1'!C26</f>
        <v>9</v>
      </c>
      <c r="C29" s="611"/>
      <c r="D29" s="573">
        <f t="shared" si="7"/>
        <v>9</v>
      </c>
      <c r="E29" s="573">
        <f t="shared" si="12"/>
        <v>1.3262195121951219</v>
      </c>
      <c r="F29" s="352">
        <f t="shared" si="13"/>
        <v>485.54369918699183</v>
      </c>
      <c r="G29" s="352">
        <f t="shared" si="0"/>
        <v>485.54369918699183</v>
      </c>
      <c r="H29" s="573">
        <f>Gen!D34</f>
        <v>34497.300000000017</v>
      </c>
      <c r="I29" s="573">
        <f>Gen!F34</f>
        <v>0</v>
      </c>
      <c r="J29" s="612">
        <f>Gen!U34</f>
        <v>3295</v>
      </c>
      <c r="K29" s="615">
        <f>Gen!AL34</f>
        <v>0</v>
      </c>
      <c r="L29" s="608">
        <f t="shared" si="19"/>
        <v>3295</v>
      </c>
      <c r="M29" s="361">
        <f>'Water-Meter'!K69</f>
        <v>614.02387377421621</v>
      </c>
      <c r="N29" s="568">
        <f>'Water-Meter'!E29</f>
        <v>75</v>
      </c>
      <c r="O29" s="561"/>
      <c r="P29" s="559">
        <v>19044</v>
      </c>
      <c r="Q29" s="578">
        <f t="shared" si="2"/>
        <v>0</v>
      </c>
      <c r="R29" s="344">
        <f t="shared" si="8"/>
        <v>0</v>
      </c>
      <c r="S29" s="552">
        <v>6.9</v>
      </c>
      <c r="T29" s="559">
        <v>20859</v>
      </c>
      <c r="U29" s="578">
        <f t="shared" si="3"/>
        <v>5</v>
      </c>
      <c r="V29" s="345">
        <f t="shared" si="24"/>
        <v>34.5</v>
      </c>
      <c r="W29" s="556"/>
      <c r="X29" s="559">
        <v>29498</v>
      </c>
      <c r="Y29" s="578">
        <f>X29-X28</f>
        <v>0</v>
      </c>
      <c r="Z29" s="560">
        <f t="shared" si="25"/>
        <v>0</v>
      </c>
      <c r="AA29" s="566">
        <f t="shared" si="27"/>
        <v>0</v>
      </c>
      <c r="AB29" s="563">
        <v>23955</v>
      </c>
      <c r="AC29" s="550">
        <f t="shared" si="28"/>
        <v>17</v>
      </c>
      <c r="AD29" s="680">
        <v>229723</v>
      </c>
      <c r="AE29" s="156">
        <f t="shared" si="23"/>
        <v>61</v>
      </c>
      <c r="AF29" s="572">
        <f>'Lpg (2)'!B33*2000/85</f>
        <v>635.29411764705878</v>
      </c>
      <c r="AG29" s="224">
        <f>'Lpg (2)'!C33*1000/85</f>
        <v>1000</v>
      </c>
      <c r="AH29" s="585">
        <f>'Lpg (2)'!D33*1000/85</f>
        <v>1000</v>
      </c>
      <c r="AI29" s="575">
        <f t="shared" si="21"/>
        <v>3270588.2352941176</v>
      </c>
      <c r="AJ29" s="346">
        <f t="shared" si="6"/>
        <v>141176.47058823518</v>
      </c>
      <c r="AK29" s="115"/>
    </row>
    <row r="30" spans="1:37" ht="18.75" x14ac:dyDescent="0.3">
      <c r="A30" s="606">
        <f>Gen!B35</f>
        <v>44586</v>
      </c>
      <c r="B30" s="343">
        <f>'UTILITY REPORT 1'!C27</f>
        <v>12</v>
      </c>
      <c r="C30" s="611"/>
      <c r="D30" s="573">
        <f t="shared" si="7"/>
        <v>12</v>
      </c>
      <c r="E30" s="573">
        <f t="shared" si="12"/>
        <v>1.3262195121951219</v>
      </c>
      <c r="F30" s="352">
        <f t="shared" si="13"/>
        <v>354.21112804878049</v>
      </c>
      <c r="G30" s="352">
        <f t="shared" si="0"/>
        <v>354.21112804878049</v>
      </c>
      <c r="H30" s="573">
        <f>Gen!D35</f>
        <v>32919.450000000019</v>
      </c>
      <c r="I30" s="573">
        <f>Gen!F35</f>
        <v>0</v>
      </c>
      <c r="J30" s="612">
        <f>Gen!U35</f>
        <v>3205</v>
      </c>
      <c r="K30" s="615">
        <f>Gen!AL35</f>
        <v>0</v>
      </c>
      <c r="L30" s="608">
        <f t="shared" si="19"/>
        <v>3205</v>
      </c>
      <c r="M30" s="361">
        <f>'Water-Meter'!K70</f>
        <v>493.97482967388584</v>
      </c>
      <c r="N30" s="568">
        <f>'Water-Meter'!E30</f>
        <v>160</v>
      </c>
      <c r="O30" s="561"/>
      <c r="P30" s="559">
        <v>19044</v>
      </c>
      <c r="Q30" s="578">
        <f t="shared" si="2"/>
        <v>0</v>
      </c>
      <c r="R30" s="344">
        <f t="shared" si="8"/>
        <v>0</v>
      </c>
      <c r="S30" s="552">
        <v>6.9</v>
      </c>
      <c r="T30" s="559">
        <v>20882</v>
      </c>
      <c r="U30" s="578">
        <f t="shared" si="3"/>
        <v>23</v>
      </c>
      <c r="V30" s="345">
        <f t="shared" si="24"/>
        <v>158.70000000000002</v>
      </c>
      <c r="W30" s="556"/>
      <c r="X30" s="559">
        <v>29498</v>
      </c>
      <c r="Y30" s="578">
        <f>X30-X29</f>
        <v>0</v>
      </c>
      <c r="Z30" s="560">
        <f t="shared" si="25"/>
        <v>0</v>
      </c>
      <c r="AA30" s="566">
        <f t="shared" si="27"/>
        <v>0</v>
      </c>
      <c r="AB30" s="563">
        <v>24088</v>
      </c>
      <c r="AC30" s="550">
        <f t="shared" si="28"/>
        <v>133</v>
      </c>
      <c r="AD30" s="680">
        <v>229788</v>
      </c>
      <c r="AE30" s="156">
        <f t="shared" si="23"/>
        <v>65</v>
      </c>
      <c r="AF30" s="572">
        <f>'Lpg (2)'!B34*2000/85</f>
        <v>541.17647058823525</v>
      </c>
      <c r="AG30" s="224">
        <f>'Lpg (2)'!C34*1000/85</f>
        <v>1000</v>
      </c>
      <c r="AH30" s="585">
        <f>'Lpg (2)'!D34*1000/85</f>
        <v>1000</v>
      </c>
      <c r="AI30" s="575">
        <f t="shared" si="21"/>
        <v>3082352.9411764704</v>
      </c>
      <c r="AJ30" s="346">
        <f t="shared" si="6"/>
        <v>188235.29411764722</v>
      </c>
      <c r="AK30" s="115"/>
    </row>
    <row r="31" spans="1:37" ht="18.75" x14ac:dyDescent="0.3">
      <c r="A31" s="606">
        <f>Gen!B36</f>
        <v>44587</v>
      </c>
      <c r="B31" s="343">
        <f>'UTILITY REPORT 1'!C28</f>
        <v>13</v>
      </c>
      <c r="C31" s="611"/>
      <c r="D31" s="573">
        <f t="shared" si="7"/>
        <v>13</v>
      </c>
      <c r="E31" s="573">
        <f t="shared" si="12"/>
        <v>1.3262195121951219</v>
      </c>
      <c r="F31" s="352">
        <f t="shared" si="13"/>
        <v>364.71036585365852</v>
      </c>
      <c r="G31" s="352">
        <f t="shared" si="0"/>
        <v>364.71036585365852</v>
      </c>
      <c r="H31" s="573">
        <f>Gen!D36</f>
        <v>31545.950000000019</v>
      </c>
      <c r="I31" s="573">
        <f>Gen!F36</f>
        <v>15000</v>
      </c>
      <c r="J31" s="612">
        <f>Gen!U36</f>
        <v>3575</v>
      </c>
      <c r="K31" s="615">
        <f>Gen!AL36</f>
        <v>0</v>
      </c>
      <c r="L31" s="608">
        <f t="shared" si="19"/>
        <v>3575</v>
      </c>
      <c r="M31" s="361">
        <f>'Water-Meter'!K71</f>
        <v>407.69840113303064</v>
      </c>
      <c r="N31" s="568">
        <f>'Water-Meter'!E31</f>
        <v>66</v>
      </c>
      <c r="O31" s="561"/>
      <c r="P31" s="559">
        <v>19044</v>
      </c>
      <c r="Q31" s="578">
        <f t="shared" si="2"/>
        <v>0</v>
      </c>
      <c r="R31" s="344">
        <f t="shared" si="8"/>
        <v>0</v>
      </c>
      <c r="S31" s="556">
        <v>6.7</v>
      </c>
      <c r="T31" s="559">
        <v>20902</v>
      </c>
      <c r="U31" s="578">
        <f t="shared" si="3"/>
        <v>20</v>
      </c>
      <c r="V31" s="345">
        <f t="shared" si="24"/>
        <v>134</v>
      </c>
      <c r="W31" s="556"/>
      <c r="X31" s="559">
        <v>29498</v>
      </c>
      <c r="Y31" s="578">
        <f>X31-X30</f>
        <v>0</v>
      </c>
      <c r="Z31" s="560">
        <f t="shared" si="25"/>
        <v>0</v>
      </c>
      <c r="AA31" s="566">
        <f t="shared" si="27"/>
        <v>0</v>
      </c>
      <c r="AB31" s="563">
        <v>24100</v>
      </c>
      <c r="AC31" s="550">
        <f t="shared" si="28"/>
        <v>12</v>
      </c>
      <c r="AD31" s="680">
        <v>229855</v>
      </c>
      <c r="AE31" s="156">
        <f t="shared" si="23"/>
        <v>67</v>
      </c>
      <c r="AF31" s="572">
        <f>'Lpg (2)'!B35*2000/85</f>
        <v>470.58823529411762</v>
      </c>
      <c r="AG31" s="224">
        <f>'Lpg (2)'!C35*1000/85</f>
        <v>1000</v>
      </c>
      <c r="AH31" s="585">
        <f>'Lpg (2)'!D35*1000/85</f>
        <v>1000</v>
      </c>
      <c r="AI31" s="575">
        <f t="shared" si="21"/>
        <v>2941176.4705882352</v>
      </c>
      <c r="AJ31" s="346">
        <f t="shared" si="6"/>
        <v>141176.47058823518</v>
      </c>
      <c r="AK31" s="115"/>
    </row>
    <row r="32" spans="1:37" ht="18.75" x14ac:dyDescent="0.3">
      <c r="A32" s="606">
        <f>Gen!B37</f>
        <v>44588</v>
      </c>
      <c r="B32" s="343">
        <f>'UTILITY REPORT 1'!C29</f>
        <v>11</v>
      </c>
      <c r="C32" s="611"/>
      <c r="D32" s="573">
        <f t="shared" si="7"/>
        <v>11</v>
      </c>
      <c r="E32" s="573">
        <f t="shared" si="12"/>
        <v>1.3262195121951219</v>
      </c>
      <c r="F32" s="352">
        <f t="shared" si="13"/>
        <v>435.24113082039912</v>
      </c>
      <c r="G32" s="352">
        <f t="shared" si="0"/>
        <v>435.24113082039912</v>
      </c>
      <c r="H32" s="573">
        <f>Gen!D37</f>
        <v>45120.60000000002</v>
      </c>
      <c r="I32" s="573">
        <f>Gen!F37</f>
        <v>0</v>
      </c>
      <c r="J32" s="612">
        <f>Gen!U37</f>
        <v>3610</v>
      </c>
      <c r="K32" s="615">
        <f>Gen!AL37</f>
        <v>0</v>
      </c>
      <c r="L32" s="608">
        <f t="shared" si="19"/>
        <v>3610</v>
      </c>
      <c r="M32" s="361">
        <f>'Water-Meter'!K72</f>
        <v>444.55214143316482</v>
      </c>
      <c r="N32" s="568">
        <f>'Water-Meter'!E32</f>
        <v>75</v>
      </c>
      <c r="O32" s="561"/>
      <c r="P32" s="559">
        <v>19044</v>
      </c>
      <c r="Q32" s="578">
        <f>SUM(P32-P31)</f>
        <v>0</v>
      </c>
      <c r="R32" s="344">
        <f t="shared" si="8"/>
        <v>0</v>
      </c>
      <c r="S32" s="556">
        <v>6.7</v>
      </c>
      <c r="T32" s="559">
        <v>20917</v>
      </c>
      <c r="U32" s="578">
        <f t="shared" si="3"/>
        <v>15</v>
      </c>
      <c r="V32" s="345">
        <f>SUM(U32*S32)</f>
        <v>100.5</v>
      </c>
      <c r="W32" s="556"/>
      <c r="X32" s="559">
        <v>29498</v>
      </c>
      <c r="Y32" s="578">
        <f t="shared" si="26"/>
        <v>0</v>
      </c>
      <c r="Z32" s="560">
        <f t="shared" si="25"/>
        <v>0</v>
      </c>
      <c r="AA32" s="566">
        <f t="shared" si="27"/>
        <v>0</v>
      </c>
      <c r="AB32" s="563">
        <v>24284</v>
      </c>
      <c r="AC32" s="550">
        <f t="shared" si="28"/>
        <v>184</v>
      </c>
      <c r="AD32" s="680">
        <v>229931</v>
      </c>
      <c r="AE32" s="156">
        <f t="shared" si="23"/>
        <v>76</v>
      </c>
      <c r="AF32" s="572">
        <f>'Lpg (2)'!B36*2000/85</f>
        <v>447.05882352941177</v>
      </c>
      <c r="AG32" s="224">
        <f>'Lpg (2)'!C36*1000/85</f>
        <v>1000</v>
      </c>
      <c r="AH32" s="585">
        <f>'Lpg (2)'!D36*1000/85</f>
        <v>1000</v>
      </c>
      <c r="AI32" s="575">
        <f t="shared" si="21"/>
        <v>2894117.6470588236</v>
      </c>
      <c r="AJ32" s="346">
        <f t="shared" si="6"/>
        <v>47058.823529411573</v>
      </c>
      <c r="AK32" s="115"/>
    </row>
    <row r="33" spans="1:37" ht="18.75" x14ac:dyDescent="0.3">
      <c r="A33" s="606">
        <f>Gen!B38</f>
        <v>44589</v>
      </c>
      <c r="B33" s="343">
        <f>'UTILITY REPORT 1'!C30</f>
        <v>8</v>
      </c>
      <c r="C33" s="611"/>
      <c r="D33" s="573">
        <f t="shared" si="7"/>
        <v>8</v>
      </c>
      <c r="E33" s="573">
        <f t="shared" si="12"/>
        <v>1.3262195121951219</v>
      </c>
      <c r="F33" s="352">
        <f t="shared" si="13"/>
        <v>595.63833841463418</v>
      </c>
      <c r="G33" s="352">
        <f t="shared" si="0"/>
        <v>595.63833841463418</v>
      </c>
      <c r="H33" s="573">
        <f>Gen!D38</f>
        <v>43355.270000000019</v>
      </c>
      <c r="I33" s="573">
        <f>Gen!F38</f>
        <v>0</v>
      </c>
      <c r="J33" s="612">
        <f>Gen!U38</f>
        <v>3593</v>
      </c>
      <c r="K33" s="615">
        <f>Gen!AL38</f>
        <v>0</v>
      </c>
      <c r="L33" s="608">
        <f t="shared" si="19"/>
        <v>3593</v>
      </c>
      <c r="M33" s="361">
        <f>'Water-Meter'!K73</f>
        <v>474.54202969026574</v>
      </c>
      <c r="N33" s="568">
        <f>'Water-Meter'!E33</f>
        <v>64</v>
      </c>
      <c r="O33" s="561"/>
      <c r="P33" s="559">
        <v>19044</v>
      </c>
      <c r="Q33" s="578">
        <f t="shared" si="2"/>
        <v>0</v>
      </c>
      <c r="R33" s="344">
        <f t="shared" si="8"/>
        <v>0</v>
      </c>
      <c r="S33" s="556">
        <v>6.7</v>
      </c>
      <c r="T33" s="559">
        <v>20928</v>
      </c>
      <c r="U33" s="578">
        <f t="shared" si="3"/>
        <v>11</v>
      </c>
      <c r="V33" s="345">
        <f t="shared" si="24"/>
        <v>73.7</v>
      </c>
      <c r="W33" s="556"/>
      <c r="X33" s="559">
        <v>29498</v>
      </c>
      <c r="Y33" s="578">
        <f>X33-X32</f>
        <v>0</v>
      </c>
      <c r="Z33" s="560">
        <f t="shared" si="25"/>
        <v>0</v>
      </c>
      <c r="AA33" s="566">
        <f t="shared" si="27"/>
        <v>0</v>
      </c>
      <c r="AB33" s="563">
        <v>24350</v>
      </c>
      <c r="AC33" s="550">
        <f t="shared" si="28"/>
        <v>66</v>
      </c>
      <c r="AD33" s="680">
        <v>229992</v>
      </c>
      <c r="AE33" s="156">
        <f t="shared" si="23"/>
        <v>61</v>
      </c>
      <c r="AF33" s="572">
        <f>'Lpg (2)'!B37*2000/85</f>
        <v>400</v>
      </c>
      <c r="AG33" s="224">
        <f>'Lpg (2)'!C37*1000/85</f>
        <v>1000</v>
      </c>
      <c r="AH33" s="585">
        <f>'Lpg (2)'!D37*1000/85</f>
        <v>1000</v>
      </c>
      <c r="AI33" s="575">
        <f t="shared" si="21"/>
        <v>2800000</v>
      </c>
      <c r="AJ33" s="346">
        <f t="shared" si="6"/>
        <v>94117.647058823612</v>
      </c>
      <c r="AK33" s="115"/>
    </row>
    <row r="34" spans="1:37" ht="18.75" x14ac:dyDescent="0.3">
      <c r="A34" s="606">
        <f>Gen!B39</f>
        <v>44590</v>
      </c>
      <c r="B34" s="343">
        <f>'UTILITY REPORT 1'!C31</f>
        <v>8</v>
      </c>
      <c r="C34" s="611"/>
      <c r="D34" s="573">
        <f t="shared" si="7"/>
        <v>8</v>
      </c>
      <c r="E34" s="573">
        <f t="shared" si="12"/>
        <v>1.3262195121951219</v>
      </c>
      <c r="F34" s="352">
        <f t="shared" si="13"/>
        <v>594.97522865853659</v>
      </c>
      <c r="G34" s="352">
        <f t="shared" si="0"/>
        <v>594.97522865853659</v>
      </c>
      <c r="H34" s="573">
        <f>Gen!D39</f>
        <v>41926.070000000022</v>
      </c>
      <c r="I34" s="573">
        <f>Gen!F39</f>
        <v>0</v>
      </c>
      <c r="J34" s="612">
        <f>Gen!U39</f>
        <v>3589</v>
      </c>
      <c r="K34" s="615">
        <f>Gen!AL39</f>
        <v>0</v>
      </c>
      <c r="L34" s="608">
        <f t="shared" si="19"/>
        <v>3589</v>
      </c>
      <c r="M34" s="361">
        <f>'Water-Meter'!K74</f>
        <v>488.84996628590773</v>
      </c>
      <c r="N34" s="568">
        <f>'Water-Meter'!E34</f>
        <v>80</v>
      </c>
      <c r="O34" s="561"/>
      <c r="P34" s="559">
        <v>19044</v>
      </c>
      <c r="Q34" s="578">
        <f>SUM(P34-P33)</f>
        <v>0</v>
      </c>
      <c r="R34" s="344">
        <f t="shared" si="8"/>
        <v>0</v>
      </c>
      <c r="S34" s="556">
        <v>6.7</v>
      </c>
      <c r="T34" s="559">
        <v>20953</v>
      </c>
      <c r="U34" s="578">
        <f t="shared" si="3"/>
        <v>25</v>
      </c>
      <c r="V34" s="345">
        <f t="shared" si="24"/>
        <v>167.5</v>
      </c>
      <c r="W34" s="556"/>
      <c r="X34" s="559">
        <v>29498</v>
      </c>
      <c r="Y34" s="578">
        <f t="shared" si="26"/>
        <v>0</v>
      </c>
      <c r="Z34" s="560">
        <f t="shared" si="25"/>
        <v>0</v>
      </c>
      <c r="AA34" s="566">
        <f t="shared" ref="AA34" si="29">SUM(Z34*X36)</f>
        <v>0</v>
      </c>
      <c r="AB34" s="563">
        <v>24485</v>
      </c>
      <c r="AC34" s="550">
        <f t="shared" si="28"/>
        <v>135</v>
      </c>
      <c r="AD34" s="680">
        <v>230059</v>
      </c>
      <c r="AE34" s="156">
        <f t="shared" si="23"/>
        <v>67</v>
      </c>
      <c r="AF34" s="572">
        <f>'Lpg (2)'!B38*2000/85</f>
        <v>352.94117647058823</v>
      </c>
      <c r="AG34" s="224">
        <f>'Lpg (2)'!C38*1000/85</f>
        <v>1000</v>
      </c>
      <c r="AH34" s="585">
        <f>'Lpg (2)'!D38*1000/85</f>
        <v>1000</v>
      </c>
      <c r="AI34" s="575">
        <f t="shared" si="21"/>
        <v>2705882.3529411764</v>
      </c>
      <c r="AJ34" s="346">
        <f t="shared" si="6"/>
        <v>94117.647058823612</v>
      </c>
      <c r="AK34" s="115"/>
    </row>
    <row r="35" spans="1:37" ht="18.75" x14ac:dyDescent="0.3">
      <c r="A35" s="606">
        <f>Gen!B40</f>
        <v>44591</v>
      </c>
      <c r="B35" s="343">
        <f>'UTILITY REPORT 1'!C32</f>
        <v>6</v>
      </c>
      <c r="C35" s="611"/>
      <c r="D35" s="573">
        <f t="shared" si="7"/>
        <v>6</v>
      </c>
      <c r="E35" s="573">
        <f t="shared" si="12"/>
        <v>1.3262195121951219</v>
      </c>
      <c r="F35" s="352">
        <f t="shared" si="13"/>
        <v>790.2057926829267</v>
      </c>
      <c r="G35" s="352">
        <f t="shared" si="0"/>
        <v>790.2057926829267</v>
      </c>
      <c r="H35" s="573">
        <f>Gen!D40</f>
        <v>40463.290000000023</v>
      </c>
      <c r="I35" s="573">
        <f>Gen!F40</f>
        <v>0</v>
      </c>
      <c r="J35" s="612">
        <f>Gen!U40</f>
        <v>3575</v>
      </c>
      <c r="K35" s="615">
        <f>Gen!AL40</f>
        <v>0</v>
      </c>
      <c r="L35" s="608">
        <f t="shared" si="19"/>
        <v>3575</v>
      </c>
      <c r="M35" s="361">
        <f>'Water-Meter'!K75</f>
        <v>557.19793535232475</v>
      </c>
      <c r="N35" s="568">
        <f>'Water-Meter'!E35</f>
        <v>110</v>
      </c>
      <c r="O35" s="561"/>
      <c r="P35" s="559">
        <v>19044</v>
      </c>
      <c r="Q35" s="578">
        <f t="shared" si="2"/>
        <v>0</v>
      </c>
      <c r="R35" s="344">
        <f t="shared" si="8"/>
        <v>0</v>
      </c>
      <c r="S35" s="556">
        <v>6.7</v>
      </c>
      <c r="T35" s="559">
        <v>20954</v>
      </c>
      <c r="U35" s="578">
        <f t="shared" si="3"/>
        <v>1</v>
      </c>
      <c r="V35" s="345">
        <f t="shared" si="24"/>
        <v>6.7</v>
      </c>
      <c r="W35" s="556"/>
      <c r="X35" s="559">
        <v>29498</v>
      </c>
      <c r="Y35" s="578">
        <f>X35-X34</f>
        <v>0</v>
      </c>
      <c r="Z35" s="560">
        <f t="shared" si="25"/>
        <v>0</v>
      </c>
      <c r="AA35" s="566">
        <f t="shared" si="20"/>
        <v>0</v>
      </c>
      <c r="AB35" s="563">
        <v>24496</v>
      </c>
      <c r="AC35" s="550">
        <f t="shared" si="28"/>
        <v>11</v>
      </c>
      <c r="AD35" s="680">
        <v>230127</v>
      </c>
      <c r="AE35" s="156">
        <f t="shared" si="23"/>
        <v>68</v>
      </c>
      <c r="AF35" s="572">
        <f>'Lpg (2)'!B39*2000/85</f>
        <v>258.8235294117647</v>
      </c>
      <c r="AG35" s="224">
        <f>'Lpg (2)'!C39*1000/85</f>
        <v>1000</v>
      </c>
      <c r="AH35" s="585">
        <f>'Lpg (2)'!D39*1000/85</f>
        <v>1000</v>
      </c>
      <c r="AI35" s="575">
        <f t="shared" si="21"/>
        <v>2517647.0588235296</v>
      </c>
      <c r="AJ35" s="346">
        <f t="shared" si="6"/>
        <v>188235.29411764676</v>
      </c>
      <c r="AK35" s="115"/>
    </row>
    <row r="36" spans="1:37" ht="18.75" x14ac:dyDescent="0.3">
      <c r="A36" s="606">
        <f>Gen!B41</f>
        <v>44592</v>
      </c>
      <c r="B36" s="343">
        <f>'UTILITY REPORT 1'!C33</f>
        <v>5</v>
      </c>
      <c r="C36" s="611"/>
      <c r="D36" s="573">
        <f t="shared" si="7"/>
        <v>5</v>
      </c>
      <c r="E36" s="573">
        <f t="shared" si="12"/>
        <v>1.3262195121951219</v>
      </c>
      <c r="F36" s="352">
        <f t="shared" si="13"/>
        <v>867.87804878048769</v>
      </c>
      <c r="G36" s="352">
        <f t="shared" si="0"/>
        <v>867.87804878048769</v>
      </c>
      <c r="H36" s="573">
        <f>Gen!D41</f>
        <v>39020.42000000002</v>
      </c>
      <c r="I36" s="573">
        <f>Gen!F41</f>
        <v>0</v>
      </c>
      <c r="J36" s="612">
        <f>Gen!U41</f>
        <v>3272</v>
      </c>
      <c r="K36" s="615">
        <f>Gen!AL41</f>
        <v>0</v>
      </c>
      <c r="L36" s="608">
        <f t="shared" si="19"/>
        <v>3272</v>
      </c>
      <c r="M36" s="361">
        <f>'Water-Meter'!K76</f>
        <v>510.09744597453368</v>
      </c>
      <c r="N36" s="568">
        <f>'Water-Meter'!E36</f>
        <v>104</v>
      </c>
      <c r="O36" s="561"/>
      <c r="P36" s="559">
        <v>19044</v>
      </c>
      <c r="Q36" s="578">
        <f t="shared" si="2"/>
        <v>0</v>
      </c>
      <c r="R36" s="344">
        <f t="shared" si="8"/>
        <v>0</v>
      </c>
      <c r="S36" s="556">
        <v>6.8</v>
      </c>
      <c r="T36" s="559">
        <v>20954</v>
      </c>
      <c r="U36" s="578">
        <f t="shared" si="3"/>
        <v>0</v>
      </c>
      <c r="V36" s="345">
        <f t="shared" si="24"/>
        <v>0</v>
      </c>
      <c r="W36" s="556"/>
      <c r="X36" s="559">
        <v>29498</v>
      </c>
      <c r="Y36" s="578">
        <f t="shared" si="26"/>
        <v>0</v>
      </c>
      <c r="Z36" s="560">
        <f t="shared" si="25"/>
        <v>0</v>
      </c>
      <c r="AA36" s="566">
        <f t="shared" si="20"/>
        <v>0</v>
      </c>
      <c r="AB36" s="563">
        <v>24631</v>
      </c>
      <c r="AC36" s="550">
        <f t="shared" si="28"/>
        <v>135</v>
      </c>
      <c r="AD36" s="680">
        <v>230193</v>
      </c>
      <c r="AE36" s="156">
        <f t="shared" si="23"/>
        <v>66</v>
      </c>
      <c r="AF36" s="572">
        <f>'Lpg (2)'!B40*2000/85</f>
        <v>211.76470588235293</v>
      </c>
      <c r="AG36" s="224">
        <f>'Lpg (2)'!C40*1000/85</f>
        <v>1000</v>
      </c>
      <c r="AH36" s="585">
        <f>'Lpg (2)'!D40*1000/85</f>
        <v>1000</v>
      </c>
      <c r="AI36" s="575">
        <f>SUM(AF36*1000)+(AG36*1000)+(AH36*2000)</f>
        <v>3211764.7058823528</v>
      </c>
      <c r="AJ36" s="346">
        <f t="shared" si="6"/>
        <v>-694117.64705882315</v>
      </c>
      <c r="AK36" s="115"/>
    </row>
    <row r="37" spans="1:37" s="8" customFormat="1" ht="18.75" x14ac:dyDescent="0.3">
      <c r="A37" s="607">
        <f>Gen!B42</f>
        <v>0</v>
      </c>
      <c r="B37" s="343">
        <f>'UTILITY REPORT 1'!C34</f>
        <v>0</v>
      </c>
      <c r="C37" s="616"/>
      <c r="D37" s="616"/>
      <c r="E37" s="616"/>
      <c r="F37" s="616"/>
      <c r="G37" s="616"/>
      <c r="H37" s="617"/>
      <c r="I37" s="618"/>
      <c r="J37" s="619">
        <f>SUM(J6:J36)</f>
        <v>115511</v>
      </c>
      <c r="K37" s="620"/>
      <c r="L37" s="609">
        <f t="shared" si="19"/>
        <v>115511</v>
      </c>
      <c r="M37" s="361">
        <f>'Water-Meter'!K77</f>
        <v>0</v>
      </c>
      <c r="N37" s="569" t="str">
        <f>'Water-Meter'!E37</f>
        <v>0</v>
      </c>
      <c r="O37" s="558"/>
      <c r="P37" s="559"/>
      <c r="Q37" s="579">
        <f t="shared" ref="Q37" si="30">SUM(P37-P36)</f>
        <v>-19044</v>
      </c>
      <c r="R37" s="580">
        <f t="shared" ref="R37" si="31">SUM(Q37*O37)</f>
        <v>0</v>
      </c>
      <c r="S37" s="558"/>
      <c r="T37" s="559"/>
      <c r="U37" s="579">
        <f t="shared" ref="U37" si="32">T37-T36</f>
        <v>-20954</v>
      </c>
      <c r="V37" s="581">
        <f t="shared" ref="V37" si="33">SUM(U37*S37)</f>
        <v>0</v>
      </c>
      <c r="W37" s="558"/>
      <c r="X37" s="559"/>
      <c r="Y37" s="579">
        <f t="shared" ref="Y37" si="34">X37-X36</f>
        <v>-29498</v>
      </c>
      <c r="Z37" s="582">
        <f t="shared" ref="Z37" si="35">SUM(Y37*W37)</f>
        <v>0</v>
      </c>
      <c r="AA37" s="583">
        <f t="shared" ref="AA37" si="36">SUM(Z37*X39)</f>
        <v>0</v>
      </c>
      <c r="AB37" s="563">
        <v>24759</v>
      </c>
      <c r="AC37" s="551">
        <f t="shared" si="28"/>
        <v>128</v>
      </c>
      <c r="AD37" s="680">
        <v>230257</v>
      </c>
      <c r="AE37" s="555">
        <f t="shared" si="23"/>
        <v>64</v>
      </c>
      <c r="AF37" s="586">
        <f>'Lpg (2)'!B41*2000/85</f>
        <v>0</v>
      </c>
      <c r="AG37" s="587">
        <f>'Lpg (2)'!C41*1000/85</f>
        <v>0</v>
      </c>
      <c r="AH37" s="588">
        <f>'Lpg (2)'!D41*1000/85</f>
        <v>0</v>
      </c>
      <c r="AI37" s="576"/>
      <c r="AJ37" s="347">
        <f t="shared" ref="AJ37" si="37">SUM(AI36-AI37)</f>
        <v>3211764.7058823528</v>
      </c>
      <c r="AK37" s="116"/>
    </row>
    <row r="38" spans="1:37" x14ac:dyDescent="0.2">
      <c r="A38" s="229"/>
      <c r="B38" s="230"/>
      <c r="C38" s="231"/>
      <c r="D38" s="231"/>
      <c r="E38" s="231"/>
      <c r="F38" s="231"/>
      <c r="G38" s="231"/>
      <c r="H38" s="230"/>
      <c r="I38" s="230"/>
      <c r="J38" s="232"/>
      <c r="K38" s="232"/>
      <c r="L38" s="232"/>
      <c r="M38" s="233"/>
      <c r="N38" s="233"/>
      <c r="O38" s="233"/>
      <c r="P38" s="233"/>
      <c r="Q38" s="233"/>
      <c r="R38" s="233"/>
      <c r="S38" s="233"/>
      <c r="T38" s="233"/>
      <c r="U38" s="233"/>
      <c r="V38" s="233"/>
      <c r="W38" s="233"/>
      <c r="AA38" s="112"/>
      <c r="AB38" s="112"/>
      <c r="AC38" s="113"/>
      <c r="AD38" s="112"/>
      <c r="AE38" s="113"/>
      <c r="AI38" s="112"/>
      <c r="AJ38" s="112"/>
    </row>
    <row r="39" spans="1:37" x14ac:dyDescent="0.2">
      <c r="C39" s="113"/>
      <c r="J39" s="113"/>
      <c r="X39" s="113"/>
      <c r="AF39" s="113"/>
      <c r="AH39" s="112"/>
    </row>
    <row r="40" spans="1:37" ht="30.75" customHeight="1" x14ac:dyDescent="0.2">
      <c r="C40" s="113"/>
      <c r="J40" s="113"/>
      <c r="X40" s="113"/>
    </row>
    <row r="41" spans="1:37" x14ac:dyDescent="0.2">
      <c r="C41" s="113"/>
      <c r="J41" s="113"/>
    </row>
    <row r="42" spans="1:37" x14ac:dyDescent="0.2">
      <c r="C42" s="113"/>
      <c r="J42" s="113"/>
    </row>
    <row r="43" spans="1:37" ht="15" x14ac:dyDescent="0.25">
      <c r="C43" s="113"/>
      <c r="J43" s="113"/>
      <c r="X43" s="736"/>
    </row>
    <row r="44" spans="1:37" ht="15" x14ac:dyDescent="0.25">
      <c r="C44" s="113"/>
      <c r="J44" s="113"/>
      <c r="X44" s="737"/>
    </row>
    <row r="45" spans="1:37" ht="15" x14ac:dyDescent="0.25">
      <c r="C45" s="113"/>
      <c r="J45" s="113"/>
      <c r="X45" s="736"/>
    </row>
    <row r="46" spans="1:37" ht="15" x14ac:dyDescent="0.25">
      <c r="C46" s="113"/>
      <c r="J46" s="113"/>
      <c r="X46" s="737"/>
    </row>
    <row r="47" spans="1:37" x14ac:dyDescent="0.2">
      <c r="C47" s="113"/>
      <c r="J47" s="113"/>
    </row>
    <row r="48" spans="1:37" x14ac:dyDescent="0.2">
      <c r="C48" s="113"/>
      <c r="J48" s="113"/>
    </row>
    <row r="49" spans="3:10" x14ac:dyDescent="0.2">
      <c r="C49" s="113"/>
      <c r="J49" s="113"/>
    </row>
    <row r="50" spans="3:10" x14ac:dyDescent="0.2">
      <c r="C50" s="113"/>
      <c r="J50" s="113"/>
    </row>
    <row r="51" spans="3:10" x14ac:dyDescent="0.2">
      <c r="C51" s="113"/>
      <c r="J51" s="113"/>
    </row>
    <row r="52" spans="3:10" x14ac:dyDescent="0.2">
      <c r="C52" s="113"/>
      <c r="J52" s="113"/>
    </row>
    <row r="53" spans="3:10" x14ac:dyDescent="0.2">
      <c r="C53" s="113"/>
      <c r="J53" s="113"/>
    </row>
    <row r="54" spans="3:10" x14ac:dyDescent="0.2">
      <c r="C54" s="113"/>
      <c r="J54" s="113"/>
    </row>
    <row r="55" spans="3:10" x14ac:dyDescent="0.2">
      <c r="C55" s="113"/>
      <c r="J55" s="113"/>
    </row>
    <row r="56" spans="3:10" x14ac:dyDescent="0.2">
      <c r="C56" s="113"/>
      <c r="J56" s="113"/>
    </row>
    <row r="57" spans="3:10" x14ac:dyDescent="0.2">
      <c r="C57" s="113"/>
      <c r="J57" s="113"/>
    </row>
    <row r="58" spans="3:10" x14ac:dyDescent="0.2">
      <c r="C58" s="113"/>
      <c r="J58" s="113"/>
    </row>
    <row r="59" spans="3:10" x14ac:dyDescent="0.2">
      <c r="C59" s="113"/>
      <c r="J59" s="113"/>
    </row>
    <row r="60" spans="3:10" x14ac:dyDescent="0.2">
      <c r="C60" s="113"/>
      <c r="J60" s="113"/>
    </row>
    <row r="61" spans="3:10" x14ac:dyDescent="0.2">
      <c r="C61" s="113"/>
      <c r="J61" s="113"/>
    </row>
    <row r="62" spans="3:10" x14ac:dyDescent="0.2">
      <c r="C62" s="113"/>
      <c r="J62" s="113"/>
    </row>
    <row r="63" spans="3:10" x14ac:dyDescent="0.2">
      <c r="C63" s="113"/>
      <c r="J63" s="113"/>
    </row>
    <row r="64" spans="3:10" x14ac:dyDescent="0.2">
      <c r="C64" s="113"/>
      <c r="J64" s="113"/>
    </row>
    <row r="65" spans="3:24" x14ac:dyDescent="0.2">
      <c r="C65" s="113"/>
      <c r="J65" s="113"/>
    </row>
    <row r="66" spans="3:24" ht="15" x14ac:dyDescent="0.25">
      <c r="C66" s="113"/>
      <c r="J66" s="113"/>
      <c r="X66" s="736"/>
    </row>
    <row r="67" spans="3:24" ht="15" x14ac:dyDescent="0.25">
      <c r="C67" s="113"/>
      <c r="J67" s="113"/>
      <c r="X67" s="738"/>
    </row>
    <row r="68" spans="3:24" ht="15" x14ac:dyDescent="0.25">
      <c r="C68" s="113"/>
      <c r="J68" s="113"/>
      <c r="X68" s="738"/>
    </row>
    <row r="69" spans="3:24" ht="15" x14ac:dyDescent="0.25">
      <c r="C69" s="113"/>
      <c r="J69" s="113"/>
      <c r="X69" s="738"/>
    </row>
    <row r="70" spans="3:24" ht="15" x14ac:dyDescent="0.25">
      <c r="C70" s="113"/>
      <c r="J70" s="113"/>
      <c r="X70" s="738"/>
    </row>
    <row r="71" spans="3:24" ht="15" x14ac:dyDescent="0.25">
      <c r="C71" s="113"/>
      <c r="J71" s="113"/>
      <c r="X71" s="738"/>
    </row>
    <row r="72" spans="3:24" x14ac:dyDescent="0.2">
      <c r="C72" s="113"/>
      <c r="J72" s="113"/>
    </row>
    <row r="73" spans="3:24" x14ac:dyDescent="0.2">
      <c r="C73" s="113"/>
      <c r="J73" s="113"/>
    </row>
    <row r="74" spans="3:24" x14ac:dyDescent="0.2">
      <c r="C74" s="113"/>
      <c r="J74" s="113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4" orientation="landscape" r:id="rId1"/>
  <ignoredErrors>
    <ignoredError sqref="R7:R8" evalError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C53"/>
  <sheetViews>
    <sheetView zoomScale="70" zoomScaleNormal="70" workbookViewId="0">
      <selection activeCell="E35" sqref="E35"/>
    </sheetView>
  </sheetViews>
  <sheetFormatPr defaultRowHeight="12.75" x14ac:dyDescent="0.2"/>
  <cols>
    <col min="1" max="1" width="9.140625" style="40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5" bestFit="1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4.42578125" customWidth="1"/>
    <col min="17" max="17" width="12.28515625" customWidth="1"/>
    <col min="18" max="18" width="16.5703125" customWidth="1"/>
    <col min="19" max="19" width="12.5703125" style="15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x14ac:dyDescent="0.3">
      <c r="B1" s="910" t="s">
        <v>84</v>
      </c>
      <c r="C1" s="911"/>
      <c r="D1" s="911"/>
      <c r="E1" s="911"/>
      <c r="F1" s="912"/>
      <c r="G1" s="137"/>
      <c r="H1" s="905" t="s">
        <v>85</v>
      </c>
      <c r="I1" s="906"/>
      <c r="J1" s="906"/>
      <c r="K1" s="906"/>
      <c r="L1" s="907"/>
      <c r="M1" s="905" t="s">
        <v>86</v>
      </c>
      <c r="N1" s="906"/>
      <c r="O1" s="906"/>
      <c r="P1" s="906"/>
      <c r="Q1" s="907"/>
      <c r="R1" s="137"/>
      <c r="T1" s="910" t="s">
        <v>87</v>
      </c>
      <c r="U1" s="911"/>
      <c r="V1" s="911"/>
      <c r="W1" s="911"/>
      <c r="X1" s="912"/>
      <c r="Y1" s="905" t="s">
        <v>88</v>
      </c>
      <c r="Z1" s="906"/>
      <c r="AA1" s="906"/>
      <c r="AB1" s="906"/>
      <c r="AC1" s="907"/>
    </row>
    <row r="2" spans="1:29" ht="60" x14ac:dyDescent="0.25">
      <c r="A2" s="462" t="s">
        <v>33</v>
      </c>
      <c r="B2" s="138" t="s">
        <v>89</v>
      </c>
      <c r="C2" s="139" t="s">
        <v>90</v>
      </c>
      <c r="D2" s="140" t="s">
        <v>91</v>
      </c>
      <c r="E2" s="140" t="s">
        <v>92</v>
      </c>
      <c r="F2" s="141" t="s">
        <v>93</v>
      </c>
      <c r="G2" s="142"/>
      <c r="H2" s="138" t="s">
        <v>89</v>
      </c>
      <c r="I2" s="139" t="s">
        <v>90</v>
      </c>
      <c r="J2" s="140" t="s">
        <v>94</v>
      </c>
      <c r="K2" s="140" t="s">
        <v>95</v>
      </c>
      <c r="L2" s="147" t="s">
        <v>96</v>
      </c>
      <c r="M2" s="138" t="s">
        <v>89</v>
      </c>
      <c r="N2" s="139" t="s">
        <v>90</v>
      </c>
      <c r="O2" s="140" t="s">
        <v>94</v>
      </c>
      <c r="P2" s="140" t="s">
        <v>95</v>
      </c>
      <c r="Q2" s="147" t="s">
        <v>96</v>
      </c>
      <c r="R2" s="278" t="s">
        <v>97</v>
      </c>
      <c r="S2" s="507" t="s">
        <v>98</v>
      </c>
      <c r="T2" s="138" t="s">
        <v>89</v>
      </c>
      <c r="U2" s="139" t="s">
        <v>90</v>
      </c>
      <c r="V2" s="140" t="s">
        <v>99</v>
      </c>
      <c r="W2" s="140" t="s">
        <v>100</v>
      </c>
      <c r="X2" s="141" t="s">
        <v>93</v>
      </c>
      <c r="Y2" s="138" t="s">
        <v>89</v>
      </c>
      <c r="Z2" s="139" t="s">
        <v>90</v>
      </c>
      <c r="AA2" s="140" t="s">
        <v>94</v>
      </c>
      <c r="AB2" s="140" t="s">
        <v>95</v>
      </c>
      <c r="AC2" s="141" t="s">
        <v>96</v>
      </c>
    </row>
    <row r="3" spans="1:29" ht="31.5" customHeight="1" x14ac:dyDescent="0.3">
      <c r="A3" s="463">
        <f>Gen!B11</f>
        <v>44562</v>
      </c>
      <c r="B3" s="908" t="s">
        <v>101</v>
      </c>
      <c r="C3" s="909"/>
      <c r="D3" s="146"/>
      <c r="E3" s="860">
        <v>9818.2000000000007</v>
      </c>
      <c r="F3" s="816">
        <f t="shared" ref="F3:F11" si="0">SUM(E4-D3)*120</f>
        <v>1178448</v>
      </c>
      <c r="G3" s="464"/>
      <c r="H3" s="908" t="s">
        <v>101</v>
      </c>
      <c r="I3" s="909"/>
      <c r="J3" s="485">
        <f>'Water-Meter'!G5</f>
        <v>0</v>
      </c>
      <c r="K3" s="465">
        <f>'Water-Meter'!G5</f>
        <v>0</v>
      </c>
      <c r="L3" s="208"/>
      <c r="M3" s="908" t="s">
        <v>101</v>
      </c>
      <c r="N3" s="909"/>
      <c r="O3" s="146"/>
      <c r="P3" s="466">
        <f>'Water-Meter'!J5</f>
        <v>8965</v>
      </c>
      <c r="Q3" s="145"/>
      <c r="R3" s="208"/>
      <c r="S3" s="508"/>
      <c r="T3" s="908" t="s">
        <v>101</v>
      </c>
      <c r="U3" s="909"/>
      <c r="V3" s="146"/>
      <c r="W3" s="733">
        <v>8794.9</v>
      </c>
      <c r="X3" s="467">
        <f t="shared" ref="X3:X32" si="1">(W3-V3)*200</f>
        <v>1758980</v>
      </c>
      <c r="Y3" s="908" t="s">
        <v>101</v>
      </c>
      <c r="Z3" s="909"/>
      <c r="AA3" s="813"/>
      <c r="AB3" s="805">
        <f>'Water-Meter'!P5</f>
        <v>22928</v>
      </c>
      <c r="AC3" s="148"/>
    </row>
    <row r="4" spans="1:29" ht="18.75" x14ac:dyDescent="0.3">
      <c r="A4" s="509">
        <f>Gen!C11</f>
        <v>0.41560000000000002</v>
      </c>
      <c r="B4" s="468">
        <f>Gen!B11</f>
        <v>44562</v>
      </c>
      <c r="C4" s="469"/>
      <c r="D4" s="470">
        <f t="shared" ref="D4" si="2">E3</f>
        <v>9818.2000000000007</v>
      </c>
      <c r="E4" s="817">
        <v>9820.4</v>
      </c>
      <c r="F4" s="816">
        <f t="shared" si="0"/>
        <v>563.99999999986903</v>
      </c>
      <c r="G4" s="819"/>
      <c r="H4" s="497">
        <f>B4</f>
        <v>44562</v>
      </c>
      <c r="I4" s="469"/>
      <c r="J4" s="498">
        <f>'Water-Meter'!G6</f>
        <v>0</v>
      </c>
      <c r="K4" s="499">
        <f>'Water-Meter'!G6</f>
        <v>0</v>
      </c>
      <c r="L4" s="861">
        <f>SUM(K4-J4)</f>
        <v>0</v>
      </c>
      <c r="M4" s="497">
        <f>H4</f>
        <v>44562</v>
      </c>
      <c r="N4" s="469"/>
      <c r="O4" s="855"/>
      <c r="P4" s="473">
        <f>'Water-Meter'!J6</f>
        <v>8968</v>
      </c>
      <c r="Q4" s="469">
        <f>N4-O3</f>
        <v>0</v>
      </c>
      <c r="R4" s="495">
        <f t="shared" ref="R4:R20" si="3">SUM(Q4/1615)</f>
        <v>0</v>
      </c>
      <c r="S4" s="500">
        <f>Gen!U11</f>
        <v>4734</v>
      </c>
      <c r="T4" s="497">
        <f>M4</f>
        <v>44562</v>
      </c>
      <c r="U4" s="469"/>
      <c r="V4" s="470">
        <f t="shared" ref="V4:V33" si="4">W3</f>
        <v>8794.9</v>
      </c>
      <c r="W4" s="733">
        <v>8799.6</v>
      </c>
      <c r="X4" s="467">
        <f t="shared" si="1"/>
        <v>940.00000000014552</v>
      </c>
      <c r="Y4" s="497">
        <f>T4</f>
        <v>44562</v>
      </c>
      <c r="Z4" s="808"/>
      <c r="AA4" s="806">
        <f>AB3</f>
        <v>22928</v>
      </c>
      <c r="AB4" s="811">
        <f>'Water-Meter'!P6</f>
        <v>22939</v>
      </c>
      <c r="AC4" s="815">
        <f>AB4-AA4</f>
        <v>11</v>
      </c>
    </row>
    <row r="5" spans="1:29" ht="18.75" x14ac:dyDescent="0.3">
      <c r="A5" s="510">
        <f>Gen!C12</f>
        <v>0.53</v>
      </c>
      <c r="B5" s="471">
        <f>Gen!B12</f>
        <v>44563</v>
      </c>
      <c r="C5" s="457"/>
      <c r="D5" s="461">
        <f>E5</f>
        <v>9822.9</v>
      </c>
      <c r="E5" s="817">
        <v>9822.9</v>
      </c>
      <c r="F5" s="816">
        <f t="shared" si="0"/>
        <v>204.00000000008731</v>
      </c>
      <c r="G5" s="820"/>
      <c r="H5" s="492">
        <f t="shared" ref="H5:H33" si="5">B5</f>
        <v>44563</v>
      </c>
      <c r="I5" s="457"/>
      <c r="J5" s="493">
        <f>'Water-Meter'!G7</f>
        <v>0</v>
      </c>
      <c r="K5" s="494">
        <f>'Water-Meter'!G7</f>
        <v>0</v>
      </c>
      <c r="L5" s="457">
        <f t="shared" ref="L5:L34" si="6">SUM(K5-J5)</f>
        <v>0</v>
      </c>
      <c r="M5" s="492">
        <f t="shared" ref="M5:M35" si="7">H5</f>
        <v>44563</v>
      </c>
      <c r="N5" s="457"/>
      <c r="O5" s="6"/>
      <c r="P5" s="460">
        <f>'Water-Meter'!J7</f>
        <v>8971</v>
      </c>
      <c r="Q5" s="469">
        <f t="shared" ref="Q5:Q26" si="8">N5-O4</f>
        <v>0</v>
      </c>
      <c r="R5" s="495">
        <f t="shared" si="3"/>
        <v>0</v>
      </c>
      <c r="S5" s="496">
        <f>Gen!U12</f>
        <v>4563</v>
      </c>
      <c r="T5" s="497">
        <f t="shared" ref="T5:T34" si="9">M5</f>
        <v>44563</v>
      </c>
      <c r="U5" s="457"/>
      <c r="V5" s="461">
        <f t="shared" si="4"/>
        <v>8799.6</v>
      </c>
      <c r="W5" s="458">
        <v>8804.7999999999993</v>
      </c>
      <c r="X5" s="461">
        <f t="shared" si="1"/>
        <v>1039.9999999997817</v>
      </c>
      <c r="Y5" s="492">
        <f t="shared" ref="Y5:Y30" si="10">T5</f>
        <v>44563</v>
      </c>
      <c r="Z5" s="809"/>
      <c r="AA5" s="806">
        <f>AB4</f>
        <v>22939</v>
      </c>
      <c r="AB5" s="811">
        <f>'Water-Meter'!P7</f>
        <v>22948</v>
      </c>
      <c r="AC5" s="501">
        <f t="shared" ref="AC5:AC33" si="11">AB5-AA5</f>
        <v>9</v>
      </c>
    </row>
    <row r="6" spans="1:29" ht="18.75" x14ac:dyDescent="0.3">
      <c r="A6" s="510">
        <f>Gen!C13</f>
        <v>0.36</v>
      </c>
      <c r="B6" s="471">
        <f>Gen!B13</f>
        <v>44564</v>
      </c>
      <c r="C6" s="457"/>
      <c r="D6" s="461">
        <f t="shared" ref="D6:D35" si="12">E6</f>
        <v>9824.6</v>
      </c>
      <c r="E6" s="818">
        <v>9824.6</v>
      </c>
      <c r="F6" s="816">
        <f t="shared" si="0"/>
        <v>275.99999999991269</v>
      </c>
      <c r="G6" s="820"/>
      <c r="H6" s="492">
        <f t="shared" si="5"/>
        <v>44564</v>
      </c>
      <c r="I6" s="457"/>
      <c r="J6" s="493">
        <f>'Water-Meter'!G8</f>
        <v>0</v>
      </c>
      <c r="K6" s="494">
        <f>'Water-Meter'!G8</f>
        <v>0</v>
      </c>
      <c r="L6" s="457">
        <f t="shared" si="6"/>
        <v>0</v>
      </c>
      <c r="M6" s="492">
        <f t="shared" si="7"/>
        <v>44564</v>
      </c>
      <c r="N6" s="457"/>
      <c r="O6" s="6"/>
      <c r="P6" s="460">
        <f>'Water-Meter'!J8</f>
        <v>8975</v>
      </c>
      <c r="Q6" s="469">
        <f t="shared" si="8"/>
        <v>0</v>
      </c>
      <c r="R6" s="495">
        <f t="shared" si="3"/>
        <v>0</v>
      </c>
      <c r="S6" s="496">
        <f>Gen!U13</f>
        <v>4574</v>
      </c>
      <c r="T6" s="497">
        <f t="shared" si="9"/>
        <v>44564</v>
      </c>
      <c r="U6" s="457"/>
      <c r="V6" s="461">
        <f t="shared" si="4"/>
        <v>8804.7999999999993</v>
      </c>
      <c r="W6" s="733">
        <v>8809.4</v>
      </c>
      <c r="X6" s="461">
        <f t="shared" si="1"/>
        <v>920.00000000007276</v>
      </c>
      <c r="Y6" s="492">
        <f t="shared" si="10"/>
        <v>44564</v>
      </c>
      <c r="Z6" s="809"/>
      <c r="AA6" s="806">
        <f>AB5</f>
        <v>22948</v>
      </c>
      <c r="AB6" s="811">
        <f>'Water-Meter'!P8</f>
        <v>22960</v>
      </c>
      <c r="AC6" s="501">
        <f t="shared" si="11"/>
        <v>12</v>
      </c>
    </row>
    <row r="7" spans="1:29" ht="18.75" x14ac:dyDescent="0.3">
      <c r="A7" s="510">
        <f>Gen!C14</f>
        <v>0.35</v>
      </c>
      <c r="B7" s="471">
        <f>Gen!B14</f>
        <v>44565</v>
      </c>
      <c r="C7" s="457"/>
      <c r="D7" s="461">
        <f t="shared" si="12"/>
        <v>9826.9</v>
      </c>
      <c r="E7" s="818">
        <v>9826.9</v>
      </c>
      <c r="F7" s="816">
        <f t="shared" si="0"/>
        <v>227.99999999995634</v>
      </c>
      <c r="G7" s="820"/>
      <c r="H7" s="492">
        <f t="shared" si="5"/>
        <v>44565</v>
      </c>
      <c r="I7" s="457"/>
      <c r="J7" s="493">
        <f>'Water-Meter'!G9</f>
        <v>0</v>
      </c>
      <c r="K7" s="494">
        <f>'Water-Meter'!G9</f>
        <v>0</v>
      </c>
      <c r="L7" s="457">
        <f t="shared" si="6"/>
        <v>0</v>
      </c>
      <c r="M7" s="492">
        <f t="shared" si="7"/>
        <v>44565</v>
      </c>
      <c r="N7" s="457"/>
      <c r="O7" s="6"/>
      <c r="P7" s="460">
        <f>'Water-Meter'!J9</f>
        <v>8978</v>
      </c>
      <c r="Q7" s="469">
        <f t="shared" si="8"/>
        <v>0</v>
      </c>
      <c r="R7" s="495">
        <f t="shared" si="3"/>
        <v>0</v>
      </c>
      <c r="S7" s="496">
        <f>Gen!U14</f>
        <v>4346</v>
      </c>
      <c r="T7" s="497">
        <f t="shared" si="9"/>
        <v>44565</v>
      </c>
      <c r="U7" s="457"/>
      <c r="V7" s="461">
        <f t="shared" si="4"/>
        <v>8809.4</v>
      </c>
      <c r="W7" s="733">
        <v>8813.1</v>
      </c>
      <c r="X7" s="461">
        <f t="shared" si="1"/>
        <v>740.00000000014552</v>
      </c>
      <c r="Y7" s="492">
        <f t="shared" si="10"/>
        <v>44565</v>
      </c>
      <c r="Z7" s="809"/>
      <c r="AA7" s="806">
        <f>AB6</f>
        <v>22960</v>
      </c>
      <c r="AB7" s="811">
        <f>'Water-Meter'!P9</f>
        <v>22969</v>
      </c>
      <c r="AC7" s="815">
        <f>AB7-AA7</f>
        <v>9</v>
      </c>
    </row>
    <row r="8" spans="1:29" ht="18.75" x14ac:dyDescent="0.3">
      <c r="A8" s="510">
        <f>Gen!C15</f>
        <v>0.26</v>
      </c>
      <c r="B8" s="471">
        <f>Gen!B15</f>
        <v>44566</v>
      </c>
      <c r="C8" s="457"/>
      <c r="D8" s="461">
        <f>E8</f>
        <v>9828.7999999999993</v>
      </c>
      <c r="E8" s="818">
        <v>9828.7999999999993</v>
      </c>
      <c r="F8" s="816">
        <f t="shared" si="0"/>
        <v>204.00000000008731</v>
      </c>
      <c r="G8" s="820"/>
      <c r="H8" s="492">
        <f t="shared" si="5"/>
        <v>44566</v>
      </c>
      <c r="I8" s="457"/>
      <c r="J8" s="493">
        <f>'Water-Meter'!G10</f>
        <v>0</v>
      </c>
      <c r="K8" s="494">
        <f>'Water-Meter'!G10</f>
        <v>0</v>
      </c>
      <c r="L8" s="457">
        <f t="shared" si="6"/>
        <v>0</v>
      </c>
      <c r="M8" s="492">
        <f t="shared" si="7"/>
        <v>44566</v>
      </c>
      <c r="N8" s="457"/>
      <c r="O8" s="6"/>
      <c r="P8" s="460">
        <f>'Water-Meter'!J10</f>
        <v>8981</v>
      </c>
      <c r="Q8" s="469">
        <f t="shared" si="8"/>
        <v>0</v>
      </c>
      <c r="R8" s="495">
        <f t="shared" si="3"/>
        <v>0</v>
      </c>
      <c r="S8" s="496">
        <f>Gen!U15</f>
        <v>3969</v>
      </c>
      <c r="T8" s="497">
        <f t="shared" si="9"/>
        <v>44566</v>
      </c>
      <c r="U8" s="457"/>
      <c r="V8" s="461">
        <f t="shared" si="4"/>
        <v>8813.1</v>
      </c>
      <c r="W8" s="733">
        <v>8816.7999999999993</v>
      </c>
      <c r="X8" s="461">
        <f t="shared" si="1"/>
        <v>739.99999999978172</v>
      </c>
      <c r="Y8" s="492">
        <f t="shared" si="10"/>
        <v>44566</v>
      </c>
      <c r="Z8" s="809"/>
      <c r="AA8" s="806">
        <f>AB7</f>
        <v>22969</v>
      </c>
      <c r="AB8" s="811">
        <f>'Water-Meter'!P10</f>
        <v>22978</v>
      </c>
      <c r="AC8" s="815">
        <f>AB8-AA8</f>
        <v>9</v>
      </c>
    </row>
    <row r="9" spans="1:29" ht="18.75" x14ac:dyDescent="0.3">
      <c r="A9" s="510">
        <f>Gen!C16</f>
        <v>0.31</v>
      </c>
      <c r="B9" s="471">
        <f>Gen!B16</f>
        <v>44567</v>
      </c>
      <c r="C9" s="457"/>
      <c r="D9" s="461">
        <f>E9</f>
        <v>9830.5</v>
      </c>
      <c r="E9" s="818">
        <v>9830.5</v>
      </c>
      <c r="F9" s="816">
        <f t="shared" si="0"/>
        <v>227.99999999995634</v>
      </c>
      <c r="G9" s="820"/>
      <c r="H9" s="492">
        <f t="shared" si="5"/>
        <v>44567</v>
      </c>
      <c r="I9" s="457"/>
      <c r="J9" s="493">
        <f>'Water-Meter'!G11</f>
        <v>0</v>
      </c>
      <c r="K9" s="494">
        <f>'Water-Meter'!G11</f>
        <v>0</v>
      </c>
      <c r="L9" s="457">
        <f t="shared" si="6"/>
        <v>0</v>
      </c>
      <c r="M9" s="492">
        <f t="shared" si="7"/>
        <v>44567</v>
      </c>
      <c r="N9" s="457"/>
      <c r="O9" s="6"/>
      <c r="P9" s="460">
        <f>'Water-Meter'!J11</f>
        <v>8980</v>
      </c>
      <c r="Q9" s="469">
        <f t="shared" si="8"/>
        <v>0</v>
      </c>
      <c r="R9" s="495">
        <f t="shared" si="3"/>
        <v>0</v>
      </c>
      <c r="S9" s="496">
        <f>Gen!U16</f>
        <v>4325</v>
      </c>
      <c r="T9" s="497">
        <f t="shared" si="9"/>
        <v>44567</v>
      </c>
      <c r="U9" s="457"/>
      <c r="V9" s="461">
        <f t="shared" si="4"/>
        <v>8816.7999999999993</v>
      </c>
      <c r="W9" s="733">
        <v>8820.1</v>
      </c>
      <c r="X9" s="461">
        <f t="shared" si="1"/>
        <v>660.00000000021828</v>
      </c>
      <c r="Y9" s="492">
        <f t="shared" si="10"/>
        <v>44567</v>
      </c>
      <c r="Z9" s="809"/>
      <c r="AA9" s="807">
        <f t="shared" ref="AA9:AA34" si="13">AB8</f>
        <v>22978</v>
      </c>
      <c r="AB9" s="812">
        <f>'Water-Meter'!P11</f>
        <v>23012</v>
      </c>
      <c r="AC9" s="501">
        <f t="shared" si="11"/>
        <v>34</v>
      </c>
    </row>
    <row r="10" spans="1:29" ht="18.75" x14ac:dyDescent="0.3">
      <c r="A10" s="510">
        <f>Gen!C17</f>
        <v>0.24679999999999999</v>
      </c>
      <c r="B10" s="471">
        <f>Gen!B17</f>
        <v>44568</v>
      </c>
      <c r="C10" s="457"/>
      <c r="D10" s="461">
        <f t="shared" si="12"/>
        <v>9832.4</v>
      </c>
      <c r="E10" s="818">
        <v>9832.4</v>
      </c>
      <c r="F10" s="816">
        <f t="shared" si="0"/>
        <v>216.00000000013097</v>
      </c>
      <c r="G10" s="820"/>
      <c r="H10" s="492">
        <f t="shared" si="5"/>
        <v>44568</v>
      </c>
      <c r="I10" s="457"/>
      <c r="J10" s="493">
        <f>'Water-Meter'!G12</f>
        <v>0</v>
      </c>
      <c r="K10" s="494">
        <f>'Water-Meter'!G12</f>
        <v>0</v>
      </c>
      <c r="L10" s="457">
        <f t="shared" si="6"/>
        <v>0</v>
      </c>
      <c r="M10" s="492">
        <f t="shared" si="7"/>
        <v>44568</v>
      </c>
      <c r="N10" s="457"/>
      <c r="O10" s="6"/>
      <c r="P10" s="460">
        <f>'Water-Meter'!J12</f>
        <v>8982</v>
      </c>
      <c r="Q10" s="469">
        <f t="shared" si="8"/>
        <v>0</v>
      </c>
      <c r="R10" s="495">
        <f t="shared" si="3"/>
        <v>0</v>
      </c>
      <c r="S10" s="496">
        <f>Gen!U17</f>
        <v>4444</v>
      </c>
      <c r="T10" s="497">
        <f t="shared" si="9"/>
        <v>44568</v>
      </c>
      <c r="U10" s="457"/>
      <c r="V10" s="461">
        <f t="shared" si="4"/>
        <v>8820.1</v>
      </c>
      <c r="W10" s="733">
        <v>8823.7999999999993</v>
      </c>
      <c r="X10" s="461">
        <f t="shared" si="1"/>
        <v>739.99999999978172</v>
      </c>
      <c r="Y10" s="492">
        <f>T10</f>
        <v>44568</v>
      </c>
      <c r="Z10" s="809"/>
      <c r="AA10" s="807">
        <f t="shared" si="13"/>
        <v>23012</v>
      </c>
      <c r="AB10" s="812">
        <f>'Water-Meter'!P12</f>
        <v>23020</v>
      </c>
      <c r="AC10" s="501">
        <f t="shared" si="11"/>
        <v>8</v>
      </c>
    </row>
    <row r="11" spans="1:29" ht="18.75" x14ac:dyDescent="0.3">
      <c r="A11" s="510">
        <f>Gen!C18</f>
        <v>0.23</v>
      </c>
      <c r="B11" s="471">
        <f>Gen!B18</f>
        <v>44569</v>
      </c>
      <c r="C11" s="457"/>
      <c r="D11" s="461">
        <f t="shared" si="12"/>
        <v>9834.2000000000007</v>
      </c>
      <c r="E11" s="818">
        <v>9834.2000000000007</v>
      </c>
      <c r="F11" s="816">
        <f t="shared" si="0"/>
        <v>240</v>
      </c>
      <c r="G11" s="820"/>
      <c r="H11" s="492">
        <f t="shared" si="5"/>
        <v>44569</v>
      </c>
      <c r="I11" s="457"/>
      <c r="J11" s="493">
        <f>'Water-Meter'!G13</f>
        <v>0</v>
      </c>
      <c r="K11" s="494">
        <f>'Water-Meter'!G13</f>
        <v>0</v>
      </c>
      <c r="L11" s="457">
        <f t="shared" si="6"/>
        <v>0</v>
      </c>
      <c r="M11" s="492">
        <f t="shared" si="7"/>
        <v>44569</v>
      </c>
      <c r="N11" s="457"/>
      <c r="O11" s="6"/>
      <c r="P11" s="460">
        <f>'Water-Meter'!J13</f>
        <v>8984</v>
      </c>
      <c r="Q11" s="469">
        <f t="shared" si="8"/>
        <v>0</v>
      </c>
      <c r="R11" s="495">
        <f t="shared" si="3"/>
        <v>0</v>
      </c>
      <c r="S11" s="496">
        <f>Gen!U18</f>
        <v>4291</v>
      </c>
      <c r="T11" s="497">
        <f t="shared" si="9"/>
        <v>44569</v>
      </c>
      <c r="U11" s="457"/>
      <c r="V11" s="461">
        <f t="shared" si="4"/>
        <v>8823.7999999999993</v>
      </c>
      <c r="W11" s="733">
        <v>8827.2999999999993</v>
      </c>
      <c r="X11" s="461">
        <f t="shared" si="1"/>
        <v>700</v>
      </c>
      <c r="Y11" s="492">
        <f t="shared" si="10"/>
        <v>44569</v>
      </c>
      <c r="Z11" s="809"/>
      <c r="AA11" s="807">
        <f t="shared" si="13"/>
        <v>23020</v>
      </c>
      <c r="AB11" s="812">
        <f>'Water-Meter'!P13</f>
        <v>23026</v>
      </c>
      <c r="AC11" s="501">
        <f t="shared" si="11"/>
        <v>6</v>
      </c>
    </row>
    <row r="12" spans="1:29" ht="18.75" x14ac:dyDescent="0.3">
      <c r="A12" s="510">
        <f>Gen!C19</f>
        <v>0.20780000000000001</v>
      </c>
      <c r="B12" s="471">
        <f>Gen!B19</f>
        <v>44570</v>
      </c>
      <c r="C12" s="457"/>
      <c r="D12" s="461">
        <f t="shared" si="12"/>
        <v>9836.2000000000007</v>
      </c>
      <c r="E12" s="714">
        <v>9836.2000000000007</v>
      </c>
      <c r="F12" s="816">
        <f t="shared" ref="F12:F35" si="14">SUM(E13-D12)*120</f>
        <v>251.99999999982538</v>
      </c>
      <c r="G12" s="820"/>
      <c r="H12" s="492">
        <f t="shared" si="5"/>
        <v>44570</v>
      </c>
      <c r="I12" s="457"/>
      <c r="J12" s="493">
        <f>'Water-Meter'!G14</f>
        <v>0</v>
      </c>
      <c r="K12" s="494">
        <f>'Water-Meter'!G14</f>
        <v>0</v>
      </c>
      <c r="L12" s="670">
        <f>SUM(K12-J12)</f>
        <v>0</v>
      </c>
      <c r="M12" s="492">
        <f t="shared" si="7"/>
        <v>44570</v>
      </c>
      <c r="N12" s="457"/>
      <c r="O12" s="6"/>
      <c r="P12" s="460">
        <f>'Water-Meter'!J14</f>
        <v>8987</v>
      </c>
      <c r="Q12" s="469">
        <f t="shared" si="8"/>
        <v>0</v>
      </c>
      <c r="R12" s="495">
        <f t="shared" si="3"/>
        <v>0</v>
      </c>
      <c r="S12" s="496">
        <f>Gen!U19</f>
        <v>4336</v>
      </c>
      <c r="T12" s="497">
        <f t="shared" si="9"/>
        <v>44570</v>
      </c>
      <c r="U12" s="457"/>
      <c r="V12" s="461">
        <f t="shared" si="4"/>
        <v>8827.2999999999993</v>
      </c>
      <c r="W12" s="733">
        <v>8831.2000000000007</v>
      </c>
      <c r="X12" s="461">
        <f t="shared" si="1"/>
        <v>780.00000000029104</v>
      </c>
      <c r="Y12" s="492">
        <f t="shared" si="10"/>
        <v>44570</v>
      </c>
      <c r="Z12" s="809"/>
      <c r="AA12" s="807">
        <f t="shared" si="13"/>
        <v>23026</v>
      </c>
      <c r="AB12" s="812">
        <f>'Water-Meter'!P14</f>
        <v>23030</v>
      </c>
      <c r="AC12" s="501">
        <f t="shared" si="11"/>
        <v>4</v>
      </c>
    </row>
    <row r="13" spans="1:29" ht="18.75" x14ac:dyDescent="0.3">
      <c r="A13" s="510">
        <f>Gen!C20</f>
        <v>0.17</v>
      </c>
      <c r="B13" s="471">
        <f>Gen!B20</f>
        <v>44571</v>
      </c>
      <c r="C13" s="457"/>
      <c r="D13" s="461">
        <f t="shared" si="12"/>
        <v>9838.2999999999993</v>
      </c>
      <c r="E13" s="818">
        <v>9838.2999999999993</v>
      </c>
      <c r="F13" s="816">
        <f t="shared" si="14"/>
        <v>288.00000000017462</v>
      </c>
      <c r="G13" s="820"/>
      <c r="H13" s="492">
        <f t="shared" si="5"/>
        <v>44571</v>
      </c>
      <c r="I13" s="457"/>
      <c r="J13" s="493">
        <f>'Water-Meter'!G15</f>
        <v>0</v>
      </c>
      <c r="K13" s="494">
        <f>'Water-Meter'!G15</f>
        <v>0</v>
      </c>
      <c r="L13" s="457">
        <f t="shared" si="6"/>
        <v>0</v>
      </c>
      <c r="M13" s="492">
        <f t="shared" si="7"/>
        <v>44571</v>
      </c>
      <c r="N13" s="457"/>
      <c r="O13" s="6"/>
      <c r="P13" s="460">
        <f>'Water-Meter'!J15</f>
        <v>8989</v>
      </c>
      <c r="Q13" s="469">
        <f t="shared" si="8"/>
        <v>0</v>
      </c>
      <c r="R13" s="495">
        <f t="shared" si="3"/>
        <v>0</v>
      </c>
      <c r="S13" s="496">
        <f>Gen!U20</f>
        <v>4279</v>
      </c>
      <c r="T13" s="497">
        <f t="shared" si="9"/>
        <v>44571</v>
      </c>
      <c r="U13" s="457"/>
      <c r="V13" s="461">
        <f t="shared" si="4"/>
        <v>8831.2000000000007</v>
      </c>
      <c r="W13" s="733">
        <v>8834.4</v>
      </c>
      <c r="X13" s="461">
        <f t="shared" si="1"/>
        <v>639.99999999978172</v>
      </c>
      <c r="Y13" s="492">
        <f t="shared" si="10"/>
        <v>44571</v>
      </c>
      <c r="Z13" s="809"/>
      <c r="AA13" s="807">
        <f t="shared" si="13"/>
        <v>23030</v>
      </c>
      <c r="AB13" s="812">
        <f>'Water-Meter'!P15</f>
        <v>23047</v>
      </c>
      <c r="AC13" s="501">
        <f>AB13-AA13</f>
        <v>17</v>
      </c>
    </row>
    <row r="14" spans="1:29" ht="18.75" x14ac:dyDescent="0.3">
      <c r="A14" s="510">
        <f>Gen!C21</f>
        <v>0.1</v>
      </c>
      <c r="B14" s="471">
        <f>Gen!B21</f>
        <v>44572</v>
      </c>
      <c r="C14" s="457"/>
      <c r="D14" s="461">
        <f t="shared" si="12"/>
        <v>9840.7000000000007</v>
      </c>
      <c r="E14" s="818">
        <v>9840.7000000000007</v>
      </c>
      <c r="F14" s="816">
        <f t="shared" si="14"/>
        <v>287.99999999995634</v>
      </c>
      <c r="G14" s="820"/>
      <c r="H14" s="492">
        <f t="shared" si="5"/>
        <v>44572</v>
      </c>
      <c r="I14" s="457"/>
      <c r="J14" s="493">
        <f>'Water-Meter'!G15</f>
        <v>0</v>
      </c>
      <c r="K14" s="494">
        <f>'Water-Meter'!G15</f>
        <v>0</v>
      </c>
      <c r="L14" s="457">
        <f t="shared" si="6"/>
        <v>0</v>
      </c>
      <c r="M14" s="492">
        <f t="shared" si="7"/>
        <v>44572</v>
      </c>
      <c r="N14" s="457"/>
      <c r="O14" s="6"/>
      <c r="P14" s="460">
        <f>'Water-Meter'!J16</f>
        <v>8991</v>
      </c>
      <c r="Q14" s="469">
        <f t="shared" si="8"/>
        <v>0</v>
      </c>
      <c r="R14" s="495">
        <f>SUM(Q14/1615)</f>
        <v>0</v>
      </c>
      <c r="S14" s="496">
        <f>Gen!U21</f>
        <v>3862</v>
      </c>
      <c r="T14" s="497">
        <f>M14</f>
        <v>44572</v>
      </c>
      <c r="U14" s="457"/>
      <c r="V14" s="461">
        <f t="shared" si="4"/>
        <v>8834.4</v>
      </c>
      <c r="W14" s="458">
        <v>8836.9</v>
      </c>
      <c r="X14" s="461">
        <f t="shared" si="1"/>
        <v>500</v>
      </c>
      <c r="Y14" s="492">
        <f t="shared" si="10"/>
        <v>44572</v>
      </c>
      <c r="Z14" s="809"/>
      <c r="AA14" s="807">
        <f t="shared" si="13"/>
        <v>23047</v>
      </c>
      <c r="AB14" s="812">
        <f>'Water-Meter'!P16</f>
        <v>23055</v>
      </c>
      <c r="AC14" s="501">
        <f t="shared" si="11"/>
        <v>8</v>
      </c>
    </row>
    <row r="15" spans="1:29" ht="18.75" x14ac:dyDescent="0.3">
      <c r="A15" s="510">
        <f>Gen!C22</f>
        <v>6.4899999999999999E-2</v>
      </c>
      <c r="B15" s="471">
        <f>Gen!B22</f>
        <v>44573</v>
      </c>
      <c r="C15" s="457"/>
      <c r="D15" s="461">
        <f t="shared" si="12"/>
        <v>9843.1</v>
      </c>
      <c r="E15" s="818">
        <v>9843.1</v>
      </c>
      <c r="F15" s="816">
        <f t="shared" si="14"/>
        <v>240</v>
      </c>
      <c r="G15" s="820"/>
      <c r="H15" s="492">
        <f t="shared" si="5"/>
        <v>44573</v>
      </c>
      <c r="I15" s="457"/>
      <c r="J15" s="493">
        <f>'Water-Meter'!G17</f>
        <v>0</v>
      </c>
      <c r="K15" s="494">
        <f>'Water-Meter'!G17</f>
        <v>0</v>
      </c>
      <c r="L15" s="457">
        <f t="shared" si="6"/>
        <v>0</v>
      </c>
      <c r="M15" s="492">
        <f t="shared" si="7"/>
        <v>44573</v>
      </c>
      <c r="N15" s="457"/>
      <c r="O15" s="6"/>
      <c r="P15" s="460">
        <f>'Water-Meter'!J17</f>
        <v>8994</v>
      </c>
      <c r="Q15" s="469">
        <f t="shared" si="8"/>
        <v>0</v>
      </c>
      <c r="R15" s="495">
        <f t="shared" si="3"/>
        <v>0</v>
      </c>
      <c r="S15" s="496">
        <f>Gen!U22</f>
        <v>3803</v>
      </c>
      <c r="T15" s="497">
        <f t="shared" si="9"/>
        <v>44573</v>
      </c>
      <c r="U15" s="457"/>
      <c r="V15" s="461">
        <f t="shared" si="4"/>
        <v>8836.9</v>
      </c>
      <c r="W15" s="733">
        <v>8839.6</v>
      </c>
      <c r="X15" s="461">
        <f t="shared" si="1"/>
        <v>540.00000000014552</v>
      </c>
      <c r="Y15" s="492">
        <f>T15</f>
        <v>44573</v>
      </c>
      <c r="Z15" s="809"/>
      <c r="AA15" s="807">
        <f>AB14</f>
        <v>23055</v>
      </c>
      <c r="AB15" s="812">
        <f>'Water-Meter'!P17</f>
        <v>23064</v>
      </c>
      <c r="AC15" s="501">
        <f t="shared" si="11"/>
        <v>9</v>
      </c>
    </row>
    <row r="16" spans="1:29" ht="18.75" x14ac:dyDescent="0.3">
      <c r="A16" s="510">
        <f>Gen!C23</f>
        <v>0.13</v>
      </c>
      <c r="B16" s="471">
        <f>Gen!B23</f>
        <v>44574</v>
      </c>
      <c r="C16" s="457"/>
      <c r="D16" s="461">
        <f t="shared" si="12"/>
        <v>9845.1</v>
      </c>
      <c r="E16" s="818">
        <v>9845.1</v>
      </c>
      <c r="F16" s="816">
        <f t="shared" si="14"/>
        <v>287.99999999995634</v>
      </c>
      <c r="G16" s="820"/>
      <c r="H16" s="492">
        <f t="shared" si="5"/>
        <v>44574</v>
      </c>
      <c r="I16" s="457"/>
      <c r="J16" s="493">
        <f>'Water-Meter'!G18</f>
        <v>0</v>
      </c>
      <c r="K16" s="494">
        <f>'Water-Meter'!G18</f>
        <v>0</v>
      </c>
      <c r="L16" s="457">
        <f t="shared" si="6"/>
        <v>0</v>
      </c>
      <c r="M16" s="492">
        <f t="shared" si="7"/>
        <v>44574</v>
      </c>
      <c r="N16" s="457"/>
      <c r="O16" s="6"/>
      <c r="P16" s="460">
        <f>'Water-Meter'!J18</f>
        <v>8996</v>
      </c>
      <c r="Q16" s="469">
        <f t="shared" si="8"/>
        <v>0</v>
      </c>
      <c r="R16" s="495">
        <f t="shared" si="3"/>
        <v>0</v>
      </c>
      <c r="S16" s="496">
        <f>Gen!U23</f>
        <v>3648</v>
      </c>
      <c r="T16" s="497">
        <f t="shared" si="9"/>
        <v>44574</v>
      </c>
      <c r="U16" s="457"/>
      <c r="V16" s="461">
        <f t="shared" si="4"/>
        <v>8839.6</v>
      </c>
      <c r="W16" s="733">
        <v>8842.1</v>
      </c>
      <c r="X16" s="461">
        <f t="shared" si="1"/>
        <v>500</v>
      </c>
      <c r="Y16" s="492">
        <f t="shared" si="10"/>
        <v>44574</v>
      </c>
      <c r="Z16" s="809"/>
      <c r="AA16" s="807">
        <f t="shared" si="13"/>
        <v>23064</v>
      </c>
      <c r="AB16" s="812">
        <f>'Water-Meter'!P18</f>
        <v>23070</v>
      </c>
      <c r="AC16" s="501">
        <f t="shared" si="11"/>
        <v>6</v>
      </c>
    </row>
    <row r="17" spans="1:29" ht="18.75" x14ac:dyDescent="0.3">
      <c r="A17" s="510">
        <f>Gen!C24</f>
        <v>0.18</v>
      </c>
      <c r="B17" s="471">
        <f>Gen!B24</f>
        <v>44575</v>
      </c>
      <c r="C17" s="457"/>
      <c r="D17" s="461">
        <f t="shared" si="12"/>
        <v>9847.5</v>
      </c>
      <c r="E17" s="818">
        <v>9847.5</v>
      </c>
      <c r="F17" s="816">
        <f t="shared" si="14"/>
        <v>275.99999999991269</v>
      </c>
      <c r="G17" s="820"/>
      <c r="H17" s="492">
        <f t="shared" si="5"/>
        <v>44575</v>
      </c>
      <c r="I17" s="457"/>
      <c r="J17" s="493">
        <f>'Water-Meter'!G19</f>
        <v>0</v>
      </c>
      <c r="K17" s="494">
        <f>'Water-Meter'!G19</f>
        <v>0</v>
      </c>
      <c r="L17" s="457">
        <f t="shared" si="6"/>
        <v>0</v>
      </c>
      <c r="M17" s="492">
        <f t="shared" si="7"/>
        <v>44575</v>
      </c>
      <c r="N17" s="457"/>
      <c r="O17" s="6"/>
      <c r="P17" s="460">
        <f>'Water-Meter'!J19</f>
        <v>8998</v>
      </c>
      <c r="Q17" s="469">
        <f t="shared" si="8"/>
        <v>0</v>
      </c>
      <c r="R17" s="495">
        <f t="shared" si="3"/>
        <v>0</v>
      </c>
      <c r="S17" s="496">
        <f>Gen!U24</f>
        <v>3795</v>
      </c>
      <c r="T17" s="497">
        <f t="shared" si="9"/>
        <v>44575</v>
      </c>
      <c r="U17" s="457"/>
      <c r="V17" s="461">
        <f>W16</f>
        <v>8842.1</v>
      </c>
      <c r="W17" s="733">
        <v>8844.6</v>
      </c>
      <c r="X17" s="461">
        <f t="shared" si="1"/>
        <v>500</v>
      </c>
      <c r="Y17" s="492">
        <f t="shared" si="10"/>
        <v>44575</v>
      </c>
      <c r="Z17" s="809"/>
      <c r="AA17" s="807">
        <f t="shared" si="13"/>
        <v>23070</v>
      </c>
      <c r="AB17" s="812">
        <f>'Water-Meter'!P19</f>
        <v>23078</v>
      </c>
      <c r="AC17" s="501">
        <f>AB17-AA17</f>
        <v>8</v>
      </c>
    </row>
    <row r="18" spans="1:29" ht="18.75" x14ac:dyDescent="0.3">
      <c r="A18" s="510">
        <f>Gen!C25</f>
        <v>0.16</v>
      </c>
      <c r="B18" s="471">
        <f>Gen!B25</f>
        <v>44576</v>
      </c>
      <c r="C18" s="457"/>
      <c r="D18" s="461">
        <f t="shared" si="12"/>
        <v>9849.7999999999993</v>
      </c>
      <c r="E18" s="714">
        <v>9849.7999999999993</v>
      </c>
      <c r="F18" s="816">
        <f t="shared" si="14"/>
        <v>276.00000000013097</v>
      </c>
      <c r="G18" s="820"/>
      <c r="H18" s="492">
        <f t="shared" si="5"/>
        <v>44576</v>
      </c>
      <c r="I18" s="457"/>
      <c r="J18" s="493">
        <f>'Water-Meter'!G20</f>
        <v>0</v>
      </c>
      <c r="K18" s="494">
        <f>'Water-Meter'!G20</f>
        <v>0</v>
      </c>
      <c r="L18" s="457">
        <f t="shared" si="6"/>
        <v>0</v>
      </c>
      <c r="M18" s="492">
        <f t="shared" si="7"/>
        <v>44576</v>
      </c>
      <c r="N18" s="457"/>
      <c r="O18" s="6"/>
      <c r="P18" s="460">
        <f>'Water-Meter'!J20</f>
        <v>9000</v>
      </c>
      <c r="Q18" s="469">
        <f t="shared" si="8"/>
        <v>0</v>
      </c>
      <c r="R18" s="495">
        <f>SUM(Q18/1615)</f>
        <v>0</v>
      </c>
      <c r="S18" s="496">
        <f>Gen!U25</f>
        <v>3648</v>
      </c>
      <c r="T18" s="497">
        <f t="shared" si="9"/>
        <v>44576</v>
      </c>
      <c r="U18" s="457"/>
      <c r="V18" s="461">
        <f>W17</f>
        <v>8844.6</v>
      </c>
      <c r="W18" s="733">
        <v>8847.5</v>
      </c>
      <c r="X18" s="461">
        <f t="shared" si="1"/>
        <v>579.99999999992724</v>
      </c>
      <c r="Y18" s="492">
        <f t="shared" si="10"/>
        <v>44576</v>
      </c>
      <c r="Z18" s="809"/>
      <c r="AA18" s="807">
        <f t="shared" si="13"/>
        <v>23078</v>
      </c>
      <c r="AB18" s="812">
        <f>'Water-Meter'!P20</f>
        <v>23088</v>
      </c>
      <c r="AC18" s="501">
        <f t="shared" si="11"/>
        <v>10</v>
      </c>
    </row>
    <row r="19" spans="1:29" ht="18.75" x14ac:dyDescent="0.3">
      <c r="A19" s="510">
        <f>Gen!C26</f>
        <v>0.18</v>
      </c>
      <c r="B19" s="471">
        <f>Gen!B26</f>
        <v>44577</v>
      </c>
      <c r="C19" s="459"/>
      <c r="D19" s="461">
        <f t="shared" si="12"/>
        <v>9852.1</v>
      </c>
      <c r="E19" s="818">
        <v>9852.1</v>
      </c>
      <c r="F19" s="816">
        <f t="shared" si="14"/>
        <v>252.00000000004366</v>
      </c>
      <c r="G19" s="820"/>
      <c r="H19" s="492">
        <f t="shared" si="5"/>
        <v>44577</v>
      </c>
      <c r="I19" s="459"/>
      <c r="J19" s="493">
        <f>'Water-Meter'!G21</f>
        <v>0</v>
      </c>
      <c r="K19" s="494">
        <f>'Water-Meter'!G21</f>
        <v>0</v>
      </c>
      <c r="L19" s="457">
        <f t="shared" si="6"/>
        <v>0</v>
      </c>
      <c r="M19" s="492">
        <f t="shared" si="7"/>
        <v>44577</v>
      </c>
      <c r="N19" s="459"/>
      <c r="O19" s="6"/>
      <c r="P19" s="460">
        <f>'Water-Meter'!J21</f>
        <v>9002</v>
      </c>
      <c r="Q19" s="469">
        <f t="shared" si="8"/>
        <v>0</v>
      </c>
      <c r="R19" s="495">
        <f t="shared" si="3"/>
        <v>0</v>
      </c>
      <c r="S19" s="496">
        <f>Gen!U26</f>
        <v>3393</v>
      </c>
      <c r="T19" s="497">
        <f t="shared" si="9"/>
        <v>44577</v>
      </c>
      <c r="U19" s="459"/>
      <c r="V19" s="461">
        <f t="shared" si="4"/>
        <v>8847.5</v>
      </c>
      <c r="W19" s="733">
        <v>8850.1</v>
      </c>
      <c r="X19" s="461">
        <f t="shared" si="1"/>
        <v>520.00000000007276</v>
      </c>
      <c r="Y19" s="492">
        <f>T19</f>
        <v>44577</v>
      </c>
      <c r="Z19" s="810"/>
      <c r="AA19" s="807">
        <f>AB18</f>
        <v>23088</v>
      </c>
      <c r="AB19" s="812">
        <f>'Water-Meter'!P21</f>
        <v>23096</v>
      </c>
      <c r="AC19" s="501">
        <f t="shared" si="11"/>
        <v>8</v>
      </c>
    </row>
    <row r="20" spans="1:29" ht="18.75" x14ac:dyDescent="0.3">
      <c r="A20" s="510">
        <f>Gen!C27</f>
        <v>0.09</v>
      </c>
      <c r="B20" s="471">
        <f>Gen!B27</f>
        <v>44578</v>
      </c>
      <c r="C20" s="459"/>
      <c r="D20" s="461">
        <f t="shared" si="12"/>
        <v>9854.2000000000007</v>
      </c>
      <c r="E20" s="818">
        <v>9854.2000000000007</v>
      </c>
      <c r="F20" s="816">
        <f t="shared" si="14"/>
        <v>203.99999999986903</v>
      </c>
      <c r="G20" s="820"/>
      <c r="H20" s="492">
        <f t="shared" si="5"/>
        <v>44578</v>
      </c>
      <c r="I20" s="459"/>
      <c r="J20" s="493">
        <f>'Water-Meter'!G22</f>
        <v>0</v>
      </c>
      <c r="K20" s="494">
        <f>'Water-Meter'!G22</f>
        <v>0</v>
      </c>
      <c r="L20" s="457">
        <f t="shared" si="6"/>
        <v>0</v>
      </c>
      <c r="M20" s="492">
        <f t="shared" si="7"/>
        <v>44578</v>
      </c>
      <c r="N20" s="459"/>
      <c r="O20" s="6"/>
      <c r="P20" s="460">
        <f>'Water-Meter'!J22</f>
        <v>9004</v>
      </c>
      <c r="Q20" s="469">
        <f t="shared" si="8"/>
        <v>0</v>
      </c>
      <c r="R20" s="495">
        <f t="shared" si="3"/>
        <v>0</v>
      </c>
      <c r="S20" s="496">
        <f>Gen!U27</f>
        <v>2977</v>
      </c>
      <c r="T20" s="497">
        <f t="shared" si="9"/>
        <v>44578</v>
      </c>
      <c r="U20" s="459"/>
      <c r="V20" s="461">
        <f t="shared" si="4"/>
        <v>8850.1</v>
      </c>
      <c r="W20" s="733">
        <v>8853.1</v>
      </c>
      <c r="X20" s="461">
        <f t="shared" si="1"/>
        <v>600</v>
      </c>
      <c r="Y20" s="492">
        <f t="shared" si="10"/>
        <v>44578</v>
      </c>
      <c r="Z20" s="810"/>
      <c r="AA20" s="807">
        <f t="shared" si="13"/>
        <v>23096</v>
      </c>
      <c r="AB20" s="812">
        <f>'Water-Meter'!P22</f>
        <v>23103</v>
      </c>
      <c r="AC20" s="501">
        <f t="shared" si="11"/>
        <v>7</v>
      </c>
    </row>
    <row r="21" spans="1:29" ht="18.75" x14ac:dyDescent="0.3">
      <c r="A21" s="510">
        <f>Gen!C28</f>
        <v>0.16</v>
      </c>
      <c r="B21" s="471">
        <f>Gen!B28</f>
        <v>44579</v>
      </c>
      <c r="C21" s="459"/>
      <c r="D21" s="461">
        <f t="shared" si="12"/>
        <v>9855.9</v>
      </c>
      <c r="E21" s="818">
        <v>9855.9</v>
      </c>
      <c r="F21" s="816">
        <f t="shared" si="14"/>
        <v>276.00000000013097</v>
      </c>
      <c r="G21" s="820"/>
      <c r="H21" s="492">
        <f t="shared" si="5"/>
        <v>44579</v>
      </c>
      <c r="I21" s="459"/>
      <c r="J21" s="493">
        <f>'Water-Meter'!G23</f>
        <v>0</v>
      </c>
      <c r="K21" s="494">
        <f>'Water-Meter'!G23</f>
        <v>0</v>
      </c>
      <c r="L21" s="457">
        <f t="shared" si="6"/>
        <v>0</v>
      </c>
      <c r="M21" s="492">
        <f t="shared" si="7"/>
        <v>44579</v>
      </c>
      <c r="N21" s="459"/>
      <c r="O21" s="6"/>
      <c r="P21" s="460">
        <f>'Water-Meter'!J23</f>
        <v>9006</v>
      </c>
      <c r="Q21" s="469">
        <f t="shared" si="8"/>
        <v>0</v>
      </c>
      <c r="R21" s="495">
        <f>SUM(Q21/1615)</f>
        <v>0</v>
      </c>
      <c r="S21" s="496">
        <f>Gen!U28</f>
        <v>3443</v>
      </c>
      <c r="T21" s="497">
        <f t="shared" si="9"/>
        <v>44579</v>
      </c>
      <c r="U21" s="459"/>
      <c r="V21" s="461">
        <f t="shared" si="4"/>
        <v>8853.1</v>
      </c>
      <c r="W21" s="733">
        <v>8855.7999999999993</v>
      </c>
      <c r="X21" s="461">
        <f t="shared" si="1"/>
        <v>539.99999999978172</v>
      </c>
      <c r="Y21" s="492">
        <f t="shared" si="10"/>
        <v>44579</v>
      </c>
      <c r="Z21" s="810"/>
      <c r="AA21" s="807">
        <f t="shared" si="13"/>
        <v>23103</v>
      </c>
      <c r="AB21" s="812">
        <f>'Water-Meter'!P23</f>
        <v>23111</v>
      </c>
      <c r="AC21" s="501">
        <f t="shared" si="11"/>
        <v>8</v>
      </c>
    </row>
    <row r="22" spans="1:29" ht="18.75" x14ac:dyDescent="0.3">
      <c r="A22" s="510">
        <f>Gen!C29</f>
        <v>0.18</v>
      </c>
      <c r="B22" s="471">
        <f>Gen!B29</f>
        <v>44580</v>
      </c>
      <c r="C22" s="457"/>
      <c r="D22" s="461">
        <f t="shared" si="12"/>
        <v>9858.2000000000007</v>
      </c>
      <c r="E22" s="817">
        <v>9858.2000000000007</v>
      </c>
      <c r="F22" s="816">
        <f>SUM(E23-D22)*120</f>
        <v>191.99999999982538</v>
      </c>
      <c r="G22" s="820"/>
      <c r="H22" s="492">
        <f t="shared" si="5"/>
        <v>44580</v>
      </c>
      <c r="I22" s="457"/>
      <c r="J22" s="493">
        <f>'Water-Meter'!G24</f>
        <v>0</v>
      </c>
      <c r="K22" s="494">
        <f>'Water-Meter'!G24</f>
        <v>0</v>
      </c>
      <c r="L22" s="457">
        <f t="shared" si="6"/>
        <v>0</v>
      </c>
      <c r="M22" s="492">
        <f t="shared" si="7"/>
        <v>44580</v>
      </c>
      <c r="N22" s="457"/>
      <c r="O22" s="6"/>
      <c r="P22" s="460">
        <f>'Water-Meter'!J22</f>
        <v>9004</v>
      </c>
      <c r="Q22" s="469">
        <f>N22-O21</f>
        <v>0</v>
      </c>
      <c r="R22" s="495">
        <f t="shared" ref="R22:R35" si="15">SUM(Q22/1615)</f>
        <v>0</v>
      </c>
      <c r="S22" s="496">
        <f>Gen!U29</f>
        <v>3010</v>
      </c>
      <c r="T22" s="497">
        <f t="shared" si="9"/>
        <v>44580</v>
      </c>
      <c r="U22" s="457"/>
      <c r="V22" s="461">
        <f t="shared" si="4"/>
        <v>8855.7999999999993</v>
      </c>
      <c r="W22" s="733">
        <v>8858.4</v>
      </c>
      <c r="X22" s="461">
        <f t="shared" si="1"/>
        <v>520.00000000007276</v>
      </c>
      <c r="Y22" s="492">
        <f t="shared" si="10"/>
        <v>44580</v>
      </c>
      <c r="Z22" s="809"/>
      <c r="AA22" s="807">
        <f t="shared" si="13"/>
        <v>23111</v>
      </c>
      <c r="AB22" s="812">
        <f>'Water-Meter'!P24</f>
        <v>23117</v>
      </c>
      <c r="AC22" s="501">
        <f t="shared" si="11"/>
        <v>6</v>
      </c>
    </row>
    <row r="23" spans="1:29" ht="18.75" x14ac:dyDescent="0.3">
      <c r="A23" s="510">
        <f>Gen!C30</f>
        <v>0.21</v>
      </c>
      <c r="B23" s="471">
        <f>Gen!B30</f>
        <v>44581</v>
      </c>
      <c r="C23" s="459"/>
      <c r="D23" s="461">
        <f t="shared" si="12"/>
        <v>9859.7999999999993</v>
      </c>
      <c r="E23" s="817">
        <v>9859.7999999999993</v>
      </c>
      <c r="F23" s="816">
        <f>SUM(E24-D23)*120</f>
        <v>240</v>
      </c>
      <c r="G23" s="820"/>
      <c r="H23" s="492">
        <f t="shared" si="5"/>
        <v>44581</v>
      </c>
      <c r="I23" s="459"/>
      <c r="J23" s="493">
        <f>'Water-Meter'!G25</f>
        <v>0</v>
      </c>
      <c r="K23" s="494">
        <f>'Water-Meter'!G26</f>
        <v>0</v>
      </c>
      <c r="L23" s="457">
        <f t="shared" si="6"/>
        <v>0</v>
      </c>
      <c r="M23" s="492">
        <f t="shared" si="7"/>
        <v>44581</v>
      </c>
      <c r="N23" s="459"/>
      <c r="O23" s="6"/>
      <c r="P23" s="460">
        <f>'Water-Meter'!J25</f>
        <v>9010</v>
      </c>
      <c r="Q23" s="469">
        <f t="shared" si="8"/>
        <v>0</v>
      </c>
      <c r="R23" s="495">
        <f t="shared" si="15"/>
        <v>0</v>
      </c>
      <c r="S23" s="496">
        <f>Gen!U30</f>
        <v>3323</v>
      </c>
      <c r="T23" s="497">
        <f>M23</f>
        <v>44581</v>
      </c>
      <c r="U23" s="459"/>
      <c r="V23" s="461">
        <f t="shared" si="4"/>
        <v>8858.4</v>
      </c>
      <c r="W23" s="733">
        <v>8860.9</v>
      </c>
      <c r="X23" s="461">
        <f t="shared" si="1"/>
        <v>500</v>
      </c>
      <c r="Y23" s="492">
        <f t="shared" si="10"/>
        <v>44581</v>
      </c>
      <c r="Z23" s="810"/>
      <c r="AA23" s="807">
        <f t="shared" si="13"/>
        <v>23117</v>
      </c>
      <c r="AB23" s="812">
        <f>'Water-Meter'!P25</f>
        <v>23124</v>
      </c>
      <c r="AC23" s="501">
        <f t="shared" si="11"/>
        <v>7</v>
      </c>
    </row>
    <row r="24" spans="1:29" ht="18.75" x14ac:dyDescent="0.3">
      <c r="A24" s="510">
        <f>Gen!C31</f>
        <v>0.09</v>
      </c>
      <c r="B24" s="471">
        <f>Gen!B31</f>
        <v>44582</v>
      </c>
      <c r="C24" s="459"/>
      <c r="D24" s="461">
        <f t="shared" si="12"/>
        <v>9861.7999999999993</v>
      </c>
      <c r="E24" s="817">
        <v>9861.7999999999993</v>
      </c>
      <c r="F24" s="816">
        <f t="shared" ref="F24:F25" si="16">SUM(E25-D24)*120</f>
        <v>228.00000000017462</v>
      </c>
      <c r="G24" s="820"/>
      <c r="H24" s="492">
        <f t="shared" si="5"/>
        <v>44582</v>
      </c>
      <c r="I24" s="459"/>
      <c r="J24" s="493">
        <f>'Water-Meter'!G26</f>
        <v>0</v>
      </c>
      <c r="K24" s="494">
        <f>'Water-Meter'!G27</f>
        <v>0</v>
      </c>
      <c r="L24" s="457">
        <f t="shared" si="6"/>
        <v>0</v>
      </c>
      <c r="M24" s="492">
        <f t="shared" si="7"/>
        <v>44582</v>
      </c>
      <c r="N24" s="459"/>
      <c r="O24" s="6"/>
      <c r="P24" s="460">
        <f>'Water-Meter'!J26</f>
        <v>9012</v>
      </c>
      <c r="Q24" s="469">
        <f t="shared" si="8"/>
        <v>0</v>
      </c>
      <c r="R24" s="495">
        <f>SUM(Q24/1615)</f>
        <v>0</v>
      </c>
      <c r="S24" s="496">
        <f>Gen!U31</f>
        <v>3113</v>
      </c>
      <c r="T24" s="497">
        <f>M24</f>
        <v>44582</v>
      </c>
      <c r="U24" s="459"/>
      <c r="V24" s="461">
        <f>W23</f>
        <v>8860.9</v>
      </c>
      <c r="W24" s="733">
        <v>8863.5</v>
      </c>
      <c r="X24" s="461">
        <f t="shared" si="1"/>
        <v>520.00000000007276</v>
      </c>
      <c r="Y24" s="492">
        <f t="shared" si="10"/>
        <v>44582</v>
      </c>
      <c r="Z24" s="810"/>
      <c r="AA24" s="807">
        <f t="shared" si="13"/>
        <v>23124</v>
      </c>
      <c r="AB24" s="812">
        <f>'Water-Meter'!P26</f>
        <v>23132</v>
      </c>
      <c r="AC24" s="501">
        <f t="shared" si="11"/>
        <v>8</v>
      </c>
    </row>
    <row r="25" spans="1:29" ht="18.75" x14ac:dyDescent="0.3">
      <c r="A25" s="510">
        <f>Gen!C32</f>
        <v>0.08</v>
      </c>
      <c r="B25" s="471">
        <f>Gen!B32</f>
        <v>44583</v>
      </c>
      <c r="C25" s="459"/>
      <c r="D25" s="461"/>
      <c r="E25" s="817">
        <v>9863.7000000000007</v>
      </c>
      <c r="F25" s="816">
        <f t="shared" si="16"/>
        <v>1183860</v>
      </c>
      <c r="G25" s="820"/>
      <c r="H25" s="492">
        <f t="shared" si="5"/>
        <v>44583</v>
      </c>
      <c r="I25" s="459"/>
      <c r="J25" s="493">
        <f>'Water-Meter'!G27</f>
        <v>0</v>
      </c>
      <c r="K25" s="494">
        <f>'Water-Meter'!G28</f>
        <v>0</v>
      </c>
      <c r="L25" s="457">
        <f t="shared" si="6"/>
        <v>0</v>
      </c>
      <c r="M25" s="492">
        <f t="shared" si="7"/>
        <v>44583</v>
      </c>
      <c r="N25" s="459"/>
      <c r="O25" s="6"/>
      <c r="P25" s="460">
        <f>'Water-Meter'!J27</f>
        <v>9014</v>
      </c>
      <c r="Q25" s="469">
        <f t="shared" si="8"/>
        <v>0</v>
      </c>
      <c r="R25" s="495">
        <f t="shared" si="15"/>
        <v>0</v>
      </c>
      <c r="S25" s="496">
        <f>Gen!U32</f>
        <v>3124</v>
      </c>
      <c r="T25" s="497">
        <f>M25</f>
        <v>44583</v>
      </c>
      <c r="U25" s="459"/>
      <c r="V25" s="461">
        <f>W24</f>
        <v>8863.5</v>
      </c>
      <c r="W25" s="733">
        <v>8865.7999999999993</v>
      </c>
      <c r="X25" s="461">
        <f t="shared" si="1"/>
        <v>459.99999999985448</v>
      </c>
      <c r="Y25" s="492">
        <f t="shared" si="10"/>
        <v>44583</v>
      </c>
      <c r="Z25" s="810"/>
      <c r="AA25" s="807">
        <f t="shared" si="13"/>
        <v>23132</v>
      </c>
      <c r="AB25" s="812">
        <f>'Water-Meter'!P27</f>
        <v>23136</v>
      </c>
      <c r="AC25" s="501">
        <f t="shared" si="11"/>
        <v>4</v>
      </c>
    </row>
    <row r="26" spans="1:29" ht="18.75" x14ac:dyDescent="0.3">
      <c r="A26" s="510">
        <f>Gen!C33</f>
        <v>0.04</v>
      </c>
      <c r="B26" s="471">
        <f>Gen!B33</f>
        <v>44584</v>
      </c>
      <c r="C26" s="459"/>
      <c r="D26" s="461">
        <f t="shared" si="12"/>
        <v>9865.5</v>
      </c>
      <c r="E26" s="817">
        <v>9865.5</v>
      </c>
      <c r="F26" s="822">
        <f t="shared" si="14"/>
        <v>204.00000000008731</v>
      </c>
      <c r="G26" s="820"/>
      <c r="H26" s="492">
        <f t="shared" si="5"/>
        <v>44584</v>
      </c>
      <c r="I26" s="459"/>
      <c r="J26" s="493">
        <f>'Water-Meter'!G28</f>
        <v>0</v>
      </c>
      <c r="K26" s="494">
        <f>'Water-Meter'!G29</f>
        <v>0</v>
      </c>
      <c r="L26" s="457">
        <f t="shared" si="6"/>
        <v>0</v>
      </c>
      <c r="M26" s="492">
        <f t="shared" si="7"/>
        <v>44584</v>
      </c>
      <c r="N26" s="459"/>
      <c r="O26" s="6"/>
      <c r="P26" s="460">
        <f>'Water-Meter'!J28</f>
        <v>9016</v>
      </c>
      <c r="Q26" s="469">
        <f t="shared" si="8"/>
        <v>0</v>
      </c>
      <c r="R26" s="495">
        <f t="shared" si="15"/>
        <v>0</v>
      </c>
      <c r="S26" s="496">
        <f>Gen!U33</f>
        <v>2797</v>
      </c>
      <c r="T26" s="497">
        <f t="shared" si="9"/>
        <v>44584</v>
      </c>
      <c r="U26" s="459"/>
      <c r="V26" s="461">
        <f>W25</f>
        <v>8865.7999999999993</v>
      </c>
      <c r="W26" s="458">
        <v>8867.7999999999993</v>
      </c>
      <c r="X26" s="461">
        <f t="shared" si="1"/>
        <v>400</v>
      </c>
      <c r="Y26" s="492">
        <f t="shared" si="10"/>
        <v>44584</v>
      </c>
      <c r="Z26" s="810"/>
      <c r="AA26" s="807">
        <f t="shared" si="13"/>
        <v>23136</v>
      </c>
      <c r="AB26" s="812">
        <f>'Water-Meter'!P28</f>
        <v>23139</v>
      </c>
      <c r="AC26" s="501">
        <f t="shared" si="11"/>
        <v>3</v>
      </c>
    </row>
    <row r="27" spans="1:29" ht="18.75" x14ac:dyDescent="0.3">
      <c r="A27" s="510">
        <f>Gen!C34</f>
        <v>0.1</v>
      </c>
      <c r="B27" s="471">
        <f>Gen!B34</f>
        <v>44585</v>
      </c>
      <c r="C27" s="459"/>
      <c r="D27" s="461">
        <f t="shared" si="12"/>
        <v>9867.2000000000007</v>
      </c>
      <c r="E27" s="817">
        <v>9867.2000000000007</v>
      </c>
      <c r="F27" s="816">
        <f t="shared" si="14"/>
        <v>240</v>
      </c>
      <c r="G27" s="820"/>
      <c r="H27" s="492">
        <f t="shared" si="5"/>
        <v>44585</v>
      </c>
      <c r="I27" s="459"/>
      <c r="J27" s="493">
        <f>'Water-Meter'!G29</f>
        <v>0</v>
      </c>
      <c r="K27" s="494">
        <f>'Water-Meter'!G30</f>
        <v>0</v>
      </c>
      <c r="L27" s="457">
        <f t="shared" si="6"/>
        <v>0</v>
      </c>
      <c r="M27" s="492">
        <f t="shared" si="7"/>
        <v>44585</v>
      </c>
      <c r="N27" s="459"/>
      <c r="O27" s="6"/>
      <c r="P27" s="460">
        <f>'Water-Meter'!J29</f>
        <v>9019</v>
      </c>
      <c r="Q27" s="457">
        <f t="shared" ref="Q27:Q35" si="17">N27-O26</f>
        <v>0</v>
      </c>
      <c r="R27" s="495">
        <f t="shared" si="15"/>
        <v>0</v>
      </c>
      <c r="S27" s="496">
        <f>Gen!U34</f>
        <v>3295</v>
      </c>
      <c r="T27" s="497">
        <f>M27</f>
        <v>44585</v>
      </c>
      <c r="U27" s="459"/>
      <c r="V27" s="461">
        <f t="shared" si="4"/>
        <v>8867.7999999999993</v>
      </c>
      <c r="W27" s="458">
        <v>8870.2000000000007</v>
      </c>
      <c r="X27" s="461">
        <f t="shared" si="1"/>
        <v>480.00000000029104</v>
      </c>
      <c r="Y27" s="492">
        <f t="shared" si="10"/>
        <v>44585</v>
      </c>
      <c r="Z27" s="810"/>
      <c r="AA27" s="807">
        <f t="shared" si="13"/>
        <v>23139</v>
      </c>
      <c r="AB27" s="812">
        <f>'Water-Meter'!P29</f>
        <v>23148</v>
      </c>
      <c r="AC27" s="501">
        <f t="shared" si="11"/>
        <v>9</v>
      </c>
    </row>
    <row r="28" spans="1:29" ht="18.75" x14ac:dyDescent="0.3">
      <c r="A28" s="510">
        <f>Gen!C35</f>
        <v>0.14000000000000001</v>
      </c>
      <c r="B28" s="471">
        <f>Gen!B35</f>
        <v>44586</v>
      </c>
      <c r="C28" s="459"/>
      <c r="D28" s="461">
        <f t="shared" si="12"/>
        <v>9869.2000000000007</v>
      </c>
      <c r="E28" s="817">
        <v>9869.2000000000007</v>
      </c>
      <c r="F28" s="816">
        <f>SUM(E29-D28)*120</f>
        <v>263.99999999986903</v>
      </c>
      <c r="G28" s="820"/>
      <c r="H28" s="492">
        <f t="shared" si="5"/>
        <v>44586</v>
      </c>
      <c r="I28" s="459"/>
      <c r="J28" s="493">
        <f>'Water-Meter'!G30</f>
        <v>0</v>
      </c>
      <c r="K28" s="494">
        <f>'Water-Meter'!G31</f>
        <v>0</v>
      </c>
      <c r="L28" s="457">
        <f t="shared" si="6"/>
        <v>0</v>
      </c>
      <c r="M28" s="492">
        <f t="shared" si="7"/>
        <v>44586</v>
      </c>
      <c r="N28" s="459"/>
      <c r="O28" s="6"/>
      <c r="P28" s="460">
        <f>'Water-Meter'!J30</f>
        <v>9021</v>
      </c>
      <c r="Q28" s="457">
        <f t="shared" si="17"/>
        <v>0</v>
      </c>
      <c r="R28" s="495">
        <f>SUM(Q28/1615)</f>
        <v>0</v>
      </c>
      <c r="S28" s="496">
        <f>Gen!U35</f>
        <v>3205</v>
      </c>
      <c r="T28" s="497">
        <f>M28</f>
        <v>44586</v>
      </c>
      <c r="U28" s="459"/>
      <c r="V28" s="461">
        <f>W14</f>
        <v>8836.9</v>
      </c>
      <c r="W28" s="458">
        <v>8871.9</v>
      </c>
      <c r="X28" s="461">
        <f t="shared" si="1"/>
        <v>7000</v>
      </c>
      <c r="Y28" s="492">
        <f t="shared" si="10"/>
        <v>44586</v>
      </c>
      <c r="Z28" s="810"/>
      <c r="AA28" s="807">
        <f t="shared" si="13"/>
        <v>23148</v>
      </c>
      <c r="AB28" s="812">
        <f>'Water-Meter'!P30</f>
        <v>23155</v>
      </c>
      <c r="AC28" s="501">
        <f t="shared" si="11"/>
        <v>7</v>
      </c>
    </row>
    <row r="29" spans="1:29" ht="18.75" x14ac:dyDescent="0.3">
      <c r="A29" s="510">
        <f>Gen!C36</f>
        <v>0.16</v>
      </c>
      <c r="B29" s="471">
        <f>Gen!B36</f>
        <v>44587</v>
      </c>
      <c r="C29" s="459"/>
      <c r="D29" s="461">
        <f t="shared" si="12"/>
        <v>9871.4</v>
      </c>
      <c r="E29" s="817">
        <v>9871.4</v>
      </c>
      <c r="F29" s="816">
        <f t="shared" si="14"/>
        <v>264.00000000008731</v>
      </c>
      <c r="G29" s="820"/>
      <c r="H29" s="492">
        <f t="shared" si="5"/>
        <v>44587</v>
      </c>
      <c r="I29" s="459"/>
      <c r="J29" s="493">
        <f>'Water-Meter'!G31</f>
        <v>0</v>
      </c>
      <c r="K29" s="494">
        <f>'Water-Meter'!G32</f>
        <v>0</v>
      </c>
      <c r="L29" s="457">
        <f t="shared" si="6"/>
        <v>0</v>
      </c>
      <c r="M29" s="492">
        <f t="shared" si="7"/>
        <v>44587</v>
      </c>
      <c r="N29" s="459"/>
      <c r="O29" s="6"/>
      <c r="P29" s="460">
        <f>'Water-Meter'!J31</f>
        <v>9023</v>
      </c>
      <c r="Q29" s="457">
        <f t="shared" si="17"/>
        <v>0</v>
      </c>
      <c r="R29" s="495">
        <f t="shared" si="15"/>
        <v>0</v>
      </c>
      <c r="S29" s="496">
        <f>Gen!U36</f>
        <v>3575</v>
      </c>
      <c r="T29" s="497">
        <f t="shared" si="9"/>
        <v>44587</v>
      </c>
      <c r="U29" s="459"/>
      <c r="V29" s="461">
        <f t="shared" si="4"/>
        <v>8871.9</v>
      </c>
      <c r="W29" s="458">
        <v>8874.2999999999993</v>
      </c>
      <c r="X29" s="461">
        <f t="shared" si="1"/>
        <v>479.99999999992724</v>
      </c>
      <c r="Y29" s="492">
        <f t="shared" si="10"/>
        <v>44587</v>
      </c>
      <c r="Z29" s="810"/>
      <c r="AA29" s="807">
        <f t="shared" si="13"/>
        <v>23155</v>
      </c>
      <c r="AB29" s="812">
        <f>'Water-Meter'!P31</f>
        <v>23160</v>
      </c>
      <c r="AC29" s="501">
        <f t="shared" si="11"/>
        <v>5</v>
      </c>
    </row>
    <row r="30" spans="1:29" ht="18.75" x14ac:dyDescent="0.3">
      <c r="A30" s="510">
        <f>Gen!C37</f>
        <v>0.13</v>
      </c>
      <c r="B30" s="471">
        <f>Gen!B37</f>
        <v>44588</v>
      </c>
      <c r="C30" s="459"/>
      <c r="D30" s="461">
        <f t="shared" si="12"/>
        <v>9873.6</v>
      </c>
      <c r="E30" s="817">
        <v>9873.6</v>
      </c>
      <c r="F30" s="816">
        <f t="shared" si="14"/>
        <v>227.99999999995634</v>
      </c>
      <c r="G30" s="820"/>
      <c r="H30" s="492">
        <f t="shared" si="5"/>
        <v>44588</v>
      </c>
      <c r="I30" s="459"/>
      <c r="J30" s="493">
        <f>'Water-Meter'!G32</f>
        <v>0</v>
      </c>
      <c r="K30" s="494">
        <f>'Water-Meter'!G33</f>
        <v>0</v>
      </c>
      <c r="L30" s="457">
        <f t="shared" si="6"/>
        <v>0</v>
      </c>
      <c r="M30" s="492">
        <f t="shared" si="7"/>
        <v>44588</v>
      </c>
      <c r="N30" s="459"/>
      <c r="O30" s="6"/>
      <c r="P30" s="460">
        <f>'Water-Meter'!J32</f>
        <v>9025</v>
      </c>
      <c r="Q30" s="457">
        <f t="shared" si="17"/>
        <v>0</v>
      </c>
      <c r="R30" s="495">
        <f t="shared" si="15"/>
        <v>0</v>
      </c>
      <c r="S30" s="496">
        <f>Gen!U37</f>
        <v>3610</v>
      </c>
      <c r="T30" s="497">
        <f t="shared" si="9"/>
        <v>44588</v>
      </c>
      <c r="U30" s="459"/>
      <c r="V30" s="461">
        <f t="shared" si="4"/>
        <v>8874.2999999999993</v>
      </c>
      <c r="W30" s="458">
        <v>8876.9</v>
      </c>
      <c r="X30" s="461">
        <f t="shared" si="1"/>
        <v>520.00000000007276</v>
      </c>
      <c r="Y30" s="492">
        <f t="shared" si="10"/>
        <v>44588</v>
      </c>
      <c r="Z30" s="810"/>
      <c r="AA30" s="807">
        <f t="shared" si="13"/>
        <v>23160</v>
      </c>
      <c r="AB30" s="812">
        <f>'Water-Meter'!P32</f>
        <v>23166</v>
      </c>
      <c r="AC30" s="501">
        <f t="shared" si="11"/>
        <v>6</v>
      </c>
    </row>
    <row r="31" spans="1:29" ht="18.75" x14ac:dyDescent="0.3">
      <c r="A31" s="510">
        <f>Gen!C38</f>
        <v>0.09</v>
      </c>
      <c r="B31" s="471">
        <f>Gen!B38</f>
        <v>44589</v>
      </c>
      <c r="C31" s="459"/>
      <c r="D31" s="461">
        <f t="shared" si="12"/>
        <v>9875.5</v>
      </c>
      <c r="E31" s="817">
        <v>9875.5</v>
      </c>
      <c r="F31" s="816">
        <f t="shared" si="14"/>
        <v>264.00000000008731</v>
      </c>
      <c r="G31" s="820"/>
      <c r="H31" s="492">
        <f t="shared" si="5"/>
        <v>44589</v>
      </c>
      <c r="I31" s="459"/>
      <c r="J31" s="493">
        <f>'Water-Meter'!G33</f>
        <v>0</v>
      </c>
      <c r="K31" s="494">
        <f>'Water-Meter'!G34</f>
        <v>0</v>
      </c>
      <c r="L31" s="457">
        <f t="shared" si="6"/>
        <v>0</v>
      </c>
      <c r="M31" s="492">
        <f t="shared" si="7"/>
        <v>44589</v>
      </c>
      <c r="N31" s="459"/>
      <c r="O31" s="6"/>
      <c r="P31" s="460">
        <f>'Water-Meter'!J33</f>
        <v>9027</v>
      </c>
      <c r="Q31" s="457">
        <f t="shared" si="17"/>
        <v>0</v>
      </c>
      <c r="R31" s="495">
        <f t="shared" si="15"/>
        <v>0</v>
      </c>
      <c r="S31" s="496">
        <f>Gen!U38</f>
        <v>3593</v>
      </c>
      <c r="T31" s="497">
        <f t="shared" si="9"/>
        <v>44589</v>
      </c>
      <c r="U31" s="459"/>
      <c r="V31" s="461">
        <f>W30</f>
        <v>8876.9</v>
      </c>
      <c r="W31" s="458">
        <v>8879.2999999999993</v>
      </c>
      <c r="X31" s="461">
        <f t="shared" si="1"/>
        <v>479.99999999992724</v>
      </c>
      <c r="Y31" s="492">
        <f>T31</f>
        <v>44589</v>
      </c>
      <c r="Z31" s="810"/>
      <c r="AA31" s="807">
        <f>AB30</f>
        <v>23166</v>
      </c>
      <c r="AB31" s="812">
        <f>'Water-Meter'!P33</f>
        <v>23171</v>
      </c>
      <c r="AC31" s="501">
        <f t="shared" si="11"/>
        <v>5</v>
      </c>
    </row>
    <row r="32" spans="1:29" ht="18.75" x14ac:dyDescent="0.3">
      <c r="A32" s="510">
        <f>Gen!C39</f>
        <v>0.09</v>
      </c>
      <c r="B32" s="471">
        <f>Gen!B39</f>
        <v>44590</v>
      </c>
      <c r="C32" s="459"/>
      <c r="D32" s="461">
        <f t="shared" si="12"/>
        <v>9877.7000000000007</v>
      </c>
      <c r="E32" s="817">
        <v>9877.7000000000007</v>
      </c>
      <c r="F32" s="816">
        <f t="shared" si="14"/>
        <v>263.99999999986903</v>
      </c>
      <c r="G32" s="820"/>
      <c r="H32" s="492">
        <f t="shared" si="5"/>
        <v>44590</v>
      </c>
      <c r="I32" s="459"/>
      <c r="J32" s="493">
        <f>'Water-Meter'!G34</f>
        <v>0</v>
      </c>
      <c r="K32" s="494">
        <f>'Water-Meter'!G34</f>
        <v>0</v>
      </c>
      <c r="L32" s="457">
        <f t="shared" si="6"/>
        <v>0</v>
      </c>
      <c r="M32" s="492">
        <f t="shared" si="7"/>
        <v>44590</v>
      </c>
      <c r="N32" s="459"/>
      <c r="O32" s="6"/>
      <c r="P32" s="460">
        <f>'Water-Meter'!J34</f>
        <v>9033</v>
      </c>
      <c r="Q32" s="457">
        <f t="shared" si="17"/>
        <v>0</v>
      </c>
      <c r="R32" s="495">
        <f t="shared" si="15"/>
        <v>0</v>
      </c>
      <c r="S32" s="496">
        <f>Gen!U39</f>
        <v>3589</v>
      </c>
      <c r="T32" s="497">
        <f t="shared" si="9"/>
        <v>44590</v>
      </c>
      <c r="U32" s="459"/>
      <c r="V32" s="461">
        <f t="shared" si="4"/>
        <v>8879.2999999999993</v>
      </c>
      <c r="W32" s="458">
        <v>8882.1</v>
      </c>
      <c r="X32" s="461">
        <f t="shared" si="1"/>
        <v>560.00000000021828</v>
      </c>
      <c r="Y32" s="492">
        <f>T32</f>
        <v>44590</v>
      </c>
      <c r="Z32" s="810"/>
      <c r="AA32" s="807">
        <f t="shared" si="13"/>
        <v>23171</v>
      </c>
      <c r="AB32" s="812">
        <f>'Water-Meter'!P34</f>
        <v>23177</v>
      </c>
      <c r="AC32" s="501">
        <f t="shared" si="11"/>
        <v>6</v>
      </c>
    </row>
    <row r="33" spans="1:29" ht="18.75" x14ac:dyDescent="0.3">
      <c r="A33" s="510">
        <f>Gen!C40</f>
        <v>0.06</v>
      </c>
      <c r="B33" s="471">
        <f>Gen!B40</f>
        <v>44591</v>
      </c>
      <c r="C33" s="459"/>
      <c r="D33" s="461">
        <f t="shared" si="12"/>
        <v>9879.9</v>
      </c>
      <c r="E33" s="817">
        <v>9879.9</v>
      </c>
      <c r="F33" s="816">
        <f t="shared" si="14"/>
        <v>216.00000000013097</v>
      </c>
      <c r="G33" s="820"/>
      <c r="H33" s="492">
        <f t="shared" si="5"/>
        <v>44591</v>
      </c>
      <c r="I33" s="459"/>
      <c r="J33" s="493">
        <f>'Water-Meter'!G35</f>
        <v>0</v>
      </c>
      <c r="K33" s="494">
        <f>'Water-Meter'!G35</f>
        <v>0</v>
      </c>
      <c r="L33" s="457">
        <f t="shared" si="6"/>
        <v>0</v>
      </c>
      <c r="M33" s="492">
        <f t="shared" si="7"/>
        <v>44591</v>
      </c>
      <c r="N33" s="459"/>
      <c r="O33" s="6"/>
      <c r="P33" s="460">
        <f>'Water-Meter'!J35</f>
        <v>9036</v>
      </c>
      <c r="Q33" s="457">
        <f t="shared" si="17"/>
        <v>0</v>
      </c>
      <c r="R33" s="495">
        <f t="shared" si="15"/>
        <v>0</v>
      </c>
      <c r="S33" s="496">
        <f>Gen!U40</f>
        <v>3575</v>
      </c>
      <c r="T33" s="497">
        <f t="shared" si="9"/>
        <v>44591</v>
      </c>
      <c r="U33" s="459"/>
      <c r="V33" s="461">
        <f t="shared" si="4"/>
        <v>8882.1</v>
      </c>
      <c r="W33" s="458">
        <v>8884.1</v>
      </c>
      <c r="X33" s="461">
        <f t="shared" ref="X33:X34" si="18">(W33-V33)*200</f>
        <v>400</v>
      </c>
      <c r="Y33" s="492">
        <f>T33</f>
        <v>44591</v>
      </c>
      <c r="Z33" s="810"/>
      <c r="AA33" s="807">
        <f t="shared" si="13"/>
        <v>23177</v>
      </c>
      <c r="AB33" s="812">
        <f>'Water-Meter'!P35</f>
        <v>23185</v>
      </c>
      <c r="AC33" s="501">
        <f t="shared" si="11"/>
        <v>8</v>
      </c>
    </row>
    <row r="34" spans="1:29" ht="18.75" x14ac:dyDescent="0.3">
      <c r="A34" s="510">
        <f>Gen!C41</f>
        <v>0.05</v>
      </c>
      <c r="B34" s="471">
        <f>Gen!B41</f>
        <v>44592</v>
      </c>
      <c r="C34" s="6"/>
      <c r="D34" s="461">
        <f t="shared" si="12"/>
        <v>9881.7000000000007</v>
      </c>
      <c r="E34" s="817">
        <v>9881.7000000000007</v>
      </c>
      <c r="F34" s="816">
        <f>SUM(E35-D34)*120</f>
        <v>180</v>
      </c>
      <c r="G34" s="16"/>
      <c r="H34" s="492">
        <f>E30</f>
        <v>9873.6</v>
      </c>
      <c r="I34" s="6"/>
      <c r="J34" s="493">
        <f>'Water-Meter'!G36</f>
        <v>0</v>
      </c>
      <c r="K34" s="494">
        <f>'Water-Meter'!G36</f>
        <v>0</v>
      </c>
      <c r="L34" s="457">
        <f t="shared" si="6"/>
        <v>0</v>
      </c>
      <c r="M34" s="492">
        <f t="shared" si="7"/>
        <v>9873.6</v>
      </c>
      <c r="N34" s="6"/>
      <c r="O34" s="6"/>
      <c r="P34" s="460">
        <f>'Water-Meter'!J36</f>
        <v>9039</v>
      </c>
      <c r="Q34" s="457">
        <f t="shared" si="17"/>
        <v>0</v>
      </c>
      <c r="R34" s="495">
        <f t="shared" si="15"/>
        <v>0</v>
      </c>
      <c r="S34" s="496">
        <f>Gen!U41</f>
        <v>3272</v>
      </c>
      <c r="T34" s="497">
        <f t="shared" si="9"/>
        <v>9873.6</v>
      </c>
      <c r="U34" s="6"/>
      <c r="V34" s="461">
        <f t="shared" ref="V34" si="19">SUM(W33)</f>
        <v>8884.1</v>
      </c>
      <c r="W34" s="458">
        <v>8886.4</v>
      </c>
      <c r="X34" s="461">
        <f t="shared" si="18"/>
        <v>459.99999999985448</v>
      </c>
      <c r="Y34" s="492">
        <f t="shared" ref="Y34:Y35" si="20">T34</f>
        <v>9873.6</v>
      </c>
      <c r="Z34" s="17"/>
      <c r="AA34" s="807">
        <f t="shared" si="13"/>
        <v>23185</v>
      </c>
      <c r="AB34" s="812">
        <f>'Water-Meter'!P36</f>
        <v>23194</v>
      </c>
      <c r="AC34" s="501">
        <f t="shared" ref="AC34:AC35" si="21">AA34-AB33</f>
        <v>0</v>
      </c>
    </row>
    <row r="35" spans="1:29" ht="20.25" customHeight="1" x14ac:dyDescent="0.3">
      <c r="A35" s="511" t="e">
        <v>#REF!</v>
      </c>
      <c r="B35" s="471">
        <f>Gen!B42</f>
        <v>0</v>
      </c>
      <c r="C35" s="7"/>
      <c r="D35" s="461">
        <f t="shared" si="12"/>
        <v>9883.2000000000007</v>
      </c>
      <c r="E35" s="821">
        <v>9883.2000000000007</v>
      </c>
      <c r="F35" s="816">
        <f t="shared" si="14"/>
        <v>-1185984</v>
      </c>
      <c r="G35" s="65"/>
      <c r="H35" s="492">
        <f>E31</f>
        <v>9875.5</v>
      </c>
      <c r="I35" s="7"/>
      <c r="J35" s="474">
        <f t="shared" ref="J35" si="22">SUM(K34)</f>
        <v>0</v>
      </c>
      <c r="K35" s="503">
        <f>'Water-Meter'!G37</f>
        <v>0</v>
      </c>
      <c r="L35" s="7">
        <f>SUM(L5:L34)</f>
        <v>0</v>
      </c>
      <c r="M35" s="502">
        <f t="shared" si="7"/>
        <v>9875.5</v>
      </c>
      <c r="N35" s="7"/>
      <c r="O35" s="474"/>
      <c r="P35" s="475">
        <f>'Water-Meter'!J37</f>
        <v>0</v>
      </c>
      <c r="Q35" s="474">
        <f t="shared" si="17"/>
        <v>0</v>
      </c>
      <c r="R35" s="504">
        <f t="shared" si="15"/>
        <v>0</v>
      </c>
      <c r="S35" s="505">
        <f>Gen!U42</f>
        <v>0</v>
      </c>
      <c r="T35" s="502">
        <f t="shared" ref="T35" si="23">M35</f>
        <v>9875.5</v>
      </c>
      <c r="U35" s="7"/>
      <c r="V35" s="472">
        <f>SUM(W34)</f>
        <v>8886.4</v>
      </c>
      <c r="W35" s="476"/>
      <c r="X35" s="472">
        <f>(W35-V35)*200</f>
        <v>-1777280</v>
      </c>
      <c r="Y35" s="502">
        <f t="shared" si="20"/>
        <v>9875.5</v>
      </c>
      <c r="Z35" s="7"/>
      <c r="AA35" s="814"/>
      <c r="AB35" s="475">
        <f>'Water-Meter'!P37</f>
        <v>0</v>
      </c>
      <c r="AC35" s="506">
        <f t="shared" si="21"/>
        <v>-23194</v>
      </c>
    </row>
    <row r="36" spans="1:29" ht="24.75" customHeight="1" x14ac:dyDescent="0.3">
      <c r="E36" s="312"/>
      <c r="F36" s="312"/>
      <c r="L36" s="123"/>
      <c r="Q36" s="123"/>
      <c r="R36" s="143"/>
      <c r="X36" s="311"/>
      <c r="AC36" s="123"/>
    </row>
    <row r="37" spans="1:29" ht="12.75" customHeight="1" x14ac:dyDescent="0.3">
      <c r="E37" s="312"/>
    </row>
    <row r="38" spans="1:29" ht="12.75" customHeight="1" x14ac:dyDescent="0.2">
      <c r="E38" s="143"/>
      <c r="K38" s="143"/>
      <c r="W38" s="143"/>
      <c r="AB38" s="143"/>
    </row>
    <row r="39" spans="1:29" ht="12.75" customHeight="1" x14ac:dyDescent="0.3">
      <c r="E39" s="312"/>
    </row>
    <row r="40" spans="1:29" ht="12.75" customHeight="1" x14ac:dyDescent="0.2">
      <c r="D40" s="123"/>
      <c r="E40" s="143"/>
      <c r="V40" s="123"/>
      <c r="W40" s="143"/>
    </row>
    <row r="41" spans="1:29" ht="12.75" customHeight="1" x14ac:dyDescent="0.3">
      <c r="E41" s="312"/>
    </row>
    <row r="42" spans="1:29" ht="12.75" customHeight="1" x14ac:dyDescent="0.2">
      <c r="C42" s="144"/>
      <c r="E42" s="143"/>
      <c r="U42" s="144"/>
    </row>
    <row r="43" spans="1:29" ht="18.75" x14ac:dyDescent="0.3">
      <c r="E43" s="312"/>
    </row>
    <row r="44" spans="1:29" x14ac:dyDescent="0.2">
      <c r="E44" s="143"/>
    </row>
    <row r="45" spans="1:29" ht="18.75" x14ac:dyDescent="0.3">
      <c r="E45" s="312"/>
    </row>
    <row r="46" spans="1:29" x14ac:dyDescent="0.2">
      <c r="E46" s="143"/>
    </row>
    <row r="47" spans="1:29" ht="18.75" x14ac:dyDescent="0.3">
      <c r="E47" s="312"/>
    </row>
    <row r="48" spans="1:29" x14ac:dyDescent="0.2">
      <c r="E48" s="143"/>
    </row>
    <row r="49" spans="5:5" ht="18.75" x14ac:dyDescent="0.3">
      <c r="E49" s="312"/>
    </row>
    <row r="50" spans="5:5" x14ac:dyDescent="0.2">
      <c r="E50" s="143"/>
    </row>
    <row r="51" spans="5:5" ht="18.75" x14ac:dyDescent="0.3">
      <c r="E51" s="312"/>
    </row>
    <row r="52" spans="5:5" x14ac:dyDescent="0.2">
      <c r="E52" s="143"/>
    </row>
    <row r="53" spans="5:5" ht="18.75" x14ac:dyDescent="0.3">
      <c r="E53" s="312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honeticPr fontId="74" type="noConversion"/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3:S43"/>
  <sheetViews>
    <sheetView zoomScale="85" zoomScaleNormal="85" workbookViewId="0">
      <selection activeCell="F2" sqref="F2"/>
    </sheetView>
  </sheetViews>
  <sheetFormatPr defaultRowHeight="12.75" x14ac:dyDescent="0.2"/>
  <cols>
    <col min="1" max="1" width="14.5703125" customWidth="1"/>
    <col min="2" max="2" width="9" customWidth="1"/>
    <col min="3" max="3" width="1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10.57031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 x14ac:dyDescent="0.25"/>
    <row r="4" spans="1:19" ht="23.25" thickBot="1" x14ac:dyDescent="0.25">
      <c r="A4" s="621" t="s">
        <v>31</v>
      </c>
      <c r="B4" s="622" t="s">
        <v>102</v>
      </c>
      <c r="C4" s="623" t="s">
        <v>103</v>
      </c>
      <c r="D4" s="913" t="s">
        <v>104</v>
      </c>
      <c r="E4" s="913"/>
      <c r="F4" s="913"/>
      <c r="G4" s="914" t="s">
        <v>105</v>
      </c>
      <c r="H4" s="914"/>
      <c r="I4" s="914"/>
      <c r="J4" s="915" t="s">
        <v>106</v>
      </c>
      <c r="K4" s="915"/>
      <c r="L4" s="915"/>
      <c r="M4" s="915"/>
      <c r="N4" s="916" t="s">
        <v>107</v>
      </c>
      <c r="O4" s="916"/>
      <c r="P4" s="916"/>
      <c r="Q4" s="624"/>
      <c r="R4" s="624"/>
      <c r="S4" s="625"/>
    </row>
    <row r="5" spans="1:19" ht="25.5" x14ac:dyDescent="0.2">
      <c r="A5" s="626"/>
      <c r="B5" s="627"/>
      <c r="C5" s="628"/>
      <c r="D5" s="629" t="s">
        <v>108</v>
      </c>
      <c r="E5" s="629" t="s">
        <v>109</v>
      </c>
      <c r="F5" s="629" t="s">
        <v>110</v>
      </c>
      <c r="G5" s="630" t="s">
        <v>111</v>
      </c>
      <c r="H5" s="630" t="s">
        <v>55</v>
      </c>
      <c r="I5" s="631" t="s">
        <v>112</v>
      </c>
      <c r="J5" s="632" t="s">
        <v>113</v>
      </c>
      <c r="K5" s="632" t="s">
        <v>114</v>
      </c>
      <c r="L5" s="632" t="s">
        <v>114</v>
      </c>
      <c r="M5" s="633" t="s">
        <v>115</v>
      </c>
      <c r="N5" s="634" t="s">
        <v>116</v>
      </c>
      <c r="O5" s="634" t="s">
        <v>117</v>
      </c>
      <c r="P5" s="635" t="s">
        <v>118</v>
      </c>
      <c r="Q5" s="636" t="s">
        <v>119</v>
      </c>
      <c r="R5" s="636" t="s">
        <v>120</v>
      </c>
      <c r="S5" s="637" t="s">
        <v>121</v>
      </c>
    </row>
    <row r="6" spans="1:19" ht="14.25" x14ac:dyDescent="0.2">
      <c r="A6" s="362">
        <f>Gen!B11</f>
        <v>44562</v>
      </c>
      <c r="B6" s="336">
        <f>'Utility report '!B6</f>
        <v>34</v>
      </c>
      <c r="C6" s="788">
        <f>Gen!V11</f>
        <v>0.41514575411913812</v>
      </c>
      <c r="D6" s="132">
        <f>Gen!T11</f>
        <v>1965.3</v>
      </c>
      <c r="E6" s="132">
        <f>Gen!AK11</f>
        <v>320.11</v>
      </c>
      <c r="F6" s="132">
        <f>Gen!AT11</f>
        <v>0</v>
      </c>
      <c r="G6" s="133">
        <f>'Utility report '!AC6</f>
        <v>102</v>
      </c>
      <c r="H6" s="133">
        <f>'Utility report '!AE6</f>
        <v>56</v>
      </c>
      <c r="I6" s="708">
        <f>'Water-Meter'!E6</f>
        <v>116</v>
      </c>
      <c r="J6" s="134">
        <f>'Lpg (2)'!B10</f>
        <v>50</v>
      </c>
      <c r="K6" s="134">
        <f>'Lpg (2)'!C10</f>
        <v>0</v>
      </c>
      <c r="L6" s="134">
        <f>'Lpg (2)'!D10</f>
        <v>0</v>
      </c>
      <c r="M6" s="6">
        <f>'Lpg (2)'!G10</f>
        <v>144.4520000000077</v>
      </c>
      <c r="N6" s="131">
        <f>D6*1.4</f>
        <v>2751.4199999999996</v>
      </c>
      <c r="O6" s="131">
        <f>E6*1.4</f>
        <v>448.154</v>
      </c>
      <c r="P6" s="130">
        <f>('Lpg (2)'!G10)*2.38</f>
        <v>343.79576000001833</v>
      </c>
      <c r="Q6" s="131">
        <f>N6+O6+P6</f>
        <v>3543.3697600000178</v>
      </c>
      <c r="R6" s="131">
        <f>N6/B6</f>
        <v>80.924117647058807</v>
      </c>
      <c r="S6" s="851">
        <f>Q6/B6</f>
        <v>104.21675764705935</v>
      </c>
    </row>
    <row r="7" spans="1:19" ht="14.25" x14ac:dyDescent="0.2">
      <c r="A7" s="362">
        <f>Gen!B12</f>
        <v>44563</v>
      </c>
      <c r="B7" s="336">
        <f>'Utility report '!B7</f>
        <v>42</v>
      </c>
      <c r="C7" s="742">
        <f>Gen!V12</f>
        <v>0.42232741617357</v>
      </c>
      <c r="D7" s="132">
        <f>Gen!T12</f>
        <v>1927.08</v>
      </c>
      <c r="E7" s="132">
        <f>Gen!AK12</f>
        <v>237.31</v>
      </c>
      <c r="F7" s="132">
        <f>Gen!AT12</f>
        <v>0</v>
      </c>
      <c r="G7" s="133">
        <f>'Utility report '!AC7</f>
        <v>64</v>
      </c>
      <c r="H7" s="133">
        <f>'Utility report '!AE7</f>
        <v>55</v>
      </c>
      <c r="I7" s="708">
        <f>'Water-Meter'!E7</f>
        <v>94</v>
      </c>
      <c r="J7" s="134">
        <f>'Lpg (2)'!B11</f>
        <v>45</v>
      </c>
      <c r="K7" s="134">
        <f>'Lpg (2)'!C11</f>
        <v>0</v>
      </c>
      <c r="L7" s="134">
        <f>'Lpg (2)'!D11</f>
        <v>0</v>
      </c>
      <c r="M7" s="6">
        <f>'Lpg (2)'!G11</f>
        <v>150.70000000000002</v>
      </c>
      <c r="N7" s="131">
        <f>D7*1.4</f>
        <v>2697.9119999999998</v>
      </c>
      <c r="O7" s="131">
        <f t="shared" ref="O7:O9" si="0">E7*1.4</f>
        <v>332.23399999999998</v>
      </c>
      <c r="P7" s="130">
        <f>('Lpg (2)'!G11)*2.38</f>
        <v>358.666</v>
      </c>
      <c r="Q7" s="131">
        <f t="shared" ref="Q7:Q37" si="1">N7+O7+P7</f>
        <v>3388.8119999999999</v>
      </c>
      <c r="R7" s="131">
        <f t="shared" ref="R7:R38" si="2">N7/B7</f>
        <v>64.23599999999999</v>
      </c>
      <c r="S7" s="851">
        <f t="shared" ref="S7:S11" si="3">Q7/B7</f>
        <v>80.685999999999993</v>
      </c>
    </row>
    <row r="8" spans="1:19" ht="14.25" x14ac:dyDescent="0.2">
      <c r="A8" s="362">
        <f>Gen!B13</f>
        <v>44564</v>
      </c>
      <c r="B8" s="336">
        <f>'Utility report '!B8</f>
        <v>29</v>
      </c>
      <c r="C8" s="742">
        <f>Gen!V13</f>
        <v>0.40662877131613462</v>
      </c>
      <c r="D8" s="132">
        <f>Gen!T13</f>
        <v>1859.9199999999998</v>
      </c>
      <c r="E8" s="132">
        <f>Gen!AK13</f>
        <v>231</v>
      </c>
      <c r="F8" s="132">
        <f>Gen!AT13</f>
        <v>0</v>
      </c>
      <c r="G8" s="133">
        <f>'Utility report '!AC8</f>
        <v>105</v>
      </c>
      <c r="H8" s="133">
        <f>'Utility report '!AE8</f>
        <v>56</v>
      </c>
      <c r="I8" s="708">
        <f>'Water-Meter'!E8</f>
        <v>110</v>
      </c>
      <c r="J8" s="134">
        <f>'Lpg (2)'!B12</f>
        <v>41</v>
      </c>
      <c r="K8" s="134">
        <f>'Lpg (2)'!C12</f>
        <v>0</v>
      </c>
      <c r="L8" s="134">
        <f>'Lpg (2)'!D12</f>
        <v>0</v>
      </c>
      <c r="M8" s="130">
        <f>'Lpg (2)'!G12</f>
        <v>156.94799999999233</v>
      </c>
      <c r="N8" s="131">
        <f t="shared" ref="N8:O36" si="4">D8*1.4</f>
        <v>2603.8879999999995</v>
      </c>
      <c r="O8" s="131">
        <f t="shared" si="0"/>
        <v>323.39999999999998</v>
      </c>
      <c r="P8" s="130">
        <f>('Lpg (2)'!G12)*2.38</f>
        <v>373.53623999998172</v>
      </c>
      <c r="Q8" s="131">
        <f t="shared" si="1"/>
        <v>3300.8242399999813</v>
      </c>
      <c r="R8" s="131">
        <f t="shared" si="2"/>
        <v>89.789241379310326</v>
      </c>
      <c r="S8" s="363">
        <f t="shared" si="3"/>
        <v>113.82152551724073</v>
      </c>
    </row>
    <row r="9" spans="1:19" ht="14.25" x14ac:dyDescent="0.2">
      <c r="A9" s="362">
        <f>Gen!B14</f>
        <v>44565</v>
      </c>
      <c r="B9" s="336">
        <f>'Utility report '!B9</f>
        <v>28</v>
      </c>
      <c r="C9" s="742">
        <f>Gen!V14</f>
        <v>0.43481362172112281</v>
      </c>
      <c r="D9" s="132">
        <f>Gen!T14</f>
        <v>1889.6999999999998</v>
      </c>
      <c r="E9" s="132">
        <f>Gen!AK14</f>
        <v>247.48</v>
      </c>
      <c r="F9" s="132">
        <f>Gen!AT14</f>
        <v>0</v>
      </c>
      <c r="G9" s="133">
        <f>'Utility report '!AC9</f>
        <v>147</v>
      </c>
      <c r="H9" s="133">
        <f>'Utility report '!AE9</f>
        <v>59</v>
      </c>
      <c r="I9" s="708">
        <f>'Water-Meter'!E9</f>
        <v>94</v>
      </c>
      <c r="J9" s="134">
        <f>'Lpg (2)'!B13</f>
        <v>40</v>
      </c>
      <c r="K9" s="134">
        <f>'Lpg (2)'!C13</f>
        <v>0</v>
      </c>
      <c r="L9" s="134">
        <f>'Lpg (2)'!D13</f>
        <v>0</v>
      </c>
      <c r="M9" s="6">
        <f>'Lpg (2)'!G13</f>
        <v>132.08800000001793</v>
      </c>
      <c r="N9" s="131">
        <f t="shared" si="4"/>
        <v>2645.5799999999995</v>
      </c>
      <c r="O9" s="131">
        <f t="shared" si="0"/>
        <v>346.47199999999998</v>
      </c>
      <c r="P9" s="130">
        <f>('Lpg (2)'!G13)*2.38</f>
        <v>314.36944000004263</v>
      </c>
      <c r="Q9" s="131">
        <f t="shared" si="1"/>
        <v>3306.4214400000424</v>
      </c>
      <c r="R9" s="131">
        <f t="shared" si="2"/>
        <v>94.484999999999985</v>
      </c>
      <c r="S9" s="363">
        <f t="shared" si="3"/>
        <v>118.08648000000152</v>
      </c>
    </row>
    <row r="10" spans="1:19" ht="14.25" x14ac:dyDescent="0.2">
      <c r="A10" s="362">
        <f>Gen!B15</f>
        <v>44566</v>
      </c>
      <c r="B10" s="336">
        <f>'Utility report '!B10</f>
        <v>21</v>
      </c>
      <c r="C10" s="742">
        <f>Gen!V15</f>
        <v>0.43244897959183681</v>
      </c>
      <c r="D10" s="132">
        <f>Gen!T15</f>
        <v>1716.3900000000003</v>
      </c>
      <c r="E10" s="132">
        <f>Gen!AK15</f>
        <v>110</v>
      </c>
      <c r="F10" s="132">
        <f>Gen!AT15</f>
        <v>0</v>
      </c>
      <c r="G10" s="133">
        <f>'Utility report '!AC10</f>
        <v>0</v>
      </c>
      <c r="H10" s="133">
        <f>'Utility report '!AE10</f>
        <v>49</v>
      </c>
      <c r="I10" s="708">
        <f>'Water-Meter'!E10</f>
        <v>86</v>
      </c>
      <c r="J10" s="134">
        <f>'Lpg (2)'!B14</f>
        <v>38</v>
      </c>
      <c r="K10" s="134">
        <f>'Lpg (2)'!C14</f>
        <v>0</v>
      </c>
      <c r="L10" s="134">
        <f>'Lpg (2)'!D14</f>
        <v>0</v>
      </c>
      <c r="M10" s="6">
        <f>'Lpg (2)'!G14</f>
        <v>122.1879999999539</v>
      </c>
      <c r="N10" s="131">
        <f t="shared" si="4"/>
        <v>2402.9460000000004</v>
      </c>
      <c r="O10" s="131">
        <f>E10*1.4</f>
        <v>154</v>
      </c>
      <c r="P10" s="130">
        <f>('Lpg (2)'!G14)*2.38</f>
        <v>290.80743999989028</v>
      </c>
      <c r="Q10" s="131">
        <f t="shared" si="1"/>
        <v>2847.7534399998908</v>
      </c>
      <c r="R10" s="131">
        <f t="shared" si="2"/>
        <v>114.42600000000002</v>
      </c>
      <c r="S10" s="363">
        <f t="shared" si="3"/>
        <v>135.60730666666146</v>
      </c>
    </row>
    <row r="11" spans="1:19" ht="14.25" x14ac:dyDescent="0.2">
      <c r="A11" s="362">
        <f>Gen!B16</f>
        <v>44567</v>
      </c>
      <c r="B11" s="336">
        <f>'Utility report '!B11</f>
        <v>25</v>
      </c>
      <c r="C11" s="742">
        <f>Gen!V16</f>
        <v>0.42292485549132952</v>
      </c>
      <c r="D11" s="132">
        <f>Gen!T16</f>
        <v>1829.15</v>
      </c>
      <c r="E11" s="132">
        <v>0</v>
      </c>
      <c r="F11" s="132">
        <f>Gen!AT16</f>
        <v>0</v>
      </c>
      <c r="G11" s="133">
        <f>'Utility report '!AC11</f>
        <v>148</v>
      </c>
      <c r="H11" s="133">
        <f>'Utility report '!AE11</f>
        <v>54</v>
      </c>
      <c r="I11" s="708">
        <f>'Water-Meter'!E11</f>
        <v>90</v>
      </c>
      <c r="J11" s="134">
        <f>'Lpg (2)'!B15</f>
        <v>72</v>
      </c>
      <c r="K11" s="134">
        <f>'Lpg (2)'!C15</f>
        <v>85</v>
      </c>
      <c r="L11" s="134">
        <f>'Lpg (2)'!D15</f>
        <v>85</v>
      </c>
      <c r="M11" s="6">
        <f>'Lpg (2)'!G15</f>
        <v>137.72000000001282</v>
      </c>
      <c r="N11" s="131">
        <f t="shared" si="4"/>
        <v>2560.81</v>
      </c>
      <c r="O11" s="131">
        <f>E11*1.4</f>
        <v>0</v>
      </c>
      <c r="P11" s="130">
        <f>('Lpg (2)'!G15)*2.38</f>
        <v>327.77360000003051</v>
      </c>
      <c r="Q11" s="131">
        <f t="shared" si="1"/>
        <v>2888.5836000000304</v>
      </c>
      <c r="R11" s="131">
        <f t="shared" si="2"/>
        <v>102.4324</v>
      </c>
      <c r="S11" s="363">
        <f t="shared" si="3"/>
        <v>115.54334400000121</v>
      </c>
    </row>
    <row r="12" spans="1:19" ht="14.25" x14ac:dyDescent="0.2">
      <c r="A12" s="362">
        <f>Gen!B17</f>
        <v>44568</v>
      </c>
      <c r="B12" s="336">
        <f>'Utility report '!B12</f>
        <v>20</v>
      </c>
      <c r="C12" s="742">
        <f>Gen!V17</f>
        <v>0.4199707470747075</v>
      </c>
      <c r="D12" s="132">
        <f>Gen!T17</f>
        <v>1866.3500000000001</v>
      </c>
      <c r="E12" s="132">
        <f>Gen!AK17</f>
        <v>133</v>
      </c>
      <c r="F12" s="132">
        <f>Gen!AT17</f>
        <v>0</v>
      </c>
      <c r="G12" s="133">
        <f>'Utility report '!AC12</f>
        <v>-22473</v>
      </c>
      <c r="H12" s="133">
        <f>'Utility report '!AE12</f>
        <v>-229207</v>
      </c>
      <c r="I12" s="708">
        <f>'Water-Meter'!E12</f>
        <v>92</v>
      </c>
      <c r="J12" s="134">
        <f>'Lpg (2)'!B16</f>
        <v>70</v>
      </c>
      <c r="K12" s="134">
        <f>'Lpg (2)'!C16</f>
        <v>85</v>
      </c>
      <c r="L12" s="134">
        <f>'Lpg (2)'!D16</f>
        <v>85</v>
      </c>
      <c r="M12" s="6">
        <f>'Lpg (2)'!G16</f>
        <v>132.87999999998721</v>
      </c>
      <c r="N12" s="131">
        <f t="shared" si="4"/>
        <v>2612.89</v>
      </c>
      <c r="O12" s="131">
        <f t="shared" si="4"/>
        <v>186.2</v>
      </c>
      <c r="P12" s="130">
        <f>('Lpg (2)'!G16)*2.38</f>
        <v>316.25439999996951</v>
      </c>
      <c r="Q12" s="131">
        <f t="shared" si="1"/>
        <v>3115.344399999969</v>
      </c>
      <c r="R12" s="131">
        <f t="shared" si="2"/>
        <v>130.64449999999999</v>
      </c>
      <c r="S12" s="363">
        <f t="shared" ref="S12:S37" si="5">Q12/B12</f>
        <v>155.76721999999845</v>
      </c>
    </row>
    <row r="13" spans="1:19" ht="14.25" x14ac:dyDescent="0.2">
      <c r="A13" s="362">
        <f>Gen!B18</f>
        <v>44569</v>
      </c>
      <c r="B13" s="336">
        <f>'Utility report '!B13</f>
        <v>19</v>
      </c>
      <c r="C13" s="742">
        <f>Gen!V18</f>
        <v>0.41184805406665115</v>
      </c>
      <c r="D13" s="132">
        <f>Gen!T18</f>
        <v>1767.24</v>
      </c>
      <c r="E13" s="132">
        <f>Gen!AK18</f>
        <v>162.47</v>
      </c>
      <c r="F13" s="132">
        <f>Gen!AT18</f>
        <v>0</v>
      </c>
      <c r="G13" s="133">
        <f>'Utility report '!AC13</f>
        <v>22575</v>
      </c>
      <c r="H13" s="133">
        <f>'Utility report '!AE13</f>
        <v>229265</v>
      </c>
      <c r="I13" s="708">
        <f>'Water-Meter'!E13</f>
        <v>108</v>
      </c>
      <c r="J13" s="134">
        <f>'Lpg (2)'!B17</f>
        <v>70</v>
      </c>
      <c r="K13" s="134">
        <f>'Lpg (2)'!C17</f>
        <v>85</v>
      </c>
      <c r="L13" s="134">
        <f>'Lpg (2)'!D17</f>
        <v>85</v>
      </c>
      <c r="M13" s="130">
        <f>'Lpg (2)'!G17</f>
        <v>112.02400000002818</v>
      </c>
      <c r="N13" s="131">
        <f t="shared" si="4"/>
        <v>2474.136</v>
      </c>
      <c r="O13" s="131">
        <f t="shared" si="4"/>
        <v>227.45799999999997</v>
      </c>
      <c r="P13" s="130">
        <f>('Lpg (2)'!G17)*2.38</f>
        <v>266.61712000006708</v>
      </c>
      <c r="Q13" s="131">
        <f t="shared" si="1"/>
        <v>2968.2111200000672</v>
      </c>
      <c r="R13" s="131">
        <f t="shared" si="2"/>
        <v>130.2176842105263</v>
      </c>
      <c r="S13" s="363">
        <f t="shared" si="5"/>
        <v>156.22163789474038</v>
      </c>
    </row>
    <row r="14" spans="1:19" ht="14.25" x14ac:dyDescent="0.2">
      <c r="A14" s="362">
        <f>Gen!B19</f>
        <v>44570</v>
      </c>
      <c r="B14" s="336">
        <f>'Utility report '!B14</f>
        <v>17</v>
      </c>
      <c r="C14" s="742">
        <f>Gen!V19</f>
        <v>0.42574953874538746</v>
      </c>
      <c r="D14" s="132">
        <f>Gen!T19</f>
        <v>1846.05</v>
      </c>
      <c r="E14" s="132">
        <f>Gen!AK19</f>
        <v>109.74</v>
      </c>
      <c r="F14" s="132">
        <f>Gen!AT19</f>
        <v>0</v>
      </c>
      <c r="G14" s="133">
        <f>'Utility report '!AC14</f>
        <v>128</v>
      </c>
      <c r="H14" s="133">
        <f>'Utility report '!AE14</f>
        <v>56</v>
      </c>
      <c r="I14" s="708">
        <f>'Water-Meter'!E14</f>
        <v>101</v>
      </c>
      <c r="J14" s="134">
        <f>'Lpg (2)'!B18</f>
        <v>65</v>
      </c>
      <c r="K14" s="134">
        <f>'Lpg (2)'!C18</f>
        <v>85</v>
      </c>
      <c r="L14" s="134">
        <f>'Lpg (2)'!D18</f>
        <v>85</v>
      </c>
      <c r="M14" s="6">
        <f>'Lpg (2)'!G18</f>
        <v>106.08400000000258</v>
      </c>
      <c r="N14" s="131">
        <f t="shared" si="4"/>
        <v>2584.4699999999998</v>
      </c>
      <c r="O14" s="131">
        <f t="shared" si="4"/>
        <v>153.636</v>
      </c>
      <c r="P14" s="130">
        <f>('Lpg (2)'!G18)*2.38</f>
        <v>252.47992000000613</v>
      </c>
      <c r="Q14" s="131">
        <f t="shared" si="1"/>
        <v>2990.5859200000059</v>
      </c>
      <c r="R14" s="131">
        <f t="shared" si="2"/>
        <v>152.0276470588235</v>
      </c>
      <c r="S14" s="363">
        <f t="shared" si="5"/>
        <v>175.91681882352975</v>
      </c>
    </row>
    <row r="15" spans="1:19" ht="14.25" x14ac:dyDescent="0.2">
      <c r="A15" s="362">
        <f>Gen!B20</f>
        <v>44571</v>
      </c>
      <c r="B15" s="336">
        <f>'Utility report '!B15</f>
        <v>16</v>
      </c>
      <c r="C15" s="742">
        <f>Gen!V20</f>
        <v>0.41262678195840152</v>
      </c>
      <c r="D15" s="132">
        <f>Gen!T20</f>
        <v>1765.63</v>
      </c>
      <c r="E15" s="132">
        <f>Gen!AK20</f>
        <v>79.83</v>
      </c>
      <c r="F15" s="132">
        <f>Gen!AT20</f>
        <v>0</v>
      </c>
      <c r="G15" s="133">
        <f>'Utility report '!AC15</f>
        <v>77</v>
      </c>
      <c r="H15" s="133">
        <f>'Utility report '!AE15</f>
        <v>3</v>
      </c>
      <c r="I15" s="708">
        <f>'Water-Meter'!E15</f>
        <v>83</v>
      </c>
      <c r="J15" s="134">
        <f>'Lpg (2)'!B19</f>
        <v>62</v>
      </c>
      <c r="K15" s="134">
        <f>'Lpg (2)'!C19</f>
        <v>85</v>
      </c>
      <c r="L15" s="134">
        <f>'Lpg (2)'!D19</f>
        <v>85</v>
      </c>
      <c r="M15" s="6">
        <f>'Lpg (2)'!G19</f>
        <v>113.78400000000256</v>
      </c>
      <c r="N15" s="131">
        <f t="shared" si="4"/>
        <v>2471.8820000000001</v>
      </c>
      <c r="O15" s="131">
        <f t="shared" si="4"/>
        <v>111.76199999999999</v>
      </c>
      <c r="P15" s="130">
        <f>('Lpg (2)'!G19)*2.38</f>
        <v>270.8059200000061</v>
      </c>
      <c r="Q15" s="131">
        <f t="shared" si="1"/>
        <v>2854.4499200000064</v>
      </c>
      <c r="R15" s="131">
        <f t="shared" si="2"/>
        <v>154.492625</v>
      </c>
      <c r="S15" s="363">
        <f t="shared" si="5"/>
        <v>178.4031200000004</v>
      </c>
    </row>
    <row r="16" spans="1:19" ht="14.25" x14ac:dyDescent="0.2">
      <c r="A16" s="362">
        <f>Gen!B21</f>
        <v>44572</v>
      </c>
      <c r="B16" s="336">
        <f>'Utility report '!B16</f>
        <v>11</v>
      </c>
      <c r="C16" s="742">
        <f>Gen!V21</f>
        <v>0.42083894355256335</v>
      </c>
      <c r="D16" s="132">
        <f>Gen!T21</f>
        <v>1625.2799999999997</v>
      </c>
      <c r="E16" s="132">
        <f>Gen!AK21</f>
        <v>386.46</v>
      </c>
      <c r="F16" s="132">
        <f>Gen!AT9</f>
        <v>0</v>
      </c>
      <c r="G16" s="133">
        <f>'Utility report '!AC16</f>
        <v>114</v>
      </c>
      <c r="H16" s="133">
        <f>'Utility report '!AE16</f>
        <v>3</v>
      </c>
      <c r="I16" s="708">
        <f>'Water-Meter'!E16</f>
        <v>67</v>
      </c>
      <c r="J16" s="134">
        <f>'Lpg (2)'!B20</f>
        <v>60</v>
      </c>
      <c r="K16" s="134">
        <f>'Lpg (2)'!C20</f>
        <v>58</v>
      </c>
      <c r="L16" s="134">
        <f>'Lpg (2)'!D20</f>
        <v>85</v>
      </c>
      <c r="M16" s="6">
        <f>'Lpg (2)'!G20</f>
        <v>116.90799999996672</v>
      </c>
      <c r="N16" s="131">
        <f t="shared" si="4"/>
        <v>2275.3919999999994</v>
      </c>
      <c r="O16" s="131">
        <f t="shared" si="4"/>
        <v>541.04399999999998</v>
      </c>
      <c r="P16" s="130">
        <f>('Lpg (2)'!G20)*2.38</f>
        <v>278.24103999992076</v>
      </c>
      <c r="Q16" s="131">
        <f t="shared" si="1"/>
        <v>3094.67703999992</v>
      </c>
      <c r="R16" s="131">
        <f t="shared" si="2"/>
        <v>206.85381818181813</v>
      </c>
      <c r="S16" s="363">
        <f t="shared" si="5"/>
        <v>281.3342763636291</v>
      </c>
    </row>
    <row r="17" spans="1:19" ht="14.25" x14ac:dyDescent="0.2">
      <c r="A17" s="362">
        <f>Gen!B22</f>
        <v>44573</v>
      </c>
      <c r="B17" s="336">
        <f>'Utility report '!B17</f>
        <v>8</v>
      </c>
      <c r="C17" s="742">
        <f>Gen!V22</f>
        <v>0.42066000525900604</v>
      </c>
      <c r="D17" s="132">
        <f>Gen!T22</f>
        <v>1599.77</v>
      </c>
      <c r="E17" s="132">
        <f>Gen!AK22</f>
        <v>0</v>
      </c>
      <c r="F17" s="132">
        <f>Gen!AT22</f>
        <v>0</v>
      </c>
      <c r="G17" s="133">
        <f>'Utility report '!AC17</f>
        <v>112</v>
      </c>
      <c r="H17" s="133">
        <f>'Utility report '!AE17</f>
        <v>0</v>
      </c>
      <c r="I17" s="708">
        <f>'Water-Meter'!E17</f>
        <v>133</v>
      </c>
      <c r="J17" s="134">
        <f>'Lpg (2)'!B21</f>
        <v>58</v>
      </c>
      <c r="K17" s="134">
        <f>'Lpg (2)'!C22</f>
        <v>85</v>
      </c>
      <c r="L17" s="134">
        <f>'Lpg (2)'!D21</f>
        <v>85</v>
      </c>
      <c r="M17" s="6">
        <f>'Lpg (2)'!G21</f>
        <v>99.484000000002567</v>
      </c>
      <c r="N17" s="131">
        <f t="shared" si="4"/>
        <v>2239.6779999999999</v>
      </c>
      <c r="O17" s="131">
        <f t="shared" si="4"/>
        <v>0</v>
      </c>
      <c r="P17" s="130">
        <f>('Lpg (2)'!G21)*2.38</f>
        <v>236.77192000000611</v>
      </c>
      <c r="Q17" s="131">
        <f t="shared" si="1"/>
        <v>2476.4499200000059</v>
      </c>
      <c r="R17" s="131">
        <f t="shared" si="2"/>
        <v>279.95974999999999</v>
      </c>
      <c r="S17" s="363">
        <f t="shared" si="5"/>
        <v>309.55624000000074</v>
      </c>
    </row>
    <row r="18" spans="1:19" ht="14.25" x14ac:dyDescent="0.2">
      <c r="A18" s="362">
        <f>Gen!B23</f>
        <v>44574</v>
      </c>
      <c r="B18" s="336">
        <f>'Utility report '!B18</f>
        <v>13</v>
      </c>
      <c r="C18" s="742">
        <f>Gen!V23</f>
        <v>0.41318256578947365</v>
      </c>
      <c r="D18" s="132">
        <f>Gen!T23</f>
        <v>1507.29</v>
      </c>
      <c r="E18" s="132">
        <f>Gen!AK23</f>
        <v>66.31</v>
      </c>
      <c r="F18" s="132">
        <f>Gen!AT23</f>
        <v>0</v>
      </c>
      <c r="G18" s="133">
        <f>'Utility report '!AC18</f>
        <v>111</v>
      </c>
      <c r="H18" s="133">
        <f>'Utility report '!AE18</f>
        <v>0</v>
      </c>
      <c r="I18" s="708">
        <f>'Water-Meter'!E18</f>
        <v>86</v>
      </c>
      <c r="J18" s="134">
        <f>'Lpg (2)'!B22</f>
        <v>55</v>
      </c>
      <c r="K18" s="134">
        <f>'Lpg (2)'!C23</f>
        <v>85</v>
      </c>
      <c r="L18" s="134">
        <f>'Lpg (2)'!D22</f>
        <v>85</v>
      </c>
      <c r="M18" s="6">
        <f>'Lpg (2)'!G22</f>
        <v>90.904000000015373</v>
      </c>
      <c r="N18" s="131">
        <f t="shared" si="4"/>
        <v>2110.2059999999997</v>
      </c>
      <c r="O18" s="131">
        <f t="shared" si="4"/>
        <v>92.834000000000003</v>
      </c>
      <c r="P18" s="130">
        <f>('Lpg (2)'!G22)*2.38</f>
        <v>216.35152000003657</v>
      </c>
      <c r="Q18" s="131">
        <f t="shared" si="1"/>
        <v>2419.3915200000361</v>
      </c>
      <c r="R18" s="131">
        <f t="shared" si="2"/>
        <v>162.32353846153845</v>
      </c>
      <c r="S18" s="363">
        <f t="shared" si="5"/>
        <v>186.10704000000277</v>
      </c>
    </row>
    <row r="19" spans="1:19" ht="14.25" x14ac:dyDescent="0.2">
      <c r="A19" s="362">
        <f>Gen!B24</f>
        <v>44575</v>
      </c>
      <c r="B19" s="336">
        <f>'Utility report '!B19</f>
        <v>17</v>
      </c>
      <c r="C19" s="742">
        <f>Gen!V24</f>
        <v>0.39839789196310937</v>
      </c>
      <c r="D19" s="132">
        <f>Gen!T24</f>
        <v>1511.92</v>
      </c>
      <c r="E19" s="132">
        <f>Gen!AK24</f>
        <v>288.08</v>
      </c>
      <c r="F19" s="132">
        <f>Gen!AT24</f>
        <v>0</v>
      </c>
      <c r="G19" s="133">
        <f>'Utility report '!AC19</f>
        <v>92</v>
      </c>
      <c r="H19" s="133">
        <f>'Utility report '!AE19</f>
        <v>43</v>
      </c>
      <c r="I19" s="708">
        <f>'Water-Meter'!E19</f>
        <v>92</v>
      </c>
      <c r="J19" s="134">
        <f>'Lpg (2)'!B23</f>
        <v>52</v>
      </c>
      <c r="K19" s="134">
        <f>'Lpg (2)'!C24</f>
        <v>85</v>
      </c>
      <c r="L19" s="134">
        <f>'Lpg (2)'!D23</f>
        <v>85</v>
      </c>
      <c r="M19" s="6">
        <f>'Lpg (2)'!G23</f>
        <v>73.568000000005128</v>
      </c>
      <c r="N19" s="131">
        <f t="shared" si="4"/>
        <v>2116.6880000000001</v>
      </c>
      <c r="O19" s="131">
        <f t="shared" si="4"/>
        <v>403.31199999999995</v>
      </c>
      <c r="P19" s="130">
        <f>('Lpg (2)'!G23)*2.38</f>
        <v>175.09184000001218</v>
      </c>
      <c r="Q19" s="131">
        <f t="shared" si="1"/>
        <v>2695.0918400000123</v>
      </c>
      <c r="R19" s="131">
        <f t="shared" si="2"/>
        <v>124.51105882352942</v>
      </c>
      <c r="S19" s="363">
        <f t="shared" si="5"/>
        <v>158.53481411764778</v>
      </c>
    </row>
    <row r="20" spans="1:19" ht="14.25" x14ac:dyDescent="0.2">
      <c r="A20" s="362">
        <f>Gen!B25</f>
        <v>44576</v>
      </c>
      <c r="B20" s="336">
        <f>'Utility report '!B20</f>
        <v>15</v>
      </c>
      <c r="C20" s="742">
        <f>Gen!V25</f>
        <v>0.39528508771929827</v>
      </c>
      <c r="D20" s="132">
        <f>Gen!T25</f>
        <v>1442</v>
      </c>
      <c r="E20" s="132">
        <f>Gen!AK25</f>
        <v>0</v>
      </c>
      <c r="F20" s="132">
        <f>Gen!AT25</f>
        <v>0</v>
      </c>
      <c r="G20" s="133">
        <f>'Utility report '!AC20</f>
        <v>58</v>
      </c>
      <c r="H20" s="133">
        <f>'Utility report '!AE20</f>
        <v>26</v>
      </c>
      <c r="I20" s="708">
        <f>'Water-Meter'!E20</f>
        <v>102</v>
      </c>
      <c r="J20" s="134">
        <f>'Lpg (2)'!B24</f>
        <v>50</v>
      </c>
      <c r="K20" s="134">
        <f>'Lpg (2)'!C25</f>
        <v>85</v>
      </c>
      <c r="L20" s="134">
        <f>'Lpg (2)'!D24</f>
        <v>85</v>
      </c>
      <c r="M20" s="6">
        <f>'Lpg (2)'!G24</f>
        <v>74.315999999997445</v>
      </c>
      <c r="N20" s="131">
        <f t="shared" si="4"/>
        <v>2018.8</v>
      </c>
      <c r="O20" s="131">
        <f t="shared" si="4"/>
        <v>0</v>
      </c>
      <c r="P20" s="130">
        <f>('Lpg (2)'!G24)*2.38</f>
        <v>176.8720799999939</v>
      </c>
      <c r="Q20" s="131">
        <f t="shared" si="1"/>
        <v>2195.6720799999939</v>
      </c>
      <c r="R20" s="131">
        <f t="shared" si="2"/>
        <v>134.58666666666667</v>
      </c>
      <c r="S20" s="363">
        <f t="shared" si="5"/>
        <v>146.37813866666627</v>
      </c>
    </row>
    <row r="21" spans="1:19" ht="14.25" x14ac:dyDescent="0.2">
      <c r="A21" s="362">
        <f>Gen!B26</f>
        <v>44577</v>
      </c>
      <c r="B21" s="336">
        <f>'Utility report '!B21</f>
        <v>17</v>
      </c>
      <c r="C21" s="742">
        <f>Gen!V26</f>
        <v>0.39916887709991161</v>
      </c>
      <c r="D21" s="132">
        <f>Gen!T26</f>
        <v>1354.38</v>
      </c>
      <c r="E21" s="132">
        <f>Gen!AK26</f>
        <v>447</v>
      </c>
      <c r="F21" s="132">
        <f>Gen!AT26</f>
        <v>0</v>
      </c>
      <c r="G21" s="133">
        <f>'Utility report '!AC21</f>
        <v>91</v>
      </c>
      <c r="H21" s="133">
        <f>'Utility report '!AE21</f>
        <v>63</v>
      </c>
      <c r="I21" s="708">
        <f>'Water-Meter'!E21</f>
        <v>74</v>
      </c>
      <c r="J21" s="134">
        <f>'Lpg (2)'!B25</f>
        <v>47</v>
      </c>
      <c r="K21" s="134">
        <f>'Lpg (2)'!C25</f>
        <v>85</v>
      </c>
      <c r="L21" s="134">
        <f>'Lpg (2)'!D25</f>
        <v>85</v>
      </c>
      <c r="M21" s="6">
        <f>'Lpg (2)'!G25</f>
        <v>109.60400000001538</v>
      </c>
      <c r="N21" s="131">
        <f t="shared" si="4"/>
        <v>1896.1320000000001</v>
      </c>
      <c r="O21" s="131">
        <f t="shared" si="4"/>
        <v>625.79999999999995</v>
      </c>
      <c r="P21" s="130">
        <f>('Lpg (2)'!G25)*2.38</f>
        <v>260.85752000003657</v>
      </c>
      <c r="Q21" s="131">
        <f t="shared" si="1"/>
        <v>2782.7895200000362</v>
      </c>
      <c r="R21" s="131">
        <f t="shared" si="2"/>
        <v>111.53717647058824</v>
      </c>
      <c r="S21" s="363">
        <f t="shared" si="5"/>
        <v>163.69350117647272</v>
      </c>
    </row>
    <row r="22" spans="1:19" ht="14.25" x14ac:dyDescent="0.2">
      <c r="A22" s="362">
        <f>Gen!B27</f>
        <v>44578</v>
      </c>
      <c r="B22" s="336">
        <f>'Utility report '!B22</f>
        <v>10</v>
      </c>
      <c r="C22" s="742">
        <f>Gen!V27</f>
        <v>0.40996640913671484</v>
      </c>
      <c r="D22" s="132">
        <f>Gen!T27</f>
        <v>1220.47</v>
      </c>
      <c r="E22" s="132">
        <f>Gen!AK27</f>
        <v>0</v>
      </c>
      <c r="F22" s="132">
        <f>Gen!AT27</f>
        <v>0</v>
      </c>
      <c r="G22" s="133">
        <f>'Utility report '!AC22</f>
        <v>78</v>
      </c>
      <c r="H22" s="133">
        <f>'Utility report '!AE22</f>
        <v>36</v>
      </c>
      <c r="I22" s="708">
        <f>'Water-Meter'!E22</f>
        <v>68</v>
      </c>
      <c r="J22" s="134">
        <f>'Lpg (2)'!B26</f>
        <v>44</v>
      </c>
      <c r="K22" s="134">
        <f>'Lpg (2)'!C26</f>
        <v>85</v>
      </c>
      <c r="L22" s="134">
        <f>'Lpg (2)'!D26</f>
        <v>85</v>
      </c>
      <c r="M22" s="6">
        <f>'Lpg (2)'!G26</f>
        <v>108.9</v>
      </c>
      <c r="N22" s="131">
        <f t="shared" si="4"/>
        <v>1708.6579999999999</v>
      </c>
      <c r="O22" s="131">
        <f t="shared" si="4"/>
        <v>0</v>
      </c>
      <c r="P22" s="130">
        <f>('Lpg (2)'!G26)*2.38</f>
        <v>259.18200000000002</v>
      </c>
      <c r="Q22" s="131">
        <f t="shared" si="1"/>
        <v>1967.84</v>
      </c>
      <c r="R22" s="131">
        <f t="shared" si="2"/>
        <v>170.86579999999998</v>
      </c>
      <c r="S22" s="363">
        <f t="shared" si="5"/>
        <v>196.78399999999999</v>
      </c>
    </row>
    <row r="23" spans="1:19" ht="14.25" x14ac:dyDescent="0.2">
      <c r="A23" s="362">
        <f>Gen!B28</f>
        <v>44579</v>
      </c>
      <c r="B23" s="336">
        <f>'Utility report '!B23</f>
        <v>14</v>
      </c>
      <c r="C23" s="742">
        <f>Gen!V28</f>
        <v>0.40158001742666277</v>
      </c>
      <c r="D23" s="132">
        <f>Gen!T28</f>
        <v>1382.6399999999999</v>
      </c>
      <c r="E23" s="132">
        <f>Gen!AK28</f>
        <v>221.01000000000002</v>
      </c>
      <c r="F23" s="132">
        <f>Gen!AT28</f>
        <v>0</v>
      </c>
      <c r="G23" s="133">
        <f>'Utility report '!AC23</f>
        <v>0</v>
      </c>
      <c r="H23" s="133">
        <f>'Utility report '!AE23</f>
        <v>0</v>
      </c>
      <c r="I23" s="708">
        <f>'Water-Meter'!E23</f>
        <v>62</v>
      </c>
      <c r="J23" s="134">
        <f>'Lpg (2)'!B27</f>
        <v>41</v>
      </c>
      <c r="K23" s="134">
        <f>'Lpg (2)'!C27</f>
        <v>85</v>
      </c>
      <c r="L23" s="134">
        <f>'Lpg (2)'!D27</f>
        <v>85</v>
      </c>
      <c r="M23" s="6">
        <f>'Lpg (2)'!G27</f>
        <v>98.823999999964158</v>
      </c>
      <c r="N23" s="131">
        <f t="shared" si="4"/>
        <v>1935.6959999999997</v>
      </c>
      <c r="O23" s="131">
        <f t="shared" si="4"/>
        <v>309.41399999999999</v>
      </c>
      <c r="P23" s="130">
        <f>('Lpg (2)'!G27)*2.38</f>
        <v>235.20111999991468</v>
      </c>
      <c r="Q23" s="131">
        <f t="shared" si="1"/>
        <v>2480.3111199999144</v>
      </c>
      <c r="R23" s="131">
        <f t="shared" si="2"/>
        <v>138.26399999999998</v>
      </c>
      <c r="S23" s="363">
        <f t="shared" si="5"/>
        <v>177.16507999999388</v>
      </c>
    </row>
    <row r="24" spans="1:19" ht="14.25" x14ac:dyDescent="0.2">
      <c r="A24" s="362">
        <f>Gen!B29</f>
        <v>44580</v>
      </c>
      <c r="B24" s="336">
        <f>'Utility report '!B24</f>
        <v>15</v>
      </c>
      <c r="C24" s="742">
        <f>Gen!V29</f>
        <v>0.4161827242524917</v>
      </c>
      <c r="D24" s="132">
        <f>Gen!T29</f>
        <v>1252.71</v>
      </c>
      <c r="E24" s="132">
        <f>Gen!AK29</f>
        <v>127.84</v>
      </c>
      <c r="F24" s="132">
        <f>Gen!AT29</f>
        <v>0</v>
      </c>
      <c r="G24" s="133">
        <f>'Utility report '!AC24</f>
        <v>144</v>
      </c>
      <c r="H24" s="133">
        <f>'Utility report '!AE24</f>
        <v>1</v>
      </c>
      <c r="I24" s="708">
        <f>'Water-Meter'!E24</f>
        <v>70</v>
      </c>
      <c r="J24" s="134">
        <f>'Lpg (2)'!B28</f>
        <v>38</v>
      </c>
      <c r="K24" s="134">
        <f>'Lpg (2)'!C28</f>
        <v>85</v>
      </c>
      <c r="L24" s="134">
        <f>'Lpg (2)'!D28</f>
        <v>85</v>
      </c>
      <c r="M24" s="6">
        <f>'Lpg (2)'!G28</f>
        <v>113.82800000004355</v>
      </c>
      <c r="N24" s="131">
        <f t="shared" si="4"/>
        <v>1753.7939999999999</v>
      </c>
      <c r="O24" s="131">
        <f t="shared" si="4"/>
        <v>178.976</v>
      </c>
      <c r="P24" s="130">
        <f>('Lpg (2)'!G28)*2.38</f>
        <v>270.91064000010363</v>
      </c>
      <c r="Q24" s="131">
        <f t="shared" si="1"/>
        <v>2203.6806400001037</v>
      </c>
      <c r="R24" s="131">
        <f t="shared" si="2"/>
        <v>116.91959999999999</v>
      </c>
      <c r="S24" s="363">
        <f t="shared" si="5"/>
        <v>146.91204266667359</v>
      </c>
    </row>
    <row r="25" spans="1:19" ht="14.25" x14ac:dyDescent="0.2">
      <c r="A25" s="362">
        <f>Gen!B30</f>
        <v>44581</v>
      </c>
      <c r="B25" s="336">
        <f>'Utility report '!B25</f>
        <v>17</v>
      </c>
      <c r="C25" s="742">
        <f>Gen!V30</f>
        <v>0.41241348179356008</v>
      </c>
      <c r="D25" s="132">
        <f>Gen!T30</f>
        <v>1370.45</v>
      </c>
      <c r="E25" s="132">
        <f>Gen!AK30</f>
        <v>238.01999999999998</v>
      </c>
      <c r="F25" s="132">
        <f>Gen!AT30</f>
        <v>0</v>
      </c>
      <c r="G25" s="133">
        <f>'Utility report '!AC25</f>
        <v>45</v>
      </c>
      <c r="H25" s="133">
        <f>'Utility report '!AE25</f>
        <v>0</v>
      </c>
      <c r="I25" s="708">
        <f>'Water-Meter'!E25</f>
        <v>88</v>
      </c>
      <c r="J25" s="134">
        <f>'Lpg (2)'!B29</f>
        <v>37</v>
      </c>
      <c r="K25" s="134">
        <f>'Lpg (2)'!C29</f>
        <v>85</v>
      </c>
      <c r="L25" s="134">
        <f>'Lpg (2)'!D29</f>
        <v>85</v>
      </c>
      <c r="M25" s="6">
        <f>'Lpg (2)'!G29</f>
        <v>115.14799999999232</v>
      </c>
      <c r="N25" s="131">
        <f t="shared" si="4"/>
        <v>1918.6299999999999</v>
      </c>
      <c r="O25" s="131">
        <f t="shared" si="4"/>
        <v>333.22799999999995</v>
      </c>
      <c r="P25" s="130">
        <f>('Lpg (2)'!G29)*2.38</f>
        <v>274.05223999998174</v>
      </c>
      <c r="Q25" s="131">
        <f t="shared" si="1"/>
        <v>2525.9102399999815</v>
      </c>
      <c r="R25" s="131">
        <f t="shared" si="2"/>
        <v>112.86058823529412</v>
      </c>
      <c r="S25" s="363">
        <f t="shared" si="5"/>
        <v>148.58295529411657</v>
      </c>
    </row>
    <row r="26" spans="1:19" ht="14.25" x14ac:dyDescent="0.2">
      <c r="A26" s="362">
        <f>Gen!B31</f>
        <v>44582</v>
      </c>
      <c r="B26" s="336">
        <f>'Utility report '!B26</f>
        <v>8</v>
      </c>
      <c r="C26" s="742">
        <f>Gen!V31</f>
        <v>0.41127850947638933</v>
      </c>
      <c r="D26" s="132">
        <f>Gen!T31</f>
        <v>1280.31</v>
      </c>
      <c r="E26" s="132">
        <f>Gen!AK31</f>
        <v>15</v>
      </c>
      <c r="F26" s="132">
        <f>Gen!AT31</f>
        <v>0</v>
      </c>
      <c r="G26" s="133">
        <f>'Utility report '!AC26</f>
        <v>139</v>
      </c>
      <c r="H26" s="133">
        <f>'Utility report '!AE26</f>
        <v>30</v>
      </c>
      <c r="I26" s="708">
        <f>'Water-Meter'!E26</f>
        <v>81</v>
      </c>
      <c r="J26" s="134">
        <f>'Lpg (2)'!B30</f>
        <v>36</v>
      </c>
      <c r="K26" s="134">
        <f>'Lpg (2)'!C30</f>
        <v>85</v>
      </c>
      <c r="L26" s="134">
        <f>'Lpg (2)'!D30</f>
        <v>85</v>
      </c>
      <c r="M26" s="6">
        <f>'Lpg (2)'!G30</f>
        <v>113.82799999997953</v>
      </c>
      <c r="N26" s="131">
        <f t="shared" si="4"/>
        <v>1792.4339999999997</v>
      </c>
      <c r="O26" s="131">
        <f t="shared" si="4"/>
        <v>21</v>
      </c>
      <c r="P26" s="130">
        <f>('Lpg (2)'!G30)*2.38</f>
        <v>270.91063999995129</v>
      </c>
      <c r="Q26" s="131">
        <f t="shared" si="1"/>
        <v>2084.3446399999511</v>
      </c>
      <c r="R26" s="131">
        <f t="shared" si="2"/>
        <v>224.05424999999997</v>
      </c>
      <c r="S26" s="363">
        <f t="shared" si="5"/>
        <v>260.54307999999389</v>
      </c>
    </row>
    <row r="27" spans="1:19" ht="14.25" x14ac:dyDescent="0.2">
      <c r="A27" s="362">
        <f>Gen!B32</f>
        <v>44583</v>
      </c>
      <c r="B27" s="336">
        <f>'Utility report '!B27</f>
        <v>7</v>
      </c>
      <c r="C27" s="742">
        <f>Gen!V32</f>
        <v>0.41173495518565939</v>
      </c>
      <c r="D27" s="132">
        <f>Gen!T32</f>
        <v>1286.26</v>
      </c>
      <c r="E27" s="132">
        <f>Gen!AK32</f>
        <v>264.82</v>
      </c>
      <c r="F27" s="132">
        <f>Gen!AT32</f>
        <v>0</v>
      </c>
      <c r="G27" s="133">
        <f>'Utility report '!AC27</f>
        <v>100</v>
      </c>
      <c r="H27" s="133">
        <f>'Utility report '!AE27</f>
        <v>43</v>
      </c>
      <c r="I27" s="708">
        <f>'Water-Meter'!E27</f>
        <v>71</v>
      </c>
      <c r="J27" s="134">
        <f>'Lpg (2)'!B31</f>
        <v>34</v>
      </c>
      <c r="K27" s="134">
        <f>'Lpg (2)'!C31</f>
        <v>85</v>
      </c>
      <c r="L27" s="134">
        <f>'Lpg (2)'!D31</f>
        <v>85</v>
      </c>
      <c r="M27" s="6">
        <f>'Lpg (2)'!G31</f>
        <v>96.711999999982083</v>
      </c>
      <c r="N27" s="131">
        <f t="shared" si="4"/>
        <v>1800.7639999999999</v>
      </c>
      <c r="O27" s="131">
        <f t="shared" si="4"/>
        <v>370.74799999999999</v>
      </c>
      <c r="P27" s="130">
        <f>('Lpg (2)'!G31)*2.38</f>
        <v>230.17455999995735</v>
      </c>
      <c r="Q27" s="131">
        <f t="shared" si="1"/>
        <v>2401.6865599999569</v>
      </c>
      <c r="R27" s="131">
        <f t="shared" si="2"/>
        <v>257.25200000000001</v>
      </c>
      <c r="S27" s="363">
        <f t="shared" si="5"/>
        <v>343.09807999999384</v>
      </c>
    </row>
    <row r="28" spans="1:19" ht="14.25" x14ac:dyDescent="0.2">
      <c r="A28" s="362">
        <f>Gen!B33</f>
        <v>44584</v>
      </c>
      <c r="B28" s="336">
        <f>'Utility report '!B28</f>
        <v>4</v>
      </c>
      <c r="C28" s="742">
        <f>Gen!V33</f>
        <v>0.42877368609224176</v>
      </c>
      <c r="D28" s="132">
        <f>Gen!T33</f>
        <v>1199.2800000000002</v>
      </c>
      <c r="E28" s="132">
        <f>Gen!AK33</f>
        <v>253.24</v>
      </c>
      <c r="F28" s="132">
        <f>Gen!AT33</f>
        <v>0</v>
      </c>
      <c r="G28" s="133">
        <f>'Utility report '!AC28</f>
        <v>74</v>
      </c>
      <c r="H28" s="133">
        <f>'Utility report '!AE28</f>
        <v>93</v>
      </c>
      <c r="I28" s="708">
        <f>'Water-Meter'!E28</f>
        <v>62</v>
      </c>
      <c r="J28" s="134">
        <f>'Lpg (2)'!B32</f>
        <v>30</v>
      </c>
      <c r="K28" s="134">
        <f>'Lpg (2)'!C32</f>
        <v>85</v>
      </c>
      <c r="L28" s="134">
        <f>'Lpg (2)'!D32</f>
        <v>85</v>
      </c>
      <c r="M28" s="6">
        <f>'Lpg (2)'!G32</f>
        <v>93.23600000001025</v>
      </c>
      <c r="N28" s="131">
        <f t="shared" si="4"/>
        <v>1678.9920000000002</v>
      </c>
      <c r="O28" s="131">
        <f t="shared" si="4"/>
        <v>354.536</v>
      </c>
      <c r="P28" s="130">
        <f>('Lpg (2)'!G32)*2.38</f>
        <v>221.90168000002438</v>
      </c>
      <c r="Q28" s="131">
        <f t="shared" si="1"/>
        <v>2255.4296800000247</v>
      </c>
      <c r="R28" s="131">
        <f t="shared" si="2"/>
        <v>419.74800000000005</v>
      </c>
      <c r="S28" s="363">
        <f t="shared" si="5"/>
        <v>563.85742000000619</v>
      </c>
    </row>
    <row r="29" spans="1:19" ht="14.25" x14ac:dyDescent="0.2">
      <c r="A29" s="362">
        <f>Gen!B34</f>
        <v>44585</v>
      </c>
      <c r="B29" s="336">
        <f>'Utility report '!B29</f>
        <v>9</v>
      </c>
      <c r="C29" s="742">
        <f>Gen!V34</f>
        <v>0.40692261001517449</v>
      </c>
      <c r="D29" s="132">
        <f>Gen!T34</f>
        <v>1340.81</v>
      </c>
      <c r="E29" s="132">
        <f>Gen!AK34</f>
        <v>237.04000000000002</v>
      </c>
      <c r="F29" s="132">
        <f>Gen!AT34</f>
        <v>0</v>
      </c>
      <c r="G29" s="133">
        <f>'Utility report '!AC29</f>
        <v>17</v>
      </c>
      <c r="H29" s="133">
        <f>'Utility report '!AE29</f>
        <v>61</v>
      </c>
      <c r="I29" s="708">
        <f>'Water-Meter'!E29</f>
        <v>75</v>
      </c>
      <c r="J29" s="134">
        <f>'Lpg (2)'!B33</f>
        <v>27</v>
      </c>
      <c r="K29" s="134">
        <f>'Lpg (2)'!C33</f>
        <v>85</v>
      </c>
      <c r="L29" s="134">
        <f>'Lpg (2)'!D33</f>
        <v>85</v>
      </c>
      <c r="M29" s="6">
        <f>'Lpg (2)'!G33</f>
        <v>103.31200000004611</v>
      </c>
      <c r="N29" s="131">
        <f t="shared" si="4"/>
        <v>1877.1339999999998</v>
      </c>
      <c r="O29" s="131">
        <f t="shared" si="4"/>
        <v>331.85599999999999</v>
      </c>
      <c r="P29" s="130">
        <f>('Lpg (2)'!G33)*2.38</f>
        <v>245.88256000010975</v>
      </c>
      <c r="Q29" s="131">
        <f t="shared" si="1"/>
        <v>2454.8725600001094</v>
      </c>
      <c r="R29" s="131">
        <f t="shared" si="2"/>
        <v>208.57044444444443</v>
      </c>
      <c r="S29" s="363">
        <f t="shared" si="5"/>
        <v>272.76361777778993</v>
      </c>
    </row>
    <row r="30" spans="1:19" ht="14.25" x14ac:dyDescent="0.2">
      <c r="A30" s="362">
        <f>Gen!B35</f>
        <v>44586</v>
      </c>
      <c r="B30" s="336">
        <f>'Utility report '!B30</f>
        <v>12</v>
      </c>
      <c r="C30" s="742">
        <f>Gen!V35</f>
        <v>0.39172230889235571</v>
      </c>
      <c r="D30" s="132">
        <f>Gen!T35</f>
        <v>1255.47</v>
      </c>
      <c r="E30" s="132">
        <f>Gen!AK35</f>
        <v>118.03</v>
      </c>
      <c r="F30" s="132">
        <f>Gen!AT35</f>
        <v>0</v>
      </c>
      <c r="G30" s="133">
        <f>'Utility report '!AC30</f>
        <v>133</v>
      </c>
      <c r="H30" s="133">
        <f>'Utility report '!AE30</f>
        <v>65</v>
      </c>
      <c r="I30" s="708">
        <f>'Water-Meter'!E30</f>
        <v>160</v>
      </c>
      <c r="J30" s="134">
        <f>'Lpg (2)'!B34</f>
        <v>23</v>
      </c>
      <c r="K30" s="134">
        <f>'Lpg (2)'!C34</f>
        <v>85</v>
      </c>
      <c r="L30" s="134">
        <f>'Lpg (2)'!D34</f>
        <v>85</v>
      </c>
      <c r="M30" s="6">
        <f>'Lpg (2)'!G34</f>
        <v>113.38799999995391</v>
      </c>
      <c r="N30" s="131">
        <f t="shared" si="4"/>
        <v>1757.6579999999999</v>
      </c>
      <c r="O30" s="131">
        <f t="shared" si="4"/>
        <v>165.24199999999999</v>
      </c>
      <c r="P30" s="130">
        <f>('Lpg (2)'!G34)*2.38</f>
        <v>269.86343999989026</v>
      </c>
      <c r="Q30" s="131">
        <f t="shared" si="1"/>
        <v>2192.7634399998901</v>
      </c>
      <c r="R30" s="131">
        <f t="shared" si="2"/>
        <v>146.47149999999999</v>
      </c>
      <c r="S30" s="363">
        <f t="shared" si="5"/>
        <v>182.73028666665752</v>
      </c>
    </row>
    <row r="31" spans="1:19" ht="14.25" x14ac:dyDescent="0.2">
      <c r="A31" s="362">
        <f>Gen!B36</f>
        <v>44587</v>
      </c>
      <c r="B31" s="336">
        <f>'Utility report '!B31</f>
        <v>13</v>
      </c>
      <c r="C31" s="742">
        <f>Gen!V36</f>
        <v>0.37817622377622379</v>
      </c>
      <c r="D31" s="132">
        <f>Gen!T36</f>
        <v>1351.98</v>
      </c>
      <c r="E31" s="132">
        <f>Gen!AK36</f>
        <v>73.37</v>
      </c>
      <c r="F31" s="132">
        <f>Gen!AT36</f>
        <v>0</v>
      </c>
      <c r="G31" s="133">
        <f>'Utility report '!AC31</f>
        <v>12</v>
      </c>
      <c r="H31" s="133">
        <f>'Utility report '!AE31</f>
        <v>67</v>
      </c>
      <c r="I31" s="708">
        <f>'Water-Meter'!E31</f>
        <v>66</v>
      </c>
      <c r="J31" s="134">
        <f>'Lpg (2)'!B35</f>
        <v>20</v>
      </c>
      <c r="K31" s="134">
        <f>'Lpg (2)'!C35</f>
        <v>85</v>
      </c>
      <c r="L31" s="134">
        <f>'Lpg (2)'!D35</f>
        <v>85</v>
      </c>
      <c r="M31" s="6">
        <f>'Lpg (2)'!G35</f>
        <v>121.35200000000769</v>
      </c>
      <c r="N31" s="131">
        <f t="shared" si="4"/>
        <v>1892.7719999999999</v>
      </c>
      <c r="O31" s="131">
        <f t="shared" si="4"/>
        <v>102.718</v>
      </c>
      <c r="P31" s="130">
        <f>('Lpg (2)'!G35)*2.38</f>
        <v>288.81776000001827</v>
      </c>
      <c r="Q31" s="131">
        <f t="shared" si="1"/>
        <v>2284.3077600000183</v>
      </c>
      <c r="R31" s="131">
        <f t="shared" si="2"/>
        <v>145.59784615384615</v>
      </c>
      <c r="S31" s="363">
        <f t="shared" si="5"/>
        <v>175.71598153846296</v>
      </c>
    </row>
    <row r="32" spans="1:19" ht="14.25" x14ac:dyDescent="0.2">
      <c r="A32" s="362">
        <f>Gen!B37</f>
        <v>44588</v>
      </c>
      <c r="B32" s="336">
        <f>'Utility report '!B32</f>
        <v>11</v>
      </c>
      <c r="C32" s="742">
        <f>Gen!V37</f>
        <v>0.39098337950138506</v>
      </c>
      <c r="D32" s="132">
        <f>Gen!T37</f>
        <v>1411.45</v>
      </c>
      <c r="E32" s="132">
        <f>Gen!AK37</f>
        <v>353.88</v>
      </c>
      <c r="F32" s="132">
        <f>Gen!AT37</f>
        <v>0</v>
      </c>
      <c r="G32" s="133">
        <f>'Utility report '!AC32</f>
        <v>184</v>
      </c>
      <c r="H32" s="133">
        <f>'Utility report '!AE32</f>
        <v>76</v>
      </c>
      <c r="I32" s="708">
        <f>'Water-Meter'!E32</f>
        <v>75</v>
      </c>
      <c r="J32" s="134">
        <f>'Lpg (2)'!B36</f>
        <v>19</v>
      </c>
      <c r="K32" s="134">
        <f>'Lpg (2)'!C36</f>
        <v>85</v>
      </c>
      <c r="L32" s="134">
        <f>'Lpg (2)'!D36</f>
        <v>85</v>
      </c>
      <c r="M32" s="6">
        <f>'Lpg (2)'!G36</f>
        <v>119.32799999997953</v>
      </c>
      <c r="N32" s="131">
        <f t="shared" si="4"/>
        <v>1976.03</v>
      </c>
      <c r="O32" s="131">
        <f t="shared" si="4"/>
        <v>495.43199999999996</v>
      </c>
      <c r="P32" s="130">
        <f>('Lpg (2)'!G36)*2.38</f>
        <v>284.00063999995126</v>
      </c>
      <c r="Q32" s="131">
        <f t="shared" si="1"/>
        <v>2755.4626399999511</v>
      </c>
      <c r="R32" s="131">
        <f t="shared" si="2"/>
        <v>179.6390909090909</v>
      </c>
      <c r="S32" s="363">
        <f t="shared" si="5"/>
        <v>250.4966036363592</v>
      </c>
    </row>
    <row r="33" spans="1:19" ht="14.25" x14ac:dyDescent="0.2">
      <c r="A33" s="362">
        <f>Gen!B38</f>
        <v>44589</v>
      </c>
      <c r="B33" s="336">
        <f>'Utility report '!B33</f>
        <v>8</v>
      </c>
      <c r="C33" s="742">
        <f>Gen!V38</f>
        <v>0.39777344837183415</v>
      </c>
      <c r="D33" s="132">
        <f>Gen!T38</f>
        <v>1429.2</v>
      </c>
      <c r="E33" s="132">
        <f>Gen!AK38</f>
        <v>0</v>
      </c>
      <c r="F33" s="132">
        <f>Gen!AT38</f>
        <v>0</v>
      </c>
      <c r="G33" s="133">
        <f>'Utility report '!AC33</f>
        <v>66</v>
      </c>
      <c r="H33" s="133">
        <f>'Utility report '!AE33</f>
        <v>61</v>
      </c>
      <c r="I33" s="708">
        <f>'Water-Meter'!E33</f>
        <v>64</v>
      </c>
      <c r="J33" s="134">
        <f>'Lpg (2)'!B37</f>
        <v>17</v>
      </c>
      <c r="K33" s="134">
        <f>'Lpg (2)'!C37</f>
        <v>85</v>
      </c>
      <c r="L33" s="134">
        <f>'Lpg (2)'!D37</f>
        <v>85</v>
      </c>
      <c r="M33" s="6">
        <f>'Lpg (2)'!G37</f>
        <v>116.07200000002049</v>
      </c>
      <c r="N33" s="131">
        <f t="shared" si="4"/>
        <v>2000.8799999999999</v>
      </c>
      <c r="O33" s="131">
        <f t="shared" si="4"/>
        <v>0</v>
      </c>
      <c r="P33" s="130">
        <f>('Lpg (2)'!G37)*2.38</f>
        <v>276.25136000004875</v>
      </c>
      <c r="Q33" s="131">
        <f t="shared" si="1"/>
        <v>2277.1313600000485</v>
      </c>
      <c r="R33" s="131">
        <f t="shared" si="2"/>
        <v>250.10999999999999</v>
      </c>
      <c r="S33" s="363">
        <f t="shared" si="5"/>
        <v>284.64142000000606</v>
      </c>
    </row>
    <row r="34" spans="1:19" ht="14.25" x14ac:dyDescent="0.2">
      <c r="A34" s="362">
        <f>Gen!B39</f>
        <v>44590</v>
      </c>
      <c r="B34" s="336">
        <f>'Utility report '!B34</f>
        <v>8</v>
      </c>
      <c r="C34" s="742">
        <f>Gen!V39</f>
        <v>0.39403455001393145</v>
      </c>
      <c r="D34" s="132">
        <f>Gen!T39</f>
        <v>1414.19</v>
      </c>
      <c r="E34" s="132">
        <f>Gen!AK39</f>
        <v>48.59</v>
      </c>
      <c r="F34" s="132">
        <f>Gen!AT39</f>
        <v>0</v>
      </c>
      <c r="G34" s="133">
        <f>'Utility report '!AC34</f>
        <v>135</v>
      </c>
      <c r="H34" s="133">
        <f>'Utility report '!AE34</f>
        <v>67</v>
      </c>
      <c r="I34" s="708">
        <f>'Water-Meter'!E34</f>
        <v>80</v>
      </c>
      <c r="J34" s="134">
        <f>'Lpg (2)'!B38</f>
        <v>15</v>
      </c>
      <c r="K34" s="134">
        <f>'Lpg (2)'!C38</f>
        <v>85</v>
      </c>
      <c r="L34" s="134">
        <f>'Lpg (2)'!D38</f>
        <v>85</v>
      </c>
      <c r="M34" s="6">
        <f>'Lpg (2)'!G38</f>
        <v>112.81599999999744</v>
      </c>
      <c r="N34" s="131">
        <f t="shared" si="4"/>
        <v>1979.866</v>
      </c>
      <c r="O34" s="131">
        <f t="shared" si="4"/>
        <v>68.025999999999996</v>
      </c>
      <c r="P34" s="130">
        <f>('Lpg (2)'!G38)*2.38</f>
        <v>268.5020799999939</v>
      </c>
      <c r="Q34" s="131">
        <f t="shared" si="1"/>
        <v>2316.3940799999941</v>
      </c>
      <c r="R34" s="131">
        <f t="shared" si="2"/>
        <v>247.48325</v>
      </c>
      <c r="S34" s="363">
        <f t="shared" si="5"/>
        <v>289.54925999999926</v>
      </c>
    </row>
    <row r="35" spans="1:19" ht="14.25" x14ac:dyDescent="0.2">
      <c r="A35" s="362">
        <f>Gen!B40</f>
        <v>44591</v>
      </c>
      <c r="B35" s="336">
        <f>'Utility report '!B35</f>
        <v>6</v>
      </c>
      <c r="C35" s="742">
        <f>Gen!V40</f>
        <v>0.37674685314685319</v>
      </c>
      <c r="D35" s="132">
        <f>Gen!T40</f>
        <v>1346.8700000000001</v>
      </c>
      <c r="E35" s="132">
        <f>Gen!AK40</f>
        <v>96</v>
      </c>
      <c r="F35" s="132">
        <f>Gen!AT40</f>
        <v>0</v>
      </c>
      <c r="G35" s="133">
        <f>'Utility report '!AC35</f>
        <v>11</v>
      </c>
      <c r="H35" s="133">
        <f>'Utility report '!AE35</f>
        <v>68</v>
      </c>
      <c r="I35" s="708">
        <f>'Water-Meter'!E35</f>
        <v>110</v>
      </c>
      <c r="J35" s="134">
        <f>'Lpg (2)'!B39</f>
        <v>11</v>
      </c>
      <c r="K35" s="134">
        <f>'Lpg (2)'!C39</f>
        <v>85</v>
      </c>
      <c r="L35" s="134">
        <f>'Lpg (2)'!D39</f>
        <v>85</v>
      </c>
      <c r="M35" s="6">
        <f>'Lpg (2)'!G39</f>
        <v>103.79599999998464</v>
      </c>
      <c r="N35" s="131">
        <f t="shared" si="4"/>
        <v>1885.6179999999999</v>
      </c>
      <c r="O35" s="131">
        <f t="shared" si="4"/>
        <v>134.39999999999998</v>
      </c>
      <c r="P35" s="130">
        <f>('Lpg (2)'!G39)*2.38</f>
        <v>247.03447999996345</v>
      </c>
      <c r="Q35" s="131">
        <f t="shared" si="1"/>
        <v>2267.0524799999635</v>
      </c>
      <c r="R35" s="131">
        <f t="shared" si="2"/>
        <v>314.26966666666664</v>
      </c>
      <c r="S35" s="363">
        <f t="shared" si="5"/>
        <v>377.84207999999393</v>
      </c>
    </row>
    <row r="36" spans="1:19" ht="14.25" x14ac:dyDescent="0.2">
      <c r="A36" s="362">
        <f>Gen!B41</f>
        <v>44592</v>
      </c>
      <c r="B36" s="336">
        <f>'Utility report '!B36</f>
        <v>5</v>
      </c>
      <c r="C36" s="742">
        <f>Gen!V41</f>
        <v>0.39228606356968215</v>
      </c>
      <c r="D36" s="132">
        <f>Gen!T41</f>
        <v>1283.56</v>
      </c>
      <c r="E36" s="132">
        <f>Gen!AK41</f>
        <v>511.7</v>
      </c>
      <c r="F36" s="132">
        <f>Gen!AT41</f>
        <v>0</v>
      </c>
      <c r="G36" s="133">
        <f>'Utility report '!AC36</f>
        <v>135</v>
      </c>
      <c r="H36" s="133">
        <f>'Utility report '!AE36</f>
        <v>66</v>
      </c>
      <c r="I36" s="708">
        <f>'Water-Meter'!E36</f>
        <v>104</v>
      </c>
      <c r="J36" s="134">
        <f>'Lpg (2)'!B40</f>
        <v>9</v>
      </c>
      <c r="K36" s="134">
        <f>'Lpg (2)'!C40</f>
        <v>85</v>
      </c>
      <c r="L36" s="134">
        <f>'Lpg (2)'!D40</f>
        <v>85</v>
      </c>
      <c r="M36" s="6">
        <f>'Lpg (2)'!G40</f>
        <v>-4278.8239999999641</v>
      </c>
      <c r="N36" s="131">
        <f t="shared" si="4"/>
        <v>1796.9839999999997</v>
      </c>
      <c r="O36" s="131">
        <f t="shared" si="4"/>
        <v>716.37999999999988</v>
      </c>
      <c r="P36" s="130">
        <f>('Lpg (2)'!G40)*2.38</f>
        <v>-10183.601119999914</v>
      </c>
      <c r="Q36" s="131">
        <f t="shared" si="1"/>
        <v>-7670.2371199999143</v>
      </c>
      <c r="R36" s="131">
        <f t="shared" si="2"/>
        <v>359.39679999999993</v>
      </c>
      <c r="S36" s="363">
        <f t="shared" si="5"/>
        <v>-1534.0474239999828</v>
      </c>
    </row>
    <row r="37" spans="1:19" ht="14.25" x14ac:dyDescent="0.2">
      <c r="A37" s="362"/>
      <c r="B37" s="336">
        <f>'Summery Report'!E36</f>
        <v>0</v>
      </c>
      <c r="C37" s="742" t="e">
        <f>Gen!V42</f>
        <v>#DIV/0!</v>
      </c>
      <c r="D37" s="132">
        <f>Gen!T42</f>
        <v>0</v>
      </c>
      <c r="E37" s="132">
        <f>Gen!AK42</f>
        <v>0</v>
      </c>
      <c r="F37" s="132">
        <f>Gen!AT42</f>
        <v>0</v>
      </c>
      <c r="G37" s="133">
        <f>'Utility report '!AC37</f>
        <v>128</v>
      </c>
      <c r="H37" s="133">
        <f>'Utility report '!AE37</f>
        <v>64</v>
      </c>
      <c r="I37" s="246" t="str">
        <f>'Water-Meter'!E37</f>
        <v>0</v>
      </c>
      <c r="J37" s="134">
        <f>'Lpg (2)'!B41</f>
        <v>0</v>
      </c>
      <c r="K37" s="134">
        <f>'Lpg (2)'!C41</f>
        <v>0</v>
      </c>
      <c r="L37" s="134">
        <f>'Lpg (2)'!D41</f>
        <v>0</v>
      </c>
      <c r="M37" s="6">
        <f>'Lpg (2)'!G41</f>
        <v>-361186.45200000005</v>
      </c>
      <c r="N37" s="6"/>
      <c r="O37" s="6"/>
      <c r="P37" s="6"/>
      <c r="Q37" s="131">
        <f t="shared" si="1"/>
        <v>0</v>
      </c>
      <c r="R37" s="131" t="e">
        <f t="shared" si="2"/>
        <v>#DIV/0!</v>
      </c>
      <c r="S37" s="363" t="e">
        <f t="shared" si="5"/>
        <v>#DIV/0!</v>
      </c>
    </row>
    <row r="38" spans="1:19" ht="14.25" x14ac:dyDescent="0.2">
      <c r="A38" s="362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131" t="e">
        <f t="shared" si="2"/>
        <v>#DIV/0!</v>
      </c>
      <c r="S38" s="364"/>
    </row>
    <row r="39" spans="1:19" ht="13.5" thickBot="1" x14ac:dyDescent="0.25">
      <c r="A39" s="43" t="s">
        <v>122</v>
      </c>
      <c r="B39" s="365">
        <f>SUM(B7:B37)</f>
        <v>445</v>
      </c>
      <c r="C39" s="365">
        <f>SUM(C7:C35)</f>
        <v>11.865161294603983</v>
      </c>
      <c r="D39" s="365">
        <f>SUM(D7:D35)</f>
        <v>44050.239999999998</v>
      </c>
      <c r="E39" s="365">
        <f t="shared" ref="E39:S39" si="6">SUM(E7:E35)</f>
        <v>4545.5200000000004</v>
      </c>
      <c r="F39" s="365">
        <f t="shared" si="6"/>
        <v>0</v>
      </c>
      <c r="G39" s="365">
        <f t="shared" si="6"/>
        <v>2487</v>
      </c>
      <c r="H39" s="365">
        <f t="shared" si="6"/>
        <v>1193</v>
      </c>
      <c r="I39" s="365">
        <f t="shared" si="6"/>
        <v>2544</v>
      </c>
      <c r="J39" s="365">
        <f t="shared" si="6"/>
        <v>1217</v>
      </c>
      <c r="K39" s="365">
        <f t="shared" si="6"/>
        <v>2098</v>
      </c>
      <c r="L39" s="365">
        <f t="shared" si="6"/>
        <v>2125</v>
      </c>
      <c r="M39" s="365">
        <f t="shared" si="6"/>
        <v>3259.7399999999629</v>
      </c>
      <c r="N39" s="365">
        <f t="shared" si="6"/>
        <v>61670.335999999996</v>
      </c>
      <c r="O39" s="365">
        <f t="shared" si="6"/>
        <v>6363.7279999999982</v>
      </c>
      <c r="P39" s="365">
        <f t="shared" si="6"/>
        <v>7758.1811999999081</v>
      </c>
      <c r="Q39" s="365">
        <f t="shared" si="6"/>
        <v>75792.245199999918</v>
      </c>
      <c r="R39" s="365">
        <f t="shared" si="6"/>
        <v>4984.6291426621437</v>
      </c>
      <c r="S39" s="366">
        <f t="shared" si="6"/>
        <v>6146.3393708066405</v>
      </c>
    </row>
    <row r="42" spans="1:19" x14ac:dyDescent="0.2">
      <c r="I42" s="413"/>
    </row>
    <row r="43" spans="1:19" x14ac:dyDescent="0.2">
      <c r="I43" s="413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  <pageSetUpPr fitToPage="1"/>
  </sheetPr>
  <dimension ref="A1:AX127"/>
  <sheetViews>
    <sheetView topLeftCell="A16" zoomScaleNormal="100" workbookViewId="0">
      <pane xSplit="2" topLeftCell="C1" activePane="topRight" state="frozen"/>
      <selection pane="topRight" activeCell="C2" sqref="C2"/>
    </sheetView>
  </sheetViews>
  <sheetFormatPr defaultColWidth="9.140625" defaultRowHeight="11.25" x14ac:dyDescent="0.2"/>
  <cols>
    <col min="1" max="1" width="2.140625" style="158" hidden="1" customWidth="1"/>
    <col min="2" max="2" width="9" style="160" customWidth="1"/>
    <col min="3" max="3" width="10" style="160" customWidth="1"/>
    <col min="4" max="4" width="10.7109375" style="160" customWidth="1"/>
    <col min="5" max="5" width="9" style="160" customWidth="1"/>
    <col min="6" max="6" width="10.140625" style="160" customWidth="1"/>
    <col min="7" max="7" width="10.7109375" style="160" customWidth="1"/>
    <col min="8" max="8" width="11.28515625" style="160" customWidth="1"/>
    <col min="9" max="9" width="9.7109375" style="160" customWidth="1"/>
    <col min="10" max="10" width="8" style="160" customWidth="1"/>
    <col min="11" max="11" width="8.7109375" style="160" customWidth="1"/>
    <col min="12" max="12" width="8.85546875" style="160" bestFit="1" customWidth="1"/>
    <col min="13" max="13" width="10.140625" style="160" customWidth="1"/>
    <col min="14" max="14" width="10.85546875" style="160" customWidth="1"/>
    <col min="15" max="15" width="11.42578125" style="160" customWidth="1"/>
    <col min="16" max="16" width="10.140625" style="160" customWidth="1"/>
    <col min="17" max="17" width="11.140625" style="160" customWidth="1"/>
    <col min="18" max="18" width="10.7109375" style="160" customWidth="1"/>
    <col min="19" max="19" width="13.140625" style="160" customWidth="1"/>
    <col min="20" max="20" width="11.7109375" style="160" customWidth="1"/>
    <col min="21" max="21" width="13" style="160" customWidth="1"/>
    <col min="22" max="22" width="13.140625" style="160" customWidth="1"/>
    <col min="23" max="23" width="13.5703125" style="160" bestFit="1" customWidth="1"/>
    <col min="24" max="24" width="13" style="160" customWidth="1"/>
    <col min="25" max="25" width="15.7109375" style="160" customWidth="1"/>
    <col min="26" max="26" width="13.7109375" style="160" customWidth="1"/>
    <col min="27" max="27" width="12" style="160" bestFit="1" customWidth="1"/>
    <col min="28" max="28" width="9.5703125" style="160" bestFit="1" customWidth="1"/>
    <col min="29" max="29" width="8.28515625" style="160" bestFit="1" customWidth="1"/>
    <col min="30" max="30" width="9.42578125" style="160" bestFit="1" customWidth="1"/>
    <col min="31" max="31" width="8.140625" style="160" bestFit="1" customWidth="1"/>
    <col min="32" max="32" width="8" style="160" bestFit="1" customWidth="1"/>
    <col min="33" max="33" width="9.28515625" style="160" bestFit="1" customWidth="1"/>
    <col min="34" max="34" width="11.42578125" style="160" customWidth="1"/>
    <col min="35" max="35" width="9.85546875" style="160" bestFit="1" customWidth="1"/>
    <col min="36" max="36" width="9.5703125" style="160" bestFit="1" customWidth="1"/>
    <col min="37" max="37" width="12" style="160" bestFit="1" customWidth="1"/>
    <col min="38" max="43" width="9.140625" style="160" hidden="1" customWidth="1"/>
    <col min="44" max="44" width="5.42578125" style="160" hidden="1" customWidth="1"/>
    <col min="45" max="45" width="15" style="160" bestFit="1" customWidth="1"/>
    <col min="46" max="46" width="11.28515625" style="160" bestFit="1" customWidth="1"/>
    <col min="47" max="47" width="9.7109375" style="160" bestFit="1" customWidth="1"/>
    <col min="48" max="48" width="8" style="158" bestFit="1" customWidth="1"/>
    <col min="49" max="49" width="9.140625" style="158"/>
    <col min="50" max="50" width="12.140625" style="158" bestFit="1" customWidth="1"/>
    <col min="51" max="16384" width="9.140625" style="158"/>
  </cols>
  <sheetData>
    <row r="1" spans="2:50" x14ac:dyDescent="0.2">
      <c r="B1" s="926"/>
      <c r="C1" s="926"/>
    </row>
    <row r="2" spans="2:50" ht="26.25" x14ac:dyDescent="0.4">
      <c r="B2" s="926"/>
      <c r="C2" s="926"/>
      <c r="E2" s="927">
        <f>B11</f>
        <v>44562</v>
      </c>
      <c r="F2" s="927"/>
      <c r="G2" s="928"/>
      <c r="H2" s="928"/>
      <c r="I2" s="928"/>
      <c r="J2" s="928"/>
      <c r="K2" s="928"/>
      <c r="L2" s="928"/>
      <c r="M2" s="928"/>
      <c r="N2" s="928"/>
      <c r="O2" s="928"/>
      <c r="P2" s="928"/>
      <c r="Q2" s="928"/>
      <c r="R2" s="928"/>
      <c r="S2" s="928"/>
      <c r="T2" s="928"/>
      <c r="U2" s="928"/>
      <c r="V2" s="928"/>
      <c r="W2" s="928"/>
      <c r="X2" s="928"/>
      <c r="Y2" s="928"/>
      <c r="Z2" s="928"/>
      <c r="AA2" s="928"/>
      <c r="AB2" s="928"/>
      <c r="AC2" s="928"/>
      <c r="AD2" s="928"/>
      <c r="AE2" s="928"/>
      <c r="AF2" s="928"/>
      <c r="AG2" s="928"/>
      <c r="AH2" s="928"/>
      <c r="AI2" s="928"/>
      <c r="AJ2" s="928"/>
      <c r="AK2" s="928"/>
      <c r="AL2" s="928"/>
      <c r="AM2" s="928"/>
      <c r="AN2" s="928"/>
      <c r="AO2" s="928"/>
      <c r="AP2" s="928"/>
      <c r="AQ2" s="928"/>
      <c r="AR2" s="928"/>
      <c r="AS2" s="928"/>
      <c r="AT2" s="928"/>
      <c r="AU2" s="928"/>
    </row>
    <row r="3" spans="2:50" ht="12.75" customHeight="1" x14ac:dyDescent="0.2">
      <c r="B3" s="926"/>
      <c r="C3" s="926"/>
      <c r="I3" s="929"/>
      <c r="J3" s="929"/>
      <c r="K3" s="929"/>
      <c r="L3" s="159"/>
      <c r="R3" s="159"/>
    </row>
    <row r="4" spans="2:50" ht="11.25" customHeight="1" x14ac:dyDescent="0.2">
      <c r="B4" s="926"/>
      <c r="C4" s="926"/>
      <c r="I4" s="929"/>
      <c r="J4" s="929"/>
      <c r="K4" s="929"/>
      <c r="L4" s="159"/>
      <c r="R4" s="159"/>
    </row>
    <row r="5" spans="2:50" x14ac:dyDescent="0.2">
      <c r="B5" s="926"/>
      <c r="C5" s="926"/>
      <c r="W5" s="161"/>
      <c r="X5" s="161"/>
      <c r="Y5" s="161"/>
      <c r="Z5" s="161"/>
      <c r="AA5" s="161"/>
      <c r="AB5" s="161"/>
      <c r="AC5" s="161"/>
      <c r="AD5" s="161"/>
      <c r="AE5" s="161"/>
      <c r="AF5" s="161"/>
      <c r="AG5" s="161"/>
      <c r="AH5" s="161"/>
      <c r="AI5" s="161"/>
      <c r="AJ5" s="161"/>
      <c r="AK5" s="161"/>
      <c r="AL5" s="161"/>
      <c r="AM5" s="161"/>
      <c r="AN5" s="161"/>
      <c r="AO5" s="161"/>
      <c r="AP5" s="161"/>
      <c r="AQ5" s="161"/>
      <c r="AR5" s="161"/>
      <c r="AS5" s="161"/>
      <c r="AT5" s="161"/>
      <c r="AU5" s="161"/>
    </row>
    <row r="6" spans="2:50" ht="20.25" x14ac:dyDescent="0.3">
      <c r="B6" s="926"/>
      <c r="C6" s="926"/>
      <c r="D6" s="162"/>
      <c r="G6" s="930" t="s">
        <v>123</v>
      </c>
      <c r="H6" s="931"/>
      <c r="I6" s="931"/>
      <c r="J6" s="931"/>
      <c r="K6" s="931"/>
      <c r="L6" s="931"/>
      <c r="M6" s="932"/>
      <c r="W6" s="163">
        <v>1</v>
      </c>
      <c r="X6" s="163">
        <v>2</v>
      </c>
      <c r="Y6" s="163">
        <v>3</v>
      </c>
      <c r="Z6" s="163">
        <v>4</v>
      </c>
      <c r="AA6" s="163">
        <v>5</v>
      </c>
      <c r="AB6" s="163">
        <v>6</v>
      </c>
      <c r="AC6" s="163">
        <v>7</v>
      </c>
      <c r="AD6" s="163">
        <v>8</v>
      </c>
      <c r="AE6" s="163">
        <v>9</v>
      </c>
      <c r="AF6" s="163">
        <v>10</v>
      </c>
      <c r="AG6" s="163">
        <v>11</v>
      </c>
      <c r="AH6" s="163"/>
      <c r="AI6" s="163"/>
      <c r="AJ6" s="163"/>
      <c r="AS6" s="163"/>
      <c r="AT6" s="656"/>
      <c r="AU6" s="657"/>
    </row>
    <row r="7" spans="2:50" ht="19.5" customHeight="1" thickBot="1" x14ac:dyDescent="0.35">
      <c r="D7" s="164"/>
      <c r="E7" s="164"/>
      <c r="F7" s="164"/>
      <c r="G7" s="933" t="s">
        <v>124</v>
      </c>
      <c r="H7" s="934"/>
      <c r="I7" s="934"/>
      <c r="J7" s="934"/>
      <c r="K7" s="934"/>
      <c r="L7" s="934"/>
      <c r="M7" s="935"/>
      <c r="N7" s="936" t="s">
        <v>125</v>
      </c>
      <c r="O7" s="937"/>
      <c r="P7" s="937"/>
      <c r="Q7" s="937"/>
      <c r="R7" s="937"/>
      <c r="S7" s="938"/>
      <c r="T7" s="287"/>
      <c r="U7" s="288"/>
      <c r="V7" s="289"/>
      <c r="W7" s="290" t="s">
        <v>126</v>
      </c>
      <c r="X7" s="291" t="s">
        <v>126</v>
      </c>
      <c r="Y7" s="291" t="s">
        <v>127</v>
      </c>
      <c r="Z7" s="291" t="s">
        <v>128</v>
      </c>
      <c r="AA7" s="291" t="s">
        <v>129</v>
      </c>
      <c r="AB7" s="291" t="s">
        <v>130</v>
      </c>
      <c r="AC7" s="291" t="s">
        <v>130</v>
      </c>
      <c r="AD7" s="292" t="s">
        <v>131</v>
      </c>
      <c r="AE7" s="291" t="s">
        <v>132</v>
      </c>
      <c r="AF7" s="291" t="s">
        <v>133</v>
      </c>
      <c r="AG7" s="293" t="s">
        <v>134</v>
      </c>
      <c r="AH7" s="294" t="s">
        <v>135</v>
      </c>
      <c r="AI7" s="291" t="s">
        <v>136</v>
      </c>
      <c r="AJ7" s="295" t="s">
        <v>137</v>
      </c>
      <c r="AK7" s="298" t="s">
        <v>138</v>
      </c>
      <c r="AL7" s="164"/>
      <c r="AM7" s="164"/>
      <c r="AN7" s="164"/>
      <c r="AO7" s="164"/>
      <c r="AP7" s="164"/>
      <c r="AQ7" s="164"/>
      <c r="AR7" s="164"/>
      <c r="AS7" s="165"/>
      <c r="AT7" s="658"/>
      <c r="AU7" s="659"/>
    </row>
    <row r="8" spans="2:50" s="845" customFormat="1" ht="30" customHeight="1" x14ac:dyDescent="0.2">
      <c r="B8" s="826" t="s">
        <v>31</v>
      </c>
      <c r="C8" s="844" t="s">
        <v>139</v>
      </c>
      <c r="D8" s="828" t="s">
        <v>140</v>
      </c>
      <c r="E8" s="827" t="s">
        <v>141</v>
      </c>
      <c r="F8" s="827" t="s">
        <v>142</v>
      </c>
      <c r="G8" s="828" t="s">
        <v>143</v>
      </c>
      <c r="H8" s="389">
        <v>1</v>
      </c>
      <c r="I8" s="302">
        <v>2</v>
      </c>
      <c r="J8" s="302">
        <v>3</v>
      </c>
      <c r="K8" s="302">
        <v>4</v>
      </c>
      <c r="L8" s="302">
        <v>5</v>
      </c>
      <c r="M8" s="303">
        <v>6</v>
      </c>
      <c r="N8" s="304">
        <v>1</v>
      </c>
      <c r="O8" s="305">
        <v>2</v>
      </c>
      <c r="P8" s="305">
        <v>3</v>
      </c>
      <c r="Q8" s="305">
        <v>4</v>
      </c>
      <c r="R8" s="305">
        <v>5</v>
      </c>
      <c r="S8" s="305">
        <v>6</v>
      </c>
      <c r="T8" s="829" t="s">
        <v>144</v>
      </c>
      <c r="U8" s="829" t="s">
        <v>145</v>
      </c>
      <c r="V8" s="830" t="s">
        <v>146</v>
      </c>
      <c r="W8" s="831" t="s">
        <v>147</v>
      </c>
      <c r="X8" s="832" t="s">
        <v>148</v>
      </c>
      <c r="Y8" s="832" t="s">
        <v>149</v>
      </c>
      <c r="Z8" s="833" t="s">
        <v>150</v>
      </c>
      <c r="AA8" s="833" t="s">
        <v>151</v>
      </c>
      <c r="AB8" s="833" t="s">
        <v>152</v>
      </c>
      <c r="AC8" s="832" t="s">
        <v>153</v>
      </c>
      <c r="AD8" s="834" t="s">
        <v>154</v>
      </c>
      <c r="AE8" s="832" t="s">
        <v>155</v>
      </c>
      <c r="AF8" s="832" t="s">
        <v>156</v>
      </c>
      <c r="AG8" s="832" t="s">
        <v>157</v>
      </c>
      <c r="AH8" s="835" t="s">
        <v>158</v>
      </c>
      <c r="AI8" s="836" t="s">
        <v>159</v>
      </c>
      <c r="AJ8" s="837" t="s">
        <v>159</v>
      </c>
      <c r="AK8" s="838"/>
      <c r="AL8" s="839"/>
      <c r="AM8" s="840"/>
      <c r="AN8" s="840"/>
      <c r="AO8" s="840"/>
      <c r="AP8" s="840"/>
      <c r="AQ8" s="841"/>
      <c r="AR8" s="842"/>
      <c r="AS8" s="843" t="s">
        <v>160</v>
      </c>
      <c r="AT8" s="843" t="s">
        <v>161</v>
      </c>
      <c r="AU8" s="842" t="s">
        <v>162</v>
      </c>
    </row>
    <row r="9" spans="2:50" ht="14.25" x14ac:dyDescent="0.3">
      <c r="B9" s="770"/>
      <c r="C9" s="770"/>
      <c r="D9" s="787">
        <v>39200.629999999997</v>
      </c>
      <c r="E9" s="771"/>
      <c r="F9" s="771"/>
      <c r="G9" s="174"/>
      <c r="H9" s="720"/>
      <c r="I9" s="440"/>
      <c r="J9" s="441"/>
      <c r="K9" s="442"/>
      <c r="L9" s="443"/>
      <c r="M9" s="444"/>
      <c r="N9" s="300"/>
      <c r="O9" s="301"/>
      <c r="P9" s="301"/>
      <c r="Q9" s="301"/>
      <c r="R9" s="301"/>
      <c r="S9" s="447"/>
      <c r="T9" s="452"/>
      <c r="U9" s="453"/>
      <c r="V9" s="454"/>
      <c r="W9" s="450"/>
      <c r="X9" s="169"/>
      <c r="Y9" s="296"/>
      <c r="Z9" s="296"/>
      <c r="AA9" s="296"/>
      <c r="AB9" s="169"/>
      <c r="AC9" s="167"/>
      <c r="AD9" s="169"/>
      <c r="AE9" s="170"/>
      <c r="AF9" s="170"/>
      <c r="AG9" s="171"/>
      <c r="AH9" s="167"/>
      <c r="AI9" s="169"/>
      <c r="AJ9" s="310"/>
      <c r="AK9" s="297"/>
      <c r="AL9" s="172"/>
      <c r="AM9" s="172"/>
      <c r="AN9" s="172"/>
      <c r="AO9" s="172"/>
      <c r="AP9" s="172"/>
      <c r="AQ9" s="172"/>
      <c r="AR9" s="172"/>
      <c r="AS9" s="299">
        <f t="shared" ref="AS9:AS43" si="0">SUM(AK9+T9)</f>
        <v>0</v>
      </c>
      <c r="AT9" s="190">
        <f t="shared" ref="AT9:AT23" si="1">AS9*AV9</f>
        <v>0</v>
      </c>
      <c r="AU9" s="173"/>
    </row>
    <row r="10" spans="2:50" ht="13.5" customHeight="1" x14ac:dyDescent="0.3">
      <c r="B10" s="772"/>
      <c r="C10" s="772"/>
      <c r="D10" s="773"/>
      <c r="E10" s="771"/>
      <c r="F10" s="774"/>
      <c r="G10" s="174"/>
      <c r="H10" s="765"/>
      <c r="I10" s="766"/>
      <c r="J10" s="175"/>
      <c r="K10" s="174"/>
      <c r="L10" s="174"/>
      <c r="M10" s="249"/>
      <c r="N10" s="248"/>
      <c r="O10" s="177"/>
      <c r="P10" s="176"/>
      <c r="Q10" s="176"/>
      <c r="R10" s="176"/>
      <c r="S10" s="448"/>
      <c r="T10" s="455"/>
      <c r="U10" s="187"/>
      <c r="V10" s="743"/>
      <c r="W10" s="181"/>
      <c r="X10" s="188"/>
      <c r="Y10" s="168"/>
      <c r="Z10" s="179"/>
      <c r="AA10" s="174"/>
      <c r="AB10" s="179"/>
      <c r="AC10" s="180"/>
      <c r="AD10" s="179"/>
      <c r="AE10" s="181"/>
      <c r="AF10" s="181"/>
      <c r="AG10" s="179"/>
      <c r="AH10" s="182"/>
      <c r="AI10" s="188"/>
      <c r="AJ10" s="310"/>
      <c r="AK10" s="227">
        <f t="shared" ref="AK10:AK44" si="2">SUM(W10:AJ10)</f>
        <v>0</v>
      </c>
      <c r="AL10" s="183"/>
      <c r="AM10" s="183"/>
      <c r="AN10" s="183"/>
      <c r="AO10" s="183"/>
      <c r="AP10" s="183"/>
      <c r="AQ10" s="183"/>
      <c r="AR10" s="184"/>
      <c r="AS10" s="185">
        <f t="shared" si="0"/>
        <v>0</v>
      </c>
      <c r="AT10" s="190">
        <f t="shared" si="1"/>
        <v>0</v>
      </c>
      <c r="AU10" s="234"/>
    </row>
    <row r="11" spans="2:50" ht="13.5" customHeight="1" x14ac:dyDescent="0.3">
      <c r="B11" s="775">
        <v>44562</v>
      </c>
      <c r="C11" s="776">
        <v>0.41560000000000002</v>
      </c>
      <c r="D11" s="777">
        <f>SUM(D9+E11)</f>
        <v>39200.629999999997</v>
      </c>
      <c r="E11" s="774"/>
      <c r="F11" s="774"/>
      <c r="H11" s="823">
        <v>775.54</v>
      </c>
      <c r="I11" s="824"/>
      <c r="J11" s="671"/>
      <c r="K11" s="168"/>
      <c r="L11" s="168">
        <v>511.49</v>
      </c>
      <c r="M11" s="672">
        <v>678.27</v>
      </c>
      <c r="N11" s="673">
        <v>1720</v>
      </c>
      <c r="O11" s="674"/>
      <c r="P11" s="674"/>
      <c r="Q11" s="674"/>
      <c r="R11" s="674">
        <v>1319</v>
      </c>
      <c r="S11" s="675">
        <v>1695</v>
      </c>
      <c r="T11" s="455">
        <f t="shared" ref="T11:T40" si="3">SUM(H11:M11)</f>
        <v>1965.3</v>
      </c>
      <c r="U11" s="187">
        <f t="shared" ref="U11:U44" si="4">SUM(N11:S11)</f>
        <v>4734</v>
      </c>
      <c r="V11" s="743">
        <f t="shared" ref="V11:V42" si="5">T11/U11</f>
        <v>0.41514575411913812</v>
      </c>
      <c r="W11" s="181"/>
      <c r="X11" s="188">
        <v>53.11</v>
      </c>
      <c r="Y11" s="168"/>
      <c r="Z11" s="188"/>
      <c r="AA11" s="174"/>
      <c r="AB11" s="223"/>
      <c r="AC11" s="188"/>
      <c r="AD11" s="188"/>
      <c r="AE11" s="188"/>
      <c r="AF11" s="188"/>
      <c r="AG11" s="188"/>
      <c r="AH11" s="188"/>
      <c r="AI11" s="188"/>
      <c r="AJ11" s="310">
        <v>267</v>
      </c>
      <c r="AK11" s="227">
        <f t="shared" si="2"/>
        <v>320.11</v>
      </c>
      <c r="AL11" s="189"/>
      <c r="AM11" s="189"/>
      <c r="AN11" s="189"/>
      <c r="AO11" s="189"/>
      <c r="AP11" s="189"/>
      <c r="AQ11" s="189"/>
      <c r="AR11" s="189"/>
      <c r="AS11" s="185">
        <f t="shared" si="0"/>
        <v>2285.41</v>
      </c>
      <c r="AT11" s="190">
        <f t="shared" si="1"/>
        <v>0</v>
      </c>
      <c r="AU11" s="234">
        <f t="shared" ref="AU11:AU43" si="6">D11</f>
        <v>39200.629999999997</v>
      </c>
      <c r="AX11" s="758">
        <f>AV11*T11</f>
        <v>0</v>
      </c>
    </row>
    <row r="12" spans="2:50" ht="13.5" customHeight="1" x14ac:dyDescent="0.3">
      <c r="B12" s="775">
        <v>44563</v>
      </c>
      <c r="C12" s="776">
        <v>0.53</v>
      </c>
      <c r="D12" s="777">
        <f t="shared" ref="D12:D43" si="7">SUM(D11-AS11+E12)</f>
        <v>36915.22</v>
      </c>
      <c r="E12" s="774"/>
      <c r="F12" s="774"/>
      <c r="G12" s="174"/>
      <c r="H12" s="823">
        <v>729.69</v>
      </c>
      <c r="I12" s="762"/>
      <c r="J12" s="671"/>
      <c r="K12" s="168">
        <v>524.01</v>
      </c>
      <c r="L12" s="168"/>
      <c r="M12" s="672">
        <v>673.38</v>
      </c>
      <c r="N12" s="673">
        <v>1664</v>
      </c>
      <c r="O12" s="674"/>
      <c r="P12" s="674"/>
      <c r="Q12" s="674">
        <v>1286</v>
      </c>
      <c r="R12" s="676"/>
      <c r="S12" s="675">
        <v>1613</v>
      </c>
      <c r="T12" s="455">
        <f t="shared" si="3"/>
        <v>1927.08</v>
      </c>
      <c r="U12" s="187">
        <f t="shared" si="4"/>
        <v>4563</v>
      </c>
      <c r="V12" s="743">
        <f t="shared" si="5"/>
        <v>0.42232741617357</v>
      </c>
      <c r="W12" s="181"/>
      <c r="X12" s="188">
        <v>24.03</v>
      </c>
      <c r="Y12" s="450"/>
      <c r="Z12" s="188"/>
      <c r="AA12" s="174">
        <v>24.28</v>
      </c>
      <c r="AB12" s="223"/>
      <c r="AC12" s="188"/>
      <c r="AD12" s="188"/>
      <c r="AE12" s="188"/>
      <c r="AF12" s="188"/>
      <c r="AG12" s="188"/>
      <c r="AH12" s="188"/>
      <c r="AI12" s="188"/>
      <c r="AJ12" s="310">
        <v>189</v>
      </c>
      <c r="AK12" s="227">
        <f>SUM(W12:AJ12)</f>
        <v>237.31</v>
      </c>
      <c r="AL12" s="183"/>
      <c r="AM12" s="183"/>
      <c r="AN12" s="183"/>
      <c r="AO12" s="183"/>
      <c r="AP12" s="183"/>
      <c r="AQ12" s="183"/>
      <c r="AR12" s="183"/>
      <c r="AS12" s="185">
        <f>SUM(AK12+T12)</f>
        <v>2164.39</v>
      </c>
      <c r="AT12" s="190">
        <f t="shared" si="1"/>
        <v>0</v>
      </c>
      <c r="AU12" s="234">
        <f t="shared" si="6"/>
        <v>36915.22</v>
      </c>
      <c r="AX12" s="758">
        <f t="shared" ref="AX12:AX40" si="8">AV12*T12</f>
        <v>0</v>
      </c>
    </row>
    <row r="13" spans="2:50" ht="13.5" customHeight="1" x14ac:dyDescent="0.3">
      <c r="B13" s="775">
        <v>44564</v>
      </c>
      <c r="C13" s="744">
        <v>0.36</v>
      </c>
      <c r="D13" s="777">
        <f t="shared" si="7"/>
        <v>34750.83</v>
      </c>
      <c r="E13" s="774"/>
      <c r="F13" s="774"/>
      <c r="G13" s="174"/>
      <c r="H13" s="823">
        <v>664.93</v>
      </c>
      <c r="I13" s="763"/>
      <c r="J13" s="191"/>
      <c r="K13" s="174">
        <v>541.77</v>
      </c>
      <c r="L13" s="168">
        <v>653.22</v>
      </c>
      <c r="M13" s="249"/>
      <c r="N13" s="248">
        <v>1679</v>
      </c>
      <c r="O13" s="176"/>
      <c r="P13" s="176"/>
      <c r="Q13" s="176">
        <v>1307</v>
      </c>
      <c r="R13" s="176">
        <v>1588</v>
      </c>
      <c r="S13" s="448"/>
      <c r="T13" s="455">
        <f t="shared" si="3"/>
        <v>1859.9199999999998</v>
      </c>
      <c r="U13" s="187">
        <f t="shared" si="4"/>
        <v>4574</v>
      </c>
      <c r="V13" s="743">
        <f t="shared" si="5"/>
        <v>0.40662877131613462</v>
      </c>
      <c r="W13" s="181"/>
      <c r="X13" s="188"/>
      <c r="Y13" s="168"/>
      <c r="Z13" s="188"/>
      <c r="AA13" s="174"/>
      <c r="AB13" s="223"/>
      <c r="AC13" s="188"/>
      <c r="AD13" s="188"/>
      <c r="AE13" s="188"/>
      <c r="AF13" s="188"/>
      <c r="AG13" s="188"/>
      <c r="AH13" s="188"/>
      <c r="AI13" s="188">
        <v>149</v>
      </c>
      <c r="AJ13" s="310">
        <v>82</v>
      </c>
      <c r="AK13" s="227">
        <f>SUM(W13:AJ13)</f>
        <v>231</v>
      </c>
      <c r="AL13" s="192"/>
      <c r="AM13" s="192"/>
      <c r="AN13" s="192"/>
      <c r="AO13" s="192"/>
      <c r="AP13" s="192"/>
      <c r="AQ13" s="192"/>
      <c r="AR13" s="192"/>
      <c r="AS13" s="185">
        <f t="shared" si="0"/>
        <v>2090.92</v>
      </c>
      <c r="AT13" s="190">
        <f t="shared" si="1"/>
        <v>0</v>
      </c>
      <c r="AU13" s="234">
        <f t="shared" si="6"/>
        <v>34750.83</v>
      </c>
      <c r="AX13" s="758">
        <f t="shared" si="8"/>
        <v>0</v>
      </c>
    </row>
    <row r="14" spans="2:50" ht="13.5" customHeight="1" x14ac:dyDescent="0.3">
      <c r="B14" s="775">
        <v>44565</v>
      </c>
      <c r="C14" s="744">
        <v>0.35</v>
      </c>
      <c r="D14" s="777">
        <f t="shared" si="7"/>
        <v>32659.910000000003</v>
      </c>
      <c r="E14" s="774"/>
      <c r="F14" s="774"/>
      <c r="G14" s="174"/>
      <c r="H14" s="823">
        <v>676.52</v>
      </c>
      <c r="I14" s="763"/>
      <c r="J14" s="191"/>
      <c r="K14" s="174"/>
      <c r="L14" s="168">
        <v>548.16</v>
      </c>
      <c r="M14" s="249">
        <v>665.02</v>
      </c>
      <c r="N14" s="248">
        <v>1665</v>
      </c>
      <c r="O14" s="176"/>
      <c r="P14" s="176"/>
      <c r="Q14" s="176"/>
      <c r="R14" s="176">
        <v>1226</v>
      </c>
      <c r="S14" s="448">
        <v>1455</v>
      </c>
      <c r="T14" s="455">
        <f t="shared" si="3"/>
        <v>1889.6999999999998</v>
      </c>
      <c r="U14" s="187">
        <f t="shared" si="4"/>
        <v>4346</v>
      </c>
      <c r="V14" s="743">
        <f t="shared" si="5"/>
        <v>0.43481362172112281</v>
      </c>
      <c r="W14" s="181"/>
      <c r="X14" s="188"/>
      <c r="Y14" s="168"/>
      <c r="Z14" s="188"/>
      <c r="AA14" s="174">
        <v>22.48</v>
      </c>
      <c r="AB14" s="223"/>
      <c r="AC14" s="188"/>
      <c r="AD14" s="188"/>
      <c r="AE14" s="188"/>
      <c r="AF14" s="188"/>
      <c r="AG14" s="188"/>
      <c r="AH14" s="188"/>
      <c r="AI14" s="188"/>
      <c r="AJ14" s="310">
        <v>225</v>
      </c>
      <c r="AK14" s="227">
        <f t="shared" si="2"/>
        <v>247.48</v>
      </c>
      <c r="AL14" s="189"/>
      <c r="AM14" s="189"/>
      <c r="AN14" s="189"/>
      <c r="AO14" s="189"/>
      <c r="AP14" s="189"/>
      <c r="AQ14" s="189"/>
      <c r="AR14" s="189"/>
      <c r="AS14" s="185">
        <f t="shared" si="0"/>
        <v>2137.1799999999998</v>
      </c>
      <c r="AT14" s="190">
        <f t="shared" si="1"/>
        <v>0</v>
      </c>
      <c r="AU14" s="234">
        <f>D14</f>
        <v>32659.910000000003</v>
      </c>
      <c r="AX14" s="758">
        <f t="shared" si="8"/>
        <v>0</v>
      </c>
    </row>
    <row r="15" spans="2:50" ht="13.5" customHeight="1" x14ac:dyDescent="0.3">
      <c r="B15" s="775">
        <v>44566</v>
      </c>
      <c r="C15" s="744">
        <v>0.26</v>
      </c>
      <c r="D15" s="777">
        <f t="shared" si="7"/>
        <v>30522.730000000003</v>
      </c>
      <c r="E15" s="774"/>
      <c r="F15" s="774"/>
      <c r="G15" s="174"/>
      <c r="H15" s="823">
        <v>717.82</v>
      </c>
      <c r="I15" s="763"/>
      <c r="J15" s="191"/>
      <c r="K15" s="174"/>
      <c r="L15" s="168">
        <v>348.48</v>
      </c>
      <c r="M15" s="249">
        <v>650.09</v>
      </c>
      <c r="N15" s="248">
        <v>1620</v>
      </c>
      <c r="O15" s="176"/>
      <c r="P15" s="176"/>
      <c r="Q15" s="176"/>
      <c r="R15" s="176">
        <v>889</v>
      </c>
      <c r="S15" s="448">
        <v>1460</v>
      </c>
      <c r="T15" s="455">
        <f t="shared" si="3"/>
        <v>1716.3900000000003</v>
      </c>
      <c r="U15" s="187">
        <f t="shared" si="4"/>
        <v>3969</v>
      </c>
      <c r="V15" s="743">
        <f t="shared" si="5"/>
        <v>0.43244897959183681</v>
      </c>
      <c r="W15" s="181"/>
      <c r="X15" s="188"/>
      <c r="Y15" s="168"/>
      <c r="Z15" s="188"/>
      <c r="AA15" s="174"/>
      <c r="AB15" s="223"/>
      <c r="AC15" s="188"/>
      <c r="AD15" s="188"/>
      <c r="AE15" s="188"/>
      <c r="AF15" s="188"/>
      <c r="AG15" s="188"/>
      <c r="AH15" s="188"/>
      <c r="AI15" s="188"/>
      <c r="AJ15" s="310">
        <v>110</v>
      </c>
      <c r="AK15" s="227">
        <f>SUM(W15:AJ15)</f>
        <v>110</v>
      </c>
      <c r="AL15" s="189"/>
      <c r="AM15" s="189"/>
      <c r="AN15" s="189"/>
      <c r="AO15" s="189"/>
      <c r="AP15" s="189"/>
      <c r="AQ15" s="189"/>
      <c r="AR15" s="189"/>
      <c r="AS15" s="185">
        <f t="shared" si="0"/>
        <v>1826.3900000000003</v>
      </c>
      <c r="AT15" s="190">
        <f t="shared" si="1"/>
        <v>0</v>
      </c>
      <c r="AU15" s="234">
        <f t="shared" si="6"/>
        <v>30522.730000000003</v>
      </c>
      <c r="AX15" s="758">
        <f t="shared" si="8"/>
        <v>0</v>
      </c>
    </row>
    <row r="16" spans="2:50" ht="13.5" customHeight="1" x14ac:dyDescent="0.3">
      <c r="B16" s="775">
        <v>44567</v>
      </c>
      <c r="C16" s="744">
        <v>0.31</v>
      </c>
      <c r="D16" s="777">
        <f>SUM(D15-AS15+E16)</f>
        <v>28696.340000000004</v>
      </c>
      <c r="E16" s="774"/>
      <c r="F16" s="774"/>
      <c r="G16" s="174"/>
      <c r="H16" s="823">
        <v>533.32000000000005</v>
      </c>
      <c r="I16" s="763"/>
      <c r="J16" s="191"/>
      <c r="K16" s="174">
        <v>642.04</v>
      </c>
      <c r="L16" s="168"/>
      <c r="M16" s="249">
        <v>653.79</v>
      </c>
      <c r="N16" s="248">
        <v>1341</v>
      </c>
      <c r="O16" s="176"/>
      <c r="P16" s="176"/>
      <c r="Q16" s="176">
        <v>1524</v>
      </c>
      <c r="R16" s="176"/>
      <c r="S16" s="448">
        <v>1460</v>
      </c>
      <c r="T16" s="455">
        <f t="shared" si="3"/>
        <v>1829.15</v>
      </c>
      <c r="U16" s="187">
        <f t="shared" si="4"/>
        <v>4325</v>
      </c>
      <c r="V16" s="743">
        <f t="shared" si="5"/>
        <v>0.42292485549132952</v>
      </c>
      <c r="W16" s="181"/>
      <c r="X16" s="188"/>
      <c r="Y16" s="168">
        <v>26.62</v>
      </c>
      <c r="Z16" s="188"/>
      <c r="AA16" s="174">
        <v>64.42</v>
      </c>
      <c r="AB16" s="223"/>
      <c r="AC16" s="188"/>
      <c r="AD16" s="188"/>
      <c r="AE16" s="188"/>
      <c r="AF16" s="188"/>
      <c r="AG16" s="188"/>
      <c r="AH16" s="188"/>
      <c r="AI16" s="188">
        <v>125</v>
      </c>
      <c r="AJ16" s="160">
        <v>83</v>
      </c>
      <c r="AK16" s="227">
        <f t="shared" si="2"/>
        <v>299.04000000000002</v>
      </c>
      <c r="AL16" s="189"/>
      <c r="AM16" s="189"/>
      <c r="AN16" s="189"/>
      <c r="AO16" s="189"/>
      <c r="AP16" s="189"/>
      <c r="AQ16" s="189"/>
      <c r="AR16" s="189"/>
      <c r="AS16" s="185">
        <f t="shared" si="0"/>
        <v>2128.19</v>
      </c>
      <c r="AT16" s="190">
        <f t="shared" si="1"/>
        <v>0</v>
      </c>
      <c r="AU16" s="234">
        <f t="shared" si="6"/>
        <v>28696.340000000004</v>
      </c>
      <c r="AX16" s="758">
        <f t="shared" si="8"/>
        <v>0</v>
      </c>
    </row>
    <row r="17" spans="2:50" ht="13.5" customHeight="1" x14ac:dyDescent="0.3">
      <c r="B17" s="775">
        <v>44568</v>
      </c>
      <c r="C17" s="744">
        <v>0.24679999999999999</v>
      </c>
      <c r="D17" s="777">
        <f>SUM(D16-AS16+E17)</f>
        <v>26568.150000000005</v>
      </c>
      <c r="E17" s="774"/>
      <c r="F17" s="774">
        <v>18000</v>
      </c>
      <c r="G17" s="778" t="s">
        <v>163</v>
      </c>
      <c r="H17" s="823"/>
      <c r="I17" s="763"/>
      <c r="J17" s="191"/>
      <c r="K17" s="174">
        <v>599.58000000000004</v>
      </c>
      <c r="L17" s="174">
        <v>403.81</v>
      </c>
      <c r="M17" s="249">
        <v>862.96</v>
      </c>
      <c r="N17" s="248"/>
      <c r="O17" s="176"/>
      <c r="P17" s="176"/>
      <c r="Q17" s="176">
        <v>1400</v>
      </c>
      <c r="R17" s="176">
        <v>957</v>
      </c>
      <c r="S17" s="448">
        <v>2087</v>
      </c>
      <c r="T17" s="455">
        <f t="shared" si="3"/>
        <v>1866.3500000000001</v>
      </c>
      <c r="U17" s="187">
        <f t="shared" si="4"/>
        <v>4444</v>
      </c>
      <c r="V17" s="743">
        <f t="shared" si="5"/>
        <v>0.4199707470747075</v>
      </c>
      <c r="W17" s="181"/>
      <c r="X17" s="188"/>
      <c r="Y17" s="168"/>
      <c r="Z17" s="188"/>
      <c r="AA17" s="174"/>
      <c r="AB17" s="223"/>
      <c r="AC17" s="188"/>
      <c r="AD17" s="188"/>
      <c r="AE17" s="188"/>
      <c r="AF17" s="188"/>
      <c r="AG17" s="188"/>
      <c r="AH17" s="188"/>
      <c r="AI17" s="188">
        <v>107</v>
      </c>
      <c r="AJ17" s="310">
        <v>26</v>
      </c>
      <c r="AK17" s="227">
        <f t="shared" si="2"/>
        <v>133</v>
      </c>
      <c r="AL17" s="189"/>
      <c r="AM17" s="189"/>
      <c r="AN17" s="189"/>
      <c r="AO17" s="189"/>
      <c r="AP17" s="189"/>
      <c r="AQ17" s="189"/>
      <c r="AR17" s="189"/>
      <c r="AS17" s="185">
        <f t="shared" si="0"/>
        <v>1999.3500000000001</v>
      </c>
      <c r="AT17" s="190">
        <f t="shared" si="1"/>
        <v>0</v>
      </c>
      <c r="AU17" s="234">
        <f t="shared" si="6"/>
        <v>26568.150000000005</v>
      </c>
      <c r="AX17" s="758">
        <f t="shared" si="8"/>
        <v>0</v>
      </c>
    </row>
    <row r="18" spans="2:50" ht="13.5" customHeight="1" x14ac:dyDescent="0.3">
      <c r="B18" s="775">
        <v>44569</v>
      </c>
      <c r="C18" s="744">
        <v>0.23</v>
      </c>
      <c r="D18" s="777">
        <f t="shared" si="7"/>
        <v>24568.800000000007</v>
      </c>
      <c r="E18" s="774"/>
      <c r="F18" s="774"/>
      <c r="G18" s="174"/>
      <c r="H18" s="823">
        <v>666.2</v>
      </c>
      <c r="I18" s="763"/>
      <c r="J18" s="191"/>
      <c r="K18" s="174">
        <v>670.74</v>
      </c>
      <c r="L18" s="160">
        <v>430.3</v>
      </c>
      <c r="M18" s="759"/>
      <c r="N18" s="248">
        <v>1591</v>
      </c>
      <c r="O18" s="176"/>
      <c r="P18" s="176"/>
      <c r="Q18" s="176">
        <v>1585</v>
      </c>
      <c r="R18" s="176">
        <v>1115</v>
      </c>
      <c r="S18" s="176"/>
      <c r="T18" s="455">
        <f t="shared" si="3"/>
        <v>1767.24</v>
      </c>
      <c r="U18" s="187">
        <f>SUM(N18:S18)</f>
        <v>4291</v>
      </c>
      <c r="V18" s="743">
        <f t="shared" si="5"/>
        <v>0.41184805406665115</v>
      </c>
      <c r="W18" s="181"/>
      <c r="X18" s="188"/>
      <c r="Y18" s="168">
        <v>34.47</v>
      </c>
      <c r="Z18" s="188"/>
      <c r="AA18" s="174"/>
      <c r="AB18" s="223"/>
      <c r="AC18" s="188"/>
      <c r="AD18" s="188"/>
      <c r="AE18" s="188"/>
      <c r="AF18" s="188"/>
      <c r="AG18" s="188"/>
      <c r="AH18" s="188"/>
      <c r="AI18" s="188">
        <v>128</v>
      </c>
      <c r="AJ18" s="310"/>
      <c r="AK18" s="227">
        <f t="shared" si="2"/>
        <v>162.47</v>
      </c>
      <c r="AL18" s="189"/>
      <c r="AM18" s="189"/>
      <c r="AN18" s="189"/>
      <c r="AO18" s="189"/>
      <c r="AP18" s="189"/>
      <c r="AQ18" s="189"/>
      <c r="AR18" s="189"/>
      <c r="AS18" s="185">
        <f>SUM(AK18+T18)</f>
        <v>1929.71</v>
      </c>
      <c r="AT18" s="190">
        <f t="shared" si="1"/>
        <v>0</v>
      </c>
      <c r="AU18" s="234">
        <f t="shared" si="6"/>
        <v>24568.800000000007</v>
      </c>
      <c r="AX18" s="758">
        <f t="shared" si="8"/>
        <v>0</v>
      </c>
    </row>
    <row r="19" spans="2:50" ht="13.5" customHeight="1" x14ac:dyDescent="0.3">
      <c r="B19" s="775">
        <v>44570</v>
      </c>
      <c r="C19" s="744">
        <v>0.20780000000000001</v>
      </c>
      <c r="D19" s="777">
        <f t="shared" si="7"/>
        <v>40639.090000000011</v>
      </c>
      <c r="E19" s="774">
        <v>18000</v>
      </c>
      <c r="F19" s="774"/>
      <c r="G19" s="174"/>
      <c r="H19" s="823">
        <v>659.54</v>
      </c>
      <c r="I19" s="763"/>
      <c r="J19" s="191"/>
      <c r="K19" s="174"/>
      <c r="L19" s="174">
        <v>450</v>
      </c>
      <c r="M19" s="249">
        <v>736.51</v>
      </c>
      <c r="N19" s="248">
        <v>1587</v>
      </c>
      <c r="O19" s="176"/>
      <c r="P19" s="176"/>
      <c r="Q19" s="176"/>
      <c r="R19" s="160">
        <v>1074</v>
      </c>
      <c r="S19" s="448">
        <v>1675</v>
      </c>
      <c r="T19" s="455">
        <f t="shared" si="3"/>
        <v>1846.05</v>
      </c>
      <c r="U19" s="187">
        <f t="shared" si="4"/>
        <v>4336</v>
      </c>
      <c r="V19" s="743">
        <f t="shared" si="5"/>
        <v>0.42574953874538746</v>
      </c>
      <c r="W19" s="181">
        <v>43.86</v>
      </c>
      <c r="X19" s="188">
        <v>58.67</v>
      </c>
      <c r="Y19" s="168">
        <v>7.21</v>
      </c>
      <c r="Z19" s="188"/>
      <c r="AA19" s="174"/>
      <c r="AB19" s="223"/>
      <c r="AC19" s="188"/>
      <c r="AD19" s="188"/>
      <c r="AE19" s="188"/>
      <c r="AF19" s="188"/>
      <c r="AG19" s="188"/>
      <c r="AH19" s="188"/>
      <c r="AI19" s="188"/>
      <c r="AJ19" s="310"/>
      <c r="AK19" s="227">
        <f t="shared" si="2"/>
        <v>109.74</v>
      </c>
      <c r="AL19" s="189"/>
      <c r="AM19" s="184"/>
      <c r="AN19" s="189"/>
      <c r="AO19" s="193"/>
      <c r="AP19" s="193"/>
      <c r="AQ19" s="193"/>
      <c r="AR19" s="194"/>
      <c r="AS19" s="185">
        <f>SUM(AK19+T19)</f>
        <v>1955.79</v>
      </c>
      <c r="AT19" s="190">
        <f t="shared" si="1"/>
        <v>0</v>
      </c>
      <c r="AU19" s="234">
        <f t="shared" si="6"/>
        <v>40639.090000000011</v>
      </c>
      <c r="AX19" s="758">
        <f t="shared" si="8"/>
        <v>0</v>
      </c>
    </row>
    <row r="20" spans="2:50" ht="14.25" x14ac:dyDescent="0.3">
      <c r="B20" s="775">
        <v>44571</v>
      </c>
      <c r="C20" s="744">
        <v>0.17</v>
      </c>
      <c r="D20" s="777">
        <f t="shared" si="7"/>
        <v>38683.30000000001</v>
      </c>
      <c r="E20" s="774"/>
      <c r="F20" s="774"/>
      <c r="G20" s="174"/>
      <c r="H20" s="823"/>
      <c r="I20" s="764"/>
      <c r="J20" s="191"/>
      <c r="K20" s="174">
        <v>703.65</v>
      </c>
      <c r="L20" s="174">
        <v>384.33</v>
      </c>
      <c r="M20" s="418">
        <v>677.65</v>
      </c>
      <c r="N20" s="248"/>
      <c r="O20" s="176"/>
      <c r="P20" s="176"/>
      <c r="Q20" s="176">
        <v>1634</v>
      </c>
      <c r="R20" s="176">
        <v>1042</v>
      </c>
      <c r="S20" s="448">
        <v>1603</v>
      </c>
      <c r="T20" s="455">
        <f t="shared" si="3"/>
        <v>1765.63</v>
      </c>
      <c r="U20" s="187">
        <f t="shared" si="4"/>
        <v>4279</v>
      </c>
      <c r="V20" s="743">
        <f t="shared" si="5"/>
        <v>0.41262678195840152</v>
      </c>
      <c r="W20" s="181"/>
      <c r="X20" s="188"/>
      <c r="Y20" s="168"/>
      <c r="Z20" s="188">
        <v>79.83</v>
      </c>
      <c r="AA20" s="174"/>
      <c r="AB20" s="223"/>
      <c r="AC20" s="188"/>
      <c r="AD20" s="188"/>
      <c r="AE20" s="188"/>
      <c r="AF20" s="188"/>
      <c r="AG20" s="188"/>
      <c r="AH20" s="188"/>
      <c r="AI20" s="188"/>
      <c r="AJ20" s="310"/>
      <c r="AK20" s="227">
        <f t="shared" si="2"/>
        <v>79.83</v>
      </c>
      <c r="AL20" s="189"/>
      <c r="AM20" s="184"/>
      <c r="AN20" s="189"/>
      <c r="AO20" s="193"/>
      <c r="AP20" s="193"/>
      <c r="AQ20" s="193"/>
      <c r="AR20" s="194"/>
      <c r="AS20" s="185">
        <f t="shared" si="0"/>
        <v>1845.46</v>
      </c>
      <c r="AT20" s="190">
        <f t="shared" si="1"/>
        <v>0</v>
      </c>
      <c r="AU20" s="234">
        <f t="shared" si="6"/>
        <v>38683.30000000001</v>
      </c>
      <c r="AX20" s="758">
        <f t="shared" si="8"/>
        <v>0</v>
      </c>
    </row>
    <row r="21" spans="2:50" ht="14.25" x14ac:dyDescent="0.3">
      <c r="B21" s="775">
        <v>44572</v>
      </c>
      <c r="C21" s="744">
        <v>0.1</v>
      </c>
      <c r="D21" s="777">
        <f t="shared" si="7"/>
        <v>36837.840000000011</v>
      </c>
      <c r="E21" s="774"/>
      <c r="F21" s="774"/>
      <c r="G21" s="174"/>
      <c r="H21" s="823">
        <v>609.03</v>
      </c>
      <c r="I21" s="764"/>
      <c r="J21" s="191"/>
      <c r="K21" s="174">
        <v>615.9</v>
      </c>
      <c r="L21" s="174">
        <v>400.35</v>
      </c>
      <c r="M21" s="390"/>
      <c r="N21" s="248">
        <v>1462</v>
      </c>
      <c r="O21" s="248"/>
      <c r="P21" s="176"/>
      <c r="Q21" s="176">
        <v>1449</v>
      </c>
      <c r="R21" s="176">
        <v>951</v>
      </c>
      <c r="S21" s="448"/>
      <c r="T21" s="455">
        <f t="shared" si="3"/>
        <v>1625.2799999999997</v>
      </c>
      <c r="U21" s="187">
        <f t="shared" si="4"/>
        <v>3862</v>
      </c>
      <c r="V21" s="743">
        <f t="shared" si="5"/>
        <v>0.42083894355256335</v>
      </c>
      <c r="W21" s="181">
        <v>33.659999999999997</v>
      </c>
      <c r="X21" s="188"/>
      <c r="Y21" s="168">
        <v>49.8</v>
      </c>
      <c r="Z21" s="188"/>
      <c r="AA21" s="174"/>
      <c r="AB21" s="223"/>
      <c r="AC21" s="188"/>
      <c r="AD21" s="188"/>
      <c r="AE21" s="188"/>
      <c r="AF21" s="188"/>
      <c r="AG21" s="188"/>
      <c r="AH21" s="188"/>
      <c r="AI21" s="188">
        <v>303</v>
      </c>
      <c r="AJ21" s="310"/>
      <c r="AK21" s="227">
        <f t="shared" si="2"/>
        <v>386.46</v>
      </c>
      <c r="AL21" s="183"/>
      <c r="AM21" s="184"/>
      <c r="AN21" s="189"/>
      <c r="AO21" s="193"/>
      <c r="AP21" s="193"/>
      <c r="AQ21" s="193"/>
      <c r="AR21" s="194"/>
      <c r="AS21" s="185">
        <f>SUM(AK21+T21)</f>
        <v>2011.7399999999998</v>
      </c>
      <c r="AT21" s="190">
        <f t="shared" si="1"/>
        <v>0</v>
      </c>
      <c r="AU21" s="234">
        <f t="shared" si="6"/>
        <v>36837.840000000011</v>
      </c>
      <c r="AX21" s="758">
        <f t="shared" si="8"/>
        <v>0</v>
      </c>
    </row>
    <row r="22" spans="2:50" ht="14.25" x14ac:dyDescent="0.3">
      <c r="B22" s="775">
        <v>44573</v>
      </c>
      <c r="C22" s="744">
        <v>6.4899999999999999E-2</v>
      </c>
      <c r="D22" s="777">
        <f t="shared" si="7"/>
        <v>34826.100000000013</v>
      </c>
      <c r="E22" s="774"/>
      <c r="F22" s="774"/>
      <c r="G22" s="174"/>
      <c r="H22" s="823">
        <v>609.09</v>
      </c>
      <c r="I22" s="763"/>
      <c r="J22" s="191"/>
      <c r="K22" s="174"/>
      <c r="L22" s="174">
        <v>380.6</v>
      </c>
      <c r="M22" s="418">
        <v>610.08000000000004</v>
      </c>
      <c r="N22" s="248">
        <v>1445</v>
      </c>
      <c r="O22" s="248"/>
      <c r="P22" s="176"/>
      <c r="Q22" s="176"/>
      <c r="R22" s="176">
        <v>981</v>
      </c>
      <c r="S22" s="448">
        <v>1377</v>
      </c>
      <c r="T22" s="455">
        <f t="shared" si="3"/>
        <v>1599.77</v>
      </c>
      <c r="U22" s="187">
        <f t="shared" si="4"/>
        <v>3803</v>
      </c>
      <c r="V22" s="743">
        <f t="shared" si="5"/>
        <v>0.42066000525900604</v>
      </c>
      <c r="W22" s="181"/>
      <c r="X22" s="188"/>
      <c r="Y22" s="168"/>
      <c r="Z22" s="188"/>
      <c r="AA22" s="174"/>
      <c r="AB22" s="223"/>
      <c r="AC22" s="188"/>
      <c r="AD22" s="188"/>
      <c r="AE22" s="188"/>
      <c r="AF22" s="188"/>
      <c r="AG22" s="188"/>
      <c r="AH22" s="188"/>
      <c r="AI22" s="188"/>
      <c r="AJ22" s="310"/>
      <c r="AK22" s="227">
        <f t="shared" si="2"/>
        <v>0</v>
      </c>
      <c r="AL22" s="183"/>
      <c r="AM22" s="184"/>
      <c r="AN22" s="189"/>
      <c r="AO22" s="193"/>
      <c r="AP22" s="193"/>
      <c r="AQ22" s="193"/>
      <c r="AR22" s="194"/>
      <c r="AS22" s="185">
        <f t="shared" si="0"/>
        <v>1599.77</v>
      </c>
      <c r="AT22" s="190">
        <f t="shared" si="1"/>
        <v>0</v>
      </c>
      <c r="AU22" s="234">
        <f t="shared" si="6"/>
        <v>34826.100000000013</v>
      </c>
      <c r="AX22" s="758">
        <f t="shared" si="8"/>
        <v>0</v>
      </c>
    </row>
    <row r="23" spans="2:50" ht="13.5" customHeight="1" x14ac:dyDescent="0.3">
      <c r="B23" s="775">
        <v>44574</v>
      </c>
      <c r="C23" s="744">
        <v>0.13</v>
      </c>
      <c r="D23" s="777">
        <f t="shared" si="7"/>
        <v>33226.330000000016</v>
      </c>
      <c r="E23" s="774"/>
      <c r="F23" s="774"/>
      <c r="G23" s="174"/>
      <c r="H23" s="823"/>
      <c r="I23" s="764"/>
      <c r="J23" s="191"/>
      <c r="K23" s="174">
        <v>977.03</v>
      </c>
      <c r="L23" s="174">
        <v>530.26</v>
      </c>
      <c r="M23" s="418"/>
      <c r="N23" s="248"/>
      <c r="O23" s="176"/>
      <c r="P23" s="176"/>
      <c r="Q23" s="176"/>
      <c r="R23" s="176">
        <v>2558</v>
      </c>
      <c r="S23" s="448">
        <v>1090</v>
      </c>
      <c r="T23" s="455">
        <f t="shared" si="3"/>
        <v>1507.29</v>
      </c>
      <c r="U23" s="187">
        <f t="shared" si="4"/>
        <v>3648</v>
      </c>
      <c r="V23" s="743">
        <f t="shared" si="5"/>
        <v>0.41318256578947365</v>
      </c>
      <c r="W23" s="181"/>
      <c r="X23" s="188"/>
      <c r="Y23" s="168">
        <v>66.31</v>
      </c>
      <c r="Z23" s="188"/>
      <c r="AA23" s="174"/>
      <c r="AB23" s="223"/>
      <c r="AC23" s="188"/>
      <c r="AD23" s="188"/>
      <c r="AE23" s="188"/>
      <c r="AF23" s="188"/>
      <c r="AG23" s="188"/>
      <c r="AH23" s="188"/>
      <c r="AI23" s="188"/>
      <c r="AJ23" s="310"/>
      <c r="AK23" s="227">
        <f t="shared" si="2"/>
        <v>66.31</v>
      </c>
      <c r="AL23" s="183"/>
      <c r="AM23" s="183"/>
      <c r="AN23" s="183"/>
      <c r="AO23" s="183"/>
      <c r="AP23" s="183"/>
      <c r="AQ23" s="183"/>
      <c r="AR23" s="183"/>
      <c r="AS23" s="185">
        <f t="shared" si="0"/>
        <v>1573.6</v>
      </c>
      <c r="AT23" s="190">
        <f t="shared" si="1"/>
        <v>0</v>
      </c>
      <c r="AU23" s="234">
        <f t="shared" si="6"/>
        <v>33226.330000000016</v>
      </c>
      <c r="AX23" s="758">
        <f t="shared" si="8"/>
        <v>0</v>
      </c>
    </row>
    <row r="24" spans="2:50" ht="14.25" x14ac:dyDescent="0.3">
      <c r="B24" s="775">
        <v>44575</v>
      </c>
      <c r="C24" s="744">
        <v>0.18</v>
      </c>
      <c r="D24" s="777">
        <f t="shared" si="7"/>
        <v>31652.730000000018</v>
      </c>
      <c r="E24" s="774"/>
      <c r="F24" s="774"/>
      <c r="G24" s="174"/>
      <c r="H24" s="823">
        <v>385.12</v>
      </c>
      <c r="I24" s="763"/>
      <c r="J24" s="191"/>
      <c r="K24" s="174">
        <v>135.22</v>
      </c>
      <c r="L24" s="174"/>
      <c r="M24" s="418">
        <v>991.58</v>
      </c>
      <c r="N24" s="248">
        <v>969</v>
      </c>
      <c r="O24" s="248"/>
      <c r="P24" s="176"/>
      <c r="Q24" s="176">
        <v>227</v>
      </c>
      <c r="R24" s="176"/>
      <c r="S24" s="448">
        <v>2599</v>
      </c>
      <c r="T24" s="455">
        <f t="shared" si="3"/>
        <v>1511.92</v>
      </c>
      <c r="U24" s="187">
        <f t="shared" si="4"/>
        <v>3795</v>
      </c>
      <c r="V24" s="743">
        <f t="shared" si="5"/>
        <v>0.39839789196310937</v>
      </c>
      <c r="W24" s="181">
        <v>51.62</v>
      </c>
      <c r="X24" s="188"/>
      <c r="Y24" s="168"/>
      <c r="Z24" s="188"/>
      <c r="AA24" s="174"/>
      <c r="AB24" s="223"/>
      <c r="AC24" s="188"/>
      <c r="AD24" s="188"/>
      <c r="AE24" s="188"/>
      <c r="AF24" s="188"/>
      <c r="AG24" s="188">
        <v>111.46</v>
      </c>
      <c r="AH24" s="188"/>
      <c r="AI24" s="188">
        <v>125</v>
      </c>
      <c r="AJ24" s="310"/>
      <c r="AK24" s="227">
        <f t="shared" si="2"/>
        <v>288.08</v>
      </c>
      <c r="AL24" s="183"/>
      <c r="AM24" s="183"/>
      <c r="AN24" s="183"/>
      <c r="AO24" s="183"/>
      <c r="AP24" s="183"/>
      <c r="AQ24" s="183"/>
      <c r="AR24" s="183"/>
      <c r="AS24" s="185">
        <f>SUM(AK24+T24)</f>
        <v>1800</v>
      </c>
      <c r="AT24" s="190">
        <f t="shared" ref="AT24:AT44" si="9">AS24*AV24</f>
        <v>0</v>
      </c>
      <c r="AU24" s="234">
        <f t="shared" si="6"/>
        <v>31652.730000000018</v>
      </c>
      <c r="AX24" s="758">
        <f t="shared" si="8"/>
        <v>0</v>
      </c>
    </row>
    <row r="25" spans="2:50" ht="14.25" x14ac:dyDescent="0.3">
      <c r="B25" s="775">
        <v>44576</v>
      </c>
      <c r="C25" s="744">
        <v>0.16</v>
      </c>
      <c r="D25" s="777">
        <f t="shared" si="7"/>
        <v>29852.730000000018</v>
      </c>
      <c r="E25" s="774"/>
      <c r="F25" s="774"/>
      <c r="G25" s="174"/>
      <c r="H25" s="823"/>
      <c r="I25" s="764"/>
      <c r="J25" s="191"/>
      <c r="K25" s="174">
        <v>933.83</v>
      </c>
      <c r="L25" s="174">
        <v>508.17</v>
      </c>
      <c r="M25" s="418"/>
      <c r="N25" s="248"/>
      <c r="O25" s="176"/>
      <c r="P25" s="176"/>
      <c r="Q25" s="176">
        <v>2445</v>
      </c>
      <c r="R25" s="176">
        <v>1203</v>
      </c>
      <c r="S25" s="176"/>
      <c r="T25" s="455">
        <f t="shared" si="3"/>
        <v>1442</v>
      </c>
      <c r="U25" s="187">
        <f t="shared" si="4"/>
        <v>3648</v>
      </c>
      <c r="V25" s="743">
        <f t="shared" si="5"/>
        <v>0.39528508771929827</v>
      </c>
      <c r="W25" s="181"/>
      <c r="X25" s="188"/>
      <c r="Y25" s="168"/>
      <c r="Z25" s="188"/>
      <c r="AA25" s="174"/>
      <c r="AB25" s="223"/>
      <c r="AC25" s="188"/>
      <c r="AD25" s="188"/>
      <c r="AE25" s="188"/>
      <c r="AF25" s="188"/>
      <c r="AG25" s="188"/>
      <c r="AH25" s="188"/>
      <c r="AI25" s="188"/>
      <c r="AJ25" s="310"/>
      <c r="AK25" s="227">
        <f t="shared" si="2"/>
        <v>0</v>
      </c>
      <c r="AL25" s="183"/>
      <c r="AM25" s="183"/>
      <c r="AN25" s="183"/>
      <c r="AO25" s="183"/>
      <c r="AP25" s="183"/>
      <c r="AQ25" s="183"/>
      <c r="AR25" s="183"/>
      <c r="AS25" s="185">
        <f t="shared" si="0"/>
        <v>1442</v>
      </c>
      <c r="AT25" s="190">
        <f t="shared" si="9"/>
        <v>0</v>
      </c>
      <c r="AU25" s="234">
        <f t="shared" si="6"/>
        <v>29852.730000000018</v>
      </c>
      <c r="AX25" s="758">
        <f t="shared" si="8"/>
        <v>0</v>
      </c>
    </row>
    <row r="26" spans="2:50" ht="14.25" x14ac:dyDescent="0.3">
      <c r="B26" s="775">
        <v>44577</v>
      </c>
      <c r="C26" s="744">
        <v>0.18</v>
      </c>
      <c r="D26" s="777">
        <f t="shared" si="7"/>
        <v>28410.730000000018</v>
      </c>
      <c r="E26" s="774"/>
      <c r="F26" s="774"/>
      <c r="G26" s="174"/>
      <c r="H26" s="823">
        <v>538.66</v>
      </c>
      <c r="I26" s="764"/>
      <c r="J26" s="175"/>
      <c r="K26" s="174"/>
      <c r="L26" s="174"/>
      <c r="M26" s="418">
        <v>815.72</v>
      </c>
      <c r="N26" s="248">
        <v>1292</v>
      </c>
      <c r="O26" s="176"/>
      <c r="P26" s="176"/>
      <c r="Q26" s="176"/>
      <c r="R26" s="176"/>
      <c r="S26" s="448">
        <v>2101</v>
      </c>
      <c r="T26" s="455">
        <f t="shared" si="3"/>
        <v>1354.38</v>
      </c>
      <c r="U26" s="187">
        <f t="shared" si="4"/>
        <v>3393</v>
      </c>
      <c r="V26" s="743">
        <f t="shared" si="5"/>
        <v>0.39916887709991161</v>
      </c>
      <c r="W26" s="181"/>
      <c r="X26" s="188"/>
      <c r="Y26" s="168"/>
      <c r="Z26" s="188"/>
      <c r="AA26" s="188"/>
      <c r="AB26" s="223"/>
      <c r="AC26" s="188"/>
      <c r="AD26" s="188"/>
      <c r="AE26" s="188"/>
      <c r="AF26" s="188"/>
      <c r="AG26" s="188"/>
      <c r="AH26" s="188"/>
      <c r="AI26" s="188">
        <v>327</v>
      </c>
      <c r="AJ26" s="310">
        <v>120</v>
      </c>
      <c r="AK26" s="227">
        <f t="shared" si="2"/>
        <v>447</v>
      </c>
      <c r="AL26" s="183"/>
      <c r="AM26" s="183"/>
      <c r="AN26" s="183"/>
      <c r="AO26" s="183"/>
      <c r="AP26" s="183"/>
      <c r="AQ26" s="183"/>
      <c r="AR26" s="183"/>
      <c r="AS26" s="185">
        <f t="shared" si="0"/>
        <v>1801.38</v>
      </c>
      <c r="AT26" s="190">
        <f t="shared" si="9"/>
        <v>0</v>
      </c>
      <c r="AU26" s="234">
        <f t="shared" si="6"/>
        <v>28410.730000000018</v>
      </c>
      <c r="AX26" s="758">
        <f t="shared" si="8"/>
        <v>0</v>
      </c>
    </row>
    <row r="27" spans="2:50" ht="14.25" x14ac:dyDescent="0.3">
      <c r="B27" s="775">
        <v>44578</v>
      </c>
      <c r="C27" s="744">
        <v>0.09</v>
      </c>
      <c r="D27" s="777">
        <f>SUM(D26-AS26+E27)</f>
        <v>26609.350000000017</v>
      </c>
      <c r="E27" s="774"/>
      <c r="F27" s="774">
        <v>18000</v>
      </c>
      <c r="G27" s="778" t="s">
        <v>163</v>
      </c>
      <c r="H27" s="823"/>
      <c r="I27" s="764"/>
      <c r="J27" s="175"/>
      <c r="K27" s="174">
        <v>828.54</v>
      </c>
      <c r="L27" s="174">
        <v>391.93</v>
      </c>
      <c r="M27" s="418"/>
      <c r="N27" s="248"/>
      <c r="O27" s="176"/>
      <c r="P27" s="176"/>
      <c r="Q27" s="176">
        <v>2000</v>
      </c>
      <c r="R27" s="176">
        <v>977</v>
      </c>
      <c r="S27" s="448"/>
      <c r="T27" s="455">
        <f t="shared" si="3"/>
        <v>1220.47</v>
      </c>
      <c r="U27" s="187">
        <f t="shared" si="4"/>
        <v>2977</v>
      </c>
      <c r="V27" s="743">
        <f t="shared" si="5"/>
        <v>0.40996640913671484</v>
      </c>
      <c r="W27" s="181"/>
      <c r="X27" s="188"/>
      <c r="Y27" s="168"/>
      <c r="Z27" s="188"/>
      <c r="AA27" s="174"/>
      <c r="AB27" s="223"/>
      <c r="AC27" s="188"/>
      <c r="AD27" s="188"/>
      <c r="AE27" s="188"/>
      <c r="AF27" s="188"/>
      <c r="AG27" s="188"/>
      <c r="AH27" s="188"/>
      <c r="AI27" s="188"/>
      <c r="AJ27" s="310"/>
      <c r="AK27" s="227">
        <f t="shared" si="2"/>
        <v>0</v>
      </c>
      <c r="AL27" s="183"/>
      <c r="AM27" s="183"/>
      <c r="AN27" s="183"/>
      <c r="AO27" s="183"/>
      <c r="AP27" s="183"/>
      <c r="AQ27" s="183"/>
      <c r="AR27" s="183"/>
      <c r="AS27" s="185">
        <f t="shared" si="0"/>
        <v>1220.47</v>
      </c>
      <c r="AT27" s="190">
        <f t="shared" si="9"/>
        <v>0</v>
      </c>
      <c r="AU27" s="234">
        <f t="shared" si="6"/>
        <v>26609.350000000017</v>
      </c>
      <c r="AX27" s="758">
        <f t="shared" si="8"/>
        <v>0</v>
      </c>
    </row>
    <row r="28" spans="2:50" ht="14.25" x14ac:dyDescent="0.3">
      <c r="B28" s="775">
        <v>44579</v>
      </c>
      <c r="C28" s="744">
        <v>0.16</v>
      </c>
      <c r="D28" s="777">
        <f t="shared" si="7"/>
        <v>25388.880000000016</v>
      </c>
      <c r="E28" s="774"/>
      <c r="F28" s="774"/>
      <c r="G28" s="174"/>
      <c r="H28" s="823">
        <v>439.26</v>
      </c>
      <c r="I28" s="764"/>
      <c r="J28" s="175"/>
      <c r="L28" s="174"/>
      <c r="M28" s="418">
        <v>943.38</v>
      </c>
      <c r="N28" s="248">
        <v>1055</v>
      </c>
      <c r="O28" s="176"/>
      <c r="P28" s="176"/>
      <c r="Q28" s="176"/>
      <c r="R28" s="176"/>
      <c r="S28" s="448">
        <v>2388</v>
      </c>
      <c r="T28" s="455">
        <f t="shared" si="3"/>
        <v>1382.6399999999999</v>
      </c>
      <c r="U28" s="187">
        <f t="shared" si="4"/>
        <v>3443</v>
      </c>
      <c r="V28" s="743">
        <f t="shared" si="5"/>
        <v>0.40158001742666277</v>
      </c>
      <c r="W28" s="181">
        <v>43.17</v>
      </c>
      <c r="X28" s="188"/>
      <c r="Y28" s="168"/>
      <c r="Z28" s="188"/>
      <c r="AA28" s="174"/>
      <c r="AB28" s="223">
        <v>111.94</v>
      </c>
      <c r="AC28" s="188"/>
      <c r="AD28" s="188"/>
      <c r="AE28" s="188"/>
      <c r="AF28" s="188">
        <v>65.900000000000006</v>
      </c>
      <c r="AG28" s="188"/>
      <c r="AH28" s="188"/>
      <c r="AI28" s="188"/>
      <c r="AJ28" s="310"/>
      <c r="AK28" s="227">
        <f>SUM(W28:AJ28)</f>
        <v>221.01000000000002</v>
      </c>
      <c r="AL28" s="183"/>
      <c r="AM28" s="183"/>
      <c r="AN28" s="183"/>
      <c r="AO28" s="183"/>
      <c r="AP28" s="183"/>
      <c r="AQ28" s="183"/>
      <c r="AR28" s="183"/>
      <c r="AS28" s="185">
        <f t="shared" si="0"/>
        <v>1603.6499999999999</v>
      </c>
      <c r="AT28" s="190">
        <f t="shared" si="9"/>
        <v>0</v>
      </c>
      <c r="AU28" s="234">
        <f>D28</f>
        <v>25388.880000000016</v>
      </c>
      <c r="AX28" s="758">
        <f t="shared" si="8"/>
        <v>0</v>
      </c>
    </row>
    <row r="29" spans="2:50" ht="14.25" x14ac:dyDescent="0.3">
      <c r="B29" s="775">
        <v>44580</v>
      </c>
      <c r="C29" s="744">
        <v>0.18</v>
      </c>
      <c r="D29" s="777">
        <f t="shared" si="7"/>
        <v>23785.230000000014</v>
      </c>
      <c r="E29" s="774"/>
      <c r="F29" s="774"/>
      <c r="G29" s="174"/>
      <c r="H29" s="823"/>
      <c r="I29" s="764"/>
      <c r="J29" s="175"/>
      <c r="K29" s="174">
        <v>825.01</v>
      </c>
      <c r="L29" s="174">
        <v>427.7</v>
      </c>
      <c r="M29" s="418"/>
      <c r="N29" s="248"/>
      <c r="O29" s="176"/>
      <c r="P29" s="176"/>
      <c r="Q29" s="176">
        <v>1979</v>
      </c>
      <c r="R29" s="176">
        <v>1031</v>
      </c>
      <c r="S29" s="448"/>
      <c r="T29" s="455">
        <f t="shared" si="3"/>
        <v>1252.71</v>
      </c>
      <c r="U29" s="187">
        <f t="shared" si="4"/>
        <v>3010</v>
      </c>
      <c r="V29" s="743">
        <f t="shared" si="5"/>
        <v>0.4161827242524917</v>
      </c>
      <c r="W29" s="181">
        <v>84.95</v>
      </c>
      <c r="X29" s="188"/>
      <c r="Y29" s="168"/>
      <c r="Z29" s="188"/>
      <c r="AA29" s="174">
        <v>42.89</v>
      </c>
      <c r="AB29" s="223"/>
      <c r="AC29" s="188"/>
      <c r="AD29" s="188"/>
      <c r="AE29" s="188"/>
      <c r="AF29" s="188"/>
      <c r="AG29" s="188"/>
      <c r="AH29" s="188"/>
      <c r="AI29" s="188"/>
      <c r="AJ29" s="310"/>
      <c r="AK29" s="227">
        <f t="shared" si="2"/>
        <v>127.84</v>
      </c>
      <c r="AL29" s="183"/>
      <c r="AM29" s="183"/>
      <c r="AN29" s="183"/>
      <c r="AO29" s="183"/>
      <c r="AP29" s="183"/>
      <c r="AQ29" s="183"/>
      <c r="AR29" s="183"/>
      <c r="AS29" s="185">
        <f t="shared" si="0"/>
        <v>1380.55</v>
      </c>
      <c r="AT29" s="190">
        <f t="shared" si="9"/>
        <v>0</v>
      </c>
      <c r="AU29" s="234">
        <f t="shared" si="6"/>
        <v>23785.230000000014</v>
      </c>
      <c r="AX29" s="758">
        <f t="shared" si="8"/>
        <v>0</v>
      </c>
    </row>
    <row r="30" spans="2:50" ht="14.25" x14ac:dyDescent="0.3">
      <c r="B30" s="775">
        <v>44581</v>
      </c>
      <c r="C30" s="744">
        <v>0.21</v>
      </c>
      <c r="D30" s="777">
        <f t="shared" si="7"/>
        <v>22404.680000000015</v>
      </c>
      <c r="E30" s="774"/>
      <c r="F30" s="774"/>
      <c r="G30" s="174"/>
      <c r="H30" s="823"/>
      <c r="I30" s="764"/>
      <c r="J30" s="175"/>
      <c r="K30" s="174">
        <v>448.87</v>
      </c>
      <c r="L30" s="174"/>
      <c r="M30" s="418">
        <v>921.58</v>
      </c>
      <c r="N30" s="248"/>
      <c r="O30" s="176"/>
      <c r="P30" s="176"/>
      <c r="Q30" s="176">
        <v>1084</v>
      </c>
      <c r="R30" s="176"/>
      <c r="S30" s="448">
        <v>2239</v>
      </c>
      <c r="T30" s="455">
        <f t="shared" si="3"/>
        <v>1370.45</v>
      </c>
      <c r="U30" s="187">
        <f t="shared" si="4"/>
        <v>3323</v>
      </c>
      <c r="V30" s="743">
        <f t="shared" si="5"/>
        <v>0.41241348179356008</v>
      </c>
      <c r="W30" s="181">
        <v>77.02</v>
      </c>
      <c r="X30" s="188"/>
      <c r="Y30" s="168"/>
      <c r="Z30" s="188"/>
      <c r="AA30" s="174"/>
      <c r="AB30" s="223"/>
      <c r="AC30" s="188"/>
      <c r="AD30" s="188"/>
      <c r="AE30" s="188"/>
      <c r="AF30" s="188"/>
      <c r="AG30" s="188"/>
      <c r="AH30" s="188"/>
      <c r="AI30" s="188">
        <v>161</v>
      </c>
      <c r="AJ30" s="310"/>
      <c r="AK30" s="227">
        <f t="shared" si="2"/>
        <v>238.01999999999998</v>
      </c>
      <c r="AL30" s="183"/>
      <c r="AM30" s="183"/>
      <c r="AN30" s="183"/>
      <c r="AO30" s="183"/>
      <c r="AP30" s="183"/>
      <c r="AQ30" s="183"/>
      <c r="AR30" s="183"/>
      <c r="AS30" s="185">
        <f t="shared" si="0"/>
        <v>1608.47</v>
      </c>
      <c r="AT30" s="190">
        <f t="shared" si="9"/>
        <v>0</v>
      </c>
      <c r="AU30" s="234">
        <f t="shared" si="6"/>
        <v>22404.680000000015</v>
      </c>
      <c r="AX30" s="758">
        <f t="shared" si="8"/>
        <v>0</v>
      </c>
    </row>
    <row r="31" spans="2:50" ht="14.25" x14ac:dyDescent="0.3">
      <c r="B31" s="775">
        <v>44582</v>
      </c>
      <c r="C31" s="744">
        <v>0.09</v>
      </c>
      <c r="D31" s="777">
        <f t="shared" si="7"/>
        <v>20796.210000000014</v>
      </c>
      <c r="E31" s="774"/>
      <c r="F31" s="774"/>
      <c r="G31" s="174"/>
      <c r="H31" s="823"/>
      <c r="I31" s="764"/>
      <c r="J31" s="175"/>
      <c r="K31" s="174">
        <v>407.7</v>
      </c>
      <c r="L31" s="174">
        <v>872.61</v>
      </c>
      <c r="M31" s="418"/>
      <c r="N31" s="248"/>
      <c r="O31" s="176"/>
      <c r="P31" s="176"/>
      <c r="Q31" s="176">
        <v>997</v>
      </c>
      <c r="R31" s="176">
        <v>2116</v>
      </c>
      <c r="S31" s="448"/>
      <c r="T31" s="455">
        <f t="shared" si="3"/>
        <v>1280.31</v>
      </c>
      <c r="U31" s="187">
        <f t="shared" si="4"/>
        <v>3113</v>
      </c>
      <c r="V31" s="743">
        <f t="shared" si="5"/>
        <v>0.41127850947638933</v>
      </c>
      <c r="W31" s="181"/>
      <c r="X31" s="188"/>
      <c r="Y31" s="168"/>
      <c r="Z31" s="188"/>
      <c r="AA31" s="174"/>
      <c r="AB31" s="223"/>
      <c r="AC31" s="188"/>
      <c r="AD31" s="188"/>
      <c r="AE31" s="188"/>
      <c r="AF31" s="188"/>
      <c r="AG31" s="188"/>
      <c r="AH31" s="188"/>
      <c r="AI31" s="188">
        <v>15</v>
      </c>
      <c r="AJ31" s="310"/>
      <c r="AK31" s="227">
        <f t="shared" si="2"/>
        <v>15</v>
      </c>
      <c r="AL31" s="183"/>
      <c r="AM31" s="183"/>
      <c r="AN31" s="183"/>
      <c r="AO31" s="183"/>
      <c r="AP31" s="183"/>
      <c r="AQ31" s="183"/>
      <c r="AR31" s="183"/>
      <c r="AS31" s="185">
        <f t="shared" si="0"/>
        <v>1295.31</v>
      </c>
      <c r="AT31" s="190">
        <f t="shared" si="9"/>
        <v>0</v>
      </c>
      <c r="AU31" s="234">
        <f t="shared" si="6"/>
        <v>20796.210000000014</v>
      </c>
      <c r="AX31" s="758">
        <f t="shared" si="8"/>
        <v>0</v>
      </c>
    </row>
    <row r="32" spans="2:50" ht="14.25" x14ac:dyDescent="0.3">
      <c r="B32" s="775">
        <v>44583</v>
      </c>
      <c r="C32" s="744">
        <v>0.08</v>
      </c>
      <c r="D32" s="777">
        <f t="shared" si="7"/>
        <v>19500.900000000012</v>
      </c>
      <c r="E32" s="774"/>
      <c r="F32" s="774"/>
      <c r="G32" s="174"/>
      <c r="H32" s="823">
        <v>417.95</v>
      </c>
      <c r="I32" s="763"/>
      <c r="J32" s="175"/>
      <c r="K32" s="174">
        <v>366.95</v>
      </c>
      <c r="L32" s="174"/>
      <c r="M32" s="418">
        <v>501.36</v>
      </c>
      <c r="N32" s="248">
        <v>1024</v>
      </c>
      <c r="O32" s="176"/>
      <c r="P32" s="176"/>
      <c r="Q32" s="176">
        <v>924</v>
      </c>
      <c r="R32" s="176"/>
      <c r="S32" s="448">
        <v>1176</v>
      </c>
      <c r="T32" s="455">
        <f t="shared" si="3"/>
        <v>1286.26</v>
      </c>
      <c r="U32" s="187">
        <f t="shared" si="4"/>
        <v>3124</v>
      </c>
      <c r="V32" s="743">
        <f t="shared" si="5"/>
        <v>0.41173495518565939</v>
      </c>
      <c r="W32" s="181"/>
      <c r="X32" s="188"/>
      <c r="Y32" s="168"/>
      <c r="Z32" s="188"/>
      <c r="AA32" s="174"/>
      <c r="AB32" s="223">
        <v>67</v>
      </c>
      <c r="AC32" s="188"/>
      <c r="AD32" s="188"/>
      <c r="AE32" s="188">
        <v>197.82</v>
      </c>
      <c r="AF32" s="188"/>
      <c r="AG32" s="188"/>
      <c r="AH32" s="188"/>
      <c r="AI32" s="188"/>
      <c r="AJ32" s="310"/>
      <c r="AK32" s="227">
        <f t="shared" si="2"/>
        <v>264.82</v>
      </c>
      <c r="AL32" s="183"/>
      <c r="AM32" s="183"/>
      <c r="AN32" s="183"/>
      <c r="AO32" s="183"/>
      <c r="AP32" s="183"/>
      <c r="AQ32" s="183"/>
      <c r="AR32" s="183"/>
      <c r="AS32" s="185">
        <f>SUM(AK32+T32)</f>
        <v>1551.08</v>
      </c>
      <c r="AT32" s="190">
        <f t="shared" si="9"/>
        <v>0</v>
      </c>
      <c r="AU32" s="234">
        <f t="shared" si="6"/>
        <v>19500.900000000012</v>
      </c>
      <c r="AX32" s="758">
        <f t="shared" si="8"/>
        <v>0</v>
      </c>
    </row>
    <row r="33" spans="2:50" ht="14.25" x14ac:dyDescent="0.3">
      <c r="B33" s="775">
        <v>44584</v>
      </c>
      <c r="C33" s="744">
        <v>0.04</v>
      </c>
      <c r="D33" s="777">
        <f t="shared" si="7"/>
        <v>35949.820000000014</v>
      </c>
      <c r="E33" s="774">
        <v>18000</v>
      </c>
      <c r="F33" s="774"/>
      <c r="G33" s="174"/>
      <c r="H33" s="823"/>
      <c r="I33" s="763"/>
      <c r="J33" s="175"/>
      <c r="K33" s="174"/>
      <c r="L33" s="174">
        <v>639.09</v>
      </c>
      <c r="M33" s="418">
        <v>560.19000000000005</v>
      </c>
      <c r="N33" s="248"/>
      <c r="O33" s="176"/>
      <c r="P33" s="176"/>
      <c r="Q33" s="176"/>
      <c r="R33" s="176">
        <v>1169</v>
      </c>
      <c r="S33" s="448">
        <v>1628</v>
      </c>
      <c r="T33" s="455">
        <f t="shared" si="3"/>
        <v>1199.2800000000002</v>
      </c>
      <c r="U33" s="187">
        <f t="shared" si="4"/>
        <v>2797</v>
      </c>
      <c r="V33" s="743">
        <f t="shared" si="5"/>
        <v>0.42877368609224176</v>
      </c>
      <c r="W33" s="181"/>
      <c r="X33" s="188"/>
      <c r="Y33" s="168"/>
      <c r="Z33" s="188">
        <v>71.239999999999995</v>
      </c>
      <c r="AA33" s="174"/>
      <c r="AB33" s="223"/>
      <c r="AC33" s="188"/>
      <c r="AD33" s="188"/>
      <c r="AE33" s="188"/>
      <c r="AF33" s="188"/>
      <c r="AG33" s="188"/>
      <c r="AH33" s="188"/>
      <c r="AI33" s="188">
        <v>182</v>
      </c>
      <c r="AJ33" s="310"/>
      <c r="AK33" s="227">
        <f t="shared" si="2"/>
        <v>253.24</v>
      </c>
      <c r="AL33" s="183"/>
      <c r="AM33" s="183"/>
      <c r="AN33" s="183"/>
      <c r="AO33" s="183"/>
      <c r="AP33" s="183"/>
      <c r="AQ33" s="183"/>
      <c r="AR33" s="183"/>
      <c r="AS33" s="185">
        <f t="shared" si="0"/>
        <v>1452.5200000000002</v>
      </c>
      <c r="AT33" s="190">
        <f t="shared" si="9"/>
        <v>0</v>
      </c>
      <c r="AU33" s="234">
        <f t="shared" si="6"/>
        <v>35949.820000000014</v>
      </c>
      <c r="AX33" s="758">
        <f t="shared" si="8"/>
        <v>0</v>
      </c>
    </row>
    <row r="34" spans="2:50" ht="14.25" x14ac:dyDescent="0.3">
      <c r="B34" s="775">
        <v>44585</v>
      </c>
      <c r="C34" s="744">
        <v>0.1</v>
      </c>
      <c r="D34" s="777">
        <f t="shared" si="7"/>
        <v>34497.300000000017</v>
      </c>
      <c r="E34" s="774"/>
      <c r="F34" s="774"/>
      <c r="G34" s="174"/>
      <c r="H34" s="823">
        <v>418.24</v>
      </c>
      <c r="I34" s="764"/>
      <c r="J34" s="175"/>
      <c r="K34" s="174">
        <v>922.57</v>
      </c>
      <c r="L34" s="174"/>
      <c r="M34" s="418"/>
      <c r="N34" s="248">
        <v>1136</v>
      </c>
      <c r="O34" s="176"/>
      <c r="P34" s="176"/>
      <c r="Q34" s="176">
        <v>2159</v>
      </c>
      <c r="R34" s="176"/>
      <c r="S34" s="448"/>
      <c r="T34" s="455">
        <f t="shared" si="3"/>
        <v>1340.81</v>
      </c>
      <c r="U34" s="187">
        <f t="shared" si="4"/>
        <v>3295</v>
      </c>
      <c r="V34" s="743">
        <f t="shared" si="5"/>
        <v>0.40692261001517449</v>
      </c>
      <c r="W34" s="181"/>
      <c r="X34" s="188"/>
      <c r="Y34" s="168"/>
      <c r="Z34" s="188"/>
      <c r="AA34" s="174">
        <v>118.04</v>
      </c>
      <c r="AB34" s="223"/>
      <c r="AC34" s="188"/>
      <c r="AD34" s="188"/>
      <c r="AE34" s="188"/>
      <c r="AF34" s="188"/>
      <c r="AG34" s="188"/>
      <c r="AH34" s="188"/>
      <c r="AI34" s="188">
        <v>119</v>
      </c>
      <c r="AJ34" s="310"/>
      <c r="AK34" s="227">
        <f t="shared" si="2"/>
        <v>237.04000000000002</v>
      </c>
      <c r="AL34" s="183"/>
      <c r="AM34" s="183"/>
      <c r="AN34" s="183"/>
      <c r="AO34" s="183"/>
      <c r="AP34" s="183"/>
      <c r="AQ34" s="183"/>
      <c r="AR34" s="183"/>
      <c r="AS34" s="185">
        <f t="shared" si="0"/>
        <v>1577.85</v>
      </c>
      <c r="AT34" s="190">
        <f t="shared" si="9"/>
        <v>0</v>
      </c>
      <c r="AU34" s="234">
        <f t="shared" si="6"/>
        <v>34497.300000000017</v>
      </c>
      <c r="AX34" s="758">
        <f t="shared" si="8"/>
        <v>0</v>
      </c>
    </row>
    <row r="35" spans="2:50" ht="14.25" x14ac:dyDescent="0.3">
      <c r="B35" s="775">
        <v>44586</v>
      </c>
      <c r="C35" s="744">
        <v>0.14000000000000001</v>
      </c>
      <c r="D35" s="777">
        <f t="shared" si="7"/>
        <v>32919.450000000019</v>
      </c>
      <c r="E35" s="774"/>
      <c r="F35" s="774"/>
      <c r="G35" s="174"/>
      <c r="H35" s="823"/>
      <c r="I35" s="764"/>
      <c r="J35" s="175"/>
      <c r="K35" s="174">
        <v>405.54</v>
      </c>
      <c r="L35" s="174">
        <v>849.93</v>
      </c>
      <c r="M35" s="418"/>
      <c r="N35" s="248"/>
      <c r="O35" s="176"/>
      <c r="P35" s="176"/>
      <c r="Q35" s="176">
        <v>1001</v>
      </c>
      <c r="R35" s="176">
        <v>2204</v>
      </c>
      <c r="S35" s="448"/>
      <c r="T35" s="455">
        <f t="shared" si="3"/>
        <v>1255.47</v>
      </c>
      <c r="U35" s="187">
        <f t="shared" si="4"/>
        <v>3205</v>
      </c>
      <c r="V35" s="743">
        <f t="shared" si="5"/>
        <v>0.39172230889235571</v>
      </c>
      <c r="W35" s="181"/>
      <c r="X35" s="188"/>
      <c r="Y35" s="168"/>
      <c r="Z35" s="188"/>
      <c r="AA35" s="174">
        <v>29.03</v>
      </c>
      <c r="AB35" s="223">
        <v>89</v>
      </c>
      <c r="AC35" s="188"/>
      <c r="AD35" s="188"/>
      <c r="AE35" s="188"/>
      <c r="AF35" s="188"/>
      <c r="AG35" s="188"/>
      <c r="AH35" s="188"/>
      <c r="AI35" s="188"/>
      <c r="AJ35" s="310"/>
      <c r="AK35" s="227">
        <f t="shared" si="2"/>
        <v>118.03</v>
      </c>
      <c r="AL35" s="183"/>
      <c r="AM35" s="183"/>
      <c r="AN35" s="183"/>
      <c r="AO35" s="183"/>
      <c r="AP35" s="183"/>
      <c r="AQ35" s="183"/>
      <c r="AR35" s="183"/>
      <c r="AS35" s="185">
        <f t="shared" si="0"/>
        <v>1373.5</v>
      </c>
      <c r="AT35" s="190">
        <f t="shared" si="9"/>
        <v>0</v>
      </c>
      <c r="AU35" s="234">
        <f t="shared" si="6"/>
        <v>32919.450000000019</v>
      </c>
      <c r="AX35" s="758">
        <f t="shared" si="8"/>
        <v>0</v>
      </c>
    </row>
    <row r="36" spans="2:50" ht="14.25" x14ac:dyDescent="0.3">
      <c r="B36" s="775">
        <v>44587</v>
      </c>
      <c r="C36" s="744">
        <v>0.16</v>
      </c>
      <c r="D36" s="777">
        <f t="shared" si="7"/>
        <v>31545.950000000019</v>
      </c>
      <c r="E36" s="774"/>
      <c r="F36" s="774">
        <v>15000</v>
      </c>
      <c r="G36" s="778" t="s">
        <v>164</v>
      </c>
      <c r="H36" s="823"/>
      <c r="I36" s="764"/>
      <c r="J36" s="175"/>
      <c r="K36" s="174">
        <v>423.83</v>
      </c>
      <c r="L36" s="174"/>
      <c r="M36" s="418">
        <v>928.15</v>
      </c>
      <c r="N36" s="248"/>
      <c r="O36" s="176"/>
      <c r="P36" s="176"/>
      <c r="Q36" s="176">
        <v>1064</v>
      </c>
      <c r="R36" s="176"/>
      <c r="S36" s="448">
        <v>2511</v>
      </c>
      <c r="T36" s="455">
        <f t="shared" si="3"/>
        <v>1351.98</v>
      </c>
      <c r="U36" s="187">
        <f t="shared" si="4"/>
        <v>3575</v>
      </c>
      <c r="V36" s="743">
        <f t="shared" si="5"/>
        <v>0.37817622377622379</v>
      </c>
      <c r="W36" s="181"/>
      <c r="X36" s="188"/>
      <c r="Y36" s="168"/>
      <c r="Z36" s="188"/>
      <c r="AA36" s="174">
        <v>73.37</v>
      </c>
      <c r="AB36" s="223"/>
      <c r="AC36" s="188"/>
      <c r="AD36" s="188"/>
      <c r="AE36" s="188"/>
      <c r="AF36" s="188"/>
      <c r="AG36" s="188"/>
      <c r="AH36" s="188"/>
      <c r="AI36" s="188"/>
      <c r="AJ36" s="310"/>
      <c r="AK36" s="227">
        <f t="shared" si="2"/>
        <v>73.37</v>
      </c>
      <c r="AL36" s="183"/>
      <c r="AM36" s="183"/>
      <c r="AN36" s="183"/>
      <c r="AO36" s="183"/>
      <c r="AP36" s="183"/>
      <c r="AQ36" s="183"/>
      <c r="AR36" s="183"/>
      <c r="AS36" s="185">
        <f t="shared" si="0"/>
        <v>1425.35</v>
      </c>
      <c r="AT36" s="190">
        <f t="shared" si="9"/>
        <v>0</v>
      </c>
      <c r="AU36" s="234">
        <f t="shared" si="6"/>
        <v>31545.950000000019</v>
      </c>
      <c r="AX36" s="758">
        <f t="shared" si="8"/>
        <v>0</v>
      </c>
    </row>
    <row r="37" spans="2:50" ht="14.25" x14ac:dyDescent="0.3">
      <c r="B37" s="775">
        <v>44588</v>
      </c>
      <c r="C37" s="744">
        <v>0.13</v>
      </c>
      <c r="D37" s="777">
        <f t="shared" si="7"/>
        <v>45120.60000000002</v>
      </c>
      <c r="E37" s="774">
        <v>15000</v>
      </c>
      <c r="F37" s="774"/>
      <c r="G37" s="174"/>
      <c r="H37" s="823">
        <v>964.39</v>
      </c>
      <c r="I37" s="764"/>
      <c r="J37" s="175"/>
      <c r="K37" s="174"/>
      <c r="L37" s="174">
        <v>447.06</v>
      </c>
      <c r="M37" s="418"/>
      <c r="N37" s="248">
        <v>2497</v>
      </c>
      <c r="O37" s="176"/>
      <c r="P37" s="176"/>
      <c r="Q37" s="176"/>
      <c r="R37" s="176">
        <v>1113</v>
      </c>
      <c r="S37" s="176"/>
      <c r="T37" s="455">
        <f t="shared" si="3"/>
        <v>1411.45</v>
      </c>
      <c r="U37" s="187">
        <f t="shared" si="4"/>
        <v>3610</v>
      </c>
      <c r="V37" s="743">
        <f t="shared" si="5"/>
        <v>0.39098337950138506</v>
      </c>
      <c r="W37" s="181"/>
      <c r="X37" s="188"/>
      <c r="Y37" s="168"/>
      <c r="Z37" s="188"/>
      <c r="AA37" s="174">
        <v>21.32</v>
      </c>
      <c r="AB37" s="223"/>
      <c r="AC37" s="188"/>
      <c r="AD37" s="188"/>
      <c r="AE37" s="188"/>
      <c r="AG37" s="188">
        <v>56.56</v>
      </c>
      <c r="AH37" s="355"/>
      <c r="AI37" s="188">
        <v>276</v>
      </c>
      <c r="AJ37" s="310"/>
      <c r="AK37" s="227">
        <f t="shared" si="2"/>
        <v>353.88</v>
      </c>
      <c r="AL37" s="183"/>
      <c r="AM37" s="183"/>
      <c r="AN37" s="183"/>
      <c r="AO37" s="183"/>
      <c r="AP37" s="183"/>
      <c r="AQ37" s="183"/>
      <c r="AR37" s="183"/>
      <c r="AS37" s="185">
        <f t="shared" si="0"/>
        <v>1765.33</v>
      </c>
      <c r="AT37" s="190">
        <f t="shared" si="9"/>
        <v>0</v>
      </c>
      <c r="AU37" s="234">
        <f t="shared" si="6"/>
        <v>45120.60000000002</v>
      </c>
      <c r="AX37" s="758">
        <f t="shared" si="8"/>
        <v>0</v>
      </c>
    </row>
    <row r="38" spans="2:50" ht="14.25" x14ac:dyDescent="0.3">
      <c r="B38" s="775">
        <v>44589</v>
      </c>
      <c r="C38" s="744">
        <v>0.09</v>
      </c>
      <c r="D38" s="777">
        <f t="shared" si="7"/>
        <v>43355.270000000019</v>
      </c>
      <c r="E38" s="774"/>
      <c r="F38" s="774"/>
      <c r="H38" s="823"/>
      <c r="I38" s="764"/>
      <c r="J38" s="175"/>
      <c r="K38" s="174">
        <v>431.06</v>
      </c>
      <c r="L38" s="174"/>
      <c r="M38" s="418">
        <v>998.14</v>
      </c>
      <c r="N38" s="248"/>
      <c r="O38" s="176"/>
      <c r="P38" s="176"/>
      <c r="Q38" s="176">
        <v>1090</v>
      </c>
      <c r="R38" s="176"/>
      <c r="S38" s="176">
        <v>2503</v>
      </c>
      <c r="T38" s="455">
        <f t="shared" si="3"/>
        <v>1429.2</v>
      </c>
      <c r="U38" s="187">
        <f t="shared" si="4"/>
        <v>3593</v>
      </c>
      <c r="V38" s="743">
        <f t="shared" si="5"/>
        <v>0.39777344837183415</v>
      </c>
      <c r="W38" s="181"/>
      <c r="X38" s="188"/>
      <c r="Y38" s="168"/>
      <c r="Z38" s="188"/>
      <c r="AA38" s="174"/>
      <c r="AB38" s="223"/>
      <c r="AC38" s="188"/>
      <c r="AD38" s="188"/>
      <c r="AE38" s="188"/>
      <c r="AF38" s="188"/>
      <c r="AG38" s="188"/>
      <c r="AH38" s="355"/>
      <c r="AI38" s="188"/>
      <c r="AJ38" s="310"/>
      <c r="AK38" s="227">
        <f t="shared" si="2"/>
        <v>0</v>
      </c>
      <c r="AL38" s="183"/>
      <c r="AM38" s="183"/>
      <c r="AN38" s="183"/>
      <c r="AO38" s="183"/>
      <c r="AP38" s="183"/>
      <c r="AQ38" s="183"/>
      <c r="AR38" s="183"/>
      <c r="AS38" s="185">
        <f t="shared" si="0"/>
        <v>1429.2</v>
      </c>
      <c r="AT38" s="190">
        <f t="shared" si="9"/>
        <v>0</v>
      </c>
      <c r="AU38" s="234">
        <f t="shared" si="6"/>
        <v>43355.270000000019</v>
      </c>
      <c r="AX38" s="758">
        <f t="shared" si="8"/>
        <v>0</v>
      </c>
    </row>
    <row r="39" spans="2:50" ht="14.25" x14ac:dyDescent="0.3">
      <c r="B39" s="775">
        <v>44590</v>
      </c>
      <c r="C39" s="744">
        <v>0.09</v>
      </c>
      <c r="D39" s="777">
        <f t="shared" si="7"/>
        <v>41926.070000000022</v>
      </c>
      <c r="E39" s="774"/>
      <c r="F39" s="774"/>
      <c r="G39" s="174"/>
      <c r="H39" s="823">
        <v>441.31</v>
      </c>
      <c r="I39" s="764"/>
      <c r="J39" s="195"/>
      <c r="K39" s="174"/>
      <c r="L39" s="174">
        <v>972.88</v>
      </c>
      <c r="M39" s="418"/>
      <c r="N39" s="248">
        <v>1104</v>
      </c>
      <c r="O39" s="176"/>
      <c r="P39" s="196"/>
      <c r="Q39" s="176"/>
      <c r="R39" s="176">
        <v>2485</v>
      </c>
      <c r="S39" s="448"/>
      <c r="T39" s="455">
        <f t="shared" si="3"/>
        <v>1414.19</v>
      </c>
      <c r="U39" s="187">
        <f t="shared" si="4"/>
        <v>3589</v>
      </c>
      <c r="V39" s="743">
        <f t="shared" si="5"/>
        <v>0.39403455001393145</v>
      </c>
      <c r="W39" s="181"/>
      <c r="X39" s="188"/>
      <c r="Y39" s="168"/>
      <c r="Z39" s="188"/>
      <c r="AA39" s="174">
        <v>26.59</v>
      </c>
      <c r="AB39" s="223"/>
      <c r="AC39" s="188"/>
      <c r="AD39" s="188"/>
      <c r="AE39" s="188"/>
      <c r="AG39" s="188"/>
      <c r="AH39" s="355"/>
      <c r="AI39" s="188"/>
      <c r="AJ39" s="310">
        <v>22</v>
      </c>
      <c r="AK39" s="227">
        <f t="shared" si="2"/>
        <v>48.59</v>
      </c>
      <c r="AL39" s="183"/>
      <c r="AM39" s="183"/>
      <c r="AN39" s="183"/>
      <c r="AO39" s="183"/>
      <c r="AP39" s="183"/>
      <c r="AQ39" s="183"/>
      <c r="AR39" s="183"/>
      <c r="AS39" s="185">
        <f t="shared" si="0"/>
        <v>1462.78</v>
      </c>
      <c r="AT39" s="190">
        <f t="shared" si="9"/>
        <v>0</v>
      </c>
      <c r="AU39" s="234">
        <f t="shared" si="6"/>
        <v>41926.070000000022</v>
      </c>
      <c r="AX39" s="758">
        <f t="shared" si="8"/>
        <v>0</v>
      </c>
    </row>
    <row r="40" spans="2:50" ht="14.25" x14ac:dyDescent="0.3">
      <c r="B40" s="775">
        <v>44591</v>
      </c>
      <c r="C40" s="744">
        <v>0.06</v>
      </c>
      <c r="D40" s="777">
        <f t="shared" si="7"/>
        <v>40463.290000000023</v>
      </c>
      <c r="E40" s="774"/>
      <c r="F40" s="774"/>
      <c r="G40" s="174"/>
      <c r="H40" s="823"/>
      <c r="I40" s="764"/>
      <c r="J40" s="175"/>
      <c r="K40" s="174">
        <v>465.43</v>
      </c>
      <c r="L40" s="174"/>
      <c r="M40" s="418">
        <v>881.44</v>
      </c>
      <c r="N40" s="248"/>
      <c r="O40" s="176"/>
      <c r="P40" s="176"/>
      <c r="Q40" s="176">
        <v>1174</v>
      </c>
      <c r="R40" s="176"/>
      <c r="S40" s="448">
        <v>2401</v>
      </c>
      <c r="T40" s="455">
        <f t="shared" si="3"/>
        <v>1346.8700000000001</v>
      </c>
      <c r="U40" s="187">
        <f t="shared" si="4"/>
        <v>3575</v>
      </c>
      <c r="V40" s="743">
        <f t="shared" si="5"/>
        <v>0.37674685314685319</v>
      </c>
      <c r="W40" s="181"/>
      <c r="X40" s="188"/>
      <c r="Y40" s="168"/>
      <c r="Z40" s="188"/>
      <c r="AA40" s="174"/>
      <c r="AB40" s="223"/>
      <c r="AC40" s="188"/>
      <c r="AD40" s="188"/>
      <c r="AE40" s="188"/>
      <c r="AG40" s="188"/>
      <c r="AH40" s="355"/>
      <c r="AI40" s="188">
        <v>96</v>
      </c>
      <c r="AJ40" s="310"/>
      <c r="AK40" s="227">
        <f t="shared" si="2"/>
        <v>96</v>
      </c>
      <c r="AL40" s="183"/>
      <c r="AM40" s="183"/>
      <c r="AN40" s="183"/>
      <c r="AO40" s="183"/>
      <c r="AP40" s="183"/>
      <c r="AQ40" s="183"/>
      <c r="AR40" s="183"/>
      <c r="AS40" s="185">
        <f t="shared" si="0"/>
        <v>1442.8700000000001</v>
      </c>
      <c r="AT40" s="190">
        <f t="shared" si="9"/>
        <v>0</v>
      </c>
      <c r="AU40" s="234">
        <f t="shared" si="6"/>
        <v>40463.290000000023</v>
      </c>
      <c r="AX40" s="758">
        <f t="shared" si="8"/>
        <v>0</v>
      </c>
    </row>
    <row r="41" spans="2:50" ht="15.75" x14ac:dyDescent="0.3">
      <c r="B41" s="775">
        <v>44592</v>
      </c>
      <c r="C41" s="645">
        <v>0.05</v>
      </c>
      <c r="D41" s="777">
        <f t="shared" si="7"/>
        <v>39020.42000000002</v>
      </c>
      <c r="E41" s="779"/>
      <c r="F41" s="774"/>
      <c r="G41" s="721"/>
      <c r="H41" s="823">
        <v>417.06</v>
      </c>
      <c r="I41" s="767"/>
      <c r="J41" s="174"/>
      <c r="K41" s="174"/>
      <c r="L41" s="174">
        <v>866.5</v>
      </c>
      <c r="M41" s="418"/>
      <c r="N41" s="248">
        <v>1041</v>
      </c>
      <c r="O41" s="176"/>
      <c r="P41" s="176"/>
      <c r="Q41" s="176"/>
      <c r="R41" s="176">
        <v>2231</v>
      </c>
      <c r="S41" s="448"/>
      <c r="T41" s="455">
        <f t="shared" ref="T41:T44" si="10">SUM(G41:M41)</f>
        <v>1283.56</v>
      </c>
      <c r="U41" s="187">
        <f t="shared" si="4"/>
        <v>3272</v>
      </c>
      <c r="V41" s="743">
        <f t="shared" si="5"/>
        <v>0.39228606356968215</v>
      </c>
      <c r="W41" s="181"/>
      <c r="X41" s="188"/>
      <c r="Y41" s="168">
        <v>35.119999999999997</v>
      </c>
      <c r="Z41" s="188"/>
      <c r="AA41" s="174"/>
      <c r="AB41" s="223"/>
      <c r="AC41" s="188"/>
      <c r="AD41" s="188"/>
      <c r="AE41" s="188">
        <v>43.58</v>
      </c>
      <c r="AF41" s="188"/>
      <c r="AG41" s="188"/>
      <c r="AH41" s="355"/>
      <c r="AI41" s="188">
        <v>433</v>
      </c>
      <c r="AJ41" s="310"/>
      <c r="AK41" s="227">
        <f t="shared" si="2"/>
        <v>511.7</v>
      </c>
      <c r="AL41" s="183"/>
      <c r="AM41" s="183"/>
      <c r="AN41" s="183"/>
      <c r="AO41" s="183"/>
      <c r="AP41" s="183"/>
      <c r="AQ41" s="183"/>
      <c r="AR41" s="183"/>
      <c r="AS41" s="185">
        <f t="shared" si="0"/>
        <v>1795.26</v>
      </c>
      <c r="AT41" s="190">
        <f t="shared" si="9"/>
        <v>0</v>
      </c>
      <c r="AU41" s="234">
        <f t="shared" si="6"/>
        <v>39020.42000000002</v>
      </c>
      <c r="AX41" s="758">
        <f>SUM(AX11:AX40)</f>
        <v>0</v>
      </c>
    </row>
    <row r="42" spans="2:50" ht="14.25" x14ac:dyDescent="0.3">
      <c r="B42" s="775"/>
      <c r="C42" s="780"/>
      <c r="D42" s="777">
        <f t="shared" si="7"/>
        <v>37225.160000000018</v>
      </c>
      <c r="E42" s="774"/>
      <c r="F42" s="774"/>
      <c r="G42" s="174"/>
      <c r="H42" s="175"/>
      <c r="I42" s="174"/>
      <c r="J42" s="174"/>
      <c r="K42" s="174"/>
      <c r="L42" s="174"/>
      <c r="M42" s="418"/>
      <c r="N42" s="248"/>
      <c r="O42" s="176"/>
      <c r="P42" s="176"/>
      <c r="Q42" s="176"/>
      <c r="R42" s="176"/>
      <c r="S42" s="448"/>
      <c r="T42" s="455">
        <f t="shared" si="10"/>
        <v>0</v>
      </c>
      <c r="U42" s="187">
        <f t="shared" si="4"/>
        <v>0</v>
      </c>
      <c r="V42" s="743" t="e">
        <f t="shared" si="5"/>
        <v>#DIV/0!</v>
      </c>
      <c r="W42" s="181"/>
      <c r="X42" s="188"/>
      <c r="Y42" s="168"/>
      <c r="Z42" s="188"/>
      <c r="AA42" s="174"/>
      <c r="AB42" s="223"/>
      <c r="AC42" s="188"/>
      <c r="AD42" s="178"/>
      <c r="AE42" s="188"/>
      <c r="AF42" s="188"/>
      <c r="AG42" s="188"/>
      <c r="AH42" s="355"/>
      <c r="AI42" s="188"/>
      <c r="AJ42" s="310"/>
      <c r="AK42" s="227">
        <f t="shared" si="2"/>
        <v>0</v>
      </c>
      <c r="AL42" s="197"/>
      <c r="AM42" s="197"/>
      <c r="AN42" s="197"/>
      <c r="AO42" s="197"/>
      <c r="AP42" s="197"/>
      <c r="AQ42" s="197"/>
      <c r="AR42" s="197"/>
      <c r="AS42" s="185">
        <f t="shared" si="0"/>
        <v>0</v>
      </c>
      <c r="AT42" s="190">
        <f t="shared" si="9"/>
        <v>0</v>
      </c>
      <c r="AU42" s="234">
        <f t="shared" si="6"/>
        <v>37225.160000000018</v>
      </c>
      <c r="AX42" s="758"/>
    </row>
    <row r="43" spans="2:50" ht="14.25" x14ac:dyDescent="0.3">
      <c r="B43" s="781" t="s">
        <v>165</v>
      </c>
      <c r="C43" s="782"/>
      <c r="D43" s="773">
        <f t="shared" si="7"/>
        <v>37225.160000000018</v>
      </c>
      <c r="E43" s="774"/>
      <c r="F43" s="774"/>
      <c r="G43" s="174"/>
      <c r="H43" s="768"/>
      <c r="I43" s="174"/>
      <c r="J43" s="174"/>
      <c r="K43" s="174"/>
      <c r="L43" s="174"/>
      <c r="M43" s="418"/>
      <c r="N43" s="248"/>
      <c r="O43" s="176"/>
      <c r="P43" s="176"/>
      <c r="Q43" s="176"/>
      <c r="R43" s="176"/>
      <c r="S43" s="448"/>
      <c r="T43" s="455">
        <f t="shared" si="10"/>
        <v>0</v>
      </c>
      <c r="U43" s="187">
        <f t="shared" si="4"/>
        <v>0</v>
      </c>
      <c r="V43" s="711"/>
      <c r="W43" s="181"/>
      <c r="X43" s="188"/>
      <c r="Y43" s="174"/>
      <c r="Z43" s="178"/>
      <c r="AA43" s="178"/>
      <c r="AB43" s="223"/>
      <c r="AC43" s="178"/>
      <c r="AD43" s="199"/>
      <c r="AE43" s="199"/>
      <c r="AF43" s="188"/>
      <c r="AG43" s="188"/>
      <c r="AH43" s="355"/>
      <c r="AI43" s="178"/>
      <c r="AJ43" s="310"/>
      <c r="AK43" s="227">
        <f t="shared" si="2"/>
        <v>0</v>
      </c>
      <c r="AL43" s="198"/>
      <c r="AM43" s="198"/>
      <c r="AN43" s="198"/>
      <c r="AO43" s="198"/>
      <c r="AP43" s="198"/>
      <c r="AQ43" s="198"/>
      <c r="AR43" s="198"/>
      <c r="AS43" s="185">
        <f t="shared" si="0"/>
        <v>0</v>
      </c>
      <c r="AT43" s="190">
        <f t="shared" si="9"/>
        <v>0</v>
      </c>
      <c r="AU43" s="234">
        <f t="shared" si="6"/>
        <v>37225.160000000018</v>
      </c>
    </row>
    <row r="44" spans="2:50" ht="14.25" x14ac:dyDescent="0.3">
      <c r="B44" s="783"/>
      <c r="C44" s="783"/>
      <c r="D44" s="784"/>
      <c r="E44" s="774"/>
      <c r="F44" s="774"/>
      <c r="G44" s="174"/>
      <c r="H44" s="769"/>
      <c r="I44" s="445"/>
      <c r="J44" s="445"/>
      <c r="K44" s="445"/>
      <c r="L44" s="445"/>
      <c r="M44" s="446"/>
      <c r="N44" s="247"/>
      <c r="O44" s="166"/>
      <c r="P44" s="166"/>
      <c r="Q44" s="166"/>
      <c r="R44" s="166"/>
      <c r="S44" s="449"/>
      <c r="T44" s="455">
        <f t="shared" si="10"/>
        <v>0</v>
      </c>
      <c r="U44" s="187">
        <f t="shared" si="4"/>
        <v>0</v>
      </c>
      <c r="V44" s="456"/>
      <c r="W44" s="451"/>
      <c r="X44" s="163"/>
      <c r="Y44" s="199"/>
      <c r="Z44" s="199"/>
      <c r="AA44" s="199"/>
      <c r="AB44" s="200"/>
      <c r="AC44" s="199"/>
      <c r="AD44" s="199"/>
      <c r="AE44" s="199"/>
      <c r="AF44" s="199"/>
      <c r="AG44" s="199"/>
      <c r="AH44" s="201"/>
      <c r="AI44" s="163"/>
      <c r="AJ44" s="163"/>
      <c r="AK44" s="433">
        <f t="shared" si="2"/>
        <v>0</v>
      </c>
      <c r="AL44" s="257"/>
      <c r="AM44" s="257"/>
      <c r="AN44" s="257"/>
      <c r="AO44" s="257"/>
      <c r="AP44" s="257"/>
      <c r="AQ44" s="257"/>
      <c r="AR44" s="257"/>
      <c r="AS44" s="258">
        <f>T44+AK44</f>
        <v>0</v>
      </c>
      <c r="AT44" s="259">
        <f t="shared" si="9"/>
        <v>0</v>
      </c>
      <c r="AU44" s="260"/>
    </row>
    <row r="45" spans="2:50" s="203" customFormat="1" ht="12.75" x14ac:dyDescent="0.25">
      <c r="B45" s="783"/>
      <c r="C45" s="783"/>
      <c r="D45" s="785"/>
      <c r="E45" s="786">
        <f>SUM(E11:E44)</f>
        <v>51000</v>
      </c>
      <c r="F45" s="786">
        <f>SUM(F11:F42)</f>
        <v>51000</v>
      </c>
      <c r="G45" s="786">
        <f>SUM(G12:G44)</f>
        <v>0</v>
      </c>
      <c r="H45" s="261">
        <f>SUM(H11:H44)</f>
        <v>10663.669999999998</v>
      </c>
      <c r="I45" s="256">
        <f t="shared" ref="I45:P45" si="11">SUM(I11:I44)</f>
        <v>0</v>
      </c>
      <c r="J45" s="261">
        <f t="shared" si="11"/>
        <v>0</v>
      </c>
      <c r="K45" s="256">
        <f t="shared" si="11"/>
        <v>11869.270000000002</v>
      </c>
      <c r="L45" s="261">
        <f t="shared" si="11"/>
        <v>11016.869999999999</v>
      </c>
      <c r="M45" s="256">
        <f t="shared" si="11"/>
        <v>13749.29</v>
      </c>
      <c r="N45" s="261">
        <f t="shared" si="11"/>
        <v>25892</v>
      </c>
      <c r="O45" s="434">
        <f t="shared" si="11"/>
        <v>0</v>
      </c>
      <c r="P45" s="261">
        <f t="shared" si="11"/>
        <v>0</v>
      </c>
      <c r="Q45" s="256">
        <f>SUM(Q11:Q43)</f>
        <v>26329</v>
      </c>
      <c r="R45" s="261">
        <f>SUM(R11:R44)</f>
        <v>28229</v>
      </c>
      <c r="S45" s="256">
        <f>SUM(S11:S44)</f>
        <v>35061</v>
      </c>
      <c r="T45" s="439">
        <f>SUM(H45:M45)</f>
        <v>47299.1</v>
      </c>
      <c r="U45" s="256">
        <f>SUM(N45:S45)</f>
        <v>115511</v>
      </c>
      <c r="V45" s="852" t="e">
        <f>SUM(V11:V42)</f>
        <v>#DIV/0!</v>
      </c>
      <c r="W45" s="434">
        <f t="shared" ref="W45:AC45" si="12">SUM(W9:W44)</f>
        <v>334.28</v>
      </c>
      <c r="X45" s="202">
        <f t="shared" si="12"/>
        <v>135.81</v>
      </c>
      <c r="Y45" s="434">
        <f t="shared" si="12"/>
        <v>219.53</v>
      </c>
      <c r="Z45" s="202">
        <f t="shared" si="12"/>
        <v>151.07</v>
      </c>
      <c r="AA45" s="434">
        <f t="shared" si="12"/>
        <v>422.41999999999996</v>
      </c>
      <c r="AB45" s="202">
        <f t="shared" si="12"/>
        <v>267.94</v>
      </c>
      <c r="AC45" s="434">
        <f t="shared" si="12"/>
        <v>0</v>
      </c>
      <c r="AD45" s="202">
        <f>SUM(AD10:AD44)</f>
        <v>0</v>
      </c>
      <c r="AE45" s="434">
        <f>SUM(AE10:AE44)</f>
        <v>241.39999999999998</v>
      </c>
      <c r="AF45" s="202">
        <f>SUM(AF9:AF44)</f>
        <v>65.900000000000006</v>
      </c>
      <c r="AG45" s="434">
        <f>SUM(AG9:AG44)</f>
        <v>168.01999999999998</v>
      </c>
      <c r="AH45" s="202">
        <f>SUM(AH9:AH44)</f>
        <v>0</v>
      </c>
      <c r="AI45" s="434">
        <f>SUM(AI9:AI43)</f>
        <v>2546</v>
      </c>
      <c r="AJ45" s="202">
        <f>SUM(AJ9:AJ39)</f>
        <v>1124</v>
      </c>
      <c r="AK45" s="434">
        <f>SUM(AK9:AK44)</f>
        <v>5676.37</v>
      </c>
      <c r="AL45" s="202"/>
      <c r="AM45" s="202"/>
      <c r="AN45" s="202"/>
      <c r="AO45" s="202"/>
      <c r="AP45" s="202"/>
      <c r="AQ45" s="202"/>
      <c r="AR45" s="435"/>
      <c r="AS45" s="436">
        <f>SUM(AS11:AS43)</f>
        <v>52975.47</v>
      </c>
      <c r="AT45" s="437">
        <f>SUM(AT11:AT44)</f>
        <v>0</v>
      </c>
      <c r="AU45" s="438"/>
    </row>
    <row r="46" spans="2:50" ht="14.25" thickBot="1" x14ac:dyDescent="0.35">
      <c r="B46" s="160" t="s">
        <v>166</v>
      </c>
      <c r="N46" s="159">
        <f>H45/N45</f>
        <v>0.41185192337401505</v>
      </c>
      <c r="O46" s="159"/>
      <c r="P46" s="159"/>
      <c r="Q46" s="159">
        <f>K45/Q45</f>
        <v>0.4508059554103841</v>
      </c>
      <c r="R46" s="159">
        <f>L45/R45</f>
        <v>0.3902678096992454</v>
      </c>
      <c r="S46" s="159">
        <f>M45/S45</f>
        <v>0.39215338980633757</v>
      </c>
      <c r="T46" s="477"/>
      <c r="V46" s="825">
        <f>T45/U45</f>
        <v>0.40947701950463589</v>
      </c>
      <c r="X46" s="164"/>
      <c r="Y46" s="164"/>
      <c r="Z46" s="164"/>
      <c r="AA46" s="164"/>
      <c r="AB46" s="164"/>
      <c r="AS46" s="159"/>
      <c r="AT46" s="204"/>
      <c r="AU46" s="158"/>
    </row>
    <row r="47" spans="2:50" ht="13.5" x14ac:dyDescent="0.25">
      <c r="B47" s="269"/>
      <c r="C47" s="729">
        <f>AVERAGE(C11:C40)</f>
        <v>0.18383666666666662</v>
      </c>
      <c r="G47" s="162"/>
      <c r="S47" s="159"/>
      <c r="T47" s="639"/>
      <c r="U47" s="262">
        <f>T45*2475</f>
        <v>117065272.5</v>
      </c>
      <c r="V47" s="263" t="s">
        <v>167</v>
      </c>
      <c r="AS47" s="415">
        <f>AS45*2143</f>
        <v>113526432.21000001</v>
      </c>
      <c r="AT47" s="414" t="s">
        <v>167</v>
      </c>
      <c r="AU47" s="158"/>
    </row>
    <row r="48" spans="2:50" ht="13.5" x14ac:dyDescent="0.3">
      <c r="B48" s="270" t="s">
        <v>168</v>
      </c>
      <c r="C48" s="205"/>
      <c r="G48" s="160" t="s">
        <v>13</v>
      </c>
      <c r="U48" s="262">
        <f>U47/2289</f>
        <v>51142.539318479685</v>
      </c>
      <c r="V48" s="263" t="s">
        <v>169</v>
      </c>
      <c r="W48" s="159"/>
      <c r="X48" s="164"/>
      <c r="Y48" s="164"/>
      <c r="Z48" s="164"/>
      <c r="AA48" s="164"/>
      <c r="AB48" s="164"/>
      <c r="AS48" s="262">
        <f>AS47/2289</f>
        <v>49596.519095674972</v>
      </c>
      <c r="AT48" s="416" t="s">
        <v>169</v>
      </c>
      <c r="AU48" s="204"/>
    </row>
    <row r="49" spans="3:47" ht="13.5" x14ac:dyDescent="0.3">
      <c r="V49" s="206"/>
      <c r="X49" s="164"/>
      <c r="Y49" s="164"/>
      <c r="Z49" s="164"/>
      <c r="AA49" s="164"/>
      <c r="AB49" s="164"/>
      <c r="AS49" s="206"/>
      <c r="AU49" s="204"/>
    </row>
    <row r="50" spans="3:47" ht="13.5" customHeight="1" x14ac:dyDescent="0.2">
      <c r="C50" s="939" t="s">
        <v>170</v>
      </c>
      <c r="D50" s="940"/>
      <c r="E50" s="940"/>
      <c r="F50" s="940"/>
      <c r="G50" s="941"/>
      <c r="I50" s="917" t="s">
        <v>171</v>
      </c>
      <c r="J50" s="918"/>
      <c r="K50" s="918"/>
      <c r="L50" s="918"/>
      <c r="M50" s="919"/>
      <c r="O50" s="920" t="s">
        <v>172</v>
      </c>
      <c r="P50" s="921"/>
      <c r="Q50" s="921"/>
      <c r="R50" s="921"/>
      <c r="S50" s="922"/>
      <c r="U50" s="923" t="s">
        <v>173</v>
      </c>
      <c r="V50" s="924"/>
      <c r="W50" s="924"/>
      <c r="X50" s="924"/>
      <c r="Y50" s="924"/>
      <c r="Z50" s="925"/>
    </row>
    <row r="51" spans="3:47" ht="25.5" customHeight="1" x14ac:dyDescent="0.2">
      <c r="C51" s="394" t="s">
        <v>44</v>
      </c>
      <c r="D51" s="339" t="s">
        <v>174</v>
      </c>
      <c r="E51" s="395" t="s">
        <v>175</v>
      </c>
      <c r="F51" s="395" t="s">
        <v>176</v>
      </c>
      <c r="G51" s="396" t="s">
        <v>177</v>
      </c>
      <c r="I51" s="394" t="s">
        <v>44</v>
      </c>
      <c r="J51" s="339" t="s">
        <v>174</v>
      </c>
      <c r="K51" s="432" t="s">
        <v>175</v>
      </c>
      <c r="L51" s="398" t="s">
        <v>176</v>
      </c>
      <c r="M51" s="396" t="s">
        <v>177</v>
      </c>
      <c r="O51" s="430" t="s">
        <v>44</v>
      </c>
      <c r="P51" s="424" t="s">
        <v>174</v>
      </c>
      <c r="Q51" s="431" t="s">
        <v>175</v>
      </c>
      <c r="R51" s="425" t="s">
        <v>176</v>
      </c>
      <c r="S51" s="426" t="s">
        <v>178</v>
      </c>
      <c r="U51" s="283" t="s">
        <v>31</v>
      </c>
      <c r="V51" s="488" t="s">
        <v>174</v>
      </c>
      <c r="W51" s="490" t="s">
        <v>179</v>
      </c>
      <c r="X51" s="489" t="s">
        <v>176</v>
      </c>
      <c r="Y51" s="284" t="s">
        <v>180</v>
      </c>
      <c r="Z51" s="285" t="s">
        <v>181</v>
      </c>
    </row>
    <row r="52" spans="3:47" ht="11.25" customHeight="1" x14ac:dyDescent="0.2">
      <c r="C52" s="391">
        <v>44621</v>
      </c>
      <c r="D52" s="677" t="s">
        <v>182</v>
      </c>
      <c r="E52" s="713">
        <v>75</v>
      </c>
      <c r="F52" s="171" t="s">
        <v>183</v>
      </c>
      <c r="G52" s="678" t="s">
        <v>184</v>
      </c>
      <c r="I52" s="422"/>
      <c r="J52" s="399"/>
      <c r="K52" s="399"/>
      <c r="L52" s="399"/>
      <c r="M52" s="423"/>
      <c r="O52" s="286">
        <v>44562</v>
      </c>
      <c r="P52" s="399" t="s">
        <v>185</v>
      </c>
      <c r="Q52" s="417">
        <v>115</v>
      </c>
      <c r="R52" s="417" t="s">
        <v>186</v>
      </c>
      <c r="S52" s="403" t="s">
        <v>184</v>
      </c>
      <c r="U52" s="286" t="s">
        <v>187</v>
      </c>
      <c r="V52" s="417" t="s">
        <v>188</v>
      </c>
      <c r="W52" s="171">
        <v>120</v>
      </c>
      <c r="X52" s="417" t="s">
        <v>189</v>
      </c>
      <c r="Y52" s="417" t="s">
        <v>184</v>
      </c>
      <c r="Z52" s="403" t="s">
        <v>190</v>
      </c>
    </row>
    <row r="53" spans="3:47" ht="11.25" customHeight="1" x14ac:dyDescent="0.2">
      <c r="C53" s="391">
        <v>44630</v>
      </c>
      <c r="D53" s="677" t="s">
        <v>191</v>
      </c>
      <c r="E53" s="713">
        <v>74</v>
      </c>
      <c r="F53" s="171" t="s">
        <v>192</v>
      </c>
      <c r="G53" s="678" t="s">
        <v>184</v>
      </c>
      <c r="I53" s="640"/>
      <c r="J53" s="641"/>
      <c r="K53" s="641"/>
      <c r="L53" s="641"/>
      <c r="M53" s="419"/>
      <c r="O53" s="391">
        <v>44562</v>
      </c>
      <c r="P53" s="641" t="s">
        <v>193</v>
      </c>
      <c r="Q53" s="171">
        <v>55</v>
      </c>
      <c r="R53" s="171" t="s">
        <v>194</v>
      </c>
      <c r="S53" s="403" t="s">
        <v>184</v>
      </c>
      <c r="U53" s="391"/>
      <c r="V53" s="171"/>
      <c r="W53" s="486"/>
      <c r="X53" s="392"/>
      <c r="Y53" s="392"/>
      <c r="Z53" s="642"/>
    </row>
    <row r="54" spans="3:47" ht="11.25" customHeight="1" x14ac:dyDescent="0.2">
      <c r="C54" s="391">
        <v>44713</v>
      </c>
      <c r="D54" s="391" t="s">
        <v>195</v>
      </c>
      <c r="E54" s="393">
        <v>125</v>
      </c>
      <c r="F54" s="392" t="s">
        <v>196</v>
      </c>
      <c r="G54" s="419" t="s">
        <v>197</v>
      </c>
      <c r="I54" s="408"/>
      <c r="J54" s="223"/>
      <c r="K54" s="223"/>
      <c r="L54" s="223"/>
      <c r="M54" s="419"/>
      <c r="O54" s="279">
        <v>44562</v>
      </c>
      <c r="P54" s="223" t="s">
        <v>198</v>
      </c>
      <c r="Q54" s="310">
        <v>97</v>
      </c>
      <c r="R54" s="310" t="s">
        <v>199</v>
      </c>
      <c r="S54" s="404" t="s">
        <v>184</v>
      </c>
      <c r="U54" s="279"/>
      <c r="V54" s="310"/>
      <c r="W54" s="487"/>
      <c r="X54" s="251"/>
      <c r="Y54" s="251"/>
      <c r="Z54" s="404"/>
    </row>
    <row r="55" spans="3:47" ht="11.25" customHeight="1" x14ac:dyDescent="0.2">
      <c r="C55" s="279">
        <v>44743</v>
      </c>
      <c r="D55" s="251" t="s">
        <v>200</v>
      </c>
      <c r="E55" s="306">
        <v>107</v>
      </c>
      <c r="F55" s="251" t="s">
        <v>201</v>
      </c>
      <c r="G55" s="419" t="s">
        <v>197</v>
      </c>
      <c r="I55" s="408"/>
      <c r="J55" s="223"/>
      <c r="K55" s="223"/>
      <c r="L55" s="223"/>
      <c r="M55" s="420"/>
      <c r="O55" s="279">
        <v>44593</v>
      </c>
      <c r="P55" s="223" t="s">
        <v>202</v>
      </c>
      <c r="Q55" s="310">
        <v>30</v>
      </c>
      <c r="R55" s="310" t="s">
        <v>203</v>
      </c>
      <c r="S55" s="404" t="s">
        <v>184</v>
      </c>
      <c r="U55" s="279"/>
      <c r="V55" s="310"/>
      <c r="W55" s="487"/>
      <c r="X55" s="251"/>
      <c r="Y55" s="251"/>
      <c r="Z55" s="404"/>
    </row>
    <row r="56" spans="3:47" ht="11.25" customHeight="1" x14ac:dyDescent="0.2">
      <c r="C56" s="279">
        <v>44774</v>
      </c>
      <c r="D56" s="251" t="s">
        <v>204</v>
      </c>
      <c r="E56" s="306">
        <v>128</v>
      </c>
      <c r="F56" s="251" t="s">
        <v>205</v>
      </c>
      <c r="G56" s="419" t="s">
        <v>206</v>
      </c>
      <c r="I56" s="400"/>
      <c r="J56" s="223"/>
      <c r="K56" s="223"/>
      <c r="L56" s="223"/>
      <c r="M56" s="420"/>
      <c r="O56" s="279"/>
      <c r="P56" s="223"/>
      <c r="Q56" s="310"/>
      <c r="R56" s="310"/>
      <c r="S56" s="404"/>
      <c r="U56" s="279"/>
      <c r="V56" s="310"/>
      <c r="W56" s="487"/>
      <c r="X56" s="251"/>
      <c r="Y56" s="251"/>
      <c r="Z56" s="404"/>
    </row>
    <row r="57" spans="3:47" ht="11.25" customHeight="1" x14ac:dyDescent="0.2">
      <c r="C57" s="279">
        <v>44866</v>
      </c>
      <c r="D57" s="251" t="s">
        <v>207</v>
      </c>
      <c r="E57" s="306">
        <v>150</v>
      </c>
      <c r="F57" s="251" t="s">
        <v>208</v>
      </c>
      <c r="G57" s="419" t="s">
        <v>197</v>
      </c>
      <c r="I57" s="400"/>
      <c r="J57" s="223"/>
      <c r="K57" s="223"/>
      <c r="L57" s="223"/>
      <c r="M57" s="420"/>
      <c r="O57" s="279">
        <v>44593</v>
      </c>
      <c r="P57" s="223" t="s">
        <v>209</v>
      </c>
      <c r="Q57" s="310">
        <v>109</v>
      </c>
      <c r="R57" s="310" t="s">
        <v>210</v>
      </c>
      <c r="S57" s="404" t="s">
        <v>184</v>
      </c>
      <c r="U57" s="279"/>
      <c r="V57" s="310"/>
      <c r="W57" s="487"/>
      <c r="X57" s="251"/>
      <c r="Y57" s="251"/>
      <c r="Z57" s="404"/>
    </row>
    <row r="58" spans="3:47" ht="11.25" customHeight="1" x14ac:dyDescent="0.2">
      <c r="C58" s="279">
        <v>44866</v>
      </c>
      <c r="D58" s="251" t="s">
        <v>211</v>
      </c>
      <c r="E58" s="306">
        <v>153</v>
      </c>
      <c r="F58" s="251" t="s">
        <v>212</v>
      </c>
      <c r="G58" s="419" t="s">
        <v>197</v>
      </c>
      <c r="I58" s="400"/>
      <c r="J58" s="223"/>
      <c r="K58" s="223"/>
      <c r="L58" s="223"/>
      <c r="M58" s="420"/>
      <c r="O58" s="279">
        <v>44621</v>
      </c>
      <c r="P58" s="223" t="s">
        <v>198</v>
      </c>
      <c r="Q58" s="310">
        <v>72</v>
      </c>
      <c r="R58" s="310" t="s">
        <v>199</v>
      </c>
      <c r="S58" s="404" t="s">
        <v>184</v>
      </c>
      <c r="U58" s="279"/>
      <c r="V58" s="310"/>
      <c r="W58" s="487"/>
      <c r="X58" s="251"/>
      <c r="Y58" s="251"/>
      <c r="Z58" s="404"/>
    </row>
    <row r="59" spans="3:47" ht="11.25" customHeight="1" x14ac:dyDescent="0.2">
      <c r="C59" s="279" t="s">
        <v>213</v>
      </c>
      <c r="D59" s="251" t="s">
        <v>214</v>
      </c>
      <c r="E59" s="306">
        <v>125</v>
      </c>
      <c r="F59" s="251" t="s">
        <v>205</v>
      </c>
      <c r="G59" s="419" t="s">
        <v>184</v>
      </c>
      <c r="I59" s="400"/>
      <c r="J59" s="223"/>
      <c r="K59" s="223"/>
      <c r="L59" s="223"/>
      <c r="M59" s="420"/>
      <c r="O59" s="279">
        <v>44621</v>
      </c>
      <c r="P59" s="223" t="s">
        <v>202</v>
      </c>
      <c r="Q59" s="310">
        <v>10</v>
      </c>
      <c r="R59" s="310" t="s">
        <v>203</v>
      </c>
      <c r="S59" s="404" t="s">
        <v>184</v>
      </c>
      <c r="U59" s="279"/>
      <c r="V59" s="310"/>
      <c r="W59" s="487"/>
      <c r="X59" s="251"/>
      <c r="Y59" s="251"/>
      <c r="Z59" s="404"/>
    </row>
    <row r="60" spans="3:47" ht="11.25" customHeight="1" x14ac:dyDescent="0.2">
      <c r="C60" s="279" t="s">
        <v>215</v>
      </c>
      <c r="D60" s="391" t="s">
        <v>200</v>
      </c>
      <c r="E60" s="306">
        <v>138</v>
      </c>
      <c r="F60" s="251" t="s">
        <v>201</v>
      </c>
      <c r="G60" s="419" t="s">
        <v>184</v>
      </c>
      <c r="I60" s="400"/>
      <c r="J60" s="223"/>
      <c r="K60" s="223"/>
      <c r="L60" s="223"/>
      <c r="M60" s="420"/>
      <c r="O60" s="279">
        <v>44652</v>
      </c>
      <c r="P60" s="223" t="s">
        <v>193</v>
      </c>
      <c r="Q60" s="310">
        <v>30</v>
      </c>
      <c r="R60" s="310" t="s">
        <v>194</v>
      </c>
      <c r="S60" s="404" t="s">
        <v>184</v>
      </c>
      <c r="U60" s="279"/>
      <c r="V60" s="310"/>
      <c r="W60" s="487"/>
      <c r="X60" s="251"/>
      <c r="Y60" s="251"/>
      <c r="Z60" s="404"/>
    </row>
    <row r="61" spans="3:47" ht="11.25" customHeight="1" x14ac:dyDescent="0.2">
      <c r="C61" s="279" t="s">
        <v>215</v>
      </c>
      <c r="D61" s="251" t="s">
        <v>191</v>
      </c>
      <c r="E61" s="306">
        <v>114</v>
      </c>
      <c r="F61" s="251" t="s">
        <v>216</v>
      </c>
      <c r="G61" s="419" t="s">
        <v>184</v>
      </c>
      <c r="I61" s="400"/>
      <c r="J61" s="223"/>
      <c r="K61" s="223"/>
      <c r="L61" s="223"/>
      <c r="M61" s="420"/>
      <c r="O61" s="279">
        <v>44652</v>
      </c>
      <c r="P61" s="223" t="s">
        <v>185</v>
      </c>
      <c r="Q61" s="310">
        <v>105</v>
      </c>
      <c r="R61" s="310" t="s">
        <v>186</v>
      </c>
      <c r="S61" s="404" t="s">
        <v>184</v>
      </c>
      <c r="U61" s="279"/>
      <c r="V61" s="310"/>
      <c r="W61" s="487"/>
      <c r="X61" s="251"/>
      <c r="Y61" s="251"/>
      <c r="Z61" s="404"/>
    </row>
    <row r="62" spans="3:47" ht="11.25" customHeight="1" x14ac:dyDescent="0.2">
      <c r="C62" s="279" t="s">
        <v>215</v>
      </c>
      <c r="D62" s="251" t="s">
        <v>207</v>
      </c>
      <c r="E62" s="306">
        <v>75</v>
      </c>
      <c r="F62" s="251" t="s">
        <v>208</v>
      </c>
      <c r="G62" s="419" t="s">
        <v>184</v>
      </c>
      <c r="I62" s="400"/>
      <c r="J62" s="223"/>
      <c r="K62" s="223"/>
      <c r="L62" s="223"/>
      <c r="M62" s="420"/>
      <c r="O62" s="279">
        <v>44652</v>
      </c>
      <c r="P62" s="223" t="s">
        <v>217</v>
      </c>
      <c r="Q62" s="310">
        <v>90</v>
      </c>
      <c r="R62" s="310" t="s">
        <v>218</v>
      </c>
      <c r="S62" s="404" t="s">
        <v>197</v>
      </c>
      <c r="U62" s="279"/>
      <c r="V62" s="310"/>
      <c r="W62" s="487"/>
      <c r="X62" s="251"/>
      <c r="Y62" s="251"/>
      <c r="Z62" s="404"/>
    </row>
    <row r="63" spans="3:47" ht="11.25" customHeight="1" x14ac:dyDescent="0.2">
      <c r="C63" s="279" t="s">
        <v>219</v>
      </c>
      <c r="D63" s="251" t="s">
        <v>195</v>
      </c>
      <c r="E63" s="306">
        <v>77</v>
      </c>
      <c r="F63" s="251" t="s">
        <v>220</v>
      </c>
      <c r="G63" s="420" t="s">
        <v>184</v>
      </c>
      <c r="I63" s="400"/>
      <c r="J63" s="223"/>
      <c r="K63" s="223"/>
      <c r="L63" s="223"/>
      <c r="M63" s="420"/>
      <c r="O63" s="279">
        <v>44682</v>
      </c>
      <c r="P63" s="223" t="s">
        <v>221</v>
      </c>
      <c r="Q63" s="310">
        <v>110</v>
      </c>
      <c r="R63" s="310" t="s">
        <v>222</v>
      </c>
      <c r="S63" s="404" t="s">
        <v>197</v>
      </c>
      <c r="U63" s="279"/>
      <c r="V63" s="310"/>
      <c r="W63" s="487"/>
      <c r="X63" s="251"/>
      <c r="Y63" s="251"/>
      <c r="Z63" s="404"/>
    </row>
    <row r="64" spans="3:47" ht="11.25" customHeight="1" x14ac:dyDescent="0.2">
      <c r="C64" s="279" t="s">
        <v>219</v>
      </c>
      <c r="D64" s="251" t="s">
        <v>182</v>
      </c>
      <c r="E64" s="306">
        <v>84</v>
      </c>
      <c r="F64" s="251" t="s">
        <v>223</v>
      </c>
      <c r="G64" s="420" t="s">
        <v>184</v>
      </c>
      <c r="I64" s="400"/>
      <c r="J64" s="223"/>
      <c r="K64" s="223"/>
      <c r="L64" s="223"/>
      <c r="M64" s="420"/>
      <c r="O64" s="279">
        <v>44713</v>
      </c>
      <c r="P64" s="223" t="s">
        <v>224</v>
      </c>
      <c r="Q64" s="310">
        <v>40</v>
      </c>
      <c r="R64" s="310" t="s">
        <v>225</v>
      </c>
      <c r="S64" s="404" t="s">
        <v>197</v>
      </c>
      <c r="U64" s="279"/>
      <c r="V64" s="310"/>
      <c r="W64" s="487"/>
      <c r="X64" s="251"/>
      <c r="Y64" s="251"/>
      <c r="Z64" s="404"/>
    </row>
    <row r="65" spans="3:26" ht="11.25" customHeight="1" x14ac:dyDescent="0.2">
      <c r="C65" s="279" t="s">
        <v>226</v>
      </c>
      <c r="D65" s="251" t="s">
        <v>207</v>
      </c>
      <c r="E65" s="306">
        <v>15</v>
      </c>
      <c r="F65" s="251" t="s">
        <v>227</v>
      </c>
      <c r="G65" s="419" t="s">
        <v>184</v>
      </c>
      <c r="I65" s="400"/>
      <c r="J65" s="223"/>
      <c r="K65" s="223"/>
      <c r="L65" s="223"/>
      <c r="M65" s="420"/>
      <c r="O65" s="279">
        <v>44713</v>
      </c>
      <c r="P65" s="223" t="s">
        <v>228</v>
      </c>
      <c r="Q65" s="310">
        <v>43</v>
      </c>
      <c r="R65" s="310" t="s">
        <v>229</v>
      </c>
      <c r="S65" s="404" t="s">
        <v>197</v>
      </c>
      <c r="U65" s="279"/>
      <c r="V65" s="310"/>
      <c r="W65" s="487"/>
      <c r="X65" s="251"/>
      <c r="Y65" s="251"/>
      <c r="Z65" s="404"/>
    </row>
    <row r="66" spans="3:26" ht="11.25" customHeight="1" x14ac:dyDescent="0.2">
      <c r="C66" s="279" t="s">
        <v>230</v>
      </c>
      <c r="D66" s="251" t="s">
        <v>191</v>
      </c>
      <c r="E66" s="306">
        <v>51</v>
      </c>
      <c r="F66" s="251" t="s">
        <v>216</v>
      </c>
      <c r="G66" s="419" t="s">
        <v>184</v>
      </c>
      <c r="I66" s="400"/>
      <c r="J66" s="223"/>
      <c r="K66" s="223"/>
      <c r="L66" s="223"/>
      <c r="M66" s="420"/>
      <c r="O66" s="279">
        <v>44743</v>
      </c>
      <c r="P66" s="223" t="s">
        <v>198</v>
      </c>
      <c r="Q66" s="310">
        <v>26</v>
      </c>
      <c r="R66" s="310" t="s">
        <v>199</v>
      </c>
      <c r="S66" s="404" t="s">
        <v>184</v>
      </c>
      <c r="U66" s="279"/>
      <c r="V66" s="310"/>
      <c r="W66" s="487"/>
      <c r="X66" s="251"/>
      <c r="Y66" s="251"/>
      <c r="Z66" s="404"/>
    </row>
    <row r="67" spans="3:26" ht="11.25" customHeight="1" x14ac:dyDescent="0.2">
      <c r="C67" s="279" t="s">
        <v>230</v>
      </c>
      <c r="D67" s="251" t="s">
        <v>211</v>
      </c>
      <c r="E67" s="306">
        <v>131</v>
      </c>
      <c r="F67" s="251" t="s">
        <v>201</v>
      </c>
      <c r="G67" s="419" t="s">
        <v>184</v>
      </c>
      <c r="I67" s="400"/>
      <c r="J67" s="223"/>
      <c r="K67" s="223"/>
      <c r="L67" s="223"/>
      <c r="M67" s="420"/>
      <c r="O67" s="406" t="s">
        <v>231</v>
      </c>
      <c r="P67" s="223" t="s">
        <v>228</v>
      </c>
      <c r="Q67" s="310">
        <v>22</v>
      </c>
      <c r="R67" s="427" t="s">
        <v>229</v>
      </c>
      <c r="S67" s="404" t="s">
        <v>184</v>
      </c>
      <c r="U67" s="279"/>
      <c r="V67" s="310"/>
      <c r="W67" s="487"/>
      <c r="X67" s="251"/>
      <c r="Y67" s="251"/>
      <c r="Z67" s="404"/>
    </row>
    <row r="68" spans="3:26" ht="11.25" customHeight="1" x14ac:dyDescent="0.2">
      <c r="C68" s="279" t="s">
        <v>232</v>
      </c>
      <c r="D68" s="251" t="s">
        <v>204</v>
      </c>
      <c r="E68" s="306">
        <v>119</v>
      </c>
      <c r="F68" s="251" t="s">
        <v>205</v>
      </c>
      <c r="G68" s="419" t="s">
        <v>184</v>
      </c>
      <c r="I68" s="400"/>
      <c r="J68" s="223"/>
      <c r="K68" s="223"/>
      <c r="L68" s="223"/>
      <c r="M68" s="420"/>
      <c r="O68" s="406"/>
      <c r="P68" s="223"/>
      <c r="Q68" s="223"/>
      <c r="R68" s="427"/>
      <c r="S68" s="404"/>
      <c r="U68" s="279"/>
      <c r="V68" s="310"/>
      <c r="W68" s="487"/>
      <c r="X68" s="251"/>
      <c r="Y68" s="251"/>
      <c r="Z68" s="404"/>
    </row>
    <row r="69" spans="3:26" ht="11.25" customHeight="1" x14ac:dyDescent="0.2">
      <c r="C69" s="279" t="s">
        <v>233</v>
      </c>
      <c r="D69" s="391" t="s">
        <v>200</v>
      </c>
      <c r="E69" s="306">
        <v>145</v>
      </c>
      <c r="F69" s="251" t="s">
        <v>234</v>
      </c>
      <c r="G69" s="419" t="s">
        <v>184</v>
      </c>
      <c r="I69" s="400"/>
      <c r="J69" s="223"/>
      <c r="K69" s="223"/>
      <c r="L69" s="223"/>
      <c r="M69" s="420"/>
      <c r="O69" s="406"/>
      <c r="P69" s="223"/>
      <c r="Q69" s="223"/>
      <c r="R69" s="310"/>
      <c r="S69" s="404"/>
      <c r="U69" s="279"/>
      <c r="V69" s="310"/>
      <c r="W69" s="487"/>
      <c r="X69" s="251"/>
      <c r="Y69" s="251"/>
      <c r="Z69" s="404"/>
    </row>
    <row r="70" spans="3:26" ht="11.25" customHeight="1" x14ac:dyDescent="0.2">
      <c r="C70" s="279" t="s">
        <v>233</v>
      </c>
      <c r="D70" s="251" t="s">
        <v>195</v>
      </c>
      <c r="E70" s="306">
        <v>131</v>
      </c>
      <c r="F70" s="251" t="s">
        <v>220</v>
      </c>
      <c r="G70" s="419" t="s">
        <v>184</v>
      </c>
      <c r="I70" s="400"/>
      <c r="J70" s="223"/>
      <c r="K70" s="223"/>
      <c r="L70" s="223"/>
      <c r="M70" s="420"/>
      <c r="O70" s="406"/>
      <c r="P70" s="223"/>
      <c r="Q70" s="223"/>
      <c r="R70" s="310"/>
      <c r="S70" s="404"/>
      <c r="U70" s="279"/>
      <c r="V70" s="310"/>
      <c r="W70" s="487"/>
      <c r="X70" s="251"/>
      <c r="Y70" s="251"/>
      <c r="Z70" s="404"/>
    </row>
    <row r="71" spans="3:26" ht="11.25" customHeight="1" x14ac:dyDescent="0.2">
      <c r="C71" s="279" t="s">
        <v>235</v>
      </c>
      <c r="D71" s="251" t="s">
        <v>204</v>
      </c>
      <c r="E71" s="306">
        <v>96</v>
      </c>
      <c r="F71" s="251" t="s">
        <v>205</v>
      </c>
      <c r="G71" s="420" t="s">
        <v>184</v>
      </c>
      <c r="I71" s="400"/>
      <c r="J71" s="223"/>
      <c r="K71" s="223"/>
      <c r="L71" s="223"/>
      <c r="M71" s="420"/>
      <c r="O71" s="406"/>
      <c r="P71" s="223"/>
      <c r="Q71" s="223"/>
      <c r="R71" s="310"/>
      <c r="S71" s="404"/>
      <c r="U71" s="279"/>
      <c r="V71" s="310"/>
      <c r="W71" s="487"/>
      <c r="X71" s="251"/>
      <c r="Y71" s="251"/>
      <c r="Z71" s="404"/>
    </row>
    <row r="72" spans="3:26" ht="11.25" customHeight="1" x14ac:dyDescent="0.2">
      <c r="C72" s="279" t="s">
        <v>236</v>
      </c>
      <c r="D72" s="251" t="s">
        <v>195</v>
      </c>
      <c r="E72" s="306">
        <v>28</v>
      </c>
      <c r="F72" s="251" t="s">
        <v>220</v>
      </c>
      <c r="G72" s="420" t="s">
        <v>184</v>
      </c>
      <c r="I72" s="400"/>
      <c r="J72" s="223"/>
      <c r="K72" s="223"/>
      <c r="L72" s="223"/>
      <c r="M72" s="420"/>
      <c r="O72" s="406"/>
      <c r="P72" s="223"/>
      <c r="Q72" s="223"/>
      <c r="R72" s="310"/>
      <c r="S72" s="404"/>
      <c r="U72" s="279"/>
      <c r="V72" s="310"/>
      <c r="W72" s="487"/>
      <c r="X72" s="251"/>
      <c r="Y72" s="251"/>
      <c r="Z72" s="404"/>
    </row>
    <row r="73" spans="3:26" ht="11.25" customHeight="1" x14ac:dyDescent="0.2">
      <c r="C73" s="279" t="s">
        <v>236</v>
      </c>
      <c r="D73" s="251" t="s">
        <v>237</v>
      </c>
      <c r="E73" s="306">
        <v>25</v>
      </c>
      <c r="F73" s="251" t="s">
        <v>201</v>
      </c>
      <c r="G73" s="420" t="s">
        <v>184</v>
      </c>
      <c r="I73" s="401"/>
      <c r="J73" s="225"/>
      <c r="K73" s="225"/>
      <c r="L73" s="225"/>
      <c r="M73" s="420"/>
      <c r="O73" s="406"/>
      <c r="P73" s="223"/>
      <c r="Q73" s="223"/>
      <c r="R73" s="428"/>
      <c r="S73" s="404"/>
      <c r="U73" s="279"/>
      <c r="V73" s="310"/>
      <c r="W73" s="487"/>
      <c r="X73" s="251"/>
      <c r="Y73" s="251"/>
      <c r="Z73" s="404"/>
    </row>
    <row r="74" spans="3:26" ht="11.25" customHeight="1" x14ac:dyDescent="0.2">
      <c r="C74" s="279" t="s">
        <v>236</v>
      </c>
      <c r="D74" s="251" t="s">
        <v>211</v>
      </c>
      <c r="E74" s="306">
        <v>101</v>
      </c>
      <c r="F74" s="251" t="s">
        <v>216</v>
      </c>
      <c r="G74" s="420" t="s">
        <v>184</v>
      </c>
      <c r="I74" s="400"/>
      <c r="J74" s="223"/>
      <c r="K74" s="223"/>
      <c r="L74" s="223"/>
      <c r="M74" s="420"/>
      <c r="O74" s="406"/>
      <c r="P74" s="223"/>
      <c r="Q74" s="223"/>
      <c r="R74" s="310"/>
      <c r="S74" s="404"/>
      <c r="U74" s="279"/>
      <c r="V74" s="310"/>
      <c r="W74" s="487"/>
      <c r="X74" s="251"/>
      <c r="Y74" s="251"/>
      <c r="Z74" s="404"/>
    </row>
    <row r="75" spans="3:26" ht="11.25" customHeight="1" x14ac:dyDescent="0.2">
      <c r="C75" s="279" t="s">
        <v>236</v>
      </c>
      <c r="D75" s="251" t="s">
        <v>200</v>
      </c>
      <c r="E75" s="306">
        <v>15</v>
      </c>
      <c r="F75" s="251" t="s">
        <v>201</v>
      </c>
      <c r="G75" s="420" t="s">
        <v>184</v>
      </c>
      <c r="I75" s="400"/>
      <c r="J75" s="223"/>
      <c r="K75" s="223"/>
      <c r="L75" s="223"/>
      <c r="M75" s="420"/>
      <c r="O75" s="406"/>
      <c r="P75" s="223"/>
      <c r="Q75" s="223"/>
      <c r="R75" s="310"/>
      <c r="S75" s="404"/>
      <c r="U75" s="279"/>
      <c r="V75" s="310"/>
      <c r="W75" s="487"/>
      <c r="X75" s="251"/>
      <c r="Y75" s="251"/>
      <c r="Z75" s="404"/>
    </row>
    <row r="76" spans="3:26" ht="9.75" customHeight="1" x14ac:dyDescent="0.2">
      <c r="C76" s="279" t="s">
        <v>236</v>
      </c>
      <c r="D76" s="251" t="s">
        <v>238</v>
      </c>
      <c r="E76" s="306">
        <v>118</v>
      </c>
      <c r="F76" s="251" t="s">
        <v>201</v>
      </c>
      <c r="G76" s="420" t="s">
        <v>184</v>
      </c>
      <c r="I76" s="400"/>
      <c r="J76" s="223"/>
      <c r="K76" s="223"/>
      <c r="L76" s="223"/>
      <c r="M76" s="420"/>
      <c r="O76" s="406"/>
      <c r="P76" s="223"/>
      <c r="Q76" s="223"/>
      <c r="R76" s="310"/>
      <c r="S76" s="404"/>
      <c r="U76" s="279"/>
      <c r="V76" s="310"/>
      <c r="W76" s="487"/>
      <c r="X76" s="251"/>
      <c r="Y76" s="251"/>
      <c r="Z76" s="404"/>
    </row>
    <row r="77" spans="3:26" ht="11.25" hidden="1" customHeight="1" x14ac:dyDescent="0.2">
      <c r="C77" s="279"/>
      <c r="D77" s="251"/>
      <c r="E77" s="306"/>
      <c r="F77" s="251"/>
      <c r="G77" s="420"/>
      <c r="I77" s="400"/>
      <c r="J77" s="223"/>
      <c r="K77" s="223"/>
      <c r="L77" s="223"/>
      <c r="M77" s="420"/>
      <c r="O77" s="406"/>
      <c r="P77" s="223"/>
      <c r="Q77" s="223"/>
      <c r="R77" s="310"/>
      <c r="S77" s="404"/>
      <c r="U77" s="279"/>
      <c r="V77" s="310"/>
      <c r="W77" s="486"/>
      <c r="X77" s="251"/>
      <c r="Y77" s="251"/>
      <c r="Z77" s="404"/>
    </row>
    <row r="78" spans="3:26" ht="11.25" customHeight="1" x14ac:dyDescent="0.2">
      <c r="C78" s="279" t="s">
        <v>236</v>
      </c>
      <c r="D78" s="251" t="s">
        <v>207</v>
      </c>
      <c r="E78" s="306">
        <v>73</v>
      </c>
      <c r="F78" s="251" t="s">
        <v>223</v>
      </c>
      <c r="G78" s="420" t="s">
        <v>184</v>
      </c>
      <c r="I78" s="400"/>
      <c r="J78" s="310"/>
      <c r="K78" s="310"/>
      <c r="L78" s="223"/>
      <c r="M78" s="420"/>
      <c r="O78" s="406"/>
      <c r="P78" s="223"/>
      <c r="Q78" s="223"/>
      <c r="R78" s="310"/>
      <c r="S78" s="404"/>
      <c r="U78" s="279"/>
      <c r="V78" s="310"/>
      <c r="W78" s="251"/>
      <c r="X78" s="251"/>
      <c r="Y78" s="251"/>
      <c r="Z78" s="404"/>
    </row>
    <row r="79" spans="3:26" ht="11.25" customHeight="1" x14ac:dyDescent="0.2">
      <c r="C79" s="279" t="s">
        <v>236</v>
      </c>
      <c r="D79" s="251" t="s">
        <v>182</v>
      </c>
      <c r="E79" s="306">
        <v>73</v>
      </c>
      <c r="F79" s="251" t="s">
        <v>223</v>
      </c>
      <c r="G79" s="420" t="s">
        <v>184</v>
      </c>
      <c r="I79" s="400"/>
      <c r="J79" s="223"/>
      <c r="K79" s="223"/>
      <c r="L79" s="223"/>
      <c r="M79" s="420"/>
      <c r="O79" s="406"/>
      <c r="P79" s="223"/>
      <c r="Q79" s="223"/>
      <c r="R79" s="310"/>
      <c r="S79" s="404"/>
      <c r="U79" s="279"/>
      <c r="V79" s="310"/>
      <c r="W79" s="251"/>
      <c r="X79" s="251"/>
      <c r="Y79" s="251"/>
      <c r="Z79" s="404"/>
    </row>
    <row r="80" spans="3:26" ht="11.25" customHeight="1" x14ac:dyDescent="0.2">
      <c r="C80" s="279"/>
      <c r="D80" s="251"/>
      <c r="E80" s="306"/>
      <c r="F80" s="251"/>
      <c r="G80" s="420"/>
      <c r="I80" s="400"/>
      <c r="J80" s="223"/>
      <c r="K80" s="223"/>
      <c r="L80" s="223"/>
      <c r="M80" s="420"/>
      <c r="O80" s="406"/>
      <c r="P80" s="223"/>
      <c r="Q80" s="223"/>
      <c r="R80" s="310"/>
      <c r="S80" s="404"/>
      <c r="U80" s="279"/>
      <c r="V80" s="310"/>
      <c r="W80" s="251"/>
      <c r="X80" s="251"/>
      <c r="Y80" s="251"/>
      <c r="Z80" s="404"/>
    </row>
    <row r="81" spans="3:26" ht="11.25" customHeight="1" x14ac:dyDescent="0.2">
      <c r="C81" s="279"/>
      <c r="D81" s="251"/>
      <c r="E81" s="306"/>
      <c r="F81" s="251"/>
      <c r="G81" s="420"/>
      <c r="I81" s="400"/>
      <c r="J81" s="223"/>
      <c r="K81" s="223"/>
      <c r="L81" s="223"/>
      <c r="M81" s="420"/>
      <c r="O81" s="406"/>
      <c r="P81" s="223"/>
      <c r="Q81" s="223"/>
      <c r="R81" s="310"/>
      <c r="S81" s="404"/>
      <c r="U81" s="279"/>
      <c r="V81" s="310"/>
      <c r="W81" s="251"/>
      <c r="X81" s="251"/>
      <c r="Y81" s="251"/>
      <c r="Z81" s="404"/>
    </row>
    <row r="82" spans="3:26" ht="11.25" customHeight="1" x14ac:dyDescent="0.2">
      <c r="C82" s="279"/>
      <c r="D82" s="251"/>
      <c r="E82" s="306"/>
      <c r="F82" s="251"/>
      <c r="G82" s="420"/>
      <c r="I82" s="400"/>
      <c r="J82" s="223"/>
      <c r="K82" s="223"/>
      <c r="L82" s="223"/>
      <c r="M82" s="420"/>
      <c r="O82" s="406"/>
      <c r="P82" s="223"/>
      <c r="Q82" s="223"/>
      <c r="R82" s="310"/>
      <c r="S82" s="404"/>
      <c r="U82" s="279"/>
      <c r="V82" s="310"/>
      <c r="W82" s="251"/>
      <c r="X82" s="251"/>
      <c r="Y82" s="251"/>
      <c r="Z82" s="404"/>
    </row>
    <row r="83" spans="3:26" ht="11.25" customHeight="1" x14ac:dyDescent="0.2">
      <c r="C83" s="279"/>
      <c r="D83" s="251"/>
      <c r="E83" s="306"/>
      <c r="F83" s="251"/>
      <c r="G83" s="420"/>
      <c r="I83" s="400"/>
      <c r="J83" s="223"/>
      <c r="K83" s="223"/>
      <c r="L83" s="223"/>
      <c r="M83" s="420"/>
      <c r="O83" s="406"/>
      <c r="P83" s="223"/>
      <c r="Q83" s="223"/>
      <c r="R83" s="310"/>
      <c r="S83" s="404"/>
      <c r="U83" s="279"/>
      <c r="V83" s="310"/>
      <c r="W83" s="251"/>
      <c r="X83" s="251"/>
      <c r="Y83" s="251"/>
      <c r="Z83" s="404"/>
    </row>
    <row r="84" spans="3:26" ht="11.25" customHeight="1" x14ac:dyDescent="0.2">
      <c r="C84" s="279"/>
      <c r="D84" s="251"/>
      <c r="E84" s="306"/>
      <c r="F84" s="251"/>
      <c r="G84" s="420"/>
      <c r="I84" s="400"/>
      <c r="J84" s="223"/>
      <c r="K84" s="223"/>
      <c r="L84" s="223"/>
      <c r="M84" s="420"/>
      <c r="O84" s="406"/>
      <c r="P84" s="223"/>
      <c r="Q84" s="223"/>
      <c r="R84" s="310"/>
      <c r="S84" s="404"/>
      <c r="U84" s="279"/>
      <c r="V84" s="310"/>
      <c r="W84" s="251"/>
      <c r="X84" s="251"/>
      <c r="Y84" s="251"/>
      <c r="Z84" s="404"/>
    </row>
    <row r="85" spans="3:26" ht="11.25" customHeight="1" x14ac:dyDescent="0.2">
      <c r="C85" s="279"/>
      <c r="D85" s="251"/>
      <c r="E85" s="306"/>
      <c r="F85" s="251"/>
      <c r="G85" s="420"/>
      <c r="I85" s="400"/>
      <c r="J85" s="223"/>
      <c r="K85" s="223"/>
      <c r="L85" s="223"/>
      <c r="M85" s="420"/>
      <c r="O85" s="406"/>
      <c r="P85" s="223"/>
      <c r="Q85" s="223"/>
      <c r="R85" s="310"/>
      <c r="S85" s="404"/>
      <c r="U85" s="279"/>
      <c r="V85" s="251"/>
      <c r="W85" s="251"/>
      <c r="X85" s="251"/>
      <c r="Y85" s="251"/>
      <c r="Z85" s="404"/>
    </row>
    <row r="86" spans="3:26" ht="11.25" customHeight="1" x14ac:dyDescent="0.2">
      <c r="C86" s="279"/>
      <c r="D86" s="251"/>
      <c r="E86" s="306"/>
      <c r="F86" s="251"/>
      <c r="G86" s="420"/>
      <c r="I86" s="400"/>
      <c r="J86" s="223"/>
      <c r="K86" s="223"/>
      <c r="L86" s="223"/>
      <c r="M86" s="420"/>
      <c r="O86" s="406"/>
      <c r="P86" s="223"/>
      <c r="Q86" s="223"/>
      <c r="R86" s="310"/>
      <c r="S86" s="404"/>
      <c r="U86" s="279"/>
      <c r="V86" s="251"/>
      <c r="W86" s="251"/>
      <c r="X86" s="251"/>
      <c r="Y86" s="251"/>
      <c r="Z86" s="404"/>
    </row>
    <row r="87" spans="3:26" ht="11.25" customHeight="1" x14ac:dyDescent="0.2">
      <c r="C87" s="279"/>
      <c r="D87" s="251"/>
      <c r="E87" s="306"/>
      <c r="F87" s="251"/>
      <c r="G87" s="420"/>
      <c r="I87" s="400"/>
      <c r="J87" s="223"/>
      <c r="K87" s="223"/>
      <c r="L87" s="223"/>
      <c r="M87" s="420"/>
      <c r="O87" s="406"/>
      <c r="P87" s="223"/>
      <c r="Q87" s="223"/>
      <c r="R87" s="310"/>
      <c r="S87" s="404"/>
      <c r="U87" s="279"/>
      <c r="V87" s="251"/>
      <c r="W87" s="251"/>
      <c r="X87" s="251"/>
      <c r="Y87" s="251"/>
      <c r="Z87" s="404"/>
    </row>
    <row r="88" spans="3:26" ht="11.25" customHeight="1" x14ac:dyDescent="0.2">
      <c r="C88" s="279"/>
      <c r="D88" s="251"/>
      <c r="E88" s="306"/>
      <c r="F88" s="251"/>
      <c r="G88" s="420"/>
      <c r="I88" s="400"/>
      <c r="J88" s="223"/>
      <c r="K88" s="223"/>
      <c r="L88" s="223"/>
      <c r="M88" s="420"/>
      <c r="O88" s="406"/>
      <c r="P88" s="223"/>
      <c r="Q88" s="223"/>
      <c r="R88" s="310"/>
      <c r="S88" s="404"/>
      <c r="U88" s="279"/>
      <c r="V88" s="251"/>
      <c r="W88" s="251"/>
      <c r="X88" s="251"/>
      <c r="Y88" s="251"/>
      <c r="Z88" s="404"/>
    </row>
    <row r="89" spans="3:26" ht="11.25" customHeight="1" x14ac:dyDescent="0.2">
      <c r="C89" s="279"/>
      <c r="D89" s="251"/>
      <c r="E89" s="306"/>
      <c r="F89" s="251"/>
      <c r="G89" s="420"/>
      <c r="I89" s="400"/>
      <c r="J89" s="223"/>
      <c r="K89" s="223"/>
      <c r="L89" s="223"/>
      <c r="M89" s="420"/>
      <c r="O89" s="406"/>
      <c r="P89" s="223"/>
      <c r="Q89" s="223"/>
      <c r="R89" s="310"/>
      <c r="S89" s="404"/>
      <c r="U89" s="279"/>
      <c r="V89" s="251"/>
      <c r="W89" s="251"/>
      <c r="X89" s="251"/>
      <c r="Y89" s="251"/>
      <c r="Z89" s="404"/>
    </row>
    <row r="90" spans="3:26" ht="11.25" customHeight="1" x14ac:dyDescent="0.2">
      <c r="C90" s="279"/>
      <c r="D90" s="251"/>
      <c r="E90" s="306"/>
      <c r="F90" s="251"/>
      <c r="G90" s="420"/>
      <c r="I90" s="400"/>
      <c r="J90" s="223"/>
      <c r="K90" s="223"/>
      <c r="L90" s="223"/>
      <c r="M90" s="420"/>
      <c r="O90" s="406"/>
      <c r="P90" s="223"/>
      <c r="Q90" s="223"/>
      <c r="R90" s="310"/>
      <c r="S90" s="404"/>
      <c r="U90" s="279"/>
      <c r="V90" s="251"/>
      <c r="W90" s="251"/>
      <c r="X90" s="251"/>
      <c r="Y90" s="251"/>
      <c r="Z90" s="404"/>
    </row>
    <row r="91" spans="3:26" x14ac:dyDescent="0.2">
      <c r="C91" s="279"/>
      <c r="D91" s="251"/>
      <c r="E91" s="306"/>
      <c r="F91" s="251"/>
      <c r="G91" s="420"/>
      <c r="I91" s="400"/>
      <c r="J91" s="223"/>
      <c r="K91" s="223"/>
      <c r="L91" s="223"/>
      <c r="M91" s="420"/>
      <c r="O91" s="406"/>
      <c r="P91" s="223"/>
      <c r="Q91" s="223"/>
      <c r="R91" s="310"/>
      <c r="S91" s="404"/>
      <c r="U91" s="279"/>
      <c r="V91" s="251"/>
      <c r="W91" s="251"/>
      <c r="X91" s="251"/>
      <c r="Y91" s="251"/>
      <c r="Z91" s="404"/>
    </row>
    <row r="92" spans="3:26" x14ac:dyDescent="0.2">
      <c r="C92" s="279"/>
      <c r="D92" s="251"/>
      <c r="E92" s="306"/>
      <c r="F92" s="251"/>
      <c r="G92" s="420"/>
      <c r="I92" s="400"/>
      <c r="J92" s="223"/>
      <c r="K92" s="223"/>
      <c r="L92" s="223"/>
      <c r="M92" s="420"/>
      <c r="O92" s="406"/>
      <c r="P92" s="223"/>
      <c r="Q92" s="223"/>
      <c r="R92" s="310"/>
      <c r="S92" s="404"/>
      <c r="U92" s="279"/>
      <c r="V92" s="251"/>
      <c r="W92" s="251"/>
      <c r="X92" s="251"/>
      <c r="Y92" s="251"/>
      <c r="Z92" s="404"/>
    </row>
    <row r="93" spans="3:26" x14ac:dyDescent="0.2">
      <c r="C93" s="279"/>
      <c r="D93" s="251"/>
      <c r="E93" s="306"/>
      <c r="F93" s="251"/>
      <c r="G93" s="420"/>
      <c r="I93" s="400"/>
      <c r="J93" s="223"/>
      <c r="K93" s="223"/>
      <c r="L93" s="223"/>
      <c r="M93" s="420"/>
      <c r="O93" s="406"/>
      <c r="P93" s="223"/>
      <c r="Q93" s="223"/>
      <c r="R93" s="310"/>
      <c r="S93" s="404"/>
      <c r="U93" s="279"/>
      <c r="V93" s="251"/>
      <c r="W93" s="251"/>
      <c r="X93" s="251"/>
      <c r="Y93" s="251"/>
      <c r="Z93" s="404"/>
    </row>
    <row r="94" spans="3:26" x14ac:dyDescent="0.2">
      <c r="C94" s="279"/>
      <c r="D94" s="251"/>
      <c r="E94" s="306"/>
      <c r="F94" s="251"/>
      <c r="G94" s="420"/>
      <c r="I94" s="400"/>
      <c r="J94" s="223"/>
      <c r="K94" s="223"/>
      <c r="L94" s="223"/>
      <c r="M94" s="420"/>
      <c r="O94" s="406"/>
      <c r="P94" s="223"/>
      <c r="Q94" s="223"/>
      <c r="R94" s="310"/>
      <c r="S94" s="404"/>
      <c r="U94" s="279"/>
      <c r="V94" s="251"/>
      <c r="W94" s="251"/>
      <c r="X94" s="251"/>
      <c r="Y94" s="251"/>
      <c r="Z94" s="404"/>
    </row>
    <row r="95" spans="3:26" x14ac:dyDescent="0.2">
      <c r="C95" s="279"/>
      <c r="D95" s="251"/>
      <c r="E95" s="306"/>
      <c r="F95" s="251"/>
      <c r="G95" s="420"/>
      <c r="I95" s="400"/>
      <c r="J95" s="223"/>
      <c r="K95" s="223"/>
      <c r="L95" s="223"/>
      <c r="M95" s="420"/>
      <c r="O95" s="406"/>
      <c r="P95" s="223"/>
      <c r="Q95" s="223"/>
      <c r="R95" s="310"/>
      <c r="S95" s="404"/>
      <c r="U95" s="279"/>
      <c r="V95" s="251"/>
      <c r="W95" s="251"/>
      <c r="X95" s="251"/>
      <c r="Y95" s="251"/>
      <c r="Z95" s="404"/>
    </row>
    <row r="96" spans="3:26" x14ac:dyDescent="0.2">
      <c r="C96" s="279"/>
      <c r="D96" s="251"/>
      <c r="E96" s="306"/>
      <c r="F96" s="251"/>
      <c r="G96" s="420"/>
      <c r="I96" s="400"/>
      <c r="J96" s="223"/>
      <c r="K96" s="223"/>
      <c r="L96" s="223"/>
      <c r="M96" s="420"/>
      <c r="O96" s="406"/>
      <c r="P96" s="223"/>
      <c r="Q96" s="223"/>
      <c r="R96" s="310"/>
      <c r="S96" s="404"/>
      <c r="U96" s="279"/>
      <c r="V96" s="251"/>
      <c r="W96" s="251"/>
      <c r="X96" s="251"/>
      <c r="Y96" s="251"/>
      <c r="Z96" s="404"/>
    </row>
    <row r="97" spans="3:26" x14ac:dyDescent="0.2">
      <c r="C97" s="279"/>
      <c r="D97" s="251"/>
      <c r="E97" s="306"/>
      <c r="F97" s="251"/>
      <c r="G97" s="420"/>
      <c r="I97" s="400"/>
      <c r="J97" s="223"/>
      <c r="K97" s="223"/>
      <c r="L97" s="223"/>
      <c r="M97" s="420"/>
      <c r="O97" s="406"/>
      <c r="P97" s="223"/>
      <c r="Q97" s="223"/>
      <c r="R97" s="310"/>
      <c r="S97" s="404"/>
      <c r="U97" s="279"/>
      <c r="V97" s="251"/>
      <c r="W97" s="251"/>
      <c r="X97" s="251"/>
      <c r="Y97" s="251"/>
      <c r="Z97" s="404"/>
    </row>
    <row r="98" spans="3:26" x14ac:dyDescent="0.2">
      <c r="C98" s="280"/>
      <c r="D98" s="281"/>
      <c r="E98" s="282"/>
      <c r="F98" s="281"/>
      <c r="G98" s="421"/>
      <c r="I98" s="402"/>
      <c r="J98" s="397"/>
      <c r="K98" s="397"/>
      <c r="L98" s="397"/>
      <c r="M98" s="421"/>
      <c r="O98" s="407"/>
      <c r="P98" s="397"/>
      <c r="Q98" s="397"/>
      <c r="R98" s="429"/>
      <c r="S98" s="405"/>
      <c r="U98" s="280"/>
      <c r="V98" s="281"/>
      <c r="W98" s="281"/>
      <c r="X98" s="281"/>
      <c r="Y98" s="281"/>
      <c r="Z98" s="405"/>
    </row>
    <row r="127" spans="25:28" x14ac:dyDescent="0.2">
      <c r="Y127" s="751"/>
      <c r="Z127" s="751"/>
      <c r="AA127" s="751"/>
      <c r="AB127" s="751"/>
    </row>
  </sheetData>
  <mergeCells count="10">
    <mergeCell ref="I50:M50"/>
    <mergeCell ref="O50:S50"/>
    <mergeCell ref="U50:Z50"/>
    <mergeCell ref="B1:C6"/>
    <mergeCell ref="E2:AU2"/>
    <mergeCell ref="I3:K4"/>
    <mergeCell ref="G6:M6"/>
    <mergeCell ref="G7:M7"/>
    <mergeCell ref="N7:S7"/>
    <mergeCell ref="C50:G50"/>
  </mergeCells>
  <phoneticPr fontId="4" type="noConversion"/>
  <pageMargins left="0.75" right="0.75" top="1" bottom="1" header="0.5" footer="0.5"/>
  <pageSetup paperSize="9" scale="29" orientation="landscape" r:id="rId1"/>
  <headerFooter alignWithMargins="0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  <pageSetUpPr fitToPage="1"/>
  </sheetPr>
  <dimension ref="A1:O63"/>
  <sheetViews>
    <sheetView topLeftCell="A2" zoomScale="70" zoomScaleNormal="70" workbookViewId="0">
      <selection activeCell="N37" sqref="N37"/>
    </sheetView>
  </sheetViews>
  <sheetFormatPr defaultRowHeight="12.75" x14ac:dyDescent="0.2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4" customWidth="1"/>
    <col min="8" max="8" width="23.5703125" customWidth="1"/>
    <col min="9" max="9" width="17.5703125" customWidth="1"/>
    <col min="10" max="10" width="18.5703125" style="75" customWidth="1"/>
  </cols>
  <sheetData>
    <row r="1" spans="1:15" ht="15" x14ac:dyDescent="0.2">
      <c r="A1" s="22"/>
      <c r="B1" s="25"/>
      <c r="C1" s="26"/>
      <c r="D1" s="25"/>
      <c r="E1" s="25"/>
      <c r="F1" s="27"/>
      <c r="G1" s="80"/>
      <c r="H1" s="25"/>
      <c r="I1" s="25"/>
      <c r="J1" s="96"/>
    </row>
    <row r="2" spans="1:15" ht="15" x14ac:dyDescent="0.2">
      <c r="A2" s="23"/>
      <c r="B2" s="28"/>
      <c r="C2" s="29"/>
      <c r="D2" s="28"/>
      <c r="E2" s="28"/>
      <c r="F2" s="30"/>
      <c r="G2" s="84"/>
      <c r="H2" s="28"/>
      <c r="I2" s="28"/>
      <c r="J2" s="97"/>
    </row>
    <row r="3" spans="1:15" ht="22.5" x14ac:dyDescent="0.3">
      <c r="A3" s="23"/>
      <c r="B3" s="28"/>
      <c r="C3" s="409" t="s">
        <v>239</v>
      </c>
      <c r="D3" s="410"/>
      <c r="E3" s="410"/>
      <c r="F3" s="411"/>
      <c r="G3" s="412"/>
      <c r="H3" s="31"/>
      <c r="I3" s="31"/>
      <c r="J3" s="98"/>
    </row>
    <row r="4" spans="1:15" ht="15" x14ac:dyDescent="0.2">
      <c r="A4" s="23"/>
      <c r="B4" s="28"/>
      <c r="C4" s="29"/>
      <c r="D4" s="28"/>
      <c r="E4" s="28"/>
      <c r="F4" s="39"/>
      <c r="G4" s="84"/>
      <c r="H4" s="28"/>
      <c r="I4" s="28"/>
      <c r="J4" s="97"/>
    </row>
    <row r="5" spans="1:15" ht="15" x14ac:dyDescent="0.2">
      <c r="A5" s="21"/>
      <c r="B5" s="32"/>
      <c r="C5" s="33"/>
      <c r="D5" s="32"/>
      <c r="E5" s="32"/>
      <c r="F5" s="34"/>
      <c r="G5" s="84"/>
      <c r="H5" s="28"/>
      <c r="I5" s="28"/>
      <c r="J5" s="99"/>
    </row>
    <row r="6" spans="1:15" ht="13.5" customHeight="1" x14ac:dyDescent="0.3">
      <c r="A6" s="5"/>
      <c r="B6" s="35"/>
      <c r="C6" s="944"/>
      <c r="D6" s="945"/>
      <c r="E6" s="946"/>
      <c r="F6" s="946"/>
      <c r="G6" s="38" t="s">
        <v>240</v>
      </c>
      <c r="H6" s="36" t="s">
        <v>241</v>
      </c>
      <c r="I6" s="31"/>
      <c r="J6" s="97"/>
    </row>
    <row r="7" spans="1:15" ht="18" customHeight="1" x14ac:dyDescent="0.3">
      <c r="A7" s="947" t="s">
        <v>242</v>
      </c>
      <c r="B7" s="82" t="s">
        <v>243</v>
      </c>
      <c r="C7" s="81" t="s">
        <v>244</v>
      </c>
      <c r="D7" s="82" t="s">
        <v>245</v>
      </c>
      <c r="E7" s="86"/>
      <c r="F7" s="87" t="s">
        <v>246</v>
      </c>
      <c r="G7" s="88" t="s">
        <v>122</v>
      </c>
      <c r="H7" s="135" t="s">
        <v>247</v>
      </c>
      <c r="I7" s="89" t="s">
        <v>248</v>
      </c>
      <c r="J7" s="37" t="s">
        <v>83</v>
      </c>
    </row>
    <row r="8" spans="1:15" ht="18" customHeight="1" x14ac:dyDescent="0.3">
      <c r="A8" s="948"/>
      <c r="B8" s="244" t="s">
        <v>249</v>
      </c>
      <c r="C8" s="82" t="s">
        <v>250</v>
      </c>
      <c r="D8" s="83" t="s">
        <v>251</v>
      </c>
      <c r="E8" s="91"/>
      <c r="F8" s="94" t="s">
        <v>252</v>
      </c>
      <c r="G8" s="92" t="s">
        <v>253</v>
      </c>
      <c r="H8" s="90" t="s">
        <v>37</v>
      </c>
      <c r="I8" s="93" t="s">
        <v>254</v>
      </c>
      <c r="J8" s="37" t="s">
        <v>255</v>
      </c>
    </row>
    <row r="9" spans="1:15" ht="18.75" x14ac:dyDescent="0.3">
      <c r="A9" s="210"/>
      <c r="B9" s="679"/>
      <c r="C9" s="679"/>
      <c r="D9" s="679"/>
      <c r="E9" s="679"/>
      <c r="F9" s="850">
        <v>82286.61</v>
      </c>
      <c r="G9" s="226"/>
      <c r="H9" s="24"/>
      <c r="I9" s="19"/>
      <c r="J9" s="100"/>
      <c r="N9" s="136"/>
      <c r="O9" s="136"/>
    </row>
    <row r="10" spans="1:15" ht="18.75" x14ac:dyDescent="0.3">
      <c r="A10" s="78">
        <f>Gen!B11</f>
        <v>44562</v>
      </c>
      <c r="B10" s="679">
        <v>50</v>
      </c>
      <c r="C10" s="679">
        <v>0</v>
      </c>
      <c r="D10" s="679">
        <v>0</v>
      </c>
      <c r="E10" s="679"/>
      <c r="F10" s="679">
        <v>82319.44</v>
      </c>
      <c r="G10" s="226">
        <f>(F10-F9)*4.4</f>
        <v>144.4520000000077</v>
      </c>
      <c r="H10" s="95">
        <f>Gen!C11</f>
        <v>0.41560000000000002</v>
      </c>
      <c r="I10" s="879">
        <f>Submetering!X2</f>
        <v>89</v>
      </c>
      <c r="J10" s="661">
        <f>SUM(G10/I10)</f>
        <v>1.6230561797753673</v>
      </c>
      <c r="N10" s="136"/>
      <c r="O10" s="136"/>
    </row>
    <row r="11" spans="1:15" ht="18.75" x14ac:dyDescent="0.3">
      <c r="A11" s="78">
        <f>Gen!B12</f>
        <v>44563</v>
      </c>
      <c r="B11" s="679">
        <v>45</v>
      </c>
      <c r="C11" s="679">
        <v>0</v>
      </c>
      <c r="D11" s="679">
        <v>0</v>
      </c>
      <c r="E11" s="679"/>
      <c r="F11" s="679">
        <v>82353.69</v>
      </c>
      <c r="G11" s="226">
        <f>(F11-F10)*4.4</f>
        <v>150.70000000000002</v>
      </c>
      <c r="H11" s="95">
        <f>Gen!C12</f>
        <v>0.53</v>
      </c>
      <c r="I11" s="879">
        <f>Submetering!X3</f>
        <v>102</v>
      </c>
      <c r="J11" s="661">
        <f t="shared" ref="J11:J14" si="0">SUM(G11/I11)</f>
        <v>1.4774509803921569</v>
      </c>
      <c r="M11" s="136"/>
      <c r="N11" s="136"/>
    </row>
    <row r="12" spans="1:15" ht="18.75" x14ac:dyDescent="0.3">
      <c r="A12" s="78">
        <f>Gen!B13</f>
        <v>44564</v>
      </c>
      <c r="B12" s="679">
        <v>41</v>
      </c>
      <c r="C12" s="679">
        <v>0</v>
      </c>
      <c r="D12" s="679">
        <v>0</v>
      </c>
      <c r="E12" s="679"/>
      <c r="F12" s="679">
        <v>82389.36</v>
      </c>
      <c r="G12" s="749">
        <f t="shared" ref="G12:G41" si="1">(F12-F11)*4.4</f>
        <v>156.94799999999233</v>
      </c>
      <c r="H12" s="95">
        <f>Gen!C13</f>
        <v>0.36</v>
      </c>
      <c r="I12" s="879">
        <f>Submetering!X4</f>
        <v>74</v>
      </c>
      <c r="J12" s="661">
        <f t="shared" si="0"/>
        <v>2.1209189189188153</v>
      </c>
      <c r="M12" s="136"/>
      <c r="N12" s="136"/>
    </row>
    <row r="13" spans="1:15" ht="18.75" x14ac:dyDescent="0.3">
      <c r="A13" s="78">
        <f>Gen!B14</f>
        <v>44565</v>
      </c>
      <c r="B13" s="679">
        <v>40</v>
      </c>
      <c r="C13" s="679">
        <v>0</v>
      </c>
      <c r="D13" s="679">
        <v>0</v>
      </c>
      <c r="E13" s="679"/>
      <c r="F13" s="679">
        <v>82419.38</v>
      </c>
      <c r="G13" s="749">
        <f t="shared" si="1"/>
        <v>132.08800000001793</v>
      </c>
      <c r="H13" s="95">
        <f>Gen!C14</f>
        <v>0.35</v>
      </c>
      <c r="I13" s="879">
        <f>Submetering!X5</f>
        <v>68</v>
      </c>
      <c r="J13" s="661">
        <f t="shared" si="0"/>
        <v>1.9424705882355577</v>
      </c>
      <c r="M13" s="136"/>
      <c r="N13" s="136"/>
    </row>
    <row r="14" spans="1:15" ht="18.75" x14ac:dyDescent="0.3">
      <c r="A14" s="78">
        <f>Gen!B15</f>
        <v>44566</v>
      </c>
      <c r="B14" s="679">
        <v>38</v>
      </c>
      <c r="C14" s="679">
        <v>0</v>
      </c>
      <c r="D14" s="679">
        <v>0</v>
      </c>
      <c r="E14" s="679"/>
      <c r="F14" s="679">
        <v>82447.149999999994</v>
      </c>
      <c r="G14" s="749">
        <f t="shared" si="1"/>
        <v>122.1879999999539</v>
      </c>
      <c r="H14" s="95">
        <f>Gen!C15</f>
        <v>0.26</v>
      </c>
      <c r="I14" s="879">
        <f>Submetering!X6</f>
        <v>48</v>
      </c>
      <c r="J14" s="661">
        <f t="shared" si="0"/>
        <v>2.545583333332373</v>
      </c>
      <c r="M14" s="136"/>
      <c r="N14" s="136"/>
    </row>
    <row r="15" spans="1:15" ht="18.75" x14ac:dyDescent="0.3">
      <c r="A15" s="78">
        <f>Gen!B16</f>
        <v>44567</v>
      </c>
      <c r="B15" s="679">
        <v>72</v>
      </c>
      <c r="C15" s="679">
        <v>85</v>
      </c>
      <c r="D15" s="679">
        <v>85</v>
      </c>
      <c r="E15" s="679"/>
      <c r="F15" s="679">
        <v>82478.45</v>
      </c>
      <c r="G15" s="749">
        <f t="shared" si="1"/>
        <v>137.72000000001282</v>
      </c>
      <c r="H15" s="95">
        <f>Gen!C16</f>
        <v>0.31</v>
      </c>
      <c r="I15" s="879">
        <f>Submetering!X7</f>
        <v>61</v>
      </c>
      <c r="J15" s="661">
        <f>SUM(G15/I15)</f>
        <v>2.2577049180329971</v>
      </c>
      <c r="M15" s="136"/>
      <c r="N15" s="136"/>
    </row>
    <row r="16" spans="1:15" ht="18.75" x14ac:dyDescent="0.3">
      <c r="A16" s="78">
        <f>Gen!B17</f>
        <v>44568</v>
      </c>
      <c r="B16" s="679">
        <v>70</v>
      </c>
      <c r="C16" s="679">
        <v>85</v>
      </c>
      <c r="D16" s="679">
        <v>85</v>
      </c>
      <c r="E16" s="679"/>
      <c r="F16" s="679">
        <v>82508.649999999994</v>
      </c>
      <c r="G16" s="749">
        <f t="shared" si="1"/>
        <v>132.87999999998721</v>
      </c>
      <c r="H16" s="95">
        <f>Gen!C17</f>
        <v>0.24679999999999999</v>
      </c>
      <c r="I16" s="879">
        <f>Submetering!X8</f>
        <v>46</v>
      </c>
      <c r="J16" s="661">
        <f t="shared" ref="J16:J41" si="2">SUM(G16/I16)</f>
        <v>2.8886956521736349</v>
      </c>
      <c r="M16" s="136"/>
      <c r="N16" s="136"/>
    </row>
    <row r="17" spans="1:14" ht="18.75" x14ac:dyDescent="0.3">
      <c r="A17" s="78">
        <f>Gen!B18</f>
        <v>44569</v>
      </c>
      <c r="B17" s="679">
        <v>70</v>
      </c>
      <c r="C17" s="679">
        <v>85</v>
      </c>
      <c r="D17" s="679">
        <v>85</v>
      </c>
      <c r="E17" s="679"/>
      <c r="F17" s="679">
        <v>82534.11</v>
      </c>
      <c r="G17" s="749">
        <f t="shared" si="1"/>
        <v>112.02400000002818</v>
      </c>
      <c r="H17" s="95">
        <f>Gen!C18</f>
        <v>0.23</v>
      </c>
      <c r="I17" s="879">
        <f>Submetering!X9</f>
        <v>48</v>
      </c>
      <c r="J17" s="661">
        <f t="shared" si="2"/>
        <v>2.3338333333339203</v>
      </c>
      <c r="M17" s="136"/>
      <c r="N17" s="136"/>
    </row>
    <row r="18" spans="1:14" ht="18.75" x14ac:dyDescent="0.3">
      <c r="A18" s="78">
        <f>Gen!B19</f>
        <v>44570</v>
      </c>
      <c r="B18" s="679">
        <v>65</v>
      </c>
      <c r="C18" s="679">
        <v>85</v>
      </c>
      <c r="D18" s="679">
        <v>85</v>
      </c>
      <c r="E18" s="679"/>
      <c r="F18" s="679">
        <v>82558.22</v>
      </c>
      <c r="G18" s="749">
        <f>(F18-F17)*4.4</f>
        <v>106.08400000000258</v>
      </c>
      <c r="H18" s="95">
        <f>Gen!C19</f>
        <v>0.20780000000000001</v>
      </c>
      <c r="I18" s="879">
        <f>Submetering!X10</f>
        <v>43</v>
      </c>
      <c r="J18" s="661">
        <f t="shared" si="2"/>
        <v>2.4670697674419202</v>
      </c>
      <c r="M18" s="136"/>
      <c r="N18" s="136"/>
    </row>
    <row r="19" spans="1:14" ht="18.75" x14ac:dyDescent="0.3">
      <c r="A19" s="78">
        <f>Gen!B20</f>
        <v>44571</v>
      </c>
      <c r="B19" s="679">
        <v>62</v>
      </c>
      <c r="C19" s="679">
        <v>85</v>
      </c>
      <c r="D19" s="679">
        <v>85</v>
      </c>
      <c r="E19" s="679"/>
      <c r="F19" s="679">
        <v>82584.08</v>
      </c>
      <c r="G19" s="749">
        <f t="shared" si="1"/>
        <v>113.78400000000256</v>
      </c>
      <c r="H19" s="95">
        <f>Gen!C20</f>
        <v>0.17</v>
      </c>
      <c r="I19" s="879">
        <f>Submetering!X11</f>
        <v>39</v>
      </c>
      <c r="J19" s="661">
        <f t="shared" si="2"/>
        <v>2.9175384615385274</v>
      </c>
      <c r="M19" s="136"/>
      <c r="N19" s="136"/>
    </row>
    <row r="20" spans="1:14" ht="18.75" x14ac:dyDescent="0.3">
      <c r="A20" s="78">
        <f>Gen!B21</f>
        <v>44572</v>
      </c>
      <c r="B20" s="679">
        <v>60</v>
      </c>
      <c r="C20" s="679">
        <v>58</v>
      </c>
      <c r="D20" s="679">
        <v>85</v>
      </c>
      <c r="E20" s="679"/>
      <c r="F20" s="679">
        <v>82610.649999999994</v>
      </c>
      <c r="G20" s="749">
        <f t="shared" si="1"/>
        <v>116.90799999996672</v>
      </c>
      <c r="H20" s="95">
        <f>Gen!C21</f>
        <v>0.1</v>
      </c>
      <c r="I20" s="879">
        <f>Submetering!X12</f>
        <v>23</v>
      </c>
      <c r="J20" s="661">
        <f t="shared" si="2"/>
        <v>5.0829565217376835</v>
      </c>
    </row>
    <row r="21" spans="1:14" ht="18.75" x14ac:dyDescent="0.3">
      <c r="A21" s="78">
        <f>Gen!B22</f>
        <v>44573</v>
      </c>
      <c r="B21" s="679">
        <v>58</v>
      </c>
      <c r="C21" s="679">
        <v>85</v>
      </c>
      <c r="D21" s="679">
        <v>85</v>
      </c>
      <c r="E21" s="679"/>
      <c r="F21" s="679">
        <v>82633.259999999995</v>
      </c>
      <c r="G21" s="749">
        <f t="shared" si="1"/>
        <v>99.484000000002567</v>
      </c>
      <c r="H21" s="95">
        <f>Gen!C22</f>
        <v>6.4899999999999999E-2</v>
      </c>
      <c r="I21" s="879">
        <f>Submetering!X13</f>
        <v>17</v>
      </c>
      <c r="J21" s="661">
        <f t="shared" si="2"/>
        <v>5.8520000000001513</v>
      </c>
    </row>
    <row r="22" spans="1:14" ht="18.75" x14ac:dyDescent="0.3">
      <c r="A22" s="78">
        <f>Gen!B23</f>
        <v>44574</v>
      </c>
      <c r="B22" s="679">
        <v>55</v>
      </c>
      <c r="C22" s="679">
        <v>85</v>
      </c>
      <c r="D22" s="679">
        <v>85</v>
      </c>
      <c r="E22" s="679"/>
      <c r="F22" s="679">
        <v>82653.919999999998</v>
      </c>
      <c r="G22" s="749">
        <f t="shared" si="1"/>
        <v>90.904000000015373</v>
      </c>
      <c r="H22" s="95">
        <f>Gen!C23</f>
        <v>0.13</v>
      </c>
      <c r="I22" s="879">
        <f>Submetering!X14</f>
        <v>29</v>
      </c>
      <c r="J22" s="661">
        <f t="shared" si="2"/>
        <v>3.1346206896557023</v>
      </c>
    </row>
    <row r="23" spans="1:14" ht="18.75" x14ac:dyDescent="0.3">
      <c r="A23" s="78">
        <f>Gen!B24</f>
        <v>44575</v>
      </c>
      <c r="B23" s="679">
        <v>52</v>
      </c>
      <c r="C23" s="679">
        <v>85</v>
      </c>
      <c r="D23" s="679">
        <v>85</v>
      </c>
      <c r="E23" s="679"/>
      <c r="F23" s="679">
        <v>82670.64</v>
      </c>
      <c r="G23" s="749">
        <f t="shared" si="1"/>
        <v>73.568000000005128</v>
      </c>
      <c r="H23" s="95">
        <f>Gen!C24</f>
        <v>0.18</v>
      </c>
      <c r="I23" s="879">
        <f>Submetering!X15</f>
        <v>37</v>
      </c>
      <c r="J23" s="661">
        <f t="shared" si="2"/>
        <v>1.9883243243244628</v>
      </c>
    </row>
    <row r="24" spans="1:14" ht="18.75" x14ac:dyDescent="0.3">
      <c r="A24" s="78">
        <f>Gen!B25</f>
        <v>44576</v>
      </c>
      <c r="B24" s="679">
        <v>50</v>
      </c>
      <c r="C24" s="679">
        <v>85</v>
      </c>
      <c r="D24" s="679">
        <v>85</v>
      </c>
      <c r="E24" s="679"/>
      <c r="F24" s="679">
        <v>82687.53</v>
      </c>
      <c r="G24" s="749">
        <f t="shared" si="1"/>
        <v>74.315999999997445</v>
      </c>
      <c r="H24" s="95">
        <f>Gen!C25</f>
        <v>0.16</v>
      </c>
      <c r="I24" s="879">
        <f>Submetering!X16</f>
        <v>31</v>
      </c>
      <c r="J24" s="661">
        <f t="shared" si="2"/>
        <v>2.3972903225805626</v>
      </c>
    </row>
    <row r="25" spans="1:14" ht="18.75" x14ac:dyDescent="0.3">
      <c r="A25" s="78">
        <f>Gen!B26</f>
        <v>44577</v>
      </c>
      <c r="B25" s="679">
        <v>47</v>
      </c>
      <c r="C25" s="679">
        <v>85</v>
      </c>
      <c r="D25" s="679">
        <v>85</v>
      </c>
      <c r="E25" s="679"/>
      <c r="F25" s="679">
        <v>82712.44</v>
      </c>
      <c r="G25" s="749">
        <f t="shared" si="1"/>
        <v>109.60400000001538</v>
      </c>
      <c r="H25" s="95">
        <f>Gen!C26</f>
        <v>0.18</v>
      </c>
      <c r="I25" s="879">
        <f>Submetering!X17</f>
        <v>32</v>
      </c>
      <c r="J25" s="661">
        <f t="shared" si="2"/>
        <v>3.4251250000004805</v>
      </c>
    </row>
    <row r="26" spans="1:14" ht="18.75" x14ac:dyDescent="0.3">
      <c r="A26" s="78">
        <f>Gen!B27</f>
        <v>44578</v>
      </c>
      <c r="B26" s="679">
        <v>44</v>
      </c>
      <c r="C26" s="679">
        <v>85</v>
      </c>
      <c r="D26" s="679">
        <v>85</v>
      </c>
      <c r="E26" s="679"/>
      <c r="F26" s="679">
        <v>82737.19</v>
      </c>
      <c r="G26" s="749">
        <f t="shared" si="1"/>
        <v>108.9</v>
      </c>
      <c r="H26" s="95">
        <f>Gen!C27</f>
        <v>0.09</v>
      </c>
      <c r="I26" s="879">
        <f>Submetering!X18</f>
        <v>15</v>
      </c>
      <c r="J26" s="661">
        <f t="shared" si="2"/>
        <v>7.2600000000000007</v>
      </c>
    </row>
    <row r="27" spans="1:14" ht="18.75" x14ac:dyDescent="0.3">
      <c r="A27" s="78">
        <f>Gen!B28</f>
        <v>44579</v>
      </c>
      <c r="B27" s="679">
        <v>41</v>
      </c>
      <c r="C27" s="679">
        <v>85</v>
      </c>
      <c r="D27" s="679">
        <v>85</v>
      </c>
      <c r="E27" s="679"/>
      <c r="F27" s="679">
        <v>82759.649999999994</v>
      </c>
      <c r="G27" s="749">
        <f t="shared" si="1"/>
        <v>98.823999999964158</v>
      </c>
      <c r="H27" s="95">
        <f>Gen!C28</f>
        <v>0.16</v>
      </c>
      <c r="I27" s="879">
        <f>Submetering!X19</f>
        <v>25</v>
      </c>
      <c r="J27" s="661">
        <f t="shared" si="2"/>
        <v>3.9529599999985665</v>
      </c>
    </row>
    <row r="28" spans="1:14" ht="18.75" x14ac:dyDescent="0.3">
      <c r="A28" s="78">
        <f>Gen!B29</f>
        <v>44580</v>
      </c>
      <c r="B28" s="679">
        <v>38</v>
      </c>
      <c r="C28" s="679">
        <v>85</v>
      </c>
      <c r="D28" s="679">
        <v>85</v>
      </c>
      <c r="E28" s="679"/>
      <c r="F28" s="679">
        <v>82785.52</v>
      </c>
      <c r="G28" s="749">
        <f t="shared" si="1"/>
        <v>113.82800000004355</v>
      </c>
      <c r="H28" s="95">
        <f>Gen!C29</f>
        <v>0.18</v>
      </c>
      <c r="I28" s="879">
        <f>Submetering!X20</f>
        <v>28</v>
      </c>
      <c r="J28" s="661">
        <f t="shared" si="2"/>
        <v>4.0652857142872696</v>
      </c>
    </row>
    <row r="29" spans="1:14" ht="18.75" x14ac:dyDescent="0.3">
      <c r="A29" s="78">
        <f>Gen!B30</f>
        <v>44581</v>
      </c>
      <c r="B29" s="679">
        <v>37</v>
      </c>
      <c r="C29" s="679">
        <v>85</v>
      </c>
      <c r="D29" s="679">
        <v>85</v>
      </c>
      <c r="E29" s="679"/>
      <c r="F29" s="679">
        <v>82811.69</v>
      </c>
      <c r="G29" s="749">
        <f t="shared" si="1"/>
        <v>115.14799999999232</v>
      </c>
      <c r="H29" s="95">
        <f>Gen!C30</f>
        <v>0.21</v>
      </c>
      <c r="I29" s="879">
        <f>Submetering!X21</f>
        <v>29</v>
      </c>
      <c r="J29" s="661">
        <f t="shared" si="2"/>
        <v>3.9706206896549077</v>
      </c>
    </row>
    <row r="30" spans="1:14" ht="18.75" x14ac:dyDescent="0.3">
      <c r="A30" s="78">
        <f>Gen!B31</f>
        <v>44582</v>
      </c>
      <c r="B30" s="679">
        <v>36</v>
      </c>
      <c r="C30" s="679">
        <v>85</v>
      </c>
      <c r="D30" s="679">
        <v>85</v>
      </c>
      <c r="E30" s="679"/>
      <c r="F30" s="679">
        <v>82837.56</v>
      </c>
      <c r="G30" s="749">
        <f t="shared" si="1"/>
        <v>113.82799999997953</v>
      </c>
      <c r="H30" s="95">
        <f>Gen!C31</f>
        <v>0.09</v>
      </c>
      <c r="I30" s="879">
        <f>Submetering!X22</f>
        <v>13</v>
      </c>
      <c r="J30" s="661">
        <f t="shared" si="2"/>
        <v>8.7559999999984246</v>
      </c>
    </row>
    <row r="31" spans="1:14" ht="18.75" x14ac:dyDescent="0.3">
      <c r="A31" s="78">
        <f>Gen!B32</f>
        <v>44583</v>
      </c>
      <c r="B31" s="679">
        <v>34</v>
      </c>
      <c r="C31" s="679">
        <v>85</v>
      </c>
      <c r="D31" s="679">
        <v>85</v>
      </c>
      <c r="E31" s="679"/>
      <c r="F31" s="679">
        <v>82859.539999999994</v>
      </c>
      <c r="G31" s="749">
        <f t="shared" si="1"/>
        <v>96.711999999982083</v>
      </c>
      <c r="H31" s="95">
        <f>Gen!C32</f>
        <v>0.08</v>
      </c>
      <c r="I31" s="879">
        <f>Submetering!X23</f>
        <v>11</v>
      </c>
      <c r="J31" s="661">
        <f t="shared" si="2"/>
        <v>8.7919999999983709</v>
      </c>
    </row>
    <row r="32" spans="1:14" ht="18.75" x14ac:dyDescent="0.3">
      <c r="A32" s="78">
        <f>Gen!B33</f>
        <v>44584</v>
      </c>
      <c r="B32" s="679">
        <v>30</v>
      </c>
      <c r="C32" s="679">
        <v>85</v>
      </c>
      <c r="D32" s="679">
        <v>85</v>
      </c>
      <c r="E32" s="679"/>
      <c r="F32" s="679">
        <v>82880.73</v>
      </c>
      <c r="G32" s="749">
        <f t="shared" si="1"/>
        <v>93.23600000001025</v>
      </c>
      <c r="H32" s="95">
        <f>Gen!C33</f>
        <v>0.04</v>
      </c>
      <c r="I32" s="879">
        <f>Submetering!X24</f>
        <v>5</v>
      </c>
      <c r="J32" s="661">
        <f t="shared" si="2"/>
        <v>18.647200000002051</v>
      </c>
    </row>
    <row r="33" spans="1:10" ht="18.75" x14ac:dyDescent="0.3">
      <c r="A33" s="78">
        <f>Gen!B34</f>
        <v>44585</v>
      </c>
      <c r="B33" s="679">
        <v>27</v>
      </c>
      <c r="C33" s="679">
        <v>85</v>
      </c>
      <c r="D33" s="679">
        <v>85</v>
      </c>
      <c r="E33" s="679"/>
      <c r="F33" s="679">
        <v>82904.210000000006</v>
      </c>
      <c r="G33" s="749">
        <f t="shared" si="1"/>
        <v>103.31200000004611</v>
      </c>
      <c r="H33" s="95">
        <f>Gen!C34</f>
        <v>0.1</v>
      </c>
      <c r="I33" s="879">
        <f>Submetering!X25</f>
        <v>15</v>
      </c>
      <c r="J33" s="661">
        <f t="shared" si="2"/>
        <v>6.8874666666697406</v>
      </c>
    </row>
    <row r="34" spans="1:10" ht="18.75" x14ac:dyDescent="0.3">
      <c r="A34" s="78">
        <f>Gen!B35</f>
        <v>44586</v>
      </c>
      <c r="B34" s="679">
        <v>23</v>
      </c>
      <c r="C34" s="679">
        <v>85</v>
      </c>
      <c r="D34" s="679">
        <v>85</v>
      </c>
      <c r="E34" s="679"/>
      <c r="F34" s="679">
        <v>82929.98</v>
      </c>
      <c r="G34" s="749">
        <f t="shared" si="1"/>
        <v>113.38799999995391</v>
      </c>
      <c r="H34" s="95">
        <f>Gen!C35</f>
        <v>0.14000000000000001</v>
      </c>
      <c r="I34" s="879">
        <f>Submetering!X26</f>
        <v>23</v>
      </c>
      <c r="J34" s="661">
        <f t="shared" si="2"/>
        <v>4.9299130434762564</v>
      </c>
    </row>
    <row r="35" spans="1:10" ht="18.75" x14ac:dyDescent="0.3">
      <c r="A35" s="78">
        <f>Gen!B36</f>
        <v>44587</v>
      </c>
      <c r="B35" s="679">
        <v>20</v>
      </c>
      <c r="C35" s="679">
        <v>85</v>
      </c>
      <c r="D35" s="679">
        <v>85</v>
      </c>
      <c r="E35" s="679"/>
      <c r="F35" s="679">
        <v>82957.56</v>
      </c>
      <c r="G35" s="749">
        <f t="shared" si="1"/>
        <v>121.35200000000769</v>
      </c>
      <c r="H35" s="95">
        <f>Gen!C36</f>
        <v>0.16</v>
      </c>
      <c r="I35" s="879">
        <f>Submetering!X27</f>
        <v>24</v>
      </c>
      <c r="J35" s="661">
        <f t="shared" si="2"/>
        <v>5.0563333333336535</v>
      </c>
    </row>
    <row r="36" spans="1:10" ht="18.75" x14ac:dyDescent="0.3">
      <c r="A36" s="78">
        <f>Gen!B37</f>
        <v>44588</v>
      </c>
      <c r="B36" s="679">
        <v>19</v>
      </c>
      <c r="C36" s="679">
        <v>85</v>
      </c>
      <c r="D36" s="679">
        <v>85</v>
      </c>
      <c r="E36" s="679"/>
      <c r="F36" s="679">
        <v>82984.679999999993</v>
      </c>
      <c r="G36" s="749">
        <f t="shared" si="1"/>
        <v>119.32799999997953</v>
      </c>
      <c r="H36" s="95">
        <f>Gen!C37</f>
        <v>0.13</v>
      </c>
      <c r="I36" s="879">
        <f>Submetering!X28</f>
        <v>22</v>
      </c>
      <c r="J36" s="661">
        <f t="shared" si="2"/>
        <v>5.4239999999990696</v>
      </c>
    </row>
    <row r="37" spans="1:10" ht="18.75" x14ac:dyDescent="0.3">
      <c r="A37" s="78">
        <f>Gen!B38</f>
        <v>44589</v>
      </c>
      <c r="B37" s="679">
        <v>17</v>
      </c>
      <c r="C37" s="679">
        <v>85</v>
      </c>
      <c r="D37" s="679">
        <v>85</v>
      </c>
      <c r="E37" s="679"/>
      <c r="F37" s="679">
        <v>83011.06</v>
      </c>
      <c r="G37" s="749">
        <f t="shared" si="1"/>
        <v>116.07200000002049</v>
      </c>
      <c r="H37" s="95">
        <f>Gen!C38</f>
        <v>0.09</v>
      </c>
      <c r="I37" s="879">
        <f>Submetering!X29</f>
        <v>18</v>
      </c>
      <c r="J37" s="661">
        <f t="shared" si="2"/>
        <v>6.4484444444455828</v>
      </c>
    </row>
    <row r="38" spans="1:10" ht="18.75" x14ac:dyDescent="0.3">
      <c r="A38" s="78">
        <f>Gen!B39</f>
        <v>44590</v>
      </c>
      <c r="B38" s="679">
        <v>15</v>
      </c>
      <c r="C38" s="679">
        <v>85</v>
      </c>
      <c r="D38" s="679">
        <v>85</v>
      </c>
      <c r="E38" s="679"/>
      <c r="F38" s="679">
        <v>83036.7</v>
      </c>
      <c r="G38" s="749">
        <f t="shared" si="1"/>
        <v>112.81599999999744</v>
      </c>
      <c r="H38" s="95">
        <f>Gen!C39</f>
        <v>0.09</v>
      </c>
      <c r="I38" s="879">
        <f>Submetering!X30</f>
        <v>20</v>
      </c>
      <c r="J38" s="661">
        <f t="shared" si="2"/>
        <v>5.6407999999998726</v>
      </c>
    </row>
    <row r="39" spans="1:10" ht="18.75" x14ac:dyDescent="0.3">
      <c r="A39" s="78">
        <f>Gen!B40</f>
        <v>44591</v>
      </c>
      <c r="B39" s="679">
        <v>11</v>
      </c>
      <c r="C39" s="679">
        <v>85</v>
      </c>
      <c r="D39" s="679">
        <v>85</v>
      </c>
      <c r="E39" s="679"/>
      <c r="F39" s="679">
        <v>83060.289999999994</v>
      </c>
      <c r="G39" s="749">
        <f t="shared" si="1"/>
        <v>103.79599999998464</v>
      </c>
      <c r="H39" s="95">
        <f>Gen!C40</f>
        <v>0.06</v>
      </c>
      <c r="I39" s="879">
        <f>Submetering!X31</f>
        <v>18</v>
      </c>
      <c r="J39" s="661">
        <f t="shared" si="2"/>
        <v>5.7664444444435912</v>
      </c>
    </row>
    <row r="40" spans="1:10" ht="18.75" x14ac:dyDescent="0.3">
      <c r="A40" s="78">
        <f>Gen!B41</f>
        <v>44592</v>
      </c>
      <c r="B40" s="226">
        <v>9</v>
      </c>
      <c r="C40" s="226">
        <v>85</v>
      </c>
      <c r="D40" s="226">
        <v>85</v>
      </c>
      <c r="E40" s="760"/>
      <c r="F40" s="761">
        <v>82087.83</v>
      </c>
      <c r="G40" s="749">
        <f t="shared" si="1"/>
        <v>-4278.8239999999641</v>
      </c>
      <c r="H40" s="95">
        <f>Gen!C41</f>
        <v>0.05</v>
      </c>
      <c r="I40" s="879">
        <f>Submetering!X32</f>
        <v>12</v>
      </c>
      <c r="J40" s="661">
        <f t="shared" si="2"/>
        <v>-356.56866666666366</v>
      </c>
    </row>
    <row r="41" spans="1:10" ht="18.75" x14ac:dyDescent="0.3">
      <c r="A41" s="78"/>
      <c r="B41" s="226"/>
      <c r="C41" s="226"/>
      <c r="D41" s="226"/>
      <c r="E41" s="226"/>
      <c r="F41" s="750"/>
      <c r="G41" s="226">
        <f t="shared" si="1"/>
        <v>-361186.45200000005</v>
      </c>
      <c r="H41" s="95">
        <f>Gen!C42</f>
        <v>0</v>
      </c>
      <c r="I41" s="660"/>
      <c r="J41" s="661" t="e">
        <f t="shared" si="2"/>
        <v>#DIV/0!</v>
      </c>
    </row>
    <row r="42" spans="1:10" ht="17.25" x14ac:dyDescent="0.3">
      <c r="A42" s="78"/>
      <c r="B42" s="5"/>
      <c r="C42" s="943" t="s">
        <v>256</v>
      </c>
      <c r="D42" s="943"/>
      <c r="E42" s="2">
        <f t="shared" ref="E42" si="3">SUM(E10:E40)</f>
        <v>0</v>
      </c>
      <c r="F42" s="2">
        <f>SUM(F10:F41)</f>
        <v>2563205.16</v>
      </c>
      <c r="G42" s="85">
        <f>SUM(G10:G40)</f>
        <v>-874.63199999999324</v>
      </c>
      <c r="H42" s="95">
        <f>Gen!C43</f>
        <v>0</v>
      </c>
      <c r="I42" s="660"/>
      <c r="J42" s="661"/>
    </row>
    <row r="44" spans="1:10" x14ac:dyDescent="0.2">
      <c r="G44"/>
    </row>
    <row r="45" spans="1:10" x14ac:dyDescent="0.2">
      <c r="B45" s="942"/>
      <c r="C45" s="942"/>
      <c r="D45" s="942"/>
      <c r="E45" s="942"/>
      <c r="F45" s="942"/>
      <c r="G45" s="942"/>
      <c r="H45" s="942"/>
      <c r="J45" s="655"/>
    </row>
    <row r="46" spans="1:10" x14ac:dyDescent="0.2">
      <c r="B46" s="942"/>
      <c r="C46" s="942"/>
      <c r="D46" s="942"/>
      <c r="E46" s="942"/>
      <c r="F46" s="942"/>
      <c r="G46" s="942"/>
      <c r="H46" s="942"/>
      <c r="J46" s="655"/>
    </row>
    <row r="47" spans="1:10" x14ac:dyDescent="0.2">
      <c r="G47"/>
      <c r="J47" s="655"/>
    </row>
    <row r="48" spans="1:10" x14ac:dyDescent="0.2">
      <c r="G48"/>
      <c r="J48" s="655"/>
    </row>
    <row r="49" spans="7:10" x14ac:dyDescent="0.2">
      <c r="G49"/>
      <c r="J49" s="655"/>
    </row>
    <row r="50" spans="7:10" x14ac:dyDescent="0.2">
      <c r="G50"/>
      <c r="J50" s="655"/>
    </row>
    <row r="51" spans="7:10" x14ac:dyDescent="0.2">
      <c r="G51"/>
      <c r="J51" s="655"/>
    </row>
    <row r="52" spans="7:10" x14ac:dyDescent="0.2">
      <c r="G52"/>
      <c r="J52" s="655"/>
    </row>
    <row r="53" spans="7:10" x14ac:dyDescent="0.2">
      <c r="G53"/>
      <c r="J53" s="655"/>
    </row>
    <row r="54" spans="7:10" x14ac:dyDescent="0.2">
      <c r="G54"/>
      <c r="J54" s="655"/>
    </row>
    <row r="55" spans="7:10" x14ac:dyDescent="0.2">
      <c r="G55"/>
    </row>
    <row r="56" spans="7:10" x14ac:dyDescent="0.2">
      <c r="G56"/>
    </row>
    <row r="57" spans="7:10" x14ac:dyDescent="0.2">
      <c r="G57"/>
    </row>
    <row r="58" spans="7:10" x14ac:dyDescent="0.2">
      <c r="G58"/>
    </row>
    <row r="59" spans="7:10" x14ac:dyDescent="0.2">
      <c r="G59"/>
    </row>
    <row r="60" spans="7:10" x14ac:dyDescent="0.2">
      <c r="G60"/>
    </row>
    <row r="61" spans="7:10" x14ac:dyDescent="0.2">
      <c r="G61"/>
    </row>
    <row r="62" spans="7:10" x14ac:dyDescent="0.2">
      <c r="G62"/>
    </row>
    <row r="63" spans="7:10" x14ac:dyDescent="0.2">
      <c r="G63"/>
    </row>
  </sheetData>
  <mergeCells count="7">
    <mergeCell ref="G45:H46"/>
    <mergeCell ref="C42:D42"/>
    <mergeCell ref="C6:D6"/>
    <mergeCell ref="E6:F6"/>
    <mergeCell ref="A7:A8"/>
    <mergeCell ref="B45:C46"/>
    <mergeCell ref="D45:F46"/>
  </mergeCells>
  <pageMargins left="0.75" right="0.75" top="1" bottom="1" header="0.5" footer="0.5"/>
  <pageSetup scale="53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M39"/>
  <sheetViews>
    <sheetView workbookViewId="0">
      <selection activeCell="E5" sqref="E5"/>
    </sheetView>
  </sheetViews>
  <sheetFormatPr defaultRowHeight="12.75" x14ac:dyDescent="0.2"/>
  <cols>
    <col min="1" max="1" width="9.7109375" bestFit="1" customWidth="1"/>
    <col min="2" max="2" width="9.140625" customWidth="1"/>
    <col min="3" max="3" width="8.85546875" customWidth="1"/>
    <col min="4" max="4" width="8.28515625" customWidth="1"/>
    <col min="5" max="5" width="7.42578125" customWidth="1"/>
    <col min="6" max="6" width="12.7109375" bestFit="1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x14ac:dyDescent="0.2">
      <c r="A1" s="949">
        <f>A5</f>
        <v>44562</v>
      </c>
      <c r="B1" s="949"/>
      <c r="C1" s="949"/>
      <c r="D1" s="949"/>
      <c r="E1" s="949"/>
      <c r="F1" s="949"/>
      <c r="G1" s="949"/>
      <c r="H1" s="949"/>
      <c r="I1" s="949"/>
      <c r="J1" s="949"/>
      <c r="K1" s="949"/>
      <c r="L1" s="949"/>
    </row>
    <row r="2" spans="1:13" x14ac:dyDescent="0.2">
      <c r="A2" s="950"/>
      <c r="B2" s="950"/>
      <c r="C2" s="950"/>
      <c r="D2" s="950"/>
      <c r="E2" s="950"/>
      <c r="F2" s="950"/>
      <c r="G2" s="950"/>
      <c r="H2" s="950"/>
      <c r="I2" s="950"/>
      <c r="J2" s="950"/>
      <c r="K2" s="950"/>
      <c r="L2" s="950"/>
    </row>
    <row r="3" spans="1:13" ht="50.25" customHeight="1" thickBot="1" x14ac:dyDescent="0.25">
      <c r="A3" s="527"/>
      <c r="B3" s="528"/>
      <c r="C3" s="61"/>
      <c r="D3" s="61"/>
      <c r="E3" s="61"/>
      <c r="F3" s="61"/>
      <c r="G3" s="61"/>
      <c r="H3" s="61"/>
      <c r="I3" s="61"/>
      <c r="J3" s="61"/>
      <c r="K3" s="61"/>
      <c r="L3" s="529"/>
    </row>
    <row r="4" spans="1:13" s="40" customFormat="1" ht="50.25" customHeight="1" x14ac:dyDescent="0.2">
      <c r="A4" s="530" t="s">
        <v>31</v>
      </c>
      <c r="B4" s="531" t="s">
        <v>257</v>
      </c>
      <c r="C4" s="532" t="s">
        <v>258</v>
      </c>
      <c r="D4" s="533" t="s">
        <v>259</v>
      </c>
      <c r="E4" s="533" t="s">
        <v>260</v>
      </c>
      <c r="F4" s="533" t="s">
        <v>261</v>
      </c>
      <c r="G4" s="533" t="s">
        <v>262</v>
      </c>
      <c r="H4" s="533" t="s">
        <v>263</v>
      </c>
      <c r="I4" s="533" t="s">
        <v>264</v>
      </c>
      <c r="J4" s="533" t="s">
        <v>265</v>
      </c>
      <c r="K4" s="533" t="s">
        <v>266</v>
      </c>
      <c r="L4" s="534" t="s">
        <v>267</v>
      </c>
    </row>
    <row r="5" spans="1:13" x14ac:dyDescent="0.2">
      <c r="A5" s="524">
        <f>Gen!B11</f>
        <v>44562</v>
      </c>
      <c r="B5" s="512">
        <f>'Daily report Gen'!Z6</f>
        <v>42</v>
      </c>
      <c r="C5" s="71">
        <f>Gen!C11</f>
        <v>0.41560000000000002</v>
      </c>
      <c r="D5" s="513">
        <f>E5</f>
        <v>34</v>
      </c>
      <c r="E5" s="336">
        <f>'Energy Graph'!E2</f>
        <v>34</v>
      </c>
      <c r="F5" s="684">
        <f>Gen!U11</f>
        <v>4734</v>
      </c>
      <c r="G5" s="682">
        <f>Gen!T11</f>
        <v>1965.3</v>
      </c>
      <c r="H5" s="682">
        <f>Gen!AK11</f>
        <v>320.11</v>
      </c>
      <c r="I5" s="710">
        <f>SUM(G5:H5)</f>
        <v>2285.41</v>
      </c>
      <c r="J5" s="514">
        <f>Gen!D11</f>
        <v>39200.629999999997</v>
      </c>
      <c r="K5" s="515">
        <f>'Water-Meter'!E6</f>
        <v>116</v>
      </c>
      <c r="L5" s="516">
        <f>'Lpg (2)'!G10</f>
        <v>144.4520000000077</v>
      </c>
      <c r="M5" s="63" t="e">
        <f>SUM(#REF!-#REF!)</f>
        <v>#REF!</v>
      </c>
    </row>
    <row r="6" spans="1:13" x14ac:dyDescent="0.2">
      <c r="A6" s="525">
        <f>Gen!B12</f>
        <v>44563</v>
      </c>
      <c r="B6" s="517">
        <f>'Daily report Gen'!Z7</f>
        <v>40</v>
      </c>
      <c r="C6" s="71">
        <f>Gen!C12</f>
        <v>0.53</v>
      </c>
      <c r="D6" s="348">
        <f t="shared" ref="D6:D36" si="0">E6</f>
        <v>42</v>
      </c>
      <c r="E6" s="336">
        <f>'Energy Graph'!E3</f>
        <v>42</v>
      </c>
      <c r="F6" s="684">
        <f>Gen!U12</f>
        <v>4563</v>
      </c>
      <c r="G6" s="683">
        <f>Gen!T12</f>
        <v>1927.08</v>
      </c>
      <c r="H6" s="683">
        <f>Gen!AK12</f>
        <v>237.31</v>
      </c>
      <c r="I6" s="69">
        <f t="shared" ref="I6:I10" si="1">SUM(G6:H6)</f>
        <v>2164.39</v>
      </c>
      <c r="J6" s="359">
        <f>Gen!D12</f>
        <v>36915.22</v>
      </c>
      <c r="K6" s="245">
        <f>'Water-Meter'!E7</f>
        <v>94</v>
      </c>
      <c r="L6" s="518">
        <f>'Lpg (2)'!G11</f>
        <v>150.70000000000002</v>
      </c>
      <c r="M6" s="63" t="e">
        <f>SUM(#REF!-#REF!)</f>
        <v>#REF!</v>
      </c>
    </row>
    <row r="7" spans="1:13" x14ac:dyDescent="0.2">
      <c r="A7" s="525">
        <f>Gen!B13</f>
        <v>44564</v>
      </c>
      <c r="B7" s="517">
        <f>'Daily report Gen'!Z8</f>
        <v>40</v>
      </c>
      <c r="C7" s="71">
        <f>Gen!C13</f>
        <v>0.36</v>
      </c>
      <c r="D7" s="348">
        <f t="shared" si="0"/>
        <v>29</v>
      </c>
      <c r="E7" s="336">
        <f>'Energy Graph'!E4</f>
        <v>29</v>
      </c>
      <c r="F7" s="684">
        <f>Gen!U13</f>
        <v>4574</v>
      </c>
      <c r="G7" s="683">
        <f>Gen!T13</f>
        <v>1859.9199999999998</v>
      </c>
      <c r="H7" s="683">
        <f>Gen!AK13</f>
        <v>231</v>
      </c>
      <c r="I7" s="709">
        <f t="shared" si="1"/>
        <v>2090.92</v>
      </c>
      <c r="J7" s="359">
        <f>Gen!D13</f>
        <v>34750.83</v>
      </c>
      <c r="K7" s="245">
        <f>'Water-Meter'!E8</f>
        <v>110</v>
      </c>
      <c r="L7" s="518">
        <f>'Lpg (2)'!G12</f>
        <v>156.94799999999233</v>
      </c>
      <c r="M7" s="63" t="e">
        <f>SUM(#REF!-#REF!)</f>
        <v>#REF!</v>
      </c>
    </row>
    <row r="8" spans="1:13" x14ac:dyDescent="0.2">
      <c r="A8" s="525">
        <f>Gen!B14</f>
        <v>44565</v>
      </c>
      <c r="B8" s="517">
        <f>'Daily report Gen'!Z9</f>
        <v>41</v>
      </c>
      <c r="C8" s="71">
        <f>Gen!C14</f>
        <v>0.35</v>
      </c>
      <c r="D8" s="348">
        <f>E8</f>
        <v>28</v>
      </c>
      <c r="E8" s="336">
        <f>'Energy Graph'!E5</f>
        <v>28</v>
      </c>
      <c r="F8" s="684">
        <f>Gen!U14</f>
        <v>4346</v>
      </c>
      <c r="G8" s="683">
        <f>Gen!T14</f>
        <v>1889.6999999999998</v>
      </c>
      <c r="H8" s="683">
        <f>Gen!AK14</f>
        <v>247.48</v>
      </c>
      <c r="I8" s="69">
        <f t="shared" si="1"/>
        <v>2137.1799999999998</v>
      </c>
      <c r="J8" s="359">
        <f>Gen!D14</f>
        <v>32659.910000000003</v>
      </c>
      <c r="K8" s="245">
        <f>'Water-Meter'!E9</f>
        <v>94</v>
      </c>
      <c r="L8" s="518">
        <f>'Lpg (2)'!G13</f>
        <v>132.08800000001793</v>
      </c>
      <c r="M8" s="63" t="e">
        <f>SUM(#REF!-#REF!)</f>
        <v>#REF!</v>
      </c>
    </row>
    <row r="9" spans="1:13" x14ac:dyDescent="0.2">
      <c r="A9" s="525">
        <f>Gen!B15</f>
        <v>44566</v>
      </c>
      <c r="B9" s="517">
        <f>'Daily report Gen'!Z10</f>
        <v>41</v>
      </c>
      <c r="C9" s="71">
        <f>Gen!C15</f>
        <v>0.26</v>
      </c>
      <c r="D9" s="348">
        <f t="shared" si="0"/>
        <v>21</v>
      </c>
      <c r="E9" s="336">
        <f>'Energy Graph'!E6</f>
        <v>21</v>
      </c>
      <c r="F9" s="684">
        <f>Gen!U15</f>
        <v>3969</v>
      </c>
      <c r="G9" s="683">
        <f>Gen!T15</f>
        <v>1716.3900000000003</v>
      </c>
      <c r="H9" s="683">
        <f>Gen!AK15</f>
        <v>110</v>
      </c>
      <c r="I9" s="69">
        <f t="shared" si="1"/>
        <v>1826.3900000000003</v>
      </c>
      <c r="J9" s="359">
        <f>Gen!D15</f>
        <v>30522.730000000003</v>
      </c>
      <c r="K9" s="245">
        <f>'Water-Meter'!E10</f>
        <v>86</v>
      </c>
      <c r="L9" s="518">
        <f>'Lpg (2)'!G14</f>
        <v>122.1879999999539</v>
      </c>
      <c r="M9" s="63" t="e">
        <f>SUM(#REF!-#REF!)</f>
        <v>#REF!</v>
      </c>
    </row>
    <row r="10" spans="1:13" x14ac:dyDescent="0.2">
      <c r="A10" s="525">
        <f>Gen!B16</f>
        <v>44567</v>
      </c>
      <c r="B10" s="517">
        <f>'Daily report Gen'!Z11</f>
        <v>39</v>
      </c>
      <c r="C10" s="71">
        <f>Gen!C16</f>
        <v>0.31</v>
      </c>
      <c r="D10" s="348">
        <f t="shared" si="0"/>
        <v>25</v>
      </c>
      <c r="E10" s="336">
        <f>'Energy Graph'!E7</f>
        <v>25</v>
      </c>
      <c r="F10" s="684">
        <f>Gen!U16</f>
        <v>4325</v>
      </c>
      <c r="G10" s="683">
        <f>Gen!T16</f>
        <v>1829.15</v>
      </c>
      <c r="H10" s="683">
        <f>Gen!AK16</f>
        <v>299.04000000000002</v>
      </c>
      <c r="I10" s="69">
        <f t="shared" si="1"/>
        <v>2128.19</v>
      </c>
      <c r="J10" s="359">
        <f>Gen!D16</f>
        <v>28696.340000000004</v>
      </c>
      <c r="K10" s="245">
        <f>'Water-Meter'!E11</f>
        <v>90</v>
      </c>
      <c r="L10" s="518">
        <f>'Lpg (2)'!G15</f>
        <v>137.72000000001282</v>
      </c>
      <c r="M10" s="63" t="e">
        <f>SUM(#REF!-#REF!)</f>
        <v>#REF!</v>
      </c>
    </row>
    <row r="11" spans="1:13" x14ac:dyDescent="0.2">
      <c r="A11" s="525">
        <f>Gen!B17</f>
        <v>44568</v>
      </c>
      <c r="B11" s="517">
        <f>'Daily report Gen'!Z12</f>
        <v>38</v>
      </c>
      <c r="C11" s="71">
        <f>Gen!C17</f>
        <v>0.24679999999999999</v>
      </c>
      <c r="D11" s="348">
        <f>E11</f>
        <v>20</v>
      </c>
      <c r="E11" s="336">
        <f>'Energy Graph'!E8</f>
        <v>20</v>
      </c>
      <c r="F11" s="684">
        <f>Gen!U17</f>
        <v>4444</v>
      </c>
      <c r="G11" s="683">
        <f>Gen!T17</f>
        <v>1866.3500000000001</v>
      </c>
      <c r="H11" s="683">
        <f>Gen!AK17</f>
        <v>133</v>
      </c>
      <c r="I11" s="69">
        <f t="shared" ref="I11:I36" si="2">SUM(G11:H11)</f>
        <v>1999.3500000000001</v>
      </c>
      <c r="J11" s="359">
        <f>Gen!D17</f>
        <v>26568.150000000005</v>
      </c>
      <c r="K11" s="245">
        <f>'Water-Meter'!E12</f>
        <v>92</v>
      </c>
      <c r="L11" s="518">
        <f>'Lpg (2)'!G16</f>
        <v>132.87999999998721</v>
      </c>
      <c r="M11" s="63" t="e">
        <f>SUM(#REF!-#REF!)</f>
        <v>#REF!</v>
      </c>
    </row>
    <row r="12" spans="1:13" x14ac:dyDescent="0.2">
      <c r="A12" s="525">
        <f>Gen!B18</f>
        <v>44569</v>
      </c>
      <c r="B12" s="517">
        <f>'Daily report Gen'!Z13</f>
        <v>40</v>
      </c>
      <c r="C12" s="71">
        <f>Gen!C18</f>
        <v>0.23</v>
      </c>
      <c r="D12" s="348">
        <f t="shared" si="0"/>
        <v>19</v>
      </c>
      <c r="E12" s="336">
        <f>'Energy Graph'!E9</f>
        <v>19</v>
      </c>
      <c r="F12" s="684">
        <f>Gen!U18</f>
        <v>4291</v>
      </c>
      <c r="G12" s="683">
        <f>Gen!T18</f>
        <v>1767.24</v>
      </c>
      <c r="H12" s="683">
        <f>Gen!AK18</f>
        <v>162.47</v>
      </c>
      <c r="I12" s="69">
        <f t="shared" si="2"/>
        <v>1929.71</v>
      </c>
      <c r="J12" s="359">
        <f>Gen!D18</f>
        <v>24568.800000000007</v>
      </c>
      <c r="K12" s="245">
        <f>'Water-Meter'!E13</f>
        <v>108</v>
      </c>
      <c r="L12" s="518">
        <f>'Lpg (2)'!G17</f>
        <v>112.02400000002818</v>
      </c>
      <c r="M12" s="63" t="e">
        <f>SUM(#REF!-#REF!)</f>
        <v>#REF!</v>
      </c>
    </row>
    <row r="13" spans="1:13" x14ac:dyDescent="0.2">
      <c r="A13" s="525">
        <f>Gen!B19</f>
        <v>44570</v>
      </c>
      <c r="B13" s="517">
        <f>'Daily report Gen'!Z14</f>
        <v>43</v>
      </c>
      <c r="C13" s="71">
        <f>Gen!C19</f>
        <v>0.20780000000000001</v>
      </c>
      <c r="D13" s="348">
        <f t="shared" si="0"/>
        <v>17</v>
      </c>
      <c r="E13" s="336">
        <f>'Energy Graph'!E10</f>
        <v>17</v>
      </c>
      <c r="F13" s="684">
        <f>Gen!U19</f>
        <v>4336</v>
      </c>
      <c r="G13" s="683">
        <f>Gen!T19</f>
        <v>1846.05</v>
      </c>
      <c r="H13" s="683">
        <f>Gen!AK19</f>
        <v>109.74</v>
      </c>
      <c r="I13" s="69">
        <f t="shared" si="2"/>
        <v>1955.79</v>
      </c>
      <c r="J13" s="359">
        <f>Gen!D19</f>
        <v>40639.090000000011</v>
      </c>
      <c r="K13" s="245">
        <f>'Water-Meter'!E14</f>
        <v>101</v>
      </c>
      <c r="L13" s="518">
        <f>'Lpg (2)'!G18</f>
        <v>106.08400000000258</v>
      </c>
      <c r="M13" s="63" t="e">
        <f>SUM(#REF!-#REF!)</f>
        <v>#REF!</v>
      </c>
    </row>
    <row r="14" spans="1:13" x14ac:dyDescent="0.2">
      <c r="A14" s="525">
        <f>Gen!B20</f>
        <v>44571</v>
      </c>
      <c r="B14" s="517">
        <f>'Daily report Gen'!Z15</f>
        <v>39</v>
      </c>
      <c r="C14" s="71">
        <f>Gen!C20</f>
        <v>0.17</v>
      </c>
      <c r="D14" s="348">
        <f t="shared" si="0"/>
        <v>16</v>
      </c>
      <c r="E14" s="336">
        <f>'Energy Graph'!E11</f>
        <v>16</v>
      </c>
      <c r="F14" s="684">
        <f>Gen!U20</f>
        <v>4279</v>
      </c>
      <c r="G14" s="683">
        <f>Gen!T20</f>
        <v>1765.63</v>
      </c>
      <c r="H14" s="683">
        <f>Gen!AK20</f>
        <v>79.83</v>
      </c>
      <c r="I14" s="69">
        <f t="shared" si="2"/>
        <v>1845.46</v>
      </c>
      <c r="J14" s="359">
        <f>Gen!D20</f>
        <v>38683.30000000001</v>
      </c>
      <c r="K14" s="245">
        <f>'Water-Meter'!E15</f>
        <v>83</v>
      </c>
      <c r="L14" s="518">
        <f>'Lpg (2)'!G19</f>
        <v>113.78400000000256</v>
      </c>
      <c r="M14" s="63" t="e">
        <f>SUM(#REF!-#REF!)</f>
        <v>#REF!</v>
      </c>
    </row>
    <row r="15" spans="1:13" x14ac:dyDescent="0.2">
      <c r="A15" s="525">
        <f>Gen!B21</f>
        <v>44572</v>
      </c>
      <c r="B15" s="517">
        <f>'Daily report Gen'!Z16</f>
        <v>49</v>
      </c>
      <c r="C15" s="71">
        <f>Gen!C21</f>
        <v>0.1</v>
      </c>
      <c r="D15" s="348">
        <f t="shared" si="0"/>
        <v>11</v>
      </c>
      <c r="E15" s="336">
        <f>'Energy Graph'!E12</f>
        <v>11</v>
      </c>
      <c r="F15" s="684">
        <f>Gen!U21</f>
        <v>3862</v>
      </c>
      <c r="G15" s="683">
        <f>Gen!T21</f>
        <v>1625.2799999999997</v>
      </c>
      <c r="H15" s="683">
        <f>Gen!AK21</f>
        <v>386.46</v>
      </c>
      <c r="I15" s="69">
        <f t="shared" si="2"/>
        <v>2011.7399999999998</v>
      </c>
      <c r="J15" s="359">
        <f>Gen!D21</f>
        <v>36837.840000000011</v>
      </c>
      <c r="K15" s="245">
        <f>'Water-Meter'!E16</f>
        <v>67</v>
      </c>
      <c r="L15" s="518">
        <f>'Lpg (2)'!G20</f>
        <v>116.90799999996672</v>
      </c>
      <c r="M15" s="63" t="e">
        <f>SUM(#REF!-#REF!)</f>
        <v>#REF!</v>
      </c>
    </row>
    <row r="16" spans="1:13" x14ac:dyDescent="0.2">
      <c r="A16" s="525">
        <f>Gen!B22</f>
        <v>44573</v>
      </c>
      <c r="B16" s="517">
        <f>'Daily report Gen'!Z17</f>
        <v>42</v>
      </c>
      <c r="C16" s="71">
        <f>Gen!C22</f>
        <v>6.4899999999999999E-2</v>
      </c>
      <c r="D16" s="348">
        <f t="shared" si="0"/>
        <v>8</v>
      </c>
      <c r="E16" s="336">
        <f>'Energy Graph'!E13</f>
        <v>8</v>
      </c>
      <c r="F16" s="684">
        <f>Gen!U22</f>
        <v>3803</v>
      </c>
      <c r="G16" s="683">
        <f>Gen!T22</f>
        <v>1599.77</v>
      </c>
      <c r="H16" s="683">
        <f>Gen!AK22</f>
        <v>0</v>
      </c>
      <c r="I16" s="69">
        <f t="shared" si="2"/>
        <v>1599.77</v>
      </c>
      <c r="J16" s="359">
        <f>Gen!D22</f>
        <v>34826.100000000013</v>
      </c>
      <c r="K16" s="245">
        <f>'Water-Meter'!E17</f>
        <v>133</v>
      </c>
      <c r="L16" s="518">
        <f>'Lpg (2)'!G21</f>
        <v>99.484000000002567</v>
      </c>
      <c r="M16" s="63" t="e">
        <f>SUM(#REF!-#REF!)</f>
        <v>#REF!</v>
      </c>
    </row>
    <row r="17" spans="1:13" x14ac:dyDescent="0.2">
      <c r="A17" s="525">
        <f>Gen!B23</f>
        <v>44574</v>
      </c>
      <c r="B17" s="517">
        <f>'Daily report Gen'!Z18</f>
        <v>26</v>
      </c>
      <c r="C17" s="71">
        <f>Gen!C23</f>
        <v>0.13</v>
      </c>
      <c r="D17" s="348">
        <f t="shared" si="0"/>
        <v>13</v>
      </c>
      <c r="E17" s="336">
        <f>'Energy Graph'!E14</f>
        <v>13</v>
      </c>
      <c r="F17" s="684">
        <f>Gen!U23</f>
        <v>3648</v>
      </c>
      <c r="G17" s="683">
        <f>Gen!T23</f>
        <v>1507.29</v>
      </c>
      <c r="H17" s="683">
        <f>Gen!AK23</f>
        <v>66.31</v>
      </c>
      <c r="I17" s="69">
        <f t="shared" si="2"/>
        <v>1573.6</v>
      </c>
      <c r="J17" s="359">
        <f>Gen!D23</f>
        <v>33226.330000000016</v>
      </c>
      <c r="K17" s="245">
        <f>'Water-Meter'!E18</f>
        <v>86</v>
      </c>
      <c r="L17" s="518">
        <f>'Lpg (2)'!G22</f>
        <v>90.904000000015373</v>
      </c>
      <c r="M17" s="63" t="e">
        <f>SUM(#REF!-#REF!)</f>
        <v>#REF!</v>
      </c>
    </row>
    <row r="18" spans="1:13" x14ac:dyDescent="0.2">
      <c r="A18" s="525">
        <f>Gen!B24</f>
        <v>44575</v>
      </c>
      <c r="B18" s="517">
        <f>'Daily report Gen'!Z19</f>
        <v>26</v>
      </c>
      <c r="C18" s="71">
        <f>Gen!C24</f>
        <v>0.18</v>
      </c>
      <c r="D18" s="348">
        <f t="shared" si="0"/>
        <v>17</v>
      </c>
      <c r="E18" s="336">
        <f>'Energy Graph'!E15</f>
        <v>17</v>
      </c>
      <c r="F18" s="684">
        <f>Gen!U24</f>
        <v>3795</v>
      </c>
      <c r="G18" s="683">
        <f>Gen!T24</f>
        <v>1511.92</v>
      </c>
      <c r="H18" s="683">
        <f>Gen!AK24</f>
        <v>288.08</v>
      </c>
      <c r="I18" s="69">
        <f t="shared" si="2"/>
        <v>1800</v>
      </c>
      <c r="J18" s="359">
        <f>Gen!D24</f>
        <v>31652.730000000018</v>
      </c>
      <c r="K18" s="245">
        <f>'Water-Meter'!E19</f>
        <v>92</v>
      </c>
      <c r="L18" s="518">
        <f>'Lpg (2)'!G23</f>
        <v>73.568000000005128</v>
      </c>
      <c r="M18" s="63" t="e">
        <f>SUM(#REF!-#REF!)</f>
        <v>#REF!</v>
      </c>
    </row>
    <row r="19" spans="1:13" x14ac:dyDescent="0.2">
      <c r="A19" s="525">
        <f>Gen!B25</f>
        <v>44576</v>
      </c>
      <c r="B19" s="517">
        <f>'Daily report Gen'!Z20</f>
        <v>25</v>
      </c>
      <c r="C19" s="71">
        <f>Gen!C25</f>
        <v>0.16</v>
      </c>
      <c r="D19" s="348">
        <f t="shared" si="0"/>
        <v>15</v>
      </c>
      <c r="E19" s="336">
        <f>'Energy Graph'!E16</f>
        <v>15</v>
      </c>
      <c r="F19" s="684">
        <f>Gen!U25</f>
        <v>3648</v>
      </c>
      <c r="G19" s="683">
        <f>Gen!T25</f>
        <v>1442</v>
      </c>
      <c r="H19" s="683">
        <f>Gen!AK25</f>
        <v>0</v>
      </c>
      <c r="I19" s="69">
        <f t="shared" si="2"/>
        <v>1442</v>
      </c>
      <c r="J19" s="359">
        <f>Gen!D25</f>
        <v>29852.730000000018</v>
      </c>
      <c r="K19" s="245">
        <f>'Water-Meter'!E20</f>
        <v>102</v>
      </c>
      <c r="L19" s="518">
        <f>'Lpg (2)'!G24</f>
        <v>74.315999999997445</v>
      </c>
      <c r="M19" s="63" t="e">
        <f>SUM(#REF!-#REF!)</f>
        <v>#REF!</v>
      </c>
    </row>
    <row r="20" spans="1:13" x14ac:dyDescent="0.2">
      <c r="A20" s="525">
        <f>Gen!B26</f>
        <v>44577</v>
      </c>
      <c r="B20" s="517">
        <f>'Daily report Gen'!Z21</f>
        <v>29</v>
      </c>
      <c r="C20" s="71">
        <f>Gen!C26</f>
        <v>0.18</v>
      </c>
      <c r="D20" s="348">
        <f t="shared" si="0"/>
        <v>17</v>
      </c>
      <c r="E20" s="336">
        <f>'Energy Graph'!E17</f>
        <v>17</v>
      </c>
      <c r="F20" s="684">
        <f>Gen!U26</f>
        <v>3393</v>
      </c>
      <c r="G20" s="683">
        <f>Gen!T26</f>
        <v>1354.38</v>
      </c>
      <c r="H20" s="683">
        <f>Gen!AK26</f>
        <v>447</v>
      </c>
      <c r="I20" s="683">
        <f>SUM(G20:H20)</f>
        <v>1801.38</v>
      </c>
      <c r="J20" s="359">
        <f>Gen!D26</f>
        <v>28410.730000000018</v>
      </c>
      <c r="K20" s="245">
        <f>'Water-Meter'!E21</f>
        <v>74</v>
      </c>
      <c r="L20" s="518">
        <f>'Lpg (2)'!G25</f>
        <v>109.60400000001538</v>
      </c>
      <c r="M20" s="63" t="e">
        <f>SUM(#REF!-#REF!)</f>
        <v>#REF!</v>
      </c>
    </row>
    <row r="21" spans="1:13" x14ac:dyDescent="0.2">
      <c r="A21" s="525">
        <f>Gen!B27</f>
        <v>44578</v>
      </c>
      <c r="B21" s="517">
        <f>'Daily report Gen'!Z22</f>
        <v>23</v>
      </c>
      <c r="C21" s="71">
        <f>Gen!C27</f>
        <v>0.09</v>
      </c>
      <c r="D21" s="348">
        <f t="shared" si="0"/>
        <v>10</v>
      </c>
      <c r="E21" s="336">
        <f>'Energy Graph'!E18</f>
        <v>10</v>
      </c>
      <c r="F21" s="684">
        <f>Gen!U27</f>
        <v>2977</v>
      </c>
      <c r="G21" s="683">
        <f>Gen!T27</f>
        <v>1220.47</v>
      </c>
      <c r="H21" s="683">
        <f>Gen!AK27</f>
        <v>0</v>
      </c>
      <c r="I21" s="683">
        <f>SUM(G21:H21)</f>
        <v>1220.47</v>
      </c>
      <c r="J21" s="359">
        <f>Gen!D27</f>
        <v>26609.350000000017</v>
      </c>
      <c r="K21" s="245">
        <f>'Water-Meter'!E22</f>
        <v>68</v>
      </c>
      <c r="L21" s="518">
        <f>'Lpg (2)'!G26</f>
        <v>108.9</v>
      </c>
      <c r="M21" s="63" t="e">
        <f>SUM(#REF!-#REF!)</f>
        <v>#REF!</v>
      </c>
    </row>
    <row r="22" spans="1:13" x14ac:dyDescent="0.2">
      <c r="A22" s="525">
        <f>Gen!B28</f>
        <v>44579</v>
      </c>
      <c r="B22" s="517">
        <f>'Daily report Gen'!Z23</f>
        <v>26</v>
      </c>
      <c r="C22" s="71">
        <f>Gen!C28</f>
        <v>0.16</v>
      </c>
      <c r="D22" s="348">
        <f t="shared" si="0"/>
        <v>14</v>
      </c>
      <c r="E22" s="336">
        <f>'Energy Graph'!E19</f>
        <v>14</v>
      </c>
      <c r="F22" s="684">
        <f>Gen!U28</f>
        <v>3443</v>
      </c>
      <c r="G22" s="683">
        <f>Gen!T28</f>
        <v>1382.6399999999999</v>
      </c>
      <c r="H22" s="683">
        <f>Gen!AK28</f>
        <v>221.01000000000002</v>
      </c>
      <c r="I22" s="69">
        <f t="shared" si="2"/>
        <v>1603.6499999999999</v>
      </c>
      <c r="J22" s="359">
        <f>Gen!D28</f>
        <v>25388.880000000016</v>
      </c>
      <c r="K22" s="245">
        <f>'Water-Meter'!E23</f>
        <v>62</v>
      </c>
      <c r="L22" s="518">
        <f>'Lpg (2)'!G27</f>
        <v>98.823999999964158</v>
      </c>
      <c r="M22" s="63" t="e">
        <f>SUM(#REF!-#REF!)</f>
        <v>#REF!</v>
      </c>
    </row>
    <row r="23" spans="1:13" x14ac:dyDescent="0.2">
      <c r="A23" s="525">
        <f>Gen!B29</f>
        <v>44580</v>
      </c>
      <c r="B23" s="517">
        <f>'Daily report Gen'!Z24</f>
        <v>25</v>
      </c>
      <c r="C23" s="71">
        <f>Gen!C29</f>
        <v>0.18</v>
      </c>
      <c r="D23" s="348">
        <f t="shared" si="0"/>
        <v>15</v>
      </c>
      <c r="E23" s="336">
        <f>'Energy Graph'!E20</f>
        <v>15</v>
      </c>
      <c r="F23" s="684">
        <f>Gen!U29</f>
        <v>3010</v>
      </c>
      <c r="G23" s="683">
        <f>Gen!T29</f>
        <v>1252.71</v>
      </c>
      <c r="H23" s="683">
        <f>Gen!AK29</f>
        <v>127.84</v>
      </c>
      <c r="I23" s="69">
        <f t="shared" si="2"/>
        <v>1380.55</v>
      </c>
      <c r="J23" s="359">
        <f>Gen!D29</f>
        <v>23785.230000000014</v>
      </c>
      <c r="K23" s="245">
        <f>'Water-Meter'!E24</f>
        <v>70</v>
      </c>
      <c r="L23" s="518">
        <f>'Lpg (2)'!G28</f>
        <v>113.82800000004355</v>
      </c>
      <c r="M23" s="63" t="e">
        <f>SUM(#REF!-#REF!)</f>
        <v>#REF!</v>
      </c>
    </row>
    <row r="24" spans="1:13" x14ac:dyDescent="0.2">
      <c r="A24" s="525">
        <f>Gen!B30</f>
        <v>44581</v>
      </c>
      <c r="B24" s="517">
        <f>'Daily report Gen'!Z25</f>
        <v>25</v>
      </c>
      <c r="C24" s="71">
        <f>Gen!C30</f>
        <v>0.21</v>
      </c>
      <c r="D24" s="348">
        <f t="shared" si="0"/>
        <v>17</v>
      </c>
      <c r="E24" s="336">
        <f>'Energy Graph'!E21</f>
        <v>17</v>
      </c>
      <c r="F24" s="684">
        <f>Gen!U30</f>
        <v>3323</v>
      </c>
      <c r="G24" s="683">
        <f>Gen!T30</f>
        <v>1370.45</v>
      </c>
      <c r="H24" s="683">
        <f>Gen!AK30</f>
        <v>238.01999999999998</v>
      </c>
      <c r="I24" s="69">
        <f t="shared" si="2"/>
        <v>1608.47</v>
      </c>
      <c r="J24" s="359">
        <f>Gen!D30</f>
        <v>22404.680000000015</v>
      </c>
      <c r="K24" s="245">
        <f>'Water-Meter'!E25</f>
        <v>88</v>
      </c>
      <c r="L24" s="518">
        <f>'Lpg (2)'!G29</f>
        <v>115.14799999999232</v>
      </c>
      <c r="M24" s="63" t="e">
        <f>SUM(#REF!-#REF!)</f>
        <v>#REF!</v>
      </c>
    </row>
    <row r="25" spans="1:13" x14ac:dyDescent="0.2">
      <c r="A25" s="525">
        <f>Gen!B31</f>
        <v>44582</v>
      </c>
      <c r="B25" s="517">
        <f>'Daily report Gen'!Z26</f>
        <v>25</v>
      </c>
      <c r="C25" s="71">
        <f>Gen!C31</f>
        <v>0.09</v>
      </c>
      <c r="D25" s="348">
        <f t="shared" si="0"/>
        <v>8</v>
      </c>
      <c r="E25" s="336">
        <f>'Energy Graph'!E22</f>
        <v>8</v>
      </c>
      <c r="F25" s="684">
        <f>Gen!U31</f>
        <v>3113</v>
      </c>
      <c r="G25" s="683">
        <f>Gen!T31</f>
        <v>1280.31</v>
      </c>
      <c r="H25" s="683">
        <f>Gen!AK31</f>
        <v>15</v>
      </c>
      <c r="I25" s="69">
        <f t="shared" si="2"/>
        <v>1295.31</v>
      </c>
      <c r="J25" s="359">
        <f>Gen!D31</f>
        <v>20796.210000000014</v>
      </c>
      <c r="K25" s="245">
        <f>'Water-Meter'!E26</f>
        <v>81</v>
      </c>
      <c r="L25" s="518">
        <f>'Lpg (2)'!G30</f>
        <v>113.82799999997953</v>
      </c>
      <c r="M25" s="63" t="e">
        <f>SUM(#REF!-#REF!)</f>
        <v>#REF!</v>
      </c>
    </row>
    <row r="26" spans="1:13" x14ac:dyDescent="0.2">
      <c r="A26" s="525">
        <f>Gen!B32</f>
        <v>44583</v>
      </c>
      <c r="B26" s="517">
        <f>'Daily report Gen'!Z27</f>
        <v>26</v>
      </c>
      <c r="C26" s="71">
        <f>Gen!C32</f>
        <v>0.08</v>
      </c>
      <c r="D26" s="348">
        <f t="shared" si="0"/>
        <v>7</v>
      </c>
      <c r="E26" s="336">
        <f>'Energy Graph'!E23</f>
        <v>7</v>
      </c>
      <c r="F26" s="684">
        <f>Gen!U32</f>
        <v>3124</v>
      </c>
      <c r="G26" s="683">
        <f>Gen!T32</f>
        <v>1286.26</v>
      </c>
      <c r="H26" s="683">
        <f>Gen!AK32</f>
        <v>264.82</v>
      </c>
      <c r="I26" s="69">
        <f t="shared" si="2"/>
        <v>1551.08</v>
      </c>
      <c r="J26" s="359">
        <f>Gen!D32</f>
        <v>19500.900000000012</v>
      </c>
      <c r="K26" s="245">
        <f>'Water-Meter'!E27</f>
        <v>71</v>
      </c>
      <c r="L26" s="518">
        <f>'Lpg (2)'!G31</f>
        <v>96.711999999982083</v>
      </c>
      <c r="M26" s="63" t="e">
        <f>SUM(#REF!-#REF!)</f>
        <v>#REF!</v>
      </c>
    </row>
    <row r="27" spans="1:13" x14ac:dyDescent="0.2">
      <c r="A27" s="525">
        <f>Gen!B33</f>
        <v>44584</v>
      </c>
      <c r="B27" s="517">
        <f>'Daily report Gen'!Z28</f>
        <v>24</v>
      </c>
      <c r="C27" s="71">
        <f>Gen!C33</f>
        <v>0.04</v>
      </c>
      <c r="D27" s="348">
        <f t="shared" si="0"/>
        <v>4</v>
      </c>
      <c r="E27" s="336">
        <f>'Energy Graph'!E24</f>
        <v>4</v>
      </c>
      <c r="F27" s="684">
        <f>Gen!U33</f>
        <v>2797</v>
      </c>
      <c r="G27" s="683">
        <f>Gen!T33</f>
        <v>1199.2800000000002</v>
      </c>
      <c r="H27" s="683">
        <f>Gen!AK33</f>
        <v>253.24</v>
      </c>
      <c r="I27" s="69">
        <f t="shared" si="2"/>
        <v>1452.5200000000002</v>
      </c>
      <c r="J27" s="359">
        <f>Gen!D33</f>
        <v>35949.820000000014</v>
      </c>
      <c r="K27" s="245">
        <f>'Water-Meter'!E28</f>
        <v>62</v>
      </c>
      <c r="L27" s="518">
        <f>'Lpg (2)'!G32</f>
        <v>93.23600000001025</v>
      </c>
      <c r="M27" s="63" t="e">
        <f>SUM(#REF!-#REF!)</f>
        <v>#REF!</v>
      </c>
    </row>
    <row r="28" spans="1:13" x14ac:dyDescent="0.2">
      <c r="A28" s="525">
        <f>Gen!B34</f>
        <v>44585</v>
      </c>
      <c r="B28" s="517">
        <f>'Daily report Gen'!Z29</f>
        <v>26</v>
      </c>
      <c r="C28" s="71">
        <f>Gen!C34</f>
        <v>0.1</v>
      </c>
      <c r="D28" s="348">
        <f t="shared" si="0"/>
        <v>9</v>
      </c>
      <c r="E28" s="336">
        <f>'Energy Graph'!E25</f>
        <v>9</v>
      </c>
      <c r="F28" s="684">
        <f>Gen!U34</f>
        <v>3295</v>
      </c>
      <c r="G28" s="683">
        <f>Gen!T34</f>
        <v>1340.81</v>
      </c>
      <c r="H28" s="683">
        <f>Gen!AK34</f>
        <v>237.04000000000002</v>
      </c>
      <c r="I28" s="69">
        <f t="shared" si="2"/>
        <v>1577.85</v>
      </c>
      <c r="J28" s="359">
        <f>Gen!D34</f>
        <v>34497.300000000017</v>
      </c>
      <c r="K28" s="245">
        <f>'Water-Meter'!E29</f>
        <v>75</v>
      </c>
      <c r="L28" s="518">
        <f>'Lpg (2)'!G33</f>
        <v>103.31200000004611</v>
      </c>
      <c r="M28" s="63" t="e">
        <f>SUM(#REF!-#REF!)</f>
        <v>#REF!</v>
      </c>
    </row>
    <row r="29" spans="1:13" x14ac:dyDescent="0.2">
      <c r="A29" s="525">
        <f>Gen!B35</f>
        <v>44586</v>
      </c>
      <c r="B29" s="517">
        <f>'Daily report Gen'!Z30</f>
        <v>24</v>
      </c>
      <c r="C29" s="71">
        <f>Gen!C35</f>
        <v>0.14000000000000001</v>
      </c>
      <c r="D29" s="348">
        <f t="shared" si="0"/>
        <v>12</v>
      </c>
      <c r="E29" s="336">
        <f>'Energy Graph'!E26</f>
        <v>12</v>
      </c>
      <c r="F29" s="684">
        <f>Gen!U35</f>
        <v>3205</v>
      </c>
      <c r="G29" s="683">
        <f>Gen!T35</f>
        <v>1255.47</v>
      </c>
      <c r="H29" s="683">
        <f>Gen!AK35</f>
        <v>118.03</v>
      </c>
      <c r="I29" s="69">
        <f t="shared" si="2"/>
        <v>1373.5</v>
      </c>
      <c r="J29" s="359">
        <f>Gen!D35</f>
        <v>32919.450000000019</v>
      </c>
      <c r="K29" s="245">
        <f>'Water-Meter'!E30</f>
        <v>160</v>
      </c>
      <c r="L29" s="518">
        <f>'Lpg (2)'!G34</f>
        <v>113.38799999995391</v>
      </c>
      <c r="M29" s="63" t="e">
        <f>SUM(#REF!-#REF!)</f>
        <v>#REF!</v>
      </c>
    </row>
    <row r="30" spans="1:13" x14ac:dyDescent="0.2">
      <c r="A30" s="525">
        <f>Gen!B36</f>
        <v>44587</v>
      </c>
      <c r="B30" s="517">
        <f>'Daily report Gen'!Z31</f>
        <v>26</v>
      </c>
      <c r="C30" s="71">
        <f>Gen!C36</f>
        <v>0.16</v>
      </c>
      <c r="D30" s="348">
        <f t="shared" si="0"/>
        <v>13</v>
      </c>
      <c r="E30" s="336">
        <f>'Energy Graph'!E27</f>
        <v>13</v>
      </c>
      <c r="F30" s="684">
        <f>Gen!U36</f>
        <v>3575</v>
      </c>
      <c r="G30" s="683">
        <f>Gen!T36</f>
        <v>1351.98</v>
      </c>
      <c r="H30" s="683">
        <f>Gen!AK36</f>
        <v>73.37</v>
      </c>
      <c r="I30" s="69">
        <f t="shared" si="2"/>
        <v>1425.35</v>
      </c>
      <c r="J30" s="359">
        <f>Gen!D36</f>
        <v>31545.950000000019</v>
      </c>
      <c r="K30" s="245">
        <f>'Water-Meter'!E31</f>
        <v>66</v>
      </c>
      <c r="L30" s="518">
        <f>'Lpg (2)'!G35</f>
        <v>121.35200000000769</v>
      </c>
      <c r="M30" s="63" t="e">
        <f>SUM(#REF!-#REF!)</f>
        <v>#REF!</v>
      </c>
    </row>
    <row r="31" spans="1:13" x14ac:dyDescent="0.2">
      <c r="A31" s="525">
        <f>Gen!B37</f>
        <v>44588</v>
      </c>
      <c r="B31" s="517">
        <f>'Daily report Gen'!Z32</f>
        <v>24</v>
      </c>
      <c r="C31" s="71">
        <f>Gen!C37</f>
        <v>0.13</v>
      </c>
      <c r="D31" s="348">
        <f t="shared" si="0"/>
        <v>11</v>
      </c>
      <c r="E31" s="336">
        <f>'Energy Graph'!E28</f>
        <v>11</v>
      </c>
      <c r="F31" s="684">
        <f>Gen!U37</f>
        <v>3610</v>
      </c>
      <c r="G31" s="683">
        <f>Gen!T37</f>
        <v>1411.45</v>
      </c>
      <c r="H31" s="683">
        <f>Gen!AK37</f>
        <v>353.88</v>
      </c>
      <c r="I31" s="69">
        <f t="shared" si="2"/>
        <v>1765.33</v>
      </c>
      <c r="J31" s="359">
        <f>Gen!D37</f>
        <v>45120.60000000002</v>
      </c>
      <c r="K31" s="245">
        <f>'Water-Meter'!E32</f>
        <v>75</v>
      </c>
      <c r="L31" s="518">
        <f>'Lpg (2)'!G36</f>
        <v>119.32799999997953</v>
      </c>
      <c r="M31" s="63" t="e">
        <f>SUM(#REF!-#REF!)</f>
        <v>#REF!</v>
      </c>
    </row>
    <row r="32" spans="1:13" x14ac:dyDescent="0.2">
      <c r="A32" s="525">
        <f>Gen!B38</f>
        <v>44589</v>
      </c>
      <c r="B32" s="517">
        <f>'Daily report Gen'!Z33</f>
        <v>24</v>
      </c>
      <c r="C32" s="71">
        <f>Gen!C38</f>
        <v>0.09</v>
      </c>
      <c r="D32" s="348">
        <f t="shared" si="0"/>
        <v>8</v>
      </c>
      <c r="E32" s="336">
        <f>'Energy Graph'!E29</f>
        <v>8</v>
      </c>
      <c r="F32" s="684">
        <f>Gen!U38</f>
        <v>3593</v>
      </c>
      <c r="G32" s="683">
        <f>Gen!T38</f>
        <v>1429.2</v>
      </c>
      <c r="H32" s="683">
        <f>Gen!AK38</f>
        <v>0</v>
      </c>
      <c r="I32" s="69">
        <f t="shared" si="2"/>
        <v>1429.2</v>
      </c>
      <c r="J32" s="359">
        <f>Gen!D38</f>
        <v>43355.270000000019</v>
      </c>
      <c r="K32" s="245">
        <f>'Water-Meter'!E33</f>
        <v>64</v>
      </c>
      <c r="L32" s="518">
        <f>'Lpg (2)'!G37</f>
        <v>116.07200000002049</v>
      </c>
      <c r="M32" s="63" t="e">
        <f>SUM(#REF!-#REF!)</f>
        <v>#REF!</v>
      </c>
    </row>
    <row r="33" spans="1:13" x14ac:dyDescent="0.2">
      <c r="A33" s="525">
        <f>Gen!B39</f>
        <v>44590</v>
      </c>
      <c r="B33" s="517">
        <f>'Daily report Gen'!Z34</f>
        <v>26</v>
      </c>
      <c r="C33" s="71">
        <f>Gen!C39</f>
        <v>0.09</v>
      </c>
      <c r="D33" s="348">
        <f t="shared" si="0"/>
        <v>8</v>
      </c>
      <c r="E33" s="336">
        <f>'Energy Graph'!E30</f>
        <v>8</v>
      </c>
      <c r="F33" s="684">
        <f>Gen!U39</f>
        <v>3589</v>
      </c>
      <c r="G33" s="683">
        <f>Gen!T39</f>
        <v>1414.19</v>
      </c>
      <c r="H33" s="683">
        <f>Gen!AK39</f>
        <v>48.59</v>
      </c>
      <c r="I33" s="69">
        <f t="shared" si="2"/>
        <v>1462.78</v>
      </c>
      <c r="J33" s="359">
        <f>Gen!D39</f>
        <v>41926.070000000022</v>
      </c>
      <c r="K33" s="245">
        <f>'Water-Meter'!E34</f>
        <v>80</v>
      </c>
      <c r="L33" s="518">
        <f>'Lpg (2)'!G38</f>
        <v>112.81599999999744</v>
      </c>
      <c r="M33" s="63" t="e">
        <f>SUM(#REF!-#REF!)</f>
        <v>#REF!</v>
      </c>
    </row>
    <row r="34" spans="1:13" x14ac:dyDescent="0.2">
      <c r="A34" s="525">
        <f>Gen!B40</f>
        <v>44591</v>
      </c>
      <c r="B34" s="517">
        <f>'Daily report Gen'!Z35</f>
        <v>16</v>
      </c>
      <c r="C34" s="71">
        <f>Gen!C40</f>
        <v>0.06</v>
      </c>
      <c r="D34" s="348">
        <f t="shared" si="0"/>
        <v>6</v>
      </c>
      <c r="E34" s="336">
        <f>'Energy Graph'!E31</f>
        <v>6</v>
      </c>
      <c r="F34" s="684">
        <f>Gen!U40</f>
        <v>3575</v>
      </c>
      <c r="G34" s="683">
        <f>Gen!T40</f>
        <v>1346.8700000000001</v>
      </c>
      <c r="H34" s="683">
        <f>Gen!AK40</f>
        <v>96</v>
      </c>
      <c r="I34" s="69">
        <f t="shared" si="2"/>
        <v>1442.8700000000001</v>
      </c>
      <c r="J34" s="359">
        <f>Gen!D40</f>
        <v>40463.290000000023</v>
      </c>
      <c r="K34" s="245">
        <f>'Water-Meter'!E35</f>
        <v>110</v>
      </c>
      <c r="L34" s="518">
        <f>'Lpg (2)'!G39</f>
        <v>103.79599999998464</v>
      </c>
      <c r="M34" s="63" t="e">
        <f>SUM(#REF!-#REF!)</f>
        <v>#REF!</v>
      </c>
    </row>
    <row r="35" spans="1:13" ht="13.5" thickBot="1" x14ac:dyDescent="0.25">
      <c r="A35" s="525">
        <f>Gen!B41</f>
        <v>44592</v>
      </c>
      <c r="B35" s="517">
        <f>'Daily report Gen'!Z36</f>
        <v>24</v>
      </c>
      <c r="C35" s="71">
        <f>Gen!C41</f>
        <v>0.05</v>
      </c>
      <c r="D35" s="348">
        <f t="shared" si="0"/>
        <v>5</v>
      </c>
      <c r="E35" s="336">
        <f>'Energy Graph'!E32</f>
        <v>5</v>
      </c>
      <c r="F35" s="684">
        <f>Gen!U41</f>
        <v>3272</v>
      </c>
      <c r="G35" s="683">
        <f>Gen!T41</f>
        <v>1283.56</v>
      </c>
      <c r="H35" s="683">
        <f>Gen!AK41</f>
        <v>511.7</v>
      </c>
      <c r="I35" s="69">
        <f t="shared" si="2"/>
        <v>1795.26</v>
      </c>
      <c r="J35" s="359">
        <f>Gen!D41</f>
        <v>39020.42000000002</v>
      </c>
      <c r="K35" s="523">
        <f>'Water-Meter'!E36</f>
        <v>104</v>
      </c>
      <c r="L35" s="518">
        <f>'Lpg (2)'!G40</f>
        <v>-4278.8239999999641</v>
      </c>
      <c r="M35" s="63" t="e">
        <f>SUM(#REF!-#REF!)</f>
        <v>#REF!</v>
      </c>
    </row>
    <row r="36" spans="1:13" ht="13.5" thickBot="1" x14ac:dyDescent="0.25">
      <c r="A36" s="526">
        <f>Gen!B42</f>
        <v>0</v>
      </c>
      <c r="B36" s="517">
        <f>'Daily report Gen'!Z37</f>
        <v>-131224</v>
      </c>
      <c r="C36" s="519">
        <f>Gen!C42</f>
        <v>0</v>
      </c>
      <c r="D36" s="520">
        <f t="shared" si="0"/>
        <v>0</v>
      </c>
      <c r="E36" s="521"/>
      <c r="F36" s="684">
        <f>Gen!U42</f>
        <v>0</v>
      </c>
      <c r="G36" s="683">
        <f>Gen!T42</f>
        <v>0</v>
      </c>
      <c r="H36" s="683">
        <f>Gen!AK42</f>
        <v>0</v>
      </c>
      <c r="I36" s="69">
        <f t="shared" si="2"/>
        <v>0</v>
      </c>
      <c r="J36" s="522">
        <f>Gen!D42</f>
        <v>37225.160000000018</v>
      </c>
      <c r="K36" s="523" t="str">
        <f>'Water-Meter'!E37</f>
        <v>0</v>
      </c>
      <c r="L36" s="518">
        <f>'Lpg (2)'!G41</f>
        <v>-361186.45200000005</v>
      </c>
    </row>
    <row r="38" spans="1:13" x14ac:dyDescent="0.2">
      <c r="B38" s="67"/>
    </row>
    <row r="39" spans="1:13" x14ac:dyDescent="0.2">
      <c r="B39" s="67"/>
      <c r="C39" s="67"/>
    </row>
  </sheetData>
  <mergeCells count="1">
    <mergeCell ref="A1:L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38"/>
  <sheetViews>
    <sheetView topLeftCell="A4" workbookViewId="0">
      <pane xSplit="1" topLeftCell="B1" activePane="topRight" state="frozen"/>
      <selection pane="topRight" activeCell="D37" sqref="D37"/>
    </sheetView>
  </sheetViews>
  <sheetFormatPr defaultRowHeight="12.75" x14ac:dyDescent="0.2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 x14ac:dyDescent="0.2">
      <c r="A1" s="951">
        <f>A6</f>
        <v>44562</v>
      </c>
      <c r="B1" s="952"/>
      <c r="C1" s="952"/>
      <c r="D1" s="952"/>
      <c r="E1" s="952"/>
      <c r="F1" s="952"/>
      <c r="G1" s="952"/>
      <c r="H1" s="952"/>
      <c r="I1" s="952"/>
      <c r="J1" s="952"/>
      <c r="K1" s="952"/>
      <c r="L1" s="952"/>
      <c r="M1" s="952"/>
      <c r="N1" s="952"/>
      <c r="O1" s="952"/>
      <c r="P1" s="952"/>
      <c r="Q1" s="952"/>
      <c r="R1" s="952"/>
      <c r="S1" s="952"/>
      <c r="T1" s="952"/>
      <c r="U1" s="952"/>
      <c r="V1" s="952"/>
      <c r="W1" s="952"/>
      <c r="X1" s="952"/>
      <c r="Y1" s="952"/>
      <c r="Z1" s="952"/>
      <c r="AA1" s="952"/>
      <c r="AB1" s="952"/>
    </row>
    <row r="2" spans="1:29" ht="12" customHeight="1" thickBot="1" x14ac:dyDescent="0.25">
      <c r="A2" s="952"/>
      <c r="B2" s="952"/>
      <c r="C2" s="952"/>
      <c r="D2" s="952"/>
      <c r="E2" s="952"/>
      <c r="F2" s="952"/>
      <c r="G2" s="952"/>
      <c r="H2" s="952"/>
      <c r="I2" s="952"/>
      <c r="J2" s="952"/>
      <c r="K2" s="952"/>
      <c r="L2" s="952"/>
      <c r="M2" s="952"/>
      <c r="N2" s="952"/>
      <c r="O2" s="952"/>
      <c r="P2" s="952"/>
      <c r="Q2" s="952"/>
      <c r="R2" s="952"/>
      <c r="S2" s="952"/>
      <c r="T2" s="952"/>
      <c r="U2" s="952"/>
      <c r="V2" s="952"/>
      <c r="W2" s="952"/>
      <c r="X2" s="952"/>
      <c r="Y2" s="952"/>
      <c r="Z2" s="952"/>
      <c r="AA2" s="952"/>
      <c r="AB2" s="952"/>
    </row>
    <row r="3" spans="1:29" ht="27.75" customHeight="1" thickBot="1" x14ac:dyDescent="0.25">
      <c r="I3" s="28"/>
      <c r="K3" s="953" t="s">
        <v>268</v>
      </c>
      <c r="L3" s="954"/>
      <c r="M3" s="955"/>
      <c r="N3" s="953" t="s">
        <v>269</v>
      </c>
      <c r="O3" s="954"/>
      <c r="P3" s="955"/>
      <c r="Q3" s="953" t="s">
        <v>270</v>
      </c>
      <c r="R3" s="954"/>
      <c r="S3" s="955"/>
      <c r="T3" s="953" t="s">
        <v>271</v>
      </c>
      <c r="U3" s="954"/>
      <c r="V3" s="955"/>
      <c r="W3" s="953" t="s">
        <v>272</v>
      </c>
      <c r="X3" s="954"/>
      <c r="Y3" s="955"/>
      <c r="Z3" s="10"/>
    </row>
    <row r="4" spans="1:29" ht="35.25" customHeight="1" x14ac:dyDescent="0.2">
      <c r="A4" s="221" t="s">
        <v>273</v>
      </c>
      <c r="B4" s="662" t="s">
        <v>274</v>
      </c>
      <c r="C4" s="662" t="s">
        <v>275</v>
      </c>
      <c r="D4" s="662" t="s">
        <v>276</v>
      </c>
      <c r="E4" s="662" t="s">
        <v>277</v>
      </c>
      <c r="F4" s="662" t="s">
        <v>278</v>
      </c>
      <c r="G4" s="664" t="s">
        <v>279</v>
      </c>
      <c r="H4" s="662" t="s">
        <v>280</v>
      </c>
      <c r="I4" s="664" t="s">
        <v>281</v>
      </c>
      <c r="J4" s="669" t="s">
        <v>282</v>
      </c>
      <c r="K4" s="274" t="s">
        <v>283</v>
      </c>
      <c r="L4" s="272" t="s">
        <v>284</v>
      </c>
      <c r="M4" s="272" t="s">
        <v>285</v>
      </c>
      <c r="N4" s="274" t="s">
        <v>283</v>
      </c>
      <c r="O4" s="272" t="s">
        <v>284</v>
      </c>
      <c r="P4" s="272" t="s">
        <v>285</v>
      </c>
      <c r="Q4" s="643" t="s">
        <v>283</v>
      </c>
      <c r="R4" s="277" t="s">
        <v>284</v>
      </c>
      <c r="S4" s="644" t="s">
        <v>285</v>
      </c>
      <c r="T4" s="274" t="s">
        <v>283</v>
      </c>
      <c r="U4" s="272" t="s">
        <v>284</v>
      </c>
      <c r="V4" s="272" t="s">
        <v>285</v>
      </c>
      <c r="W4" s="274" t="s">
        <v>283</v>
      </c>
      <c r="X4" s="272" t="s">
        <v>284</v>
      </c>
      <c r="Y4" s="273" t="s">
        <v>285</v>
      </c>
      <c r="Z4" s="275" t="s">
        <v>286</v>
      </c>
      <c r="AA4" s="271" t="s">
        <v>287</v>
      </c>
      <c r="AB4" s="276" t="s">
        <v>288</v>
      </c>
      <c r="AC4" s="277" t="s">
        <v>289</v>
      </c>
    </row>
    <row r="5" spans="1:29" ht="18.75" customHeight="1" x14ac:dyDescent="0.2">
      <c r="A5" s="665"/>
      <c r="B5" s="663"/>
      <c r="C5" s="718"/>
      <c r="D5" s="718"/>
      <c r="E5" s="663"/>
      <c r="F5" s="663"/>
      <c r="G5" s="663"/>
      <c r="H5" s="663"/>
      <c r="I5" s="718"/>
      <c r="J5" s="719"/>
      <c r="K5" s="667"/>
      <c r="L5" s="253">
        <v>38661</v>
      </c>
      <c r="M5" s="541"/>
      <c r="N5" s="49"/>
      <c r="O5" s="624">
        <v>32025</v>
      </c>
      <c r="P5" s="542"/>
      <c r="Q5" s="49"/>
      <c r="R5" s="253">
        <v>37416</v>
      </c>
      <c r="S5" s="542"/>
      <c r="T5" s="49"/>
      <c r="U5" s="718">
        <v>35733</v>
      </c>
      <c r="V5" s="542"/>
      <c r="W5" s="49"/>
      <c r="X5" s="624">
        <v>24077</v>
      </c>
      <c r="Y5" s="542"/>
      <c r="Z5" s="542"/>
      <c r="AA5" s="6"/>
      <c r="AB5" s="6"/>
      <c r="AC5" s="543"/>
    </row>
    <row r="6" spans="1:29" ht="20.100000000000001" customHeight="1" x14ac:dyDescent="0.2">
      <c r="A6" s="666">
        <f>Gen!B11</f>
        <v>44562</v>
      </c>
      <c r="B6" s="717">
        <f>Gen!C11</f>
        <v>0.41560000000000002</v>
      </c>
      <c r="C6" s="638">
        <v>24800.7</v>
      </c>
      <c r="D6" s="253">
        <v>12114.52</v>
      </c>
      <c r="E6" s="253"/>
      <c r="F6" s="715"/>
      <c r="G6" s="732">
        <v>320.11</v>
      </c>
      <c r="H6" s="732"/>
      <c r="I6" s="732">
        <v>33634.199999999997</v>
      </c>
      <c r="J6" s="732">
        <v>22360.799999999999</v>
      </c>
      <c r="K6" s="668">
        <f>L5</f>
        <v>38661</v>
      </c>
      <c r="L6" s="253">
        <v>38677</v>
      </c>
      <c r="M6" s="252">
        <f>L6-K6</f>
        <v>16</v>
      </c>
      <c r="N6" s="745">
        <f>O5</f>
        <v>32025</v>
      </c>
      <c r="O6" s="715">
        <v>32025</v>
      </c>
      <c r="P6" s="668">
        <f>O6-N6</f>
        <v>0</v>
      </c>
      <c r="Q6" s="252">
        <f>R5</f>
        <v>37416</v>
      </c>
      <c r="R6" s="253">
        <v>37417</v>
      </c>
      <c r="S6" s="252">
        <f>R6-Q6</f>
        <v>1</v>
      </c>
      <c r="T6" s="746">
        <f>U5</f>
        <v>35733</v>
      </c>
      <c r="U6" s="715">
        <v>35743</v>
      </c>
      <c r="V6" s="668">
        <f>U6-T6</f>
        <v>10</v>
      </c>
      <c r="W6" s="745">
        <f>X5</f>
        <v>24077</v>
      </c>
      <c r="X6" s="715">
        <v>24092</v>
      </c>
      <c r="Y6" s="668">
        <f>X6-W6</f>
        <v>15</v>
      </c>
      <c r="Z6" s="255">
        <f t="shared" ref="Z6:Z25" si="0">Y6+V6+S6+P6+M6</f>
        <v>42</v>
      </c>
      <c r="AA6" s="6">
        <v>490</v>
      </c>
      <c r="AB6" s="6">
        <v>185</v>
      </c>
      <c r="AC6" s="545">
        <f>Gen!T11</f>
        <v>1965.3</v>
      </c>
    </row>
    <row r="7" spans="1:29" ht="20.100000000000001" customHeight="1" x14ac:dyDescent="0.2">
      <c r="A7" s="666">
        <f>Gen!B12</f>
        <v>44563</v>
      </c>
      <c r="B7" s="717">
        <f>Gen!C12</f>
        <v>0.53</v>
      </c>
      <c r="C7" s="638">
        <v>22636.31</v>
      </c>
      <c r="D7" s="253">
        <v>12114.52</v>
      </c>
      <c r="E7" s="253"/>
      <c r="F7" s="734"/>
      <c r="G7" s="732">
        <v>237.31</v>
      </c>
      <c r="H7" s="732"/>
      <c r="I7" s="732">
        <v>33642.199999999997</v>
      </c>
      <c r="J7" s="732">
        <v>22366.1</v>
      </c>
      <c r="K7" s="668">
        <f t="shared" ref="K7:K37" si="1">L6</f>
        <v>38677</v>
      </c>
      <c r="L7" s="253">
        <v>38692</v>
      </c>
      <c r="M7" s="252">
        <f t="shared" ref="M7:M37" si="2">L7-K7</f>
        <v>15</v>
      </c>
      <c r="N7" s="745">
        <f t="shared" ref="N7:N37" si="3">O6</f>
        <v>32025</v>
      </c>
      <c r="O7" s="715">
        <v>32025</v>
      </c>
      <c r="P7" s="668">
        <f t="shared" ref="P7:P37" si="4">O7-N7</f>
        <v>0</v>
      </c>
      <c r="Q7" s="252">
        <f t="shared" ref="Q7:Q37" si="5">R6</f>
        <v>37417</v>
      </c>
      <c r="R7" s="253">
        <v>37427</v>
      </c>
      <c r="S7" s="252">
        <f>R7-Q7</f>
        <v>10</v>
      </c>
      <c r="T7" s="746">
        <f t="shared" ref="T7:T37" si="6">U6</f>
        <v>35743</v>
      </c>
      <c r="U7" s="715">
        <v>35743</v>
      </c>
      <c r="V7" s="668">
        <f>U7-T7</f>
        <v>0</v>
      </c>
      <c r="W7" s="745">
        <f t="shared" ref="W7:W37" si="7">X6</f>
        <v>24092</v>
      </c>
      <c r="X7" s="715">
        <v>24107</v>
      </c>
      <c r="Y7" s="668">
        <f>X7-W7</f>
        <v>15</v>
      </c>
      <c r="Z7" s="255">
        <f t="shared" si="0"/>
        <v>40</v>
      </c>
      <c r="AA7" s="6">
        <v>485</v>
      </c>
      <c r="AB7" s="6">
        <v>200</v>
      </c>
      <c r="AC7" s="545">
        <f>Gen!T12</f>
        <v>1927.08</v>
      </c>
    </row>
    <row r="8" spans="1:29" ht="20.100000000000001" customHeight="1" x14ac:dyDescent="0.2">
      <c r="A8" s="666">
        <f>Gen!B13</f>
        <v>44564</v>
      </c>
      <c r="B8" s="717">
        <f>Gen!C13</f>
        <v>0.36</v>
      </c>
      <c r="C8" s="638">
        <v>20545.39</v>
      </c>
      <c r="D8" s="253">
        <v>12114.52</v>
      </c>
      <c r="E8" s="253"/>
      <c r="F8" s="734"/>
      <c r="G8" s="732">
        <v>231</v>
      </c>
      <c r="H8" s="732"/>
      <c r="I8" s="732">
        <v>33650.400000000001</v>
      </c>
      <c r="J8" s="732">
        <v>22371.1</v>
      </c>
      <c r="K8" s="668">
        <f t="shared" si="1"/>
        <v>38692</v>
      </c>
      <c r="L8" s="253">
        <v>38707</v>
      </c>
      <c r="M8" s="252">
        <f t="shared" si="2"/>
        <v>15</v>
      </c>
      <c r="N8" s="745">
        <f t="shared" si="3"/>
        <v>32025</v>
      </c>
      <c r="O8" s="715">
        <v>32025</v>
      </c>
      <c r="P8" s="668">
        <f t="shared" si="4"/>
        <v>0</v>
      </c>
      <c r="Q8" s="252">
        <f t="shared" si="5"/>
        <v>37427</v>
      </c>
      <c r="R8" s="253">
        <v>37437</v>
      </c>
      <c r="S8" s="252">
        <f>R8-Q8</f>
        <v>10</v>
      </c>
      <c r="T8" s="746">
        <f t="shared" si="6"/>
        <v>35743</v>
      </c>
      <c r="U8" s="715">
        <v>35758</v>
      </c>
      <c r="V8" s="668">
        <f t="shared" ref="V8:V37" si="8">U8-T8</f>
        <v>15</v>
      </c>
      <c r="W8" s="745">
        <f t="shared" si="7"/>
        <v>24107</v>
      </c>
      <c r="X8" s="715">
        <v>24107</v>
      </c>
      <c r="Y8" s="668">
        <f t="shared" ref="Y8:Y37" si="9">X8-W8</f>
        <v>0</v>
      </c>
      <c r="Z8" s="255">
        <f t="shared" si="0"/>
        <v>40</v>
      </c>
      <c r="AA8" s="6">
        <v>485</v>
      </c>
      <c r="AB8" s="6">
        <v>115</v>
      </c>
      <c r="AC8" s="545">
        <f>Gen!T13</f>
        <v>1859.9199999999998</v>
      </c>
    </row>
    <row r="9" spans="1:29" ht="20.100000000000001" customHeight="1" x14ac:dyDescent="0.2">
      <c r="A9" s="666">
        <f>Gen!B14</f>
        <v>44565</v>
      </c>
      <c r="B9" s="717">
        <f>Gen!C14</f>
        <v>0.35</v>
      </c>
      <c r="C9" s="638">
        <v>18408.21</v>
      </c>
      <c r="D9" s="253">
        <v>12114.52</v>
      </c>
      <c r="E9" s="253"/>
      <c r="F9" s="734"/>
      <c r="G9" s="732">
        <v>247.48</v>
      </c>
      <c r="H9" s="732"/>
      <c r="I9" s="732">
        <v>33658.6</v>
      </c>
      <c r="J9" s="732">
        <v>22376.1</v>
      </c>
      <c r="K9" s="668">
        <f t="shared" si="1"/>
        <v>38707</v>
      </c>
      <c r="L9" s="253">
        <v>38723</v>
      </c>
      <c r="M9" s="252">
        <f t="shared" si="2"/>
        <v>16</v>
      </c>
      <c r="N9" s="745">
        <f t="shared" si="3"/>
        <v>32025</v>
      </c>
      <c r="O9" s="715">
        <v>32025</v>
      </c>
      <c r="P9" s="668">
        <f t="shared" si="4"/>
        <v>0</v>
      </c>
      <c r="Q9" s="252">
        <f t="shared" si="5"/>
        <v>37437</v>
      </c>
      <c r="R9" s="253">
        <v>37437</v>
      </c>
      <c r="S9" s="252">
        <f t="shared" ref="S9:S36" si="10">R9-Q9</f>
        <v>0</v>
      </c>
      <c r="T9" s="746">
        <f t="shared" si="6"/>
        <v>35758</v>
      </c>
      <c r="U9" s="715">
        <v>35768</v>
      </c>
      <c r="V9" s="668">
        <f t="shared" si="8"/>
        <v>10</v>
      </c>
      <c r="W9" s="745">
        <f t="shared" si="7"/>
        <v>24107</v>
      </c>
      <c r="X9" s="715">
        <v>24122</v>
      </c>
      <c r="Y9" s="668">
        <f t="shared" si="9"/>
        <v>15</v>
      </c>
      <c r="Z9" s="255">
        <f t="shared" si="0"/>
        <v>41</v>
      </c>
      <c r="AA9" s="6">
        <v>450</v>
      </c>
      <c r="AB9" s="6">
        <v>200</v>
      </c>
      <c r="AC9" s="545">
        <f>Gen!T14</f>
        <v>1889.6999999999998</v>
      </c>
    </row>
    <row r="10" spans="1:29" ht="20.100000000000001" customHeight="1" x14ac:dyDescent="0.2">
      <c r="A10" s="666">
        <f>Gen!B15</f>
        <v>44566</v>
      </c>
      <c r="B10" s="717">
        <f>Gen!C15</f>
        <v>0.26</v>
      </c>
      <c r="C10" s="638">
        <v>16581.82</v>
      </c>
      <c r="D10" s="253">
        <v>12114.52</v>
      </c>
      <c r="E10" s="716"/>
      <c r="F10" s="734"/>
      <c r="G10" s="732">
        <v>110</v>
      </c>
      <c r="H10" s="732"/>
      <c r="I10" s="732">
        <v>33665.9</v>
      </c>
      <c r="J10" s="732">
        <v>22381.1</v>
      </c>
      <c r="K10" s="668">
        <f t="shared" si="1"/>
        <v>38723</v>
      </c>
      <c r="L10" s="253">
        <v>38740</v>
      </c>
      <c r="M10" s="252">
        <f t="shared" si="2"/>
        <v>17</v>
      </c>
      <c r="N10" s="745">
        <f t="shared" si="3"/>
        <v>32025</v>
      </c>
      <c r="O10" s="715">
        <v>32025</v>
      </c>
      <c r="P10" s="668">
        <f t="shared" si="4"/>
        <v>0</v>
      </c>
      <c r="Q10" s="252">
        <f t="shared" si="5"/>
        <v>37437</v>
      </c>
      <c r="R10" s="253">
        <v>37437</v>
      </c>
      <c r="S10" s="252">
        <f t="shared" si="10"/>
        <v>0</v>
      </c>
      <c r="T10" s="746">
        <f t="shared" si="6"/>
        <v>35768</v>
      </c>
      <c r="U10" s="715">
        <v>35776</v>
      </c>
      <c r="V10" s="668">
        <f t="shared" si="8"/>
        <v>8</v>
      </c>
      <c r="W10" s="745">
        <f t="shared" si="7"/>
        <v>24122</v>
      </c>
      <c r="X10" s="715">
        <v>24138</v>
      </c>
      <c r="Y10" s="668">
        <f t="shared" si="9"/>
        <v>16</v>
      </c>
      <c r="Z10" s="255">
        <f t="shared" si="0"/>
        <v>41</v>
      </c>
      <c r="AA10" s="6">
        <v>470</v>
      </c>
      <c r="AB10" s="6">
        <v>220</v>
      </c>
      <c r="AC10" s="545">
        <f>Gen!T15</f>
        <v>1716.3900000000003</v>
      </c>
    </row>
    <row r="11" spans="1:29" ht="20.100000000000001" customHeight="1" x14ac:dyDescent="0.2">
      <c r="A11" s="666">
        <f>Gen!B16</f>
        <v>44567</v>
      </c>
      <c r="B11" s="717">
        <f>Gen!C16</f>
        <v>0.31</v>
      </c>
      <c r="C11" s="638">
        <v>14455.63</v>
      </c>
      <c r="D11" s="253">
        <v>12114.52</v>
      </c>
      <c r="E11" s="716"/>
      <c r="F11" s="734"/>
      <c r="G11" s="732">
        <v>299.04000000000002</v>
      </c>
      <c r="H11" s="732"/>
      <c r="I11" s="732">
        <v>33673.199999999997</v>
      </c>
      <c r="J11" s="732">
        <v>22385.3</v>
      </c>
      <c r="K11" s="668">
        <f t="shared" si="1"/>
        <v>38740</v>
      </c>
      <c r="L11" s="253">
        <v>38750</v>
      </c>
      <c r="M11" s="252">
        <f t="shared" si="2"/>
        <v>10</v>
      </c>
      <c r="N11" s="745">
        <f t="shared" si="3"/>
        <v>32025</v>
      </c>
      <c r="O11" s="715">
        <v>32025</v>
      </c>
      <c r="P11" s="668">
        <f t="shared" si="4"/>
        <v>0</v>
      </c>
      <c r="Q11" s="252">
        <f t="shared" si="5"/>
        <v>37437</v>
      </c>
      <c r="R11" s="253">
        <v>37451</v>
      </c>
      <c r="S11" s="252">
        <f t="shared" si="10"/>
        <v>14</v>
      </c>
      <c r="T11" s="746">
        <f t="shared" si="6"/>
        <v>35776</v>
      </c>
      <c r="U11" s="715">
        <v>35776</v>
      </c>
      <c r="V11" s="668">
        <f t="shared" si="8"/>
        <v>0</v>
      </c>
      <c r="W11" s="745">
        <f t="shared" si="7"/>
        <v>24138</v>
      </c>
      <c r="X11" s="715">
        <v>24153</v>
      </c>
      <c r="Y11" s="668">
        <f t="shared" si="9"/>
        <v>15</v>
      </c>
      <c r="Z11" s="255">
        <f t="shared" si="0"/>
        <v>39</v>
      </c>
      <c r="AA11" s="6">
        <v>420</v>
      </c>
      <c r="AB11" s="6">
        <v>200</v>
      </c>
      <c r="AC11" s="545">
        <f>Gen!T16</f>
        <v>1829.15</v>
      </c>
    </row>
    <row r="12" spans="1:29" ht="20.100000000000001" customHeight="1" x14ac:dyDescent="0.2">
      <c r="A12" s="666">
        <f>Gen!B17</f>
        <v>44568</v>
      </c>
      <c r="B12" s="717">
        <f>Gen!C17</f>
        <v>0.24679999999999999</v>
      </c>
      <c r="C12" s="638">
        <v>12459.27</v>
      </c>
      <c r="D12" s="253">
        <v>12114.52</v>
      </c>
      <c r="E12" s="716"/>
      <c r="F12" s="734"/>
      <c r="G12" s="732">
        <v>133.01</v>
      </c>
      <c r="H12" s="732"/>
      <c r="I12" s="732">
        <v>33681.1</v>
      </c>
      <c r="J12" s="732">
        <v>22390.2</v>
      </c>
      <c r="K12" s="668">
        <f t="shared" si="1"/>
        <v>38750</v>
      </c>
      <c r="L12" s="253">
        <v>38750</v>
      </c>
      <c r="M12" s="252">
        <f t="shared" si="2"/>
        <v>0</v>
      </c>
      <c r="N12" s="745">
        <f t="shared" si="3"/>
        <v>32025</v>
      </c>
      <c r="O12" s="715">
        <v>32025</v>
      </c>
      <c r="P12" s="668">
        <f t="shared" si="4"/>
        <v>0</v>
      </c>
      <c r="Q12" s="252">
        <f t="shared" si="5"/>
        <v>37451</v>
      </c>
      <c r="R12" s="253">
        <v>37464</v>
      </c>
      <c r="S12" s="252">
        <f>R12-Q12</f>
        <v>13</v>
      </c>
      <c r="T12" s="252">
        <f t="shared" si="6"/>
        <v>35776</v>
      </c>
      <c r="U12" s="718">
        <v>35784</v>
      </c>
      <c r="V12" s="252">
        <f t="shared" si="8"/>
        <v>8</v>
      </c>
      <c r="W12" s="745">
        <f t="shared" si="7"/>
        <v>24153</v>
      </c>
      <c r="X12" s="715">
        <v>24170</v>
      </c>
      <c r="Y12" s="668">
        <f t="shared" si="9"/>
        <v>17</v>
      </c>
      <c r="Z12" s="255">
        <f>Y12+V12+S12+P12+M12</f>
        <v>38</v>
      </c>
      <c r="AA12" s="6">
        <v>480</v>
      </c>
      <c r="AB12" s="6">
        <v>250</v>
      </c>
      <c r="AC12" s="545">
        <f>Gen!T17</f>
        <v>1866.3500000000001</v>
      </c>
    </row>
    <row r="13" spans="1:29" ht="20.100000000000001" customHeight="1" x14ac:dyDescent="0.2">
      <c r="A13" s="666">
        <f>Gen!B18</f>
        <v>44569</v>
      </c>
      <c r="B13" s="717">
        <f>Gen!C18</f>
        <v>0.23</v>
      </c>
      <c r="C13" s="638">
        <v>10525.85</v>
      </c>
      <c r="D13" s="253">
        <v>12114.52</v>
      </c>
      <c r="E13" s="716"/>
      <c r="F13" s="734"/>
      <c r="G13" s="732">
        <v>162.47</v>
      </c>
      <c r="H13" s="732"/>
      <c r="I13" s="732">
        <v>33688.9</v>
      </c>
      <c r="J13" s="732">
        <v>22394.799999999999</v>
      </c>
      <c r="K13" s="668">
        <f t="shared" si="1"/>
        <v>38750</v>
      </c>
      <c r="L13" s="253">
        <v>38766</v>
      </c>
      <c r="M13" s="252">
        <f t="shared" si="2"/>
        <v>16</v>
      </c>
      <c r="N13" s="745">
        <f>O12</f>
        <v>32025</v>
      </c>
      <c r="O13" s="715">
        <v>32025</v>
      </c>
      <c r="P13" s="668">
        <f>O13-O12</f>
        <v>0</v>
      </c>
      <c r="Q13" s="252">
        <f t="shared" si="5"/>
        <v>37464</v>
      </c>
      <c r="R13" s="253">
        <v>37480</v>
      </c>
      <c r="S13" s="252">
        <f t="shared" ref="S13:S14" si="11">R13-Q13</f>
        <v>16</v>
      </c>
      <c r="T13" s="252">
        <f t="shared" si="6"/>
        <v>35784</v>
      </c>
      <c r="U13" s="6">
        <v>35792</v>
      </c>
      <c r="V13" s="252">
        <f t="shared" si="8"/>
        <v>8</v>
      </c>
      <c r="W13" s="745">
        <f t="shared" si="7"/>
        <v>24170</v>
      </c>
      <c r="X13" s="715">
        <v>24170</v>
      </c>
      <c r="Y13" s="668">
        <f t="shared" si="9"/>
        <v>0</v>
      </c>
      <c r="Z13" s="255">
        <f>Y13+V13+S13+P13+M13</f>
        <v>40</v>
      </c>
      <c r="AA13" s="6">
        <v>440</v>
      </c>
      <c r="AB13" s="6">
        <v>260</v>
      </c>
      <c r="AC13" s="545">
        <f>Gen!T18</f>
        <v>1767.24</v>
      </c>
    </row>
    <row r="14" spans="1:29" ht="20.100000000000001" customHeight="1" x14ac:dyDescent="0.2">
      <c r="A14" s="666">
        <f>Gen!B19</f>
        <v>44570</v>
      </c>
      <c r="B14" s="717">
        <f>Gen!C19</f>
        <v>0.20780000000000001</v>
      </c>
      <c r="C14" s="638">
        <v>26570.06</v>
      </c>
      <c r="D14" s="253">
        <v>12114.52</v>
      </c>
      <c r="E14" s="716">
        <v>44805</v>
      </c>
      <c r="F14" s="734">
        <v>18000</v>
      </c>
      <c r="G14" s="732">
        <v>109.74</v>
      </c>
      <c r="H14" s="732"/>
      <c r="I14" s="732">
        <v>33696.9</v>
      </c>
      <c r="J14" s="732">
        <v>22399.1</v>
      </c>
      <c r="K14" s="668">
        <f t="shared" si="1"/>
        <v>38766</v>
      </c>
      <c r="L14" s="253">
        <v>38782</v>
      </c>
      <c r="M14" s="252">
        <f t="shared" si="2"/>
        <v>16</v>
      </c>
      <c r="N14" s="745">
        <f>O14</f>
        <v>32025</v>
      </c>
      <c r="O14" s="715">
        <v>32025</v>
      </c>
      <c r="P14" s="668">
        <f>O14-O13</f>
        <v>0</v>
      </c>
      <c r="Q14" s="252">
        <f t="shared" si="5"/>
        <v>37480</v>
      </c>
      <c r="R14" s="253">
        <v>37482</v>
      </c>
      <c r="S14" s="252">
        <f t="shared" si="11"/>
        <v>2</v>
      </c>
      <c r="T14" s="252">
        <f t="shared" si="6"/>
        <v>35792</v>
      </c>
      <c r="U14" s="6">
        <v>35800</v>
      </c>
      <c r="V14" s="252">
        <f t="shared" si="8"/>
        <v>8</v>
      </c>
      <c r="W14" s="745">
        <f t="shared" si="7"/>
        <v>24170</v>
      </c>
      <c r="X14" s="715">
        <v>24187</v>
      </c>
      <c r="Y14" s="668">
        <f t="shared" si="9"/>
        <v>17</v>
      </c>
      <c r="Z14" s="255">
        <f>Y14+V14+S14+P14+M14</f>
        <v>43</v>
      </c>
      <c r="AA14" s="6">
        <v>485</v>
      </c>
      <c r="AB14" s="6">
        <v>260</v>
      </c>
      <c r="AC14" s="545">
        <f>Gen!T19</f>
        <v>1846.05</v>
      </c>
    </row>
    <row r="15" spans="1:29" ht="20.100000000000001" customHeight="1" x14ac:dyDescent="0.2">
      <c r="A15" s="666">
        <f>Gen!B20</f>
        <v>44571</v>
      </c>
      <c r="B15" s="717">
        <f>Gen!C20</f>
        <v>0.17</v>
      </c>
      <c r="C15" s="638">
        <v>24724.6</v>
      </c>
      <c r="D15" s="253">
        <v>12114.52</v>
      </c>
      <c r="E15" s="716"/>
      <c r="F15" s="734"/>
      <c r="G15" s="732">
        <v>79.83</v>
      </c>
      <c r="H15" s="732"/>
      <c r="I15" s="732">
        <v>33704.9</v>
      </c>
      <c r="J15" s="732">
        <v>22403.599999999999</v>
      </c>
      <c r="K15" s="668">
        <f t="shared" si="1"/>
        <v>38782</v>
      </c>
      <c r="L15" s="253">
        <v>38782</v>
      </c>
      <c r="M15" s="252">
        <f t="shared" si="2"/>
        <v>0</v>
      </c>
      <c r="N15" s="745">
        <f>O15</f>
        <v>32025</v>
      </c>
      <c r="O15" s="715">
        <v>32025</v>
      </c>
      <c r="P15" s="668">
        <f t="shared" ref="P15:P23" si="12">O15-O14</f>
        <v>0</v>
      </c>
      <c r="Q15" s="252">
        <f t="shared" si="5"/>
        <v>37482</v>
      </c>
      <c r="R15">
        <v>37497</v>
      </c>
      <c r="S15" s="252">
        <f t="shared" ref="S15:S16" si="13">R15-Q15</f>
        <v>15</v>
      </c>
      <c r="T15" s="252">
        <f t="shared" si="6"/>
        <v>35800</v>
      </c>
      <c r="U15" s="6">
        <v>35808</v>
      </c>
      <c r="V15" s="252">
        <f>U15-T15</f>
        <v>8</v>
      </c>
      <c r="W15" s="745">
        <f t="shared" si="7"/>
        <v>24187</v>
      </c>
      <c r="X15" s="715">
        <v>24203</v>
      </c>
      <c r="Y15" s="668">
        <f t="shared" si="9"/>
        <v>16</v>
      </c>
      <c r="Z15" s="255">
        <f t="shared" si="0"/>
        <v>39</v>
      </c>
      <c r="AA15" s="6">
        <v>485</v>
      </c>
      <c r="AB15" s="6">
        <v>200</v>
      </c>
      <c r="AC15" s="545">
        <f>Gen!T20</f>
        <v>1765.63</v>
      </c>
    </row>
    <row r="16" spans="1:29" ht="20.100000000000001" customHeight="1" x14ac:dyDescent="0.2">
      <c r="A16" s="666">
        <f>Gen!B21</f>
        <v>44572</v>
      </c>
      <c r="B16" s="717">
        <f>Gen!C21</f>
        <v>0.1</v>
      </c>
      <c r="C16" s="638">
        <v>21113.09</v>
      </c>
      <c r="D16" s="253">
        <v>12114.52</v>
      </c>
      <c r="E16" s="715"/>
      <c r="F16" s="734"/>
      <c r="G16" s="732">
        <v>66.311000000000007</v>
      </c>
      <c r="H16" s="732"/>
      <c r="I16" s="732">
        <v>33712.6</v>
      </c>
      <c r="J16" s="732">
        <v>22403.599999999999</v>
      </c>
      <c r="K16" s="668">
        <f t="shared" si="1"/>
        <v>38782</v>
      </c>
      <c r="L16" s="253">
        <v>38798</v>
      </c>
      <c r="M16" s="252">
        <f>L16-K16</f>
        <v>16</v>
      </c>
      <c r="N16" s="745">
        <f t="shared" si="3"/>
        <v>32025</v>
      </c>
      <c r="O16" s="715">
        <v>32025</v>
      </c>
      <c r="P16" s="668">
        <f t="shared" si="12"/>
        <v>0</v>
      </c>
      <c r="Q16" s="252">
        <f t="shared" si="5"/>
        <v>37497</v>
      </c>
      <c r="R16" s="253">
        <v>37514</v>
      </c>
      <c r="S16" s="252">
        <f t="shared" si="13"/>
        <v>17</v>
      </c>
      <c r="T16" s="252">
        <f>U14</f>
        <v>35800</v>
      </c>
      <c r="U16" s="6">
        <v>35816</v>
      </c>
      <c r="V16" s="252">
        <f>U16-T16</f>
        <v>16</v>
      </c>
      <c r="W16" s="745">
        <f t="shared" si="7"/>
        <v>24203</v>
      </c>
      <c r="X16" s="715">
        <v>24203</v>
      </c>
      <c r="Y16" s="668">
        <f t="shared" si="9"/>
        <v>0</v>
      </c>
      <c r="Z16" s="255">
        <f t="shared" si="0"/>
        <v>49</v>
      </c>
      <c r="AA16" s="6">
        <v>300</v>
      </c>
      <c r="AB16" s="6">
        <v>115</v>
      </c>
      <c r="AC16" s="545">
        <f>Gen!T21</f>
        <v>1625.2799999999997</v>
      </c>
    </row>
    <row r="17" spans="1:29" ht="20.100000000000001" customHeight="1" x14ac:dyDescent="0.2">
      <c r="A17" s="666">
        <f>Gen!B22</f>
        <v>44573</v>
      </c>
      <c r="B17" s="717">
        <f>Gen!C22</f>
        <v>6.4899999999999999E-2</v>
      </c>
      <c r="C17" s="638">
        <v>19539.48</v>
      </c>
      <c r="D17" s="253">
        <v>12114.52</v>
      </c>
      <c r="E17" s="716"/>
      <c r="F17" s="734"/>
      <c r="G17" s="732" t="s">
        <v>290</v>
      </c>
      <c r="H17" s="732"/>
      <c r="I17" s="732">
        <v>33719.300000000003</v>
      </c>
      <c r="J17" s="732">
        <v>22411.7</v>
      </c>
      <c r="K17" s="668">
        <f>L16</f>
        <v>38798</v>
      </c>
      <c r="L17" s="253">
        <v>38815</v>
      </c>
      <c r="M17" s="252">
        <f>L17-K17</f>
        <v>17</v>
      </c>
      <c r="N17" s="745">
        <f t="shared" si="3"/>
        <v>32025</v>
      </c>
      <c r="O17" s="715">
        <v>32025</v>
      </c>
      <c r="P17" s="668">
        <f t="shared" si="12"/>
        <v>0</v>
      </c>
      <c r="Q17" s="252">
        <f t="shared" si="5"/>
        <v>37514</v>
      </c>
      <c r="R17" s="253">
        <v>37514</v>
      </c>
      <c r="S17" s="252">
        <f t="shared" si="10"/>
        <v>0</v>
      </c>
      <c r="T17" s="252">
        <f t="shared" si="6"/>
        <v>35816</v>
      </c>
      <c r="U17" s="6">
        <v>35824</v>
      </c>
      <c r="V17" s="252">
        <f t="shared" ref="V17:V21" si="14">U17-T17</f>
        <v>8</v>
      </c>
      <c r="W17" s="745">
        <f t="shared" si="7"/>
        <v>24203</v>
      </c>
      <c r="X17" s="715">
        <v>24220</v>
      </c>
      <c r="Y17" s="668">
        <f t="shared" si="9"/>
        <v>17</v>
      </c>
      <c r="Z17" s="255">
        <f t="shared" si="0"/>
        <v>42</v>
      </c>
      <c r="AA17" s="6">
        <v>360</v>
      </c>
      <c r="AB17" s="6">
        <v>250</v>
      </c>
      <c r="AC17" s="545">
        <f>Gen!T22</f>
        <v>1599.77</v>
      </c>
    </row>
    <row r="18" spans="1:29" ht="20.100000000000001" customHeight="1" x14ac:dyDescent="0.2">
      <c r="A18" s="666">
        <f>Gen!B23</f>
        <v>44574</v>
      </c>
      <c r="B18" s="717">
        <f>Gen!C23</f>
        <v>0.13</v>
      </c>
      <c r="C18" s="638">
        <v>17739.490000000002</v>
      </c>
      <c r="D18" s="253">
        <v>12114.52</v>
      </c>
      <c r="E18" s="715"/>
      <c r="F18" s="734"/>
      <c r="G18" s="732"/>
      <c r="H18" s="732"/>
      <c r="I18" s="732">
        <v>33726.1</v>
      </c>
      <c r="J18" s="732">
        <v>22415.4</v>
      </c>
      <c r="K18" s="668">
        <f>L17</f>
        <v>38815</v>
      </c>
      <c r="L18" s="253">
        <v>38815</v>
      </c>
      <c r="M18" s="252">
        <f>L18-K18</f>
        <v>0</v>
      </c>
      <c r="N18" s="745">
        <f t="shared" si="3"/>
        <v>32025</v>
      </c>
      <c r="O18" s="715">
        <v>32025</v>
      </c>
      <c r="P18" s="668">
        <f t="shared" si="12"/>
        <v>0</v>
      </c>
      <c r="Q18" s="252">
        <f t="shared" si="5"/>
        <v>37514</v>
      </c>
      <c r="R18" s="253">
        <v>37529</v>
      </c>
      <c r="S18" s="252">
        <f t="shared" si="10"/>
        <v>15</v>
      </c>
      <c r="T18" s="252">
        <f t="shared" si="6"/>
        <v>35824</v>
      </c>
      <c r="U18" s="6">
        <v>35835</v>
      </c>
      <c r="V18" s="252">
        <f t="shared" si="14"/>
        <v>11</v>
      </c>
      <c r="W18" s="745">
        <f t="shared" si="7"/>
        <v>24220</v>
      </c>
      <c r="X18" s="715">
        <v>24220</v>
      </c>
      <c r="Y18" s="668">
        <f t="shared" si="9"/>
        <v>0</v>
      </c>
      <c r="Z18" s="255">
        <f t="shared" si="0"/>
        <v>26</v>
      </c>
      <c r="AA18" s="6">
        <v>300</v>
      </c>
      <c r="AB18" s="6">
        <v>115</v>
      </c>
      <c r="AC18" s="545">
        <f>Gen!T23</f>
        <v>1507.29</v>
      </c>
    </row>
    <row r="19" spans="1:29" ht="20.100000000000001" customHeight="1" x14ac:dyDescent="0.2">
      <c r="A19" s="666">
        <f>Gen!B24</f>
        <v>44575</v>
      </c>
      <c r="B19" s="717">
        <f>Gen!C24</f>
        <v>0.18</v>
      </c>
      <c r="C19" s="638">
        <v>16296.49</v>
      </c>
      <c r="D19" s="253">
        <v>12114.52</v>
      </c>
      <c r="E19" s="715"/>
      <c r="F19" s="734"/>
      <c r="G19" s="732"/>
      <c r="H19" s="732"/>
      <c r="I19" s="732">
        <v>33733.5</v>
      </c>
      <c r="J19" s="732">
        <v>22419.1</v>
      </c>
      <c r="K19" s="668">
        <f>L18</f>
        <v>38815</v>
      </c>
      <c r="L19" s="253">
        <v>38823</v>
      </c>
      <c r="M19" s="252">
        <f t="shared" si="2"/>
        <v>8</v>
      </c>
      <c r="N19" s="745">
        <f t="shared" si="3"/>
        <v>32025</v>
      </c>
      <c r="O19" s="715">
        <v>32025</v>
      </c>
      <c r="P19" s="668">
        <f t="shared" si="12"/>
        <v>0</v>
      </c>
      <c r="Q19" s="252">
        <f t="shared" si="5"/>
        <v>37529</v>
      </c>
      <c r="R19" s="253">
        <v>37531</v>
      </c>
      <c r="S19" s="252">
        <f t="shared" si="10"/>
        <v>2</v>
      </c>
      <c r="T19" s="252">
        <f t="shared" si="6"/>
        <v>35835</v>
      </c>
      <c r="U19" s="6">
        <v>35835</v>
      </c>
      <c r="V19" s="252">
        <f t="shared" si="14"/>
        <v>0</v>
      </c>
      <c r="W19" s="745">
        <f t="shared" si="7"/>
        <v>24220</v>
      </c>
      <c r="X19" s="715">
        <v>24236</v>
      </c>
      <c r="Y19" s="668">
        <f t="shared" si="9"/>
        <v>16</v>
      </c>
      <c r="Z19" s="255">
        <f t="shared" si="0"/>
        <v>26</v>
      </c>
      <c r="AA19" s="6">
        <v>300</v>
      </c>
      <c r="AB19" s="6">
        <v>115</v>
      </c>
      <c r="AC19" s="545">
        <f>Gen!T24</f>
        <v>1511.92</v>
      </c>
    </row>
    <row r="20" spans="1:29" ht="20.100000000000001" customHeight="1" x14ac:dyDescent="0.2">
      <c r="A20" s="666">
        <f>Gen!B25</f>
        <v>44576</v>
      </c>
      <c r="B20" s="717">
        <f>Gen!C25</f>
        <v>0.16</v>
      </c>
      <c r="C20" s="638">
        <v>14495.11</v>
      </c>
      <c r="D20" s="253">
        <v>12114.52</v>
      </c>
      <c r="E20" s="715"/>
      <c r="F20" s="734"/>
      <c r="G20" s="732"/>
      <c r="H20" s="732"/>
      <c r="I20" s="732">
        <v>33740.199999999997</v>
      </c>
      <c r="J20" s="732">
        <v>22423.1</v>
      </c>
      <c r="K20" s="668">
        <f t="shared" si="1"/>
        <v>38823</v>
      </c>
      <c r="L20" s="253">
        <v>38823</v>
      </c>
      <c r="M20" s="252">
        <f t="shared" si="2"/>
        <v>0</v>
      </c>
      <c r="N20" s="745">
        <f t="shared" si="3"/>
        <v>32025</v>
      </c>
      <c r="O20" s="715">
        <v>32025</v>
      </c>
      <c r="P20" s="668">
        <f t="shared" si="12"/>
        <v>0</v>
      </c>
      <c r="Q20" s="252">
        <f t="shared" si="5"/>
        <v>37531</v>
      </c>
      <c r="R20" s="253">
        <v>37546</v>
      </c>
      <c r="S20" s="252">
        <f>R20-Q20</f>
        <v>15</v>
      </c>
      <c r="T20" s="252">
        <f t="shared" si="6"/>
        <v>35835</v>
      </c>
      <c r="U20" s="253">
        <v>35845</v>
      </c>
      <c r="V20" s="252">
        <f t="shared" si="14"/>
        <v>10</v>
      </c>
      <c r="W20" s="745">
        <f t="shared" si="7"/>
        <v>24236</v>
      </c>
      <c r="X20" s="715">
        <v>24236</v>
      </c>
      <c r="Y20" s="668">
        <f t="shared" si="9"/>
        <v>0</v>
      </c>
      <c r="Z20" s="255">
        <f t="shared" si="0"/>
        <v>25</v>
      </c>
      <c r="AA20" s="6">
        <v>300</v>
      </c>
      <c r="AB20" s="6">
        <v>120</v>
      </c>
      <c r="AC20" s="545">
        <f>Gen!T25</f>
        <v>1442</v>
      </c>
    </row>
    <row r="21" spans="1:29" ht="20.100000000000001" customHeight="1" x14ac:dyDescent="0.2">
      <c r="A21" s="666">
        <f>Gen!B26</f>
        <v>44577</v>
      </c>
      <c r="B21" s="717">
        <f>Gen!C26</f>
        <v>0.18</v>
      </c>
      <c r="C21" s="638">
        <v>13274.64</v>
      </c>
      <c r="D21" s="253">
        <v>12114.52</v>
      </c>
      <c r="E21" s="715"/>
      <c r="F21" s="734"/>
      <c r="G21" s="732">
        <v>447</v>
      </c>
      <c r="H21" s="732"/>
      <c r="I21" s="732">
        <v>33746.800000000003</v>
      </c>
      <c r="J21" s="732">
        <v>22426.9</v>
      </c>
      <c r="K21" s="668">
        <f t="shared" si="1"/>
        <v>38823</v>
      </c>
      <c r="L21" s="253">
        <v>38836</v>
      </c>
      <c r="M21" s="252">
        <f t="shared" si="2"/>
        <v>13</v>
      </c>
      <c r="N21" s="254">
        <f t="shared" si="3"/>
        <v>32025</v>
      </c>
      <c r="O21" s="715">
        <v>32025</v>
      </c>
      <c r="P21" s="668">
        <f t="shared" si="12"/>
        <v>0</v>
      </c>
      <c r="Q21" s="252">
        <f t="shared" si="5"/>
        <v>37546</v>
      </c>
      <c r="R21" s="253">
        <v>37546</v>
      </c>
      <c r="S21" s="252">
        <f>R21-Q21</f>
        <v>0</v>
      </c>
      <c r="T21" s="252">
        <f t="shared" si="6"/>
        <v>35845</v>
      </c>
      <c r="U21" s="253">
        <v>35846</v>
      </c>
      <c r="V21" s="252">
        <f t="shared" si="14"/>
        <v>1</v>
      </c>
      <c r="W21" s="745">
        <f t="shared" si="7"/>
        <v>24236</v>
      </c>
      <c r="X21" s="715">
        <v>24251</v>
      </c>
      <c r="Y21" s="668">
        <f t="shared" si="9"/>
        <v>15</v>
      </c>
      <c r="Z21" s="255">
        <f t="shared" si="0"/>
        <v>29</v>
      </c>
      <c r="AA21" s="6">
        <v>280</v>
      </c>
      <c r="AB21" s="6">
        <v>100</v>
      </c>
      <c r="AC21" s="545">
        <f>Gen!T26</f>
        <v>1354.38</v>
      </c>
    </row>
    <row r="22" spans="1:29" ht="18.75" customHeight="1" x14ac:dyDescent="0.2">
      <c r="A22" s="666">
        <f>Gen!B27</f>
        <v>44578</v>
      </c>
      <c r="B22" s="717">
        <f>Gen!C27</f>
        <v>0.09</v>
      </c>
      <c r="C22" s="638">
        <v>11670.99</v>
      </c>
      <c r="D22" s="253">
        <v>12114.52</v>
      </c>
      <c r="E22" s="715"/>
      <c r="F22" s="734"/>
      <c r="G22" s="732"/>
      <c r="H22" s="732"/>
      <c r="I22" s="732">
        <v>33752.699999999997</v>
      </c>
      <c r="J22" s="732">
        <v>22430.5</v>
      </c>
      <c r="K22" s="668">
        <f t="shared" si="1"/>
        <v>38836</v>
      </c>
      <c r="L22" s="253">
        <v>38836</v>
      </c>
      <c r="M22" s="252">
        <f t="shared" si="2"/>
        <v>0</v>
      </c>
      <c r="N22" s="254">
        <f t="shared" si="3"/>
        <v>32025</v>
      </c>
      <c r="O22" s="715">
        <v>32025</v>
      </c>
      <c r="P22" s="668">
        <f t="shared" si="12"/>
        <v>0</v>
      </c>
      <c r="Q22" s="252">
        <f t="shared" si="5"/>
        <v>37546</v>
      </c>
      <c r="R22" s="253">
        <v>37560</v>
      </c>
      <c r="S22" s="252">
        <f t="shared" ref="S22:S24" si="15">R22-Q22</f>
        <v>14</v>
      </c>
      <c r="T22" s="252">
        <f t="shared" si="6"/>
        <v>35846</v>
      </c>
      <c r="U22" s="253">
        <v>35855</v>
      </c>
      <c r="V22" s="252">
        <f t="shared" si="8"/>
        <v>9</v>
      </c>
      <c r="W22" s="254">
        <f t="shared" si="7"/>
        <v>24251</v>
      </c>
      <c r="X22" s="715">
        <v>24251</v>
      </c>
      <c r="Y22" s="252">
        <f t="shared" si="9"/>
        <v>0</v>
      </c>
      <c r="Z22" s="255">
        <f t="shared" si="0"/>
        <v>23</v>
      </c>
      <c r="AA22" s="6">
        <v>285</v>
      </c>
      <c r="AB22" s="6">
        <v>115</v>
      </c>
      <c r="AC22" s="545">
        <f>Gen!T27</f>
        <v>1220.47</v>
      </c>
    </row>
    <row r="23" spans="1:29" ht="20.100000000000001" customHeight="1" x14ac:dyDescent="0.2">
      <c r="A23" s="666">
        <f>Gen!B28</f>
        <v>44579</v>
      </c>
      <c r="B23" s="717">
        <f>Gen!C28</f>
        <v>0.16</v>
      </c>
      <c r="C23" s="638">
        <v>10293.44</v>
      </c>
      <c r="D23" s="253">
        <v>12114.52</v>
      </c>
      <c r="E23" s="716"/>
      <c r="F23" s="734"/>
      <c r="G23" s="732">
        <v>221.1</v>
      </c>
      <c r="H23" s="732"/>
      <c r="I23" s="732">
        <v>33764.699999999997</v>
      </c>
      <c r="J23" s="732">
        <v>22433.5</v>
      </c>
      <c r="K23" s="668">
        <f t="shared" si="1"/>
        <v>38836</v>
      </c>
      <c r="L23" s="253">
        <v>38846</v>
      </c>
      <c r="M23" s="252">
        <f t="shared" si="2"/>
        <v>10</v>
      </c>
      <c r="N23" s="254">
        <f t="shared" si="3"/>
        <v>32025</v>
      </c>
      <c r="O23" s="715">
        <v>32025</v>
      </c>
      <c r="P23" s="668">
        <f t="shared" si="12"/>
        <v>0</v>
      </c>
      <c r="Q23" s="252">
        <f t="shared" si="5"/>
        <v>37560</v>
      </c>
      <c r="R23" s="253">
        <v>37561</v>
      </c>
      <c r="S23" s="252">
        <f t="shared" si="15"/>
        <v>1</v>
      </c>
      <c r="T23" s="252">
        <f t="shared" si="6"/>
        <v>35855</v>
      </c>
      <c r="U23" s="253">
        <v>35855</v>
      </c>
      <c r="V23" s="252">
        <f t="shared" si="8"/>
        <v>0</v>
      </c>
      <c r="W23" s="254">
        <f t="shared" si="7"/>
        <v>24251</v>
      </c>
      <c r="X23" s="715">
        <v>24266</v>
      </c>
      <c r="Y23" s="252">
        <f t="shared" si="9"/>
        <v>15</v>
      </c>
      <c r="Z23" s="255">
        <f t="shared" si="0"/>
        <v>26</v>
      </c>
      <c r="AA23" s="6">
        <v>290</v>
      </c>
      <c r="AB23" s="6">
        <v>200</v>
      </c>
      <c r="AC23" s="545">
        <f>Gen!T28</f>
        <v>1382.6399999999999</v>
      </c>
    </row>
    <row r="24" spans="1:29" ht="20.100000000000001" customHeight="1" x14ac:dyDescent="0.2">
      <c r="A24" s="666">
        <f>Gen!B29</f>
        <v>44580</v>
      </c>
      <c r="B24" s="717">
        <f>Gen!C29</f>
        <v>0.18</v>
      </c>
      <c r="C24" s="638">
        <v>8684.9699999999993</v>
      </c>
      <c r="D24" s="253">
        <v>12114.52</v>
      </c>
      <c r="E24" s="715"/>
      <c r="F24" s="734"/>
      <c r="G24" s="732">
        <v>127.84</v>
      </c>
      <c r="H24" s="732"/>
      <c r="I24" s="732">
        <v>33770.300000000003</v>
      </c>
      <c r="J24" s="732">
        <v>22436.7</v>
      </c>
      <c r="K24" s="668">
        <f t="shared" si="1"/>
        <v>38846</v>
      </c>
      <c r="L24" s="253">
        <v>38846</v>
      </c>
      <c r="M24" s="252">
        <f t="shared" si="2"/>
        <v>0</v>
      </c>
      <c r="N24" s="254">
        <f t="shared" si="3"/>
        <v>32025</v>
      </c>
      <c r="O24" s="715">
        <v>32025</v>
      </c>
      <c r="P24" s="252">
        <f t="shared" si="4"/>
        <v>0</v>
      </c>
      <c r="Q24" s="252">
        <f t="shared" si="5"/>
        <v>37561</v>
      </c>
      <c r="R24" s="253">
        <v>37575</v>
      </c>
      <c r="S24" s="252">
        <f t="shared" si="15"/>
        <v>14</v>
      </c>
      <c r="T24" s="252">
        <f t="shared" si="6"/>
        <v>35855</v>
      </c>
      <c r="U24" s="253">
        <v>35866</v>
      </c>
      <c r="V24" s="252">
        <f t="shared" si="8"/>
        <v>11</v>
      </c>
      <c r="W24" s="254">
        <f t="shared" si="7"/>
        <v>24266</v>
      </c>
      <c r="X24" s="715">
        <v>24266</v>
      </c>
      <c r="Y24" s="252">
        <f t="shared" si="9"/>
        <v>0</v>
      </c>
      <c r="Z24" s="255">
        <f t="shared" si="0"/>
        <v>25</v>
      </c>
      <c r="AA24" s="6">
        <v>300</v>
      </c>
      <c r="AB24" s="6">
        <v>250</v>
      </c>
      <c r="AC24" s="545">
        <f>Gen!T29</f>
        <v>1252.71</v>
      </c>
    </row>
    <row r="25" spans="1:29" ht="18.75" customHeight="1" x14ac:dyDescent="0.2">
      <c r="A25" s="666">
        <f>Gen!B30</f>
        <v>44581</v>
      </c>
      <c r="B25" s="717">
        <f>Gen!C30</f>
        <v>0.21</v>
      </c>
      <c r="C25" s="638">
        <v>5185.51</v>
      </c>
      <c r="D25" s="253">
        <v>12114.52</v>
      </c>
      <c r="E25" s="715"/>
      <c r="F25" s="734"/>
      <c r="G25" s="732">
        <v>238.02</v>
      </c>
      <c r="H25" s="732"/>
      <c r="I25" s="732">
        <v>33776.400000000001</v>
      </c>
      <c r="J25" s="732">
        <v>22443.3</v>
      </c>
      <c r="K25" s="668">
        <f t="shared" si="1"/>
        <v>38846</v>
      </c>
      <c r="L25" s="253">
        <v>38846</v>
      </c>
      <c r="M25" s="252">
        <f t="shared" si="2"/>
        <v>0</v>
      </c>
      <c r="N25" s="254">
        <f t="shared" si="3"/>
        <v>32025</v>
      </c>
      <c r="O25" s="715">
        <v>32025</v>
      </c>
      <c r="P25" s="252">
        <f t="shared" si="4"/>
        <v>0</v>
      </c>
      <c r="Q25" s="252">
        <f t="shared" si="5"/>
        <v>37575</v>
      </c>
      <c r="R25" s="253">
        <v>37585</v>
      </c>
      <c r="S25" s="252">
        <f t="shared" si="10"/>
        <v>10</v>
      </c>
      <c r="T25" s="252">
        <f t="shared" si="6"/>
        <v>35866</v>
      </c>
      <c r="U25" s="253">
        <v>35866</v>
      </c>
      <c r="V25" s="252">
        <f t="shared" si="8"/>
        <v>0</v>
      </c>
      <c r="W25" s="254">
        <f t="shared" si="7"/>
        <v>24266</v>
      </c>
      <c r="X25" s="715">
        <v>24281</v>
      </c>
      <c r="Y25" s="252">
        <f t="shared" si="9"/>
        <v>15</v>
      </c>
      <c r="Z25" s="255">
        <f t="shared" si="0"/>
        <v>25</v>
      </c>
      <c r="AA25" s="6">
        <v>250</v>
      </c>
      <c r="AB25" s="6">
        <v>90</v>
      </c>
      <c r="AC25" s="545">
        <f>Gen!T30</f>
        <v>1370.45</v>
      </c>
    </row>
    <row r="26" spans="1:29" ht="20.100000000000001" customHeight="1" x14ac:dyDescent="0.2">
      <c r="A26" s="666">
        <f>Gen!B31</f>
        <v>44582</v>
      </c>
      <c r="B26" s="717">
        <f>Gen!C31</f>
        <v>0.09</v>
      </c>
      <c r="C26" s="638">
        <v>5185.51</v>
      </c>
      <c r="D26" s="253">
        <v>14318.67</v>
      </c>
      <c r="E26" s="715"/>
      <c r="F26" s="734"/>
      <c r="G26" s="732">
        <v>15</v>
      </c>
      <c r="H26" s="732"/>
      <c r="I26" s="732">
        <v>33782.199999999997</v>
      </c>
      <c r="J26" s="732">
        <v>22446.400000000001</v>
      </c>
      <c r="K26" s="668">
        <f t="shared" si="1"/>
        <v>38846</v>
      </c>
      <c r="L26" s="253">
        <v>38846</v>
      </c>
      <c r="M26" s="252">
        <f t="shared" si="2"/>
        <v>0</v>
      </c>
      <c r="N26" s="254">
        <f t="shared" si="3"/>
        <v>32025</v>
      </c>
      <c r="O26" s="715">
        <v>32025</v>
      </c>
      <c r="P26" s="252">
        <f t="shared" si="4"/>
        <v>0</v>
      </c>
      <c r="Q26" s="252">
        <f t="shared" si="5"/>
        <v>37585</v>
      </c>
      <c r="R26" s="253">
        <v>37595</v>
      </c>
      <c r="S26" s="252">
        <f t="shared" si="10"/>
        <v>10</v>
      </c>
      <c r="T26" s="252">
        <f t="shared" si="6"/>
        <v>35866</v>
      </c>
      <c r="U26" s="253">
        <v>35881</v>
      </c>
      <c r="V26" s="252">
        <f t="shared" si="8"/>
        <v>15</v>
      </c>
      <c r="W26" s="254">
        <f t="shared" si="7"/>
        <v>24281</v>
      </c>
      <c r="X26" s="715">
        <v>24281</v>
      </c>
      <c r="Y26" s="252">
        <f t="shared" si="9"/>
        <v>0</v>
      </c>
      <c r="Z26" s="255">
        <f t="shared" ref="Z26:Z37" si="16">Y26+V26+S26+P26+M26</f>
        <v>25</v>
      </c>
      <c r="AA26" s="6">
        <v>230</v>
      </c>
      <c r="AB26" s="6">
        <v>100</v>
      </c>
      <c r="AC26" s="545">
        <f>Gen!T31</f>
        <v>1280.31</v>
      </c>
    </row>
    <row r="27" spans="1:29" ht="20.100000000000001" customHeight="1" x14ac:dyDescent="0.2">
      <c r="A27" s="666">
        <f>Gen!B32</f>
        <v>44583</v>
      </c>
      <c r="B27" s="717">
        <f>Gen!C32</f>
        <v>0.08</v>
      </c>
      <c r="C27" s="638">
        <v>5185.51</v>
      </c>
      <c r="D27" s="253">
        <v>29315.07</v>
      </c>
      <c r="E27" s="715"/>
      <c r="F27" s="734"/>
      <c r="G27" s="732">
        <v>264.82</v>
      </c>
      <c r="H27" s="732"/>
      <c r="I27" s="732">
        <v>33787.800000000003</v>
      </c>
      <c r="J27" s="732">
        <v>22449.7</v>
      </c>
      <c r="K27" s="668">
        <f t="shared" si="1"/>
        <v>38846</v>
      </c>
      <c r="L27" s="253">
        <v>38857</v>
      </c>
      <c r="M27" s="252">
        <f t="shared" si="2"/>
        <v>11</v>
      </c>
      <c r="N27" s="254">
        <f t="shared" si="3"/>
        <v>32025</v>
      </c>
      <c r="O27" s="715">
        <v>32025</v>
      </c>
      <c r="P27" s="252">
        <f t="shared" si="4"/>
        <v>0</v>
      </c>
      <c r="Q27" s="252">
        <f t="shared" si="5"/>
        <v>37595</v>
      </c>
      <c r="R27" s="253">
        <v>37602</v>
      </c>
      <c r="S27" s="252">
        <f t="shared" si="10"/>
        <v>7</v>
      </c>
      <c r="T27" s="252">
        <f t="shared" si="6"/>
        <v>35881</v>
      </c>
      <c r="U27" s="253">
        <v>35881</v>
      </c>
      <c r="V27" s="252">
        <f t="shared" si="8"/>
        <v>0</v>
      </c>
      <c r="W27" s="254">
        <f t="shared" si="7"/>
        <v>24281</v>
      </c>
      <c r="X27" s="715">
        <v>24289</v>
      </c>
      <c r="Y27" s="252">
        <f t="shared" si="9"/>
        <v>8</v>
      </c>
      <c r="Z27" s="255">
        <f t="shared" si="16"/>
        <v>26</v>
      </c>
      <c r="AA27" s="6">
        <v>250</v>
      </c>
      <c r="AB27" s="6">
        <v>115</v>
      </c>
      <c r="AC27" s="545">
        <f>Gen!T32</f>
        <v>1286.26</v>
      </c>
    </row>
    <row r="28" spans="1:29" ht="20.100000000000001" customHeight="1" x14ac:dyDescent="0.2">
      <c r="A28" s="666">
        <f>Gen!B33</f>
        <v>44584</v>
      </c>
      <c r="B28" s="712">
        <f>Gen!C33</f>
        <v>0.04</v>
      </c>
      <c r="C28" s="638">
        <v>5185.51</v>
      </c>
      <c r="D28" s="253">
        <v>30162.080000000002</v>
      </c>
      <c r="E28" s="253" t="s">
        <v>291</v>
      </c>
      <c r="F28" s="734">
        <v>18000</v>
      </c>
      <c r="G28" s="732">
        <v>253.24</v>
      </c>
      <c r="H28" s="732"/>
      <c r="I28" s="732">
        <v>33793.1</v>
      </c>
      <c r="J28" s="732">
        <v>22452.6</v>
      </c>
      <c r="K28" s="668">
        <f t="shared" si="1"/>
        <v>38857</v>
      </c>
      <c r="L28" s="253">
        <v>38857</v>
      </c>
      <c r="M28" s="252">
        <f t="shared" si="2"/>
        <v>0</v>
      </c>
      <c r="N28" s="254">
        <f t="shared" si="3"/>
        <v>32025</v>
      </c>
      <c r="O28" s="715">
        <v>32025</v>
      </c>
      <c r="P28" s="252">
        <f t="shared" si="4"/>
        <v>0</v>
      </c>
      <c r="Q28" s="252">
        <f t="shared" si="5"/>
        <v>37602</v>
      </c>
      <c r="R28" s="253">
        <v>37602</v>
      </c>
      <c r="S28" s="252">
        <f t="shared" si="10"/>
        <v>0</v>
      </c>
      <c r="T28" s="252">
        <f t="shared" si="6"/>
        <v>35881</v>
      </c>
      <c r="U28" s="253">
        <v>35889</v>
      </c>
      <c r="V28" s="252">
        <f t="shared" si="8"/>
        <v>8</v>
      </c>
      <c r="W28" s="254">
        <f t="shared" si="7"/>
        <v>24289</v>
      </c>
      <c r="X28" s="715">
        <v>24305</v>
      </c>
      <c r="Y28" s="252">
        <f t="shared" si="9"/>
        <v>16</v>
      </c>
      <c r="Z28" s="255">
        <f t="shared" si="16"/>
        <v>24</v>
      </c>
      <c r="AA28" s="6">
        <v>300</v>
      </c>
      <c r="AB28" s="6">
        <v>200</v>
      </c>
      <c r="AC28" s="545">
        <f>Gen!T33</f>
        <v>1199.2800000000002</v>
      </c>
    </row>
    <row r="29" spans="1:29" ht="20.100000000000001" customHeight="1" x14ac:dyDescent="0.2">
      <c r="A29" s="539">
        <f>Gen!B34</f>
        <v>44585</v>
      </c>
      <c r="B29" s="712">
        <f>Gen!C34</f>
        <v>0.1</v>
      </c>
      <c r="C29" s="638">
        <v>21732.99</v>
      </c>
      <c r="D29" s="253">
        <v>12767.59</v>
      </c>
      <c r="E29" s="253"/>
      <c r="F29" s="734"/>
      <c r="G29" s="732">
        <v>237.04</v>
      </c>
      <c r="H29" s="732"/>
      <c r="I29" s="732">
        <v>33798.800000000003</v>
      </c>
      <c r="J29" s="732">
        <v>22456.1</v>
      </c>
      <c r="K29" s="544">
        <f t="shared" si="1"/>
        <v>38857</v>
      </c>
      <c r="L29" s="253">
        <v>38868</v>
      </c>
      <c r="M29" s="252">
        <f t="shared" si="2"/>
        <v>11</v>
      </c>
      <c r="N29" s="254">
        <f t="shared" si="3"/>
        <v>32025</v>
      </c>
      <c r="O29" s="715">
        <v>32025</v>
      </c>
      <c r="P29" s="252">
        <f>O29-N29</f>
        <v>0</v>
      </c>
      <c r="Q29" s="252">
        <f t="shared" si="5"/>
        <v>37602</v>
      </c>
      <c r="R29" s="253">
        <v>37616</v>
      </c>
      <c r="S29" s="252">
        <f t="shared" si="10"/>
        <v>14</v>
      </c>
      <c r="T29" s="252">
        <f t="shared" si="6"/>
        <v>35889</v>
      </c>
      <c r="U29" s="253">
        <v>35890</v>
      </c>
      <c r="V29" s="252">
        <f>U29-T29</f>
        <v>1</v>
      </c>
      <c r="W29" s="254">
        <f t="shared" si="7"/>
        <v>24305</v>
      </c>
      <c r="X29" s="715">
        <v>24305</v>
      </c>
      <c r="Y29" s="252">
        <f t="shared" si="9"/>
        <v>0</v>
      </c>
      <c r="Z29" s="255">
        <f t="shared" si="16"/>
        <v>26</v>
      </c>
      <c r="AA29" s="6">
        <v>260</v>
      </c>
      <c r="AB29" s="6">
        <v>120</v>
      </c>
      <c r="AC29" s="545">
        <f>Gen!T34</f>
        <v>1340.81</v>
      </c>
    </row>
    <row r="30" spans="1:29" ht="20.100000000000001" customHeight="1" x14ac:dyDescent="0.2">
      <c r="A30" s="539">
        <f>Gen!B35</f>
        <v>44586</v>
      </c>
      <c r="B30" s="712">
        <f>Gen!C35</f>
        <v>0.14000000000000001</v>
      </c>
      <c r="C30" s="638">
        <v>20155.14</v>
      </c>
      <c r="D30" s="253">
        <v>12767.59</v>
      </c>
      <c r="E30" s="253"/>
      <c r="F30" s="734"/>
      <c r="G30" s="732">
        <v>118.03</v>
      </c>
      <c r="H30" s="732"/>
      <c r="I30" s="732">
        <v>33804.5</v>
      </c>
      <c r="J30" s="732">
        <v>22459.4</v>
      </c>
      <c r="K30" s="544">
        <f t="shared" si="1"/>
        <v>38868</v>
      </c>
      <c r="L30" s="253">
        <v>38868</v>
      </c>
      <c r="M30" s="252">
        <f t="shared" si="2"/>
        <v>0</v>
      </c>
      <c r="N30" s="254">
        <f t="shared" si="3"/>
        <v>32025</v>
      </c>
      <c r="O30" s="715">
        <v>32025</v>
      </c>
      <c r="P30" s="252">
        <f t="shared" si="4"/>
        <v>0</v>
      </c>
      <c r="Q30" s="252">
        <f t="shared" si="5"/>
        <v>37616</v>
      </c>
      <c r="R30" s="253">
        <v>37625</v>
      </c>
      <c r="S30" s="252">
        <f t="shared" si="10"/>
        <v>9</v>
      </c>
      <c r="T30" s="252">
        <f t="shared" si="6"/>
        <v>35890</v>
      </c>
      <c r="U30" s="253">
        <v>35905</v>
      </c>
      <c r="V30" s="252">
        <f t="shared" si="8"/>
        <v>15</v>
      </c>
      <c r="W30" s="254">
        <f t="shared" si="7"/>
        <v>24305</v>
      </c>
      <c r="X30" s="715">
        <v>24305</v>
      </c>
      <c r="Y30" s="252">
        <f t="shared" si="9"/>
        <v>0</v>
      </c>
      <c r="Z30" s="255">
        <f t="shared" si="16"/>
        <v>24</v>
      </c>
      <c r="AA30" s="6">
        <v>280</v>
      </c>
      <c r="AB30" s="6">
        <v>150</v>
      </c>
      <c r="AC30" s="545">
        <f>Gen!T35</f>
        <v>1255.47</v>
      </c>
    </row>
    <row r="31" spans="1:29" ht="20.100000000000001" customHeight="1" x14ac:dyDescent="0.2">
      <c r="A31" s="539">
        <f>Gen!B36</f>
        <v>44587</v>
      </c>
      <c r="B31" s="712">
        <f>Gen!C36</f>
        <v>0.16</v>
      </c>
      <c r="C31" s="638">
        <v>18781.64</v>
      </c>
      <c r="D31" s="253">
        <v>12767.59</v>
      </c>
      <c r="E31" s="253"/>
      <c r="F31" s="734"/>
      <c r="G31" s="732">
        <v>73.37</v>
      </c>
      <c r="H31" s="732"/>
      <c r="I31" s="732">
        <v>33810.800000000003</v>
      </c>
      <c r="J31" s="732">
        <v>22463.200000000001</v>
      </c>
      <c r="K31" s="544">
        <f t="shared" si="1"/>
        <v>38868</v>
      </c>
      <c r="L31" s="253">
        <v>38868</v>
      </c>
      <c r="M31" s="252">
        <f t="shared" si="2"/>
        <v>0</v>
      </c>
      <c r="N31" s="254">
        <f t="shared" si="3"/>
        <v>32025</v>
      </c>
      <c r="O31" s="715">
        <v>32025</v>
      </c>
      <c r="P31" s="252">
        <f t="shared" si="4"/>
        <v>0</v>
      </c>
      <c r="Q31" s="252">
        <f t="shared" si="5"/>
        <v>37625</v>
      </c>
      <c r="R31" s="253">
        <v>37635</v>
      </c>
      <c r="S31" s="252">
        <f t="shared" si="10"/>
        <v>10</v>
      </c>
      <c r="T31" s="252">
        <f t="shared" si="6"/>
        <v>35905</v>
      </c>
      <c r="U31" s="253">
        <v>35905</v>
      </c>
      <c r="V31" s="252">
        <f t="shared" si="8"/>
        <v>0</v>
      </c>
      <c r="W31" s="254">
        <f t="shared" si="7"/>
        <v>24305</v>
      </c>
      <c r="X31" s="715">
        <v>24321</v>
      </c>
      <c r="Y31" s="252">
        <f t="shared" si="9"/>
        <v>16</v>
      </c>
      <c r="Z31" s="255">
        <f t="shared" si="16"/>
        <v>26</v>
      </c>
      <c r="AA31" s="6">
        <v>260</v>
      </c>
      <c r="AB31" s="6">
        <v>200</v>
      </c>
      <c r="AC31" s="545">
        <f>Gen!T36</f>
        <v>1351.98</v>
      </c>
    </row>
    <row r="32" spans="1:29" ht="20.100000000000001" customHeight="1" x14ac:dyDescent="0.2">
      <c r="A32" s="539">
        <f>Gen!B37</f>
        <v>44588</v>
      </c>
      <c r="B32" s="712">
        <f>Gen!C37</f>
        <v>0.13</v>
      </c>
      <c r="C32" s="638">
        <v>17356.29</v>
      </c>
      <c r="D32" s="253">
        <v>12767.59</v>
      </c>
      <c r="E32" s="253" t="s">
        <v>292</v>
      </c>
      <c r="F32" s="734">
        <v>15000</v>
      </c>
      <c r="G32" s="732">
        <v>353.88</v>
      </c>
      <c r="H32" s="732"/>
      <c r="I32" s="732">
        <v>33817.1</v>
      </c>
      <c r="J32" s="732">
        <v>22466.9</v>
      </c>
      <c r="K32" s="544">
        <f t="shared" si="1"/>
        <v>38868</v>
      </c>
      <c r="L32" s="253">
        <v>38883</v>
      </c>
      <c r="M32" s="252">
        <f t="shared" si="2"/>
        <v>15</v>
      </c>
      <c r="N32" s="254">
        <f t="shared" si="3"/>
        <v>32025</v>
      </c>
      <c r="O32" s="715">
        <v>32025</v>
      </c>
      <c r="P32" s="252">
        <f t="shared" si="4"/>
        <v>0</v>
      </c>
      <c r="Q32" s="252">
        <f t="shared" si="5"/>
        <v>37635</v>
      </c>
      <c r="R32" s="253">
        <v>37635</v>
      </c>
      <c r="S32" s="252">
        <f t="shared" si="10"/>
        <v>0</v>
      </c>
      <c r="T32" s="252">
        <f t="shared" si="6"/>
        <v>35905</v>
      </c>
      <c r="U32" s="253">
        <v>35914</v>
      </c>
      <c r="V32" s="252">
        <f t="shared" si="8"/>
        <v>9</v>
      </c>
      <c r="W32" s="254">
        <f t="shared" si="7"/>
        <v>24321</v>
      </c>
      <c r="X32" s="715">
        <v>24321</v>
      </c>
      <c r="Y32" s="252">
        <f t="shared" si="9"/>
        <v>0</v>
      </c>
      <c r="Z32" s="255">
        <f t="shared" si="16"/>
        <v>24</v>
      </c>
      <c r="AA32" s="6">
        <v>230</v>
      </c>
      <c r="AB32" s="6">
        <v>100</v>
      </c>
      <c r="AC32" s="545">
        <f>Gen!T37</f>
        <v>1411.45</v>
      </c>
    </row>
    <row r="33" spans="1:29" ht="20.100000000000001" customHeight="1" x14ac:dyDescent="0.2">
      <c r="A33" s="539">
        <f>Gen!B38</f>
        <v>44589</v>
      </c>
      <c r="B33" s="712">
        <f>Gen!C38</f>
        <v>0.09</v>
      </c>
      <c r="C33" s="638">
        <v>32590.959999999999</v>
      </c>
      <c r="D33" s="253">
        <v>12767.59</v>
      </c>
      <c r="E33" s="253"/>
      <c r="F33" s="734"/>
      <c r="G33" s="732"/>
      <c r="H33" s="732"/>
      <c r="I33" s="732">
        <v>33823.4</v>
      </c>
      <c r="J33" s="732">
        <v>22470.7</v>
      </c>
      <c r="K33" s="544">
        <f t="shared" si="1"/>
        <v>38883</v>
      </c>
      <c r="L33" s="253">
        <v>38883</v>
      </c>
      <c r="M33" s="252">
        <f t="shared" si="2"/>
        <v>0</v>
      </c>
      <c r="N33" s="254">
        <f t="shared" si="3"/>
        <v>32025</v>
      </c>
      <c r="O33" s="715">
        <v>32025</v>
      </c>
      <c r="P33" s="252">
        <f t="shared" si="4"/>
        <v>0</v>
      </c>
      <c r="Q33" s="252">
        <f t="shared" si="5"/>
        <v>37635</v>
      </c>
      <c r="R33" s="253">
        <v>37644</v>
      </c>
      <c r="S33" s="252">
        <f t="shared" si="10"/>
        <v>9</v>
      </c>
      <c r="T33" s="252">
        <f t="shared" si="6"/>
        <v>35914</v>
      </c>
      <c r="U33" s="253">
        <v>35914</v>
      </c>
      <c r="V33" s="252">
        <f t="shared" si="8"/>
        <v>0</v>
      </c>
      <c r="W33" s="254">
        <f t="shared" si="7"/>
        <v>24321</v>
      </c>
      <c r="X33" s="715">
        <v>24336</v>
      </c>
      <c r="Y33" s="252">
        <f t="shared" si="9"/>
        <v>15</v>
      </c>
      <c r="Z33" s="255">
        <f t="shared" si="16"/>
        <v>24</v>
      </c>
      <c r="AA33" s="6">
        <v>220</v>
      </c>
      <c r="AB33" s="6">
        <v>120</v>
      </c>
      <c r="AC33" s="545">
        <f>Gen!T38</f>
        <v>1429.2</v>
      </c>
    </row>
    <row r="34" spans="1:29" ht="20.100000000000001" customHeight="1" x14ac:dyDescent="0.2">
      <c r="A34" s="539">
        <f>Gen!B39</f>
        <v>44590</v>
      </c>
      <c r="B34" s="712">
        <f>Gen!C39</f>
        <v>0.09</v>
      </c>
      <c r="C34" s="638">
        <v>29161.759999999998</v>
      </c>
      <c r="D34" s="253">
        <v>12767.59</v>
      </c>
      <c r="E34" s="253"/>
      <c r="F34" s="734"/>
      <c r="G34" s="253">
        <v>48.59</v>
      </c>
      <c r="H34" s="253"/>
      <c r="I34" s="732">
        <v>33829.800000000003</v>
      </c>
      <c r="J34" s="732">
        <v>22474.400000000001</v>
      </c>
      <c r="K34" s="544">
        <f t="shared" si="1"/>
        <v>38883</v>
      </c>
      <c r="L34" s="253">
        <v>38893</v>
      </c>
      <c r="M34" s="252">
        <f t="shared" si="2"/>
        <v>10</v>
      </c>
      <c r="N34" s="254">
        <f t="shared" si="3"/>
        <v>32025</v>
      </c>
      <c r="O34" s="715">
        <v>32025</v>
      </c>
      <c r="P34" s="252">
        <f t="shared" si="4"/>
        <v>0</v>
      </c>
      <c r="Q34" s="252">
        <f>R34</f>
        <v>37644</v>
      </c>
      <c r="R34" s="253">
        <v>37644</v>
      </c>
      <c r="S34" s="252">
        <f t="shared" si="10"/>
        <v>0</v>
      </c>
      <c r="T34" s="252">
        <f t="shared" si="6"/>
        <v>35914</v>
      </c>
      <c r="U34" s="253">
        <v>35930</v>
      </c>
      <c r="V34" s="252">
        <f t="shared" si="8"/>
        <v>16</v>
      </c>
      <c r="W34" s="254">
        <f t="shared" si="7"/>
        <v>24336</v>
      </c>
      <c r="X34" s="715">
        <v>24336</v>
      </c>
      <c r="Y34" s="252">
        <f t="shared" si="9"/>
        <v>0</v>
      </c>
      <c r="Z34" s="255">
        <f t="shared" si="16"/>
        <v>26</v>
      </c>
      <c r="AA34" s="6">
        <v>260</v>
      </c>
      <c r="AB34" s="6">
        <v>220</v>
      </c>
      <c r="AC34" s="545">
        <f>Gen!T39</f>
        <v>1414.19</v>
      </c>
    </row>
    <row r="35" spans="1:29" ht="20.100000000000001" customHeight="1" x14ac:dyDescent="0.2">
      <c r="A35" s="539">
        <f>Gen!B40</f>
        <v>44591</v>
      </c>
      <c r="B35" s="712">
        <f>Gen!C40</f>
        <v>0.06</v>
      </c>
      <c r="C35" s="638">
        <v>27698.98</v>
      </c>
      <c r="D35" s="253">
        <v>12767.59</v>
      </c>
      <c r="E35" s="253"/>
      <c r="F35" s="734"/>
      <c r="G35" s="253"/>
      <c r="H35" s="253"/>
      <c r="I35" s="732">
        <v>33835.800000000003</v>
      </c>
      <c r="J35" s="732">
        <v>22478.3</v>
      </c>
      <c r="K35" s="544">
        <f t="shared" si="1"/>
        <v>38893</v>
      </c>
      <c r="L35" s="253">
        <v>38893</v>
      </c>
      <c r="M35" s="252">
        <f t="shared" si="2"/>
        <v>0</v>
      </c>
      <c r="N35" s="254">
        <f t="shared" si="3"/>
        <v>32025</v>
      </c>
      <c r="O35" s="715">
        <v>32025</v>
      </c>
      <c r="P35" s="252">
        <f t="shared" si="4"/>
        <v>0</v>
      </c>
      <c r="Q35" s="252">
        <f>R35</f>
        <v>37655</v>
      </c>
      <c r="R35" s="253">
        <v>37655</v>
      </c>
      <c r="S35" s="252">
        <f t="shared" si="10"/>
        <v>0</v>
      </c>
      <c r="T35" s="252">
        <f t="shared" si="6"/>
        <v>35930</v>
      </c>
      <c r="U35" s="253">
        <v>35930</v>
      </c>
      <c r="V35" s="252">
        <f t="shared" si="8"/>
        <v>0</v>
      </c>
      <c r="W35" s="254">
        <f t="shared" si="7"/>
        <v>24336</v>
      </c>
      <c r="X35" s="715">
        <v>24352</v>
      </c>
      <c r="Y35" s="252">
        <f t="shared" si="9"/>
        <v>16</v>
      </c>
      <c r="Z35" s="255">
        <f t="shared" si="16"/>
        <v>16</v>
      </c>
      <c r="AA35" s="6">
        <v>280</v>
      </c>
      <c r="AB35" s="6">
        <v>200</v>
      </c>
      <c r="AC35" s="545">
        <f>Gen!T40</f>
        <v>1346.8700000000001</v>
      </c>
    </row>
    <row r="36" spans="1:29" ht="20.100000000000001" customHeight="1" x14ac:dyDescent="0.2">
      <c r="A36" s="540">
        <f>Gen!B41</f>
        <v>44592</v>
      </c>
      <c r="B36" s="712">
        <f>Gen!C41</f>
        <v>0.05</v>
      </c>
      <c r="C36" s="638">
        <v>26253.11</v>
      </c>
      <c r="D36" s="253">
        <v>12767.59</v>
      </c>
      <c r="E36" s="253"/>
      <c r="F36" s="734">
        <f>Gen!E40</f>
        <v>0</v>
      </c>
      <c r="G36" s="253"/>
      <c r="H36" s="253"/>
      <c r="I36" s="732">
        <v>33841.599999999999</v>
      </c>
      <c r="J36" s="536">
        <v>22481.599999999999</v>
      </c>
      <c r="K36" s="544">
        <f t="shared" si="1"/>
        <v>38893</v>
      </c>
      <c r="L36" s="253">
        <v>38903</v>
      </c>
      <c r="M36" s="252">
        <f t="shared" si="2"/>
        <v>10</v>
      </c>
      <c r="N36" s="254">
        <f t="shared" si="3"/>
        <v>32025</v>
      </c>
      <c r="O36" s="715">
        <v>32025</v>
      </c>
      <c r="P36" s="252">
        <f t="shared" si="4"/>
        <v>0</v>
      </c>
      <c r="Q36" s="252">
        <f t="shared" si="5"/>
        <v>37655</v>
      </c>
      <c r="R36" s="253">
        <v>37655</v>
      </c>
      <c r="S36" s="252">
        <f t="shared" si="10"/>
        <v>0</v>
      </c>
      <c r="T36" s="252">
        <f t="shared" si="6"/>
        <v>35930</v>
      </c>
      <c r="U36" s="253">
        <v>35944</v>
      </c>
      <c r="V36" s="252">
        <f t="shared" si="8"/>
        <v>14</v>
      </c>
      <c r="W36" s="254">
        <f t="shared" si="7"/>
        <v>24352</v>
      </c>
      <c r="X36" s="715">
        <v>24352</v>
      </c>
      <c r="Y36" s="252">
        <f t="shared" si="9"/>
        <v>0</v>
      </c>
      <c r="Z36" s="255">
        <f t="shared" si="16"/>
        <v>24</v>
      </c>
      <c r="AA36" s="6"/>
      <c r="AB36" s="6"/>
      <c r="AC36" s="545"/>
    </row>
    <row r="37" spans="1:29" ht="21" customHeight="1" x14ac:dyDescent="0.2">
      <c r="A37" s="540">
        <f>Gen!B42</f>
        <v>0</v>
      </c>
      <c r="B37" s="535">
        <f>Gen!C42</f>
        <v>0</v>
      </c>
      <c r="C37" s="537">
        <v>24225.85</v>
      </c>
      <c r="D37" s="253">
        <v>12767.59</v>
      </c>
      <c r="E37" s="537"/>
      <c r="F37" s="537"/>
      <c r="G37" s="537"/>
      <c r="H37" s="537"/>
      <c r="I37" s="732"/>
      <c r="J37" s="538"/>
      <c r="K37" s="546">
        <f t="shared" si="1"/>
        <v>38903</v>
      </c>
      <c r="L37" s="537"/>
      <c r="M37" s="547">
        <f t="shared" si="2"/>
        <v>-38903</v>
      </c>
      <c r="N37" s="548">
        <f t="shared" si="3"/>
        <v>32025</v>
      </c>
      <c r="O37" s="537"/>
      <c r="P37" s="547">
        <f t="shared" si="4"/>
        <v>-32025</v>
      </c>
      <c r="Q37" s="547">
        <f t="shared" si="5"/>
        <v>37655</v>
      </c>
      <c r="R37" s="253"/>
      <c r="S37" s="547"/>
      <c r="T37" s="547">
        <f t="shared" si="6"/>
        <v>35944</v>
      </c>
      <c r="U37" s="537"/>
      <c r="V37" s="547">
        <f t="shared" si="8"/>
        <v>-35944</v>
      </c>
      <c r="W37" s="548">
        <f t="shared" si="7"/>
        <v>24352</v>
      </c>
      <c r="X37" s="715"/>
      <c r="Y37" s="547">
        <f t="shared" si="9"/>
        <v>-24352</v>
      </c>
      <c r="Z37" s="549">
        <f t="shared" si="16"/>
        <v>-131224</v>
      </c>
      <c r="AA37" s="7"/>
      <c r="AB37" s="7"/>
      <c r="AC37" s="545"/>
    </row>
    <row r="38" spans="1:29" x14ac:dyDescent="0.2">
      <c r="A38" s="220"/>
      <c r="B38" s="220"/>
      <c r="C38" s="220"/>
      <c r="D38" s="220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70C0"/>
    <pageSetUpPr fitToPage="1"/>
  </sheetPr>
  <dimension ref="A1:AN78"/>
  <sheetViews>
    <sheetView zoomScale="94" zoomScaleNormal="94" workbookViewId="0">
      <pane xSplit="1" topLeftCell="B1" activePane="topRight" state="frozen"/>
      <selection pane="topRight" activeCell="P49" sqref="P49"/>
    </sheetView>
  </sheetViews>
  <sheetFormatPr defaultRowHeight="12.75" x14ac:dyDescent="0.2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5.5703125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5.140625" customWidth="1"/>
  </cols>
  <sheetData>
    <row r="1" spans="1:40" ht="22.5" x14ac:dyDescent="0.3">
      <c r="A1" s="975" t="s">
        <v>293</v>
      </c>
      <c r="B1" s="976"/>
      <c r="C1" s="976"/>
      <c r="D1" s="976"/>
      <c r="E1" s="976"/>
      <c r="F1" s="976"/>
      <c r="G1" s="976"/>
      <c r="H1" s="976"/>
      <c r="I1" s="976"/>
      <c r="J1" s="976"/>
      <c r="K1" s="976"/>
      <c r="L1" s="976"/>
      <c r="M1" s="976"/>
      <c r="N1" s="976"/>
      <c r="O1" s="976"/>
      <c r="P1" s="976"/>
      <c r="Q1" s="976"/>
      <c r="R1" s="976"/>
      <c r="S1" s="976"/>
      <c r="T1" s="976"/>
      <c r="U1" s="976"/>
      <c r="V1" s="976"/>
      <c r="W1" s="976"/>
      <c r="X1" s="976"/>
      <c r="Y1" s="976"/>
      <c r="Z1" s="976"/>
      <c r="AA1" s="976"/>
      <c r="AB1" s="976"/>
      <c r="AC1" s="976"/>
      <c r="AD1" s="976"/>
      <c r="AE1" s="976"/>
      <c r="AF1" s="976"/>
      <c r="AG1" s="976"/>
      <c r="AH1" s="976"/>
      <c r="AI1" s="976"/>
      <c r="AJ1" s="976"/>
      <c r="AK1" s="976"/>
      <c r="AL1" s="976"/>
      <c r="AM1" s="976"/>
      <c r="AN1" s="976"/>
    </row>
    <row r="2" spans="1:40" ht="13.5" customHeight="1" x14ac:dyDescent="0.25">
      <c r="A2" s="20"/>
      <c r="B2" s="20"/>
      <c r="C2" s="974" t="s">
        <v>294</v>
      </c>
      <c r="D2" s="974"/>
      <c r="E2" s="974"/>
      <c r="F2" s="974" t="s">
        <v>295</v>
      </c>
      <c r="G2" s="974"/>
      <c r="H2" s="974"/>
      <c r="I2" s="974" t="s">
        <v>296</v>
      </c>
      <c r="J2" s="974"/>
      <c r="K2" s="974"/>
      <c r="L2" s="974" t="s">
        <v>297</v>
      </c>
      <c r="M2" s="974"/>
      <c r="N2" s="974"/>
      <c r="O2" s="974" t="s">
        <v>298</v>
      </c>
      <c r="P2" s="974"/>
      <c r="Q2" s="974"/>
      <c r="R2" s="215"/>
      <c r="S2" s="983" t="s">
        <v>299</v>
      </c>
      <c r="T2" s="984"/>
      <c r="U2" s="985"/>
      <c r="V2" s="989" t="s">
        <v>300</v>
      </c>
      <c r="W2" s="990"/>
      <c r="X2" s="991"/>
      <c r="Y2" s="995" t="s">
        <v>301</v>
      </c>
      <c r="Z2" s="990"/>
      <c r="AA2" s="991"/>
      <c r="AB2" s="995" t="s">
        <v>302</v>
      </c>
      <c r="AC2" s="990"/>
      <c r="AD2" s="991"/>
      <c r="AE2" s="977" t="s">
        <v>303</v>
      </c>
      <c r="AF2" s="978"/>
      <c r="AG2" s="997"/>
      <c r="AH2" s="977" t="s">
        <v>304</v>
      </c>
      <c r="AI2" s="978"/>
      <c r="AJ2" s="997"/>
      <c r="AK2" s="977" t="s">
        <v>305</v>
      </c>
      <c r="AL2" s="978"/>
      <c r="AM2" s="978"/>
      <c r="AN2" s="981" t="s">
        <v>306</v>
      </c>
    </row>
    <row r="3" spans="1:40" ht="21.75" customHeight="1" x14ac:dyDescent="0.25">
      <c r="A3" s="972" t="s">
        <v>242</v>
      </c>
      <c r="B3" s="20"/>
      <c r="C3" s="974" t="s">
        <v>307</v>
      </c>
      <c r="D3" s="974" t="s">
        <v>308</v>
      </c>
      <c r="E3" s="974" t="s">
        <v>252</v>
      </c>
      <c r="F3" s="974" t="s">
        <v>307</v>
      </c>
      <c r="G3" s="974" t="s">
        <v>308</v>
      </c>
      <c r="H3" s="974" t="s">
        <v>252</v>
      </c>
      <c r="I3" s="974" t="s">
        <v>307</v>
      </c>
      <c r="J3" s="974" t="s">
        <v>308</v>
      </c>
      <c r="K3" s="974" t="s">
        <v>252</v>
      </c>
      <c r="L3" s="974" t="s">
        <v>307</v>
      </c>
      <c r="M3" s="974" t="s">
        <v>308</v>
      </c>
      <c r="N3" s="974" t="s">
        <v>252</v>
      </c>
      <c r="O3" s="974" t="s">
        <v>307</v>
      </c>
      <c r="P3" s="974" t="s">
        <v>308</v>
      </c>
      <c r="Q3" s="974" t="s">
        <v>252</v>
      </c>
      <c r="R3" s="999" t="s">
        <v>309</v>
      </c>
      <c r="S3" s="986"/>
      <c r="T3" s="987"/>
      <c r="U3" s="988"/>
      <c r="V3" s="992"/>
      <c r="W3" s="993"/>
      <c r="X3" s="994"/>
      <c r="Y3" s="996"/>
      <c r="Z3" s="993"/>
      <c r="AA3" s="994"/>
      <c r="AB3" s="996"/>
      <c r="AC3" s="993"/>
      <c r="AD3" s="994"/>
      <c r="AE3" s="979"/>
      <c r="AF3" s="980"/>
      <c r="AG3" s="998"/>
      <c r="AH3" s="979"/>
      <c r="AI3" s="980"/>
      <c r="AJ3" s="998"/>
      <c r="AK3" s="979"/>
      <c r="AL3" s="980"/>
      <c r="AM3" s="980"/>
      <c r="AN3" s="982"/>
    </row>
    <row r="4" spans="1:40" ht="15" x14ac:dyDescent="0.25">
      <c r="A4" s="973"/>
      <c r="B4" s="211"/>
      <c r="C4" s="974"/>
      <c r="D4" s="974"/>
      <c r="E4" s="974"/>
      <c r="F4" s="974"/>
      <c r="G4" s="974"/>
      <c r="H4" s="974"/>
      <c r="I4" s="974"/>
      <c r="J4" s="974"/>
      <c r="K4" s="974"/>
      <c r="L4" s="974"/>
      <c r="M4" s="974"/>
      <c r="N4" s="974"/>
      <c r="O4" s="974"/>
      <c r="P4" s="974"/>
      <c r="Q4" s="974"/>
      <c r="R4" s="999"/>
      <c r="S4" s="747" t="s">
        <v>310</v>
      </c>
      <c r="T4" s="217" t="s">
        <v>311</v>
      </c>
      <c r="U4" s="748" t="s">
        <v>312</v>
      </c>
      <c r="V4" s="216" t="s">
        <v>310</v>
      </c>
      <c r="W4" s="217" t="s">
        <v>311</v>
      </c>
      <c r="X4" s="218" t="s">
        <v>312</v>
      </c>
      <c r="Y4" s="216" t="s">
        <v>310</v>
      </c>
      <c r="Z4" s="217" t="s">
        <v>311</v>
      </c>
      <c r="AA4" s="218" t="s">
        <v>312</v>
      </c>
      <c r="AB4" s="478" t="s">
        <v>310</v>
      </c>
      <c r="AC4" s="479" t="s">
        <v>311</v>
      </c>
      <c r="AD4" s="480" t="s">
        <v>82</v>
      </c>
      <c r="AE4" s="216" t="s">
        <v>310</v>
      </c>
      <c r="AF4" s="217" t="s">
        <v>311</v>
      </c>
      <c r="AG4" s="242" t="s">
        <v>82</v>
      </c>
      <c r="AH4" s="216" t="s">
        <v>310</v>
      </c>
      <c r="AI4" s="217" t="s">
        <v>311</v>
      </c>
      <c r="AJ4" s="242" t="s">
        <v>82</v>
      </c>
      <c r="AK4" s="216" t="s">
        <v>310</v>
      </c>
      <c r="AL4" s="217" t="s">
        <v>311</v>
      </c>
      <c r="AM4" s="242" t="s">
        <v>82</v>
      </c>
      <c r="AN4" s="686"/>
    </row>
    <row r="5" spans="1:40" ht="20.25" x14ac:dyDescent="0.3">
      <c r="A5" s="4"/>
      <c r="B5" s="4"/>
      <c r="C5" s="79">
        <f t="shared" ref="C5:C24" si="0">D4</f>
        <v>0</v>
      </c>
      <c r="D5" s="854">
        <v>277383</v>
      </c>
      <c r="E5" s="47">
        <f>IF((D6-D5)&lt;0,"0",(D6-D5))</f>
        <v>116</v>
      </c>
      <c r="F5" s="79">
        <f t="shared" ref="F5:F37" si="1">G4</f>
        <v>0</v>
      </c>
      <c r="G5" s="739"/>
      <c r="H5" s="385">
        <v>0</v>
      </c>
      <c r="I5" s="79">
        <f t="shared" ref="I5:I22" si="2">J4</f>
        <v>0</v>
      </c>
      <c r="J5" s="854">
        <v>8965</v>
      </c>
      <c r="K5" s="385"/>
      <c r="L5" s="79">
        <f t="shared" ref="L5:L24" si="3">M4</f>
        <v>0</v>
      </c>
      <c r="M5" s="854"/>
      <c r="N5" s="385">
        <v>0</v>
      </c>
      <c r="O5" s="79">
        <f t="shared" ref="O5:O25" si="4">P4</f>
        <v>0</v>
      </c>
      <c r="P5" s="730">
        <v>22928</v>
      </c>
      <c r="Q5" s="385"/>
      <c r="R5" s="846"/>
      <c r="S5" s="212"/>
      <c r="T5" s="731">
        <v>80966</v>
      </c>
      <c r="U5" s="212"/>
      <c r="V5" s="212" t="str">
        <f t="shared" ref="V5:V20" si="5">W4</f>
        <v>FINAL</v>
      </c>
      <c r="W5" s="308"/>
      <c r="X5" s="213">
        <v>0</v>
      </c>
      <c r="Y5" s="212" t="str">
        <f t="shared" ref="Y5:Y36" si="6">Z4</f>
        <v>FINAL</v>
      </c>
      <c r="Z5" s="731">
        <v>97863</v>
      </c>
      <c r="AA5" s="213">
        <v>0</v>
      </c>
      <c r="AB5" s="481" t="str">
        <f>AC4</f>
        <v>FINAL</v>
      </c>
      <c r="AC5" s="853">
        <v>23590</v>
      </c>
      <c r="AD5" s="483"/>
      <c r="AE5" s="212" t="str">
        <f t="shared" ref="AE5:AE37" si="7">AF4</f>
        <v>FINAL</v>
      </c>
      <c r="AF5" s="309"/>
      <c r="AG5" s="219">
        <v>0</v>
      </c>
      <c r="AH5" s="212" t="str">
        <f t="shared" ref="AH5:AH36" si="8">AI4</f>
        <v>FINAL</v>
      </c>
      <c r="AI5" s="309">
        <v>38601</v>
      </c>
      <c r="AJ5" s="219"/>
      <c r="AK5" s="212" t="str">
        <f t="shared" ref="AK5:AK36" si="9">AL4</f>
        <v>FINAL</v>
      </c>
      <c r="AL5" s="308"/>
      <c r="AM5" s="219"/>
      <c r="AN5" s="687">
        <f>U5+X5+AA5+AD5+AG5+AJ5+AM5</f>
        <v>0</v>
      </c>
    </row>
    <row r="6" spans="1:40" ht="23.1" customHeight="1" x14ac:dyDescent="0.3">
      <c r="A6" s="46">
        <f>Gen!B11</f>
        <v>44562</v>
      </c>
      <c r="B6" s="4"/>
      <c r="C6" s="79">
        <f t="shared" si="0"/>
        <v>277383</v>
      </c>
      <c r="D6" s="1">
        <v>277499</v>
      </c>
      <c r="E6" s="47">
        <f>IF((D6-D5)&lt;0,"0",(D6-D5))</f>
        <v>116</v>
      </c>
      <c r="F6" s="79">
        <f t="shared" si="1"/>
        <v>0</v>
      </c>
      <c r="G6" s="739"/>
      <c r="H6" s="385">
        <f t="shared" ref="H6:H23" si="10">IF((G6-G5)&lt;0,"0",(G6-G5))</f>
        <v>0</v>
      </c>
      <c r="I6" s="79">
        <f t="shared" si="2"/>
        <v>8965</v>
      </c>
      <c r="J6" s="1">
        <v>8968</v>
      </c>
      <c r="K6" s="385">
        <f t="shared" ref="K6" si="11">J6-J5</f>
        <v>3</v>
      </c>
      <c r="L6" s="79">
        <f t="shared" si="3"/>
        <v>0</v>
      </c>
      <c r="M6" s="1"/>
      <c r="N6" s="385">
        <f t="shared" ref="N6:N24" si="12">IF((M6-M5)&lt;0,"0",(M6-M5))</f>
        <v>0</v>
      </c>
      <c r="O6" s="79">
        <f t="shared" si="4"/>
        <v>22928</v>
      </c>
      <c r="P6" s="730">
        <v>22939</v>
      </c>
      <c r="Q6" s="385">
        <f t="shared" ref="Q6:Q27" si="13">IF((P6-P5)&lt;0,"0",(P6-P5))</f>
        <v>11</v>
      </c>
      <c r="R6" s="847">
        <f>Q6+N6+K6+H6</f>
        <v>14</v>
      </c>
      <c r="S6" s="212">
        <f t="shared" ref="S6:S36" si="14">T5</f>
        <v>80966</v>
      </c>
      <c r="T6" s="731">
        <v>81035</v>
      </c>
      <c r="U6" s="386">
        <f t="shared" ref="U6:U33" si="15">IF((T6-T5)&lt;0,"0",(T6-T5))</f>
        <v>69</v>
      </c>
      <c r="V6" s="212">
        <f t="shared" si="5"/>
        <v>0</v>
      </c>
      <c r="W6" s="308"/>
      <c r="X6" s="386">
        <f t="shared" ref="X6:X34" si="16">IF((W6-W5)&lt;0,"0",(W6-W5))</f>
        <v>0</v>
      </c>
      <c r="Y6" s="212">
        <f t="shared" si="6"/>
        <v>97863</v>
      </c>
      <c r="Z6" s="308">
        <v>97899</v>
      </c>
      <c r="AA6" s="386">
        <f t="shared" ref="AA6:AA37" si="17">IF((Z6-Z5)&lt;0,"0",(Z6-Z5))</f>
        <v>36</v>
      </c>
      <c r="AB6" s="481">
        <f>AC5</f>
        <v>23590</v>
      </c>
      <c r="AC6" s="482">
        <v>23607</v>
      </c>
      <c r="AD6" s="484">
        <f>IF((AC6-AC5)&lt;0,"0",(AC6-AC5))</f>
        <v>17</v>
      </c>
      <c r="AE6" s="212">
        <f t="shared" si="7"/>
        <v>0</v>
      </c>
      <c r="AF6" s="309"/>
      <c r="AG6" s="386">
        <f t="shared" ref="AG6:AG36" si="18">IF((AF6-AF5)&lt;0,"0",(AF6-AF5))</f>
        <v>0</v>
      </c>
      <c r="AH6" s="212">
        <f t="shared" si="8"/>
        <v>38601</v>
      </c>
      <c r="AI6" s="309">
        <v>38636</v>
      </c>
      <c r="AJ6" s="386">
        <f t="shared" ref="AJ6:AJ36" si="19">IF((AI6-AI5)&lt;0,"0",(AI6-AI5))</f>
        <v>35</v>
      </c>
      <c r="AK6" s="212">
        <f t="shared" si="9"/>
        <v>0</v>
      </c>
      <c r="AL6" s="308"/>
      <c r="AM6" s="386">
        <f t="shared" ref="AM6:AM36" si="20">IF((AL6-AL5)&lt;0,"0",(AL6-AL5))</f>
        <v>0</v>
      </c>
      <c r="AN6" s="687">
        <f t="shared" ref="AN6:AN31" si="21">U6+X6+AA6+AD6+AG6+AJ6+AM6</f>
        <v>157</v>
      </c>
    </row>
    <row r="7" spans="1:40" ht="23.1" customHeight="1" x14ac:dyDescent="0.3">
      <c r="A7" s="46">
        <f>Gen!B12</f>
        <v>44563</v>
      </c>
      <c r="B7" s="4"/>
      <c r="C7" s="79">
        <f t="shared" si="0"/>
        <v>277499</v>
      </c>
      <c r="D7" s="1">
        <v>277593</v>
      </c>
      <c r="E7" s="47">
        <f t="shared" ref="E7:E15" si="22">IF((D7-D6)&lt;0,"0",(D7-D6))</f>
        <v>94</v>
      </c>
      <c r="F7" s="79">
        <f t="shared" si="1"/>
        <v>0</v>
      </c>
      <c r="G7" s="739"/>
      <c r="H7" s="385">
        <f t="shared" si="10"/>
        <v>0</v>
      </c>
      <c r="I7" s="79">
        <f t="shared" si="2"/>
        <v>8968</v>
      </c>
      <c r="J7" s="1">
        <v>8971</v>
      </c>
      <c r="K7" s="385">
        <f>J7-J6</f>
        <v>3</v>
      </c>
      <c r="L7" s="79">
        <f t="shared" si="3"/>
        <v>0</v>
      </c>
      <c r="M7" s="1"/>
      <c r="N7" s="385">
        <f t="shared" si="12"/>
        <v>0</v>
      </c>
      <c r="O7" s="79">
        <f t="shared" si="4"/>
        <v>22939</v>
      </c>
      <c r="P7" s="730">
        <v>22948</v>
      </c>
      <c r="Q7" s="385">
        <f t="shared" si="13"/>
        <v>9</v>
      </c>
      <c r="R7" s="847">
        <f t="shared" ref="R7:R37" si="23">Q7+N7+K7+H7</f>
        <v>12</v>
      </c>
      <c r="S7" s="212">
        <f t="shared" si="14"/>
        <v>81035</v>
      </c>
      <c r="T7" s="731">
        <v>81105</v>
      </c>
      <c r="U7" s="386">
        <f t="shared" si="15"/>
        <v>70</v>
      </c>
      <c r="V7" s="212">
        <f t="shared" si="5"/>
        <v>0</v>
      </c>
      <c r="W7" s="308"/>
      <c r="X7" s="386">
        <f t="shared" si="16"/>
        <v>0</v>
      </c>
      <c r="Y7" s="212">
        <f t="shared" si="6"/>
        <v>97899</v>
      </c>
      <c r="Z7" s="308">
        <v>97935</v>
      </c>
      <c r="AA7" s="386">
        <f t="shared" si="17"/>
        <v>36</v>
      </c>
      <c r="AB7" s="481">
        <f t="shared" ref="AB7:AB37" si="24">AC6</f>
        <v>23607</v>
      </c>
      <c r="AC7" s="482">
        <v>23625</v>
      </c>
      <c r="AD7" s="484">
        <f t="shared" ref="AD7:AD37" si="25">IF((AC7-AC6)&lt;0,"0",(AC7-AC6))</f>
        <v>18</v>
      </c>
      <c r="AE7" s="212">
        <f t="shared" si="7"/>
        <v>0</v>
      </c>
      <c r="AF7" s="309"/>
      <c r="AG7" s="386">
        <f t="shared" si="18"/>
        <v>0</v>
      </c>
      <c r="AH7" s="212">
        <f t="shared" si="8"/>
        <v>38636</v>
      </c>
      <c r="AI7" s="309">
        <v>38671</v>
      </c>
      <c r="AJ7" s="386">
        <f t="shared" si="19"/>
        <v>35</v>
      </c>
      <c r="AK7" s="212">
        <f t="shared" si="9"/>
        <v>0</v>
      </c>
      <c r="AL7" s="308"/>
      <c r="AM7" s="386">
        <f t="shared" si="20"/>
        <v>0</v>
      </c>
      <c r="AN7" s="687">
        <f t="shared" si="21"/>
        <v>159</v>
      </c>
    </row>
    <row r="8" spans="1:40" ht="23.1" customHeight="1" x14ac:dyDescent="0.3">
      <c r="A8" s="46">
        <f>Gen!B13</f>
        <v>44564</v>
      </c>
      <c r="B8" s="4"/>
      <c r="C8" s="79">
        <f t="shared" si="0"/>
        <v>277593</v>
      </c>
      <c r="D8" s="1">
        <v>277703</v>
      </c>
      <c r="E8" s="47">
        <f>IF((D8-D7)&lt;0,"0",(D8-D7))</f>
        <v>110</v>
      </c>
      <c r="F8" s="79">
        <f>G7</f>
        <v>0</v>
      </c>
      <c r="G8" s="739"/>
      <c r="H8" s="385">
        <f t="shared" si="10"/>
        <v>0</v>
      </c>
      <c r="I8" s="79">
        <f t="shared" si="2"/>
        <v>8971</v>
      </c>
      <c r="J8" s="1">
        <v>8975</v>
      </c>
      <c r="K8" s="385">
        <f>J8-J7</f>
        <v>4</v>
      </c>
      <c r="L8" s="79">
        <f t="shared" si="3"/>
        <v>0</v>
      </c>
      <c r="M8" s="1"/>
      <c r="N8" s="385">
        <f t="shared" si="12"/>
        <v>0</v>
      </c>
      <c r="O8" s="79">
        <f t="shared" si="4"/>
        <v>22948</v>
      </c>
      <c r="P8" s="730">
        <v>22960</v>
      </c>
      <c r="Q8" s="385">
        <f t="shared" si="13"/>
        <v>12</v>
      </c>
      <c r="R8" s="849">
        <f>Q8+N8+K8+H8</f>
        <v>16</v>
      </c>
      <c r="S8" s="212">
        <f t="shared" si="14"/>
        <v>81105</v>
      </c>
      <c r="T8" s="731">
        <v>81172</v>
      </c>
      <c r="U8" s="386">
        <f t="shared" si="15"/>
        <v>67</v>
      </c>
      <c r="V8" s="212">
        <f t="shared" si="5"/>
        <v>0</v>
      </c>
      <c r="W8" s="308"/>
      <c r="X8" s="386">
        <f t="shared" si="16"/>
        <v>0</v>
      </c>
      <c r="Y8" s="212">
        <f t="shared" si="6"/>
        <v>97935</v>
      </c>
      <c r="Z8" s="308">
        <v>97971</v>
      </c>
      <c r="AA8" s="386">
        <f t="shared" si="17"/>
        <v>36</v>
      </c>
      <c r="AB8" s="481">
        <f t="shared" si="24"/>
        <v>23625</v>
      </c>
      <c r="AC8" s="482">
        <v>23643</v>
      </c>
      <c r="AD8" s="484">
        <f t="shared" si="25"/>
        <v>18</v>
      </c>
      <c r="AE8" s="212">
        <f t="shared" si="7"/>
        <v>0</v>
      </c>
      <c r="AF8" s="309"/>
      <c r="AG8" s="386">
        <f t="shared" si="18"/>
        <v>0</v>
      </c>
      <c r="AH8" s="212">
        <f>AI7</f>
        <v>38671</v>
      </c>
      <c r="AI8" s="309">
        <v>38707</v>
      </c>
      <c r="AJ8" s="386">
        <f t="shared" si="19"/>
        <v>36</v>
      </c>
      <c r="AK8" s="212">
        <f t="shared" si="9"/>
        <v>0</v>
      </c>
      <c r="AL8" s="308"/>
      <c r="AM8" s="386">
        <f t="shared" si="20"/>
        <v>0</v>
      </c>
      <c r="AN8" s="687">
        <f t="shared" si="21"/>
        <v>157</v>
      </c>
    </row>
    <row r="9" spans="1:40" ht="23.1" customHeight="1" x14ac:dyDescent="0.3">
      <c r="A9" s="46">
        <f>Gen!B14</f>
        <v>44565</v>
      </c>
      <c r="B9" s="4"/>
      <c r="C9" s="79">
        <f t="shared" si="0"/>
        <v>277703</v>
      </c>
      <c r="D9" s="1">
        <v>277797</v>
      </c>
      <c r="E9" s="47">
        <f>IF((D9-D8)&lt;0,"0",(D9-D8))</f>
        <v>94</v>
      </c>
      <c r="F9" s="79">
        <f t="shared" si="1"/>
        <v>0</v>
      </c>
      <c r="G9" s="739"/>
      <c r="H9" s="385">
        <f t="shared" si="10"/>
        <v>0</v>
      </c>
      <c r="I9" s="79">
        <f t="shared" si="2"/>
        <v>8975</v>
      </c>
      <c r="J9" s="1">
        <v>8978</v>
      </c>
      <c r="K9" s="385">
        <f>J9-J8</f>
        <v>3</v>
      </c>
      <c r="L9" s="79">
        <f t="shared" si="3"/>
        <v>0</v>
      </c>
      <c r="M9" s="1"/>
      <c r="N9" s="385">
        <f t="shared" si="12"/>
        <v>0</v>
      </c>
      <c r="O9" s="79">
        <f t="shared" si="4"/>
        <v>22960</v>
      </c>
      <c r="P9" s="730">
        <v>22969</v>
      </c>
      <c r="Q9" s="385">
        <f t="shared" si="13"/>
        <v>9</v>
      </c>
      <c r="R9" s="847">
        <f t="shared" si="23"/>
        <v>12</v>
      </c>
      <c r="S9" s="212">
        <f t="shared" si="14"/>
        <v>81172</v>
      </c>
      <c r="T9" s="731">
        <v>81241</v>
      </c>
      <c r="U9" s="386">
        <f t="shared" si="15"/>
        <v>69</v>
      </c>
      <c r="V9" s="212">
        <f t="shared" si="5"/>
        <v>0</v>
      </c>
      <c r="W9" s="308"/>
      <c r="X9" s="386">
        <f t="shared" si="16"/>
        <v>0</v>
      </c>
      <c r="Y9" s="212">
        <f t="shared" si="6"/>
        <v>97971</v>
      </c>
      <c r="Z9" s="308">
        <v>98009</v>
      </c>
      <c r="AA9" s="386">
        <f t="shared" si="17"/>
        <v>38</v>
      </c>
      <c r="AB9" s="481">
        <f t="shared" si="24"/>
        <v>23643</v>
      </c>
      <c r="AC9" s="482">
        <v>23661</v>
      </c>
      <c r="AD9" s="484">
        <f t="shared" si="25"/>
        <v>18</v>
      </c>
      <c r="AE9" s="212">
        <f t="shared" si="7"/>
        <v>0</v>
      </c>
      <c r="AF9" s="309"/>
      <c r="AG9" s="386">
        <f t="shared" si="18"/>
        <v>0</v>
      </c>
      <c r="AH9" s="212">
        <f>AI8</f>
        <v>38707</v>
      </c>
      <c r="AI9" s="309">
        <v>38745</v>
      </c>
      <c r="AJ9" s="386">
        <f t="shared" si="19"/>
        <v>38</v>
      </c>
      <c r="AK9" s="212">
        <f t="shared" si="9"/>
        <v>0</v>
      </c>
      <c r="AL9" s="308"/>
      <c r="AM9" s="386">
        <f t="shared" si="20"/>
        <v>0</v>
      </c>
      <c r="AN9" s="687">
        <f t="shared" si="21"/>
        <v>163</v>
      </c>
    </row>
    <row r="10" spans="1:40" ht="23.1" customHeight="1" x14ac:dyDescent="0.3">
      <c r="A10" s="46">
        <f>Gen!B15</f>
        <v>44566</v>
      </c>
      <c r="B10" s="4"/>
      <c r="C10" s="79">
        <f t="shared" si="0"/>
        <v>277797</v>
      </c>
      <c r="D10" s="1">
        <v>277883</v>
      </c>
      <c r="E10" s="47">
        <f>IF((D10-D9)&lt;0,"0",(D10-D9))</f>
        <v>86</v>
      </c>
      <c r="F10" s="79">
        <f t="shared" si="1"/>
        <v>0</v>
      </c>
      <c r="G10" s="739"/>
      <c r="H10" s="385">
        <f t="shared" si="10"/>
        <v>0</v>
      </c>
      <c r="I10" s="79">
        <f t="shared" si="2"/>
        <v>8978</v>
      </c>
      <c r="J10" s="1">
        <v>8981</v>
      </c>
      <c r="K10" s="385">
        <f t="shared" ref="K10:K13" si="26">J10-J9</f>
        <v>3</v>
      </c>
      <c r="L10" s="79">
        <f t="shared" si="3"/>
        <v>0</v>
      </c>
      <c r="M10" s="1"/>
      <c r="N10" s="385">
        <f t="shared" si="12"/>
        <v>0</v>
      </c>
      <c r="O10" s="79">
        <f t="shared" si="4"/>
        <v>22969</v>
      </c>
      <c r="P10" s="730">
        <v>22978</v>
      </c>
      <c r="Q10" s="385">
        <f t="shared" si="13"/>
        <v>9</v>
      </c>
      <c r="R10" s="847">
        <f t="shared" si="23"/>
        <v>12</v>
      </c>
      <c r="S10" s="212">
        <f t="shared" si="14"/>
        <v>81241</v>
      </c>
      <c r="T10" s="731">
        <v>81310</v>
      </c>
      <c r="U10" s="386">
        <f t="shared" si="15"/>
        <v>69</v>
      </c>
      <c r="V10" s="212">
        <f t="shared" si="5"/>
        <v>0</v>
      </c>
      <c r="W10" s="308"/>
      <c r="X10" s="386">
        <f t="shared" si="16"/>
        <v>0</v>
      </c>
      <c r="Y10" s="212">
        <f t="shared" si="6"/>
        <v>98009</v>
      </c>
      <c r="Z10" s="308">
        <v>98047</v>
      </c>
      <c r="AA10" s="386">
        <f t="shared" si="17"/>
        <v>38</v>
      </c>
      <c r="AB10" s="481">
        <f t="shared" si="24"/>
        <v>23661</v>
      </c>
      <c r="AC10" s="482">
        <v>23677</v>
      </c>
      <c r="AD10" s="484">
        <f t="shared" si="25"/>
        <v>16</v>
      </c>
      <c r="AE10" s="212">
        <f t="shared" si="7"/>
        <v>0</v>
      </c>
      <c r="AF10" s="309"/>
      <c r="AG10" s="386">
        <f t="shared" si="18"/>
        <v>0</v>
      </c>
      <c r="AH10" s="212">
        <f t="shared" si="8"/>
        <v>38745</v>
      </c>
      <c r="AI10" s="309">
        <v>38778</v>
      </c>
      <c r="AJ10" s="386">
        <f t="shared" si="19"/>
        <v>33</v>
      </c>
      <c r="AK10" s="212">
        <f t="shared" si="9"/>
        <v>0</v>
      </c>
      <c r="AL10" s="308"/>
      <c r="AM10" s="386">
        <f t="shared" si="20"/>
        <v>0</v>
      </c>
      <c r="AN10" s="687">
        <f t="shared" si="21"/>
        <v>156</v>
      </c>
    </row>
    <row r="11" spans="1:40" ht="23.1" customHeight="1" x14ac:dyDescent="0.3">
      <c r="A11" s="46">
        <f>Gen!B16</f>
        <v>44567</v>
      </c>
      <c r="B11" s="4"/>
      <c r="C11" s="79">
        <f t="shared" si="0"/>
        <v>277883</v>
      </c>
      <c r="D11" s="1">
        <v>277973</v>
      </c>
      <c r="E11" s="47">
        <f t="shared" si="22"/>
        <v>90</v>
      </c>
      <c r="F11" s="79">
        <f t="shared" si="1"/>
        <v>0</v>
      </c>
      <c r="G11" s="739"/>
      <c r="H11" s="385">
        <f t="shared" si="10"/>
        <v>0</v>
      </c>
      <c r="I11" s="79">
        <f t="shared" si="2"/>
        <v>8981</v>
      </c>
      <c r="J11" s="1">
        <v>8980</v>
      </c>
      <c r="K11" s="385">
        <f t="shared" si="26"/>
        <v>-1</v>
      </c>
      <c r="L11" s="79">
        <f t="shared" si="3"/>
        <v>0</v>
      </c>
      <c r="M11" s="1"/>
      <c r="N11" s="385">
        <f t="shared" si="12"/>
        <v>0</v>
      </c>
      <c r="O11" s="79">
        <f t="shared" si="4"/>
        <v>22978</v>
      </c>
      <c r="P11" s="730">
        <v>23012</v>
      </c>
      <c r="Q11" s="385">
        <f t="shared" si="13"/>
        <v>34</v>
      </c>
      <c r="R11" s="847">
        <f t="shared" si="23"/>
        <v>33</v>
      </c>
      <c r="S11" s="212">
        <f t="shared" si="14"/>
        <v>81310</v>
      </c>
      <c r="T11" s="731">
        <v>81377</v>
      </c>
      <c r="U11" s="386">
        <f t="shared" si="15"/>
        <v>67</v>
      </c>
      <c r="V11" s="212">
        <f t="shared" si="5"/>
        <v>0</v>
      </c>
      <c r="W11" s="308"/>
      <c r="X11" s="386">
        <f>IF((W12-W10)&lt;0,"0",(W12-W10))</f>
        <v>0</v>
      </c>
      <c r="Y11" s="212">
        <f t="shared" si="6"/>
        <v>98047</v>
      </c>
      <c r="Z11" s="308">
        <v>98079</v>
      </c>
      <c r="AA11" s="386">
        <f t="shared" si="17"/>
        <v>32</v>
      </c>
      <c r="AB11" s="481">
        <f t="shared" si="24"/>
        <v>23677</v>
      </c>
      <c r="AC11" s="482">
        <v>23694</v>
      </c>
      <c r="AD11" s="484">
        <f>IF((AC11-AC10)&lt;0,"0",(AC11-AC10))</f>
        <v>17</v>
      </c>
      <c r="AE11" s="212">
        <f>AF11</f>
        <v>0</v>
      </c>
      <c r="AF11" s="309"/>
      <c r="AG11" s="386">
        <f>IF((AF11-AF10)&lt;0,"0",(AF11-AF10))</f>
        <v>0</v>
      </c>
      <c r="AH11" s="212">
        <f t="shared" si="8"/>
        <v>38778</v>
      </c>
      <c r="AI11" s="309">
        <v>38814</v>
      </c>
      <c r="AJ11" s="386">
        <f t="shared" si="19"/>
        <v>36</v>
      </c>
      <c r="AK11" s="212">
        <f t="shared" si="9"/>
        <v>0</v>
      </c>
      <c r="AL11" s="308"/>
      <c r="AM11" s="386">
        <f>IF((AL11-AL10)&lt;0,"0",(AL11-AL10))</f>
        <v>0</v>
      </c>
      <c r="AN11" s="687">
        <f t="shared" si="21"/>
        <v>152</v>
      </c>
    </row>
    <row r="12" spans="1:40" ht="23.1" customHeight="1" x14ac:dyDescent="0.3">
      <c r="A12" s="46">
        <f>Gen!B17</f>
        <v>44568</v>
      </c>
      <c r="B12" s="4"/>
      <c r="C12" s="79">
        <f t="shared" si="0"/>
        <v>277973</v>
      </c>
      <c r="D12" s="1">
        <v>278065</v>
      </c>
      <c r="E12" s="47">
        <f t="shared" si="22"/>
        <v>92</v>
      </c>
      <c r="F12" s="79">
        <f t="shared" si="1"/>
        <v>0</v>
      </c>
      <c r="G12" s="739"/>
      <c r="H12" s="385">
        <f t="shared" si="10"/>
        <v>0</v>
      </c>
      <c r="I12" s="79">
        <f t="shared" si="2"/>
        <v>8980</v>
      </c>
      <c r="J12" s="1">
        <v>8982</v>
      </c>
      <c r="K12" s="385">
        <f t="shared" si="26"/>
        <v>2</v>
      </c>
      <c r="L12" s="79">
        <f t="shared" si="3"/>
        <v>0</v>
      </c>
      <c r="M12" s="1"/>
      <c r="N12" s="385">
        <f t="shared" si="12"/>
        <v>0</v>
      </c>
      <c r="O12" s="79">
        <f>P11</f>
        <v>23012</v>
      </c>
      <c r="P12" s="730">
        <v>23020</v>
      </c>
      <c r="Q12" s="385">
        <f t="shared" si="13"/>
        <v>8</v>
      </c>
      <c r="R12" s="847">
        <f t="shared" si="23"/>
        <v>10</v>
      </c>
      <c r="S12" s="212">
        <f t="shared" si="14"/>
        <v>81377</v>
      </c>
      <c r="T12" s="731">
        <v>81443</v>
      </c>
      <c r="U12" s="386">
        <f t="shared" ref="U12:U22" si="27">IF((T12-T11)&lt;0,"0",(T12-T11))</f>
        <v>66</v>
      </c>
      <c r="V12" s="212">
        <f>W12</f>
        <v>0</v>
      </c>
      <c r="W12" s="308"/>
      <c r="X12" s="386">
        <f>IF((W13-W11)&lt;0,"0",(W13-W11))</f>
        <v>0</v>
      </c>
      <c r="Y12" s="212">
        <f t="shared" si="6"/>
        <v>98079</v>
      </c>
      <c r="Z12" s="308">
        <v>98117</v>
      </c>
      <c r="AA12" s="386">
        <f t="shared" si="17"/>
        <v>38</v>
      </c>
      <c r="AB12" s="481">
        <f t="shared" si="24"/>
        <v>23694</v>
      </c>
      <c r="AC12" s="482">
        <v>23710</v>
      </c>
      <c r="AD12" s="484">
        <f t="shared" si="25"/>
        <v>16</v>
      </c>
      <c r="AE12" s="212">
        <f t="shared" ref="AE12:AE20" si="28">AF12</f>
        <v>0</v>
      </c>
      <c r="AF12" s="309"/>
      <c r="AG12" s="386">
        <f t="shared" si="18"/>
        <v>0</v>
      </c>
      <c r="AH12" s="212">
        <f t="shared" si="8"/>
        <v>38814</v>
      </c>
      <c r="AI12" s="309">
        <v>38851</v>
      </c>
      <c r="AJ12" s="386">
        <f t="shared" si="19"/>
        <v>37</v>
      </c>
      <c r="AK12" s="212">
        <f t="shared" si="9"/>
        <v>0</v>
      </c>
      <c r="AL12" s="308"/>
      <c r="AM12" s="386">
        <f t="shared" si="20"/>
        <v>0</v>
      </c>
      <c r="AN12" s="687">
        <f t="shared" si="21"/>
        <v>157</v>
      </c>
    </row>
    <row r="13" spans="1:40" ht="23.1" customHeight="1" x14ac:dyDescent="0.3">
      <c r="A13" s="46">
        <f>Gen!B18</f>
        <v>44569</v>
      </c>
      <c r="B13" s="4"/>
      <c r="C13" s="79">
        <f t="shared" si="0"/>
        <v>278065</v>
      </c>
      <c r="D13" s="1">
        <v>278173</v>
      </c>
      <c r="E13" s="47">
        <f t="shared" si="22"/>
        <v>108</v>
      </c>
      <c r="F13" s="79">
        <f t="shared" si="1"/>
        <v>0</v>
      </c>
      <c r="G13" s="739"/>
      <c r="H13" s="385">
        <f t="shared" si="10"/>
        <v>0</v>
      </c>
      <c r="I13" s="79">
        <f t="shared" si="2"/>
        <v>8982</v>
      </c>
      <c r="J13" s="1">
        <v>8984</v>
      </c>
      <c r="K13" s="385">
        <f t="shared" si="26"/>
        <v>2</v>
      </c>
      <c r="L13" s="79">
        <f t="shared" si="3"/>
        <v>0</v>
      </c>
      <c r="M13" s="1"/>
      <c r="N13" s="385">
        <f t="shared" si="12"/>
        <v>0</v>
      </c>
      <c r="O13" s="79">
        <f>P12</f>
        <v>23020</v>
      </c>
      <c r="P13" s="730">
        <v>23026</v>
      </c>
      <c r="Q13" s="385">
        <f t="shared" si="13"/>
        <v>6</v>
      </c>
      <c r="R13" s="847">
        <f t="shared" si="23"/>
        <v>8</v>
      </c>
      <c r="S13" s="212">
        <f t="shared" si="14"/>
        <v>81443</v>
      </c>
      <c r="T13" s="731">
        <v>81515</v>
      </c>
      <c r="U13" s="386">
        <f t="shared" si="27"/>
        <v>72</v>
      </c>
      <c r="V13" s="212">
        <f>W13</f>
        <v>0</v>
      </c>
      <c r="W13" s="308"/>
      <c r="X13" s="386">
        <f>IF((W14-W12)&lt;0,"0",(W14-W12))</f>
        <v>0</v>
      </c>
      <c r="Y13" s="212">
        <f t="shared" si="6"/>
        <v>98117</v>
      </c>
      <c r="Z13" s="308">
        <v>98152</v>
      </c>
      <c r="AA13" s="386">
        <f t="shared" si="17"/>
        <v>35</v>
      </c>
      <c r="AB13" s="481">
        <f t="shared" si="24"/>
        <v>23710</v>
      </c>
      <c r="AC13" s="482">
        <v>23726</v>
      </c>
      <c r="AD13" s="484">
        <f t="shared" si="25"/>
        <v>16</v>
      </c>
      <c r="AE13" s="212">
        <f t="shared" si="28"/>
        <v>0</v>
      </c>
      <c r="AF13" s="309"/>
      <c r="AG13" s="386">
        <f t="shared" si="18"/>
        <v>0</v>
      </c>
      <c r="AH13" s="212">
        <f t="shared" si="8"/>
        <v>38851</v>
      </c>
      <c r="AI13" s="309">
        <v>38886</v>
      </c>
      <c r="AJ13" s="386">
        <f t="shared" si="19"/>
        <v>35</v>
      </c>
      <c r="AK13" s="212">
        <f t="shared" si="9"/>
        <v>0</v>
      </c>
      <c r="AL13" s="308"/>
      <c r="AM13" s="386">
        <f t="shared" si="20"/>
        <v>0</v>
      </c>
      <c r="AN13" s="687">
        <f t="shared" si="21"/>
        <v>158</v>
      </c>
    </row>
    <row r="14" spans="1:40" ht="23.1" customHeight="1" x14ac:dyDescent="0.3">
      <c r="A14" s="46">
        <f>Gen!B19</f>
        <v>44570</v>
      </c>
      <c r="B14" s="4"/>
      <c r="C14" s="79">
        <f t="shared" si="0"/>
        <v>278173</v>
      </c>
      <c r="D14" s="1">
        <v>278274</v>
      </c>
      <c r="E14" s="47">
        <f t="shared" si="22"/>
        <v>101</v>
      </c>
      <c r="F14" s="79">
        <f t="shared" si="1"/>
        <v>0</v>
      </c>
      <c r="G14" s="739"/>
      <c r="H14" s="385">
        <f>IF((G14-G13)&lt;0,"0",(G14-G13))</f>
        <v>0</v>
      </c>
      <c r="I14" s="79">
        <f t="shared" si="2"/>
        <v>8984</v>
      </c>
      <c r="J14" s="1">
        <v>8987</v>
      </c>
      <c r="K14" s="385">
        <f t="shared" ref="K14:K27" si="29">IF((J14-J13)&lt;0,"0",(J14-J13))</f>
        <v>3</v>
      </c>
      <c r="L14" s="79">
        <f t="shared" si="3"/>
        <v>0</v>
      </c>
      <c r="M14" s="1"/>
      <c r="N14" s="385">
        <f t="shared" si="12"/>
        <v>0</v>
      </c>
      <c r="O14" s="79">
        <f t="shared" si="4"/>
        <v>23026</v>
      </c>
      <c r="P14" s="730">
        <v>23030</v>
      </c>
      <c r="Q14" s="385">
        <f t="shared" si="13"/>
        <v>4</v>
      </c>
      <c r="R14" s="847">
        <f t="shared" si="23"/>
        <v>7</v>
      </c>
      <c r="S14" s="212">
        <f t="shared" si="14"/>
        <v>81515</v>
      </c>
      <c r="T14" s="731">
        <v>81582</v>
      </c>
      <c r="U14" s="386">
        <f t="shared" si="27"/>
        <v>67</v>
      </c>
      <c r="V14" s="212">
        <f>W14</f>
        <v>0</v>
      </c>
      <c r="W14" s="308"/>
      <c r="X14" s="386">
        <f>IF((W15-W13)&lt;0,"0",(W15-W13))</f>
        <v>0</v>
      </c>
      <c r="Y14" s="212">
        <f t="shared" si="6"/>
        <v>98152</v>
      </c>
      <c r="Z14" s="308">
        <v>98191</v>
      </c>
      <c r="AA14" s="386">
        <f t="shared" si="17"/>
        <v>39</v>
      </c>
      <c r="AB14" s="481">
        <f t="shared" si="24"/>
        <v>23726</v>
      </c>
      <c r="AC14" s="482">
        <v>23739</v>
      </c>
      <c r="AD14" s="484">
        <f t="shared" si="25"/>
        <v>13</v>
      </c>
      <c r="AE14" s="212">
        <f t="shared" si="28"/>
        <v>0</v>
      </c>
      <c r="AF14" s="309"/>
      <c r="AG14" s="386">
        <f t="shared" si="18"/>
        <v>0</v>
      </c>
      <c r="AH14" s="212">
        <f t="shared" si="8"/>
        <v>38886</v>
      </c>
      <c r="AI14" s="309">
        <v>38921</v>
      </c>
      <c r="AJ14" s="386">
        <f t="shared" si="19"/>
        <v>35</v>
      </c>
      <c r="AK14" s="212">
        <f t="shared" si="9"/>
        <v>0</v>
      </c>
      <c r="AL14" s="308"/>
      <c r="AM14" s="386">
        <f t="shared" si="20"/>
        <v>0</v>
      </c>
      <c r="AN14" s="687">
        <f t="shared" si="21"/>
        <v>154</v>
      </c>
    </row>
    <row r="15" spans="1:40" ht="23.1" customHeight="1" x14ac:dyDescent="0.3">
      <c r="A15" s="46">
        <f>Gen!B20</f>
        <v>44571</v>
      </c>
      <c r="B15" s="4"/>
      <c r="C15" s="79">
        <f t="shared" si="0"/>
        <v>278274</v>
      </c>
      <c r="D15" s="1">
        <v>278357</v>
      </c>
      <c r="E15" s="47">
        <f t="shared" si="22"/>
        <v>83</v>
      </c>
      <c r="F15" s="79">
        <f t="shared" si="1"/>
        <v>0</v>
      </c>
      <c r="G15" s="739"/>
      <c r="H15" s="385">
        <f t="shared" ref="H15:H17" si="30">IF((G15-G14)&lt;0,"0",(G15-G14))</f>
        <v>0</v>
      </c>
      <c r="I15" s="79">
        <f t="shared" si="2"/>
        <v>8987</v>
      </c>
      <c r="J15" s="1">
        <v>8989</v>
      </c>
      <c r="K15" s="385">
        <f t="shared" si="29"/>
        <v>2</v>
      </c>
      <c r="L15" s="79">
        <f t="shared" si="3"/>
        <v>0</v>
      </c>
      <c r="M15" s="1"/>
      <c r="N15" s="385">
        <f t="shared" si="12"/>
        <v>0</v>
      </c>
      <c r="O15" s="79">
        <f>P14</f>
        <v>23030</v>
      </c>
      <c r="P15" s="730">
        <v>23047</v>
      </c>
      <c r="Q15" s="385">
        <f t="shared" si="13"/>
        <v>17</v>
      </c>
      <c r="R15" s="847">
        <f t="shared" si="23"/>
        <v>19</v>
      </c>
      <c r="S15" s="212">
        <f t="shared" si="14"/>
        <v>81582</v>
      </c>
      <c r="T15" s="731">
        <v>81582</v>
      </c>
      <c r="U15" s="386">
        <f t="shared" si="27"/>
        <v>0</v>
      </c>
      <c r="V15" s="212">
        <f t="shared" si="5"/>
        <v>0</v>
      </c>
      <c r="W15" s="308"/>
      <c r="X15" s="386">
        <f t="shared" si="16"/>
        <v>0</v>
      </c>
      <c r="Y15" s="212">
        <f t="shared" si="6"/>
        <v>98191</v>
      </c>
      <c r="Z15" s="308">
        <v>98229</v>
      </c>
      <c r="AA15" s="386">
        <f t="shared" si="17"/>
        <v>38</v>
      </c>
      <c r="AB15" s="481">
        <f t="shared" si="24"/>
        <v>23739</v>
      </c>
      <c r="AC15" s="482">
        <v>23753</v>
      </c>
      <c r="AD15" s="484">
        <f t="shared" si="25"/>
        <v>14</v>
      </c>
      <c r="AE15" s="212">
        <f t="shared" si="28"/>
        <v>0</v>
      </c>
      <c r="AF15" s="309"/>
      <c r="AG15" s="386">
        <f t="shared" si="18"/>
        <v>0</v>
      </c>
      <c r="AH15" s="212">
        <f t="shared" si="8"/>
        <v>38921</v>
      </c>
      <c r="AI15" s="309">
        <v>38957</v>
      </c>
      <c r="AJ15" s="386">
        <f t="shared" si="19"/>
        <v>36</v>
      </c>
      <c r="AK15" s="212">
        <f t="shared" si="9"/>
        <v>0</v>
      </c>
      <c r="AL15" s="308"/>
      <c r="AM15" s="386">
        <f t="shared" si="20"/>
        <v>0</v>
      </c>
      <c r="AN15" s="687">
        <f t="shared" si="21"/>
        <v>88</v>
      </c>
    </row>
    <row r="16" spans="1:40" ht="23.1" customHeight="1" x14ac:dyDescent="0.3">
      <c r="A16" s="46">
        <f>Gen!B21</f>
        <v>44572</v>
      </c>
      <c r="B16" s="4"/>
      <c r="C16" s="79">
        <f t="shared" si="0"/>
        <v>278357</v>
      </c>
      <c r="D16" s="1">
        <v>278424</v>
      </c>
      <c r="E16" s="47">
        <f>IF((D16-D15)&lt;0,"0",(D16-D15))</f>
        <v>67</v>
      </c>
      <c r="F16" s="79">
        <f t="shared" si="1"/>
        <v>0</v>
      </c>
      <c r="G16" s="739"/>
      <c r="H16" s="385">
        <f t="shared" si="30"/>
        <v>0</v>
      </c>
      <c r="I16" s="79">
        <f t="shared" si="2"/>
        <v>8989</v>
      </c>
      <c r="J16" s="1">
        <v>8991</v>
      </c>
      <c r="K16" s="385">
        <f t="shared" si="29"/>
        <v>2</v>
      </c>
      <c r="L16" s="79">
        <f t="shared" si="3"/>
        <v>0</v>
      </c>
      <c r="M16" s="1"/>
      <c r="N16" s="385">
        <f t="shared" si="12"/>
        <v>0</v>
      </c>
      <c r="O16" s="79">
        <f t="shared" si="4"/>
        <v>23047</v>
      </c>
      <c r="P16" s="730">
        <v>23055</v>
      </c>
      <c r="Q16" s="385">
        <f t="shared" si="13"/>
        <v>8</v>
      </c>
      <c r="R16" s="847">
        <f t="shared" si="23"/>
        <v>10</v>
      </c>
      <c r="S16" s="212">
        <f t="shared" si="14"/>
        <v>81582</v>
      </c>
      <c r="T16" s="731">
        <v>81582</v>
      </c>
      <c r="U16" s="386">
        <f t="shared" si="27"/>
        <v>0</v>
      </c>
      <c r="V16" s="212">
        <f t="shared" si="5"/>
        <v>0</v>
      </c>
      <c r="W16" s="308"/>
      <c r="X16" s="386">
        <f>IF((W16-W15)&lt;0,"0",(W16-W15))</f>
        <v>0</v>
      </c>
      <c r="Y16" s="212">
        <f t="shared" si="6"/>
        <v>98229</v>
      </c>
      <c r="Z16" s="308">
        <v>98271</v>
      </c>
      <c r="AA16" s="386">
        <f t="shared" si="17"/>
        <v>42</v>
      </c>
      <c r="AB16" s="481">
        <f t="shared" si="24"/>
        <v>23753</v>
      </c>
      <c r="AC16" s="482">
        <v>23764</v>
      </c>
      <c r="AD16" s="484">
        <f t="shared" si="25"/>
        <v>11</v>
      </c>
      <c r="AE16" s="212">
        <f t="shared" si="28"/>
        <v>0</v>
      </c>
      <c r="AF16" s="309"/>
      <c r="AG16" s="386">
        <f t="shared" si="18"/>
        <v>0</v>
      </c>
      <c r="AH16" s="212">
        <f t="shared" si="8"/>
        <v>38957</v>
      </c>
      <c r="AI16" s="309">
        <v>38991</v>
      </c>
      <c r="AJ16" s="386">
        <f t="shared" si="19"/>
        <v>34</v>
      </c>
      <c r="AK16" s="212">
        <f t="shared" si="9"/>
        <v>0</v>
      </c>
      <c r="AL16" s="308"/>
      <c r="AM16" s="386">
        <f t="shared" si="20"/>
        <v>0</v>
      </c>
      <c r="AN16" s="687">
        <f t="shared" si="21"/>
        <v>87</v>
      </c>
    </row>
    <row r="17" spans="1:40" ht="23.1" customHeight="1" x14ac:dyDescent="0.3">
      <c r="A17" s="46">
        <f>Gen!B22</f>
        <v>44573</v>
      </c>
      <c r="B17" s="4"/>
      <c r="C17" s="79">
        <f t="shared" si="0"/>
        <v>278424</v>
      </c>
      <c r="D17" s="1">
        <v>278557</v>
      </c>
      <c r="E17" s="385">
        <f>IF((D17-D16)&lt;0,"0",(D17-D16))</f>
        <v>133</v>
      </c>
      <c r="F17" s="79">
        <f t="shared" si="1"/>
        <v>0</v>
      </c>
      <c r="G17" s="739"/>
      <c r="H17" s="385">
        <f t="shared" si="30"/>
        <v>0</v>
      </c>
      <c r="I17" s="79">
        <f t="shared" si="2"/>
        <v>8991</v>
      </c>
      <c r="J17" s="1">
        <v>8994</v>
      </c>
      <c r="K17" s="385">
        <f t="shared" si="29"/>
        <v>3</v>
      </c>
      <c r="L17" s="79">
        <f t="shared" si="3"/>
        <v>0</v>
      </c>
      <c r="M17" s="1"/>
      <c r="N17" s="385">
        <f t="shared" si="12"/>
        <v>0</v>
      </c>
      <c r="O17" s="79">
        <f t="shared" si="4"/>
        <v>23055</v>
      </c>
      <c r="P17" s="730">
        <v>23064</v>
      </c>
      <c r="Q17" s="385">
        <f t="shared" si="13"/>
        <v>9</v>
      </c>
      <c r="R17" s="847">
        <f t="shared" si="23"/>
        <v>12</v>
      </c>
      <c r="S17" s="212">
        <f t="shared" si="14"/>
        <v>81582</v>
      </c>
      <c r="T17" s="731">
        <v>81582</v>
      </c>
      <c r="U17" s="386">
        <f t="shared" si="27"/>
        <v>0</v>
      </c>
      <c r="V17" s="212">
        <f t="shared" si="5"/>
        <v>0</v>
      </c>
      <c r="W17" s="308"/>
      <c r="X17" s="386">
        <f>IF((W17-W16)&lt;0,"0",(W17-W16))</f>
        <v>0</v>
      </c>
      <c r="Y17" s="212">
        <f t="shared" si="6"/>
        <v>98271</v>
      </c>
      <c r="Z17" s="308">
        <v>98309</v>
      </c>
      <c r="AA17" s="386">
        <f t="shared" si="17"/>
        <v>38</v>
      </c>
      <c r="AB17" s="481">
        <f t="shared" si="24"/>
        <v>23764</v>
      </c>
      <c r="AC17" s="482">
        <v>23777</v>
      </c>
      <c r="AD17" s="484">
        <f t="shared" si="25"/>
        <v>13</v>
      </c>
      <c r="AE17" s="212">
        <f t="shared" si="28"/>
        <v>0</v>
      </c>
      <c r="AF17" s="309"/>
      <c r="AG17" s="386">
        <f t="shared" si="18"/>
        <v>0</v>
      </c>
      <c r="AH17" s="212">
        <f t="shared" si="8"/>
        <v>38991</v>
      </c>
      <c r="AI17" s="309">
        <v>39026</v>
      </c>
      <c r="AJ17" s="386">
        <f t="shared" si="19"/>
        <v>35</v>
      </c>
      <c r="AK17" s="212">
        <f t="shared" si="9"/>
        <v>0</v>
      </c>
      <c r="AL17" s="308"/>
      <c r="AM17" s="386">
        <f>IF((AL17-AL16)&lt;0,"0",(AL17-AL16))</f>
        <v>0</v>
      </c>
      <c r="AN17" s="687">
        <f t="shared" si="21"/>
        <v>86</v>
      </c>
    </row>
    <row r="18" spans="1:40" ht="23.1" customHeight="1" x14ac:dyDescent="0.3">
      <c r="A18" s="46">
        <f>Gen!B23</f>
        <v>44574</v>
      </c>
      <c r="B18" s="4"/>
      <c r="C18" s="79">
        <f t="shared" si="0"/>
        <v>278557</v>
      </c>
      <c r="D18" s="1">
        <v>278643</v>
      </c>
      <c r="E18" s="385">
        <f t="shared" ref="E18:E37" si="31">IF((D18-D17)&lt;0,"0",(D18-D17))</f>
        <v>86</v>
      </c>
      <c r="F18" s="79">
        <f t="shared" si="1"/>
        <v>0</v>
      </c>
      <c r="G18" s="739"/>
      <c r="H18" s="385">
        <f t="shared" si="10"/>
        <v>0</v>
      </c>
      <c r="I18" s="79"/>
      <c r="J18" s="1">
        <v>8996</v>
      </c>
      <c r="K18" s="385">
        <f t="shared" si="29"/>
        <v>2</v>
      </c>
      <c r="L18" s="79">
        <f t="shared" si="3"/>
        <v>0</v>
      </c>
      <c r="M18" s="1"/>
      <c r="N18" s="385">
        <f t="shared" si="12"/>
        <v>0</v>
      </c>
      <c r="O18" s="79">
        <f>P17</f>
        <v>23064</v>
      </c>
      <c r="P18" s="730">
        <v>23070</v>
      </c>
      <c r="Q18" s="385">
        <f t="shared" si="13"/>
        <v>6</v>
      </c>
      <c r="R18" s="847">
        <f t="shared" si="23"/>
        <v>8</v>
      </c>
      <c r="S18" s="212">
        <f t="shared" si="14"/>
        <v>81582</v>
      </c>
      <c r="T18" s="731">
        <v>81582</v>
      </c>
      <c r="U18" s="386">
        <f t="shared" si="27"/>
        <v>0</v>
      </c>
      <c r="V18" s="212">
        <f t="shared" si="5"/>
        <v>0</v>
      </c>
      <c r="W18" s="308"/>
      <c r="X18" s="386">
        <f t="shared" si="16"/>
        <v>0</v>
      </c>
      <c r="Y18" s="212">
        <f t="shared" si="6"/>
        <v>98309</v>
      </c>
      <c r="Z18" s="308">
        <v>98348</v>
      </c>
      <c r="AA18" s="386">
        <f t="shared" si="17"/>
        <v>39</v>
      </c>
      <c r="AB18" s="481">
        <f t="shared" si="24"/>
        <v>23777</v>
      </c>
      <c r="AC18" s="482">
        <v>23791</v>
      </c>
      <c r="AD18" s="484">
        <f t="shared" si="25"/>
        <v>14</v>
      </c>
      <c r="AE18" s="212">
        <f t="shared" si="28"/>
        <v>0</v>
      </c>
      <c r="AF18" s="309"/>
      <c r="AG18" s="386">
        <f t="shared" si="18"/>
        <v>0</v>
      </c>
      <c r="AH18" s="212">
        <f>AI17</f>
        <v>39026</v>
      </c>
      <c r="AI18" s="309">
        <v>39059</v>
      </c>
      <c r="AJ18" s="386">
        <f t="shared" si="19"/>
        <v>33</v>
      </c>
      <c r="AK18" s="212">
        <f t="shared" si="9"/>
        <v>0</v>
      </c>
      <c r="AL18" s="308"/>
      <c r="AM18" s="386">
        <f t="shared" ref="AM18:AM26" si="32">IF((AL18-AL17)&lt;0,"0",(AL18-AL17))</f>
        <v>0</v>
      </c>
      <c r="AN18" s="687">
        <f t="shared" si="21"/>
        <v>86</v>
      </c>
    </row>
    <row r="19" spans="1:40" ht="23.1" customHeight="1" x14ac:dyDescent="0.3">
      <c r="A19" s="46">
        <f>Gen!B24</f>
        <v>44575</v>
      </c>
      <c r="B19" s="4"/>
      <c r="C19" s="79">
        <f t="shared" si="0"/>
        <v>278643</v>
      </c>
      <c r="D19" s="1">
        <v>278735</v>
      </c>
      <c r="E19" s="385">
        <f t="shared" si="31"/>
        <v>92</v>
      </c>
      <c r="F19" s="79">
        <f t="shared" si="1"/>
        <v>0</v>
      </c>
      <c r="G19" s="739"/>
      <c r="H19" s="385">
        <f t="shared" si="10"/>
        <v>0</v>
      </c>
      <c r="I19" s="79">
        <f t="shared" si="2"/>
        <v>8996</v>
      </c>
      <c r="J19" s="1">
        <v>8998</v>
      </c>
      <c r="K19" s="385">
        <f t="shared" si="29"/>
        <v>2</v>
      </c>
      <c r="L19" s="79">
        <f t="shared" si="3"/>
        <v>0</v>
      </c>
      <c r="M19" s="1"/>
      <c r="N19" s="385">
        <f t="shared" si="12"/>
        <v>0</v>
      </c>
      <c r="O19" s="79">
        <f t="shared" si="4"/>
        <v>23070</v>
      </c>
      <c r="P19" s="730">
        <v>23078</v>
      </c>
      <c r="Q19" s="385">
        <f t="shared" si="13"/>
        <v>8</v>
      </c>
      <c r="R19" s="847">
        <f t="shared" si="23"/>
        <v>10</v>
      </c>
      <c r="S19" s="212">
        <f t="shared" si="14"/>
        <v>81582</v>
      </c>
      <c r="T19" s="731">
        <v>81582</v>
      </c>
      <c r="U19" s="386">
        <f t="shared" si="27"/>
        <v>0</v>
      </c>
      <c r="V19" s="212">
        <f t="shared" si="5"/>
        <v>0</v>
      </c>
      <c r="W19" s="308"/>
      <c r="X19" s="386">
        <f t="shared" si="16"/>
        <v>0</v>
      </c>
      <c r="Y19" s="212">
        <f t="shared" si="6"/>
        <v>98348</v>
      </c>
      <c r="Z19" s="308">
        <v>98388</v>
      </c>
      <c r="AA19" s="386">
        <f t="shared" si="17"/>
        <v>40</v>
      </c>
      <c r="AB19" s="481">
        <f t="shared" si="24"/>
        <v>23791</v>
      </c>
      <c r="AC19" s="482">
        <v>23809</v>
      </c>
      <c r="AD19" s="484">
        <f t="shared" si="25"/>
        <v>18</v>
      </c>
      <c r="AE19" s="212">
        <f t="shared" si="28"/>
        <v>0</v>
      </c>
      <c r="AF19" s="309"/>
      <c r="AG19" s="386">
        <f t="shared" si="18"/>
        <v>0</v>
      </c>
      <c r="AH19" s="212">
        <f>AI18</f>
        <v>39059</v>
      </c>
      <c r="AI19" s="309">
        <v>39092</v>
      </c>
      <c r="AJ19" s="386">
        <f t="shared" si="19"/>
        <v>33</v>
      </c>
      <c r="AK19" s="212">
        <f t="shared" si="9"/>
        <v>0</v>
      </c>
      <c r="AL19" s="308"/>
      <c r="AM19" s="386">
        <f t="shared" si="32"/>
        <v>0</v>
      </c>
      <c r="AN19" s="687">
        <f t="shared" si="21"/>
        <v>91</v>
      </c>
    </row>
    <row r="20" spans="1:40" ht="23.1" customHeight="1" x14ac:dyDescent="0.3">
      <c r="A20" s="46">
        <f>Gen!B25</f>
        <v>44576</v>
      </c>
      <c r="B20" s="4"/>
      <c r="C20" s="79">
        <f t="shared" si="0"/>
        <v>278735</v>
      </c>
      <c r="D20" s="1">
        <v>278837</v>
      </c>
      <c r="E20" s="385">
        <f t="shared" si="31"/>
        <v>102</v>
      </c>
      <c r="F20" s="79">
        <f t="shared" si="1"/>
        <v>0</v>
      </c>
      <c r="G20" s="739"/>
      <c r="H20" s="385">
        <f t="shared" si="10"/>
        <v>0</v>
      </c>
      <c r="I20" s="79">
        <f t="shared" si="2"/>
        <v>8998</v>
      </c>
      <c r="J20" s="1">
        <v>9000</v>
      </c>
      <c r="K20" s="385">
        <f t="shared" si="29"/>
        <v>2</v>
      </c>
      <c r="L20" s="79">
        <f t="shared" si="3"/>
        <v>0</v>
      </c>
      <c r="M20" s="1"/>
      <c r="N20" s="385">
        <f t="shared" si="12"/>
        <v>0</v>
      </c>
      <c r="O20" s="79">
        <f>P19</f>
        <v>23078</v>
      </c>
      <c r="P20" s="730">
        <v>23088</v>
      </c>
      <c r="Q20" s="385">
        <f t="shared" si="13"/>
        <v>10</v>
      </c>
      <c r="R20" s="847">
        <f t="shared" si="23"/>
        <v>12</v>
      </c>
      <c r="S20" s="212">
        <f t="shared" si="14"/>
        <v>81582</v>
      </c>
      <c r="T20" s="731">
        <v>81582</v>
      </c>
      <c r="U20" s="386">
        <f t="shared" si="27"/>
        <v>0</v>
      </c>
      <c r="V20" s="212">
        <f t="shared" si="5"/>
        <v>0</v>
      </c>
      <c r="W20" s="308"/>
      <c r="X20" s="386">
        <f t="shared" si="16"/>
        <v>0</v>
      </c>
      <c r="Y20" s="212">
        <f t="shared" si="6"/>
        <v>98388</v>
      </c>
      <c r="Z20" s="308">
        <v>98427</v>
      </c>
      <c r="AA20" s="386">
        <f t="shared" si="17"/>
        <v>39</v>
      </c>
      <c r="AB20" s="481">
        <f t="shared" si="24"/>
        <v>23809</v>
      </c>
      <c r="AC20" s="482">
        <v>23836</v>
      </c>
      <c r="AD20" s="484">
        <f t="shared" si="25"/>
        <v>27</v>
      </c>
      <c r="AE20" s="212">
        <f t="shared" si="28"/>
        <v>0</v>
      </c>
      <c r="AF20" s="309"/>
      <c r="AG20" s="386">
        <f t="shared" si="18"/>
        <v>0</v>
      </c>
      <c r="AH20" s="212">
        <f t="shared" si="8"/>
        <v>39092</v>
      </c>
      <c r="AI20" s="309">
        <v>39092</v>
      </c>
      <c r="AJ20" s="386">
        <f>IF((AI20-AI19)&lt;0,"0",(AI20-AI19))</f>
        <v>0</v>
      </c>
      <c r="AK20" s="212">
        <f t="shared" si="9"/>
        <v>0</v>
      </c>
      <c r="AL20" s="308"/>
      <c r="AM20" s="386">
        <f t="shared" si="32"/>
        <v>0</v>
      </c>
      <c r="AN20" s="687">
        <f t="shared" si="21"/>
        <v>66</v>
      </c>
    </row>
    <row r="21" spans="1:40" ht="23.1" customHeight="1" x14ac:dyDescent="0.3">
      <c r="A21" s="46">
        <f>Gen!B26</f>
        <v>44577</v>
      </c>
      <c r="B21" s="4"/>
      <c r="C21" s="79">
        <f t="shared" si="0"/>
        <v>278837</v>
      </c>
      <c r="D21" s="1">
        <v>278911</v>
      </c>
      <c r="E21" s="385">
        <f t="shared" si="31"/>
        <v>74</v>
      </c>
      <c r="F21" s="79">
        <f t="shared" si="1"/>
        <v>0</v>
      </c>
      <c r="G21" s="739"/>
      <c r="H21" s="385">
        <f t="shared" si="10"/>
        <v>0</v>
      </c>
      <c r="I21" s="79">
        <f t="shared" si="2"/>
        <v>9000</v>
      </c>
      <c r="J21" s="1">
        <v>9002</v>
      </c>
      <c r="K21" s="385">
        <f t="shared" si="29"/>
        <v>2</v>
      </c>
      <c r="L21" s="79">
        <f t="shared" si="3"/>
        <v>0</v>
      </c>
      <c r="M21" s="1"/>
      <c r="N21" s="385">
        <f t="shared" si="12"/>
        <v>0</v>
      </c>
      <c r="O21" s="79">
        <f t="shared" si="4"/>
        <v>23088</v>
      </c>
      <c r="P21" s="730">
        <v>23096</v>
      </c>
      <c r="Q21" s="385">
        <f t="shared" si="13"/>
        <v>8</v>
      </c>
      <c r="R21" s="847">
        <f t="shared" si="23"/>
        <v>10</v>
      </c>
      <c r="S21" s="212">
        <f>T22</f>
        <v>81582</v>
      </c>
      <c r="T21" s="731">
        <v>81582</v>
      </c>
      <c r="U21" s="386">
        <f t="shared" si="27"/>
        <v>0</v>
      </c>
      <c r="V21" s="212">
        <f t="shared" ref="V21:V35" si="33">W20</f>
        <v>0</v>
      </c>
      <c r="W21" s="308"/>
      <c r="X21" s="386">
        <f t="shared" si="16"/>
        <v>0</v>
      </c>
      <c r="Y21" s="212">
        <f t="shared" si="6"/>
        <v>98427</v>
      </c>
      <c r="Z21" s="308">
        <v>98463</v>
      </c>
      <c r="AA21" s="386">
        <f t="shared" si="17"/>
        <v>36</v>
      </c>
      <c r="AB21" s="481">
        <f t="shared" si="24"/>
        <v>23836</v>
      </c>
      <c r="AC21" s="482">
        <v>23861</v>
      </c>
      <c r="AD21" s="484">
        <f t="shared" si="25"/>
        <v>25</v>
      </c>
      <c r="AE21" s="212">
        <f t="shared" si="7"/>
        <v>0</v>
      </c>
      <c r="AF21" s="309"/>
      <c r="AG21" s="386">
        <f t="shared" si="18"/>
        <v>0</v>
      </c>
      <c r="AH21" s="212">
        <f t="shared" si="8"/>
        <v>39092</v>
      </c>
      <c r="AI21" s="309">
        <v>39092</v>
      </c>
      <c r="AJ21" s="386">
        <f t="shared" si="19"/>
        <v>0</v>
      </c>
      <c r="AK21" s="212">
        <f t="shared" si="9"/>
        <v>0</v>
      </c>
      <c r="AL21" s="308"/>
      <c r="AM21" s="386">
        <f t="shared" si="32"/>
        <v>0</v>
      </c>
      <c r="AN21" s="687">
        <f t="shared" si="21"/>
        <v>61</v>
      </c>
    </row>
    <row r="22" spans="1:40" ht="23.1" customHeight="1" x14ac:dyDescent="0.3">
      <c r="A22" s="46">
        <f>Gen!B27</f>
        <v>44578</v>
      </c>
      <c r="B22" s="4"/>
      <c r="C22" s="79">
        <f t="shared" si="0"/>
        <v>278911</v>
      </c>
      <c r="D22" s="1">
        <v>278979</v>
      </c>
      <c r="E22" s="385">
        <f t="shared" si="31"/>
        <v>68</v>
      </c>
      <c r="F22" s="79">
        <f t="shared" si="1"/>
        <v>0</v>
      </c>
      <c r="G22" s="739"/>
      <c r="H22" s="385">
        <f t="shared" si="10"/>
        <v>0</v>
      </c>
      <c r="I22" s="79">
        <f t="shared" si="2"/>
        <v>9002</v>
      </c>
      <c r="J22" s="1">
        <v>9004</v>
      </c>
      <c r="K22" s="385">
        <f>IF((J22-J21)&lt;0,"0",(J22-J21))</f>
        <v>2</v>
      </c>
      <c r="L22" s="79">
        <f t="shared" si="3"/>
        <v>0</v>
      </c>
      <c r="M22" s="1"/>
      <c r="N22" s="385">
        <f t="shared" si="12"/>
        <v>0</v>
      </c>
      <c r="O22" s="79">
        <f t="shared" si="4"/>
        <v>23096</v>
      </c>
      <c r="P22" s="730">
        <v>23103</v>
      </c>
      <c r="Q22" s="385">
        <f t="shared" si="13"/>
        <v>7</v>
      </c>
      <c r="R22" s="847">
        <f t="shared" si="23"/>
        <v>9</v>
      </c>
      <c r="S22" s="212">
        <f t="shared" si="14"/>
        <v>81582</v>
      </c>
      <c r="T22" s="731">
        <v>81582</v>
      </c>
      <c r="U22" s="386">
        <f t="shared" si="27"/>
        <v>0</v>
      </c>
      <c r="V22" s="212">
        <f t="shared" si="33"/>
        <v>0</v>
      </c>
      <c r="W22" s="308"/>
      <c r="X22" s="386">
        <f t="shared" si="16"/>
        <v>0</v>
      </c>
      <c r="Y22" s="212">
        <f t="shared" si="6"/>
        <v>98463</v>
      </c>
      <c r="Z22" s="308">
        <v>98499</v>
      </c>
      <c r="AA22" s="386">
        <f t="shared" si="17"/>
        <v>36</v>
      </c>
      <c r="AB22" s="481">
        <f t="shared" si="24"/>
        <v>23861</v>
      </c>
      <c r="AC22" s="482">
        <v>23886</v>
      </c>
      <c r="AD22" s="484">
        <f t="shared" si="25"/>
        <v>25</v>
      </c>
      <c r="AE22" s="212">
        <f t="shared" si="7"/>
        <v>0</v>
      </c>
      <c r="AF22" s="309"/>
      <c r="AG22" s="386">
        <f t="shared" si="18"/>
        <v>0</v>
      </c>
      <c r="AH22" s="212">
        <f t="shared" si="8"/>
        <v>39092</v>
      </c>
      <c r="AI22" s="309">
        <v>39092</v>
      </c>
      <c r="AJ22" s="386">
        <f t="shared" si="19"/>
        <v>0</v>
      </c>
      <c r="AK22" s="212">
        <f t="shared" si="9"/>
        <v>0</v>
      </c>
      <c r="AL22" s="308"/>
      <c r="AM22" s="386">
        <f t="shared" si="32"/>
        <v>0</v>
      </c>
      <c r="AN22" s="687">
        <f t="shared" si="21"/>
        <v>61</v>
      </c>
    </row>
    <row r="23" spans="1:40" ht="23.1" customHeight="1" x14ac:dyDescent="0.3">
      <c r="A23" s="46">
        <f>Gen!B28</f>
        <v>44579</v>
      </c>
      <c r="B23" s="4"/>
      <c r="C23" s="79">
        <f t="shared" si="0"/>
        <v>278979</v>
      </c>
      <c r="D23" s="1">
        <v>279041</v>
      </c>
      <c r="E23" s="385">
        <f t="shared" si="31"/>
        <v>62</v>
      </c>
      <c r="F23" s="79">
        <f t="shared" si="1"/>
        <v>0</v>
      </c>
      <c r="G23" s="739"/>
      <c r="H23" s="385">
        <f t="shared" si="10"/>
        <v>0</v>
      </c>
      <c r="I23" s="79">
        <f>J22</f>
        <v>9004</v>
      </c>
      <c r="J23" s="1">
        <v>9006</v>
      </c>
      <c r="K23" s="385">
        <f>IF((J23-J22)&lt;0,"0",(J23-J22))</f>
        <v>2</v>
      </c>
      <c r="L23" s="79">
        <f t="shared" si="3"/>
        <v>0</v>
      </c>
      <c r="M23" s="1"/>
      <c r="N23" s="385">
        <f t="shared" si="12"/>
        <v>0</v>
      </c>
      <c r="O23" s="79">
        <f t="shared" si="4"/>
        <v>23103</v>
      </c>
      <c r="P23" s="730">
        <v>23111</v>
      </c>
      <c r="Q23" s="385">
        <f>IF((P23-P22)&lt;0,"0",(P23-P22))</f>
        <v>8</v>
      </c>
      <c r="R23" s="847">
        <f t="shared" si="23"/>
        <v>10</v>
      </c>
      <c r="S23" s="212">
        <f>T22</f>
        <v>81582</v>
      </c>
      <c r="T23" s="731">
        <v>81582</v>
      </c>
      <c r="U23" s="386"/>
      <c r="V23" s="212">
        <f t="shared" si="33"/>
        <v>0</v>
      </c>
      <c r="W23" s="308"/>
      <c r="X23" s="386">
        <f t="shared" si="16"/>
        <v>0</v>
      </c>
      <c r="Y23" s="212">
        <f t="shared" si="6"/>
        <v>98499</v>
      </c>
      <c r="Z23" s="308">
        <v>98536</v>
      </c>
      <c r="AA23" s="386">
        <f t="shared" si="17"/>
        <v>37</v>
      </c>
      <c r="AB23" s="481">
        <f t="shared" si="24"/>
        <v>23886</v>
      </c>
      <c r="AC23" s="482">
        <v>23912</v>
      </c>
      <c r="AD23" s="484">
        <f t="shared" si="25"/>
        <v>26</v>
      </c>
      <c r="AE23" s="212">
        <f t="shared" si="7"/>
        <v>0</v>
      </c>
      <c r="AF23" s="309"/>
      <c r="AG23" s="386">
        <f t="shared" si="18"/>
        <v>0</v>
      </c>
      <c r="AH23" s="212">
        <f t="shared" si="8"/>
        <v>39092</v>
      </c>
      <c r="AI23" s="309">
        <v>39092</v>
      </c>
      <c r="AJ23" s="386">
        <f t="shared" si="19"/>
        <v>0</v>
      </c>
      <c r="AK23" s="212">
        <f t="shared" si="9"/>
        <v>0</v>
      </c>
      <c r="AL23" s="308"/>
      <c r="AM23" s="386">
        <f t="shared" si="32"/>
        <v>0</v>
      </c>
      <c r="AN23" s="687">
        <f t="shared" si="21"/>
        <v>63</v>
      </c>
    </row>
    <row r="24" spans="1:40" ht="23.1" customHeight="1" x14ac:dyDescent="0.3">
      <c r="A24" s="46">
        <f>Gen!B29</f>
        <v>44580</v>
      </c>
      <c r="B24" s="4"/>
      <c r="C24" s="79">
        <f t="shared" si="0"/>
        <v>279041</v>
      </c>
      <c r="D24" s="1">
        <v>279111</v>
      </c>
      <c r="E24" s="385">
        <f t="shared" si="31"/>
        <v>70</v>
      </c>
      <c r="F24" s="79">
        <f t="shared" si="1"/>
        <v>0</v>
      </c>
      <c r="G24" s="739"/>
      <c r="H24" s="385">
        <f>IF((G24-G23)&lt;0,"0",(G24-G23))</f>
        <v>0</v>
      </c>
      <c r="I24" s="79">
        <f>J23</f>
        <v>9006</v>
      </c>
      <c r="J24">
        <v>9008</v>
      </c>
      <c r="K24" s="385">
        <f>IF((J24-J23)&lt;0,"0",(J24-J23))</f>
        <v>2</v>
      </c>
      <c r="L24" s="79">
        <f t="shared" si="3"/>
        <v>0</v>
      </c>
      <c r="M24" s="1"/>
      <c r="N24" s="385">
        <f t="shared" si="12"/>
        <v>0</v>
      </c>
      <c r="O24" s="79">
        <f t="shared" si="4"/>
        <v>23111</v>
      </c>
      <c r="P24" s="730">
        <v>23117</v>
      </c>
      <c r="Q24" s="385">
        <f t="shared" si="13"/>
        <v>6</v>
      </c>
      <c r="R24" s="847">
        <f t="shared" si="23"/>
        <v>8</v>
      </c>
      <c r="S24" s="212">
        <f t="shared" si="14"/>
        <v>81582</v>
      </c>
      <c r="T24" s="731">
        <v>82210</v>
      </c>
      <c r="U24" s="386" t="str">
        <f>IF((T24-T25)&lt;0,"0",(T24-T25))</f>
        <v>0</v>
      </c>
      <c r="V24" s="212">
        <f t="shared" si="33"/>
        <v>0</v>
      </c>
      <c r="W24" s="308"/>
      <c r="X24" s="386">
        <f t="shared" si="16"/>
        <v>0</v>
      </c>
      <c r="Y24" s="212">
        <f t="shared" si="6"/>
        <v>98536</v>
      </c>
      <c r="Z24" s="308">
        <v>98575</v>
      </c>
      <c r="AA24" s="386">
        <f t="shared" si="17"/>
        <v>39</v>
      </c>
      <c r="AB24" s="481">
        <f t="shared" si="24"/>
        <v>23912</v>
      </c>
      <c r="AC24" s="482">
        <v>23925</v>
      </c>
      <c r="AD24" s="484">
        <f t="shared" si="25"/>
        <v>13</v>
      </c>
      <c r="AE24" s="212">
        <f t="shared" si="7"/>
        <v>0</v>
      </c>
      <c r="AG24" s="386">
        <f t="shared" si="18"/>
        <v>0</v>
      </c>
      <c r="AH24" s="212">
        <f t="shared" si="8"/>
        <v>39092</v>
      </c>
      <c r="AI24" s="309">
        <v>39092</v>
      </c>
      <c r="AJ24" s="386">
        <f t="shared" si="19"/>
        <v>0</v>
      </c>
      <c r="AK24" s="212">
        <f t="shared" si="9"/>
        <v>0</v>
      </c>
      <c r="AL24" s="308"/>
      <c r="AM24" s="386">
        <f t="shared" si="32"/>
        <v>0</v>
      </c>
      <c r="AN24" s="687">
        <f t="shared" si="21"/>
        <v>52</v>
      </c>
    </row>
    <row r="25" spans="1:40" ht="23.1" customHeight="1" x14ac:dyDescent="0.3">
      <c r="A25" s="46">
        <f>Gen!B30</f>
        <v>44581</v>
      </c>
      <c r="B25" s="4"/>
      <c r="C25" s="79">
        <f>D24</f>
        <v>279111</v>
      </c>
      <c r="D25" s="1">
        <v>279199</v>
      </c>
      <c r="E25" s="385">
        <f>IF((D25-D24)&lt;0,"0",(D25-D24))</f>
        <v>88</v>
      </c>
      <c r="F25" s="79">
        <f t="shared" si="1"/>
        <v>0</v>
      </c>
      <c r="G25" s="739"/>
      <c r="H25" s="385">
        <f>IF((G26-G24)&lt;0,"0",(G26-G24))</f>
        <v>0</v>
      </c>
      <c r="I25" s="79">
        <f>J24</f>
        <v>9008</v>
      </c>
      <c r="J25" s="1">
        <v>9010</v>
      </c>
      <c r="K25" s="385">
        <f>IF((J25-J24)&lt;0,"0",(J25-J24))</f>
        <v>2</v>
      </c>
      <c r="L25" s="79">
        <f t="shared" ref="L25:L37" si="34">M24</f>
        <v>0</v>
      </c>
      <c r="M25" s="1"/>
      <c r="N25" s="385">
        <f t="shared" ref="N25:N37" si="35">IF((M25-M24)&lt;0,"0",(M25-M24))</f>
        <v>0</v>
      </c>
      <c r="O25" s="79">
        <f t="shared" si="4"/>
        <v>23117</v>
      </c>
      <c r="P25" s="730">
        <v>23124</v>
      </c>
      <c r="Q25" s="385">
        <f t="shared" si="13"/>
        <v>7</v>
      </c>
      <c r="R25" s="847">
        <f t="shared" si="23"/>
        <v>9</v>
      </c>
      <c r="S25" s="212">
        <f t="shared" si="14"/>
        <v>82210</v>
      </c>
      <c r="T25" s="731">
        <v>82290</v>
      </c>
      <c r="U25" s="386">
        <f t="shared" si="15"/>
        <v>80</v>
      </c>
      <c r="V25" s="212">
        <f t="shared" si="33"/>
        <v>0</v>
      </c>
      <c r="W25" s="308"/>
      <c r="X25" s="386">
        <f t="shared" si="16"/>
        <v>0</v>
      </c>
      <c r="Y25" s="212">
        <f t="shared" si="6"/>
        <v>98575</v>
      </c>
      <c r="Z25" s="308">
        <v>98614</v>
      </c>
      <c r="AA25" s="386">
        <f t="shared" si="17"/>
        <v>39</v>
      </c>
      <c r="AB25" s="481">
        <f>AC24</f>
        <v>23925</v>
      </c>
      <c r="AC25" s="482">
        <v>23939</v>
      </c>
      <c r="AD25" s="484">
        <f t="shared" si="25"/>
        <v>14</v>
      </c>
      <c r="AE25" s="212">
        <f t="shared" si="7"/>
        <v>0</v>
      </c>
      <c r="AF25" s="309"/>
      <c r="AG25" s="386">
        <f t="shared" si="18"/>
        <v>0</v>
      </c>
      <c r="AH25" s="212">
        <f t="shared" si="8"/>
        <v>39092</v>
      </c>
      <c r="AI25" s="309">
        <v>39092</v>
      </c>
      <c r="AJ25" s="386">
        <f t="shared" si="19"/>
        <v>0</v>
      </c>
      <c r="AK25" s="212">
        <f t="shared" si="9"/>
        <v>0</v>
      </c>
      <c r="AL25" s="308"/>
      <c r="AM25" s="386">
        <f t="shared" si="32"/>
        <v>0</v>
      </c>
      <c r="AN25" s="687">
        <f t="shared" si="21"/>
        <v>133</v>
      </c>
    </row>
    <row r="26" spans="1:40" ht="23.1" customHeight="1" x14ac:dyDescent="0.3">
      <c r="A26" s="46">
        <f>Gen!B31</f>
        <v>44582</v>
      </c>
      <c r="B26" s="4"/>
      <c r="C26" s="79">
        <f>D25</f>
        <v>279199</v>
      </c>
      <c r="D26" s="1">
        <v>279280</v>
      </c>
      <c r="E26" s="385">
        <f>IF((D26-D25)&lt;0,"0",(D26-D25))</f>
        <v>81</v>
      </c>
      <c r="F26" s="79">
        <f>G26</f>
        <v>0</v>
      </c>
      <c r="G26" s="739"/>
      <c r="H26" s="385">
        <f t="shared" ref="H26:H27" si="36">IF((G27-G25)&lt;0,"0",(G27-G25))</f>
        <v>0</v>
      </c>
      <c r="I26" s="79">
        <f>J25</f>
        <v>9010</v>
      </c>
      <c r="J26" s="1">
        <v>9012</v>
      </c>
      <c r="K26" s="385">
        <f>IF((J26-J25)&lt;0,"0",(J26-J25))</f>
        <v>2</v>
      </c>
      <c r="L26" s="79">
        <f t="shared" si="34"/>
        <v>0</v>
      </c>
      <c r="M26" s="1"/>
      <c r="N26" s="385">
        <f t="shared" si="35"/>
        <v>0</v>
      </c>
      <c r="O26" s="79">
        <f t="shared" ref="O26:O37" si="37">P25</f>
        <v>23124</v>
      </c>
      <c r="P26" s="730">
        <v>23132</v>
      </c>
      <c r="Q26" s="385">
        <f t="shared" si="13"/>
        <v>8</v>
      </c>
      <c r="R26" s="847">
        <f t="shared" si="23"/>
        <v>10</v>
      </c>
      <c r="S26" s="212">
        <f t="shared" si="14"/>
        <v>82290</v>
      </c>
      <c r="T26" s="731">
        <v>82368</v>
      </c>
      <c r="U26" s="386">
        <f t="shared" si="15"/>
        <v>78</v>
      </c>
      <c r="V26" s="212">
        <f t="shared" si="33"/>
        <v>0</v>
      </c>
      <c r="W26" s="308"/>
      <c r="X26" s="386">
        <f t="shared" si="16"/>
        <v>0</v>
      </c>
      <c r="Y26" s="212">
        <f t="shared" si="6"/>
        <v>98614</v>
      </c>
      <c r="Z26" s="308">
        <v>98653</v>
      </c>
      <c r="AA26" s="386">
        <f t="shared" si="17"/>
        <v>39</v>
      </c>
      <c r="AB26" s="481">
        <f t="shared" si="24"/>
        <v>23939</v>
      </c>
      <c r="AC26" s="482">
        <v>23952</v>
      </c>
      <c r="AD26" s="484">
        <f t="shared" si="25"/>
        <v>13</v>
      </c>
      <c r="AE26" s="212">
        <f t="shared" si="7"/>
        <v>0</v>
      </c>
      <c r="AF26" s="309"/>
      <c r="AG26" s="386">
        <f t="shared" si="18"/>
        <v>0</v>
      </c>
      <c r="AH26" s="212">
        <f t="shared" si="8"/>
        <v>39092</v>
      </c>
      <c r="AI26" s="309">
        <v>39100</v>
      </c>
      <c r="AJ26" s="386">
        <f t="shared" si="19"/>
        <v>8</v>
      </c>
      <c r="AK26" s="212">
        <f t="shared" si="9"/>
        <v>0</v>
      </c>
      <c r="AL26" s="308"/>
      <c r="AM26" s="386">
        <f t="shared" si="32"/>
        <v>0</v>
      </c>
      <c r="AN26" s="687">
        <f t="shared" si="21"/>
        <v>138</v>
      </c>
    </row>
    <row r="27" spans="1:40" ht="23.1" customHeight="1" x14ac:dyDescent="0.3">
      <c r="A27" s="46">
        <f>Gen!B32</f>
        <v>44583</v>
      </c>
      <c r="B27" s="4"/>
      <c r="C27" s="79">
        <f>D26</f>
        <v>279280</v>
      </c>
      <c r="D27" s="1">
        <v>279351</v>
      </c>
      <c r="E27" s="385">
        <f>IF((D27-D26)&lt;0,"0",(D27-D26))</f>
        <v>71</v>
      </c>
      <c r="F27" s="79">
        <f t="shared" ref="F27:F31" si="38">G27</f>
        <v>0</v>
      </c>
      <c r="G27" s="739"/>
      <c r="H27" s="385">
        <f t="shared" si="36"/>
        <v>0</v>
      </c>
      <c r="I27" s="79">
        <f t="shared" ref="I27:I37" si="39">J26</f>
        <v>9012</v>
      </c>
      <c r="J27" s="1">
        <v>9014</v>
      </c>
      <c r="K27" s="385">
        <f t="shared" si="29"/>
        <v>2</v>
      </c>
      <c r="L27" s="79">
        <f t="shared" si="34"/>
        <v>0</v>
      </c>
      <c r="M27" s="1"/>
      <c r="N27" s="385">
        <f t="shared" si="35"/>
        <v>0</v>
      </c>
      <c r="O27" s="79">
        <f t="shared" si="37"/>
        <v>23132</v>
      </c>
      <c r="P27" s="730">
        <v>23136</v>
      </c>
      <c r="Q27" s="385">
        <f t="shared" si="13"/>
        <v>4</v>
      </c>
      <c r="R27" s="847">
        <f t="shared" si="23"/>
        <v>6</v>
      </c>
      <c r="S27" s="212">
        <f t="shared" si="14"/>
        <v>82368</v>
      </c>
      <c r="T27" s="731">
        <v>82448</v>
      </c>
      <c r="U27" s="386">
        <f t="shared" si="15"/>
        <v>80</v>
      </c>
      <c r="V27" s="212">
        <f t="shared" si="33"/>
        <v>0</v>
      </c>
      <c r="W27" s="308"/>
      <c r="X27" s="386">
        <f t="shared" si="16"/>
        <v>0</v>
      </c>
      <c r="Y27" s="212">
        <f t="shared" si="6"/>
        <v>98653</v>
      </c>
      <c r="Z27" s="308">
        <v>98690</v>
      </c>
      <c r="AA27" s="386">
        <f>IF((Z27-Z26)&lt;0,"0",(Z27-Z26))</f>
        <v>37</v>
      </c>
      <c r="AB27" s="481">
        <f t="shared" si="24"/>
        <v>23952</v>
      </c>
      <c r="AC27" s="482">
        <v>23966</v>
      </c>
      <c r="AD27" s="484">
        <f t="shared" si="25"/>
        <v>14</v>
      </c>
      <c r="AE27" s="212">
        <f t="shared" si="7"/>
        <v>0</v>
      </c>
      <c r="AF27" s="309"/>
      <c r="AG27" s="386">
        <f t="shared" si="18"/>
        <v>0</v>
      </c>
      <c r="AH27" s="212">
        <f t="shared" si="8"/>
        <v>39100</v>
      </c>
      <c r="AI27" s="309">
        <v>39100</v>
      </c>
      <c r="AJ27" s="386">
        <f t="shared" si="19"/>
        <v>0</v>
      </c>
      <c r="AK27" s="212">
        <f t="shared" si="9"/>
        <v>0</v>
      </c>
      <c r="AL27" s="308"/>
      <c r="AM27" s="386">
        <f t="shared" si="20"/>
        <v>0</v>
      </c>
      <c r="AN27" s="687">
        <f t="shared" si="21"/>
        <v>131</v>
      </c>
    </row>
    <row r="28" spans="1:40" ht="23.1" customHeight="1" x14ac:dyDescent="0.3">
      <c r="A28" s="46">
        <f>Gen!B33</f>
        <v>44584</v>
      </c>
      <c r="B28" s="4"/>
      <c r="C28" s="79">
        <f t="shared" ref="C28:C37" si="40">D27</f>
        <v>279351</v>
      </c>
      <c r="D28" s="1">
        <v>279413</v>
      </c>
      <c r="E28" s="385">
        <f t="shared" si="31"/>
        <v>62</v>
      </c>
      <c r="F28" s="79">
        <f t="shared" si="38"/>
        <v>0</v>
      </c>
      <c r="G28" s="739"/>
      <c r="H28" s="385">
        <f t="shared" ref="H28:H37" si="41">IF((G28-G27)&lt;0,"0",(G28-G27))</f>
        <v>0</v>
      </c>
      <c r="I28" s="79">
        <f t="shared" si="39"/>
        <v>9014</v>
      </c>
      <c r="J28" s="1">
        <v>9016</v>
      </c>
      <c r="K28" s="385">
        <f>IF((J28-J27)&lt;0,"0",(J28-J27))</f>
        <v>2</v>
      </c>
      <c r="L28" s="79">
        <f t="shared" si="34"/>
        <v>0</v>
      </c>
      <c r="M28" s="1"/>
      <c r="N28" s="385">
        <f t="shared" si="35"/>
        <v>0</v>
      </c>
      <c r="O28" s="79">
        <f t="shared" si="37"/>
        <v>23136</v>
      </c>
      <c r="P28" s="730">
        <v>23139</v>
      </c>
      <c r="Q28" s="385">
        <f t="shared" ref="Q28:Q37" si="42">IF((P28-P27)&lt;0,"0",(P28-P27))</f>
        <v>3</v>
      </c>
      <c r="R28" s="847">
        <f t="shared" si="23"/>
        <v>5</v>
      </c>
      <c r="S28" s="212">
        <f t="shared" si="14"/>
        <v>82448</v>
      </c>
      <c r="T28" s="731">
        <v>82482</v>
      </c>
      <c r="U28" s="386">
        <f t="shared" si="15"/>
        <v>34</v>
      </c>
      <c r="V28" s="212">
        <f t="shared" si="33"/>
        <v>0</v>
      </c>
      <c r="W28" s="308"/>
      <c r="X28" s="386">
        <f t="shared" si="16"/>
        <v>0</v>
      </c>
      <c r="Y28" s="212">
        <f t="shared" si="6"/>
        <v>98690</v>
      </c>
      <c r="Z28" s="308">
        <v>98729</v>
      </c>
      <c r="AA28" s="386">
        <f t="shared" si="17"/>
        <v>39</v>
      </c>
      <c r="AB28" s="481">
        <f t="shared" si="24"/>
        <v>23966</v>
      </c>
      <c r="AC28" s="482">
        <v>23984</v>
      </c>
      <c r="AD28" s="484">
        <f t="shared" si="25"/>
        <v>18</v>
      </c>
      <c r="AE28" s="212">
        <f t="shared" si="7"/>
        <v>0</v>
      </c>
      <c r="AF28" s="309"/>
      <c r="AG28" s="386">
        <f t="shared" si="18"/>
        <v>0</v>
      </c>
      <c r="AH28" s="212">
        <f t="shared" si="8"/>
        <v>39100</v>
      </c>
      <c r="AI28" s="309">
        <v>39100</v>
      </c>
      <c r="AJ28" s="386">
        <f t="shared" si="19"/>
        <v>0</v>
      </c>
      <c r="AK28" s="212">
        <f t="shared" si="9"/>
        <v>0</v>
      </c>
      <c r="AL28" s="308"/>
      <c r="AM28" s="386">
        <f t="shared" si="20"/>
        <v>0</v>
      </c>
      <c r="AN28" s="687">
        <f t="shared" si="21"/>
        <v>91</v>
      </c>
    </row>
    <row r="29" spans="1:40" ht="23.1" customHeight="1" x14ac:dyDescent="0.3">
      <c r="A29" s="46">
        <f>Gen!B34</f>
        <v>44585</v>
      </c>
      <c r="B29" s="4"/>
      <c r="C29" s="79">
        <f t="shared" si="40"/>
        <v>279413</v>
      </c>
      <c r="D29" s="1">
        <v>279488</v>
      </c>
      <c r="E29" s="385">
        <f t="shared" si="31"/>
        <v>75</v>
      </c>
      <c r="F29" s="79">
        <f t="shared" si="38"/>
        <v>0</v>
      </c>
      <c r="G29" s="739"/>
      <c r="H29" s="385">
        <f t="shared" si="41"/>
        <v>0</v>
      </c>
      <c r="I29" s="79">
        <f t="shared" si="39"/>
        <v>9016</v>
      </c>
      <c r="J29" s="1">
        <v>9019</v>
      </c>
      <c r="K29" s="385">
        <f t="shared" ref="K29:K37" si="43">IF((J29-J28)&lt;0,"0",(J29-J28))</f>
        <v>3</v>
      </c>
      <c r="L29" s="79">
        <f t="shared" si="34"/>
        <v>0</v>
      </c>
      <c r="M29" s="1"/>
      <c r="N29" s="385">
        <f t="shared" si="35"/>
        <v>0</v>
      </c>
      <c r="O29" s="79">
        <f t="shared" si="37"/>
        <v>23139</v>
      </c>
      <c r="P29" s="307">
        <v>23148</v>
      </c>
      <c r="Q29" s="385">
        <f t="shared" si="42"/>
        <v>9</v>
      </c>
      <c r="R29" s="847">
        <f t="shared" si="23"/>
        <v>12</v>
      </c>
      <c r="S29" s="212">
        <f t="shared" si="14"/>
        <v>82482</v>
      </c>
      <c r="T29" s="731">
        <v>82482</v>
      </c>
      <c r="U29" s="386">
        <f t="shared" si="15"/>
        <v>0</v>
      </c>
      <c r="V29" s="212">
        <f t="shared" si="33"/>
        <v>0</v>
      </c>
      <c r="W29" s="308"/>
      <c r="X29" s="386">
        <f t="shared" si="16"/>
        <v>0</v>
      </c>
      <c r="Y29" s="212">
        <f t="shared" si="6"/>
        <v>98729</v>
      </c>
      <c r="Z29" s="308">
        <v>98768</v>
      </c>
      <c r="AA29" s="386">
        <f t="shared" si="17"/>
        <v>39</v>
      </c>
      <c r="AB29" s="481">
        <f t="shared" si="24"/>
        <v>23984</v>
      </c>
      <c r="AC29" s="482">
        <v>24000</v>
      </c>
      <c r="AD29" s="484">
        <f t="shared" si="25"/>
        <v>16</v>
      </c>
      <c r="AE29" s="212">
        <f t="shared" si="7"/>
        <v>0</v>
      </c>
      <c r="AF29" s="309"/>
      <c r="AG29" s="386">
        <f t="shared" si="18"/>
        <v>0</v>
      </c>
      <c r="AH29" s="212">
        <f t="shared" si="8"/>
        <v>39100</v>
      </c>
      <c r="AI29" s="309">
        <v>39100</v>
      </c>
      <c r="AJ29" s="386">
        <f t="shared" si="19"/>
        <v>0</v>
      </c>
      <c r="AK29" s="212">
        <f t="shared" si="9"/>
        <v>0</v>
      </c>
      <c r="AL29" s="308"/>
      <c r="AM29" s="386">
        <f t="shared" si="20"/>
        <v>0</v>
      </c>
      <c r="AN29" s="687">
        <f t="shared" si="21"/>
        <v>55</v>
      </c>
    </row>
    <row r="30" spans="1:40" ht="23.1" customHeight="1" x14ac:dyDescent="0.3">
      <c r="A30" s="46">
        <f>Gen!B35</f>
        <v>44586</v>
      </c>
      <c r="B30" s="4"/>
      <c r="C30" s="79">
        <f t="shared" si="40"/>
        <v>279488</v>
      </c>
      <c r="D30" s="1">
        <v>279648</v>
      </c>
      <c r="E30" s="385">
        <f t="shared" si="31"/>
        <v>160</v>
      </c>
      <c r="F30" s="79">
        <f t="shared" si="38"/>
        <v>0</v>
      </c>
      <c r="G30" s="739"/>
      <c r="H30" s="385">
        <f t="shared" si="41"/>
        <v>0</v>
      </c>
      <c r="I30" s="79">
        <f t="shared" si="39"/>
        <v>9019</v>
      </c>
      <c r="J30" s="1">
        <v>9021</v>
      </c>
      <c r="K30" s="385">
        <f>IF((J30-J29)&lt;0,"0",(J30-J29))</f>
        <v>2</v>
      </c>
      <c r="L30" s="79">
        <f t="shared" si="34"/>
        <v>0</v>
      </c>
      <c r="M30" s="1"/>
      <c r="N30" s="385">
        <f t="shared" si="35"/>
        <v>0</v>
      </c>
      <c r="O30" s="79">
        <f t="shared" si="37"/>
        <v>23148</v>
      </c>
      <c r="P30" s="307">
        <v>23155</v>
      </c>
      <c r="Q30" s="385">
        <f t="shared" si="42"/>
        <v>7</v>
      </c>
      <c r="R30" s="847">
        <f t="shared" si="23"/>
        <v>9</v>
      </c>
      <c r="S30" s="212">
        <f t="shared" si="14"/>
        <v>82482</v>
      </c>
      <c r="T30" s="731">
        <v>82482</v>
      </c>
      <c r="U30" s="386">
        <f t="shared" si="15"/>
        <v>0</v>
      </c>
      <c r="V30" s="212">
        <f t="shared" si="33"/>
        <v>0</v>
      </c>
      <c r="W30" s="308"/>
      <c r="X30" s="386">
        <f t="shared" si="16"/>
        <v>0</v>
      </c>
      <c r="Y30" s="212">
        <f t="shared" si="6"/>
        <v>98768</v>
      </c>
      <c r="Z30" s="308">
        <v>98804</v>
      </c>
      <c r="AA30" s="386">
        <f t="shared" si="17"/>
        <v>36</v>
      </c>
      <c r="AB30" s="481">
        <f t="shared" si="24"/>
        <v>24000</v>
      </c>
      <c r="AC30" s="482">
        <v>24017</v>
      </c>
      <c r="AD30" s="484">
        <f t="shared" si="25"/>
        <v>17</v>
      </c>
      <c r="AE30" s="212">
        <f t="shared" si="7"/>
        <v>0</v>
      </c>
      <c r="AF30" s="309"/>
      <c r="AG30" s="386">
        <f t="shared" si="18"/>
        <v>0</v>
      </c>
      <c r="AH30" s="212">
        <f t="shared" si="8"/>
        <v>39100</v>
      </c>
      <c r="AI30" s="309">
        <v>39100</v>
      </c>
      <c r="AJ30" s="386">
        <f t="shared" si="19"/>
        <v>0</v>
      </c>
      <c r="AK30" s="212">
        <f t="shared" si="9"/>
        <v>0</v>
      </c>
      <c r="AL30" s="308"/>
      <c r="AM30" s="386">
        <f t="shared" si="20"/>
        <v>0</v>
      </c>
      <c r="AN30" s="687">
        <f t="shared" si="21"/>
        <v>53</v>
      </c>
    </row>
    <row r="31" spans="1:40" ht="23.1" customHeight="1" x14ac:dyDescent="0.3">
      <c r="A31" s="46">
        <f>Gen!B36</f>
        <v>44587</v>
      </c>
      <c r="B31" s="4"/>
      <c r="C31" s="79">
        <f t="shared" si="40"/>
        <v>279648</v>
      </c>
      <c r="D31" s="1">
        <v>279714</v>
      </c>
      <c r="E31" s="385">
        <f>IF((D31-D30)&lt;0,"0",(D31-D30))</f>
        <v>66</v>
      </c>
      <c r="F31" s="79">
        <f t="shared" si="38"/>
        <v>0</v>
      </c>
      <c r="G31" s="739"/>
      <c r="H31" s="385">
        <f t="shared" si="41"/>
        <v>0</v>
      </c>
      <c r="I31" s="79">
        <f t="shared" si="39"/>
        <v>9021</v>
      </c>
      <c r="J31" s="1">
        <v>9023</v>
      </c>
      <c r="K31" s="385">
        <f t="shared" si="43"/>
        <v>2</v>
      </c>
      <c r="L31" s="79">
        <f t="shared" si="34"/>
        <v>0</v>
      </c>
      <c r="M31" s="1"/>
      <c r="N31" s="385">
        <f t="shared" si="35"/>
        <v>0</v>
      </c>
      <c r="O31" s="79">
        <f t="shared" si="37"/>
        <v>23155</v>
      </c>
      <c r="P31" s="307">
        <v>23160</v>
      </c>
      <c r="Q31" s="385">
        <f t="shared" si="42"/>
        <v>5</v>
      </c>
      <c r="R31" s="847">
        <f t="shared" si="23"/>
        <v>7</v>
      </c>
      <c r="S31" s="212">
        <f t="shared" si="14"/>
        <v>82482</v>
      </c>
      <c r="T31" s="731">
        <v>82553</v>
      </c>
      <c r="U31" s="386">
        <f t="shared" si="15"/>
        <v>71</v>
      </c>
      <c r="V31" s="212">
        <f t="shared" si="33"/>
        <v>0</v>
      </c>
      <c r="W31" s="308"/>
      <c r="X31" s="386">
        <f t="shared" si="16"/>
        <v>0</v>
      </c>
      <c r="Y31" s="212">
        <f t="shared" si="6"/>
        <v>98804</v>
      </c>
      <c r="Z31" s="308">
        <v>98840</v>
      </c>
      <c r="AA31" s="386">
        <f t="shared" si="17"/>
        <v>36</v>
      </c>
      <c r="AB31" s="481">
        <f t="shared" si="24"/>
        <v>24017</v>
      </c>
      <c r="AC31" s="482">
        <v>24033</v>
      </c>
      <c r="AD31" s="484">
        <f t="shared" si="25"/>
        <v>16</v>
      </c>
      <c r="AE31" s="212">
        <f t="shared" si="7"/>
        <v>0</v>
      </c>
      <c r="AF31" s="309"/>
      <c r="AG31" s="386">
        <f t="shared" si="18"/>
        <v>0</v>
      </c>
      <c r="AH31" s="212">
        <f t="shared" si="8"/>
        <v>39100</v>
      </c>
      <c r="AI31" s="309">
        <v>39100</v>
      </c>
      <c r="AJ31" s="386">
        <f t="shared" si="19"/>
        <v>0</v>
      </c>
      <c r="AK31" s="212">
        <f t="shared" si="9"/>
        <v>0</v>
      </c>
      <c r="AL31" s="308"/>
      <c r="AM31" s="386">
        <f t="shared" si="20"/>
        <v>0</v>
      </c>
      <c r="AN31" s="687">
        <f t="shared" si="21"/>
        <v>123</v>
      </c>
    </row>
    <row r="32" spans="1:40" ht="23.1" customHeight="1" x14ac:dyDescent="0.3">
      <c r="A32" s="46">
        <f>Gen!B37</f>
        <v>44588</v>
      </c>
      <c r="B32" s="4" t="s">
        <v>313</v>
      </c>
      <c r="C32" s="79">
        <f>D31</f>
        <v>279714</v>
      </c>
      <c r="D32" s="1">
        <v>279789</v>
      </c>
      <c r="E32" s="385">
        <f t="shared" si="31"/>
        <v>75</v>
      </c>
      <c r="F32" s="79">
        <f t="shared" si="1"/>
        <v>0</v>
      </c>
      <c r="G32" s="739"/>
      <c r="H32" s="385">
        <f t="shared" si="41"/>
        <v>0</v>
      </c>
      <c r="I32" s="79">
        <f>J31</f>
        <v>9023</v>
      </c>
      <c r="J32" s="1">
        <v>9025</v>
      </c>
      <c r="K32" s="385">
        <f t="shared" si="43"/>
        <v>2</v>
      </c>
      <c r="L32" s="79">
        <f t="shared" si="34"/>
        <v>0</v>
      </c>
      <c r="M32" s="1"/>
      <c r="N32" s="385">
        <f t="shared" si="35"/>
        <v>0</v>
      </c>
      <c r="O32" s="79">
        <f t="shared" si="37"/>
        <v>23160</v>
      </c>
      <c r="P32" s="307">
        <v>23166</v>
      </c>
      <c r="Q32" s="385">
        <f>IF((P32-P31)&lt;0,"0",(P32-P31))</f>
        <v>6</v>
      </c>
      <c r="R32" s="847">
        <f t="shared" si="23"/>
        <v>8</v>
      </c>
      <c r="S32" s="212">
        <f t="shared" si="14"/>
        <v>82553</v>
      </c>
      <c r="T32">
        <v>82622</v>
      </c>
      <c r="U32" s="386">
        <f t="shared" si="15"/>
        <v>69</v>
      </c>
      <c r="V32" s="212">
        <f t="shared" si="33"/>
        <v>0</v>
      </c>
      <c r="W32" s="308"/>
      <c r="X32" s="386">
        <f t="shared" si="16"/>
        <v>0</v>
      </c>
      <c r="Y32" s="212">
        <f t="shared" si="6"/>
        <v>98840</v>
      </c>
      <c r="Z32" s="308">
        <v>98882</v>
      </c>
      <c r="AA32" s="386">
        <f t="shared" si="17"/>
        <v>42</v>
      </c>
      <c r="AB32" s="481">
        <f t="shared" si="24"/>
        <v>24033</v>
      </c>
      <c r="AC32" s="482">
        <v>24050</v>
      </c>
      <c r="AD32" s="484">
        <f t="shared" si="25"/>
        <v>17</v>
      </c>
      <c r="AE32" s="212">
        <f t="shared" si="7"/>
        <v>0</v>
      </c>
      <c r="AF32" s="309"/>
      <c r="AG32" s="386">
        <f t="shared" si="18"/>
        <v>0</v>
      </c>
      <c r="AH32" s="212">
        <f t="shared" si="8"/>
        <v>39100</v>
      </c>
      <c r="AI32" s="309">
        <v>39149</v>
      </c>
      <c r="AJ32" s="386">
        <f t="shared" si="19"/>
        <v>49</v>
      </c>
      <c r="AK32" s="212">
        <f t="shared" si="9"/>
        <v>0</v>
      </c>
      <c r="AL32" s="308"/>
      <c r="AM32" s="386">
        <f>IF((AL32-AL31)&lt;0,"0",(AL32-AL31))</f>
        <v>0</v>
      </c>
      <c r="AN32" s="687">
        <f t="shared" ref="AN32:AN37" si="44">U32+X32+AA32+AD32+AG32+AJ32+AM32</f>
        <v>177</v>
      </c>
    </row>
    <row r="33" spans="1:40" ht="23.1" customHeight="1" x14ac:dyDescent="0.3">
      <c r="A33" s="46">
        <f>Gen!B38</f>
        <v>44589</v>
      </c>
      <c r="B33" s="4"/>
      <c r="C33" s="79">
        <f t="shared" si="40"/>
        <v>279789</v>
      </c>
      <c r="D33" s="1">
        <v>279853</v>
      </c>
      <c r="E33" s="385">
        <f t="shared" si="31"/>
        <v>64</v>
      </c>
      <c r="F33" s="79">
        <f t="shared" si="1"/>
        <v>0</v>
      </c>
      <c r="G33" s="739"/>
      <c r="H33" s="385">
        <f t="shared" si="41"/>
        <v>0</v>
      </c>
      <c r="I33" s="79">
        <f t="shared" si="39"/>
        <v>9025</v>
      </c>
      <c r="J33" s="1">
        <v>9027</v>
      </c>
      <c r="K33" s="385">
        <f t="shared" si="43"/>
        <v>2</v>
      </c>
      <c r="L33" s="79">
        <f t="shared" si="34"/>
        <v>0</v>
      </c>
      <c r="M33" s="1"/>
      <c r="N33" s="385">
        <f t="shared" si="35"/>
        <v>0</v>
      </c>
      <c r="O33" s="79">
        <f t="shared" si="37"/>
        <v>23166</v>
      </c>
      <c r="P33" s="307">
        <v>23171</v>
      </c>
      <c r="Q33" s="385">
        <f t="shared" si="42"/>
        <v>5</v>
      </c>
      <c r="R33" s="847">
        <f t="shared" si="23"/>
        <v>7</v>
      </c>
      <c r="S33" s="212">
        <f t="shared" si="14"/>
        <v>82622</v>
      </c>
      <c r="T33" s="731">
        <v>82691</v>
      </c>
      <c r="U33" s="386">
        <f t="shared" si="15"/>
        <v>69</v>
      </c>
      <c r="V33" s="212">
        <f t="shared" si="33"/>
        <v>0</v>
      </c>
      <c r="W33" s="308"/>
      <c r="X33" s="386">
        <f t="shared" si="16"/>
        <v>0</v>
      </c>
      <c r="Y33" s="212">
        <f t="shared" si="6"/>
        <v>98882</v>
      </c>
      <c r="Z33" s="308">
        <v>98919</v>
      </c>
      <c r="AA33" s="386">
        <f t="shared" si="17"/>
        <v>37</v>
      </c>
      <c r="AB33" s="481">
        <f t="shared" si="24"/>
        <v>24050</v>
      </c>
      <c r="AC33" s="213">
        <v>24065</v>
      </c>
      <c r="AD33" s="484">
        <f t="shared" si="25"/>
        <v>15</v>
      </c>
      <c r="AE33" s="212">
        <f t="shared" si="7"/>
        <v>0</v>
      </c>
      <c r="AF33" s="309"/>
      <c r="AG33" s="386">
        <f t="shared" si="18"/>
        <v>0</v>
      </c>
      <c r="AH33" s="212">
        <f t="shared" si="8"/>
        <v>39149</v>
      </c>
      <c r="AI33" s="309">
        <v>39187</v>
      </c>
      <c r="AJ33" s="386">
        <f t="shared" si="19"/>
        <v>38</v>
      </c>
      <c r="AK33" s="212">
        <f t="shared" si="9"/>
        <v>0</v>
      </c>
      <c r="AL33" s="308"/>
      <c r="AM33" s="386">
        <f t="shared" si="20"/>
        <v>0</v>
      </c>
      <c r="AN33" s="687">
        <f t="shared" si="44"/>
        <v>159</v>
      </c>
    </row>
    <row r="34" spans="1:40" ht="23.1" customHeight="1" x14ac:dyDescent="0.3">
      <c r="A34" s="46">
        <f>Gen!B39</f>
        <v>44590</v>
      </c>
      <c r="B34" s="128"/>
      <c r="C34" s="79">
        <f t="shared" si="40"/>
        <v>279853</v>
      </c>
      <c r="D34" s="1">
        <v>279933</v>
      </c>
      <c r="E34" s="385">
        <f t="shared" si="31"/>
        <v>80</v>
      </c>
      <c r="F34" s="79">
        <f t="shared" si="1"/>
        <v>0</v>
      </c>
      <c r="G34" s="739"/>
      <c r="H34" s="385">
        <f t="shared" si="41"/>
        <v>0</v>
      </c>
      <c r="I34" s="79">
        <f t="shared" si="39"/>
        <v>9027</v>
      </c>
      <c r="J34" s="1">
        <v>9033</v>
      </c>
      <c r="K34" s="385">
        <f t="shared" si="43"/>
        <v>6</v>
      </c>
      <c r="L34" s="79">
        <f t="shared" si="34"/>
        <v>0</v>
      </c>
      <c r="M34" s="1"/>
      <c r="N34" s="385">
        <f t="shared" si="35"/>
        <v>0</v>
      </c>
      <c r="O34" s="79">
        <f t="shared" si="37"/>
        <v>23171</v>
      </c>
      <c r="P34" s="307">
        <v>23177</v>
      </c>
      <c r="Q34" s="385">
        <f t="shared" si="42"/>
        <v>6</v>
      </c>
      <c r="R34" s="847">
        <f t="shared" si="23"/>
        <v>12</v>
      </c>
      <c r="S34" s="212">
        <f t="shared" si="14"/>
        <v>82691</v>
      </c>
      <c r="T34">
        <v>82759</v>
      </c>
      <c r="U34" s="386">
        <f t="shared" ref="U34:U36" si="45">IF((T34-T33)&lt;0,"0",(T34-T33))</f>
        <v>68</v>
      </c>
      <c r="V34" s="212">
        <f t="shared" si="33"/>
        <v>0</v>
      </c>
      <c r="W34" s="308"/>
      <c r="X34" s="386">
        <f t="shared" si="16"/>
        <v>0</v>
      </c>
      <c r="Y34" s="212">
        <f t="shared" si="6"/>
        <v>98919</v>
      </c>
      <c r="Z34" s="308">
        <v>98955</v>
      </c>
      <c r="AA34" s="386">
        <f t="shared" si="17"/>
        <v>36</v>
      </c>
      <c r="AB34" s="481">
        <f t="shared" si="24"/>
        <v>24065</v>
      </c>
      <c r="AC34" s="213">
        <v>24080</v>
      </c>
      <c r="AD34" s="484">
        <f t="shared" si="25"/>
        <v>15</v>
      </c>
      <c r="AE34" s="212">
        <f t="shared" si="7"/>
        <v>0</v>
      </c>
      <c r="AF34" s="309"/>
      <c r="AG34" s="386">
        <f t="shared" si="18"/>
        <v>0</v>
      </c>
      <c r="AH34" s="212">
        <f t="shared" si="8"/>
        <v>39187</v>
      </c>
      <c r="AI34" s="309">
        <v>39223</v>
      </c>
      <c r="AJ34" s="386">
        <f t="shared" si="19"/>
        <v>36</v>
      </c>
      <c r="AK34" s="212">
        <f t="shared" si="9"/>
        <v>0</v>
      </c>
      <c r="AL34" s="308"/>
      <c r="AM34" s="386">
        <f t="shared" si="20"/>
        <v>0</v>
      </c>
      <c r="AN34" s="687">
        <f>U34+X34+AA34+AD34+AG34+AJ34+AM34</f>
        <v>155</v>
      </c>
    </row>
    <row r="35" spans="1:40" ht="23.1" customHeight="1" x14ac:dyDescent="0.3">
      <c r="A35" s="46">
        <f>Gen!B40</f>
        <v>44591</v>
      </c>
      <c r="B35" s="128"/>
      <c r="C35" s="79">
        <f t="shared" si="40"/>
        <v>279933</v>
      </c>
      <c r="D35" s="1">
        <v>280043</v>
      </c>
      <c r="E35" s="385">
        <f t="shared" si="31"/>
        <v>110</v>
      </c>
      <c r="F35" s="79">
        <f t="shared" si="1"/>
        <v>0</v>
      </c>
      <c r="G35" s="739"/>
      <c r="H35" s="385">
        <f t="shared" si="41"/>
        <v>0</v>
      </c>
      <c r="I35" s="79">
        <f t="shared" si="39"/>
        <v>9033</v>
      </c>
      <c r="J35" s="1">
        <v>9036</v>
      </c>
      <c r="K35" s="385">
        <f t="shared" si="43"/>
        <v>3</v>
      </c>
      <c r="L35" s="79">
        <f t="shared" si="34"/>
        <v>0</v>
      </c>
      <c r="M35" s="1"/>
      <c r="N35" s="385">
        <f t="shared" si="35"/>
        <v>0</v>
      </c>
      <c r="O35" s="79">
        <f t="shared" si="37"/>
        <v>23177</v>
      </c>
      <c r="P35" s="307">
        <v>23185</v>
      </c>
      <c r="Q35" s="385">
        <f t="shared" si="42"/>
        <v>8</v>
      </c>
      <c r="R35" s="847">
        <f t="shared" si="23"/>
        <v>11</v>
      </c>
      <c r="S35" s="212">
        <f t="shared" si="14"/>
        <v>82759</v>
      </c>
      <c r="T35" s="731">
        <v>82826</v>
      </c>
      <c r="U35" s="386">
        <f t="shared" si="45"/>
        <v>67</v>
      </c>
      <c r="V35" s="212">
        <f t="shared" si="33"/>
        <v>0</v>
      </c>
      <c r="W35" s="308"/>
      <c r="X35" s="386">
        <f>IF((W36-W34)&lt;0,"0",(W36-W34))</f>
        <v>0</v>
      </c>
      <c r="Y35" s="212">
        <f t="shared" si="6"/>
        <v>98955</v>
      </c>
      <c r="Z35" s="308">
        <v>98991</v>
      </c>
      <c r="AA35" s="386">
        <f t="shared" si="17"/>
        <v>36</v>
      </c>
      <c r="AB35" s="481">
        <f t="shared" si="24"/>
        <v>24080</v>
      </c>
      <c r="AC35" s="213">
        <v>24094</v>
      </c>
      <c r="AD35" s="484">
        <f t="shared" si="25"/>
        <v>14</v>
      </c>
      <c r="AE35" s="212">
        <f t="shared" si="7"/>
        <v>0</v>
      </c>
      <c r="AF35" s="309"/>
      <c r="AG35" s="386">
        <f t="shared" si="18"/>
        <v>0</v>
      </c>
      <c r="AH35" s="212">
        <f t="shared" si="8"/>
        <v>39223</v>
      </c>
      <c r="AI35" s="309">
        <v>39259</v>
      </c>
      <c r="AJ35" s="386">
        <f t="shared" si="19"/>
        <v>36</v>
      </c>
      <c r="AK35" s="212">
        <f t="shared" si="9"/>
        <v>0</v>
      </c>
      <c r="AL35" s="308"/>
      <c r="AM35" s="386">
        <f t="shared" si="20"/>
        <v>0</v>
      </c>
      <c r="AN35" s="687">
        <f t="shared" si="44"/>
        <v>153</v>
      </c>
    </row>
    <row r="36" spans="1:40" ht="23.1" customHeight="1" x14ac:dyDescent="0.3">
      <c r="A36" s="46">
        <f>Gen!B41</f>
        <v>44592</v>
      </c>
      <c r="B36" s="129"/>
      <c r="C36" s="79">
        <f t="shared" si="40"/>
        <v>280043</v>
      </c>
      <c r="D36" s="1">
        <v>280147</v>
      </c>
      <c r="E36" s="385">
        <f t="shared" si="31"/>
        <v>104</v>
      </c>
      <c r="F36" s="79">
        <f t="shared" si="1"/>
        <v>0</v>
      </c>
      <c r="G36" s="739"/>
      <c r="H36" s="385">
        <f t="shared" si="41"/>
        <v>0</v>
      </c>
      <c r="I36" s="79">
        <f t="shared" si="39"/>
        <v>9036</v>
      </c>
      <c r="J36" s="1">
        <v>9039</v>
      </c>
      <c r="K36" s="385">
        <f t="shared" si="43"/>
        <v>3</v>
      </c>
      <c r="L36" s="79">
        <f t="shared" si="34"/>
        <v>0</v>
      </c>
      <c r="M36" s="1"/>
      <c r="N36" s="385">
        <f t="shared" si="35"/>
        <v>0</v>
      </c>
      <c r="O36" s="79">
        <f t="shared" si="37"/>
        <v>23185</v>
      </c>
      <c r="P36" s="307">
        <v>23194</v>
      </c>
      <c r="Q36" s="385">
        <f t="shared" si="42"/>
        <v>9</v>
      </c>
      <c r="R36" s="847">
        <f t="shared" si="23"/>
        <v>12</v>
      </c>
      <c r="S36" s="212">
        <f t="shared" si="14"/>
        <v>82826</v>
      </c>
      <c r="T36" s="731">
        <v>82889</v>
      </c>
      <c r="U36" s="386">
        <f t="shared" si="45"/>
        <v>63</v>
      </c>
      <c r="V36" s="212">
        <f>W36</f>
        <v>0</v>
      </c>
      <c r="W36" s="308"/>
      <c r="X36" s="386">
        <f>IF((W37-W35)&lt;0,"0",(W37-W35))</f>
        <v>0</v>
      </c>
      <c r="Y36" s="212">
        <f t="shared" si="6"/>
        <v>98991</v>
      </c>
      <c r="Z36" s="308">
        <v>99027</v>
      </c>
      <c r="AA36" s="386">
        <f t="shared" si="17"/>
        <v>36</v>
      </c>
      <c r="AB36" s="481">
        <f t="shared" si="24"/>
        <v>24094</v>
      </c>
      <c r="AC36" s="213">
        <v>24109</v>
      </c>
      <c r="AD36" s="484">
        <f t="shared" si="25"/>
        <v>15</v>
      </c>
      <c r="AE36" s="212">
        <f t="shared" si="7"/>
        <v>0</v>
      </c>
      <c r="AF36" s="309"/>
      <c r="AG36" s="386">
        <f t="shared" si="18"/>
        <v>0</v>
      </c>
      <c r="AH36" s="212">
        <f t="shared" si="8"/>
        <v>39259</v>
      </c>
      <c r="AI36" s="309">
        <v>39296</v>
      </c>
      <c r="AJ36" s="386">
        <f t="shared" si="19"/>
        <v>37</v>
      </c>
      <c r="AK36" s="212">
        <f t="shared" si="9"/>
        <v>0</v>
      </c>
      <c r="AL36" s="308"/>
      <c r="AM36" s="386">
        <f t="shared" si="20"/>
        <v>0</v>
      </c>
      <c r="AN36" s="687">
        <f>U36+X36+AA36+AD36+AG36+AJ36+AM36</f>
        <v>151</v>
      </c>
    </row>
    <row r="37" spans="1:40" ht="24" customHeight="1" x14ac:dyDescent="0.3">
      <c r="A37" s="46"/>
      <c r="B37" s="3"/>
      <c r="C37" s="79">
        <f t="shared" si="40"/>
        <v>280147</v>
      </c>
      <c r="D37" s="1"/>
      <c r="E37" s="385" t="str">
        <f t="shared" si="31"/>
        <v>0</v>
      </c>
      <c r="F37" s="79">
        <f t="shared" si="1"/>
        <v>0</v>
      </c>
      <c r="G37" s="739"/>
      <c r="H37" s="385">
        <f t="shared" si="41"/>
        <v>0</v>
      </c>
      <c r="I37" s="79">
        <f t="shared" si="39"/>
        <v>9039</v>
      </c>
      <c r="J37" s="1"/>
      <c r="K37" s="385" t="str">
        <f t="shared" si="43"/>
        <v>0</v>
      </c>
      <c r="L37" s="79">
        <f t="shared" si="34"/>
        <v>0</v>
      </c>
      <c r="M37" s="1"/>
      <c r="N37" s="385">
        <f t="shared" si="35"/>
        <v>0</v>
      </c>
      <c r="O37" s="79">
        <f t="shared" si="37"/>
        <v>23194</v>
      </c>
      <c r="P37" s="307"/>
      <c r="Q37" s="385" t="str">
        <f t="shared" si="42"/>
        <v>0</v>
      </c>
      <c r="R37" s="847">
        <f t="shared" si="23"/>
        <v>0</v>
      </c>
      <c r="S37" s="212"/>
      <c r="T37" s="731"/>
      <c r="U37" s="386"/>
      <c r="V37" s="212"/>
      <c r="W37" s="308"/>
      <c r="X37" s="386"/>
      <c r="Y37" s="212"/>
      <c r="Z37" s="308"/>
      <c r="AA37" s="386" t="str">
        <f t="shared" si="17"/>
        <v>0</v>
      </c>
      <c r="AB37" s="481">
        <f t="shared" si="24"/>
        <v>24109</v>
      </c>
      <c r="AC37" s="213"/>
      <c r="AD37" s="484" t="str">
        <f t="shared" si="25"/>
        <v>0</v>
      </c>
      <c r="AE37" s="212">
        <f t="shared" si="7"/>
        <v>0</v>
      </c>
      <c r="AF37" s="309"/>
      <c r="AG37" s="386"/>
      <c r="AH37" s="212"/>
      <c r="AI37" s="309"/>
      <c r="AJ37" s="386"/>
      <c r="AK37" s="212"/>
      <c r="AL37" s="308"/>
      <c r="AM37" s="386"/>
      <c r="AN37" s="687">
        <f t="shared" si="44"/>
        <v>0</v>
      </c>
    </row>
    <row r="38" spans="1:40" s="704" customFormat="1" ht="15.75" x14ac:dyDescent="0.25">
      <c r="A38" s="78"/>
      <c r="B38" s="691"/>
      <c r="C38" s="1000" t="s">
        <v>256</v>
      </c>
      <c r="D38" s="1000"/>
      <c r="E38" s="692">
        <f>SUM(E6:E36)</f>
        <v>2764</v>
      </c>
      <c r="F38" s="693" t="s">
        <v>314</v>
      </c>
      <c r="G38" s="694"/>
      <c r="H38" s="695">
        <f>SUM(H6:H37)</f>
        <v>0</v>
      </c>
      <c r="I38" s="696"/>
      <c r="J38" s="693"/>
      <c r="K38" s="697">
        <f>SUM(K6:K37)</f>
        <v>74</v>
      </c>
      <c r="L38" s="698"/>
      <c r="M38" s="698"/>
      <c r="N38" s="699">
        <f t="shared" ref="N38" si="46">M38-M37</f>
        <v>0</v>
      </c>
      <c r="O38" s="696"/>
      <c r="P38" s="700"/>
      <c r="Q38" s="701">
        <f>P38-O38</f>
        <v>0</v>
      </c>
      <c r="R38" s="848">
        <f>E38</f>
        <v>2764</v>
      </c>
      <c r="S38" s="700"/>
      <c r="T38" s="700"/>
      <c r="U38" s="688">
        <f>SUM(U6:U37)</f>
        <v>1295</v>
      </c>
      <c r="V38" s="700"/>
      <c r="W38" s="700"/>
      <c r="X38" s="689">
        <f>SUM(X13:X37)</f>
        <v>0</v>
      </c>
      <c r="Y38" s="702"/>
      <c r="Z38" s="700"/>
      <c r="AA38" s="689">
        <f>SUM(AA6:AA37)</f>
        <v>1164</v>
      </c>
      <c r="AC38" s="700"/>
      <c r="AD38" s="689">
        <f>SUM(AD6:AD37)</f>
        <v>519</v>
      </c>
      <c r="AE38" s="700"/>
      <c r="AF38" s="700"/>
      <c r="AG38" s="689">
        <f>SUM(AG6:AG37)</f>
        <v>0</v>
      </c>
      <c r="AH38" s="700"/>
      <c r="AI38" s="700"/>
      <c r="AJ38" s="690">
        <f>SUM(AJ6:AJ37)</f>
        <v>695</v>
      </c>
      <c r="AK38" s="700"/>
      <c r="AL38" s="700"/>
      <c r="AM38" s="703">
        <f>SUM(AM6:AM37)</f>
        <v>0</v>
      </c>
      <c r="AN38" s="687">
        <f>U38+X38+AA38+AD38+AG38+AJ38+AM38</f>
        <v>3673</v>
      </c>
    </row>
    <row r="41" spans="1:40" ht="13.5" thickBot="1" x14ac:dyDescent="0.25"/>
    <row r="42" spans="1:40" ht="18" x14ac:dyDescent="0.2">
      <c r="A42" s="961"/>
      <c r="B42" s="228"/>
      <c r="C42" s="958" t="s">
        <v>315</v>
      </c>
      <c r="D42" s="959"/>
      <c r="E42" s="959"/>
      <c r="F42" s="959"/>
      <c r="G42" s="959"/>
      <c r="H42" s="959"/>
      <c r="I42" s="959"/>
      <c r="J42" s="959"/>
      <c r="K42" s="960"/>
    </row>
    <row r="43" spans="1:40" ht="24.75" customHeight="1" x14ac:dyDescent="0.2">
      <c r="A43" s="962"/>
      <c r="C43" s="964" t="s">
        <v>316</v>
      </c>
      <c r="D43" s="965"/>
      <c r="E43" s="966" t="s">
        <v>317</v>
      </c>
      <c r="F43" s="967"/>
      <c r="G43" s="968" t="s">
        <v>318</v>
      </c>
      <c r="H43" s="969"/>
      <c r="I43" s="968" t="s">
        <v>319</v>
      </c>
      <c r="J43" s="969"/>
      <c r="K43" s="956" t="s">
        <v>320</v>
      </c>
    </row>
    <row r="44" spans="1:40" ht="21" customHeight="1" x14ac:dyDescent="0.2">
      <c r="A44" s="962"/>
      <c r="C44" s="970" t="s">
        <v>321</v>
      </c>
      <c r="D44" s="971"/>
      <c r="E44" s="970" t="s">
        <v>322</v>
      </c>
      <c r="F44" s="971"/>
      <c r="G44" s="970" t="s">
        <v>323</v>
      </c>
      <c r="H44" s="971"/>
      <c r="I44" s="970" t="s">
        <v>324</v>
      </c>
      <c r="J44" s="971"/>
      <c r="K44" s="957"/>
    </row>
    <row r="45" spans="1:40" ht="21" customHeight="1" x14ac:dyDescent="0.2">
      <c r="A45" s="963"/>
      <c r="C45" s="799" t="s">
        <v>325</v>
      </c>
      <c r="D45" s="800" t="s">
        <v>326</v>
      </c>
      <c r="E45" s="801" t="s">
        <v>325</v>
      </c>
      <c r="F45" s="802" t="s">
        <v>326</v>
      </c>
      <c r="G45" s="803"/>
      <c r="H45" s="802" t="s">
        <v>326</v>
      </c>
      <c r="I45" s="803"/>
      <c r="J45" s="802" t="s">
        <v>326</v>
      </c>
      <c r="K45" s="804" t="s">
        <v>326</v>
      </c>
    </row>
    <row r="46" spans="1:40" ht="20.25" customHeight="1" x14ac:dyDescent="0.25">
      <c r="A46" s="243">
        <f>Gen!B11</f>
        <v>44562</v>
      </c>
      <c r="C46" s="791">
        <v>150</v>
      </c>
      <c r="D46" s="792">
        <f t="shared" ref="D46:D77" si="47">C46*217/300</f>
        <v>108.5</v>
      </c>
      <c r="E46" s="793">
        <v>95</v>
      </c>
      <c r="F46" s="792">
        <f t="shared" ref="F46:F77" si="48">E46*92/305</f>
        <v>28.655737704918032</v>
      </c>
      <c r="G46" s="789">
        <v>300</v>
      </c>
      <c r="H46" s="794">
        <f t="shared" ref="H46:H77" si="49">G46*146/383</f>
        <v>114.36031331592689</v>
      </c>
      <c r="I46" s="209">
        <v>290</v>
      </c>
      <c r="J46" s="795">
        <f t="shared" ref="J46:J77" si="50">I46*213/308</f>
        <v>200.55194805194805</v>
      </c>
      <c r="K46" s="796">
        <f>D46+F46+H46+J46</f>
        <v>452.06799907279299</v>
      </c>
    </row>
    <row r="47" spans="1:40" ht="13.5" x14ac:dyDescent="0.25">
      <c r="A47" s="243">
        <f>Gen!B12</f>
        <v>44563</v>
      </c>
      <c r="C47" s="791">
        <v>155</v>
      </c>
      <c r="D47" s="792">
        <f t="shared" si="47"/>
        <v>112.11666666666666</v>
      </c>
      <c r="E47" s="793">
        <v>100</v>
      </c>
      <c r="F47" s="792">
        <f t="shared" si="48"/>
        <v>30.16393442622951</v>
      </c>
      <c r="G47" s="789">
        <v>270</v>
      </c>
      <c r="H47" s="794">
        <f t="shared" si="49"/>
        <v>102.9242819843342</v>
      </c>
      <c r="I47" s="790">
        <v>295</v>
      </c>
      <c r="J47" s="795">
        <f t="shared" si="50"/>
        <v>204.00974025974025</v>
      </c>
      <c r="K47" s="796">
        <f t="shared" ref="K47:K77" si="51">D47+F47+H47+J47</f>
        <v>449.21462333697059</v>
      </c>
    </row>
    <row r="48" spans="1:40" ht="13.5" x14ac:dyDescent="0.25">
      <c r="A48" s="243">
        <f>Gen!B13</f>
        <v>44564</v>
      </c>
      <c r="C48" s="791">
        <v>210</v>
      </c>
      <c r="D48" s="792">
        <f t="shared" si="47"/>
        <v>151.9</v>
      </c>
      <c r="E48" s="793">
        <v>170</v>
      </c>
      <c r="F48" s="792">
        <f t="shared" si="48"/>
        <v>51.278688524590166</v>
      </c>
      <c r="G48" s="789">
        <v>185</v>
      </c>
      <c r="H48" s="794">
        <f t="shared" si="49"/>
        <v>70.522193211488258</v>
      </c>
      <c r="I48" s="790">
        <v>290</v>
      </c>
      <c r="J48" s="795">
        <f t="shared" si="50"/>
        <v>200.55194805194805</v>
      </c>
      <c r="K48" s="796">
        <f t="shared" si="51"/>
        <v>474.25282978802647</v>
      </c>
    </row>
    <row r="49" spans="1:15" ht="13.5" x14ac:dyDescent="0.25">
      <c r="A49" s="243">
        <f>Gen!B14</f>
        <v>44565</v>
      </c>
      <c r="C49" s="791">
        <v>250</v>
      </c>
      <c r="D49" s="792">
        <f t="shared" si="47"/>
        <v>180.83333333333334</v>
      </c>
      <c r="E49" s="793">
        <v>210</v>
      </c>
      <c r="F49" s="792">
        <f t="shared" si="48"/>
        <v>63.344262295081968</v>
      </c>
      <c r="G49" s="789">
        <v>250</v>
      </c>
      <c r="H49" s="794">
        <f t="shared" si="49"/>
        <v>95.300261096605738</v>
      </c>
      <c r="I49" s="790">
        <v>285</v>
      </c>
      <c r="J49" s="795">
        <f t="shared" si="50"/>
        <v>197.09415584415584</v>
      </c>
      <c r="K49" s="796">
        <f t="shared" si="51"/>
        <v>536.57201256917688</v>
      </c>
    </row>
    <row r="50" spans="1:15" ht="13.5" x14ac:dyDescent="0.25">
      <c r="A50" s="243">
        <f>Gen!B15</f>
        <v>44566</v>
      </c>
      <c r="C50" s="791">
        <v>215</v>
      </c>
      <c r="D50" s="792">
        <f t="shared" si="47"/>
        <v>155.51666666666668</v>
      </c>
      <c r="E50" s="793">
        <v>170</v>
      </c>
      <c r="F50" s="792">
        <f t="shared" si="48"/>
        <v>51.278688524590166</v>
      </c>
      <c r="G50" s="789">
        <v>300</v>
      </c>
      <c r="H50" s="794">
        <f t="shared" si="49"/>
        <v>114.36031331592689</v>
      </c>
      <c r="I50" s="790">
        <v>295</v>
      </c>
      <c r="J50" s="795">
        <f t="shared" si="50"/>
        <v>204.00974025974025</v>
      </c>
      <c r="K50" s="796">
        <f t="shared" si="51"/>
        <v>525.16540876692397</v>
      </c>
    </row>
    <row r="51" spans="1:15" ht="13.5" x14ac:dyDescent="0.25">
      <c r="A51" s="243">
        <f>Gen!B16</f>
        <v>44567</v>
      </c>
      <c r="C51" s="791">
        <v>300</v>
      </c>
      <c r="D51" s="792">
        <f t="shared" si="47"/>
        <v>217</v>
      </c>
      <c r="E51" s="793">
        <v>260</v>
      </c>
      <c r="F51" s="792">
        <f t="shared" si="48"/>
        <v>78.426229508196727</v>
      </c>
      <c r="G51" s="789">
        <v>100</v>
      </c>
      <c r="H51" s="794">
        <f t="shared" si="49"/>
        <v>38.120104438642301</v>
      </c>
      <c r="I51" s="790">
        <v>290</v>
      </c>
      <c r="J51" s="795">
        <f t="shared" si="50"/>
        <v>200.55194805194805</v>
      </c>
      <c r="K51" s="796">
        <f t="shared" si="51"/>
        <v>534.09828199878712</v>
      </c>
    </row>
    <row r="52" spans="1:15" ht="13.5" x14ac:dyDescent="0.25">
      <c r="A52" s="243">
        <f>Gen!B17</f>
        <v>44568</v>
      </c>
      <c r="C52" s="791">
        <v>270</v>
      </c>
      <c r="D52" s="792">
        <f t="shared" si="47"/>
        <v>195.3</v>
      </c>
      <c r="E52" s="793">
        <v>220</v>
      </c>
      <c r="F52" s="792">
        <f t="shared" si="48"/>
        <v>66.360655737704917</v>
      </c>
      <c r="G52" s="789">
        <v>280</v>
      </c>
      <c r="H52" s="794">
        <f t="shared" si="49"/>
        <v>106.73629242819844</v>
      </c>
      <c r="I52" s="790">
        <v>290</v>
      </c>
      <c r="J52" s="795">
        <f t="shared" si="50"/>
        <v>200.55194805194805</v>
      </c>
      <c r="K52" s="796">
        <f t="shared" si="51"/>
        <v>568.94889621785137</v>
      </c>
    </row>
    <row r="53" spans="1:15" ht="13.5" x14ac:dyDescent="0.25">
      <c r="A53" s="243">
        <f>Gen!B18</f>
        <v>44569</v>
      </c>
      <c r="C53" s="791">
        <v>270</v>
      </c>
      <c r="D53" s="792">
        <f t="shared" si="47"/>
        <v>195.3</v>
      </c>
      <c r="E53" s="793">
        <v>230</v>
      </c>
      <c r="F53" s="792">
        <f t="shared" si="48"/>
        <v>69.377049180327873</v>
      </c>
      <c r="G53" s="789">
        <v>280</v>
      </c>
      <c r="H53" s="794">
        <f t="shared" si="49"/>
        <v>106.73629242819844</v>
      </c>
      <c r="I53" s="790">
        <v>290</v>
      </c>
      <c r="J53" s="795">
        <f t="shared" si="50"/>
        <v>200.55194805194805</v>
      </c>
      <c r="K53" s="796">
        <f t="shared" si="51"/>
        <v>571.96528966047435</v>
      </c>
    </row>
    <row r="54" spans="1:15" ht="13.5" x14ac:dyDescent="0.25">
      <c r="A54" s="243">
        <f>Gen!B19</f>
        <v>44570</v>
      </c>
      <c r="C54" s="791">
        <v>265</v>
      </c>
      <c r="D54" s="792">
        <f t="shared" si="47"/>
        <v>191.68333333333334</v>
      </c>
      <c r="E54" s="793">
        <v>230</v>
      </c>
      <c r="F54" s="792">
        <f t="shared" si="48"/>
        <v>69.377049180327873</v>
      </c>
      <c r="G54" s="789">
        <v>300</v>
      </c>
      <c r="H54" s="794">
        <f t="shared" si="49"/>
        <v>114.36031331592689</v>
      </c>
      <c r="I54" s="790">
        <v>290</v>
      </c>
      <c r="J54" s="795">
        <f t="shared" si="50"/>
        <v>200.55194805194805</v>
      </c>
      <c r="K54" s="796">
        <f t="shared" si="51"/>
        <v>575.97264388153621</v>
      </c>
    </row>
    <row r="55" spans="1:15" ht="13.5" x14ac:dyDescent="0.25">
      <c r="A55" s="243">
        <f>Gen!B20</f>
        <v>44571</v>
      </c>
      <c r="C55" s="791">
        <v>300</v>
      </c>
      <c r="D55" s="792">
        <f t="shared" si="47"/>
        <v>217</v>
      </c>
      <c r="E55" s="793">
        <v>289</v>
      </c>
      <c r="F55" s="792">
        <f t="shared" si="48"/>
        <v>87.173770491803282</v>
      </c>
      <c r="G55" s="789">
        <v>300</v>
      </c>
      <c r="H55" s="794">
        <f t="shared" si="49"/>
        <v>114.36031331592689</v>
      </c>
      <c r="I55" s="790">
        <v>285</v>
      </c>
      <c r="J55" s="795">
        <f t="shared" si="50"/>
        <v>197.09415584415584</v>
      </c>
      <c r="K55" s="796">
        <f t="shared" si="51"/>
        <v>615.62823965188602</v>
      </c>
    </row>
    <row r="56" spans="1:15" ht="13.5" x14ac:dyDescent="0.25">
      <c r="A56" s="243">
        <f>Gen!B21</f>
        <v>44572</v>
      </c>
      <c r="C56" s="791">
        <v>280</v>
      </c>
      <c r="D56" s="792">
        <f t="shared" si="47"/>
        <v>202.53333333333333</v>
      </c>
      <c r="E56" s="793">
        <v>250</v>
      </c>
      <c r="F56" s="792">
        <f t="shared" si="48"/>
        <v>75.409836065573771</v>
      </c>
      <c r="G56" s="789">
        <v>300</v>
      </c>
      <c r="H56" s="794">
        <f t="shared" si="49"/>
        <v>114.36031331592689</v>
      </c>
      <c r="I56" s="790">
        <v>286</v>
      </c>
      <c r="J56" s="795">
        <f t="shared" si="50"/>
        <v>197.78571428571428</v>
      </c>
      <c r="K56" s="796">
        <f t="shared" si="51"/>
        <v>590.08919700054821</v>
      </c>
    </row>
    <row r="57" spans="1:15" ht="13.5" x14ac:dyDescent="0.25">
      <c r="A57" s="243">
        <f>Gen!B22</f>
        <v>44573</v>
      </c>
      <c r="C57" s="791">
        <v>270</v>
      </c>
      <c r="D57" s="792">
        <f t="shared" si="47"/>
        <v>195.3</v>
      </c>
      <c r="E57" s="793">
        <v>235</v>
      </c>
      <c r="F57" s="792">
        <f t="shared" si="48"/>
        <v>70.885245901639351</v>
      </c>
      <c r="G57" s="789">
        <v>300</v>
      </c>
      <c r="H57" s="794">
        <f t="shared" si="49"/>
        <v>114.36031331592689</v>
      </c>
      <c r="I57" s="790">
        <v>290</v>
      </c>
      <c r="J57" s="795">
        <f t="shared" si="50"/>
        <v>200.55194805194805</v>
      </c>
      <c r="K57" s="796">
        <f t="shared" si="51"/>
        <v>581.09750726951427</v>
      </c>
    </row>
    <row r="58" spans="1:15" ht="13.5" x14ac:dyDescent="0.25">
      <c r="A58" s="243">
        <f>Gen!B23</f>
        <v>44574</v>
      </c>
      <c r="C58" s="791">
        <v>280</v>
      </c>
      <c r="D58" s="792">
        <f t="shared" si="47"/>
        <v>202.53333333333333</v>
      </c>
      <c r="E58" s="793">
        <v>250</v>
      </c>
      <c r="F58" s="792">
        <f t="shared" si="48"/>
        <v>75.409836065573771</v>
      </c>
      <c r="G58" s="789">
        <v>300</v>
      </c>
      <c r="H58" s="794">
        <f t="shared" si="49"/>
        <v>114.36031331592689</v>
      </c>
      <c r="I58" s="790">
        <v>286</v>
      </c>
      <c r="J58" s="795">
        <f t="shared" si="50"/>
        <v>197.78571428571428</v>
      </c>
      <c r="K58" s="796">
        <f t="shared" si="51"/>
        <v>590.08919700054821</v>
      </c>
    </row>
    <row r="59" spans="1:15" ht="13.5" x14ac:dyDescent="0.25">
      <c r="A59" s="243">
        <f>Gen!B24</f>
        <v>44575</v>
      </c>
      <c r="C59" s="791">
        <v>285</v>
      </c>
      <c r="D59" s="792">
        <f t="shared" si="47"/>
        <v>206.15</v>
      </c>
      <c r="E59" s="793">
        <v>255</v>
      </c>
      <c r="F59" s="792">
        <f t="shared" si="48"/>
        <v>76.918032786885249</v>
      </c>
      <c r="G59" s="789">
        <v>300</v>
      </c>
      <c r="H59" s="794">
        <f t="shared" si="49"/>
        <v>114.36031331592689</v>
      </c>
      <c r="I59" s="790">
        <v>285</v>
      </c>
      <c r="J59" s="795">
        <f t="shared" si="50"/>
        <v>197.09415584415584</v>
      </c>
      <c r="K59" s="796">
        <f t="shared" si="51"/>
        <v>594.52250194696796</v>
      </c>
    </row>
    <row r="60" spans="1:15" ht="13.5" x14ac:dyDescent="0.25">
      <c r="A60" s="243">
        <f>Gen!B25</f>
        <v>44576</v>
      </c>
      <c r="C60" s="791">
        <v>310</v>
      </c>
      <c r="D60" s="792">
        <f t="shared" si="47"/>
        <v>224.23333333333332</v>
      </c>
      <c r="E60" s="793">
        <v>90</v>
      </c>
      <c r="F60" s="792">
        <f t="shared" si="48"/>
        <v>27.147540983606557</v>
      </c>
      <c r="G60" s="789">
        <v>300</v>
      </c>
      <c r="H60" s="794">
        <f t="shared" si="49"/>
        <v>114.36031331592689</v>
      </c>
      <c r="I60" s="790">
        <v>290</v>
      </c>
      <c r="J60" s="795">
        <f t="shared" si="50"/>
        <v>200.55194805194805</v>
      </c>
      <c r="K60" s="796">
        <f>D60+F60+H60+J60</f>
        <v>566.29313568481484</v>
      </c>
      <c r="L60" t="s">
        <v>327</v>
      </c>
      <c r="O60" t="s">
        <v>328</v>
      </c>
    </row>
    <row r="61" spans="1:15" ht="13.5" x14ac:dyDescent="0.25">
      <c r="A61" s="243">
        <f>Gen!B26</f>
        <v>44577</v>
      </c>
      <c r="C61" s="791">
        <v>265</v>
      </c>
      <c r="D61" s="792">
        <f t="shared" si="47"/>
        <v>191.68333333333334</v>
      </c>
      <c r="E61" s="793">
        <v>230</v>
      </c>
      <c r="F61" s="792">
        <f t="shared" si="48"/>
        <v>69.377049180327873</v>
      </c>
      <c r="G61" s="789">
        <v>245</v>
      </c>
      <c r="H61" s="794">
        <f t="shared" si="49"/>
        <v>93.394255874673632</v>
      </c>
      <c r="I61" s="790">
        <v>284</v>
      </c>
      <c r="J61" s="795">
        <f t="shared" si="50"/>
        <v>196.40259740259739</v>
      </c>
      <c r="K61" s="796">
        <f t="shared" si="51"/>
        <v>550.85723579093224</v>
      </c>
      <c r="L61" t="s">
        <v>329</v>
      </c>
      <c r="N61" t="s">
        <v>330</v>
      </c>
    </row>
    <row r="62" spans="1:15" ht="13.5" x14ac:dyDescent="0.25">
      <c r="A62" s="243">
        <f>Gen!B27</f>
        <v>44578</v>
      </c>
      <c r="C62" s="791">
        <v>269</v>
      </c>
      <c r="D62" s="792">
        <f t="shared" si="47"/>
        <v>194.57666666666665</v>
      </c>
      <c r="E62" s="793">
        <v>230</v>
      </c>
      <c r="F62" s="792">
        <f t="shared" si="48"/>
        <v>69.377049180327873</v>
      </c>
      <c r="G62" s="789">
        <v>300</v>
      </c>
      <c r="H62" s="794">
        <f t="shared" si="49"/>
        <v>114.36031331592689</v>
      </c>
      <c r="I62" s="790">
        <v>285</v>
      </c>
      <c r="J62" s="795">
        <f t="shared" si="50"/>
        <v>197.09415584415584</v>
      </c>
      <c r="K62" s="796">
        <f t="shared" si="51"/>
        <v>575.40818500707724</v>
      </c>
    </row>
    <row r="63" spans="1:15" ht="13.5" x14ac:dyDescent="0.25">
      <c r="A63" s="243">
        <f>Gen!B28</f>
        <v>44579</v>
      </c>
      <c r="C63" s="791">
        <v>300</v>
      </c>
      <c r="D63" s="792">
        <f t="shared" si="47"/>
        <v>217</v>
      </c>
      <c r="E63" s="793">
        <v>290</v>
      </c>
      <c r="F63" s="792">
        <f t="shared" si="48"/>
        <v>87.47540983606558</v>
      </c>
      <c r="G63" s="789">
        <v>107</v>
      </c>
      <c r="H63" s="794">
        <f t="shared" si="49"/>
        <v>40.788511749347258</v>
      </c>
      <c r="I63" s="790">
        <v>288</v>
      </c>
      <c r="J63" s="795">
        <f t="shared" si="50"/>
        <v>199.16883116883116</v>
      </c>
      <c r="K63" s="796">
        <f t="shared" si="51"/>
        <v>544.43275275424401</v>
      </c>
    </row>
    <row r="64" spans="1:15" ht="13.5" x14ac:dyDescent="0.25">
      <c r="A64" s="243">
        <f>Gen!B29</f>
        <v>44580</v>
      </c>
      <c r="C64" s="791">
        <v>140</v>
      </c>
      <c r="D64" s="792">
        <f t="shared" si="47"/>
        <v>101.26666666666667</v>
      </c>
      <c r="E64" s="793">
        <v>105</v>
      </c>
      <c r="F64" s="792">
        <f t="shared" si="48"/>
        <v>31.672131147540984</v>
      </c>
      <c r="G64" s="789">
        <v>295</v>
      </c>
      <c r="H64" s="794">
        <f t="shared" si="49"/>
        <v>112.45430809399478</v>
      </c>
      <c r="I64" s="790">
        <v>290</v>
      </c>
      <c r="J64" s="795">
        <f t="shared" si="50"/>
        <v>200.55194805194805</v>
      </c>
      <c r="K64" s="796">
        <f t="shared" si="51"/>
        <v>445.94505396015046</v>
      </c>
    </row>
    <row r="65" spans="1:11" ht="13.5" x14ac:dyDescent="0.25">
      <c r="A65" s="243">
        <f>Gen!B30</f>
        <v>44581</v>
      </c>
      <c r="C65" s="791">
        <v>310</v>
      </c>
      <c r="D65" s="792">
        <f t="shared" si="47"/>
        <v>224.23333333333332</v>
      </c>
      <c r="E65" s="793">
        <v>293</v>
      </c>
      <c r="F65" s="792">
        <f t="shared" si="48"/>
        <v>88.380327868852461</v>
      </c>
      <c r="G65" s="789">
        <v>290</v>
      </c>
      <c r="H65" s="794">
        <f t="shared" si="49"/>
        <v>110.54830287206266</v>
      </c>
      <c r="I65" s="790">
        <v>280</v>
      </c>
      <c r="J65" s="795">
        <f t="shared" si="50"/>
        <v>193.63636363636363</v>
      </c>
      <c r="K65" s="796">
        <f>D65+F65+H65+J65</f>
        <v>616.79832771061206</v>
      </c>
    </row>
    <row r="66" spans="1:11" ht="13.5" x14ac:dyDescent="0.25">
      <c r="A66" s="243">
        <f>Gen!B31</f>
        <v>44582</v>
      </c>
      <c r="C66" s="791">
        <v>245</v>
      </c>
      <c r="D66" s="792">
        <f t="shared" si="47"/>
        <v>177.21666666666667</v>
      </c>
      <c r="E66" s="793">
        <v>210</v>
      </c>
      <c r="F66" s="792">
        <f t="shared" si="48"/>
        <v>63.344262295081968</v>
      </c>
      <c r="G66" s="789">
        <v>300</v>
      </c>
      <c r="H66" s="794">
        <f t="shared" si="49"/>
        <v>114.36031331592689</v>
      </c>
      <c r="I66" s="790">
        <v>285</v>
      </c>
      <c r="J66" s="795">
        <f t="shared" si="50"/>
        <v>197.09415584415584</v>
      </c>
      <c r="K66" s="796">
        <f t="shared" si="51"/>
        <v>552.01539812183137</v>
      </c>
    </row>
    <row r="67" spans="1:11" ht="13.5" x14ac:dyDescent="0.25">
      <c r="A67" s="243">
        <f>Gen!B32</f>
        <v>44583</v>
      </c>
      <c r="C67" s="791">
        <v>240</v>
      </c>
      <c r="D67" s="792">
        <f t="shared" si="47"/>
        <v>173.6</v>
      </c>
      <c r="E67" s="793">
        <v>200</v>
      </c>
      <c r="F67" s="792">
        <f t="shared" si="48"/>
        <v>60.327868852459019</v>
      </c>
      <c r="G67" s="789">
        <v>280</v>
      </c>
      <c r="H67" s="794">
        <f t="shared" si="49"/>
        <v>106.73629242819844</v>
      </c>
      <c r="I67" s="790">
        <v>290</v>
      </c>
      <c r="J67" s="795">
        <f t="shared" si="50"/>
        <v>200.55194805194805</v>
      </c>
      <c r="K67" s="796">
        <f t="shared" si="51"/>
        <v>541.21610933260558</v>
      </c>
    </row>
    <row r="68" spans="1:11" ht="13.5" x14ac:dyDescent="0.25">
      <c r="A68" s="243">
        <f>Gen!B33</f>
        <v>44584</v>
      </c>
      <c r="C68" s="791">
        <v>270</v>
      </c>
      <c r="D68" s="792">
        <f t="shared" si="47"/>
        <v>195.3</v>
      </c>
      <c r="E68" s="793">
        <v>245</v>
      </c>
      <c r="F68" s="792">
        <f t="shared" si="48"/>
        <v>73.901639344262293</v>
      </c>
      <c r="G68" s="789">
        <v>300</v>
      </c>
      <c r="H68" s="794">
        <f t="shared" si="49"/>
        <v>114.36031331592689</v>
      </c>
      <c r="I68" s="790">
        <v>280</v>
      </c>
      <c r="J68" s="795">
        <f t="shared" si="50"/>
        <v>193.63636363636363</v>
      </c>
      <c r="K68" s="796">
        <f t="shared" si="51"/>
        <v>577.19831629655278</v>
      </c>
    </row>
    <row r="69" spans="1:11" ht="13.5" x14ac:dyDescent="0.25">
      <c r="A69" s="243">
        <f>Gen!B34</f>
        <v>44585</v>
      </c>
      <c r="C69" s="791">
        <v>300</v>
      </c>
      <c r="D69" s="792">
        <f t="shared" si="47"/>
        <v>217</v>
      </c>
      <c r="E69" s="793">
        <v>290</v>
      </c>
      <c r="F69" s="792">
        <f t="shared" si="48"/>
        <v>87.47540983606558</v>
      </c>
      <c r="G69" s="789">
        <v>295</v>
      </c>
      <c r="H69" s="792">
        <f>G69*146/383</f>
        <v>112.45430809399478</v>
      </c>
      <c r="I69" s="797">
        <v>285</v>
      </c>
      <c r="J69" s="792">
        <f t="shared" si="50"/>
        <v>197.09415584415584</v>
      </c>
      <c r="K69" s="796">
        <f t="shared" si="51"/>
        <v>614.02387377421621</v>
      </c>
    </row>
    <row r="70" spans="1:11" ht="13.5" x14ac:dyDescent="0.25">
      <c r="A70" s="243">
        <f>Gen!B35</f>
        <v>44586</v>
      </c>
      <c r="C70" s="791">
        <v>185</v>
      </c>
      <c r="D70" s="792">
        <f t="shared" si="47"/>
        <v>133.81666666666666</v>
      </c>
      <c r="E70" s="793">
        <v>150</v>
      </c>
      <c r="F70" s="792">
        <f>E70*92/305</f>
        <v>45.245901639344261</v>
      </c>
      <c r="G70" s="789">
        <v>300</v>
      </c>
      <c r="H70" s="792">
        <f t="shared" si="49"/>
        <v>114.36031331592689</v>
      </c>
      <c r="I70" s="798">
        <v>290</v>
      </c>
      <c r="J70" s="792">
        <f t="shared" si="50"/>
        <v>200.55194805194805</v>
      </c>
      <c r="K70" s="796">
        <f t="shared" si="51"/>
        <v>493.97482967388584</v>
      </c>
    </row>
    <row r="71" spans="1:11" ht="13.5" x14ac:dyDescent="0.25">
      <c r="A71" s="243">
        <f>Gen!B36</f>
        <v>44587</v>
      </c>
      <c r="C71" s="791">
        <v>125</v>
      </c>
      <c r="D71" s="792">
        <f t="shared" si="47"/>
        <v>90.416666666666671</v>
      </c>
      <c r="E71" s="793">
        <v>90</v>
      </c>
      <c r="F71" s="792">
        <f t="shared" si="48"/>
        <v>27.147540983606557</v>
      </c>
      <c r="G71" s="789">
        <v>235</v>
      </c>
      <c r="H71" s="792">
        <f t="shared" si="49"/>
        <v>89.582245430809394</v>
      </c>
      <c r="I71" s="797">
        <v>290</v>
      </c>
      <c r="J71" s="792">
        <f t="shared" si="50"/>
        <v>200.55194805194805</v>
      </c>
      <c r="K71" s="796">
        <f>D71+F71+H71+J71</f>
        <v>407.69840113303064</v>
      </c>
    </row>
    <row r="72" spans="1:11" ht="13.5" x14ac:dyDescent="0.25">
      <c r="A72" s="243">
        <f>Gen!B37</f>
        <v>44588</v>
      </c>
      <c r="C72" s="791">
        <v>145</v>
      </c>
      <c r="D72" s="792">
        <f t="shared" si="47"/>
        <v>104.88333333333334</v>
      </c>
      <c r="E72" s="793">
        <v>105</v>
      </c>
      <c r="F72" s="792">
        <f t="shared" si="48"/>
        <v>31.672131147540984</v>
      </c>
      <c r="G72" s="789">
        <v>300</v>
      </c>
      <c r="H72" s="792">
        <f t="shared" si="49"/>
        <v>114.36031331592689</v>
      </c>
      <c r="I72" s="793">
        <v>280</v>
      </c>
      <c r="J72" s="792">
        <f t="shared" si="50"/>
        <v>193.63636363636363</v>
      </c>
      <c r="K72" s="796">
        <f t="shared" si="51"/>
        <v>444.55214143316482</v>
      </c>
    </row>
    <row r="73" spans="1:11" ht="13.5" x14ac:dyDescent="0.25">
      <c r="A73" s="243">
        <f>Gen!B38</f>
        <v>44589</v>
      </c>
      <c r="C73" s="791">
        <v>193</v>
      </c>
      <c r="D73" s="792">
        <f t="shared" si="47"/>
        <v>139.60333333333332</v>
      </c>
      <c r="E73" s="793">
        <v>160</v>
      </c>
      <c r="F73" s="792">
        <f t="shared" si="48"/>
        <v>48.26229508196721</v>
      </c>
      <c r="G73" s="789">
        <v>235</v>
      </c>
      <c r="H73" s="792">
        <f t="shared" si="49"/>
        <v>89.582245430809394</v>
      </c>
      <c r="I73" s="793">
        <v>285</v>
      </c>
      <c r="J73" s="792">
        <f t="shared" si="50"/>
        <v>197.09415584415584</v>
      </c>
      <c r="K73" s="796">
        <f t="shared" si="51"/>
        <v>474.54202969026574</v>
      </c>
    </row>
    <row r="74" spans="1:11" ht="13.5" x14ac:dyDescent="0.25">
      <c r="A74" s="243">
        <f>Gen!B39</f>
        <v>44590</v>
      </c>
      <c r="C74" s="791">
        <v>180</v>
      </c>
      <c r="D74" s="792">
        <f t="shared" si="47"/>
        <v>130.19999999999999</v>
      </c>
      <c r="E74" s="793">
        <v>145</v>
      </c>
      <c r="F74" s="792">
        <f t="shared" si="48"/>
        <v>43.73770491803279</v>
      </c>
      <c r="G74" s="789">
        <v>300</v>
      </c>
      <c r="H74" s="792">
        <f t="shared" si="49"/>
        <v>114.36031331592689</v>
      </c>
      <c r="I74" s="793">
        <v>290</v>
      </c>
      <c r="J74" s="792">
        <f t="shared" si="50"/>
        <v>200.55194805194805</v>
      </c>
      <c r="K74" s="796">
        <f t="shared" si="51"/>
        <v>488.84996628590773</v>
      </c>
    </row>
    <row r="75" spans="1:11" ht="13.5" x14ac:dyDescent="0.25">
      <c r="A75" s="243">
        <f>Gen!B40</f>
        <v>44591</v>
      </c>
      <c r="B75" s="214"/>
      <c r="C75" s="791">
        <v>300</v>
      </c>
      <c r="D75" s="792">
        <f t="shared" si="47"/>
        <v>217</v>
      </c>
      <c r="E75" s="793">
        <v>290</v>
      </c>
      <c r="F75" s="792">
        <f t="shared" si="48"/>
        <v>87.47540983606558</v>
      </c>
      <c r="G75" s="789">
        <v>155</v>
      </c>
      <c r="H75" s="792">
        <f t="shared" si="49"/>
        <v>59.086161879895563</v>
      </c>
      <c r="I75" s="793">
        <v>280</v>
      </c>
      <c r="J75" s="792">
        <f t="shared" si="50"/>
        <v>193.63636363636363</v>
      </c>
      <c r="K75" s="796">
        <f t="shared" si="51"/>
        <v>557.19793535232475</v>
      </c>
    </row>
    <row r="76" spans="1:11" ht="13.5" x14ac:dyDescent="0.25">
      <c r="A76" s="243">
        <f>Gen!B41</f>
        <v>44592</v>
      </c>
      <c r="C76" s="791">
        <v>280</v>
      </c>
      <c r="D76" s="792">
        <f t="shared" si="47"/>
        <v>202.53333333333333</v>
      </c>
      <c r="E76" s="793">
        <v>245</v>
      </c>
      <c r="F76" s="792">
        <f t="shared" si="48"/>
        <v>73.901639344262293</v>
      </c>
      <c r="G76" s="789">
        <v>105</v>
      </c>
      <c r="H76" s="792">
        <f t="shared" si="49"/>
        <v>40.026109660574413</v>
      </c>
      <c r="I76" s="793">
        <v>280</v>
      </c>
      <c r="J76" s="792">
        <f t="shared" si="50"/>
        <v>193.63636363636363</v>
      </c>
      <c r="K76" s="796">
        <f t="shared" si="51"/>
        <v>510.09744597453368</v>
      </c>
    </row>
    <row r="77" spans="1:11" ht="13.5" x14ac:dyDescent="0.25">
      <c r="A77" s="243">
        <f>Gen!B42</f>
        <v>0</v>
      </c>
      <c r="C77" s="51"/>
      <c r="D77" s="792">
        <f t="shared" si="47"/>
        <v>0</v>
      </c>
      <c r="E77" s="6"/>
      <c r="F77" s="792">
        <f t="shared" si="48"/>
        <v>0</v>
      </c>
      <c r="G77" s="387"/>
      <c r="H77" s="792">
        <f t="shared" si="49"/>
        <v>0</v>
      </c>
      <c r="I77" s="6"/>
      <c r="J77" s="792">
        <f t="shared" si="50"/>
        <v>0</v>
      </c>
      <c r="K77" s="796">
        <f t="shared" si="51"/>
        <v>0</v>
      </c>
    </row>
    <row r="78" spans="1:11" ht="13.5" x14ac:dyDescent="0.25">
      <c r="A78" s="243" t="str">
        <f>Gen!B43</f>
        <v>BF</v>
      </c>
    </row>
  </sheetData>
  <mergeCells count="43"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</mergeCells>
  <phoneticPr fontId="4" type="noConversion"/>
  <pageMargins left="0.75" right="0.75" top="1" bottom="1" header="0.5" footer="0.5"/>
  <pageSetup scale="19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5"/>
  <sheetViews>
    <sheetView workbookViewId="0">
      <selection activeCell="D30" sqref="D30"/>
    </sheetView>
  </sheetViews>
  <sheetFormatPr defaultRowHeight="12.75" x14ac:dyDescent="0.2"/>
  <cols>
    <col min="1" max="1" width="9.7109375" bestFit="1" customWidth="1"/>
    <col min="2" max="2" width="10.28515625" style="11" bestFit="1" customWidth="1"/>
  </cols>
  <sheetData>
    <row r="1" spans="1:3" s="15" customFormat="1" x14ac:dyDescent="0.2">
      <c r="A1" s="13" t="s">
        <v>31</v>
      </c>
      <c r="B1" s="13" t="s">
        <v>331</v>
      </c>
      <c r="C1" s="13" t="s">
        <v>33</v>
      </c>
    </row>
    <row r="2" spans="1:3" x14ac:dyDescent="0.2">
      <c r="A2" s="77">
        <f>Gen!B11</f>
        <v>44562</v>
      </c>
      <c r="B2" s="12">
        <f>'Lpg (2)'!G10</f>
        <v>144.4520000000077</v>
      </c>
      <c r="C2" s="76">
        <f>Gen!C11</f>
        <v>0.41560000000000002</v>
      </c>
    </row>
    <row r="3" spans="1:3" x14ac:dyDescent="0.2">
      <c r="A3" s="77">
        <f>Gen!B12</f>
        <v>44563</v>
      </c>
      <c r="B3" s="12">
        <f>'Lpg (2)'!G11</f>
        <v>150.70000000000002</v>
      </c>
      <c r="C3" s="76">
        <f>Gen!C12</f>
        <v>0.53</v>
      </c>
    </row>
    <row r="4" spans="1:3" x14ac:dyDescent="0.2">
      <c r="A4" s="77">
        <f>Gen!B13</f>
        <v>44564</v>
      </c>
      <c r="B4" s="12">
        <f>'Lpg (2)'!G12</f>
        <v>156.94799999999233</v>
      </c>
      <c r="C4" s="76">
        <f>Gen!C13</f>
        <v>0.36</v>
      </c>
    </row>
    <row r="5" spans="1:3" x14ac:dyDescent="0.2">
      <c r="A5" s="77">
        <f>Gen!B14</f>
        <v>44565</v>
      </c>
      <c r="B5" s="12">
        <f>'Lpg (2)'!G13</f>
        <v>132.08800000001793</v>
      </c>
      <c r="C5" s="76">
        <f>Gen!C14</f>
        <v>0.35</v>
      </c>
    </row>
    <row r="6" spans="1:3" x14ac:dyDescent="0.2">
      <c r="A6" s="77">
        <f>Gen!B15</f>
        <v>44566</v>
      </c>
      <c r="B6" s="12">
        <f>'Lpg (2)'!G14</f>
        <v>122.1879999999539</v>
      </c>
      <c r="C6" s="76">
        <f>Gen!C15</f>
        <v>0.26</v>
      </c>
    </row>
    <row r="7" spans="1:3" x14ac:dyDescent="0.2">
      <c r="A7" s="77">
        <f>Gen!B16</f>
        <v>44567</v>
      </c>
      <c r="B7" s="12">
        <f>'Lpg (2)'!G15</f>
        <v>137.72000000001282</v>
      </c>
      <c r="C7" s="76">
        <f>Gen!C16</f>
        <v>0.31</v>
      </c>
    </row>
    <row r="8" spans="1:3" x14ac:dyDescent="0.2">
      <c r="A8" s="77">
        <f>Gen!B17</f>
        <v>44568</v>
      </c>
      <c r="B8" s="12">
        <f>'Lpg (2)'!G16</f>
        <v>132.87999999998721</v>
      </c>
      <c r="C8" s="76">
        <f>Gen!C17</f>
        <v>0.24679999999999999</v>
      </c>
    </row>
    <row r="9" spans="1:3" x14ac:dyDescent="0.2">
      <c r="A9" s="77">
        <f>Gen!B18</f>
        <v>44569</v>
      </c>
      <c r="B9" s="12">
        <f>'Lpg (2)'!G17</f>
        <v>112.02400000002818</v>
      </c>
      <c r="C9" s="76">
        <f>Gen!C18</f>
        <v>0.23</v>
      </c>
    </row>
    <row r="10" spans="1:3" x14ac:dyDescent="0.2">
      <c r="A10" s="77">
        <f>Gen!B19</f>
        <v>44570</v>
      </c>
      <c r="B10" s="12">
        <f>'Lpg (2)'!G18</f>
        <v>106.08400000000258</v>
      </c>
      <c r="C10" s="76">
        <f>Gen!C19</f>
        <v>0.20780000000000001</v>
      </c>
    </row>
    <row r="11" spans="1:3" x14ac:dyDescent="0.2">
      <c r="A11" s="77">
        <f>Gen!B20</f>
        <v>44571</v>
      </c>
      <c r="B11" s="12">
        <f>'Lpg (2)'!G19</f>
        <v>113.78400000000256</v>
      </c>
      <c r="C11" s="76">
        <f>Gen!C20</f>
        <v>0.17</v>
      </c>
    </row>
    <row r="12" spans="1:3" x14ac:dyDescent="0.2">
      <c r="A12" s="77">
        <f>Gen!B21</f>
        <v>44572</v>
      </c>
      <c r="B12" s="12">
        <f>'Lpg (2)'!G20</f>
        <v>116.90799999996672</v>
      </c>
      <c r="C12" s="76">
        <f>Gen!C21</f>
        <v>0.1</v>
      </c>
    </row>
    <row r="13" spans="1:3" x14ac:dyDescent="0.2">
      <c r="A13" s="77">
        <f>Gen!B22</f>
        <v>44573</v>
      </c>
      <c r="B13" s="12">
        <f>'Lpg (2)'!G21</f>
        <v>99.484000000002567</v>
      </c>
      <c r="C13" s="76">
        <f>Gen!C22</f>
        <v>6.4899999999999999E-2</v>
      </c>
    </row>
    <row r="14" spans="1:3" x14ac:dyDescent="0.2">
      <c r="A14" s="77">
        <f>Gen!B23</f>
        <v>44574</v>
      </c>
      <c r="B14" s="12">
        <f>'Lpg (2)'!G22</f>
        <v>90.904000000015373</v>
      </c>
      <c r="C14" s="76">
        <f>Gen!C23</f>
        <v>0.13</v>
      </c>
    </row>
    <row r="15" spans="1:3" x14ac:dyDescent="0.2">
      <c r="A15" s="77">
        <f>Gen!B24</f>
        <v>44575</v>
      </c>
      <c r="B15" s="12">
        <f>'Lpg (2)'!G23</f>
        <v>73.568000000005128</v>
      </c>
      <c r="C15" s="76">
        <f>Gen!C24</f>
        <v>0.18</v>
      </c>
    </row>
    <row r="16" spans="1:3" x14ac:dyDescent="0.2">
      <c r="A16" s="77">
        <f>Gen!B25</f>
        <v>44576</v>
      </c>
      <c r="B16" s="12">
        <f>'Lpg (2)'!G24</f>
        <v>74.315999999997445</v>
      </c>
      <c r="C16" s="76">
        <f>Gen!C25</f>
        <v>0.16</v>
      </c>
    </row>
    <row r="17" spans="1:3" x14ac:dyDescent="0.2">
      <c r="A17" s="77">
        <f>Gen!B26</f>
        <v>44577</v>
      </c>
      <c r="B17" s="12">
        <f>'Lpg (2)'!G25</f>
        <v>109.60400000001538</v>
      </c>
      <c r="C17" s="76">
        <f>Gen!C26</f>
        <v>0.18</v>
      </c>
    </row>
    <row r="18" spans="1:3" x14ac:dyDescent="0.2">
      <c r="A18" s="77">
        <f>Gen!B27</f>
        <v>44578</v>
      </c>
      <c r="B18" s="12">
        <f>'Lpg (2)'!G26</f>
        <v>108.9</v>
      </c>
      <c r="C18" s="76">
        <f>Gen!C27</f>
        <v>0.09</v>
      </c>
    </row>
    <row r="19" spans="1:3" x14ac:dyDescent="0.2">
      <c r="A19" s="77">
        <f>Gen!B28</f>
        <v>44579</v>
      </c>
      <c r="B19" s="12">
        <f>'Lpg (2)'!G27</f>
        <v>98.823999999964158</v>
      </c>
      <c r="C19" s="76">
        <f>Gen!C28</f>
        <v>0.16</v>
      </c>
    </row>
    <row r="20" spans="1:3" x14ac:dyDescent="0.2">
      <c r="A20" s="77">
        <f>Gen!B29</f>
        <v>44580</v>
      </c>
      <c r="B20" s="12">
        <f>'Lpg (2)'!G28</f>
        <v>113.82800000004355</v>
      </c>
      <c r="C20" s="76">
        <f>Gen!C29</f>
        <v>0.18</v>
      </c>
    </row>
    <row r="21" spans="1:3" x14ac:dyDescent="0.2">
      <c r="A21" s="77">
        <f>Gen!B30</f>
        <v>44581</v>
      </c>
      <c r="B21" s="12">
        <f>'Lpg (2)'!G29</f>
        <v>115.14799999999232</v>
      </c>
      <c r="C21" s="76">
        <f>Gen!C30</f>
        <v>0.21</v>
      </c>
    </row>
    <row r="22" spans="1:3" x14ac:dyDescent="0.2">
      <c r="A22" s="77">
        <f>Gen!B31</f>
        <v>44582</v>
      </c>
      <c r="B22" s="12">
        <f>'Lpg (2)'!G30</f>
        <v>113.82799999997953</v>
      </c>
      <c r="C22" s="76">
        <f>Gen!C31</f>
        <v>0.09</v>
      </c>
    </row>
    <row r="23" spans="1:3" x14ac:dyDescent="0.2">
      <c r="A23" s="77">
        <f>Gen!B32</f>
        <v>44583</v>
      </c>
      <c r="B23" s="12">
        <f>'Lpg (2)'!G31</f>
        <v>96.711999999982083</v>
      </c>
      <c r="C23" s="76">
        <f>Gen!C32</f>
        <v>0.08</v>
      </c>
    </row>
    <row r="24" spans="1:3" x14ac:dyDescent="0.2">
      <c r="A24" s="77">
        <f>Gen!B33</f>
        <v>44584</v>
      </c>
      <c r="B24" s="12">
        <f>'Lpg (2)'!G32</f>
        <v>93.23600000001025</v>
      </c>
      <c r="C24" s="76">
        <f>Gen!C33</f>
        <v>0.04</v>
      </c>
    </row>
    <row r="25" spans="1:3" x14ac:dyDescent="0.2">
      <c r="A25" s="77">
        <f>Gen!B34</f>
        <v>44585</v>
      </c>
      <c r="B25" s="12">
        <f>'Lpg (2)'!G33</f>
        <v>103.31200000004611</v>
      </c>
      <c r="C25" s="76">
        <f>Gen!C34</f>
        <v>0.1</v>
      </c>
    </row>
    <row r="26" spans="1:3" x14ac:dyDescent="0.2">
      <c r="A26" s="77">
        <f>Gen!B35</f>
        <v>44586</v>
      </c>
      <c r="B26" s="12">
        <f>'Lpg (2)'!G34</f>
        <v>113.38799999995391</v>
      </c>
      <c r="C26" s="76">
        <f>Gen!C35</f>
        <v>0.14000000000000001</v>
      </c>
    </row>
    <row r="27" spans="1:3" x14ac:dyDescent="0.2">
      <c r="A27" s="77">
        <f>Gen!B36</f>
        <v>44587</v>
      </c>
      <c r="B27" s="12">
        <f>'Lpg (2)'!G35</f>
        <v>121.35200000000769</v>
      </c>
      <c r="C27" s="76">
        <f>Gen!C36</f>
        <v>0.16</v>
      </c>
    </row>
    <row r="28" spans="1:3" x14ac:dyDescent="0.2">
      <c r="A28" s="77">
        <f>Gen!B37</f>
        <v>44588</v>
      </c>
      <c r="B28" s="12">
        <f>'Lpg (2)'!G36</f>
        <v>119.32799999997953</v>
      </c>
      <c r="C28" s="76">
        <f>Gen!C37</f>
        <v>0.13</v>
      </c>
    </row>
    <row r="29" spans="1:3" x14ac:dyDescent="0.2">
      <c r="A29" s="77">
        <f>Gen!B38</f>
        <v>44589</v>
      </c>
      <c r="B29" s="12">
        <f>'Lpg (2)'!G37</f>
        <v>116.07200000002049</v>
      </c>
      <c r="C29" s="76">
        <f>Gen!C38</f>
        <v>0.09</v>
      </c>
    </row>
    <row r="30" spans="1:3" x14ac:dyDescent="0.2">
      <c r="A30" s="77">
        <f>Gen!B39</f>
        <v>44590</v>
      </c>
      <c r="B30" s="12">
        <f>'Lpg (2)'!G38</f>
        <v>112.81599999999744</v>
      </c>
      <c r="C30" s="76">
        <f>Gen!C39</f>
        <v>0.09</v>
      </c>
    </row>
    <row r="31" spans="1:3" x14ac:dyDescent="0.2">
      <c r="A31" s="77">
        <f>Gen!B40</f>
        <v>44591</v>
      </c>
      <c r="B31" s="12">
        <f>'Lpg (2)'!G39</f>
        <v>103.79599999998464</v>
      </c>
      <c r="C31" s="76">
        <f>Gen!C40</f>
        <v>0.06</v>
      </c>
    </row>
    <row r="32" spans="1:3" x14ac:dyDescent="0.2">
      <c r="A32" s="77">
        <f>Gen!B41</f>
        <v>44592</v>
      </c>
      <c r="B32" s="12">
        <f>'Lpg (2)'!G40</f>
        <v>-4278.8239999999641</v>
      </c>
      <c r="C32" s="76">
        <f>Gen!C41</f>
        <v>0.05</v>
      </c>
    </row>
    <row r="33" spans="1:2" x14ac:dyDescent="0.2">
      <c r="A33" s="9"/>
      <c r="B33" s="12"/>
    </row>
    <row r="34" spans="1:2" x14ac:dyDescent="0.2">
      <c r="A34" s="9"/>
      <c r="B34" s="12"/>
    </row>
    <row r="35" spans="1:2" x14ac:dyDescent="0.2">
      <c r="A35" s="9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2"/>
  <sheetViews>
    <sheetView workbookViewId="0">
      <selection activeCell="H20" sqref="H20"/>
    </sheetView>
  </sheetViews>
  <sheetFormatPr defaultRowHeight="12.75" x14ac:dyDescent="0.2"/>
  <cols>
    <col min="1" max="1" width="9.7109375" bestFit="1" customWidth="1"/>
    <col min="2" max="2" width="9.28515625" style="11" bestFit="1" customWidth="1"/>
  </cols>
  <sheetData>
    <row r="1" spans="1:3" s="15" customFormat="1" x14ac:dyDescent="0.2">
      <c r="A1" s="13" t="s">
        <v>31</v>
      </c>
      <c r="B1" s="13" t="s">
        <v>332</v>
      </c>
      <c r="C1" s="13" t="s">
        <v>33</v>
      </c>
    </row>
    <row r="2" spans="1:3" x14ac:dyDescent="0.2">
      <c r="A2" s="77">
        <f>Gen!B11</f>
        <v>44562</v>
      </c>
      <c r="B2" s="12" t="e">
        <v>#REF!</v>
      </c>
      <c r="C2" s="880">
        <f>Gen!C11</f>
        <v>0.41560000000000002</v>
      </c>
    </row>
    <row r="3" spans="1:3" x14ac:dyDescent="0.2">
      <c r="A3" s="77">
        <f>Gen!B12</f>
        <v>44563</v>
      </c>
      <c r="B3" s="12" t="e">
        <v>#REF!</v>
      </c>
      <c r="C3" s="880">
        <f>Gen!C12</f>
        <v>0.53</v>
      </c>
    </row>
    <row r="4" spans="1:3" x14ac:dyDescent="0.2">
      <c r="A4" s="77">
        <f>Gen!B13</f>
        <v>44564</v>
      </c>
      <c r="B4" s="12" t="e">
        <v>#REF!</v>
      </c>
      <c r="C4" s="880">
        <f>Gen!C13</f>
        <v>0.36</v>
      </c>
    </row>
    <row r="5" spans="1:3" x14ac:dyDescent="0.2">
      <c r="A5" s="77">
        <f>Gen!B14</f>
        <v>44565</v>
      </c>
      <c r="B5" s="12" t="e">
        <v>#REF!</v>
      </c>
      <c r="C5" s="880">
        <f>Gen!C14</f>
        <v>0.35</v>
      </c>
    </row>
    <row r="6" spans="1:3" x14ac:dyDescent="0.2">
      <c r="A6" s="77">
        <f>Gen!B15</f>
        <v>44566</v>
      </c>
      <c r="B6" s="12" t="e">
        <v>#REF!</v>
      </c>
      <c r="C6" s="880">
        <f>Gen!C15</f>
        <v>0.26</v>
      </c>
    </row>
    <row r="7" spans="1:3" x14ac:dyDescent="0.2">
      <c r="A7" s="77">
        <f>Gen!B16</f>
        <v>44567</v>
      </c>
      <c r="B7" s="12" t="e">
        <v>#REF!</v>
      </c>
      <c r="C7" s="880">
        <f>Gen!C16</f>
        <v>0.31</v>
      </c>
    </row>
    <row r="8" spans="1:3" x14ac:dyDescent="0.2">
      <c r="A8" s="77">
        <f>Gen!B17</f>
        <v>44568</v>
      </c>
      <c r="B8" s="12" t="e">
        <v>#REF!</v>
      </c>
      <c r="C8" s="880">
        <f>Gen!C17</f>
        <v>0.24679999999999999</v>
      </c>
    </row>
    <row r="9" spans="1:3" x14ac:dyDescent="0.2">
      <c r="A9" s="77">
        <f>Gen!B18</f>
        <v>44569</v>
      </c>
      <c r="B9" s="12" t="e">
        <v>#REF!</v>
      </c>
      <c r="C9" s="880">
        <f>Gen!C18</f>
        <v>0.23</v>
      </c>
    </row>
    <row r="10" spans="1:3" x14ac:dyDescent="0.2">
      <c r="A10" s="77">
        <f>Gen!B19</f>
        <v>44570</v>
      </c>
      <c r="B10" s="12" t="e">
        <v>#REF!</v>
      </c>
      <c r="C10" s="880">
        <f>Gen!C19</f>
        <v>0.20780000000000001</v>
      </c>
    </row>
    <row r="11" spans="1:3" x14ac:dyDescent="0.2">
      <c r="A11" s="77">
        <f>Gen!B20</f>
        <v>44571</v>
      </c>
      <c r="B11" s="12" t="e">
        <v>#REF!</v>
      </c>
      <c r="C11" s="880">
        <f>Gen!C20</f>
        <v>0.17</v>
      </c>
    </row>
    <row r="12" spans="1:3" x14ac:dyDescent="0.2">
      <c r="A12" s="77">
        <f>Gen!B21</f>
        <v>44572</v>
      </c>
      <c r="B12" s="12" t="e">
        <v>#REF!</v>
      </c>
      <c r="C12" s="880">
        <f>Gen!C21</f>
        <v>0.1</v>
      </c>
    </row>
    <row r="13" spans="1:3" x14ac:dyDescent="0.2">
      <c r="A13" s="77">
        <f>Gen!B22</f>
        <v>44573</v>
      </c>
      <c r="B13" s="12" t="e">
        <v>#REF!</v>
      </c>
      <c r="C13" s="880">
        <f>Gen!C22</f>
        <v>6.4899999999999999E-2</v>
      </c>
    </row>
    <row r="14" spans="1:3" x14ac:dyDescent="0.2">
      <c r="A14" s="77">
        <f>Gen!B23</f>
        <v>44574</v>
      </c>
      <c r="B14" s="12" t="e">
        <v>#REF!</v>
      </c>
      <c r="C14" s="880">
        <f>Gen!C23</f>
        <v>0.13</v>
      </c>
    </row>
    <row r="15" spans="1:3" x14ac:dyDescent="0.2">
      <c r="A15" s="77">
        <f>Gen!B24</f>
        <v>44575</v>
      </c>
      <c r="B15" s="12" t="e">
        <v>#REF!</v>
      </c>
      <c r="C15" s="880">
        <f>Gen!C24</f>
        <v>0.18</v>
      </c>
    </row>
    <row r="16" spans="1:3" x14ac:dyDescent="0.2">
      <c r="A16" s="77">
        <f>Gen!B25</f>
        <v>44576</v>
      </c>
      <c r="B16" s="12" t="e">
        <v>#REF!</v>
      </c>
      <c r="C16" s="880">
        <f>Gen!C25</f>
        <v>0.16</v>
      </c>
    </row>
    <row r="17" spans="1:3" x14ac:dyDescent="0.2">
      <c r="A17" s="77">
        <f>Gen!B26</f>
        <v>44577</v>
      </c>
      <c r="B17" s="12" t="e">
        <v>#REF!</v>
      </c>
      <c r="C17" s="880">
        <f>Gen!C26</f>
        <v>0.18</v>
      </c>
    </row>
    <row r="18" spans="1:3" x14ac:dyDescent="0.2">
      <c r="A18" s="77">
        <f>Gen!B27</f>
        <v>44578</v>
      </c>
      <c r="B18" s="12" t="e">
        <v>#REF!</v>
      </c>
      <c r="C18" s="880">
        <f>Gen!C27</f>
        <v>0.09</v>
      </c>
    </row>
    <row r="19" spans="1:3" x14ac:dyDescent="0.2">
      <c r="A19" s="77">
        <f>Gen!B28</f>
        <v>44579</v>
      </c>
      <c r="B19" s="12" t="e">
        <v>#REF!</v>
      </c>
      <c r="C19" s="880">
        <f>Gen!C28</f>
        <v>0.16</v>
      </c>
    </row>
    <row r="20" spans="1:3" x14ac:dyDescent="0.2">
      <c r="A20" s="77">
        <f>Gen!B29</f>
        <v>44580</v>
      </c>
      <c r="B20" s="12" t="e">
        <v>#REF!</v>
      </c>
      <c r="C20" s="880">
        <f>Gen!C29</f>
        <v>0.18</v>
      </c>
    </row>
    <row r="21" spans="1:3" x14ac:dyDescent="0.2">
      <c r="A21" s="77">
        <f>Gen!B30</f>
        <v>44581</v>
      </c>
      <c r="B21" s="12" t="e">
        <v>#REF!</v>
      </c>
      <c r="C21" s="880">
        <f>Gen!C30</f>
        <v>0.21</v>
      </c>
    </row>
    <row r="22" spans="1:3" x14ac:dyDescent="0.2">
      <c r="A22" s="77">
        <f>Gen!B31</f>
        <v>44582</v>
      </c>
      <c r="B22" s="12" t="e">
        <v>#REF!</v>
      </c>
      <c r="C22" s="880">
        <f>Gen!C31</f>
        <v>0.09</v>
      </c>
    </row>
    <row r="23" spans="1:3" x14ac:dyDescent="0.2">
      <c r="A23" s="77">
        <f>Gen!B32</f>
        <v>44583</v>
      </c>
      <c r="B23" s="12" t="e">
        <v>#REF!</v>
      </c>
      <c r="C23" s="880">
        <f>Gen!C32</f>
        <v>0.08</v>
      </c>
    </row>
    <row r="24" spans="1:3" x14ac:dyDescent="0.2">
      <c r="A24" s="77">
        <f>Gen!B33</f>
        <v>44584</v>
      </c>
      <c r="B24" s="12" t="e">
        <v>#REF!</v>
      </c>
      <c r="C24" s="880">
        <f>Gen!C33</f>
        <v>0.04</v>
      </c>
    </row>
    <row r="25" spans="1:3" x14ac:dyDescent="0.2">
      <c r="A25" s="77">
        <f>Gen!B34</f>
        <v>44585</v>
      </c>
      <c r="B25" s="12" t="e">
        <v>#REF!</v>
      </c>
      <c r="C25" s="880">
        <f>Gen!C34</f>
        <v>0.1</v>
      </c>
    </row>
    <row r="26" spans="1:3" x14ac:dyDescent="0.2">
      <c r="A26" s="77">
        <f>Gen!B35</f>
        <v>44586</v>
      </c>
      <c r="B26" s="12" t="e">
        <v>#REF!</v>
      </c>
      <c r="C26" s="880">
        <f>Gen!C35</f>
        <v>0.14000000000000001</v>
      </c>
    </row>
    <row r="27" spans="1:3" x14ac:dyDescent="0.2">
      <c r="A27" s="77">
        <f>Gen!B36</f>
        <v>44587</v>
      </c>
      <c r="B27" s="12" t="e">
        <v>#REF!</v>
      </c>
      <c r="C27" s="880">
        <f>Gen!C36</f>
        <v>0.16</v>
      </c>
    </row>
    <row r="28" spans="1:3" x14ac:dyDescent="0.2">
      <c r="A28" s="77">
        <f>Gen!B37</f>
        <v>44588</v>
      </c>
      <c r="B28" s="12" t="e">
        <v>#REF!</v>
      </c>
      <c r="C28" s="880">
        <f>Gen!C37</f>
        <v>0.13</v>
      </c>
    </row>
    <row r="29" spans="1:3" x14ac:dyDescent="0.2">
      <c r="A29" s="77">
        <f>Gen!B38</f>
        <v>44589</v>
      </c>
      <c r="B29" s="12" t="e">
        <v>#REF!</v>
      </c>
      <c r="C29" s="880">
        <f>Gen!C38</f>
        <v>0.09</v>
      </c>
    </row>
    <row r="30" spans="1:3" x14ac:dyDescent="0.2">
      <c r="A30" s="77">
        <f>Gen!B39</f>
        <v>44590</v>
      </c>
      <c r="B30" s="12">
        <v>-212333</v>
      </c>
      <c r="C30" s="880">
        <f>Gen!C39</f>
        <v>0.09</v>
      </c>
    </row>
    <row r="31" spans="1:3" x14ac:dyDescent="0.2">
      <c r="A31" s="77">
        <f>Gen!B40</f>
        <v>44591</v>
      </c>
      <c r="B31" s="12" t="e">
        <v>#REF!</v>
      </c>
      <c r="C31" s="880">
        <f>Gen!C40</f>
        <v>0.06</v>
      </c>
    </row>
    <row r="32" spans="1:3" x14ac:dyDescent="0.2">
      <c r="A32" s="77">
        <f>Gen!B41</f>
        <v>44592</v>
      </c>
      <c r="B32" s="12" t="e">
        <v>#REF!</v>
      </c>
      <c r="C32" s="880">
        <f>Gen!C41</f>
        <v>0.05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40"/>
  <sheetViews>
    <sheetView topLeftCell="B1" workbookViewId="0">
      <selection activeCell="AD18" sqref="AD18"/>
    </sheetView>
  </sheetViews>
  <sheetFormatPr defaultRowHeight="12.75" x14ac:dyDescent="0.2"/>
  <cols>
    <col min="1" max="1" width="9.7109375" bestFit="1" customWidth="1"/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7" max="17" width="14.7109375" bestFit="1" customWidth="1"/>
    <col min="18" max="18" width="11.42578125" bestFit="1" customWidth="1"/>
    <col min="19" max="19" width="11.28515625" customWidth="1"/>
    <col min="20" max="20" width="11.28515625" bestFit="1" customWidth="1"/>
    <col min="21" max="21" width="12.8554687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 x14ac:dyDescent="0.25"/>
    <row r="2" spans="1:27" x14ac:dyDescent="0.2">
      <c r="A2" s="1001" t="s">
        <v>333</v>
      </c>
      <c r="B2" s="1002"/>
      <c r="C2" s="1002"/>
      <c r="D2" s="1002"/>
      <c r="E2" s="1003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74">
        <v>2209.85</v>
      </c>
      <c r="R2" s="349" t="s">
        <v>334</v>
      </c>
      <c r="S2" s="349" t="s">
        <v>335</v>
      </c>
      <c r="T2" s="74">
        <v>1584</v>
      </c>
      <c r="U2" s="50"/>
      <c r="V2" s="54"/>
      <c r="W2" s="49"/>
    </row>
    <row r="3" spans="1:27" ht="38.25" customHeight="1" x14ac:dyDescent="0.2">
      <c r="A3" s="51"/>
      <c r="B3" s="16"/>
      <c r="C3" s="6"/>
      <c r="D3" s="6"/>
      <c r="E3" s="6"/>
      <c r="F3" s="6"/>
      <c r="G3" s="6"/>
      <c r="H3" s="6"/>
      <c r="I3" s="6"/>
      <c r="J3" s="6"/>
      <c r="K3" s="6"/>
      <c r="L3" s="6"/>
      <c r="M3" s="103" t="s">
        <v>336</v>
      </c>
      <c r="N3" s="103"/>
      <c r="O3" s="103"/>
      <c r="P3" s="103" t="s">
        <v>337</v>
      </c>
      <c r="Q3" s="104" t="s">
        <v>338</v>
      </c>
      <c r="R3" s="104"/>
      <c r="S3" s="104"/>
      <c r="T3" s="350"/>
      <c r="U3" s="351"/>
      <c r="V3" s="56" t="s">
        <v>339</v>
      </c>
      <c r="W3" s="103" t="s">
        <v>340</v>
      </c>
      <c r="AA3" s="123" t="s">
        <v>341</v>
      </c>
    </row>
    <row r="4" spans="1:27" s="40" customFormat="1" ht="50.25" customHeight="1" x14ac:dyDescent="0.2">
      <c r="A4" s="52" t="s">
        <v>31</v>
      </c>
      <c r="B4" s="64" t="s">
        <v>257</v>
      </c>
      <c r="C4" s="41" t="s">
        <v>258</v>
      </c>
      <c r="D4" s="41" t="s">
        <v>259</v>
      </c>
      <c r="E4" s="41" t="s">
        <v>260</v>
      </c>
      <c r="F4" s="41" t="s">
        <v>261</v>
      </c>
      <c r="G4" s="41" t="s">
        <v>342</v>
      </c>
      <c r="H4" s="41" t="s">
        <v>343</v>
      </c>
      <c r="I4" s="41" t="s">
        <v>344</v>
      </c>
      <c r="J4" s="41" t="s">
        <v>345</v>
      </c>
      <c r="K4" s="41" t="s">
        <v>266</v>
      </c>
      <c r="L4" s="41" t="s">
        <v>267</v>
      </c>
      <c r="M4" s="41">
        <v>3</v>
      </c>
      <c r="N4" s="41">
        <v>2</v>
      </c>
      <c r="O4" s="41">
        <v>1</v>
      </c>
      <c r="P4" s="45"/>
      <c r="Q4" s="48" t="s">
        <v>346</v>
      </c>
      <c r="R4" s="48" t="s">
        <v>347</v>
      </c>
      <c r="S4" s="48" t="s">
        <v>348</v>
      </c>
      <c r="T4" s="48" t="s">
        <v>105</v>
      </c>
      <c r="U4" s="53" t="s">
        <v>106</v>
      </c>
      <c r="V4" s="55"/>
      <c r="W4" s="44"/>
    </row>
    <row r="5" spans="1:27" x14ac:dyDescent="0.2">
      <c r="A5" s="42">
        <f>Gen!B11</f>
        <v>44562</v>
      </c>
      <c r="B5" s="66">
        <v>0</v>
      </c>
      <c r="C5" s="71">
        <f>Gen!C11</f>
        <v>0.41560000000000002</v>
      </c>
      <c r="D5" s="348">
        <f>E5</f>
        <v>34</v>
      </c>
      <c r="E5" s="336">
        <f>'Summery Report'!E5</f>
        <v>34</v>
      </c>
      <c r="F5" s="59">
        <f>Gen!V11</f>
        <v>0.41514575411913812</v>
      </c>
      <c r="G5" s="69">
        <f>Gen!U11</f>
        <v>4734</v>
      </c>
      <c r="H5" s="69" t="e">
        <v>#REF!</v>
      </c>
      <c r="I5" s="69" t="e">
        <f t="shared" ref="I5:I35" si="0">SUM(G5:H5)</f>
        <v>#REF!</v>
      </c>
      <c r="J5" s="69">
        <v>47806.650000000031</v>
      </c>
      <c r="K5" s="58">
        <f>'Water-Meter'!E6</f>
        <v>116</v>
      </c>
      <c r="L5" s="360">
        <f>'Lpg (2)'!G10</f>
        <v>144.4520000000077</v>
      </c>
      <c r="M5" s="72" t="e">
        <f>#REF!</f>
        <v>#REF!</v>
      </c>
      <c r="N5" s="72" t="e">
        <f>#REF!</f>
        <v>#REF!</v>
      </c>
      <c r="O5" s="72" t="e">
        <f>#REF!</f>
        <v>#REF!</v>
      </c>
      <c r="P5" s="73">
        <f t="shared" ref="P5:P35" si="1">J5/52000</f>
        <v>0.91935865384615445</v>
      </c>
      <c r="Q5" s="6" t="e">
        <f>I5*Q2</f>
        <v>#REF!</v>
      </c>
      <c r="R5" s="62" t="e">
        <f>SUM(Q5/D5)/X5</f>
        <v>#REF!</v>
      </c>
      <c r="S5" s="352" t="e">
        <f>SUM(Q5/E5)/X5</f>
        <v>#REF!</v>
      </c>
      <c r="T5" s="62">
        <f>(K5*102)/X5</f>
        <v>7.4696969696969697</v>
      </c>
      <c r="U5" s="106">
        <f>SUM(L5*1963)/X5</f>
        <v>179.01469444445397</v>
      </c>
      <c r="V5" s="17" t="e">
        <f>SUM(Q5+T5+U5)</f>
        <v>#REF!</v>
      </c>
      <c r="W5" s="108" t="e">
        <f>SUM(V5/E5)/T2</f>
        <v>#REF!</v>
      </c>
      <c r="X5">
        <f>SUM(T2)</f>
        <v>1584</v>
      </c>
      <c r="Y5" s="353">
        <v>106</v>
      </c>
      <c r="Z5" s="63" t="e">
        <f>SUM(Y5-S5)</f>
        <v>#REF!</v>
      </c>
      <c r="AA5">
        <v>106</v>
      </c>
    </row>
    <row r="6" spans="1:27" x14ac:dyDescent="0.2">
      <c r="A6" s="42">
        <f>Gen!B12</f>
        <v>44563</v>
      </c>
      <c r="B6" s="66">
        <v>0</v>
      </c>
      <c r="C6" s="71">
        <f>Gen!C12</f>
        <v>0.53</v>
      </c>
      <c r="D6" s="348">
        <f t="shared" ref="D6:D35" si="2">E6</f>
        <v>42</v>
      </c>
      <c r="E6" s="336">
        <f>'Summery Report'!E6</f>
        <v>42</v>
      </c>
      <c r="F6" s="59">
        <f>Gen!V12</f>
        <v>0.42232741617357</v>
      </c>
      <c r="G6" s="69">
        <f>Gen!U12</f>
        <v>4563</v>
      </c>
      <c r="H6" s="69" t="e">
        <v>#REF!</v>
      </c>
      <c r="I6" s="69" t="e">
        <f t="shared" si="0"/>
        <v>#REF!</v>
      </c>
      <c r="J6" s="69">
        <v>45423.890000000029</v>
      </c>
      <c r="K6" s="58">
        <f>'Water-Meter'!E7</f>
        <v>94</v>
      </c>
      <c r="L6" s="360">
        <f>'Lpg (2)'!G11</f>
        <v>150.70000000000002</v>
      </c>
      <c r="M6" s="72" t="e">
        <f>#REF!</f>
        <v>#REF!</v>
      </c>
      <c r="N6" s="72" t="e">
        <f>#REF!</f>
        <v>#REF!</v>
      </c>
      <c r="O6" s="72" t="e">
        <f>#REF!</f>
        <v>#REF!</v>
      </c>
      <c r="P6" s="73">
        <f t="shared" si="1"/>
        <v>0.87353634615384668</v>
      </c>
      <c r="Q6" s="6" t="e">
        <f>I6*Q2</f>
        <v>#REF!</v>
      </c>
      <c r="R6" s="62" t="e">
        <f t="shared" ref="R6:R35" si="3">SUM(Q6/D6)/X6</f>
        <v>#REF!</v>
      </c>
      <c r="S6" s="352" t="e">
        <f t="shared" ref="S6:S35" si="4">SUM(Q6/E6)/X6</f>
        <v>#REF!</v>
      </c>
      <c r="T6" s="62">
        <f t="shared" ref="T6:T35" si="5">(K6*102)/X6</f>
        <v>6.0530303030303028</v>
      </c>
      <c r="U6" s="106">
        <f t="shared" ref="U6:U35" si="6">SUM(L6*1963)/X6</f>
        <v>186.75763888888892</v>
      </c>
      <c r="V6" s="17" t="e">
        <f t="shared" ref="V6:V36" si="7">SUM(Q6+T6+U6)</f>
        <v>#REF!</v>
      </c>
      <c r="W6" s="108" t="e">
        <f>SUM(V6/E6)/T2</f>
        <v>#REF!</v>
      </c>
      <c r="X6">
        <f>SUM(X5)</f>
        <v>1584</v>
      </c>
      <c r="Y6" s="353">
        <v>106</v>
      </c>
      <c r="Z6" s="63" t="e">
        <f t="shared" ref="Z6:Z35" si="8">SUM(Y6-S6)</f>
        <v>#REF!</v>
      </c>
    </row>
    <row r="7" spans="1:27" x14ac:dyDescent="0.2">
      <c r="A7" s="42">
        <f>Gen!B13</f>
        <v>44564</v>
      </c>
      <c r="B7" s="66">
        <v>0</v>
      </c>
      <c r="C7" s="71">
        <f>Gen!C13</f>
        <v>0.36</v>
      </c>
      <c r="D7" s="348">
        <f t="shared" si="2"/>
        <v>29</v>
      </c>
      <c r="E7" s="336">
        <f>'Summery Report'!E7</f>
        <v>29</v>
      </c>
      <c r="F7" s="59">
        <f>Gen!V13</f>
        <v>0.40662877131613462</v>
      </c>
      <c r="G7" s="69">
        <f>Gen!U13</f>
        <v>4574</v>
      </c>
      <c r="H7" s="69" t="e">
        <v>#REF!</v>
      </c>
      <c r="I7" s="69" t="e">
        <f t="shared" si="0"/>
        <v>#REF!</v>
      </c>
      <c r="J7" s="69">
        <v>42919.590000000026</v>
      </c>
      <c r="K7" s="58">
        <f>'Water-Meter'!E8</f>
        <v>110</v>
      </c>
      <c r="L7" s="360">
        <f>'Lpg (2)'!G12</f>
        <v>156.94799999999233</v>
      </c>
      <c r="M7" s="72" t="e">
        <f>#REF!</f>
        <v>#REF!</v>
      </c>
      <c r="N7" s="72" t="e">
        <f>#REF!</f>
        <v>#REF!</v>
      </c>
      <c r="O7" s="72" t="e">
        <f>#REF!</f>
        <v>#REF!</v>
      </c>
      <c r="P7" s="73">
        <f t="shared" si="1"/>
        <v>0.82537673076923124</v>
      </c>
      <c r="Q7" s="6" t="e">
        <f>I7*Q2</f>
        <v>#REF!</v>
      </c>
      <c r="R7" s="62" t="e">
        <f t="shared" si="3"/>
        <v>#REF!</v>
      </c>
      <c r="S7" s="352" t="e">
        <f t="shared" si="4"/>
        <v>#REF!</v>
      </c>
      <c r="T7" s="62">
        <f t="shared" si="5"/>
        <v>7.083333333333333</v>
      </c>
      <c r="U7" s="106">
        <f t="shared" si="6"/>
        <v>194.50058333332382</v>
      </c>
      <c r="V7" s="17" t="e">
        <f t="shared" si="7"/>
        <v>#REF!</v>
      </c>
      <c r="W7" s="108" t="e">
        <f>SUM(V7/E7)/T2</f>
        <v>#REF!</v>
      </c>
      <c r="X7">
        <f t="shared" ref="X7:X35" si="9">SUM(X6)</f>
        <v>1584</v>
      </c>
      <c r="Y7" s="353">
        <v>106</v>
      </c>
      <c r="Z7" s="63" t="e">
        <f t="shared" si="8"/>
        <v>#REF!</v>
      </c>
    </row>
    <row r="8" spans="1:27" x14ac:dyDescent="0.2">
      <c r="A8" s="42">
        <f>Gen!B14</f>
        <v>44565</v>
      </c>
      <c r="B8" s="66">
        <v>0</v>
      </c>
      <c r="C8" s="71">
        <f>Gen!C14</f>
        <v>0.35</v>
      </c>
      <c r="D8" s="348">
        <f t="shared" si="2"/>
        <v>28</v>
      </c>
      <c r="E8" s="336">
        <f>'Summery Report'!E8</f>
        <v>28</v>
      </c>
      <c r="F8" s="59">
        <f>Gen!V14</f>
        <v>0.43481362172112281</v>
      </c>
      <c r="G8" s="69">
        <f>Gen!U14</f>
        <v>4346</v>
      </c>
      <c r="H8" s="69" t="e">
        <v>#REF!</v>
      </c>
      <c r="I8" s="69" t="e">
        <f t="shared" si="0"/>
        <v>#REF!</v>
      </c>
      <c r="J8" s="69">
        <v>40258.940000000024</v>
      </c>
      <c r="K8" s="58">
        <f>'Water-Meter'!E9</f>
        <v>94</v>
      </c>
      <c r="L8" s="360">
        <f>'Lpg (2)'!G13</f>
        <v>132.08800000001793</v>
      </c>
      <c r="M8" s="72" t="e">
        <f>#REF!</f>
        <v>#REF!</v>
      </c>
      <c r="N8" s="72" t="e">
        <f>#REF!</f>
        <v>#REF!</v>
      </c>
      <c r="O8" s="72" t="e">
        <f>#REF!</f>
        <v>#REF!</v>
      </c>
      <c r="P8" s="73">
        <f t="shared" si="1"/>
        <v>0.77421038461538505</v>
      </c>
      <c r="Q8" s="6" t="e">
        <f>I8*Q2</f>
        <v>#REF!</v>
      </c>
      <c r="R8" s="62" t="e">
        <f t="shared" si="3"/>
        <v>#REF!</v>
      </c>
      <c r="S8" s="352" t="e">
        <f t="shared" si="4"/>
        <v>#REF!</v>
      </c>
      <c r="T8" s="62">
        <f t="shared" si="5"/>
        <v>6.0530303030303028</v>
      </c>
      <c r="U8" s="106">
        <f t="shared" si="6"/>
        <v>163.6923888889111</v>
      </c>
      <c r="V8" s="17" t="e">
        <f t="shared" si="7"/>
        <v>#REF!</v>
      </c>
      <c r="W8" s="108" t="e">
        <f>SUM(V8/E8)/T2</f>
        <v>#REF!</v>
      </c>
      <c r="X8">
        <f t="shared" si="9"/>
        <v>1584</v>
      </c>
      <c r="Y8" s="353">
        <v>106</v>
      </c>
      <c r="Z8" s="63" t="e">
        <f t="shared" si="8"/>
        <v>#REF!</v>
      </c>
    </row>
    <row r="9" spans="1:27" x14ac:dyDescent="0.2">
      <c r="A9" s="42">
        <f>Gen!B15</f>
        <v>44566</v>
      </c>
      <c r="B9" s="66">
        <v>0</v>
      </c>
      <c r="C9" s="71">
        <f>Gen!C15</f>
        <v>0.26</v>
      </c>
      <c r="D9" s="348">
        <f t="shared" si="2"/>
        <v>21</v>
      </c>
      <c r="E9" s="336">
        <f>'Summery Report'!E9</f>
        <v>21</v>
      </c>
      <c r="F9" s="59">
        <f>Gen!V15</f>
        <v>0.43244897959183681</v>
      </c>
      <c r="G9" s="69">
        <f>Gen!U15</f>
        <v>3969</v>
      </c>
      <c r="H9" s="69">
        <v>0</v>
      </c>
      <c r="I9" s="69">
        <f t="shared" si="0"/>
        <v>3969</v>
      </c>
      <c r="J9" s="69">
        <v>37525.210000000021</v>
      </c>
      <c r="K9" s="58">
        <f>'Water-Meter'!E10</f>
        <v>86</v>
      </c>
      <c r="L9" s="360">
        <f>'Lpg (2)'!G14</f>
        <v>122.1879999999539</v>
      </c>
      <c r="M9" s="72" t="e">
        <f>#REF!</f>
        <v>#REF!</v>
      </c>
      <c r="N9" s="72" t="e">
        <f>#REF!</f>
        <v>#REF!</v>
      </c>
      <c r="O9" s="72" t="e">
        <f>#REF!</f>
        <v>#REF!</v>
      </c>
      <c r="P9" s="73">
        <f t="shared" si="1"/>
        <v>0.72163865384615422</v>
      </c>
      <c r="Q9" s="6">
        <f>I9*Q2</f>
        <v>8770894.6500000004</v>
      </c>
      <c r="R9" s="62">
        <f t="shared" si="3"/>
        <v>263.67528409090909</v>
      </c>
      <c r="S9" s="352">
        <f t="shared" si="4"/>
        <v>263.67528409090909</v>
      </c>
      <c r="T9" s="62">
        <f t="shared" si="5"/>
        <v>5.5378787878787881</v>
      </c>
      <c r="U9" s="106">
        <f t="shared" si="6"/>
        <v>151.42363888883176</v>
      </c>
      <c r="V9" s="17">
        <f t="shared" si="7"/>
        <v>8771051.6115176771</v>
      </c>
      <c r="W9" s="108">
        <f>SUM(V9/E9)/T2</f>
        <v>263.68000275125291</v>
      </c>
      <c r="X9">
        <f t="shared" si="9"/>
        <v>1584</v>
      </c>
      <c r="Y9" s="353">
        <v>106</v>
      </c>
      <c r="Z9" s="63">
        <f t="shared" si="8"/>
        <v>-157.67528409090909</v>
      </c>
    </row>
    <row r="10" spans="1:27" x14ac:dyDescent="0.2">
      <c r="A10" s="42">
        <f>Gen!B16</f>
        <v>44567</v>
      </c>
      <c r="B10" s="66">
        <v>0</v>
      </c>
      <c r="C10" s="71">
        <f>Gen!C16</f>
        <v>0.31</v>
      </c>
      <c r="D10" s="348">
        <f t="shared" si="2"/>
        <v>25</v>
      </c>
      <c r="E10" s="336">
        <f>'Summery Report'!E10</f>
        <v>25</v>
      </c>
      <c r="F10" s="59">
        <f>Gen!V16</f>
        <v>0.42292485549132952</v>
      </c>
      <c r="G10" s="69">
        <f>Gen!U16</f>
        <v>4325</v>
      </c>
      <c r="H10" s="69" t="e">
        <v>#REF!</v>
      </c>
      <c r="I10" s="69" t="e">
        <f t="shared" si="0"/>
        <v>#REF!</v>
      </c>
      <c r="J10" s="69">
        <v>35107.690000000024</v>
      </c>
      <c r="K10" s="58">
        <f>'Water-Meter'!E11</f>
        <v>90</v>
      </c>
      <c r="L10" s="360">
        <f>'Lpg (2)'!G15</f>
        <v>137.72000000001282</v>
      </c>
      <c r="M10" s="72" t="e">
        <f>#REF!</f>
        <v>#REF!</v>
      </c>
      <c r="N10" s="72" t="e">
        <f>#REF!</f>
        <v>#REF!</v>
      </c>
      <c r="O10" s="72" t="e">
        <f>#REF!</f>
        <v>#REF!</v>
      </c>
      <c r="P10" s="73">
        <f t="shared" si="1"/>
        <v>0.67514788461538511</v>
      </c>
      <c r="Q10" s="6" t="e">
        <f>I10*Q2</f>
        <v>#REF!</v>
      </c>
      <c r="R10" s="62" t="e">
        <f t="shared" si="3"/>
        <v>#REF!</v>
      </c>
      <c r="S10" s="352" t="e">
        <f t="shared" si="4"/>
        <v>#REF!</v>
      </c>
      <c r="T10" s="62">
        <f t="shared" si="5"/>
        <v>5.7954545454545459</v>
      </c>
      <c r="U10" s="106">
        <f t="shared" si="6"/>
        <v>170.67194444446031</v>
      </c>
      <c r="V10" s="17" t="e">
        <f t="shared" si="7"/>
        <v>#REF!</v>
      </c>
      <c r="W10" s="108" t="e">
        <f>SUM(V10/E10)/T2</f>
        <v>#REF!</v>
      </c>
      <c r="X10">
        <f t="shared" si="9"/>
        <v>1584</v>
      </c>
      <c r="Y10" s="353">
        <v>106</v>
      </c>
      <c r="Z10" s="63" t="e">
        <f t="shared" si="8"/>
        <v>#REF!</v>
      </c>
    </row>
    <row r="11" spans="1:27" x14ac:dyDescent="0.2">
      <c r="A11" s="42">
        <f>Gen!B17</f>
        <v>44568</v>
      </c>
      <c r="B11" s="66">
        <v>0</v>
      </c>
      <c r="C11" s="71">
        <f>Gen!C17</f>
        <v>0.24679999999999999</v>
      </c>
      <c r="D11" s="348">
        <f t="shared" si="2"/>
        <v>20</v>
      </c>
      <c r="E11" s="336">
        <f>'Summery Report'!E11</f>
        <v>20</v>
      </c>
      <c r="F11" s="59">
        <f>Gen!V17</f>
        <v>0.4199707470747075</v>
      </c>
      <c r="G11" s="69">
        <f>Gen!U17</f>
        <v>4444</v>
      </c>
      <c r="H11" s="69">
        <v>80.56</v>
      </c>
      <c r="I11" s="69">
        <f t="shared" si="0"/>
        <v>4524.5600000000004</v>
      </c>
      <c r="J11" s="69">
        <v>47513.140000000029</v>
      </c>
      <c r="K11" s="58">
        <f>'Water-Meter'!E12</f>
        <v>92</v>
      </c>
      <c r="L11" s="360">
        <f>'Lpg (2)'!G16</f>
        <v>132.87999999998721</v>
      </c>
      <c r="M11" s="72" t="e">
        <f>#REF!</f>
        <v>#REF!</v>
      </c>
      <c r="N11" s="72" t="e">
        <f>#REF!</f>
        <v>#REF!</v>
      </c>
      <c r="O11" s="72" t="e">
        <f>#REF!</f>
        <v>#REF!</v>
      </c>
      <c r="P11" s="73">
        <f t="shared" si="1"/>
        <v>0.91371423076923131</v>
      </c>
      <c r="Q11" s="6">
        <f>I11*Q2</f>
        <v>9998598.9160000011</v>
      </c>
      <c r="R11" s="62">
        <f t="shared" si="3"/>
        <v>315.61233952020206</v>
      </c>
      <c r="S11" s="352">
        <f t="shared" si="4"/>
        <v>315.61233952020206</v>
      </c>
      <c r="T11" s="62">
        <f t="shared" si="5"/>
        <v>5.9242424242424239</v>
      </c>
      <c r="U11" s="106">
        <f t="shared" si="6"/>
        <v>164.67388888887302</v>
      </c>
      <c r="V11" s="17">
        <f t="shared" si="7"/>
        <v>9998769.5141313132</v>
      </c>
      <c r="W11" s="108">
        <f>SUM(V11/E11)/T2</f>
        <v>315.61772456222582</v>
      </c>
      <c r="X11">
        <f t="shared" si="9"/>
        <v>1584</v>
      </c>
      <c r="Y11" s="353">
        <v>106</v>
      </c>
      <c r="Z11" s="63">
        <f t="shared" si="8"/>
        <v>-209.61233952020206</v>
      </c>
    </row>
    <row r="12" spans="1:27" x14ac:dyDescent="0.2">
      <c r="A12" s="42">
        <f>Gen!B18</f>
        <v>44569</v>
      </c>
      <c r="B12" s="66">
        <v>0</v>
      </c>
      <c r="C12" s="71">
        <f>Gen!C18</f>
        <v>0.23</v>
      </c>
      <c r="D12" s="348">
        <f t="shared" si="2"/>
        <v>19</v>
      </c>
      <c r="E12" s="336">
        <f>'Summery Report'!E12</f>
        <v>19</v>
      </c>
      <c r="F12" s="59">
        <f>Gen!V18</f>
        <v>0.41184805406665115</v>
      </c>
      <c r="G12" s="69">
        <f>Gen!U18</f>
        <v>4291</v>
      </c>
      <c r="H12" s="69" t="e">
        <v>#REF!</v>
      </c>
      <c r="I12" s="69" t="e">
        <f t="shared" si="0"/>
        <v>#REF!</v>
      </c>
      <c r="J12" s="69">
        <v>45161.890000000029</v>
      </c>
      <c r="K12" s="58">
        <f>'Water-Meter'!E13</f>
        <v>108</v>
      </c>
      <c r="L12" s="360">
        <f>'Lpg (2)'!G17</f>
        <v>112.02400000002818</v>
      </c>
      <c r="M12" s="72" t="e">
        <f>#REF!</f>
        <v>#REF!</v>
      </c>
      <c r="N12" s="72" t="e">
        <f>#REF!</f>
        <v>#REF!</v>
      </c>
      <c r="O12" s="72" t="e">
        <f>#REF!</f>
        <v>#REF!</v>
      </c>
      <c r="P12" s="73">
        <f t="shared" si="1"/>
        <v>0.86849788461538513</v>
      </c>
      <c r="Q12" s="6" t="e">
        <f>I12*Q2</f>
        <v>#REF!</v>
      </c>
      <c r="R12" s="62" t="e">
        <f t="shared" si="3"/>
        <v>#REF!</v>
      </c>
      <c r="S12" s="352" t="e">
        <f t="shared" si="4"/>
        <v>#REF!</v>
      </c>
      <c r="T12" s="62">
        <f t="shared" si="5"/>
        <v>6.9545454545454541</v>
      </c>
      <c r="U12" s="106">
        <f t="shared" si="6"/>
        <v>138.82772222225714</v>
      </c>
      <c r="V12" s="17" t="e">
        <f t="shared" si="7"/>
        <v>#REF!</v>
      </c>
      <c r="W12" s="108" t="e">
        <f>SUM(V12/E12)/T2</f>
        <v>#REF!</v>
      </c>
      <c r="X12">
        <f t="shared" si="9"/>
        <v>1584</v>
      </c>
      <c r="Y12" s="353">
        <v>106</v>
      </c>
      <c r="Z12" s="63" t="e">
        <f t="shared" si="8"/>
        <v>#REF!</v>
      </c>
    </row>
    <row r="13" spans="1:27" x14ac:dyDescent="0.2">
      <c r="A13" s="42">
        <f>Gen!B19</f>
        <v>44570</v>
      </c>
      <c r="B13" s="66">
        <v>0</v>
      </c>
      <c r="C13" s="71">
        <f>Gen!C19</f>
        <v>0.20780000000000001</v>
      </c>
      <c r="D13" s="348">
        <f t="shared" si="2"/>
        <v>17</v>
      </c>
      <c r="E13" s="336">
        <f>'Summery Report'!E13</f>
        <v>17</v>
      </c>
      <c r="F13" s="59">
        <f>Gen!V19</f>
        <v>0.42574953874538746</v>
      </c>
      <c r="G13" s="69">
        <f>Gen!U19</f>
        <v>4336</v>
      </c>
      <c r="H13" s="69" t="e">
        <v>#REF!</v>
      </c>
      <c r="I13" s="69" t="e">
        <f t="shared" si="0"/>
        <v>#REF!</v>
      </c>
      <c r="J13" s="69">
        <v>42825.480000000025</v>
      </c>
      <c r="K13" s="58">
        <f>'Water-Meter'!E14</f>
        <v>101</v>
      </c>
      <c r="L13" s="360">
        <f>'Lpg (2)'!G18</f>
        <v>106.08400000000258</v>
      </c>
      <c r="M13" s="72" t="e">
        <f>#REF!</f>
        <v>#REF!</v>
      </c>
      <c r="N13" s="72" t="e">
        <f>#REF!</f>
        <v>#REF!</v>
      </c>
      <c r="O13" s="72" t="e">
        <f>#REF!</f>
        <v>#REF!</v>
      </c>
      <c r="P13" s="73">
        <f t="shared" si="1"/>
        <v>0.82356692307692358</v>
      </c>
      <c r="Q13" s="6" t="e">
        <f>I13*Q2</f>
        <v>#REF!</v>
      </c>
      <c r="R13" s="62" t="e">
        <f t="shared" si="3"/>
        <v>#REF!</v>
      </c>
      <c r="S13" s="352" t="e">
        <f t="shared" si="4"/>
        <v>#REF!</v>
      </c>
      <c r="T13" s="62">
        <f t="shared" si="5"/>
        <v>6.5037878787878789</v>
      </c>
      <c r="U13" s="106">
        <f t="shared" si="6"/>
        <v>131.46647222222541</v>
      </c>
      <c r="V13" s="17" t="e">
        <f t="shared" si="7"/>
        <v>#REF!</v>
      </c>
      <c r="W13" s="108" t="e">
        <f>SUM(V13/E13)/T2</f>
        <v>#REF!</v>
      </c>
      <c r="X13">
        <f t="shared" si="9"/>
        <v>1584</v>
      </c>
      <c r="Y13" s="353">
        <v>106</v>
      </c>
      <c r="Z13" s="63" t="e">
        <f t="shared" si="8"/>
        <v>#REF!</v>
      </c>
    </row>
    <row r="14" spans="1:27" x14ac:dyDescent="0.2">
      <c r="A14" s="42">
        <f>Gen!B20</f>
        <v>44571</v>
      </c>
      <c r="B14" s="66">
        <v>0</v>
      </c>
      <c r="C14" s="71">
        <f>Gen!C20</f>
        <v>0.17</v>
      </c>
      <c r="D14" s="348">
        <f t="shared" si="2"/>
        <v>16</v>
      </c>
      <c r="E14" s="336">
        <f>'Summery Report'!E14</f>
        <v>16</v>
      </c>
      <c r="F14" s="59">
        <f>Gen!V20</f>
        <v>0.41262678195840152</v>
      </c>
      <c r="G14" s="69">
        <f>Gen!U20</f>
        <v>4279</v>
      </c>
      <c r="H14" s="69" t="e">
        <v>#REF!</v>
      </c>
      <c r="I14" s="69" t="e">
        <f t="shared" si="0"/>
        <v>#REF!</v>
      </c>
      <c r="J14" s="69">
        <v>40110.380000000026</v>
      </c>
      <c r="K14" s="58">
        <f>'Water-Meter'!E15</f>
        <v>83</v>
      </c>
      <c r="L14" s="360">
        <f>'Lpg (2)'!G19</f>
        <v>113.78400000000256</v>
      </c>
      <c r="M14" s="72" t="e">
        <f>#REF!</f>
        <v>#REF!</v>
      </c>
      <c r="N14" s="72" t="e">
        <f>#REF!</f>
        <v>#REF!</v>
      </c>
      <c r="O14" s="72" t="e">
        <f>#REF!</f>
        <v>#REF!</v>
      </c>
      <c r="P14" s="73">
        <f t="shared" si="1"/>
        <v>0.77135346153846207</v>
      </c>
      <c r="Q14" s="6" t="e">
        <f>I14*Q2</f>
        <v>#REF!</v>
      </c>
      <c r="R14" s="62" t="e">
        <f t="shared" si="3"/>
        <v>#REF!</v>
      </c>
      <c r="S14" s="352" t="e">
        <f t="shared" si="4"/>
        <v>#REF!</v>
      </c>
      <c r="T14" s="62">
        <f t="shared" si="5"/>
        <v>5.3446969696969697</v>
      </c>
      <c r="U14" s="106">
        <f t="shared" si="6"/>
        <v>141.0088333333365</v>
      </c>
      <c r="V14" s="17" t="e">
        <f t="shared" si="7"/>
        <v>#REF!</v>
      </c>
      <c r="W14" s="108" t="e">
        <f>SUM(V14/E14)/T2</f>
        <v>#REF!</v>
      </c>
      <c r="X14">
        <f t="shared" si="9"/>
        <v>1584</v>
      </c>
      <c r="Y14" s="353">
        <v>106</v>
      </c>
      <c r="Z14" s="63" t="e">
        <f t="shared" si="8"/>
        <v>#REF!</v>
      </c>
    </row>
    <row r="15" spans="1:27" x14ac:dyDescent="0.2">
      <c r="A15" s="42">
        <f>Gen!B21</f>
        <v>44572</v>
      </c>
      <c r="B15" s="66">
        <v>0</v>
      </c>
      <c r="C15" s="71">
        <f>Gen!C21</f>
        <v>0.1</v>
      </c>
      <c r="D15" s="348">
        <f t="shared" si="2"/>
        <v>11</v>
      </c>
      <c r="E15" s="336">
        <f>'Summery Report'!E15</f>
        <v>11</v>
      </c>
      <c r="F15" s="59">
        <f>Gen!V21</f>
        <v>0.42083894355256335</v>
      </c>
      <c r="G15" s="69">
        <f>Gen!U21</f>
        <v>3862</v>
      </c>
      <c r="H15" s="69" t="e">
        <v>#REF!</v>
      </c>
      <c r="I15" s="69" t="e">
        <f t="shared" si="0"/>
        <v>#REF!</v>
      </c>
      <c r="J15" s="69">
        <v>37540.570000000029</v>
      </c>
      <c r="K15" s="58">
        <f>'Water-Meter'!E16</f>
        <v>67</v>
      </c>
      <c r="L15" s="360">
        <f>'Lpg (2)'!G20</f>
        <v>116.90799999996672</v>
      </c>
      <c r="M15" s="72" t="e">
        <f>#REF!</f>
        <v>#REF!</v>
      </c>
      <c r="N15" s="72" t="e">
        <f>#REF!</f>
        <v>#REF!</v>
      </c>
      <c r="O15" s="72" t="e">
        <f>#REF!</f>
        <v>#REF!</v>
      </c>
      <c r="P15" s="73">
        <f t="shared" si="1"/>
        <v>0.72193403846153903</v>
      </c>
      <c r="Q15" s="6" t="e">
        <f>I15*Q2</f>
        <v>#REF!</v>
      </c>
      <c r="R15" s="62" t="e">
        <f t="shared" si="3"/>
        <v>#REF!</v>
      </c>
      <c r="S15" s="352" t="e">
        <f t="shared" si="4"/>
        <v>#REF!</v>
      </c>
      <c r="T15" s="62">
        <f t="shared" si="5"/>
        <v>4.3143939393939394</v>
      </c>
      <c r="U15" s="106">
        <f t="shared" si="6"/>
        <v>144.88030555551433</v>
      </c>
      <c r="V15" s="17" t="e">
        <f t="shared" si="7"/>
        <v>#REF!</v>
      </c>
      <c r="W15" s="108" t="e">
        <f>SUM(V15/E15)/T2</f>
        <v>#REF!</v>
      </c>
      <c r="X15">
        <f t="shared" si="9"/>
        <v>1584</v>
      </c>
      <c r="Y15" s="353">
        <v>106</v>
      </c>
      <c r="Z15" s="63" t="e">
        <f t="shared" si="8"/>
        <v>#REF!</v>
      </c>
    </row>
    <row r="16" spans="1:27" x14ac:dyDescent="0.2">
      <c r="A16" s="42">
        <f>Gen!B22</f>
        <v>44573</v>
      </c>
      <c r="B16" s="66">
        <v>0</v>
      </c>
      <c r="C16" s="71">
        <f>Gen!C22</f>
        <v>6.4899999999999999E-2</v>
      </c>
      <c r="D16" s="348">
        <f t="shared" si="2"/>
        <v>8</v>
      </c>
      <c r="E16" s="336">
        <f>'Summery Report'!E16</f>
        <v>8</v>
      </c>
      <c r="F16" s="59">
        <f>Gen!V22</f>
        <v>0.42066000525900604</v>
      </c>
      <c r="G16" s="69">
        <f>Gen!U22</f>
        <v>3803</v>
      </c>
      <c r="H16" s="69" t="e">
        <v>#REF!</v>
      </c>
      <c r="I16" s="69" t="e">
        <f t="shared" si="0"/>
        <v>#REF!</v>
      </c>
      <c r="J16" s="69">
        <v>34967.29000000003</v>
      </c>
      <c r="K16" s="58">
        <f>'Water-Meter'!E17</f>
        <v>133</v>
      </c>
      <c r="L16" s="360">
        <f>'Lpg (2)'!G21</f>
        <v>99.484000000002567</v>
      </c>
      <c r="M16" s="72" t="e">
        <f>#REF!</f>
        <v>#REF!</v>
      </c>
      <c r="N16" s="72" t="e">
        <f>#REF!</f>
        <v>#REF!</v>
      </c>
      <c r="O16" s="72" t="e">
        <f>#REF!</f>
        <v>#REF!</v>
      </c>
      <c r="P16" s="73">
        <f t="shared" si="1"/>
        <v>0.67244788461538518</v>
      </c>
      <c r="Q16" s="6" t="e">
        <f>I16*Q2</f>
        <v>#REF!</v>
      </c>
      <c r="R16" s="62" t="e">
        <f t="shared" si="3"/>
        <v>#REF!</v>
      </c>
      <c r="S16" s="352" t="e">
        <f t="shared" si="4"/>
        <v>#REF!</v>
      </c>
      <c r="T16" s="62">
        <f t="shared" si="5"/>
        <v>8.5643939393939394</v>
      </c>
      <c r="U16" s="106">
        <f t="shared" si="6"/>
        <v>123.28730555555873</v>
      </c>
      <c r="V16" s="17" t="e">
        <f t="shared" si="7"/>
        <v>#REF!</v>
      </c>
      <c r="W16" s="108" t="e">
        <f>SUM(V16/E16)/T2</f>
        <v>#REF!</v>
      </c>
      <c r="X16">
        <f t="shared" si="9"/>
        <v>1584</v>
      </c>
      <c r="Y16" s="353">
        <v>106</v>
      </c>
      <c r="Z16" s="63" t="e">
        <f t="shared" si="8"/>
        <v>#REF!</v>
      </c>
    </row>
    <row r="17" spans="1:26" x14ac:dyDescent="0.2">
      <c r="A17" s="42">
        <f>Gen!B23</f>
        <v>44574</v>
      </c>
      <c r="B17" s="66">
        <v>0</v>
      </c>
      <c r="C17" s="71">
        <f>Gen!C23</f>
        <v>0.13</v>
      </c>
      <c r="D17" s="348">
        <f t="shared" si="2"/>
        <v>13</v>
      </c>
      <c r="E17" s="336">
        <f>'Summery Report'!E17</f>
        <v>13</v>
      </c>
      <c r="F17" s="59">
        <f>Gen!V23</f>
        <v>0.41318256578947365</v>
      </c>
      <c r="G17" s="69">
        <f>Gen!U23</f>
        <v>3648</v>
      </c>
      <c r="H17" s="69" t="e">
        <v>#REF!</v>
      </c>
      <c r="I17" s="69" t="e">
        <f t="shared" si="0"/>
        <v>#REF!</v>
      </c>
      <c r="J17" s="69">
        <v>32228.760000000031</v>
      </c>
      <c r="K17" s="58">
        <f>'Water-Meter'!E18</f>
        <v>86</v>
      </c>
      <c r="L17" s="360">
        <f>'Lpg (2)'!G22</f>
        <v>90.904000000015373</v>
      </c>
      <c r="M17" s="72" t="e">
        <f>#REF!</f>
        <v>#REF!</v>
      </c>
      <c r="N17" s="72" t="e">
        <f>#REF!</f>
        <v>#REF!</v>
      </c>
      <c r="O17" s="72" t="e">
        <f>#REF!</f>
        <v>#REF!</v>
      </c>
      <c r="P17" s="73">
        <f t="shared" si="1"/>
        <v>0.61978384615384674</v>
      </c>
      <c r="Q17" s="6" t="e">
        <f>I17*Q2</f>
        <v>#REF!</v>
      </c>
      <c r="R17" s="62" t="e">
        <f t="shared" si="3"/>
        <v>#REF!</v>
      </c>
      <c r="S17" s="352" t="e">
        <f t="shared" si="4"/>
        <v>#REF!</v>
      </c>
      <c r="T17" s="62">
        <f t="shared" si="5"/>
        <v>5.5378787878787881</v>
      </c>
      <c r="U17" s="106">
        <f t="shared" si="6"/>
        <v>112.65438888890795</v>
      </c>
      <c r="V17" s="17" t="e">
        <f t="shared" si="7"/>
        <v>#REF!</v>
      </c>
      <c r="W17" s="108" t="e">
        <f>SUM(V17/E17)/T2</f>
        <v>#REF!</v>
      </c>
      <c r="X17">
        <f t="shared" si="9"/>
        <v>1584</v>
      </c>
      <c r="Y17" s="353">
        <v>106</v>
      </c>
      <c r="Z17" s="63" t="e">
        <f t="shared" si="8"/>
        <v>#REF!</v>
      </c>
    </row>
    <row r="18" spans="1:26" x14ac:dyDescent="0.2">
      <c r="A18" s="42">
        <f>Gen!B24</f>
        <v>44575</v>
      </c>
      <c r="B18" s="66">
        <v>0</v>
      </c>
      <c r="C18" s="71">
        <f>Gen!C24</f>
        <v>0.18</v>
      </c>
      <c r="D18" s="348">
        <f t="shared" si="2"/>
        <v>17</v>
      </c>
      <c r="E18" s="336">
        <f>'Summery Report'!E18</f>
        <v>17</v>
      </c>
      <c r="F18" s="59">
        <f>Gen!V24</f>
        <v>0.39839789196310937</v>
      </c>
      <c r="G18" s="69">
        <f>Gen!U24</f>
        <v>3795</v>
      </c>
      <c r="H18" s="69">
        <v>597.9</v>
      </c>
      <c r="I18" s="69">
        <f t="shared" si="0"/>
        <v>4392.8999999999996</v>
      </c>
      <c r="J18" s="69">
        <v>29915.45000000003</v>
      </c>
      <c r="K18" s="58">
        <f>'Water-Meter'!E19</f>
        <v>92</v>
      </c>
      <c r="L18" s="360">
        <f>'Lpg (2)'!G23</f>
        <v>73.568000000005128</v>
      </c>
      <c r="M18" s="72" t="e">
        <f>#REF!</f>
        <v>#REF!</v>
      </c>
      <c r="N18" s="72" t="e">
        <f>#REF!</f>
        <v>#REF!</v>
      </c>
      <c r="O18" s="72" t="e">
        <f>#REF!</f>
        <v>#REF!</v>
      </c>
      <c r="P18" s="73">
        <f t="shared" si="1"/>
        <v>0.57529711538461592</v>
      </c>
      <c r="Q18" s="6">
        <f>I18*Q2</f>
        <v>9707650.0649999995</v>
      </c>
      <c r="R18" s="62">
        <f t="shared" si="3"/>
        <v>360.50393883689839</v>
      </c>
      <c r="S18" s="352">
        <f t="shared" si="4"/>
        <v>360.50393883689839</v>
      </c>
      <c r="T18" s="62">
        <f t="shared" si="5"/>
        <v>5.9242424242424239</v>
      </c>
      <c r="U18" s="106">
        <f t="shared" si="6"/>
        <v>91.170444444450794</v>
      </c>
      <c r="V18" s="17">
        <f t="shared" si="7"/>
        <v>9707747.1596868671</v>
      </c>
      <c r="W18" s="108">
        <f>SUM(V18/E18)/T2</f>
        <v>360.50754455165134</v>
      </c>
      <c r="X18">
        <f t="shared" si="9"/>
        <v>1584</v>
      </c>
      <c r="Y18" s="353">
        <v>106</v>
      </c>
      <c r="Z18" s="63">
        <f t="shared" si="8"/>
        <v>-254.50393883689839</v>
      </c>
    </row>
    <row r="19" spans="1:26" x14ac:dyDescent="0.2">
      <c r="A19" s="42">
        <f>Gen!B25</f>
        <v>44576</v>
      </c>
      <c r="B19" s="66">
        <v>0</v>
      </c>
      <c r="C19" s="71">
        <f>Gen!C25</f>
        <v>0.16</v>
      </c>
      <c r="D19" s="348">
        <f t="shared" si="2"/>
        <v>15</v>
      </c>
      <c r="E19" s="336">
        <f>'Summery Report'!E19</f>
        <v>15</v>
      </c>
      <c r="F19" s="59">
        <f>Gen!V25</f>
        <v>0.39528508771929827</v>
      </c>
      <c r="G19" s="69">
        <f>Gen!U25</f>
        <v>3648</v>
      </c>
      <c r="H19" s="69">
        <v>227.73000000000002</v>
      </c>
      <c r="I19" s="69">
        <f t="shared" si="0"/>
        <v>3875.73</v>
      </c>
      <c r="J19" s="69">
        <v>42248.240000000034</v>
      </c>
      <c r="K19" s="58">
        <f>'Water-Meter'!E20</f>
        <v>102</v>
      </c>
      <c r="L19" s="360">
        <f>'Lpg (2)'!G24</f>
        <v>74.315999999997445</v>
      </c>
      <c r="M19" s="72" t="e">
        <f>#REF!</f>
        <v>#REF!</v>
      </c>
      <c r="N19" s="72" t="e">
        <f>#REF!</f>
        <v>#REF!</v>
      </c>
      <c r="O19" s="72" t="e">
        <f>#REF!</f>
        <v>#REF!</v>
      </c>
      <c r="P19" s="73">
        <f t="shared" si="1"/>
        <v>0.8124661538461545</v>
      </c>
      <c r="Q19" s="6">
        <f>I19*Q2</f>
        <v>8564781.9405000005</v>
      </c>
      <c r="R19" s="62">
        <f t="shared" si="3"/>
        <v>360.47062039141417</v>
      </c>
      <c r="S19" s="352">
        <f t="shared" si="4"/>
        <v>360.47062039141417</v>
      </c>
      <c r="T19" s="62">
        <f t="shared" si="5"/>
        <v>6.5681818181818183</v>
      </c>
      <c r="U19" s="106">
        <f t="shared" si="6"/>
        <v>92.097416666663506</v>
      </c>
      <c r="V19" s="17">
        <f t="shared" si="7"/>
        <v>8564880.6060984861</v>
      </c>
      <c r="W19" s="62">
        <f>SUM(V19/E19)/T2</f>
        <v>360.47477298394301</v>
      </c>
      <c r="X19">
        <f t="shared" si="9"/>
        <v>1584</v>
      </c>
      <c r="Y19" s="353">
        <v>106</v>
      </c>
      <c r="Z19" s="63">
        <f t="shared" si="8"/>
        <v>-254.47062039141417</v>
      </c>
    </row>
    <row r="20" spans="1:26" x14ac:dyDescent="0.2">
      <c r="A20" s="42">
        <f>Gen!B26</f>
        <v>44577</v>
      </c>
      <c r="B20" s="66">
        <v>0</v>
      </c>
      <c r="C20" s="71">
        <f>Gen!C26</f>
        <v>0.18</v>
      </c>
      <c r="D20" s="348">
        <f t="shared" si="2"/>
        <v>17</v>
      </c>
      <c r="E20" s="336">
        <f>'Summery Report'!E20</f>
        <v>17</v>
      </c>
      <c r="F20" s="59">
        <f>Gen!V26</f>
        <v>0.39916887709991161</v>
      </c>
      <c r="G20" s="69">
        <f>Gen!U26</f>
        <v>3393</v>
      </c>
      <c r="H20" s="69">
        <v>88.289999999999992</v>
      </c>
      <c r="I20" s="69">
        <f t="shared" si="0"/>
        <v>3481.29</v>
      </c>
      <c r="J20" s="69">
        <v>39497.370000000032</v>
      </c>
      <c r="K20" s="58">
        <f>'Water-Meter'!E21</f>
        <v>74</v>
      </c>
      <c r="L20" s="360">
        <f>'Lpg (2)'!G25</f>
        <v>109.60400000001538</v>
      </c>
      <c r="M20" s="72" t="e">
        <f>#REF!</f>
        <v>#REF!</v>
      </c>
      <c r="N20" s="72" t="e">
        <f>#REF!</f>
        <v>#REF!</v>
      </c>
      <c r="O20" s="72" t="e">
        <f>#REF!</f>
        <v>#REF!</v>
      </c>
      <c r="P20" s="73">
        <f t="shared" si="1"/>
        <v>0.75956480769230827</v>
      </c>
      <c r="Q20" s="6">
        <f>I20*Q2</f>
        <v>7693128.7064999994</v>
      </c>
      <c r="R20" s="62">
        <f t="shared" si="3"/>
        <v>285.69253960561497</v>
      </c>
      <c r="S20" s="352">
        <f t="shared" si="4"/>
        <v>285.69253960561497</v>
      </c>
      <c r="T20" s="62">
        <f t="shared" si="5"/>
        <v>4.7651515151515156</v>
      </c>
      <c r="U20" s="106">
        <f t="shared" si="6"/>
        <v>135.82869444446351</v>
      </c>
      <c r="V20" s="17">
        <f t="shared" si="7"/>
        <v>7693269.3003459591</v>
      </c>
      <c r="W20" s="62">
        <f>SUM(V20/E20)/T2</f>
        <v>285.69776070803476</v>
      </c>
      <c r="X20">
        <f t="shared" si="9"/>
        <v>1584</v>
      </c>
      <c r="Y20" s="353">
        <v>106</v>
      </c>
      <c r="Z20" s="63">
        <f t="shared" si="8"/>
        <v>-179.69253960561497</v>
      </c>
    </row>
    <row r="21" spans="1:26" x14ac:dyDescent="0.2">
      <c r="A21" s="42">
        <f>Gen!B27</f>
        <v>44578</v>
      </c>
      <c r="B21" s="66">
        <v>0</v>
      </c>
      <c r="C21" s="71">
        <f>Gen!C27</f>
        <v>0.09</v>
      </c>
      <c r="D21" s="348">
        <f t="shared" si="2"/>
        <v>10</v>
      </c>
      <c r="E21" s="336">
        <f>'Summery Report'!E21</f>
        <v>10</v>
      </c>
      <c r="F21" s="59">
        <f>Gen!V27</f>
        <v>0.40996640913671484</v>
      </c>
      <c r="G21" s="69">
        <f>Gen!U27</f>
        <v>2977</v>
      </c>
      <c r="H21" s="69">
        <v>783.92</v>
      </c>
      <c r="I21" s="69">
        <f t="shared" si="0"/>
        <v>3760.92</v>
      </c>
      <c r="J21" s="69">
        <v>36688.350000000035</v>
      </c>
      <c r="K21" s="58">
        <f>'Water-Meter'!E22</f>
        <v>68</v>
      </c>
      <c r="L21" s="360">
        <f>'Lpg (2)'!G26</f>
        <v>108.9</v>
      </c>
      <c r="M21" s="72" t="e">
        <f>#REF!</f>
        <v>#REF!</v>
      </c>
      <c r="N21" s="72" t="e">
        <f>#REF!</f>
        <v>#REF!</v>
      </c>
      <c r="O21" s="72" t="e">
        <f>#REF!</f>
        <v>#REF!</v>
      </c>
      <c r="P21" s="73">
        <f t="shared" si="1"/>
        <v>0.70554519230769297</v>
      </c>
      <c r="Q21" s="6">
        <f>I21*Q2</f>
        <v>8311069.0619999999</v>
      </c>
      <c r="R21" s="62">
        <f t="shared" si="3"/>
        <v>524.68870340909086</v>
      </c>
      <c r="S21" s="352">
        <f t="shared" si="4"/>
        <v>524.68870340909086</v>
      </c>
      <c r="T21" s="62">
        <f t="shared" si="5"/>
        <v>4.3787878787878789</v>
      </c>
      <c r="U21" s="106">
        <f t="shared" si="6"/>
        <v>134.95625000000001</v>
      </c>
      <c r="V21" s="17">
        <f t="shared" si="7"/>
        <v>8311208.3970378786</v>
      </c>
      <c r="W21" s="62">
        <f>SUM(V21/E21)/T2</f>
        <v>524.69749981299731</v>
      </c>
      <c r="X21">
        <f t="shared" si="9"/>
        <v>1584</v>
      </c>
      <c r="Y21" s="353">
        <v>106</v>
      </c>
      <c r="Z21" s="63">
        <f t="shared" si="8"/>
        <v>-418.68870340909086</v>
      </c>
    </row>
    <row r="22" spans="1:26" x14ac:dyDescent="0.2">
      <c r="A22" s="42">
        <f>Gen!B28</f>
        <v>44579</v>
      </c>
      <c r="B22" s="66">
        <v>0</v>
      </c>
      <c r="C22" s="71">
        <f>Gen!C28</f>
        <v>0.16</v>
      </c>
      <c r="D22" s="348">
        <f t="shared" si="2"/>
        <v>14</v>
      </c>
      <c r="E22" s="336">
        <f>'Summery Report'!E22</f>
        <v>14</v>
      </c>
      <c r="F22" s="59">
        <f>Gen!V28</f>
        <v>0.40158001742666277</v>
      </c>
      <c r="G22" s="69">
        <f>Gen!U28</f>
        <v>3443</v>
      </c>
      <c r="H22" s="69" t="e">
        <v>#REF!</v>
      </c>
      <c r="I22" s="69" t="e">
        <f t="shared" si="0"/>
        <v>#REF!</v>
      </c>
      <c r="J22" s="69">
        <v>33769.340000000033</v>
      </c>
      <c r="K22" s="58">
        <f>'Water-Meter'!E23</f>
        <v>62</v>
      </c>
      <c r="L22" s="360">
        <f>'Lpg (2)'!G27</f>
        <v>98.823999999964158</v>
      </c>
      <c r="M22" s="72" t="e">
        <f>#REF!</f>
        <v>#REF!</v>
      </c>
      <c r="N22" s="72" t="e">
        <f>#REF!</f>
        <v>#REF!</v>
      </c>
      <c r="O22" s="72" t="e">
        <f>#REF!</f>
        <v>#REF!</v>
      </c>
      <c r="P22" s="73">
        <f t="shared" si="1"/>
        <v>0.64941038461538525</v>
      </c>
      <c r="Q22" s="6" t="e">
        <f>I22*Q2</f>
        <v>#REF!</v>
      </c>
      <c r="R22" s="62" t="e">
        <f t="shared" si="3"/>
        <v>#REF!</v>
      </c>
      <c r="S22" s="352" t="e">
        <f t="shared" si="4"/>
        <v>#REF!</v>
      </c>
      <c r="T22" s="62">
        <f t="shared" si="5"/>
        <v>3.9924242424242422</v>
      </c>
      <c r="U22" s="106">
        <f t="shared" si="6"/>
        <v>122.46938888884448</v>
      </c>
      <c r="V22" s="17" t="e">
        <f t="shared" si="7"/>
        <v>#REF!</v>
      </c>
      <c r="W22" s="62" t="e">
        <f>SUM(V22/E22)/T2</f>
        <v>#REF!</v>
      </c>
      <c r="X22">
        <f t="shared" si="9"/>
        <v>1584</v>
      </c>
      <c r="Y22" s="353">
        <v>106</v>
      </c>
      <c r="Z22" s="63" t="e">
        <f t="shared" si="8"/>
        <v>#REF!</v>
      </c>
    </row>
    <row r="23" spans="1:26" x14ac:dyDescent="0.2">
      <c r="A23" s="42">
        <f>Gen!B29</f>
        <v>44580</v>
      </c>
      <c r="B23" s="66">
        <v>0</v>
      </c>
      <c r="C23" s="71">
        <f>Gen!C29</f>
        <v>0.18</v>
      </c>
      <c r="D23" s="348">
        <f t="shared" si="2"/>
        <v>15</v>
      </c>
      <c r="E23" s="336">
        <f>'Summery Report'!E23</f>
        <v>15</v>
      </c>
      <c r="F23" s="59">
        <f>Gen!V29</f>
        <v>0.4161827242524917</v>
      </c>
      <c r="G23" s="69">
        <f>Gen!U29</f>
        <v>3010</v>
      </c>
      <c r="H23" s="69" t="e">
        <v>#REF!</v>
      </c>
      <c r="I23" s="69" t="e">
        <f t="shared" si="0"/>
        <v>#REF!</v>
      </c>
      <c r="J23" s="69">
        <v>31336.770000000033</v>
      </c>
      <c r="K23" s="58">
        <f>'Water-Meter'!E24</f>
        <v>70</v>
      </c>
      <c r="L23" s="360">
        <f>'Lpg (2)'!G28</f>
        <v>113.82800000004355</v>
      </c>
      <c r="M23" s="72" t="e">
        <f>#REF!</f>
        <v>#REF!</v>
      </c>
      <c r="N23" s="72" t="e">
        <f>#REF!</f>
        <v>#REF!</v>
      </c>
      <c r="O23" s="72" t="e">
        <f>#REF!</f>
        <v>#REF!</v>
      </c>
      <c r="P23" s="73">
        <f t="shared" si="1"/>
        <v>0.60263019230769299</v>
      </c>
      <c r="Q23" s="6" t="e">
        <f>I23*Q2</f>
        <v>#REF!</v>
      </c>
      <c r="R23" s="62" t="e">
        <f t="shared" si="3"/>
        <v>#REF!</v>
      </c>
      <c r="S23" s="352" t="e">
        <f t="shared" si="4"/>
        <v>#REF!</v>
      </c>
      <c r="T23" s="62">
        <f t="shared" si="5"/>
        <v>4.5075757575757578</v>
      </c>
      <c r="U23" s="106">
        <f t="shared" si="6"/>
        <v>141.06336111116508</v>
      </c>
      <c r="V23" s="17" t="e">
        <f t="shared" si="7"/>
        <v>#REF!</v>
      </c>
      <c r="W23" s="62" t="e">
        <f>SUM(V23/E23)/T2</f>
        <v>#REF!</v>
      </c>
      <c r="X23">
        <f t="shared" si="9"/>
        <v>1584</v>
      </c>
      <c r="Y23" s="353">
        <v>106</v>
      </c>
      <c r="Z23" s="63" t="e">
        <f t="shared" si="8"/>
        <v>#REF!</v>
      </c>
    </row>
    <row r="24" spans="1:26" x14ac:dyDescent="0.2">
      <c r="A24" s="42">
        <f>Gen!B30</f>
        <v>44581</v>
      </c>
      <c r="B24" s="66">
        <v>0</v>
      </c>
      <c r="C24" s="71">
        <f>Gen!C30</f>
        <v>0.21</v>
      </c>
      <c r="D24" s="348">
        <f t="shared" si="2"/>
        <v>17</v>
      </c>
      <c r="E24" s="336">
        <f>'Summery Report'!E24</f>
        <v>17</v>
      </c>
      <c r="F24" s="59">
        <f>Gen!V30</f>
        <v>0.41241348179356008</v>
      </c>
      <c r="G24" s="69">
        <f>Gen!U30</f>
        <v>3323</v>
      </c>
      <c r="H24" s="69" t="e">
        <v>#REF!</v>
      </c>
      <c r="I24" s="69" t="e">
        <f t="shared" si="0"/>
        <v>#REF!</v>
      </c>
      <c r="J24" s="69">
        <v>29403.300000000032</v>
      </c>
      <c r="K24" s="58">
        <f>'Water-Meter'!E25</f>
        <v>88</v>
      </c>
      <c r="L24" s="360">
        <f>'Lpg (2)'!G29</f>
        <v>115.14799999999232</v>
      </c>
      <c r="M24" s="72" t="e">
        <f>#REF!</f>
        <v>#REF!</v>
      </c>
      <c r="N24" s="72" t="e">
        <f>#REF!</f>
        <v>#REF!</v>
      </c>
      <c r="O24" s="72" t="e">
        <f>#REF!</f>
        <v>#REF!</v>
      </c>
      <c r="P24" s="73">
        <f t="shared" si="1"/>
        <v>0.56544807692307753</v>
      </c>
      <c r="Q24" s="6" t="e">
        <f>I24*Q2</f>
        <v>#REF!</v>
      </c>
      <c r="R24" s="62" t="e">
        <f t="shared" si="3"/>
        <v>#REF!</v>
      </c>
      <c r="S24" s="352" t="e">
        <f t="shared" si="4"/>
        <v>#REF!</v>
      </c>
      <c r="T24" s="62">
        <f t="shared" si="5"/>
        <v>5.666666666666667</v>
      </c>
      <c r="U24" s="106">
        <f t="shared" si="6"/>
        <v>142.69919444443494</v>
      </c>
      <c r="V24" s="17" t="e">
        <f t="shared" si="7"/>
        <v>#REF!</v>
      </c>
      <c r="W24" s="62" t="e">
        <f>SUM(V24/E24)/T2</f>
        <v>#REF!</v>
      </c>
      <c r="X24">
        <f t="shared" si="9"/>
        <v>1584</v>
      </c>
      <c r="Y24" s="353">
        <v>106</v>
      </c>
      <c r="Z24" s="63" t="e">
        <f t="shared" si="8"/>
        <v>#REF!</v>
      </c>
    </row>
    <row r="25" spans="1:26" x14ac:dyDescent="0.2">
      <c r="A25" s="42">
        <f>Gen!B31</f>
        <v>44582</v>
      </c>
      <c r="B25" s="66">
        <v>0</v>
      </c>
      <c r="C25" s="71">
        <f>Gen!C31</f>
        <v>0.09</v>
      </c>
      <c r="D25" s="348">
        <f t="shared" si="2"/>
        <v>8</v>
      </c>
      <c r="E25" s="336">
        <f>'Summery Report'!E25</f>
        <v>8</v>
      </c>
      <c r="F25" s="59">
        <f>Gen!V31</f>
        <v>0.41127850947638933</v>
      </c>
      <c r="G25" s="69">
        <f>Gen!U31</f>
        <v>3113</v>
      </c>
      <c r="H25" s="69">
        <f>Gen!V31</f>
        <v>0.41127850947638933</v>
      </c>
      <c r="I25" s="69">
        <f>Gen!W31</f>
        <v>0</v>
      </c>
      <c r="J25" s="69">
        <v>41422.370000000032</v>
      </c>
      <c r="K25" s="58">
        <f>'Water-Meter'!E26</f>
        <v>81</v>
      </c>
      <c r="L25" s="360">
        <f>'Lpg (2)'!G30</f>
        <v>113.82799999997953</v>
      </c>
      <c r="M25" s="72" t="e">
        <f>#REF!</f>
        <v>#REF!</v>
      </c>
      <c r="N25" s="72" t="e">
        <f>#REF!</f>
        <v>#REF!</v>
      </c>
      <c r="O25" s="72" t="e">
        <f>#REF!</f>
        <v>#REF!</v>
      </c>
      <c r="P25" s="73">
        <f t="shared" si="1"/>
        <v>0.79658403846153902</v>
      </c>
      <c r="Q25" s="6">
        <f>I25*Q2</f>
        <v>0</v>
      </c>
      <c r="R25" s="62">
        <f t="shared" si="3"/>
        <v>0</v>
      </c>
      <c r="S25" s="352">
        <f t="shared" si="4"/>
        <v>0</v>
      </c>
      <c r="T25" s="62">
        <f t="shared" si="5"/>
        <v>5.2159090909090908</v>
      </c>
      <c r="U25" s="106">
        <f t="shared" si="6"/>
        <v>141.06336111108573</v>
      </c>
      <c r="V25" s="17">
        <f t="shared" si="7"/>
        <v>146.27927020199482</v>
      </c>
      <c r="W25" s="62">
        <f>SUM(V25/E25)/T2</f>
        <v>1.1543503014677622E-2</v>
      </c>
      <c r="X25">
        <f t="shared" si="9"/>
        <v>1584</v>
      </c>
      <c r="Y25" s="353">
        <v>106</v>
      </c>
      <c r="Z25" s="63">
        <f t="shared" si="8"/>
        <v>106</v>
      </c>
    </row>
    <row r="26" spans="1:26" x14ac:dyDescent="0.2">
      <c r="A26" s="42">
        <f>Gen!B32</f>
        <v>44583</v>
      </c>
      <c r="B26" s="66">
        <v>0</v>
      </c>
      <c r="C26" s="71">
        <f>Gen!C32</f>
        <v>0.08</v>
      </c>
      <c r="D26" s="348">
        <f t="shared" si="2"/>
        <v>7</v>
      </c>
      <c r="E26" s="336">
        <f>'Summery Report'!E26</f>
        <v>7</v>
      </c>
      <c r="F26" s="59">
        <f>Gen!V32</f>
        <v>0.41173495518565939</v>
      </c>
      <c r="G26" s="69">
        <f>Gen!U32</f>
        <v>3124</v>
      </c>
      <c r="H26" s="69">
        <v>18.63</v>
      </c>
      <c r="I26" s="69">
        <f t="shared" si="0"/>
        <v>3142.63</v>
      </c>
      <c r="J26" s="69">
        <v>38988.160000000033</v>
      </c>
      <c r="K26" s="58">
        <f>'Water-Meter'!E27</f>
        <v>71</v>
      </c>
      <c r="L26" s="360">
        <f>'Lpg (2)'!G31</f>
        <v>96.711999999982083</v>
      </c>
      <c r="M26" s="72" t="e">
        <f>#REF!</f>
        <v>#REF!</v>
      </c>
      <c r="N26" s="72" t="e">
        <f>#REF!</f>
        <v>#REF!</v>
      </c>
      <c r="O26" s="72" t="e">
        <f>#REF!</f>
        <v>#REF!</v>
      </c>
      <c r="P26" s="73">
        <f t="shared" si="1"/>
        <v>0.74977230769230829</v>
      </c>
      <c r="Q26" s="6">
        <f>I26*Q2</f>
        <v>6944740.9055000003</v>
      </c>
      <c r="R26" s="62">
        <f t="shared" si="3"/>
        <v>626.32944674422799</v>
      </c>
      <c r="S26" s="352">
        <f t="shared" si="4"/>
        <v>626.32944674422799</v>
      </c>
      <c r="T26" s="62">
        <f t="shared" si="5"/>
        <v>4.5719696969696972</v>
      </c>
      <c r="U26" s="106">
        <f t="shared" si="6"/>
        <v>119.85205555553335</v>
      </c>
      <c r="V26" s="17">
        <f t="shared" si="7"/>
        <v>6944865.3295252528</v>
      </c>
      <c r="W26" s="62">
        <f>SUM(V26/E26)/T2</f>
        <v>626.34066824722697</v>
      </c>
      <c r="X26">
        <f t="shared" si="9"/>
        <v>1584</v>
      </c>
      <c r="Y26" s="353">
        <v>106</v>
      </c>
      <c r="Z26" s="63">
        <f t="shared" si="8"/>
        <v>-520.32944674422799</v>
      </c>
    </row>
    <row r="27" spans="1:26" x14ac:dyDescent="0.2">
      <c r="A27" s="42">
        <f>Gen!B33</f>
        <v>44584</v>
      </c>
      <c r="B27" s="66">
        <v>0</v>
      </c>
      <c r="C27" s="71">
        <f>Gen!C33</f>
        <v>0.04</v>
      </c>
      <c r="D27" s="348">
        <f t="shared" si="2"/>
        <v>4</v>
      </c>
      <c r="E27" s="336">
        <f>'Summery Report'!E27</f>
        <v>4</v>
      </c>
      <c r="F27" s="59">
        <f>Gen!V33</f>
        <v>0.42877368609224176</v>
      </c>
      <c r="G27" s="69">
        <f>Gen!U33</f>
        <v>2797</v>
      </c>
      <c r="H27" s="69">
        <v>311.34000000000003</v>
      </c>
      <c r="I27" s="69">
        <f t="shared" si="0"/>
        <v>3108.34</v>
      </c>
      <c r="J27" s="69">
        <v>36682.670000000035</v>
      </c>
      <c r="K27" s="58">
        <f>'Water-Meter'!E28</f>
        <v>62</v>
      </c>
      <c r="L27" s="360">
        <f>'Lpg (2)'!G32</f>
        <v>93.23600000001025</v>
      </c>
      <c r="M27" s="72" t="e">
        <f>#REF!</f>
        <v>#REF!</v>
      </c>
      <c r="N27" s="72" t="e">
        <f>#REF!</f>
        <v>#REF!</v>
      </c>
      <c r="O27" s="72" t="e">
        <f>#REF!</f>
        <v>#REF!</v>
      </c>
      <c r="P27" s="73">
        <f t="shared" si="1"/>
        <v>0.70543596153846222</v>
      </c>
      <c r="Q27" s="6">
        <f>I27*Q2</f>
        <v>6868965.1490000002</v>
      </c>
      <c r="R27" s="62">
        <f t="shared" si="3"/>
        <v>1084.1169742739899</v>
      </c>
      <c r="S27" s="352">
        <f t="shared" si="4"/>
        <v>1084.1169742739899</v>
      </c>
      <c r="T27" s="62">
        <f t="shared" si="5"/>
        <v>3.9924242424242422</v>
      </c>
      <c r="U27" s="106">
        <f t="shared" si="6"/>
        <v>115.54436111112382</v>
      </c>
      <c r="V27" s="17">
        <f t="shared" si="7"/>
        <v>6869084.6857853532</v>
      </c>
      <c r="W27" s="62">
        <f>SUM(V27/E27)/T2</f>
        <v>1084.135840559557</v>
      </c>
      <c r="X27">
        <f t="shared" si="9"/>
        <v>1584</v>
      </c>
      <c r="Y27" s="353">
        <v>106</v>
      </c>
      <c r="Z27" s="63">
        <f t="shared" si="8"/>
        <v>-978.11697427398985</v>
      </c>
    </row>
    <row r="28" spans="1:26" x14ac:dyDescent="0.2">
      <c r="A28" s="42">
        <f>Gen!B34</f>
        <v>44585</v>
      </c>
      <c r="B28" s="66">
        <v>0</v>
      </c>
      <c r="C28" s="71">
        <f>Gen!C34</f>
        <v>0.1</v>
      </c>
      <c r="D28" s="348">
        <f t="shared" si="2"/>
        <v>9</v>
      </c>
      <c r="E28" s="336">
        <f>'Summery Report'!E28</f>
        <v>9</v>
      </c>
      <c r="F28" s="59">
        <f>Gen!V34</f>
        <v>0.40692261001517449</v>
      </c>
      <c r="G28" s="69">
        <f>Gen!U34</f>
        <v>3295</v>
      </c>
      <c r="H28" s="69">
        <v>380.7</v>
      </c>
      <c r="I28" s="69">
        <f t="shared" si="0"/>
        <v>3675.7</v>
      </c>
      <c r="J28" s="69">
        <v>44223.030000000035</v>
      </c>
      <c r="K28" s="58">
        <f>'Water-Meter'!E29</f>
        <v>75</v>
      </c>
      <c r="L28" s="360">
        <f>'Lpg (2)'!G33</f>
        <v>103.31200000004611</v>
      </c>
      <c r="M28" s="72" t="e">
        <f>#REF!</f>
        <v>#REF!</v>
      </c>
      <c r="N28" s="72" t="e">
        <f>#REF!</f>
        <v>#REF!</v>
      </c>
      <c r="O28" s="72" t="e">
        <f>#REF!</f>
        <v>#REF!</v>
      </c>
      <c r="P28" s="73">
        <f t="shared" si="1"/>
        <v>0.85044288461538531</v>
      </c>
      <c r="Q28" s="6">
        <f>I28*Q2</f>
        <v>8122745.6449999996</v>
      </c>
      <c r="R28" s="62">
        <f t="shared" si="3"/>
        <v>569.77733200056116</v>
      </c>
      <c r="S28" s="352">
        <f t="shared" si="4"/>
        <v>569.77733200056116</v>
      </c>
      <c r="T28" s="62">
        <f t="shared" si="5"/>
        <v>4.8295454545454541</v>
      </c>
      <c r="U28" s="106">
        <f t="shared" si="6"/>
        <v>128.03122222227935</v>
      </c>
      <c r="V28" s="17">
        <f t="shared" si="7"/>
        <v>8122878.505767676</v>
      </c>
      <c r="W28" s="62">
        <f>SUM(V28/E28)/T2</f>
        <v>569.78665163914673</v>
      </c>
      <c r="X28">
        <f t="shared" si="9"/>
        <v>1584</v>
      </c>
      <c r="Y28" s="353">
        <v>106</v>
      </c>
      <c r="Z28" s="63">
        <f t="shared" si="8"/>
        <v>-463.77733200056116</v>
      </c>
    </row>
    <row r="29" spans="1:26" x14ac:dyDescent="0.2">
      <c r="A29" s="42">
        <f>Gen!B35</f>
        <v>44586</v>
      </c>
      <c r="B29" s="66">
        <v>0</v>
      </c>
      <c r="C29" s="71">
        <f>Gen!C35</f>
        <v>0.14000000000000001</v>
      </c>
      <c r="D29" s="348">
        <f t="shared" si="2"/>
        <v>12</v>
      </c>
      <c r="E29" s="336">
        <f>'Summery Report'!E29</f>
        <v>12</v>
      </c>
      <c r="F29" s="59">
        <f>Gen!V35</f>
        <v>0.39172230889235571</v>
      </c>
      <c r="G29" s="69">
        <f>Gen!U35</f>
        <v>3205</v>
      </c>
      <c r="H29" s="69">
        <v>273.37</v>
      </c>
      <c r="I29" s="69">
        <f t="shared" si="0"/>
        <v>3478.37</v>
      </c>
      <c r="J29" s="69">
        <v>41629.060000000034</v>
      </c>
      <c r="K29" s="58">
        <f>'Water-Meter'!E30</f>
        <v>160</v>
      </c>
      <c r="L29" s="360">
        <f>'Lpg (2)'!G34</f>
        <v>113.38799999995391</v>
      </c>
      <c r="M29" s="72" t="e">
        <f>#REF!</f>
        <v>#REF!</v>
      </c>
      <c r="N29" s="72" t="e">
        <f>#REF!</f>
        <v>#REF!</v>
      </c>
      <c r="O29" s="72" t="e">
        <f>#REF!</f>
        <v>#REF!</v>
      </c>
      <c r="P29" s="73">
        <f t="shared" si="1"/>
        <v>0.80055884615384676</v>
      </c>
      <c r="Q29" s="6">
        <f>I29*Q2</f>
        <v>7686675.9444999993</v>
      </c>
      <c r="R29" s="62">
        <f t="shared" si="3"/>
        <v>404.39162165930134</v>
      </c>
      <c r="S29" s="352">
        <f t="shared" si="4"/>
        <v>404.39162165930134</v>
      </c>
      <c r="T29" s="62">
        <f t="shared" si="5"/>
        <v>10.303030303030303</v>
      </c>
      <c r="U29" s="106">
        <f t="shared" si="6"/>
        <v>140.51808333327622</v>
      </c>
      <c r="V29" s="17">
        <f t="shared" si="7"/>
        <v>7686826.7656136351</v>
      </c>
      <c r="W29" s="62">
        <f>SUM(V29/E29)/T2</f>
        <v>404.39955627176113</v>
      </c>
      <c r="X29">
        <f t="shared" si="9"/>
        <v>1584</v>
      </c>
      <c r="Y29" s="353">
        <v>106</v>
      </c>
      <c r="Z29" s="63">
        <f t="shared" si="8"/>
        <v>-298.39162165930134</v>
      </c>
    </row>
    <row r="30" spans="1:26" x14ac:dyDescent="0.2">
      <c r="A30" s="42">
        <f>Gen!B36</f>
        <v>44587</v>
      </c>
      <c r="B30" s="66">
        <v>0</v>
      </c>
      <c r="C30" s="71">
        <f>Gen!C36</f>
        <v>0.16</v>
      </c>
      <c r="D30" s="348">
        <f t="shared" si="2"/>
        <v>13</v>
      </c>
      <c r="E30" s="336">
        <f>'Summery Report'!E30</f>
        <v>13</v>
      </c>
      <c r="F30" s="59">
        <f>Gen!V36</f>
        <v>0.37817622377622379</v>
      </c>
      <c r="G30" s="69">
        <f>Gen!U36</f>
        <v>3575</v>
      </c>
      <c r="H30" s="69">
        <v>396.56</v>
      </c>
      <c r="I30" s="69">
        <f t="shared" si="0"/>
        <v>3971.56</v>
      </c>
      <c r="J30" s="69">
        <v>39251.170000000035</v>
      </c>
      <c r="K30" s="58">
        <f>'Water-Meter'!E31</f>
        <v>66</v>
      </c>
      <c r="L30" s="360">
        <f>'Lpg (2)'!G35</f>
        <v>121.35200000000769</v>
      </c>
      <c r="M30" s="72" t="e">
        <f>#REF!</f>
        <v>#REF!</v>
      </c>
      <c r="N30" s="72" t="e">
        <f>#REF!</f>
        <v>#REF!</v>
      </c>
      <c r="O30" s="72" t="e">
        <f>#REF!</f>
        <v>#REF!</v>
      </c>
      <c r="P30" s="73">
        <f t="shared" si="1"/>
        <v>0.75483019230769299</v>
      </c>
      <c r="Q30" s="6">
        <f>I30*Q2</f>
        <v>8776551.8660000004</v>
      </c>
      <c r="R30" s="62">
        <f t="shared" si="3"/>
        <v>426.21172620435118</v>
      </c>
      <c r="S30" s="352">
        <f t="shared" si="4"/>
        <v>426.21172620435118</v>
      </c>
      <c r="T30" s="62">
        <f t="shared" si="5"/>
        <v>4.25</v>
      </c>
      <c r="U30" s="106">
        <f t="shared" si="6"/>
        <v>150.38761111112063</v>
      </c>
      <c r="V30" s="17">
        <f t="shared" si="7"/>
        <v>8776706.503611112</v>
      </c>
      <c r="W30" s="62">
        <f>SUM(V30/E30)/T2</f>
        <v>426.21923580085041</v>
      </c>
      <c r="X30">
        <f t="shared" si="9"/>
        <v>1584</v>
      </c>
      <c r="Y30" s="353">
        <v>106</v>
      </c>
      <c r="Z30" s="63">
        <f t="shared" si="8"/>
        <v>-320.21172620435118</v>
      </c>
    </row>
    <row r="31" spans="1:26" x14ac:dyDescent="0.2">
      <c r="A31" s="42">
        <f>Gen!B37</f>
        <v>44588</v>
      </c>
      <c r="B31" s="66">
        <v>0</v>
      </c>
      <c r="C31" s="71">
        <f>Gen!C37</f>
        <v>0.13</v>
      </c>
      <c r="D31" s="348">
        <f t="shared" si="2"/>
        <v>11</v>
      </c>
      <c r="E31" s="336">
        <f>'Summery Report'!E31</f>
        <v>11</v>
      </c>
      <c r="F31" s="59">
        <f>Gen!V37</f>
        <v>0.39098337950138506</v>
      </c>
      <c r="G31" s="69">
        <f>Gen!U37</f>
        <v>3610</v>
      </c>
      <c r="H31" s="69">
        <v>280.63</v>
      </c>
      <c r="I31" s="69">
        <f t="shared" si="0"/>
        <v>3890.63</v>
      </c>
      <c r="J31" s="69">
        <v>36384.370000000032</v>
      </c>
      <c r="K31" s="58">
        <f>'Water-Meter'!E32</f>
        <v>75</v>
      </c>
      <c r="L31" s="360">
        <f>'Lpg (2)'!G36</f>
        <v>119.32799999997953</v>
      </c>
      <c r="M31" s="72" t="e">
        <f>#REF!</f>
        <v>#REF!</v>
      </c>
      <c r="N31" s="72" t="e">
        <f>#REF!</f>
        <v>#REF!</v>
      </c>
      <c r="O31" s="72" t="e">
        <f>#REF!</f>
        <v>#REF!</v>
      </c>
      <c r="P31" s="73">
        <f t="shared" si="1"/>
        <v>0.69969942307692368</v>
      </c>
      <c r="Q31" s="6">
        <f>I31*Q2</f>
        <v>8597708.7054999992</v>
      </c>
      <c r="R31" s="62">
        <f t="shared" si="3"/>
        <v>493.44058227157944</v>
      </c>
      <c r="S31" s="352">
        <f t="shared" si="4"/>
        <v>493.44058227157944</v>
      </c>
      <c r="T31" s="62">
        <f t="shared" si="5"/>
        <v>4.8295454545454541</v>
      </c>
      <c r="U31" s="106">
        <f t="shared" si="6"/>
        <v>147.87933333330795</v>
      </c>
      <c r="V31" s="17">
        <f t="shared" si="7"/>
        <v>8597861.4143787883</v>
      </c>
      <c r="W31" s="62">
        <f>SUM(V31/E31)/T2</f>
        <v>493.44934655525645</v>
      </c>
      <c r="X31">
        <f t="shared" si="9"/>
        <v>1584</v>
      </c>
      <c r="Y31" s="353">
        <v>106</v>
      </c>
      <c r="Z31" s="63">
        <f t="shared" si="8"/>
        <v>-387.44058227157944</v>
      </c>
    </row>
    <row r="32" spans="1:26" x14ac:dyDescent="0.2">
      <c r="A32" s="42">
        <f>Gen!B38</f>
        <v>44589</v>
      </c>
      <c r="B32" s="66">
        <v>0</v>
      </c>
      <c r="C32" s="71">
        <f>Gen!C38</f>
        <v>0.09</v>
      </c>
      <c r="D32" s="348">
        <f t="shared" si="2"/>
        <v>8</v>
      </c>
      <c r="E32" s="336">
        <f>'Summery Report'!E32</f>
        <v>8</v>
      </c>
      <c r="F32" s="59">
        <f>Gen!V38</f>
        <v>0.39777344837183415</v>
      </c>
      <c r="G32" s="69">
        <f>Gen!U38</f>
        <v>3593</v>
      </c>
      <c r="H32" s="69">
        <v>0</v>
      </c>
      <c r="I32" s="69">
        <f t="shared" si="0"/>
        <v>3593</v>
      </c>
      <c r="J32" s="69">
        <v>33780.000000000029</v>
      </c>
      <c r="K32" s="58">
        <f>'Water-Meter'!E33</f>
        <v>64</v>
      </c>
      <c r="L32" s="360">
        <f>'Lpg (2)'!G37</f>
        <v>116.07200000002049</v>
      </c>
      <c r="M32" s="72" t="e">
        <f>#REF!</f>
        <v>#REF!</v>
      </c>
      <c r="N32" s="72" t="e">
        <f>#REF!</f>
        <v>#REF!</v>
      </c>
      <c r="O32" s="72" t="e">
        <f>#REF!</f>
        <v>#REF!</v>
      </c>
      <c r="P32" s="73">
        <f t="shared" si="1"/>
        <v>0.64961538461538515</v>
      </c>
      <c r="Q32" s="6">
        <f>I32*Q2</f>
        <v>7939991.0499999998</v>
      </c>
      <c r="R32" s="62">
        <f t="shared" si="3"/>
        <v>626.57757654671718</v>
      </c>
      <c r="S32" s="352">
        <f t="shared" si="4"/>
        <v>626.57757654671718</v>
      </c>
      <c r="T32" s="62">
        <f t="shared" si="5"/>
        <v>4.1212121212121211</v>
      </c>
      <c r="U32" s="106">
        <f t="shared" si="6"/>
        <v>143.84427777780317</v>
      </c>
      <c r="V32" s="17">
        <f t="shared" si="7"/>
        <v>7940139.0154898986</v>
      </c>
      <c r="W32" s="62">
        <f>SUM(V32/E32)/T2</f>
        <v>626.5892531163114</v>
      </c>
      <c r="X32">
        <f t="shared" si="9"/>
        <v>1584</v>
      </c>
      <c r="Y32" s="353">
        <v>106</v>
      </c>
      <c r="Z32" s="63">
        <f t="shared" si="8"/>
        <v>-520.57757654671718</v>
      </c>
    </row>
    <row r="33" spans="1:26" x14ac:dyDescent="0.2">
      <c r="A33" s="42">
        <f>Gen!B39</f>
        <v>44590</v>
      </c>
      <c r="B33" s="66">
        <v>0</v>
      </c>
      <c r="C33" s="71">
        <f>Gen!C39</f>
        <v>0.09</v>
      </c>
      <c r="D33" s="348">
        <f t="shared" si="2"/>
        <v>8</v>
      </c>
      <c r="E33" s="336">
        <f>'Summery Report'!E33</f>
        <v>8</v>
      </c>
      <c r="F33" s="59">
        <f>Gen!V39</f>
        <v>0.39403455001393145</v>
      </c>
      <c r="G33" s="69">
        <f>Gen!U39</f>
        <v>3589</v>
      </c>
      <c r="H33" s="69">
        <v>0</v>
      </c>
      <c r="I33" s="69">
        <f t="shared" si="0"/>
        <v>3589</v>
      </c>
      <c r="J33" s="69">
        <v>33780.000000000029</v>
      </c>
      <c r="K33" s="58">
        <f>'Water-Meter'!E34</f>
        <v>80</v>
      </c>
      <c r="L33" s="360">
        <f>'Lpg (2)'!G38</f>
        <v>112.81599999999744</v>
      </c>
      <c r="M33" s="72" t="e">
        <f>#REF!</f>
        <v>#REF!</v>
      </c>
      <c r="N33" s="72" t="e">
        <f>#REF!</f>
        <v>#REF!</v>
      </c>
      <c r="O33" s="72" t="e">
        <f>#REF!</f>
        <v>#REF!</v>
      </c>
      <c r="P33" s="73">
        <f t="shared" si="1"/>
        <v>0.64961538461538515</v>
      </c>
      <c r="Q33" s="6">
        <f>I33*Q2</f>
        <v>7931151.6499999994</v>
      </c>
      <c r="R33" s="62">
        <f t="shared" si="3"/>
        <v>625.88002288510097</v>
      </c>
      <c r="S33" s="352">
        <f t="shared" si="4"/>
        <v>625.88002288510097</v>
      </c>
      <c r="T33" s="62">
        <f t="shared" si="5"/>
        <v>5.1515151515151514</v>
      </c>
      <c r="U33" s="106">
        <f t="shared" si="6"/>
        <v>139.80922222221906</v>
      </c>
      <c r="V33" s="17">
        <f t="shared" si="7"/>
        <v>7931296.6107373731</v>
      </c>
      <c r="W33" s="62">
        <f>SUM(V33/E33)/T2</f>
        <v>625.89146233722954</v>
      </c>
      <c r="X33">
        <f t="shared" si="9"/>
        <v>1584</v>
      </c>
      <c r="Y33" s="353">
        <v>106</v>
      </c>
      <c r="Z33" s="63">
        <f t="shared" si="8"/>
        <v>-519.88002288510097</v>
      </c>
    </row>
    <row r="34" spans="1:26" x14ac:dyDescent="0.2">
      <c r="A34" s="42">
        <f>Gen!B40</f>
        <v>44591</v>
      </c>
      <c r="B34" s="66">
        <v>0</v>
      </c>
      <c r="C34" s="71">
        <f>Gen!C40</f>
        <v>0.06</v>
      </c>
      <c r="D34" s="348">
        <f t="shared" si="2"/>
        <v>6</v>
      </c>
      <c r="E34" s="336">
        <f>'Summery Report'!E34</f>
        <v>6</v>
      </c>
      <c r="F34" s="59">
        <f>Gen!V40</f>
        <v>0.37674685314685319</v>
      </c>
      <c r="G34" s="69">
        <f>Gen!U40</f>
        <v>3575</v>
      </c>
      <c r="H34" s="69">
        <v>0</v>
      </c>
      <c r="I34" s="69">
        <f t="shared" si="0"/>
        <v>3575</v>
      </c>
      <c r="J34" s="69">
        <v>33780.000000000029</v>
      </c>
      <c r="K34" s="58">
        <f>'Water-Meter'!E35</f>
        <v>110</v>
      </c>
      <c r="L34" s="360">
        <f>'Lpg (2)'!G39</f>
        <v>103.79599999998464</v>
      </c>
      <c r="M34" s="72" t="e">
        <f>#REF!</f>
        <v>#REF!</v>
      </c>
      <c r="N34" s="72" t="e">
        <f>#REF!</f>
        <v>#REF!</v>
      </c>
      <c r="O34" s="72" t="e">
        <f>#REF!</f>
        <v>#REF!</v>
      </c>
      <c r="P34" s="73">
        <f t="shared" si="1"/>
        <v>0.64961538461538515</v>
      </c>
      <c r="Q34" s="6">
        <f>I34*Q2</f>
        <v>7900213.75</v>
      </c>
      <c r="R34" s="62">
        <f t="shared" si="3"/>
        <v>831.25144675925935</v>
      </c>
      <c r="S34" s="352">
        <f t="shared" si="4"/>
        <v>831.25144675925935</v>
      </c>
      <c r="T34" s="62">
        <f t="shared" si="5"/>
        <v>7.083333333333333</v>
      </c>
      <c r="U34" s="106">
        <f t="shared" si="6"/>
        <v>128.63102777775876</v>
      </c>
      <c r="V34" s="17">
        <f t="shared" si="7"/>
        <v>7900349.4643611107</v>
      </c>
      <c r="W34" s="62">
        <f>SUM(V34/E34)/T2</f>
        <v>831.26572646897205</v>
      </c>
      <c r="X34">
        <f t="shared" si="9"/>
        <v>1584</v>
      </c>
      <c r="Y34" s="353">
        <v>106</v>
      </c>
      <c r="Z34" s="63">
        <f t="shared" si="8"/>
        <v>-725.25144675925935</v>
      </c>
    </row>
    <row r="35" spans="1:26" x14ac:dyDescent="0.2">
      <c r="A35" s="42">
        <f>Gen!B41</f>
        <v>44592</v>
      </c>
      <c r="B35" s="66">
        <v>0</v>
      </c>
      <c r="C35" s="71">
        <f>Gen!C41</f>
        <v>0.05</v>
      </c>
      <c r="D35" s="348">
        <f t="shared" si="2"/>
        <v>5</v>
      </c>
      <c r="E35" s="336">
        <f>'Summery Report'!E35</f>
        <v>5</v>
      </c>
      <c r="F35" s="59">
        <f>Gen!V41</f>
        <v>0.39228606356968215</v>
      </c>
      <c r="G35" s="69">
        <f>Gen!U41</f>
        <v>3272</v>
      </c>
      <c r="H35" s="69">
        <v>0</v>
      </c>
      <c r="I35" s="69">
        <f t="shared" si="0"/>
        <v>3272</v>
      </c>
      <c r="J35" s="69">
        <v>33780.000000000029</v>
      </c>
      <c r="K35" s="58">
        <f>'Water-Meter'!E36</f>
        <v>104</v>
      </c>
      <c r="L35" s="360">
        <f>'Lpg (2)'!G40</f>
        <v>-4278.8239999999641</v>
      </c>
      <c r="M35" s="72" t="e">
        <f>#REF!</f>
        <v>#REF!</v>
      </c>
      <c r="N35" s="72" t="e">
        <f>#REF!</f>
        <v>#REF!</v>
      </c>
      <c r="O35" s="72" t="e">
        <f>#REF!</f>
        <v>#REF!</v>
      </c>
      <c r="P35" s="73">
        <f t="shared" si="1"/>
        <v>0.64961538461538515</v>
      </c>
      <c r="Q35" s="6">
        <f>I35*Q2</f>
        <v>7230629.1999999993</v>
      </c>
      <c r="R35" s="62">
        <f t="shared" si="3"/>
        <v>912.95823232323221</v>
      </c>
      <c r="S35" s="352">
        <f t="shared" si="4"/>
        <v>912.95823232323221</v>
      </c>
      <c r="T35" s="62">
        <f t="shared" si="5"/>
        <v>6.6969696969696972</v>
      </c>
      <c r="U35" s="106">
        <f t="shared" si="6"/>
        <v>-5302.6082777777328</v>
      </c>
      <c r="V35" s="17">
        <f t="shared" si="7"/>
        <v>7225333.2886919184</v>
      </c>
      <c r="W35" s="62">
        <f>SUM(V35/E35)/T2</f>
        <v>912.28955665301999</v>
      </c>
      <c r="X35">
        <f t="shared" si="9"/>
        <v>1584</v>
      </c>
      <c r="Y35" s="353">
        <v>106</v>
      </c>
      <c r="Z35" s="63">
        <f t="shared" si="8"/>
        <v>-806.95823232323221</v>
      </c>
    </row>
    <row r="36" spans="1:26" ht="13.5" thickBot="1" x14ac:dyDescent="0.25">
      <c r="A36" s="43"/>
      <c r="B36" s="65"/>
      <c r="C36" s="60"/>
      <c r="D36" s="68"/>
      <c r="E36" s="7"/>
      <c r="F36" s="60"/>
      <c r="G36" s="70"/>
      <c r="H36" s="70"/>
      <c r="I36" s="70"/>
      <c r="J36" s="70"/>
      <c r="K36" s="58" t="str">
        <f>'Water-Meter'!E37</f>
        <v>0</v>
      </c>
      <c r="L36" s="57"/>
      <c r="M36" s="70"/>
      <c r="N36" s="70"/>
      <c r="O36" s="70"/>
      <c r="P36" s="70"/>
      <c r="Q36" s="6">
        <f>I36*2057.79</f>
        <v>0</v>
      </c>
      <c r="R36" s="61"/>
      <c r="S36" s="61"/>
      <c r="T36" s="105"/>
      <c r="U36" s="107"/>
      <c r="V36" s="17">
        <f t="shared" si="7"/>
        <v>0</v>
      </c>
      <c r="W36" s="105"/>
    </row>
    <row r="37" spans="1:26" x14ac:dyDescent="0.2">
      <c r="K37" s="58">
        <f>'Water-Meter'!E38</f>
        <v>2764</v>
      </c>
      <c r="S37" s="63" t="e">
        <v>#REF!</v>
      </c>
    </row>
    <row r="38" spans="1:26" x14ac:dyDescent="0.2">
      <c r="B38" s="67" t="e">
        <v>#REF!</v>
      </c>
      <c r="M38">
        <f>0.5*2057.79</f>
        <v>1028.895</v>
      </c>
    </row>
    <row r="39" spans="1:26" x14ac:dyDescent="0.2">
      <c r="B39" s="67" t="e">
        <v>#REF!</v>
      </c>
      <c r="C39" s="67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349</v>
      </c>
      <c r="S39" s="63" t="e">
        <f>SUM(S37-Y35)</f>
        <v>#REF!</v>
      </c>
    </row>
    <row r="40" spans="1:26" x14ac:dyDescent="0.2">
      <c r="P40">
        <f>P39/K5</f>
        <v>936.74482758620695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50"/>
  </sheetPr>
  <dimension ref="A1:G89"/>
  <sheetViews>
    <sheetView topLeftCell="A63" workbookViewId="0">
      <selection activeCell="K81" sqref="K81"/>
    </sheetView>
  </sheetViews>
  <sheetFormatPr defaultRowHeight="12.75" x14ac:dyDescent="0.2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 x14ac:dyDescent="0.3">
      <c r="A1" s="1004" t="s">
        <v>350</v>
      </c>
      <c r="B1" s="1005"/>
      <c r="C1" s="1005"/>
      <c r="D1" s="1005"/>
      <c r="E1" s="1005"/>
      <c r="F1" s="1005"/>
      <c r="G1" s="1006"/>
    </row>
    <row r="2" spans="1:7" ht="13.5" thickBot="1" x14ac:dyDescent="0.25">
      <c r="A2" s="250"/>
      <c r="B2" s="1007" t="s">
        <v>351</v>
      </c>
      <c r="C2" s="1008"/>
      <c r="D2" s="1009"/>
      <c r="E2" s="1007" t="s">
        <v>352</v>
      </c>
      <c r="F2" s="1008"/>
      <c r="G2" s="1009"/>
    </row>
    <row r="3" spans="1:7" ht="40.5" customHeight="1" x14ac:dyDescent="0.2">
      <c r="A3" s="264" t="s">
        <v>242</v>
      </c>
      <c r="B3" s="265" t="s">
        <v>353</v>
      </c>
      <c r="C3" s="265" t="s">
        <v>354</v>
      </c>
      <c r="D3" s="265" t="s">
        <v>355</v>
      </c>
      <c r="E3" s="265" t="s">
        <v>353</v>
      </c>
      <c r="F3" s="265" t="s">
        <v>354</v>
      </c>
      <c r="G3" s="266" t="s">
        <v>355</v>
      </c>
    </row>
    <row r="4" spans="1:7" x14ac:dyDescent="0.2">
      <c r="A4" s="207">
        <v>43101</v>
      </c>
      <c r="B4" s="884">
        <v>46071</v>
      </c>
      <c r="C4" s="886">
        <v>48188</v>
      </c>
      <c r="D4" s="267">
        <v>2117</v>
      </c>
      <c r="E4" s="268">
        <v>216654</v>
      </c>
      <c r="F4" s="882">
        <v>218779</v>
      </c>
      <c r="G4" s="222">
        <v>2125</v>
      </c>
    </row>
    <row r="5" spans="1:7" x14ac:dyDescent="0.2">
      <c r="A5" s="207">
        <v>43132</v>
      </c>
      <c r="B5" s="885">
        <v>48188</v>
      </c>
      <c r="C5" s="887">
        <v>50066</v>
      </c>
      <c r="D5" s="267">
        <f t="shared" ref="D5:D68" si="0">C5-B5</f>
        <v>1878</v>
      </c>
      <c r="E5" s="268">
        <f t="shared" ref="E5:E68" si="1">F4</f>
        <v>218779</v>
      </c>
      <c r="F5" s="883">
        <v>220744</v>
      </c>
      <c r="G5" s="222">
        <f t="shared" ref="G5:G68" si="2">F5-E5</f>
        <v>1965</v>
      </c>
    </row>
    <row r="6" spans="1:7" x14ac:dyDescent="0.2">
      <c r="A6" s="207">
        <v>43160</v>
      </c>
      <c r="B6" s="885">
        <v>50066</v>
      </c>
      <c r="C6" s="887">
        <v>51916</v>
      </c>
      <c r="D6" s="267">
        <f t="shared" si="0"/>
        <v>1850</v>
      </c>
      <c r="E6" s="268">
        <f t="shared" si="1"/>
        <v>220744</v>
      </c>
      <c r="F6" s="883">
        <v>222873</v>
      </c>
      <c r="G6" s="222">
        <f t="shared" si="2"/>
        <v>2129</v>
      </c>
    </row>
    <row r="7" spans="1:7" x14ac:dyDescent="0.2">
      <c r="A7" s="207">
        <v>43191</v>
      </c>
      <c r="B7" s="885">
        <v>51916</v>
      </c>
      <c r="C7" s="887">
        <v>53641</v>
      </c>
      <c r="D7" s="267">
        <f t="shared" si="0"/>
        <v>1725</v>
      </c>
      <c r="E7" s="268">
        <f t="shared" si="1"/>
        <v>222873</v>
      </c>
      <c r="F7" s="883">
        <v>224922</v>
      </c>
      <c r="G7" s="222">
        <f t="shared" si="2"/>
        <v>2049</v>
      </c>
    </row>
    <row r="8" spans="1:7" x14ac:dyDescent="0.2">
      <c r="A8" s="207">
        <v>43221</v>
      </c>
      <c r="B8" s="885">
        <v>53641</v>
      </c>
      <c r="C8" s="887">
        <v>55409</v>
      </c>
      <c r="D8" s="267">
        <f t="shared" si="0"/>
        <v>1768</v>
      </c>
      <c r="E8" s="268">
        <f t="shared" si="1"/>
        <v>224922</v>
      </c>
      <c r="F8" s="883">
        <v>227063</v>
      </c>
      <c r="G8" s="222">
        <f t="shared" si="2"/>
        <v>2141</v>
      </c>
    </row>
    <row r="9" spans="1:7" x14ac:dyDescent="0.2">
      <c r="A9" s="207">
        <v>43252</v>
      </c>
      <c r="B9" s="885">
        <v>55409</v>
      </c>
      <c r="C9" s="887">
        <v>57396</v>
      </c>
      <c r="D9" s="267">
        <f t="shared" si="0"/>
        <v>1987</v>
      </c>
      <c r="E9" s="268">
        <f t="shared" si="1"/>
        <v>227063</v>
      </c>
      <c r="F9" s="883">
        <v>229163</v>
      </c>
      <c r="G9" s="222">
        <f t="shared" si="2"/>
        <v>2100</v>
      </c>
    </row>
    <row r="10" spans="1:7" x14ac:dyDescent="0.2">
      <c r="A10" s="207">
        <v>43282</v>
      </c>
      <c r="B10" s="885">
        <v>57396</v>
      </c>
      <c r="C10" s="887">
        <v>59391</v>
      </c>
      <c r="D10" s="267">
        <f t="shared" si="0"/>
        <v>1995</v>
      </c>
      <c r="E10" s="268">
        <f t="shared" si="1"/>
        <v>229163</v>
      </c>
      <c r="F10" s="883">
        <v>231359</v>
      </c>
      <c r="G10" s="222">
        <f t="shared" si="2"/>
        <v>2196</v>
      </c>
    </row>
    <row r="11" spans="1:7" x14ac:dyDescent="0.2">
      <c r="A11" s="207">
        <v>43313</v>
      </c>
      <c r="B11" s="885">
        <v>59391</v>
      </c>
      <c r="C11" s="887">
        <v>61427</v>
      </c>
      <c r="D11" s="267">
        <f t="shared" si="0"/>
        <v>2036</v>
      </c>
      <c r="E11" s="268">
        <f t="shared" si="1"/>
        <v>231359</v>
      </c>
      <c r="F11" s="883">
        <v>233548</v>
      </c>
      <c r="G11" s="222">
        <f t="shared" si="2"/>
        <v>2189</v>
      </c>
    </row>
    <row r="12" spans="1:7" x14ac:dyDescent="0.2">
      <c r="A12" s="207">
        <v>43344</v>
      </c>
      <c r="B12" s="885">
        <v>61427</v>
      </c>
      <c r="C12" s="887">
        <v>63464</v>
      </c>
      <c r="D12" s="267">
        <f t="shared" si="0"/>
        <v>2037</v>
      </c>
      <c r="E12" s="268">
        <f t="shared" si="1"/>
        <v>233548</v>
      </c>
      <c r="F12" s="883">
        <v>235653</v>
      </c>
      <c r="G12" s="222">
        <f t="shared" si="2"/>
        <v>2105</v>
      </c>
    </row>
    <row r="13" spans="1:7" x14ac:dyDescent="0.2">
      <c r="A13" s="207">
        <v>43374</v>
      </c>
      <c r="B13" s="885">
        <v>63464</v>
      </c>
      <c r="C13" s="887">
        <v>65577</v>
      </c>
      <c r="D13" s="267">
        <f t="shared" si="0"/>
        <v>2113</v>
      </c>
      <c r="E13" s="268">
        <f t="shared" si="1"/>
        <v>235653</v>
      </c>
      <c r="F13" s="883">
        <v>237802</v>
      </c>
      <c r="G13" s="222">
        <f t="shared" si="2"/>
        <v>2149</v>
      </c>
    </row>
    <row r="14" spans="1:7" x14ac:dyDescent="0.2">
      <c r="A14" s="207">
        <v>43405</v>
      </c>
      <c r="B14" s="885">
        <v>65577</v>
      </c>
      <c r="C14" s="887">
        <v>67714</v>
      </c>
      <c r="D14" s="267">
        <f t="shared" si="0"/>
        <v>2137</v>
      </c>
      <c r="E14" s="268">
        <f t="shared" si="1"/>
        <v>237802</v>
      </c>
      <c r="F14" s="883">
        <v>239883</v>
      </c>
      <c r="G14" s="222">
        <f t="shared" si="2"/>
        <v>2081</v>
      </c>
    </row>
    <row r="15" spans="1:7" x14ac:dyDescent="0.2">
      <c r="A15" s="207">
        <v>43435</v>
      </c>
      <c r="B15" s="885">
        <v>67714</v>
      </c>
      <c r="C15" s="887">
        <v>69886</v>
      </c>
      <c r="D15" s="267">
        <f t="shared" si="0"/>
        <v>2172</v>
      </c>
      <c r="E15" s="268">
        <f t="shared" si="1"/>
        <v>239883</v>
      </c>
      <c r="F15" s="883">
        <v>242023</v>
      </c>
      <c r="G15" s="222">
        <f t="shared" si="2"/>
        <v>2140</v>
      </c>
    </row>
    <row r="16" spans="1:7" x14ac:dyDescent="0.2">
      <c r="A16" s="207">
        <v>43466</v>
      </c>
      <c r="B16" s="885">
        <v>69886</v>
      </c>
      <c r="C16" s="887">
        <v>72120</v>
      </c>
      <c r="D16" s="267">
        <f t="shared" si="0"/>
        <v>2234</v>
      </c>
      <c r="E16" s="268">
        <f t="shared" si="1"/>
        <v>242023</v>
      </c>
      <c r="F16" s="883">
        <v>244252</v>
      </c>
      <c r="G16" s="222">
        <f t="shared" si="2"/>
        <v>2229</v>
      </c>
    </row>
    <row r="17" spans="1:7" x14ac:dyDescent="0.2">
      <c r="A17" s="207">
        <v>43497</v>
      </c>
      <c r="B17" s="885">
        <v>72120</v>
      </c>
      <c r="C17" s="887">
        <v>74132</v>
      </c>
      <c r="D17" s="267">
        <f t="shared" si="0"/>
        <v>2012</v>
      </c>
      <c r="E17" s="268">
        <f t="shared" si="1"/>
        <v>244252</v>
      </c>
      <c r="F17" s="883">
        <v>246272</v>
      </c>
      <c r="G17" s="222">
        <f t="shared" si="2"/>
        <v>2020</v>
      </c>
    </row>
    <row r="18" spans="1:7" x14ac:dyDescent="0.2">
      <c r="A18" s="207">
        <v>43525</v>
      </c>
      <c r="B18" s="885">
        <v>74132</v>
      </c>
      <c r="C18" s="887">
        <v>76130</v>
      </c>
      <c r="D18" s="267">
        <f t="shared" si="0"/>
        <v>1998</v>
      </c>
      <c r="E18" s="268">
        <f t="shared" si="1"/>
        <v>246272</v>
      </c>
      <c r="F18" s="883">
        <v>248562</v>
      </c>
      <c r="G18" s="222">
        <f t="shared" si="2"/>
        <v>2290</v>
      </c>
    </row>
    <row r="19" spans="1:7" x14ac:dyDescent="0.2">
      <c r="A19" s="207">
        <v>43556</v>
      </c>
      <c r="B19" s="885">
        <v>76130</v>
      </c>
      <c r="C19" s="887">
        <v>77859</v>
      </c>
      <c r="D19" s="267">
        <f t="shared" si="0"/>
        <v>1729</v>
      </c>
      <c r="E19" s="268">
        <f t="shared" si="1"/>
        <v>248562</v>
      </c>
      <c r="F19" s="883">
        <v>250789</v>
      </c>
      <c r="G19" s="222">
        <f t="shared" si="2"/>
        <v>2227</v>
      </c>
    </row>
    <row r="20" spans="1:7" x14ac:dyDescent="0.2">
      <c r="A20" s="207">
        <v>43586</v>
      </c>
      <c r="B20" s="885">
        <v>77859</v>
      </c>
      <c r="C20" s="887">
        <v>79636</v>
      </c>
      <c r="D20" s="267">
        <f t="shared" si="0"/>
        <v>1777</v>
      </c>
      <c r="E20" s="268">
        <f t="shared" si="1"/>
        <v>250789</v>
      </c>
      <c r="F20" s="883">
        <v>252878</v>
      </c>
      <c r="G20" s="222">
        <f t="shared" si="2"/>
        <v>2089</v>
      </c>
    </row>
    <row r="21" spans="1:7" x14ac:dyDescent="0.2">
      <c r="A21" s="207">
        <v>43617</v>
      </c>
      <c r="B21" s="885">
        <v>79636</v>
      </c>
      <c r="C21" s="887">
        <v>81603</v>
      </c>
      <c r="D21" s="267">
        <f t="shared" si="0"/>
        <v>1967</v>
      </c>
      <c r="E21" s="268">
        <f t="shared" si="1"/>
        <v>252878</v>
      </c>
      <c r="F21" s="883">
        <v>254783</v>
      </c>
      <c r="G21" s="222">
        <f t="shared" si="2"/>
        <v>1905</v>
      </c>
    </row>
    <row r="22" spans="1:7" x14ac:dyDescent="0.2">
      <c r="A22" s="207">
        <v>43647</v>
      </c>
      <c r="B22" s="885">
        <v>81603</v>
      </c>
      <c r="C22" s="887">
        <v>83511</v>
      </c>
      <c r="D22" s="267">
        <f t="shared" si="0"/>
        <v>1908</v>
      </c>
      <c r="E22" s="268">
        <f t="shared" si="1"/>
        <v>254783</v>
      </c>
      <c r="F22" s="881">
        <v>257138</v>
      </c>
      <c r="G22" s="222">
        <f t="shared" si="2"/>
        <v>2355</v>
      </c>
    </row>
    <row r="23" spans="1:7" x14ac:dyDescent="0.2">
      <c r="A23" s="207">
        <v>43678</v>
      </c>
      <c r="B23" s="885">
        <v>83511</v>
      </c>
      <c r="C23" s="887">
        <v>85418</v>
      </c>
      <c r="D23" s="267">
        <f t="shared" si="0"/>
        <v>1907</v>
      </c>
      <c r="E23" s="268">
        <f t="shared" si="1"/>
        <v>257138</v>
      </c>
      <c r="F23" s="881">
        <v>259453</v>
      </c>
      <c r="G23" s="222">
        <f t="shared" si="2"/>
        <v>2315</v>
      </c>
    </row>
    <row r="24" spans="1:7" x14ac:dyDescent="0.2">
      <c r="A24" s="207">
        <v>43709</v>
      </c>
      <c r="B24" s="885">
        <v>85418</v>
      </c>
      <c r="C24" s="887">
        <v>87262</v>
      </c>
      <c r="D24" s="267">
        <f t="shared" si="0"/>
        <v>1844</v>
      </c>
      <c r="E24" s="268">
        <f t="shared" si="1"/>
        <v>259453</v>
      </c>
      <c r="F24" s="881">
        <v>261652</v>
      </c>
      <c r="G24" s="222">
        <f t="shared" si="2"/>
        <v>2199</v>
      </c>
    </row>
    <row r="25" spans="1:7" x14ac:dyDescent="0.2">
      <c r="A25" s="207">
        <v>43739</v>
      </c>
      <c r="B25" s="885">
        <v>87262</v>
      </c>
      <c r="C25" s="887">
        <v>89489</v>
      </c>
      <c r="D25" s="267">
        <f t="shared" si="0"/>
        <v>2227</v>
      </c>
      <c r="E25" s="268">
        <f t="shared" si="1"/>
        <v>261652</v>
      </c>
      <c r="F25" s="881">
        <v>263905</v>
      </c>
      <c r="G25" s="222">
        <f t="shared" si="2"/>
        <v>2253</v>
      </c>
    </row>
    <row r="26" spans="1:7" x14ac:dyDescent="0.2">
      <c r="A26" s="207">
        <v>43770</v>
      </c>
      <c r="B26" s="885">
        <v>89489</v>
      </c>
      <c r="C26" s="887">
        <v>91615</v>
      </c>
      <c r="D26" s="267">
        <f t="shared" si="0"/>
        <v>2126</v>
      </c>
      <c r="E26" s="268">
        <f t="shared" si="1"/>
        <v>263905</v>
      </c>
      <c r="F26" s="881">
        <v>265969</v>
      </c>
      <c r="G26" s="222">
        <f t="shared" si="2"/>
        <v>2064</v>
      </c>
    </row>
    <row r="27" spans="1:7" x14ac:dyDescent="0.2">
      <c r="A27" s="207">
        <v>43800</v>
      </c>
      <c r="B27" s="885">
        <v>91615</v>
      </c>
      <c r="C27" s="887">
        <v>93828</v>
      </c>
      <c r="D27" s="267">
        <f t="shared" si="0"/>
        <v>2213</v>
      </c>
      <c r="E27" s="268">
        <f t="shared" si="1"/>
        <v>265969</v>
      </c>
      <c r="F27" s="881">
        <v>268212</v>
      </c>
      <c r="G27" s="222">
        <f t="shared" si="2"/>
        <v>2243</v>
      </c>
    </row>
    <row r="28" spans="1:7" x14ac:dyDescent="0.2">
      <c r="A28" s="207">
        <v>43831</v>
      </c>
      <c r="B28" s="885">
        <v>93828</v>
      </c>
      <c r="C28" s="887">
        <v>95998</v>
      </c>
      <c r="D28" s="267">
        <f t="shared" si="0"/>
        <v>2170</v>
      </c>
      <c r="E28" s="268">
        <f t="shared" si="1"/>
        <v>268212</v>
      </c>
      <c r="F28" s="881">
        <v>270443</v>
      </c>
      <c r="G28" s="222">
        <f t="shared" si="2"/>
        <v>2231</v>
      </c>
    </row>
    <row r="29" spans="1:7" x14ac:dyDescent="0.2">
      <c r="A29" s="207">
        <v>43862</v>
      </c>
      <c r="B29" s="885">
        <v>95998</v>
      </c>
      <c r="C29" s="887">
        <v>98070</v>
      </c>
      <c r="D29" s="267">
        <f t="shared" si="0"/>
        <v>2072</v>
      </c>
      <c r="E29" s="268">
        <f t="shared" si="1"/>
        <v>270443</v>
      </c>
      <c r="F29" s="881">
        <v>272554</v>
      </c>
      <c r="G29" s="222">
        <f t="shared" si="2"/>
        <v>2111</v>
      </c>
    </row>
    <row r="30" spans="1:7" x14ac:dyDescent="0.2">
      <c r="A30" s="207">
        <v>43891</v>
      </c>
      <c r="B30" s="885">
        <v>98070</v>
      </c>
      <c r="C30" s="887">
        <v>100381</v>
      </c>
      <c r="D30" s="267">
        <f t="shared" si="0"/>
        <v>2311</v>
      </c>
      <c r="E30" s="268">
        <f t="shared" si="1"/>
        <v>272554</v>
      </c>
      <c r="F30" s="881">
        <v>274788</v>
      </c>
      <c r="G30" s="222">
        <f t="shared" si="2"/>
        <v>2234</v>
      </c>
    </row>
    <row r="31" spans="1:7" x14ac:dyDescent="0.2">
      <c r="A31" s="207">
        <v>43922</v>
      </c>
      <c r="B31" s="885">
        <v>100381</v>
      </c>
      <c r="C31" s="887">
        <v>102607</v>
      </c>
      <c r="D31" s="267">
        <f t="shared" si="0"/>
        <v>2226</v>
      </c>
      <c r="E31" s="268">
        <f t="shared" si="1"/>
        <v>274788</v>
      </c>
      <c r="F31" s="881">
        <v>276874</v>
      </c>
      <c r="G31" s="222">
        <f t="shared" si="2"/>
        <v>2086</v>
      </c>
    </row>
    <row r="32" spans="1:7" x14ac:dyDescent="0.2">
      <c r="A32" s="207">
        <v>43952</v>
      </c>
      <c r="B32" s="885">
        <v>102607</v>
      </c>
      <c r="C32" s="887">
        <v>104898</v>
      </c>
      <c r="D32" s="267">
        <f t="shared" si="0"/>
        <v>2291</v>
      </c>
      <c r="E32" s="268">
        <f t="shared" si="1"/>
        <v>276874</v>
      </c>
      <c r="F32" s="881">
        <v>279093</v>
      </c>
      <c r="G32" s="222">
        <f t="shared" si="2"/>
        <v>2219</v>
      </c>
    </row>
    <row r="33" spans="1:7" x14ac:dyDescent="0.2">
      <c r="A33" s="207">
        <v>43983</v>
      </c>
      <c r="B33" s="885">
        <v>104898</v>
      </c>
      <c r="C33" s="887">
        <v>107117</v>
      </c>
      <c r="D33" s="267">
        <f t="shared" si="0"/>
        <v>2219</v>
      </c>
      <c r="E33" s="268">
        <f t="shared" si="1"/>
        <v>279093</v>
      </c>
      <c r="F33" s="881">
        <v>281240</v>
      </c>
      <c r="G33" s="222">
        <f t="shared" si="2"/>
        <v>2147</v>
      </c>
    </row>
    <row r="34" spans="1:7" x14ac:dyDescent="0.2">
      <c r="A34" s="207">
        <v>44013</v>
      </c>
      <c r="B34" s="885">
        <v>107117</v>
      </c>
      <c r="C34" s="887">
        <v>109400</v>
      </c>
      <c r="D34" s="267">
        <f t="shared" si="0"/>
        <v>2283</v>
      </c>
      <c r="E34" s="268">
        <f t="shared" si="1"/>
        <v>281240</v>
      </c>
      <c r="F34" s="881">
        <v>283452</v>
      </c>
      <c r="G34" s="222">
        <f t="shared" si="2"/>
        <v>2212</v>
      </c>
    </row>
    <row r="35" spans="1:7" x14ac:dyDescent="0.2">
      <c r="A35" s="207">
        <v>44044</v>
      </c>
      <c r="B35" s="885">
        <v>109400</v>
      </c>
      <c r="C35" s="887">
        <v>111576</v>
      </c>
      <c r="D35" s="267">
        <f t="shared" si="0"/>
        <v>2176</v>
      </c>
      <c r="E35" s="268">
        <f t="shared" si="1"/>
        <v>283452</v>
      </c>
      <c r="F35" s="881">
        <v>285683</v>
      </c>
      <c r="G35" s="222">
        <f t="shared" si="2"/>
        <v>2231</v>
      </c>
    </row>
    <row r="36" spans="1:7" x14ac:dyDescent="0.2">
      <c r="A36" s="207">
        <v>44075</v>
      </c>
      <c r="B36" s="885">
        <v>111576</v>
      </c>
      <c r="C36" s="887">
        <v>113681</v>
      </c>
      <c r="D36" s="267">
        <f t="shared" si="0"/>
        <v>2105</v>
      </c>
      <c r="E36" s="268">
        <f t="shared" si="1"/>
        <v>285683</v>
      </c>
      <c r="F36" s="881">
        <v>287829</v>
      </c>
      <c r="G36" s="222">
        <f t="shared" si="2"/>
        <v>2146</v>
      </c>
    </row>
    <row r="37" spans="1:7" x14ac:dyDescent="0.2">
      <c r="A37" s="207">
        <v>44105</v>
      </c>
      <c r="B37" s="885">
        <v>113681</v>
      </c>
      <c r="C37" s="887">
        <v>115884</v>
      </c>
      <c r="D37" s="267">
        <f t="shared" si="0"/>
        <v>2203</v>
      </c>
      <c r="E37" s="268">
        <f t="shared" si="1"/>
        <v>287829</v>
      </c>
      <c r="F37" s="881">
        <v>290035</v>
      </c>
      <c r="G37" s="222">
        <f t="shared" si="2"/>
        <v>2206</v>
      </c>
    </row>
    <row r="38" spans="1:7" x14ac:dyDescent="0.2">
      <c r="A38" s="207">
        <v>44136</v>
      </c>
      <c r="B38" s="885">
        <v>115884</v>
      </c>
      <c r="C38" s="887">
        <v>117878</v>
      </c>
      <c r="D38" s="267">
        <f t="shared" si="0"/>
        <v>1994</v>
      </c>
      <c r="E38" s="268">
        <f t="shared" si="1"/>
        <v>290035</v>
      </c>
      <c r="F38" s="881">
        <v>292096</v>
      </c>
      <c r="G38" s="222">
        <f t="shared" si="2"/>
        <v>2061</v>
      </c>
    </row>
    <row r="39" spans="1:7" x14ac:dyDescent="0.2">
      <c r="A39" s="207">
        <v>44166</v>
      </c>
      <c r="B39" s="885">
        <v>117878</v>
      </c>
      <c r="C39" s="887">
        <v>120013</v>
      </c>
      <c r="D39" s="267">
        <f t="shared" si="0"/>
        <v>2135</v>
      </c>
      <c r="E39" s="268">
        <f t="shared" si="1"/>
        <v>292096</v>
      </c>
      <c r="F39" s="881">
        <v>294243</v>
      </c>
      <c r="G39" s="222">
        <f t="shared" si="2"/>
        <v>2147</v>
      </c>
    </row>
    <row r="40" spans="1:7" x14ac:dyDescent="0.2">
      <c r="A40" s="207">
        <v>44197</v>
      </c>
      <c r="B40" s="885">
        <v>120013</v>
      </c>
      <c r="C40" s="887">
        <v>122116</v>
      </c>
      <c r="D40" s="267">
        <f t="shared" si="0"/>
        <v>2103</v>
      </c>
      <c r="E40" s="268">
        <f t="shared" si="1"/>
        <v>294243</v>
      </c>
      <c r="F40" s="881">
        <v>296404</v>
      </c>
      <c r="G40" s="222">
        <f t="shared" si="2"/>
        <v>2161</v>
      </c>
    </row>
    <row r="41" spans="1:7" x14ac:dyDescent="0.2">
      <c r="A41" s="207">
        <v>44228</v>
      </c>
      <c r="B41" s="885">
        <v>122116</v>
      </c>
      <c r="C41" s="887">
        <v>124084</v>
      </c>
      <c r="D41" s="267">
        <f t="shared" si="0"/>
        <v>1968</v>
      </c>
      <c r="E41" s="268">
        <f t="shared" si="1"/>
        <v>296404</v>
      </c>
      <c r="F41" s="881">
        <v>298355</v>
      </c>
      <c r="G41" s="222">
        <f t="shared" si="2"/>
        <v>1951</v>
      </c>
    </row>
    <row r="42" spans="1:7" x14ac:dyDescent="0.2">
      <c r="A42" s="207">
        <v>44256</v>
      </c>
      <c r="B42" s="885">
        <v>124084</v>
      </c>
      <c r="C42" s="887">
        <v>126278</v>
      </c>
      <c r="D42" s="267">
        <f t="shared" si="0"/>
        <v>2194</v>
      </c>
      <c r="E42" s="268">
        <f t="shared" si="1"/>
        <v>298355</v>
      </c>
      <c r="F42" s="881">
        <v>300336</v>
      </c>
      <c r="G42" s="222">
        <f t="shared" si="2"/>
        <v>1981</v>
      </c>
    </row>
    <row r="43" spans="1:7" x14ac:dyDescent="0.2">
      <c r="A43" s="207">
        <v>44287</v>
      </c>
      <c r="B43" s="885">
        <v>126278</v>
      </c>
      <c r="C43" s="887">
        <v>128390</v>
      </c>
      <c r="D43" s="267">
        <f t="shared" si="0"/>
        <v>2112</v>
      </c>
      <c r="E43" s="268">
        <f t="shared" si="1"/>
        <v>300336</v>
      </c>
      <c r="F43" s="881">
        <v>302366</v>
      </c>
      <c r="G43" s="222">
        <f t="shared" si="2"/>
        <v>2030</v>
      </c>
    </row>
    <row r="44" spans="1:7" x14ac:dyDescent="0.2">
      <c r="A44" s="207">
        <v>44317</v>
      </c>
      <c r="B44" s="885">
        <v>128390</v>
      </c>
      <c r="C44" s="887">
        <v>130576</v>
      </c>
      <c r="D44" s="267">
        <f t="shared" si="0"/>
        <v>2186</v>
      </c>
      <c r="E44" s="268">
        <f t="shared" si="1"/>
        <v>302366</v>
      </c>
      <c r="F44" s="881">
        <v>304389</v>
      </c>
      <c r="G44" s="222">
        <f t="shared" si="2"/>
        <v>2023</v>
      </c>
    </row>
    <row r="45" spans="1:7" x14ac:dyDescent="0.2">
      <c r="A45" s="207">
        <v>44348</v>
      </c>
      <c r="B45" s="885">
        <v>130576</v>
      </c>
      <c r="C45" s="887">
        <v>132621</v>
      </c>
      <c r="D45" s="267">
        <f t="shared" si="0"/>
        <v>2045</v>
      </c>
      <c r="E45" s="268">
        <f t="shared" si="1"/>
        <v>304389</v>
      </c>
      <c r="F45" s="881">
        <v>306282</v>
      </c>
      <c r="G45" s="222">
        <f t="shared" si="2"/>
        <v>1893</v>
      </c>
    </row>
    <row r="46" spans="1:7" x14ac:dyDescent="0.2">
      <c r="A46" s="207">
        <v>44378</v>
      </c>
      <c r="B46" s="885">
        <v>132621</v>
      </c>
      <c r="C46" s="887">
        <v>134729</v>
      </c>
      <c r="D46" s="267">
        <f t="shared" si="0"/>
        <v>2108</v>
      </c>
      <c r="E46" s="268">
        <f t="shared" si="1"/>
        <v>306282</v>
      </c>
      <c r="F46" s="881">
        <v>308345</v>
      </c>
      <c r="G46" s="222">
        <f t="shared" si="2"/>
        <v>2063</v>
      </c>
    </row>
    <row r="47" spans="1:7" x14ac:dyDescent="0.2">
      <c r="A47" s="207">
        <v>44409</v>
      </c>
      <c r="B47" s="885">
        <v>134729</v>
      </c>
      <c r="C47" s="887">
        <v>136855</v>
      </c>
      <c r="D47" s="267">
        <f t="shared" si="0"/>
        <v>2126</v>
      </c>
      <c r="E47" s="268">
        <f t="shared" si="1"/>
        <v>308345</v>
      </c>
      <c r="F47" s="881">
        <v>310439</v>
      </c>
      <c r="G47" s="222">
        <f t="shared" si="2"/>
        <v>2094</v>
      </c>
    </row>
    <row r="48" spans="1:7" x14ac:dyDescent="0.2">
      <c r="A48" s="207">
        <v>44440</v>
      </c>
      <c r="B48" s="885">
        <v>136855</v>
      </c>
      <c r="C48" s="887">
        <v>138919</v>
      </c>
      <c r="D48" s="267">
        <f t="shared" si="0"/>
        <v>2064</v>
      </c>
      <c r="E48" s="268">
        <f t="shared" si="1"/>
        <v>310439</v>
      </c>
      <c r="F48" s="881">
        <v>312148</v>
      </c>
      <c r="G48" s="222">
        <f t="shared" si="2"/>
        <v>1709</v>
      </c>
    </row>
    <row r="49" spans="1:7" x14ac:dyDescent="0.2">
      <c r="A49" s="207">
        <v>44470</v>
      </c>
      <c r="B49" s="885">
        <v>138919</v>
      </c>
      <c r="C49" s="887">
        <v>141022</v>
      </c>
      <c r="D49" s="267">
        <f t="shared" si="0"/>
        <v>2103</v>
      </c>
      <c r="E49" s="268">
        <f t="shared" si="1"/>
        <v>312148</v>
      </c>
      <c r="F49" s="881">
        <v>314267</v>
      </c>
      <c r="G49" s="222">
        <f t="shared" si="2"/>
        <v>2119</v>
      </c>
    </row>
    <row r="50" spans="1:7" x14ac:dyDescent="0.2">
      <c r="A50" s="207">
        <v>44501</v>
      </c>
      <c r="B50" s="885">
        <v>141022</v>
      </c>
      <c r="C50" s="887">
        <v>143031</v>
      </c>
      <c r="D50" s="267">
        <f t="shared" si="0"/>
        <v>2009</v>
      </c>
      <c r="E50" s="268">
        <f t="shared" si="1"/>
        <v>314267</v>
      </c>
      <c r="F50" s="881">
        <v>316380</v>
      </c>
      <c r="G50" s="222">
        <f t="shared" si="2"/>
        <v>2113</v>
      </c>
    </row>
    <row r="51" spans="1:7" x14ac:dyDescent="0.2">
      <c r="A51" s="207">
        <v>44531</v>
      </c>
      <c r="B51" s="885">
        <v>143031</v>
      </c>
      <c r="C51" s="887">
        <v>145144</v>
      </c>
      <c r="D51" s="267">
        <f t="shared" si="0"/>
        <v>2113</v>
      </c>
      <c r="E51" s="268">
        <f t="shared" si="1"/>
        <v>316380</v>
      </c>
      <c r="F51" s="881">
        <v>318576</v>
      </c>
      <c r="G51" s="222">
        <f t="shared" si="2"/>
        <v>2196</v>
      </c>
    </row>
    <row r="52" spans="1:7" x14ac:dyDescent="0.2">
      <c r="A52" s="207">
        <v>44562</v>
      </c>
      <c r="B52" s="885">
        <v>145144</v>
      </c>
      <c r="C52" s="209">
        <v>147232</v>
      </c>
      <c r="D52" s="267">
        <f t="shared" si="0"/>
        <v>2088</v>
      </c>
      <c r="E52" s="268">
        <f t="shared" si="1"/>
        <v>318576</v>
      </c>
      <c r="F52" s="6">
        <v>320818</v>
      </c>
      <c r="G52" s="222">
        <f t="shared" si="2"/>
        <v>2242</v>
      </c>
    </row>
    <row r="53" spans="1:7" x14ac:dyDescent="0.2">
      <c r="A53" s="207">
        <v>44593</v>
      </c>
      <c r="B53" s="388">
        <f t="shared" ref="B53:B68" si="3">C52</f>
        <v>147232</v>
      </c>
      <c r="C53" s="6"/>
      <c r="D53" s="267">
        <f t="shared" si="0"/>
        <v>-147232</v>
      </c>
      <c r="E53" s="268">
        <f t="shared" si="1"/>
        <v>320818</v>
      </c>
      <c r="F53" s="6"/>
      <c r="G53" s="222">
        <f t="shared" si="2"/>
        <v>-320818</v>
      </c>
    </row>
    <row r="54" spans="1:7" x14ac:dyDescent="0.2">
      <c r="A54" s="207">
        <v>44621</v>
      </c>
      <c r="B54" s="388">
        <f t="shared" si="3"/>
        <v>0</v>
      </c>
      <c r="C54" s="6"/>
      <c r="D54" s="267">
        <f t="shared" si="0"/>
        <v>0</v>
      </c>
      <c r="E54" s="268">
        <f t="shared" si="1"/>
        <v>0</v>
      </c>
      <c r="F54" s="6"/>
      <c r="G54" s="222">
        <f t="shared" si="2"/>
        <v>0</v>
      </c>
    </row>
    <row r="55" spans="1:7" x14ac:dyDescent="0.2">
      <c r="A55" s="207">
        <v>44652</v>
      </c>
      <c r="B55" s="388">
        <f t="shared" si="3"/>
        <v>0</v>
      </c>
      <c r="C55" s="6"/>
      <c r="D55" s="267">
        <f t="shared" si="0"/>
        <v>0</v>
      </c>
      <c r="E55" s="268">
        <f t="shared" si="1"/>
        <v>0</v>
      </c>
      <c r="F55" s="6"/>
      <c r="G55" s="222">
        <f t="shared" si="2"/>
        <v>0</v>
      </c>
    </row>
    <row r="56" spans="1:7" x14ac:dyDescent="0.2">
      <c r="A56" s="207">
        <v>44682</v>
      </c>
      <c r="B56" s="388">
        <f t="shared" si="3"/>
        <v>0</v>
      </c>
      <c r="C56" s="6"/>
      <c r="D56" s="267">
        <f t="shared" si="0"/>
        <v>0</v>
      </c>
      <c r="E56" s="268">
        <f t="shared" si="1"/>
        <v>0</v>
      </c>
      <c r="F56" s="6"/>
      <c r="G56" s="222">
        <f t="shared" si="2"/>
        <v>0</v>
      </c>
    </row>
    <row r="57" spans="1:7" x14ac:dyDescent="0.2">
      <c r="A57" s="207">
        <v>44713</v>
      </c>
      <c r="B57" s="388">
        <f t="shared" si="3"/>
        <v>0</v>
      </c>
      <c r="C57" s="6"/>
      <c r="D57" s="267">
        <f t="shared" si="0"/>
        <v>0</v>
      </c>
      <c r="E57" s="268">
        <f t="shared" si="1"/>
        <v>0</v>
      </c>
      <c r="F57" s="6"/>
      <c r="G57" s="222">
        <f t="shared" si="2"/>
        <v>0</v>
      </c>
    </row>
    <row r="58" spans="1:7" x14ac:dyDescent="0.2">
      <c r="A58" s="207">
        <v>44743</v>
      </c>
      <c r="B58" s="388">
        <f t="shared" si="3"/>
        <v>0</v>
      </c>
      <c r="C58" s="6"/>
      <c r="D58" s="267">
        <f t="shared" si="0"/>
        <v>0</v>
      </c>
      <c r="E58" s="268">
        <f t="shared" si="1"/>
        <v>0</v>
      </c>
      <c r="F58" s="6"/>
      <c r="G58" s="222">
        <f t="shared" si="2"/>
        <v>0</v>
      </c>
    </row>
    <row r="59" spans="1:7" x14ac:dyDescent="0.2">
      <c r="A59" s="207">
        <v>44774</v>
      </c>
      <c r="B59" s="388">
        <f t="shared" si="3"/>
        <v>0</v>
      </c>
      <c r="C59" s="6"/>
      <c r="D59" s="267">
        <f t="shared" si="0"/>
        <v>0</v>
      </c>
      <c r="E59" s="268">
        <f t="shared" si="1"/>
        <v>0</v>
      </c>
      <c r="F59" s="6"/>
      <c r="G59" s="222">
        <f t="shared" si="2"/>
        <v>0</v>
      </c>
    </row>
    <row r="60" spans="1:7" x14ac:dyDescent="0.2">
      <c r="A60" s="207">
        <v>44805</v>
      </c>
      <c r="B60" s="388">
        <f t="shared" si="3"/>
        <v>0</v>
      </c>
      <c r="C60" s="6"/>
      <c r="D60" s="267">
        <f t="shared" si="0"/>
        <v>0</v>
      </c>
      <c r="E60" s="268">
        <f t="shared" si="1"/>
        <v>0</v>
      </c>
      <c r="F60" s="6"/>
      <c r="G60" s="222">
        <f t="shared" si="2"/>
        <v>0</v>
      </c>
    </row>
    <row r="61" spans="1:7" x14ac:dyDescent="0.2">
      <c r="A61" s="207">
        <v>44835</v>
      </c>
      <c r="B61" s="388">
        <f t="shared" si="3"/>
        <v>0</v>
      </c>
      <c r="C61" s="6"/>
      <c r="D61" s="267">
        <f t="shared" si="0"/>
        <v>0</v>
      </c>
      <c r="E61" s="268">
        <f t="shared" si="1"/>
        <v>0</v>
      </c>
      <c r="F61" s="6"/>
      <c r="G61" s="222">
        <f t="shared" si="2"/>
        <v>0</v>
      </c>
    </row>
    <row r="62" spans="1:7" x14ac:dyDescent="0.2">
      <c r="A62" s="207">
        <v>44866</v>
      </c>
      <c r="B62" s="388">
        <f t="shared" si="3"/>
        <v>0</v>
      </c>
      <c r="C62" s="6"/>
      <c r="D62" s="267">
        <f t="shared" si="0"/>
        <v>0</v>
      </c>
      <c r="E62" s="268">
        <f t="shared" si="1"/>
        <v>0</v>
      </c>
      <c r="F62" s="6"/>
      <c r="G62" s="222">
        <f t="shared" si="2"/>
        <v>0</v>
      </c>
    </row>
    <row r="63" spans="1:7" x14ac:dyDescent="0.2">
      <c r="A63" s="207">
        <v>44896</v>
      </c>
      <c r="B63" s="388">
        <f t="shared" si="3"/>
        <v>0</v>
      </c>
      <c r="C63" s="6"/>
      <c r="D63" s="267">
        <f t="shared" si="0"/>
        <v>0</v>
      </c>
      <c r="E63" s="268">
        <f t="shared" si="1"/>
        <v>0</v>
      </c>
      <c r="F63" s="6"/>
      <c r="G63" s="222">
        <f t="shared" si="2"/>
        <v>0</v>
      </c>
    </row>
    <row r="64" spans="1:7" x14ac:dyDescent="0.2">
      <c r="A64" s="207">
        <v>44562</v>
      </c>
      <c r="B64" s="388">
        <f t="shared" si="3"/>
        <v>0</v>
      </c>
      <c r="C64" s="209"/>
      <c r="D64" s="267">
        <f t="shared" si="0"/>
        <v>0</v>
      </c>
      <c r="E64" s="268">
        <f t="shared" si="1"/>
        <v>0</v>
      </c>
      <c r="F64" s="6"/>
      <c r="G64" s="222">
        <f t="shared" si="2"/>
        <v>0</v>
      </c>
    </row>
    <row r="65" spans="1:7" x14ac:dyDescent="0.2">
      <c r="A65" s="207">
        <v>44593</v>
      </c>
      <c r="B65" s="388">
        <f t="shared" si="3"/>
        <v>0</v>
      </c>
      <c r="C65" s="6"/>
      <c r="D65" s="267">
        <f t="shared" si="0"/>
        <v>0</v>
      </c>
      <c r="E65" s="268">
        <f t="shared" si="1"/>
        <v>0</v>
      </c>
      <c r="F65" s="6"/>
      <c r="G65" s="222">
        <f t="shared" si="2"/>
        <v>0</v>
      </c>
    </row>
    <row r="66" spans="1:7" x14ac:dyDescent="0.2">
      <c r="A66" s="207">
        <v>44621</v>
      </c>
      <c r="B66" s="388">
        <f t="shared" si="3"/>
        <v>0</v>
      </c>
      <c r="C66" s="6"/>
      <c r="D66" s="267">
        <f t="shared" si="0"/>
        <v>0</v>
      </c>
      <c r="E66" s="268">
        <f t="shared" si="1"/>
        <v>0</v>
      </c>
      <c r="F66" s="6"/>
      <c r="G66" s="222">
        <f t="shared" si="2"/>
        <v>0</v>
      </c>
    </row>
    <row r="67" spans="1:7" x14ac:dyDescent="0.2">
      <c r="A67" s="207">
        <v>44652</v>
      </c>
      <c r="B67" s="388">
        <f t="shared" si="3"/>
        <v>0</v>
      </c>
      <c r="C67" s="6"/>
      <c r="D67" s="267">
        <f t="shared" si="0"/>
        <v>0</v>
      </c>
      <c r="E67" s="268">
        <f t="shared" si="1"/>
        <v>0</v>
      </c>
      <c r="F67" s="6"/>
      <c r="G67" s="222">
        <f t="shared" si="2"/>
        <v>0</v>
      </c>
    </row>
    <row r="68" spans="1:7" x14ac:dyDescent="0.2">
      <c r="A68" s="207">
        <v>44682</v>
      </c>
      <c r="B68" s="388">
        <f t="shared" si="3"/>
        <v>0</v>
      </c>
      <c r="C68" s="6"/>
      <c r="D68" s="267">
        <f t="shared" si="0"/>
        <v>0</v>
      </c>
      <c r="E68" s="268">
        <f t="shared" si="1"/>
        <v>0</v>
      </c>
      <c r="F68" s="6"/>
      <c r="G68" s="222">
        <f t="shared" si="2"/>
        <v>0</v>
      </c>
    </row>
    <row r="69" spans="1:7" x14ac:dyDescent="0.2">
      <c r="A69" s="207">
        <v>44713</v>
      </c>
      <c r="B69" s="388">
        <f t="shared" ref="B69:B75" si="4">C68</f>
        <v>0</v>
      </c>
      <c r="C69" s="6"/>
      <c r="D69" s="267">
        <f t="shared" ref="D69:D75" si="5">C69-B69</f>
        <v>0</v>
      </c>
      <c r="E69" s="268">
        <f t="shared" ref="E69:E75" si="6">F68</f>
        <v>0</v>
      </c>
      <c r="F69" s="6"/>
      <c r="G69" s="222">
        <f t="shared" ref="G69:G75" si="7">F69-E69</f>
        <v>0</v>
      </c>
    </row>
    <row r="70" spans="1:7" x14ac:dyDescent="0.2">
      <c r="A70" s="207">
        <v>44743</v>
      </c>
      <c r="B70" s="388">
        <f t="shared" si="4"/>
        <v>0</v>
      </c>
      <c r="C70" s="6"/>
      <c r="D70" s="267">
        <f t="shared" si="5"/>
        <v>0</v>
      </c>
      <c r="E70" s="268">
        <f t="shared" si="6"/>
        <v>0</v>
      </c>
      <c r="F70" s="6"/>
      <c r="G70" s="222">
        <f t="shared" si="7"/>
        <v>0</v>
      </c>
    </row>
    <row r="71" spans="1:7" x14ac:dyDescent="0.2">
      <c r="A71" s="207">
        <v>44774</v>
      </c>
      <c r="B71" s="388">
        <f t="shared" si="4"/>
        <v>0</v>
      </c>
      <c r="C71" s="6"/>
      <c r="D71" s="267">
        <f t="shared" si="5"/>
        <v>0</v>
      </c>
      <c r="E71" s="268">
        <f t="shared" si="6"/>
        <v>0</v>
      </c>
      <c r="F71" s="6"/>
      <c r="G71" s="222">
        <f t="shared" si="7"/>
        <v>0</v>
      </c>
    </row>
    <row r="72" spans="1:7" x14ac:dyDescent="0.2">
      <c r="A72" s="207">
        <v>44805</v>
      </c>
      <c r="B72" s="388">
        <f t="shared" si="4"/>
        <v>0</v>
      </c>
      <c r="C72" s="6"/>
      <c r="D72" s="267">
        <f t="shared" si="5"/>
        <v>0</v>
      </c>
      <c r="E72" s="268">
        <f t="shared" si="6"/>
        <v>0</v>
      </c>
      <c r="F72" s="6"/>
      <c r="G72" s="222">
        <f t="shared" si="7"/>
        <v>0</v>
      </c>
    </row>
    <row r="73" spans="1:7" x14ac:dyDescent="0.2">
      <c r="A73" s="207">
        <v>44835</v>
      </c>
      <c r="B73" s="388">
        <f t="shared" si="4"/>
        <v>0</v>
      </c>
      <c r="C73" s="6"/>
      <c r="D73" s="267">
        <f t="shared" si="5"/>
        <v>0</v>
      </c>
      <c r="E73" s="268">
        <f t="shared" si="6"/>
        <v>0</v>
      </c>
      <c r="F73" s="6"/>
      <c r="G73" s="222">
        <f t="shared" si="7"/>
        <v>0</v>
      </c>
    </row>
    <row r="74" spans="1:7" x14ac:dyDescent="0.2">
      <c r="A74" s="207">
        <v>44866</v>
      </c>
      <c r="B74" s="388">
        <f t="shared" si="4"/>
        <v>0</v>
      </c>
      <c r="C74" s="6"/>
      <c r="D74" s="267">
        <f t="shared" si="5"/>
        <v>0</v>
      </c>
      <c r="E74" s="268">
        <f t="shared" si="6"/>
        <v>0</v>
      </c>
      <c r="F74" s="6"/>
      <c r="G74" s="222">
        <f t="shared" si="7"/>
        <v>0</v>
      </c>
    </row>
    <row r="75" spans="1:7" x14ac:dyDescent="0.2">
      <c r="A75" s="207">
        <v>44896</v>
      </c>
      <c r="B75" s="388">
        <f t="shared" si="4"/>
        <v>0</v>
      </c>
      <c r="C75" s="6"/>
      <c r="D75" s="267">
        <f t="shared" si="5"/>
        <v>0</v>
      </c>
      <c r="E75" s="268">
        <f t="shared" si="6"/>
        <v>0</v>
      </c>
      <c r="F75" s="6"/>
      <c r="G75" s="222">
        <f t="shared" si="7"/>
        <v>0</v>
      </c>
    </row>
    <row r="76" spans="1:7" ht="13.5" thickBot="1" x14ac:dyDescent="0.25"/>
    <row r="77" spans="1:7" x14ac:dyDescent="0.2">
      <c r="B77" s="650"/>
      <c r="C77" s="228"/>
      <c r="D77" s="651"/>
      <c r="E77" s="228"/>
      <c r="F77" s="228"/>
      <c r="G77" s="651"/>
    </row>
    <row r="78" spans="1:7" x14ac:dyDescent="0.2">
      <c r="B78" s="646"/>
      <c r="D78" s="647"/>
      <c r="G78" s="647"/>
    </row>
    <row r="79" spans="1:7" x14ac:dyDescent="0.2">
      <c r="B79" s="646"/>
      <c r="D79" s="647"/>
      <c r="G79" s="647"/>
    </row>
    <row r="80" spans="1:7" x14ac:dyDescent="0.2">
      <c r="B80" s="646"/>
      <c r="D80" s="647"/>
      <c r="G80" s="647"/>
    </row>
    <row r="81" spans="2:7" x14ac:dyDescent="0.2">
      <c r="B81" s="646"/>
      <c r="D81" s="647"/>
      <c r="G81" s="647"/>
    </row>
    <row r="82" spans="2:7" x14ac:dyDescent="0.2">
      <c r="B82" s="646"/>
      <c r="D82" s="647"/>
      <c r="G82" s="647"/>
    </row>
    <row r="83" spans="2:7" x14ac:dyDescent="0.2">
      <c r="B83" s="646"/>
      <c r="D83" s="647"/>
      <c r="G83" s="647"/>
    </row>
    <row r="84" spans="2:7" x14ac:dyDescent="0.2">
      <c r="B84" s="646"/>
      <c r="D84" s="647"/>
      <c r="G84" s="647"/>
    </row>
    <row r="85" spans="2:7" x14ac:dyDescent="0.2">
      <c r="B85" s="646"/>
      <c r="D85" s="647"/>
      <c r="G85" s="647"/>
    </row>
    <row r="86" spans="2:7" x14ac:dyDescent="0.2">
      <c r="B86" s="646"/>
      <c r="D86" s="647"/>
      <c r="G86" s="647"/>
    </row>
    <row r="87" spans="2:7" x14ac:dyDescent="0.2">
      <c r="B87" s="646"/>
      <c r="D87" s="647"/>
      <c r="G87" s="647"/>
    </row>
    <row r="88" spans="2:7" ht="13.5" thickBot="1" x14ac:dyDescent="0.25">
      <c r="B88" s="648"/>
      <c r="C88" s="214"/>
      <c r="D88" s="649"/>
      <c r="E88" s="214"/>
      <c r="F88" s="214"/>
      <c r="G88" s="649"/>
    </row>
    <row r="89" spans="2:7" ht="13.5" thickBot="1" x14ac:dyDescent="0.25">
      <c r="B89" s="652" t="s">
        <v>356</v>
      </c>
      <c r="C89" s="653"/>
      <c r="D89" s="654"/>
      <c r="E89" s="652" t="s">
        <v>357</v>
      </c>
      <c r="F89" s="653"/>
      <c r="G89" s="654"/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L93"/>
  <sheetViews>
    <sheetView topLeftCell="A52" workbookViewId="0">
      <selection activeCell="P77" sqref="P77"/>
    </sheetView>
  </sheetViews>
  <sheetFormatPr defaultRowHeight="12.75" x14ac:dyDescent="0.2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5.75" x14ac:dyDescent="0.25">
      <c r="A1" s="1010" t="s">
        <v>358</v>
      </c>
      <c r="B1" s="1011"/>
      <c r="C1" s="1011"/>
      <c r="D1" s="1011"/>
      <c r="G1" s="862"/>
      <c r="H1" s="863" t="s">
        <v>359</v>
      </c>
      <c r="I1" s="863"/>
      <c r="J1" s="862"/>
      <c r="K1" s="862"/>
    </row>
    <row r="2" spans="1:12" ht="38.25" x14ac:dyDescent="0.2">
      <c r="A2" s="864" t="s">
        <v>242</v>
      </c>
      <c r="B2" s="865" t="s">
        <v>353</v>
      </c>
      <c r="C2" s="865" t="s">
        <v>354</v>
      </c>
      <c r="D2" s="722" t="s">
        <v>360</v>
      </c>
      <c r="E2" s="722" t="s">
        <v>361</v>
      </c>
      <c r="F2" s="723" t="s">
        <v>362</v>
      </c>
      <c r="G2" s="866" t="s">
        <v>363</v>
      </c>
      <c r="H2" s="867" t="s">
        <v>364</v>
      </c>
      <c r="I2" s="724" t="s">
        <v>365</v>
      </c>
      <c r="J2" s="867" t="s">
        <v>366</v>
      </c>
      <c r="K2" s="867" t="s">
        <v>362</v>
      </c>
      <c r="L2" s="725" t="s">
        <v>289</v>
      </c>
    </row>
    <row r="3" spans="1:12" x14ac:dyDescent="0.2">
      <c r="A3" s="868">
        <v>43101</v>
      </c>
      <c r="B3" s="869">
        <v>6476953</v>
      </c>
      <c r="C3" s="6">
        <v>6542879</v>
      </c>
      <c r="D3" s="870">
        <f>C3-B3</f>
        <v>65926</v>
      </c>
      <c r="E3" s="6">
        <v>65927.77</v>
      </c>
      <c r="F3" s="871">
        <v>-1.77</v>
      </c>
      <c r="G3" s="872">
        <v>52890</v>
      </c>
      <c r="H3" s="6">
        <v>59763</v>
      </c>
      <c r="I3" s="873">
        <f>H3-G3</f>
        <v>6873</v>
      </c>
      <c r="J3" s="6">
        <v>6874.87</v>
      </c>
      <c r="K3" s="874">
        <f>J3-I3</f>
        <v>1.8699999999998909</v>
      </c>
      <c r="L3" s="875">
        <v>72799</v>
      </c>
    </row>
    <row r="4" spans="1:12" x14ac:dyDescent="0.2">
      <c r="A4" s="868">
        <v>43132</v>
      </c>
      <c r="B4" s="869">
        <v>6542879</v>
      </c>
      <c r="C4" s="6">
        <v>6604433</v>
      </c>
      <c r="D4" s="870">
        <f t="shared" ref="D4:D51" si="0">C4-B4</f>
        <v>61554</v>
      </c>
      <c r="E4" s="876">
        <v>61553.03</v>
      </c>
      <c r="F4" s="871">
        <v>0.97</v>
      </c>
      <c r="G4" s="872">
        <v>59763</v>
      </c>
      <c r="H4" s="6">
        <v>66652</v>
      </c>
      <c r="I4" s="873">
        <f t="shared" ref="I4:I67" si="1">H4-G4</f>
        <v>6889</v>
      </c>
      <c r="J4" s="6">
        <v>6890.89</v>
      </c>
      <c r="K4" s="874">
        <f t="shared" ref="K4:K53" si="2">J4-I4</f>
        <v>1.8900000000003274</v>
      </c>
      <c r="L4" s="875">
        <v>68443</v>
      </c>
    </row>
    <row r="5" spans="1:12" x14ac:dyDescent="0.2">
      <c r="A5" s="868">
        <v>43160</v>
      </c>
      <c r="B5" s="869">
        <v>6604433</v>
      </c>
      <c r="C5" s="877">
        <v>6660226</v>
      </c>
      <c r="D5" s="870">
        <f t="shared" si="0"/>
        <v>55793</v>
      </c>
      <c r="E5" s="877">
        <v>55792.75</v>
      </c>
      <c r="F5" s="871">
        <v>0.25</v>
      </c>
      <c r="G5" s="872">
        <v>66652</v>
      </c>
      <c r="H5" s="877">
        <v>77607</v>
      </c>
      <c r="I5" s="873">
        <f t="shared" si="1"/>
        <v>10955</v>
      </c>
      <c r="J5" s="877">
        <v>10955.45</v>
      </c>
      <c r="K5" s="874">
        <f t="shared" si="2"/>
        <v>0.4500000000007276</v>
      </c>
      <c r="L5" s="875">
        <v>66748</v>
      </c>
    </row>
    <row r="6" spans="1:12" x14ac:dyDescent="0.2">
      <c r="A6" s="868">
        <v>43191</v>
      </c>
      <c r="B6" s="869">
        <v>6660226</v>
      </c>
      <c r="C6" s="6">
        <v>6714539</v>
      </c>
      <c r="D6" s="870">
        <f t="shared" si="0"/>
        <v>54313</v>
      </c>
      <c r="E6" s="877">
        <v>54312.28</v>
      </c>
      <c r="F6" s="871">
        <v>0.72</v>
      </c>
      <c r="G6" s="872">
        <v>77607</v>
      </c>
      <c r="H6" s="6">
        <v>82271</v>
      </c>
      <c r="I6" s="873">
        <f t="shared" si="1"/>
        <v>4664</v>
      </c>
      <c r="J6" s="877">
        <v>4665.22</v>
      </c>
      <c r="K6" s="874">
        <f t="shared" si="2"/>
        <v>1.2200000000002547</v>
      </c>
      <c r="L6" s="875">
        <v>58977</v>
      </c>
    </row>
    <row r="7" spans="1:12" x14ac:dyDescent="0.2">
      <c r="A7" s="878">
        <v>43221</v>
      </c>
      <c r="B7" s="869">
        <v>6714539</v>
      </c>
      <c r="C7" s="6">
        <v>6774547</v>
      </c>
      <c r="D7" s="870">
        <f t="shared" si="0"/>
        <v>60008</v>
      </c>
      <c r="E7" s="6">
        <v>60007.47</v>
      </c>
      <c r="F7" s="871">
        <v>0.53</v>
      </c>
      <c r="G7" s="872">
        <v>82271</v>
      </c>
      <c r="H7" s="6">
        <v>88664</v>
      </c>
      <c r="I7" s="873">
        <f t="shared" si="1"/>
        <v>6393</v>
      </c>
      <c r="J7" s="6">
        <v>6392.14</v>
      </c>
      <c r="K7" s="874">
        <f t="shared" si="2"/>
        <v>-0.85999999999967258</v>
      </c>
      <c r="L7" s="875">
        <v>66401</v>
      </c>
    </row>
    <row r="8" spans="1:12" x14ac:dyDescent="0.2">
      <c r="A8" s="868">
        <v>43252</v>
      </c>
      <c r="B8" s="869">
        <v>6774547</v>
      </c>
      <c r="C8" s="6">
        <v>6845214</v>
      </c>
      <c r="D8" s="870">
        <f t="shared" si="0"/>
        <v>70667</v>
      </c>
      <c r="E8" s="6">
        <v>70666.289999999994</v>
      </c>
      <c r="F8" s="871">
        <v>0.71</v>
      </c>
      <c r="G8" s="872">
        <v>88664</v>
      </c>
      <c r="H8" s="6">
        <v>99683</v>
      </c>
      <c r="I8" s="873">
        <f t="shared" si="1"/>
        <v>11019</v>
      </c>
      <c r="J8" s="877">
        <v>11020.51</v>
      </c>
      <c r="K8" s="874">
        <f t="shared" si="2"/>
        <v>1.5100000000002183</v>
      </c>
      <c r="L8" s="875">
        <v>81686</v>
      </c>
    </row>
    <row r="9" spans="1:12" x14ac:dyDescent="0.2">
      <c r="A9" s="868">
        <v>43282</v>
      </c>
      <c r="B9" s="869">
        <v>6845214</v>
      </c>
      <c r="C9" s="877">
        <v>6921964</v>
      </c>
      <c r="D9" s="870">
        <f t="shared" si="0"/>
        <v>76750</v>
      </c>
      <c r="E9" s="877">
        <v>76750.25</v>
      </c>
      <c r="F9" s="871">
        <v>-0.25</v>
      </c>
      <c r="G9" s="872">
        <v>99683</v>
      </c>
      <c r="H9" s="877">
        <v>107936</v>
      </c>
      <c r="I9" s="873">
        <f t="shared" si="1"/>
        <v>8253</v>
      </c>
      <c r="J9" s="877">
        <v>8252.24</v>
      </c>
      <c r="K9" s="874">
        <f t="shared" si="2"/>
        <v>-0.76000000000021828</v>
      </c>
      <c r="L9" s="875">
        <v>85003</v>
      </c>
    </row>
    <row r="10" spans="1:12" x14ac:dyDescent="0.2">
      <c r="A10" s="868">
        <v>43313</v>
      </c>
      <c r="B10" s="869">
        <v>6921964</v>
      </c>
      <c r="C10" s="877">
        <v>7001142</v>
      </c>
      <c r="D10" s="870">
        <f t="shared" si="0"/>
        <v>79178</v>
      </c>
      <c r="E10" s="877">
        <v>79179.56</v>
      </c>
      <c r="F10" s="871">
        <v>-1.56</v>
      </c>
      <c r="G10" s="872">
        <v>107936</v>
      </c>
      <c r="H10" s="877">
        <v>116730</v>
      </c>
      <c r="I10" s="873">
        <f t="shared" si="1"/>
        <v>8794</v>
      </c>
      <c r="J10" s="877">
        <v>8793.1200000000008</v>
      </c>
      <c r="K10" s="874">
        <f t="shared" si="2"/>
        <v>-0.87999999999919964</v>
      </c>
      <c r="L10" s="875">
        <v>87972</v>
      </c>
    </row>
    <row r="11" spans="1:12" x14ac:dyDescent="0.2">
      <c r="A11" s="868">
        <v>43344</v>
      </c>
      <c r="B11" s="869">
        <v>7001142</v>
      </c>
      <c r="C11" s="877">
        <v>7074217</v>
      </c>
      <c r="D11" s="870">
        <f t="shared" si="0"/>
        <v>73075</v>
      </c>
      <c r="E11" s="877">
        <v>73076.960000000006</v>
      </c>
      <c r="F11" s="871">
        <v>-1.96</v>
      </c>
      <c r="G11" s="872">
        <v>116730</v>
      </c>
      <c r="H11" s="877">
        <v>127346</v>
      </c>
      <c r="I11" s="873">
        <f t="shared" si="1"/>
        <v>10616</v>
      </c>
      <c r="J11" s="877">
        <v>10615.37</v>
      </c>
      <c r="K11" s="874">
        <f t="shared" si="2"/>
        <v>-0.62999999999919964</v>
      </c>
      <c r="L11" s="875">
        <v>83691</v>
      </c>
    </row>
    <row r="12" spans="1:12" x14ac:dyDescent="0.2">
      <c r="A12" s="868">
        <v>43374</v>
      </c>
      <c r="B12" s="869">
        <v>7074217</v>
      </c>
      <c r="C12" s="6">
        <v>7154506</v>
      </c>
      <c r="D12" s="870">
        <f t="shared" si="0"/>
        <v>80289</v>
      </c>
      <c r="E12" s="6">
        <v>80287.839999999997</v>
      </c>
      <c r="F12" s="871">
        <v>1.1599999999999999</v>
      </c>
      <c r="G12" s="872">
        <v>127346</v>
      </c>
      <c r="H12" s="6">
        <v>134840</v>
      </c>
      <c r="I12" s="873">
        <f t="shared" si="1"/>
        <v>7494</v>
      </c>
      <c r="J12" s="6">
        <v>7493.99</v>
      </c>
      <c r="K12" s="874">
        <f t="shared" si="2"/>
        <v>-1.0000000000218279E-2</v>
      </c>
      <c r="L12" s="875">
        <v>87783</v>
      </c>
    </row>
    <row r="13" spans="1:12" x14ac:dyDescent="0.2">
      <c r="A13" s="868">
        <v>43405</v>
      </c>
      <c r="B13" s="869">
        <v>7154506</v>
      </c>
      <c r="C13" s="6">
        <v>7225359</v>
      </c>
      <c r="D13" s="870">
        <f t="shared" si="0"/>
        <v>70853</v>
      </c>
      <c r="E13" s="6">
        <v>70852.88</v>
      </c>
      <c r="F13" s="871">
        <v>0.12</v>
      </c>
      <c r="G13" s="872">
        <v>134840</v>
      </c>
      <c r="H13" s="6">
        <v>145302</v>
      </c>
      <c r="I13" s="873">
        <f t="shared" si="1"/>
        <v>10462</v>
      </c>
      <c r="J13" s="6">
        <v>10462.700000000001</v>
      </c>
      <c r="K13" s="874">
        <f t="shared" si="2"/>
        <v>0.7000000000007276</v>
      </c>
      <c r="L13" s="875">
        <v>81315</v>
      </c>
    </row>
    <row r="14" spans="1:12" x14ac:dyDescent="0.2">
      <c r="A14" s="868">
        <v>43435</v>
      </c>
      <c r="B14" s="869">
        <v>7225359</v>
      </c>
      <c r="C14" s="6">
        <v>7296581</v>
      </c>
      <c r="D14" s="870">
        <f t="shared" si="0"/>
        <v>71222</v>
      </c>
      <c r="E14" s="6">
        <v>71221.22</v>
      </c>
      <c r="F14" s="871">
        <v>0.78</v>
      </c>
      <c r="G14" s="872">
        <v>145302</v>
      </c>
      <c r="H14" s="6">
        <v>154999</v>
      </c>
      <c r="I14" s="873">
        <f t="shared" si="1"/>
        <v>9697</v>
      </c>
      <c r="J14" s="6">
        <v>9696.7999999999993</v>
      </c>
      <c r="K14" s="874">
        <f t="shared" si="2"/>
        <v>-0.2000000000007276</v>
      </c>
      <c r="L14" s="875">
        <v>80919</v>
      </c>
    </row>
    <row r="15" spans="1:12" x14ac:dyDescent="0.2">
      <c r="A15" s="868">
        <v>43466</v>
      </c>
      <c r="B15" s="869">
        <v>7296581</v>
      </c>
      <c r="C15" s="6">
        <v>7366625</v>
      </c>
      <c r="D15" s="870">
        <f t="shared" si="0"/>
        <v>70044</v>
      </c>
      <c r="E15" s="6">
        <v>70042.86</v>
      </c>
      <c r="F15" s="871">
        <v>1.1399999999999999</v>
      </c>
      <c r="G15" s="872">
        <v>154999</v>
      </c>
      <c r="H15" s="6">
        <v>161103</v>
      </c>
      <c r="I15" s="873">
        <f t="shared" si="1"/>
        <v>6104</v>
      </c>
      <c r="J15" s="6">
        <v>6107.32</v>
      </c>
      <c r="K15" s="874">
        <f t="shared" si="2"/>
        <v>3.319999999999709</v>
      </c>
      <c r="L15" s="875">
        <v>76148</v>
      </c>
    </row>
    <row r="16" spans="1:12" x14ac:dyDescent="0.2">
      <c r="A16" s="868">
        <v>43497</v>
      </c>
      <c r="B16" s="869">
        <v>7366625</v>
      </c>
      <c r="C16" s="6">
        <v>7427612</v>
      </c>
      <c r="D16" s="870">
        <f t="shared" si="0"/>
        <v>60987</v>
      </c>
      <c r="E16" s="6">
        <v>60986.27</v>
      </c>
      <c r="F16" s="871">
        <v>0.73</v>
      </c>
      <c r="G16" s="872">
        <v>161103</v>
      </c>
      <c r="H16" s="6">
        <v>167784</v>
      </c>
      <c r="I16" s="873">
        <f t="shared" si="1"/>
        <v>6681</v>
      </c>
      <c r="J16" s="6">
        <v>6681</v>
      </c>
      <c r="K16" s="874">
        <f t="shared" si="2"/>
        <v>0</v>
      </c>
      <c r="L16" s="875">
        <v>67668</v>
      </c>
    </row>
    <row r="17" spans="1:12" x14ac:dyDescent="0.2">
      <c r="A17" s="868">
        <v>43525</v>
      </c>
      <c r="B17" s="869">
        <v>7427612</v>
      </c>
      <c r="C17" s="6">
        <v>7494502</v>
      </c>
      <c r="D17" s="870">
        <f t="shared" si="0"/>
        <v>66890</v>
      </c>
      <c r="E17" s="6">
        <v>66888.649999999994</v>
      </c>
      <c r="F17" s="871">
        <v>1.35</v>
      </c>
      <c r="G17" s="872">
        <v>167784</v>
      </c>
      <c r="H17" s="6">
        <v>178453</v>
      </c>
      <c r="I17" s="873">
        <f t="shared" si="1"/>
        <v>10669</v>
      </c>
      <c r="J17" s="6">
        <v>10669.59</v>
      </c>
      <c r="K17" s="874">
        <f t="shared" si="2"/>
        <v>0.59000000000014552</v>
      </c>
      <c r="L17" s="875">
        <v>77559</v>
      </c>
    </row>
    <row r="18" spans="1:12" x14ac:dyDescent="0.2">
      <c r="A18" s="868">
        <v>43556</v>
      </c>
      <c r="B18" s="869">
        <v>7494502</v>
      </c>
      <c r="C18" s="6">
        <v>7567839</v>
      </c>
      <c r="D18" s="870">
        <f t="shared" si="0"/>
        <v>73337</v>
      </c>
      <c r="E18" s="6">
        <v>73336.570000000007</v>
      </c>
      <c r="F18" s="871">
        <v>0.43</v>
      </c>
      <c r="G18" s="872">
        <v>178453</v>
      </c>
      <c r="H18" s="6">
        <v>185868</v>
      </c>
      <c r="I18" s="873">
        <f t="shared" si="1"/>
        <v>7415</v>
      </c>
      <c r="J18" s="6">
        <v>7415.91</v>
      </c>
      <c r="K18" s="874">
        <f t="shared" si="2"/>
        <v>0.90999999999985448</v>
      </c>
      <c r="L18" s="875">
        <v>80752</v>
      </c>
    </row>
    <row r="19" spans="1:12" x14ac:dyDescent="0.2">
      <c r="A19" s="868">
        <v>43586</v>
      </c>
      <c r="B19" s="869">
        <v>7567839</v>
      </c>
      <c r="C19" s="6">
        <v>7635177</v>
      </c>
      <c r="D19" s="870">
        <f t="shared" si="0"/>
        <v>67338</v>
      </c>
      <c r="E19" s="6">
        <v>67338.48</v>
      </c>
      <c r="F19" s="871">
        <v>-0.48</v>
      </c>
      <c r="G19" s="872">
        <v>185868</v>
      </c>
      <c r="H19" s="6">
        <v>191580</v>
      </c>
      <c r="I19" s="873">
        <f t="shared" si="1"/>
        <v>5712</v>
      </c>
      <c r="J19" s="6">
        <v>5711.08</v>
      </c>
      <c r="K19" s="874">
        <f t="shared" si="2"/>
        <v>-0.92000000000007276</v>
      </c>
      <c r="L19" s="875">
        <v>73050</v>
      </c>
    </row>
    <row r="20" spans="1:12" x14ac:dyDescent="0.2">
      <c r="A20" s="868">
        <v>43617</v>
      </c>
      <c r="B20" s="869">
        <v>7635177</v>
      </c>
      <c r="C20" s="6">
        <v>7705814</v>
      </c>
      <c r="D20" s="870">
        <f t="shared" si="0"/>
        <v>70637</v>
      </c>
      <c r="E20" s="6">
        <v>70631.199999999997</v>
      </c>
      <c r="F20" s="871">
        <v>5.8</v>
      </c>
      <c r="G20" s="872">
        <v>191580</v>
      </c>
      <c r="H20" s="6">
        <v>198910</v>
      </c>
      <c r="I20" s="873">
        <f t="shared" si="1"/>
        <v>7330</v>
      </c>
      <c r="J20" s="6">
        <v>7352.54</v>
      </c>
      <c r="K20" s="874">
        <f t="shared" si="2"/>
        <v>22.539999999999964</v>
      </c>
      <c r="L20" s="875">
        <v>77967</v>
      </c>
    </row>
    <row r="21" spans="1:12" x14ac:dyDescent="0.2">
      <c r="A21" s="868">
        <v>43647</v>
      </c>
      <c r="B21" s="869">
        <v>7705814</v>
      </c>
      <c r="C21" s="6">
        <v>7789265</v>
      </c>
      <c r="D21" s="870">
        <f t="shared" si="0"/>
        <v>83451</v>
      </c>
      <c r="E21" s="6">
        <v>83450.259999999995</v>
      </c>
      <c r="F21" s="871">
        <v>0.74</v>
      </c>
      <c r="G21" s="872">
        <v>198910</v>
      </c>
      <c r="H21" s="6">
        <v>208208</v>
      </c>
      <c r="I21" s="873">
        <f t="shared" si="1"/>
        <v>9298</v>
      </c>
      <c r="J21" s="6">
        <v>8921.51</v>
      </c>
      <c r="K21" s="874">
        <f t="shared" si="2"/>
        <v>-376.48999999999978</v>
      </c>
      <c r="L21" s="875">
        <v>92749</v>
      </c>
    </row>
    <row r="22" spans="1:12" x14ac:dyDescent="0.2">
      <c r="A22" s="868">
        <v>43678</v>
      </c>
      <c r="B22" s="869">
        <v>7789265</v>
      </c>
      <c r="C22" s="6">
        <v>7867728</v>
      </c>
      <c r="D22" s="870">
        <f t="shared" si="0"/>
        <v>78463</v>
      </c>
      <c r="E22" s="6">
        <v>78463.600000000006</v>
      </c>
      <c r="F22" s="871">
        <v>-0.6</v>
      </c>
      <c r="G22" s="872">
        <v>208208</v>
      </c>
      <c r="H22" s="6">
        <v>216205</v>
      </c>
      <c r="I22" s="873">
        <f t="shared" si="1"/>
        <v>7997</v>
      </c>
      <c r="J22" s="6">
        <v>7870.33</v>
      </c>
      <c r="K22" s="874">
        <f t="shared" si="2"/>
        <v>-126.67000000000007</v>
      </c>
      <c r="L22" s="875">
        <v>86460</v>
      </c>
    </row>
    <row r="23" spans="1:12" x14ac:dyDescent="0.2">
      <c r="A23" s="868">
        <v>43709</v>
      </c>
      <c r="B23" s="869">
        <v>7867728</v>
      </c>
      <c r="C23" s="6">
        <v>7937278</v>
      </c>
      <c r="D23" s="870">
        <f t="shared" si="0"/>
        <v>69550</v>
      </c>
      <c r="E23" s="6">
        <v>69549.31</v>
      </c>
      <c r="F23" s="871">
        <v>0.69</v>
      </c>
      <c r="G23" s="872">
        <v>216205</v>
      </c>
      <c r="H23" s="6">
        <v>223195</v>
      </c>
      <c r="I23" s="873">
        <f t="shared" si="1"/>
        <v>6990</v>
      </c>
      <c r="J23" s="6">
        <v>6989.22</v>
      </c>
      <c r="K23" s="874">
        <f t="shared" si="2"/>
        <v>-0.77999999999974534</v>
      </c>
      <c r="L23" s="875">
        <v>76540</v>
      </c>
    </row>
    <row r="24" spans="1:12" x14ac:dyDescent="0.2">
      <c r="A24" s="868">
        <v>43739</v>
      </c>
      <c r="B24" s="869">
        <v>7937278</v>
      </c>
      <c r="C24" s="6">
        <v>8009185</v>
      </c>
      <c r="D24" s="870">
        <f t="shared" si="0"/>
        <v>71907</v>
      </c>
      <c r="E24" s="6">
        <v>71906.240000000005</v>
      </c>
      <c r="F24" s="871">
        <v>0.76</v>
      </c>
      <c r="G24" s="872">
        <v>223195</v>
      </c>
      <c r="H24" s="6">
        <v>229902</v>
      </c>
      <c r="I24" s="873">
        <f t="shared" si="1"/>
        <v>6707</v>
      </c>
      <c r="J24" s="6">
        <v>6706</v>
      </c>
      <c r="K24" s="874">
        <f t="shared" si="2"/>
        <v>-1</v>
      </c>
      <c r="L24" s="875">
        <v>78614</v>
      </c>
    </row>
    <row r="25" spans="1:12" x14ac:dyDescent="0.2">
      <c r="A25" s="868">
        <v>43770</v>
      </c>
      <c r="B25" s="869">
        <v>8009185</v>
      </c>
      <c r="C25" s="6">
        <v>8069975</v>
      </c>
      <c r="D25" s="870">
        <f t="shared" si="0"/>
        <v>60790</v>
      </c>
      <c r="E25" s="6">
        <v>60788.44</v>
      </c>
      <c r="F25" s="871">
        <v>1.56</v>
      </c>
      <c r="G25" s="872">
        <v>229902</v>
      </c>
      <c r="H25" s="6">
        <v>235486</v>
      </c>
      <c r="I25" s="873">
        <f t="shared" si="1"/>
        <v>5584</v>
      </c>
      <c r="J25" s="6">
        <v>5584</v>
      </c>
      <c r="K25" s="874">
        <f t="shared" si="2"/>
        <v>0</v>
      </c>
      <c r="L25" s="875">
        <v>66374</v>
      </c>
    </row>
    <row r="26" spans="1:12" x14ac:dyDescent="0.2">
      <c r="A26" s="868">
        <v>43800</v>
      </c>
      <c r="B26" s="869">
        <v>8069975</v>
      </c>
      <c r="C26" s="877">
        <v>8133966</v>
      </c>
      <c r="D26" s="870">
        <f t="shared" si="0"/>
        <v>63991</v>
      </c>
      <c r="E26" s="877">
        <v>63990.63</v>
      </c>
      <c r="F26" s="871">
        <v>0.37</v>
      </c>
      <c r="G26" s="872">
        <v>235486</v>
      </c>
      <c r="H26" s="877">
        <v>245835</v>
      </c>
      <c r="I26" s="873">
        <f t="shared" si="1"/>
        <v>10349</v>
      </c>
      <c r="J26" s="877">
        <v>10348.06</v>
      </c>
      <c r="K26" s="874">
        <f t="shared" si="2"/>
        <v>-0.94000000000050932</v>
      </c>
      <c r="L26" s="875">
        <v>74340</v>
      </c>
    </row>
    <row r="27" spans="1:12" x14ac:dyDescent="0.2">
      <c r="A27" s="868">
        <v>43831</v>
      </c>
      <c r="B27" s="869">
        <v>8133966</v>
      </c>
      <c r="C27" s="6">
        <v>8200024</v>
      </c>
      <c r="D27" s="870">
        <f t="shared" si="0"/>
        <v>66058</v>
      </c>
      <c r="E27" s="6">
        <v>66057.75</v>
      </c>
      <c r="F27" s="871">
        <v>0.25</v>
      </c>
      <c r="G27" s="872">
        <v>245835</v>
      </c>
      <c r="H27" s="6">
        <v>253278</v>
      </c>
      <c r="I27" s="873">
        <f t="shared" si="1"/>
        <v>7443</v>
      </c>
      <c r="J27" s="6">
        <v>7443.22</v>
      </c>
      <c r="K27" s="874">
        <f t="shared" si="2"/>
        <v>0.22000000000025466</v>
      </c>
      <c r="L27" s="875">
        <v>73501</v>
      </c>
    </row>
    <row r="28" spans="1:12" x14ac:dyDescent="0.2">
      <c r="A28" s="868">
        <v>43862</v>
      </c>
      <c r="B28" s="869">
        <v>8200024</v>
      </c>
      <c r="C28" s="6">
        <v>8265856</v>
      </c>
      <c r="D28" s="870">
        <f t="shared" si="0"/>
        <v>65832</v>
      </c>
      <c r="E28" s="6">
        <v>65831.210000000006</v>
      </c>
      <c r="F28" s="871">
        <v>0.79</v>
      </c>
      <c r="G28" s="872">
        <v>253278</v>
      </c>
      <c r="H28" s="6">
        <v>259127</v>
      </c>
      <c r="I28" s="873">
        <f t="shared" si="1"/>
        <v>5849</v>
      </c>
      <c r="J28" s="6">
        <v>5848.37</v>
      </c>
      <c r="K28" s="874">
        <f t="shared" si="2"/>
        <v>-0.63000000000010914</v>
      </c>
      <c r="L28" s="875">
        <v>71681</v>
      </c>
    </row>
    <row r="29" spans="1:12" x14ac:dyDescent="0.2">
      <c r="A29" s="868">
        <v>43891</v>
      </c>
      <c r="B29" s="869">
        <v>8265856</v>
      </c>
      <c r="C29" s="6">
        <v>8316467</v>
      </c>
      <c r="D29" s="870">
        <f t="shared" si="0"/>
        <v>50611</v>
      </c>
      <c r="E29" s="6">
        <v>50610.58</v>
      </c>
      <c r="F29" s="871">
        <v>0.42</v>
      </c>
      <c r="G29" s="872">
        <v>259127</v>
      </c>
      <c r="H29" s="6">
        <v>262770</v>
      </c>
      <c r="I29" s="873">
        <f t="shared" si="1"/>
        <v>3643</v>
      </c>
      <c r="J29" s="6">
        <v>3643.28</v>
      </c>
      <c r="K29" s="874">
        <f t="shared" si="2"/>
        <v>0.28000000000020009</v>
      </c>
      <c r="L29" s="875">
        <v>54254</v>
      </c>
    </row>
    <row r="30" spans="1:12" x14ac:dyDescent="0.2">
      <c r="A30" s="868">
        <v>43922</v>
      </c>
      <c r="B30" s="869">
        <v>8316467</v>
      </c>
      <c r="C30" s="877">
        <v>8339290</v>
      </c>
      <c r="D30" s="870">
        <f t="shared" si="0"/>
        <v>22823</v>
      </c>
      <c r="E30" s="877">
        <v>22822.77</v>
      </c>
      <c r="F30" s="871">
        <v>0.23</v>
      </c>
      <c r="G30" s="872">
        <v>262770</v>
      </c>
      <c r="H30" s="877">
        <v>264628</v>
      </c>
      <c r="I30" s="873">
        <f t="shared" si="1"/>
        <v>1858</v>
      </c>
      <c r="J30" s="877">
        <v>1858.41</v>
      </c>
      <c r="K30" s="874">
        <f t="shared" si="2"/>
        <v>0.41000000000008185</v>
      </c>
      <c r="L30" s="875">
        <v>24681</v>
      </c>
    </row>
    <row r="31" spans="1:12" x14ac:dyDescent="0.2">
      <c r="A31" s="868">
        <v>43952</v>
      </c>
      <c r="B31" s="869">
        <v>8339290</v>
      </c>
      <c r="C31" s="6">
        <v>8359648</v>
      </c>
      <c r="D31" s="870">
        <f t="shared" si="0"/>
        <v>20358</v>
      </c>
      <c r="E31" s="6">
        <v>20357.990000000002</v>
      </c>
      <c r="F31" s="871">
        <v>0.01</v>
      </c>
      <c r="G31" s="872">
        <v>264628</v>
      </c>
      <c r="H31" s="6">
        <v>265578</v>
      </c>
      <c r="I31" s="873">
        <f t="shared" si="1"/>
        <v>950</v>
      </c>
      <c r="J31" s="6">
        <v>949.76</v>
      </c>
      <c r="K31" s="874">
        <f t="shared" si="2"/>
        <v>-0.24000000000000909</v>
      </c>
      <c r="L31" s="875">
        <v>21308</v>
      </c>
    </row>
    <row r="32" spans="1:12" x14ac:dyDescent="0.2">
      <c r="A32" s="868">
        <v>43983</v>
      </c>
      <c r="B32" s="869">
        <v>8359648</v>
      </c>
      <c r="C32" s="6">
        <v>8379633</v>
      </c>
      <c r="D32" s="870">
        <f t="shared" si="0"/>
        <v>19985</v>
      </c>
      <c r="E32" s="6">
        <v>19986.830000000002</v>
      </c>
      <c r="F32" s="871">
        <v>-1.83</v>
      </c>
      <c r="G32" s="872">
        <v>265578</v>
      </c>
      <c r="H32" s="6">
        <v>266245</v>
      </c>
      <c r="I32" s="873">
        <f t="shared" si="1"/>
        <v>667</v>
      </c>
      <c r="J32" s="6">
        <v>667.51</v>
      </c>
      <c r="K32" s="874">
        <f t="shared" si="2"/>
        <v>0.50999999999999091</v>
      </c>
      <c r="L32" s="875">
        <v>20652</v>
      </c>
    </row>
    <row r="33" spans="1:12" x14ac:dyDescent="0.2">
      <c r="A33" s="868">
        <v>44013</v>
      </c>
      <c r="B33" s="869">
        <v>8379633</v>
      </c>
      <c r="C33" s="6">
        <v>8401424</v>
      </c>
      <c r="D33" s="870">
        <f t="shared" si="0"/>
        <v>21791</v>
      </c>
      <c r="E33" s="6">
        <v>21791.54</v>
      </c>
      <c r="F33" s="871">
        <v>-0.54</v>
      </c>
      <c r="G33" s="872">
        <v>266245</v>
      </c>
      <c r="H33" s="6">
        <v>267428</v>
      </c>
      <c r="I33" s="873">
        <f t="shared" si="1"/>
        <v>1183</v>
      </c>
      <c r="J33" s="6">
        <v>1182.19</v>
      </c>
      <c r="K33" s="874">
        <f t="shared" si="2"/>
        <v>-0.80999999999994543</v>
      </c>
      <c r="L33" s="875">
        <v>22974</v>
      </c>
    </row>
    <row r="34" spans="1:12" x14ac:dyDescent="0.2">
      <c r="A34" s="868">
        <v>44044</v>
      </c>
      <c r="B34" s="869">
        <v>8401424</v>
      </c>
      <c r="C34" s="877">
        <v>8425982</v>
      </c>
      <c r="D34" s="870">
        <f t="shared" si="0"/>
        <v>24558</v>
      </c>
      <c r="E34" s="877">
        <v>24556.98</v>
      </c>
      <c r="F34" s="871">
        <v>1.02</v>
      </c>
      <c r="G34" s="872">
        <v>267428</v>
      </c>
      <c r="H34" s="877">
        <v>268712</v>
      </c>
      <c r="I34" s="873">
        <f t="shared" si="1"/>
        <v>1284</v>
      </c>
      <c r="J34" s="877">
        <v>1284.27</v>
      </c>
      <c r="K34" s="874">
        <f t="shared" si="2"/>
        <v>0.26999999999998181</v>
      </c>
      <c r="L34" s="875">
        <v>25842</v>
      </c>
    </row>
    <row r="35" spans="1:12" x14ac:dyDescent="0.2">
      <c r="A35" s="868">
        <v>44075</v>
      </c>
      <c r="B35" s="869">
        <v>8425982</v>
      </c>
      <c r="C35" s="877">
        <v>8454371</v>
      </c>
      <c r="D35" s="870">
        <f t="shared" si="0"/>
        <v>28389</v>
      </c>
      <c r="E35" s="877">
        <v>28390.560000000001</v>
      </c>
      <c r="F35" s="871">
        <v>-1.56</v>
      </c>
      <c r="G35" s="872">
        <v>268712</v>
      </c>
      <c r="H35" s="6">
        <v>270861</v>
      </c>
      <c r="I35" s="873">
        <f t="shared" si="1"/>
        <v>2149</v>
      </c>
      <c r="J35" s="6">
        <v>2149.25</v>
      </c>
      <c r="K35" s="874">
        <f t="shared" si="2"/>
        <v>0.25</v>
      </c>
      <c r="L35" s="875">
        <v>30538</v>
      </c>
    </row>
    <row r="36" spans="1:12" x14ac:dyDescent="0.2">
      <c r="A36" s="868">
        <v>44105</v>
      </c>
      <c r="B36" s="869">
        <v>8454371</v>
      </c>
      <c r="C36" s="877">
        <v>8485990</v>
      </c>
      <c r="D36" s="870">
        <f t="shared" si="0"/>
        <v>31619</v>
      </c>
      <c r="E36" s="877">
        <v>31621.57</v>
      </c>
      <c r="F36" s="871">
        <v>-2.57</v>
      </c>
      <c r="G36" s="872">
        <v>270861</v>
      </c>
      <c r="H36" s="877">
        <v>273623</v>
      </c>
      <c r="I36" s="873">
        <f t="shared" si="1"/>
        <v>2762</v>
      </c>
      <c r="J36" s="877">
        <v>2761.47</v>
      </c>
      <c r="K36" s="874">
        <f t="shared" si="2"/>
        <v>-0.53000000000020009</v>
      </c>
      <c r="L36" s="875">
        <v>34381</v>
      </c>
    </row>
    <row r="37" spans="1:12" x14ac:dyDescent="0.2">
      <c r="A37" s="868">
        <v>44136</v>
      </c>
      <c r="B37" s="869">
        <v>8485990</v>
      </c>
      <c r="C37" s="6">
        <v>8516401</v>
      </c>
      <c r="D37" s="870">
        <f t="shared" si="0"/>
        <v>30411</v>
      </c>
      <c r="E37" s="6">
        <v>30411.599999999999</v>
      </c>
      <c r="F37" s="871">
        <v>-0.6</v>
      </c>
      <c r="G37" s="872">
        <v>273623</v>
      </c>
      <c r="H37" s="6">
        <v>275204</v>
      </c>
      <c r="I37" s="873">
        <f t="shared" si="1"/>
        <v>1581</v>
      </c>
      <c r="J37" s="6">
        <v>1581.28</v>
      </c>
      <c r="K37" s="874">
        <f t="shared" si="2"/>
        <v>0.27999999999997272</v>
      </c>
      <c r="L37" s="875">
        <v>31992</v>
      </c>
    </row>
    <row r="38" spans="1:12" x14ac:dyDescent="0.2">
      <c r="A38" s="868">
        <v>44166</v>
      </c>
      <c r="B38" s="869">
        <v>8516401</v>
      </c>
      <c r="C38" s="6">
        <v>8555365</v>
      </c>
      <c r="D38" s="870">
        <f t="shared" si="0"/>
        <v>38964</v>
      </c>
      <c r="E38" s="6">
        <v>38962.93</v>
      </c>
      <c r="F38" s="871">
        <v>1.07</v>
      </c>
      <c r="G38" s="872">
        <v>275204</v>
      </c>
      <c r="H38" s="6">
        <v>279159</v>
      </c>
      <c r="I38" s="873">
        <f t="shared" si="1"/>
        <v>3955</v>
      </c>
      <c r="J38" s="6">
        <v>3923.84</v>
      </c>
      <c r="K38" s="874">
        <f t="shared" si="2"/>
        <v>-31.159999999999854</v>
      </c>
      <c r="L38" s="875">
        <v>42919</v>
      </c>
    </row>
    <row r="39" spans="1:12" x14ac:dyDescent="0.2">
      <c r="A39" s="868">
        <v>44197</v>
      </c>
      <c r="B39" s="869">
        <v>8555365</v>
      </c>
      <c r="C39" s="6">
        <v>8594661</v>
      </c>
      <c r="D39" s="870">
        <f t="shared" si="0"/>
        <v>39296</v>
      </c>
      <c r="E39" s="6">
        <v>39314.550000000003</v>
      </c>
      <c r="F39" s="871">
        <v>-18.55</v>
      </c>
      <c r="G39" s="872">
        <v>279159</v>
      </c>
      <c r="H39" s="6">
        <v>282519</v>
      </c>
      <c r="I39" s="873">
        <f t="shared" si="1"/>
        <v>3360</v>
      </c>
      <c r="J39" s="6">
        <v>3390.69</v>
      </c>
      <c r="K39" s="874">
        <f t="shared" si="2"/>
        <v>30.690000000000055</v>
      </c>
      <c r="L39" s="875">
        <v>42656</v>
      </c>
    </row>
    <row r="40" spans="1:12" x14ac:dyDescent="0.2">
      <c r="A40" s="868">
        <v>44228</v>
      </c>
      <c r="B40" s="869">
        <v>8594661</v>
      </c>
      <c r="C40" s="6">
        <v>8626044</v>
      </c>
      <c r="D40" s="870">
        <f t="shared" si="0"/>
        <v>31383</v>
      </c>
      <c r="E40" s="6">
        <v>31457.200000000001</v>
      </c>
      <c r="F40" s="871">
        <v>-74.2</v>
      </c>
      <c r="G40" s="872">
        <v>282519</v>
      </c>
      <c r="H40" s="6">
        <v>286104</v>
      </c>
      <c r="I40" s="873">
        <f t="shared" si="1"/>
        <v>3585</v>
      </c>
      <c r="J40" s="6">
        <v>3585.35</v>
      </c>
      <c r="K40" s="874">
        <f t="shared" si="2"/>
        <v>0.34999999999990905</v>
      </c>
      <c r="L40" s="875">
        <v>34968</v>
      </c>
    </row>
    <row r="41" spans="1:12" x14ac:dyDescent="0.2">
      <c r="A41" s="868">
        <v>44256</v>
      </c>
      <c r="B41" s="869">
        <v>8626044</v>
      </c>
      <c r="C41" s="6">
        <v>8662434</v>
      </c>
      <c r="D41" s="870">
        <f t="shared" si="0"/>
        <v>36390</v>
      </c>
      <c r="E41" s="6">
        <v>36518.83</v>
      </c>
      <c r="F41" s="871">
        <v>-128.83000000000001</v>
      </c>
      <c r="G41" s="872">
        <v>286104</v>
      </c>
      <c r="H41" s="6">
        <v>289959</v>
      </c>
      <c r="I41" s="873">
        <f t="shared" si="1"/>
        <v>3855</v>
      </c>
      <c r="J41" s="6">
        <v>3854.7</v>
      </c>
      <c r="K41" s="874">
        <f t="shared" si="2"/>
        <v>-0.3000000000001819</v>
      </c>
      <c r="L41" s="875">
        <v>40245</v>
      </c>
    </row>
    <row r="42" spans="1:12" x14ac:dyDescent="0.2">
      <c r="A42" s="868">
        <v>44287</v>
      </c>
      <c r="B42" s="869">
        <v>8662434</v>
      </c>
      <c r="C42" s="6">
        <v>8665049</v>
      </c>
      <c r="D42" s="870">
        <f t="shared" si="0"/>
        <v>2615</v>
      </c>
      <c r="E42" s="6">
        <v>2635.28</v>
      </c>
      <c r="F42" s="871">
        <v>-20.28</v>
      </c>
      <c r="G42" s="872">
        <v>289959</v>
      </c>
      <c r="H42" s="6">
        <v>326780</v>
      </c>
      <c r="I42" s="873">
        <f t="shared" si="1"/>
        <v>36821</v>
      </c>
      <c r="J42" s="6">
        <v>36819.769999999997</v>
      </c>
      <c r="K42" s="874">
        <f t="shared" si="2"/>
        <v>-1.2300000000032014</v>
      </c>
      <c r="L42" s="875">
        <v>39436</v>
      </c>
    </row>
    <row r="43" spans="1:12" x14ac:dyDescent="0.2">
      <c r="A43" s="868">
        <v>44317</v>
      </c>
      <c r="B43" s="869">
        <v>8665049</v>
      </c>
      <c r="C43" s="6">
        <v>8665049</v>
      </c>
      <c r="D43" s="870">
        <f t="shared" si="0"/>
        <v>0</v>
      </c>
      <c r="E43" s="6"/>
      <c r="F43" s="871">
        <v>0</v>
      </c>
      <c r="G43" s="872">
        <v>326780</v>
      </c>
      <c r="H43" s="6">
        <v>368062</v>
      </c>
      <c r="I43" s="873">
        <f t="shared" si="1"/>
        <v>41282</v>
      </c>
      <c r="J43" s="6">
        <v>41282</v>
      </c>
      <c r="K43" s="874">
        <f t="shared" si="2"/>
        <v>0</v>
      </c>
      <c r="L43" s="875">
        <v>41282</v>
      </c>
    </row>
    <row r="44" spans="1:12" x14ac:dyDescent="0.2">
      <c r="A44" s="868">
        <v>44348</v>
      </c>
      <c r="B44" s="869">
        <v>8665049</v>
      </c>
      <c r="C44" s="6">
        <v>8665049</v>
      </c>
      <c r="D44" s="870">
        <f t="shared" si="0"/>
        <v>0</v>
      </c>
      <c r="E44" s="6"/>
      <c r="F44" s="871">
        <v>0</v>
      </c>
      <c r="G44" s="872">
        <v>368062</v>
      </c>
      <c r="H44" s="6">
        <v>414601</v>
      </c>
      <c r="I44" s="873">
        <f t="shared" si="1"/>
        <v>46539</v>
      </c>
      <c r="J44" s="6">
        <v>46539</v>
      </c>
      <c r="K44" s="874">
        <f t="shared" si="2"/>
        <v>0</v>
      </c>
      <c r="L44" s="875">
        <v>46539</v>
      </c>
    </row>
    <row r="45" spans="1:12" x14ac:dyDescent="0.2">
      <c r="A45" s="868">
        <v>44378</v>
      </c>
      <c r="B45" s="869">
        <v>8665049</v>
      </c>
      <c r="C45" s="6">
        <v>8665049</v>
      </c>
      <c r="D45" s="870">
        <f t="shared" si="0"/>
        <v>0</v>
      </c>
      <c r="E45" s="6"/>
      <c r="F45" s="871">
        <v>0</v>
      </c>
      <c r="G45" s="872">
        <v>414601</v>
      </c>
      <c r="H45" s="6">
        <v>481510</v>
      </c>
      <c r="I45" s="873">
        <f t="shared" si="1"/>
        <v>66909</v>
      </c>
      <c r="J45" s="6">
        <v>66909.009999999995</v>
      </c>
      <c r="K45" s="874">
        <f t="shared" si="2"/>
        <v>9.9999999947613105E-3</v>
      </c>
      <c r="L45" s="875">
        <v>66909</v>
      </c>
    </row>
    <row r="46" spans="1:12" x14ac:dyDescent="0.2">
      <c r="A46" s="868">
        <v>44409</v>
      </c>
      <c r="B46" s="869">
        <v>8665049</v>
      </c>
      <c r="C46" s="6">
        <v>8665049</v>
      </c>
      <c r="D46" s="870">
        <f t="shared" si="0"/>
        <v>0</v>
      </c>
      <c r="E46" s="6"/>
      <c r="F46" s="871">
        <v>0</v>
      </c>
      <c r="G46" s="872">
        <v>481510</v>
      </c>
      <c r="H46" s="6">
        <v>543060</v>
      </c>
      <c r="I46" s="873">
        <f t="shared" si="1"/>
        <v>61550</v>
      </c>
      <c r="J46" s="6">
        <v>61550</v>
      </c>
      <c r="K46" s="874">
        <f t="shared" si="2"/>
        <v>0</v>
      </c>
      <c r="L46" s="875">
        <v>61550</v>
      </c>
    </row>
    <row r="47" spans="1:12" x14ac:dyDescent="0.2">
      <c r="A47" s="868">
        <v>44440</v>
      </c>
      <c r="B47" s="869">
        <v>8665049</v>
      </c>
      <c r="C47" s="6">
        <v>8665049</v>
      </c>
      <c r="D47" s="870">
        <f t="shared" si="0"/>
        <v>0</v>
      </c>
      <c r="E47" s="6"/>
      <c r="F47" s="871">
        <v>0</v>
      </c>
      <c r="G47" s="872">
        <v>543060</v>
      </c>
      <c r="H47" s="6">
        <v>601131</v>
      </c>
      <c r="I47" s="873">
        <f t="shared" si="1"/>
        <v>58071</v>
      </c>
      <c r="J47" s="6">
        <v>58070</v>
      </c>
      <c r="K47" s="874">
        <f t="shared" si="2"/>
        <v>-1</v>
      </c>
      <c r="L47" s="875">
        <v>-9208109</v>
      </c>
    </row>
    <row r="48" spans="1:12" x14ac:dyDescent="0.2">
      <c r="A48" s="868">
        <v>44470</v>
      </c>
      <c r="B48" s="869">
        <v>8665049</v>
      </c>
      <c r="C48" s="6">
        <v>8665049</v>
      </c>
      <c r="D48" s="870">
        <f t="shared" si="0"/>
        <v>0</v>
      </c>
      <c r="E48" s="6"/>
      <c r="F48" s="871">
        <v>0</v>
      </c>
      <c r="G48" s="872">
        <v>601131</v>
      </c>
      <c r="H48" s="6">
        <v>658934</v>
      </c>
      <c r="I48" s="873">
        <f t="shared" si="1"/>
        <v>57803</v>
      </c>
      <c r="J48" s="6">
        <v>57803</v>
      </c>
      <c r="K48" s="874">
        <f t="shared" si="2"/>
        <v>0</v>
      </c>
      <c r="L48" s="875">
        <v>0</v>
      </c>
    </row>
    <row r="49" spans="1:12" x14ac:dyDescent="0.2">
      <c r="A49" s="868">
        <v>44501</v>
      </c>
      <c r="B49" s="869">
        <v>8665049</v>
      </c>
      <c r="C49" s="6">
        <v>8665049</v>
      </c>
      <c r="D49" s="870">
        <f t="shared" si="0"/>
        <v>0</v>
      </c>
      <c r="E49" s="6"/>
      <c r="F49" s="871">
        <v>0</v>
      </c>
      <c r="G49" s="872">
        <v>658934</v>
      </c>
      <c r="H49" s="6">
        <v>708772</v>
      </c>
      <c r="I49" s="873">
        <f t="shared" si="1"/>
        <v>49838</v>
      </c>
      <c r="J49" s="6">
        <v>49838</v>
      </c>
      <c r="K49" s="874">
        <f t="shared" si="2"/>
        <v>0</v>
      </c>
      <c r="L49" s="875">
        <v>0</v>
      </c>
    </row>
    <row r="50" spans="1:12" x14ac:dyDescent="0.2">
      <c r="A50" s="868">
        <v>44531</v>
      </c>
      <c r="B50" s="869">
        <v>8665049</v>
      </c>
      <c r="C50" s="6">
        <v>8665049</v>
      </c>
      <c r="D50" s="870">
        <f t="shared" si="0"/>
        <v>0</v>
      </c>
      <c r="E50" s="6"/>
      <c r="F50" s="871">
        <v>0</v>
      </c>
      <c r="G50" s="872">
        <v>708772</v>
      </c>
      <c r="H50" s="6">
        <v>763791</v>
      </c>
      <c r="I50" s="873">
        <f t="shared" si="1"/>
        <v>55019</v>
      </c>
      <c r="J50" s="6">
        <v>55019</v>
      </c>
      <c r="K50" s="874">
        <f t="shared" si="2"/>
        <v>0</v>
      </c>
      <c r="L50" s="875">
        <v>0</v>
      </c>
    </row>
    <row r="51" spans="1:12" x14ac:dyDescent="0.2">
      <c r="A51" s="868">
        <v>44562</v>
      </c>
      <c r="B51" s="869">
        <v>8665049</v>
      </c>
      <c r="C51" s="6">
        <v>8665049</v>
      </c>
      <c r="D51" s="870">
        <f t="shared" si="0"/>
        <v>0</v>
      </c>
      <c r="E51" s="6"/>
      <c r="F51" s="871">
        <v>0</v>
      </c>
      <c r="G51" s="872">
        <v>763791</v>
      </c>
      <c r="H51" s="6">
        <v>816767</v>
      </c>
      <c r="I51" s="873">
        <f t="shared" si="1"/>
        <v>52976</v>
      </c>
      <c r="J51" s="888">
        <v>52975</v>
      </c>
      <c r="K51" s="874">
        <f t="shared" si="2"/>
        <v>-1</v>
      </c>
      <c r="L51" s="875">
        <v>0</v>
      </c>
    </row>
    <row r="52" spans="1:12" x14ac:dyDescent="0.2">
      <c r="A52" s="868">
        <v>44593</v>
      </c>
      <c r="B52" s="869">
        <v>0</v>
      </c>
      <c r="C52" s="6"/>
      <c r="D52" s="870">
        <v>0</v>
      </c>
      <c r="E52" s="6"/>
      <c r="F52" s="871">
        <v>0</v>
      </c>
      <c r="G52" s="872">
        <v>0</v>
      </c>
      <c r="H52" s="6"/>
      <c r="I52" s="873">
        <f t="shared" si="1"/>
        <v>0</v>
      </c>
      <c r="J52" s="6"/>
      <c r="K52" s="874">
        <f t="shared" si="2"/>
        <v>0</v>
      </c>
      <c r="L52" s="875">
        <v>0</v>
      </c>
    </row>
    <row r="53" spans="1:12" x14ac:dyDescent="0.2">
      <c r="A53" s="868">
        <v>44621</v>
      </c>
      <c r="B53" s="869">
        <v>0</v>
      </c>
      <c r="C53" s="6"/>
      <c r="D53" s="870">
        <v>0</v>
      </c>
      <c r="E53" s="6"/>
      <c r="F53" s="871">
        <v>0</v>
      </c>
      <c r="G53" s="872">
        <v>0</v>
      </c>
      <c r="H53" s="6"/>
      <c r="I53" s="873">
        <f t="shared" si="1"/>
        <v>0</v>
      </c>
      <c r="J53" s="6"/>
      <c r="K53" s="874">
        <f t="shared" si="2"/>
        <v>0</v>
      </c>
      <c r="L53" s="875">
        <v>0</v>
      </c>
    </row>
    <row r="54" spans="1:12" x14ac:dyDescent="0.2">
      <c r="A54" s="868">
        <v>44652</v>
      </c>
      <c r="B54" s="869">
        <v>0</v>
      </c>
      <c r="C54" s="6"/>
      <c r="D54" s="870">
        <v>0</v>
      </c>
      <c r="E54" s="6"/>
      <c r="F54" s="871">
        <v>0</v>
      </c>
      <c r="G54" s="872">
        <v>0</v>
      </c>
      <c r="H54" s="6"/>
      <c r="I54" s="873">
        <f t="shared" si="1"/>
        <v>0</v>
      </c>
      <c r="J54" s="6"/>
      <c r="K54" s="874">
        <v>0</v>
      </c>
      <c r="L54" s="875">
        <v>0</v>
      </c>
    </row>
    <row r="55" spans="1:12" x14ac:dyDescent="0.2">
      <c r="A55" s="868">
        <v>44682</v>
      </c>
      <c r="B55" s="869">
        <v>0</v>
      </c>
      <c r="C55" s="6"/>
      <c r="D55" s="870">
        <v>0</v>
      </c>
      <c r="E55" s="6"/>
      <c r="F55" s="871">
        <v>0</v>
      </c>
      <c r="G55" s="872">
        <v>0</v>
      </c>
      <c r="H55" s="6"/>
      <c r="I55" s="873">
        <f t="shared" si="1"/>
        <v>0</v>
      </c>
      <c r="J55" s="6"/>
      <c r="K55" s="874">
        <v>0</v>
      </c>
      <c r="L55" s="875">
        <v>0</v>
      </c>
    </row>
    <row r="56" spans="1:12" ht="12.75" customHeight="1" x14ac:dyDescent="0.2">
      <c r="A56" s="868">
        <v>44713</v>
      </c>
      <c r="B56" s="869">
        <v>0</v>
      </c>
      <c r="C56" s="6"/>
      <c r="D56" s="870">
        <v>0</v>
      </c>
      <c r="E56" s="6"/>
      <c r="F56" s="871">
        <v>0</v>
      </c>
      <c r="G56" s="872">
        <v>0</v>
      </c>
      <c r="H56" s="6"/>
      <c r="I56" s="873">
        <f t="shared" si="1"/>
        <v>0</v>
      </c>
      <c r="J56" s="6"/>
      <c r="K56" s="874">
        <v>0</v>
      </c>
      <c r="L56" s="875">
        <v>0</v>
      </c>
    </row>
    <row r="57" spans="1:12" ht="13.5" customHeight="1" x14ac:dyDescent="0.2">
      <c r="A57" s="868">
        <v>44743</v>
      </c>
      <c r="B57" s="869">
        <v>0</v>
      </c>
      <c r="C57" s="6"/>
      <c r="D57" s="870">
        <v>0</v>
      </c>
      <c r="E57" s="6"/>
      <c r="F57" s="871">
        <v>0</v>
      </c>
      <c r="G57" s="872">
        <v>0</v>
      </c>
      <c r="H57" s="6"/>
      <c r="I57" s="873">
        <f t="shared" si="1"/>
        <v>0</v>
      </c>
      <c r="J57" s="6"/>
      <c r="K57" s="874">
        <v>0</v>
      </c>
      <c r="L57" s="875">
        <v>0</v>
      </c>
    </row>
    <row r="58" spans="1:12" x14ac:dyDescent="0.2">
      <c r="A58" s="868">
        <v>44774</v>
      </c>
      <c r="B58" s="869">
        <v>0</v>
      </c>
      <c r="C58" s="6"/>
      <c r="D58" s="870">
        <v>0</v>
      </c>
      <c r="E58" s="6"/>
      <c r="F58" s="871">
        <v>0</v>
      </c>
      <c r="G58" s="872">
        <v>0</v>
      </c>
      <c r="H58" s="6"/>
      <c r="I58" s="873">
        <f t="shared" si="1"/>
        <v>0</v>
      </c>
      <c r="J58" s="6"/>
      <c r="K58" s="874">
        <v>0</v>
      </c>
      <c r="L58" s="875">
        <v>0</v>
      </c>
    </row>
    <row r="59" spans="1:12" x14ac:dyDescent="0.2">
      <c r="A59" s="868">
        <v>44805</v>
      </c>
      <c r="B59" s="869">
        <v>0</v>
      </c>
      <c r="C59" s="6"/>
      <c r="D59" s="870">
        <v>0</v>
      </c>
      <c r="E59" s="6"/>
      <c r="F59" s="871">
        <v>0</v>
      </c>
      <c r="G59" s="872">
        <v>0</v>
      </c>
      <c r="H59" s="6"/>
      <c r="I59" s="873">
        <f t="shared" si="1"/>
        <v>0</v>
      </c>
      <c r="J59" s="6"/>
      <c r="K59" s="874">
        <v>0</v>
      </c>
      <c r="L59" s="875">
        <v>0</v>
      </c>
    </row>
    <row r="60" spans="1:12" x14ac:dyDescent="0.2">
      <c r="A60" s="868">
        <v>44835</v>
      </c>
      <c r="B60" s="869">
        <v>0</v>
      </c>
      <c r="C60" s="6"/>
      <c r="D60" s="870">
        <v>0</v>
      </c>
      <c r="E60" s="6"/>
      <c r="F60" s="871">
        <v>0</v>
      </c>
      <c r="G60" s="872">
        <v>0</v>
      </c>
      <c r="H60" s="6"/>
      <c r="I60" s="873">
        <f t="shared" si="1"/>
        <v>0</v>
      </c>
      <c r="J60" s="6"/>
      <c r="K60" s="874">
        <v>0</v>
      </c>
      <c r="L60" s="875">
        <v>0</v>
      </c>
    </row>
    <row r="61" spans="1:12" x14ac:dyDescent="0.2">
      <c r="A61" s="868">
        <v>44866</v>
      </c>
      <c r="B61" s="869">
        <v>0</v>
      </c>
      <c r="C61" s="6"/>
      <c r="D61" s="870">
        <v>0</v>
      </c>
      <c r="E61" s="6"/>
      <c r="F61" s="871">
        <v>0</v>
      </c>
      <c r="G61" s="872">
        <v>0</v>
      </c>
      <c r="H61" s="6"/>
      <c r="I61" s="873">
        <f t="shared" si="1"/>
        <v>0</v>
      </c>
      <c r="J61" s="6"/>
      <c r="K61" s="874">
        <v>0</v>
      </c>
      <c r="L61" s="875">
        <v>0</v>
      </c>
    </row>
    <row r="62" spans="1:12" x14ac:dyDescent="0.2">
      <c r="A62" s="868">
        <v>44896</v>
      </c>
      <c r="B62" s="869">
        <v>0</v>
      </c>
      <c r="C62" s="6"/>
      <c r="D62" s="870">
        <v>0</v>
      </c>
      <c r="E62" s="6"/>
      <c r="F62" s="871">
        <v>0</v>
      </c>
      <c r="G62" s="872">
        <v>0</v>
      </c>
      <c r="H62" s="6"/>
      <c r="I62" s="873">
        <f t="shared" si="1"/>
        <v>0</v>
      </c>
      <c r="J62" s="6"/>
      <c r="K62" s="874">
        <v>0</v>
      </c>
      <c r="L62" s="875">
        <v>0</v>
      </c>
    </row>
    <row r="63" spans="1:12" x14ac:dyDescent="0.2">
      <c r="A63" s="868">
        <v>44562</v>
      </c>
      <c r="B63" s="869">
        <v>0</v>
      </c>
      <c r="C63" s="6"/>
      <c r="D63" s="870">
        <v>0</v>
      </c>
      <c r="E63" s="6"/>
      <c r="F63" s="871">
        <v>0</v>
      </c>
      <c r="G63" s="872">
        <v>0</v>
      </c>
      <c r="H63" s="6"/>
      <c r="I63" s="873">
        <f t="shared" si="1"/>
        <v>0</v>
      </c>
      <c r="J63" s="6"/>
      <c r="K63" s="874">
        <v>0</v>
      </c>
      <c r="L63" s="875">
        <v>0</v>
      </c>
    </row>
    <row r="64" spans="1:12" x14ac:dyDescent="0.2">
      <c r="A64" s="868">
        <v>44593</v>
      </c>
      <c r="B64" s="869">
        <v>0</v>
      </c>
      <c r="C64" s="6"/>
      <c r="D64" s="870">
        <v>0</v>
      </c>
      <c r="E64" s="6"/>
      <c r="F64" s="871">
        <v>0</v>
      </c>
      <c r="G64" s="872">
        <v>0</v>
      </c>
      <c r="H64" s="6"/>
      <c r="I64" s="873">
        <f t="shared" si="1"/>
        <v>0</v>
      </c>
      <c r="J64" s="6"/>
      <c r="K64" s="874">
        <v>0</v>
      </c>
      <c r="L64" s="875">
        <v>0</v>
      </c>
    </row>
    <row r="65" spans="1:12" x14ac:dyDescent="0.2">
      <c r="A65" s="868">
        <v>44621</v>
      </c>
      <c r="B65" s="869">
        <v>0</v>
      </c>
      <c r="C65" s="6"/>
      <c r="D65" s="870">
        <v>0</v>
      </c>
      <c r="E65" s="6"/>
      <c r="F65" s="871">
        <v>0</v>
      </c>
      <c r="G65" s="872">
        <v>0</v>
      </c>
      <c r="H65" s="6"/>
      <c r="I65" s="873">
        <f t="shared" si="1"/>
        <v>0</v>
      </c>
      <c r="J65" s="6"/>
      <c r="K65" s="874">
        <v>0</v>
      </c>
      <c r="L65" s="875">
        <v>0</v>
      </c>
    </row>
    <row r="66" spans="1:12" x14ac:dyDescent="0.2">
      <c r="A66" s="868">
        <v>44652</v>
      </c>
      <c r="B66" s="869">
        <v>0</v>
      </c>
      <c r="C66" s="6"/>
      <c r="D66" s="870">
        <v>0</v>
      </c>
      <c r="E66" s="6"/>
      <c r="F66" s="871">
        <v>0</v>
      </c>
      <c r="G66" s="872">
        <v>0</v>
      </c>
      <c r="H66" s="6"/>
      <c r="I66" s="873">
        <f t="shared" si="1"/>
        <v>0</v>
      </c>
      <c r="J66" s="6"/>
      <c r="K66" s="874">
        <v>0</v>
      </c>
      <c r="L66" s="875">
        <v>0</v>
      </c>
    </row>
    <row r="67" spans="1:12" x14ac:dyDescent="0.2">
      <c r="A67" s="868">
        <v>44682</v>
      </c>
      <c r="B67" s="869">
        <v>0</v>
      </c>
      <c r="C67" s="6"/>
      <c r="D67" s="870">
        <v>0</v>
      </c>
      <c r="E67" s="6"/>
      <c r="F67" s="871">
        <v>0</v>
      </c>
      <c r="G67" s="872">
        <v>0</v>
      </c>
      <c r="H67" s="6"/>
      <c r="I67" s="873">
        <f t="shared" si="1"/>
        <v>0</v>
      </c>
      <c r="J67" s="6"/>
      <c r="K67" s="874">
        <v>0</v>
      </c>
      <c r="L67" s="875">
        <v>0</v>
      </c>
    </row>
    <row r="68" spans="1:12" x14ac:dyDescent="0.2">
      <c r="A68" s="868">
        <v>44713</v>
      </c>
      <c r="B68" s="869">
        <v>0</v>
      </c>
      <c r="C68" s="6"/>
      <c r="D68" s="870">
        <v>0</v>
      </c>
      <c r="E68" s="6"/>
      <c r="F68" s="871">
        <v>0</v>
      </c>
      <c r="G68" s="872">
        <v>0</v>
      </c>
      <c r="H68" s="6"/>
      <c r="I68" s="873">
        <f t="shared" ref="I68:I74" si="3">H68-G68</f>
        <v>0</v>
      </c>
      <c r="J68" s="6"/>
      <c r="K68" s="874">
        <v>0</v>
      </c>
      <c r="L68" s="875">
        <v>0</v>
      </c>
    </row>
    <row r="69" spans="1:12" x14ac:dyDescent="0.2">
      <c r="A69" s="868">
        <v>44743</v>
      </c>
      <c r="B69" s="869">
        <v>0</v>
      </c>
      <c r="C69" s="6"/>
      <c r="D69" s="870">
        <v>0</v>
      </c>
      <c r="E69" s="6"/>
      <c r="F69" s="871">
        <v>0</v>
      </c>
      <c r="G69" s="872">
        <v>0</v>
      </c>
      <c r="H69" s="6"/>
      <c r="I69" s="873">
        <f t="shared" si="3"/>
        <v>0</v>
      </c>
      <c r="J69" s="6"/>
      <c r="K69" s="874">
        <v>0</v>
      </c>
      <c r="L69" s="875">
        <v>0</v>
      </c>
    </row>
    <row r="70" spans="1:12" x14ac:dyDescent="0.2">
      <c r="A70" s="868">
        <v>44774</v>
      </c>
      <c r="B70" s="869">
        <v>0</v>
      </c>
      <c r="C70" s="6"/>
      <c r="D70" s="870">
        <v>0</v>
      </c>
      <c r="E70" s="6"/>
      <c r="F70" s="871">
        <v>0</v>
      </c>
      <c r="G70" s="872">
        <v>0</v>
      </c>
      <c r="H70" s="6"/>
      <c r="I70" s="873">
        <f t="shared" si="3"/>
        <v>0</v>
      </c>
      <c r="J70" s="6"/>
      <c r="K70" s="874">
        <v>0</v>
      </c>
      <c r="L70" s="875">
        <v>0</v>
      </c>
    </row>
    <row r="71" spans="1:12" x14ac:dyDescent="0.2">
      <c r="A71" s="868">
        <v>44805</v>
      </c>
      <c r="B71" s="869">
        <v>0</v>
      </c>
      <c r="C71" s="6"/>
      <c r="D71" s="870">
        <v>0</v>
      </c>
      <c r="E71" s="6"/>
      <c r="F71" s="871">
        <v>0</v>
      </c>
      <c r="G71" s="872">
        <v>0</v>
      </c>
      <c r="H71" s="6"/>
      <c r="I71" s="873">
        <f t="shared" si="3"/>
        <v>0</v>
      </c>
      <c r="J71" s="6"/>
      <c r="K71" s="874">
        <v>0</v>
      </c>
      <c r="L71" s="875">
        <v>0</v>
      </c>
    </row>
    <row r="72" spans="1:12" x14ac:dyDescent="0.2">
      <c r="A72" s="868">
        <v>44835</v>
      </c>
      <c r="B72" s="869">
        <v>0</v>
      </c>
      <c r="C72" s="6"/>
      <c r="D72" s="870">
        <v>0</v>
      </c>
      <c r="E72" s="6"/>
      <c r="F72" s="871">
        <v>0</v>
      </c>
      <c r="G72" s="872">
        <v>0</v>
      </c>
      <c r="H72" s="6"/>
      <c r="I72" s="873">
        <f t="shared" si="3"/>
        <v>0</v>
      </c>
      <c r="J72" s="6"/>
      <c r="K72" s="874">
        <v>0</v>
      </c>
      <c r="L72" s="875">
        <v>0</v>
      </c>
    </row>
    <row r="73" spans="1:12" x14ac:dyDescent="0.2">
      <c r="A73" s="868">
        <v>44866</v>
      </c>
      <c r="B73" s="869">
        <v>0</v>
      </c>
      <c r="C73" s="6"/>
      <c r="D73" s="870">
        <v>0</v>
      </c>
      <c r="E73" s="6"/>
      <c r="F73" s="871">
        <v>0</v>
      </c>
      <c r="G73" s="872">
        <v>0</v>
      </c>
      <c r="H73" s="6"/>
      <c r="I73" s="873">
        <f t="shared" si="3"/>
        <v>0</v>
      </c>
      <c r="J73" s="6"/>
      <c r="K73" s="874">
        <v>0</v>
      </c>
      <c r="L73" s="875">
        <v>0</v>
      </c>
    </row>
    <row r="74" spans="1:12" x14ac:dyDescent="0.2">
      <c r="A74" s="868">
        <v>44896</v>
      </c>
      <c r="B74" s="869">
        <v>0</v>
      </c>
      <c r="C74" s="6"/>
      <c r="D74" s="870">
        <v>0</v>
      </c>
      <c r="E74" s="6"/>
      <c r="F74" s="871">
        <v>0</v>
      </c>
      <c r="G74" s="872">
        <v>0</v>
      </c>
      <c r="H74" s="6"/>
      <c r="I74" s="873">
        <f t="shared" si="3"/>
        <v>0</v>
      </c>
      <c r="J74" s="6"/>
      <c r="K74" s="874">
        <v>0</v>
      </c>
      <c r="L74" s="875">
        <v>0</v>
      </c>
    </row>
    <row r="76" spans="1:12" x14ac:dyDescent="0.2">
      <c r="B76" s="1012"/>
      <c r="C76" s="1013"/>
      <c r="D76" s="1013"/>
      <c r="E76" s="1013"/>
      <c r="H76" s="1012"/>
      <c r="I76" s="1013"/>
      <c r="J76" s="1013"/>
      <c r="K76" s="1013"/>
      <c r="L76" s="1013"/>
    </row>
    <row r="77" spans="1:12" x14ac:dyDescent="0.2">
      <c r="B77" s="1014"/>
      <c r="C77" s="1015"/>
      <c r="D77" s="1015"/>
      <c r="E77" s="1015"/>
      <c r="H77" s="1014"/>
      <c r="I77" s="1015"/>
      <c r="J77" s="1015"/>
      <c r="K77" s="1015"/>
      <c r="L77" s="1015"/>
    </row>
    <row r="78" spans="1:12" x14ac:dyDescent="0.2">
      <c r="B78" s="1014"/>
      <c r="C78" s="1015"/>
      <c r="D78" s="1015"/>
      <c r="E78" s="1015"/>
      <c r="H78" s="1014"/>
      <c r="I78" s="1015"/>
      <c r="J78" s="1015"/>
      <c r="K78" s="1015"/>
      <c r="L78" s="1015"/>
    </row>
    <row r="79" spans="1:12" x14ac:dyDescent="0.2">
      <c r="B79" s="1014"/>
      <c r="C79" s="1015"/>
      <c r="D79" s="1015"/>
      <c r="E79" s="1015"/>
      <c r="H79" s="1014"/>
      <c r="I79" s="1015"/>
      <c r="J79" s="1015"/>
      <c r="K79" s="1015"/>
      <c r="L79" s="1015"/>
    </row>
    <row r="80" spans="1:12" x14ac:dyDescent="0.2">
      <c r="B80" s="1014"/>
      <c r="C80" s="1015"/>
      <c r="D80" s="1015"/>
      <c r="E80" s="1015"/>
      <c r="H80" s="1014"/>
      <c r="I80" s="1015"/>
      <c r="J80" s="1015"/>
      <c r="K80" s="1015"/>
      <c r="L80" s="1015"/>
    </row>
    <row r="81" spans="2:12" x14ac:dyDescent="0.2">
      <c r="B81" s="1014"/>
      <c r="C81" s="1015"/>
      <c r="D81" s="1015"/>
      <c r="E81" s="1015"/>
      <c r="H81" s="1014"/>
      <c r="I81" s="1015"/>
      <c r="J81" s="1015"/>
      <c r="K81" s="1015"/>
      <c r="L81" s="1015"/>
    </row>
    <row r="82" spans="2:12" x14ac:dyDescent="0.2">
      <c r="B82" s="1014"/>
      <c r="C82" s="1015"/>
      <c r="D82" s="1015"/>
      <c r="E82" s="1015"/>
      <c r="H82" s="1014"/>
      <c r="I82" s="1015"/>
      <c r="J82" s="1015"/>
      <c r="K82" s="1015"/>
      <c r="L82" s="1015"/>
    </row>
    <row r="83" spans="2:12" x14ac:dyDescent="0.2">
      <c r="B83" s="1014"/>
      <c r="C83" s="1015"/>
      <c r="D83" s="1015"/>
      <c r="E83" s="1015"/>
      <c r="H83" s="1014"/>
      <c r="I83" s="1015"/>
      <c r="J83" s="1015"/>
      <c r="K83" s="1015"/>
      <c r="L83" s="1015"/>
    </row>
    <row r="84" spans="2:12" x14ac:dyDescent="0.2">
      <c r="B84" s="1014"/>
      <c r="C84" s="1015"/>
      <c r="D84" s="1015"/>
      <c r="E84" s="1015"/>
      <c r="H84" s="1014"/>
      <c r="I84" s="1015"/>
      <c r="J84" s="1015"/>
      <c r="K84" s="1015"/>
      <c r="L84" s="1015"/>
    </row>
    <row r="85" spans="2:12" x14ac:dyDescent="0.2">
      <c r="B85" s="1014"/>
      <c r="C85" s="1015"/>
      <c r="D85" s="1015"/>
      <c r="E85" s="1015"/>
      <c r="H85" s="1014"/>
      <c r="I85" s="1015"/>
      <c r="J85" s="1015"/>
      <c r="K85" s="1015"/>
      <c r="L85" s="1015"/>
    </row>
    <row r="86" spans="2:12" x14ac:dyDescent="0.2">
      <c r="B86" s="1014"/>
      <c r="C86" s="1015"/>
      <c r="D86" s="1015"/>
      <c r="E86" s="1015"/>
      <c r="H86" s="1014"/>
      <c r="I86" s="1015"/>
      <c r="J86" s="1015"/>
      <c r="K86" s="1015"/>
      <c r="L86" s="1015"/>
    </row>
    <row r="87" spans="2:12" x14ac:dyDescent="0.2">
      <c r="B87" s="1014"/>
      <c r="C87" s="1015"/>
      <c r="D87" s="1015"/>
      <c r="E87" s="1015"/>
      <c r="H87" s="1014"/>
      <c r="I87" s="1015"/>
      <c r="J87" s="1015"/>
      <c r="K87" s="1015"/>
      <c r="L87" s="1015"/>
    </row>
    <row r="88" spans="2:12" x14ac:dyDescent="0.2">
      <c r="B88" s="1014"/>
      <c r="C88" s="1015"/>
      <c r="D88" s="1015"/>
      <c r="E88" s="1015"/>
      <c r="H88" s="1014"/>
      <c r="I88" s="1015"/>
      <c r="J88" s="1015"/>
      <c r="K88" s="1015"/>
      <c r="L88" s="1015"/>
    </row>
    <row r="89" spans="2:12" x14ac:dyDescent="0.2">
      <c r="B89" s="1014"/>
      <c r="C89" s="1015"/>
      <c r="D89" s="1015"/>
      <c r="E89" s="1015"/>
      <c r="H89" s="1014"/>
      <c r="I89" s="1015"/>
      <c r="J89" s="1015"/>
      <c r="K89" s="1015"/>
      <c r="L89" s="1015"/>
    </row>
    <row r="90" spans="2:12" x14ac:dyDescent="0.2">
      <c r="B90" s="1014"/>
      <c r="C90" s="1015"/>
      <c r="D90" s="1015"/>
      <c r="E90" s="1015"/>
      <c r="H90" s="1014"/>
      <c r="I90" s="1015"/>
      <c r="J90" s="1015"/>
      <c r="K90" s="1015"/>
      <c r="L90" s="1015"/>
    </row>
    <row r="91" spans="2:12" x14ac:dyDescent="0.2">
      <c r="B91" s="1016" t="s">
        <v>367</v>
      </c>
      <c r="C91" s="1017"/>
      <c r="D91" s="1017"/>
      <c r="E91" s="1017"/>
      <c r="H91" s="1016" t="s">
        <v>368</v>
      </c>
      <c r="I91" s="1017"/>
      <c r="J91" s="1017"/>
      <c r="K91" s="1017"/>
      <c r="L91" s="1017"/>
    </row>
    <row r="92" spans="2:12" x14ac:dyDescent="0.2">
      <c r="B92" s="1018"/>
      <c r="C92" s="1019"/>
      <c r="D92" s="1019"/>
      <c r="E92" s="1019"/>
      <c r="H92" s="1018"/>
      <c r="I92" s="1019"/>
      <c r="J92" s="1019"/>
      <c r="K92" s="1019"/>
      <c r="L92" s="1019"/>
    </row>
    <row r="93" spans="2:12" x14ac:dyDescent="0.2">
      <c r="B93" s="1018"/>
      <c r="C93" s="1019"/>
      <c r="D93" s="1019"/>
      <c r="E93" s="1019"/>
      <c r="H93" s="1018"/>
      <c r="I93" s="1019"/>
      <c r="J93" s="1019"/>
      <c r="K93" s="1019"/>
      <c r="L93" s="1019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35"/>
  <sheetViews>
    <sheetView workbookViewId="0">
      <selection activeCell="N8" sqref="N8"/>
    </sheetView>
  </sheetViews>
  <sheetFormatPr defaultRowHeight="12.75" x14ac:dyDescent="0.2"/>
  <cols>
    <col min="3" max="3" width="18" customWidth="1"/>
    <col min="4" max="10" width="17.5703125" customWidth="1"/>
  </cols>
  <sheetData>
    <row r="1" spans="1:10" ht="26.25" x14ac:dyDescent="0.4">
      <c r="A1" s="1020" t="s">
        <v>369</v>
      </c>
      <c r="B1" s="1020"/>
      <c r="C1" s="1020"/>
      <c r="D1" s="1020"/>
      <c r="E1" s="1020"/>
      <c r="F1" s="1020"/>
      <c r="G1" s="1020"/>
      <c r="H1" s="1020"/>
      <c r="I1" s="1020"/>
      <c r="J1" s="1020"/>
    </row>
    <row r="2" spans="1:10" ht="19.5" thickBot="1" x14ac:dyDescent="0.35">
      <c r="A2" s="1029">
        <f>A5</f>
        <v>44562</v>
      </c>
      <c r="B2" s="1030"/>
      <c r="C2" s="1030"/>
      <c r="D2" s="1030"/>
      <c r="E2" s="1030"/>
      <c r="F2" s="1030"/>
      <c r="G2" s="1030"/>
      <c r="H2" s="1030"/>
      <c r="I2" s="1030"/>
      <c r="J2" s="1030"/>
    </row>
    <row r="3" spans="1:10" ht="15.75" thickBot="1" x14ac:dyDescent="0.3">
      <c r="A3" s="1021" t="s">
        <v>242</v>
      </c>
      <c r="B3" s="1023" t="s">
        <v>370</v>
      </c>
      <c r="C3" s="354"/>
      <c r="D3" s="1025" t="s">
        <v>371</v>
      </c>
      <c r="E3" s="1026"/>
      <c r="F3" s="1027" t="s">
        <v>372</v>
      </c>
      <c r="G3" s="1028"/>
      <c r="H3" s="1026"/>
      <c r="I3" s="1027" t="s">
        <v>373</v>
      </c>
      <c r="J3" s="1026"/>
    </row>
    <row r="4" spans="1:10" ht="30" x14ac:dyDescent="0.25">
      <c r="A4" s="1022"/>
      <c r="B4" s="1024"/>
      <c r="C4" s="358" t="s">
        <v>374</v>
      </c>
      <c r="D4" s="313" t="s">
        <v>375</v>
      </c>
      <c r="E4" s="318" t="s">
        <v>162</v>
      </c>
      <c r="F4" s="313" t="s">
        <v>375</v>
      </c>
      <c r="G4" s="313" t="s">
        <v>376</v>
      </c>
      <c r="H4" s="313" t="s">
        <v>377</v>
      </c>
      <c r="I4" s="313" t="s">
        <v>295</v>
      </c>
      <c r="J4" s="313" t="s">
        <v>378</v>
      </c>
    </row>
    <row r="5" spans="1:10" ht="17.100000000000001" customHeight="1" x14ac:dyDescent="0.25">
      <c r="A5" s="705">
        <f>Gen!B11</f>
        <v>44562</v>
      </c>
      <c r="B5" s="707">
        <f>Gen!C11</f>
        <v>0.41560000000000002</v>
      </c>
      <c r="C5" s="740">
        <f>Gen!AK11</f>
        <v>320.11</v>
      </c>
      <c r="D5" s="357">
        <f>Gen!T11</f>
        <v>1965.3</v>
      </c>
      <c r="E5" s="315">
        <f>Gen!D11</f>
        <v>39200.629999999997</v>
      </c>
      <c r="F5" s="316">
        <f>'Water-Meter'!E6</f>
        <v>116</v>
      </c>
      <c r="G5" s="317">
        <f>'Water-Meter'!AN6</f>
        <v>157</v>
      </c>
      <c r="H5" s="315">
        <f>'Utility report '!AC6</f>
        <v>102</v>
      </c>
      <c r="I5" s="314">
        <f>'Kit report'!F4</f>
        <v>563.99999999986903</v>
      </c>
      <c r="J5" s="315">
        <f>'Kit report'!X4</f>
        <v>940.00000000014552</v>
      </c>
    </row>
    <row r="6" spans="1:10" ht="17.100000000000001" customHeight="1" x14ac:dyDescent="0.25">
      <c r="A6" s="705">
        <f>Gen!B12</f>
        <v>44563</v>
      </c>
      <c r="B6" s="707">
        <f>Gen!C12</f>
        <v>0.53</v>
      </c>
      <c r="C6" s="740">
        <f>Gen!AK12</f>
        <v>237.31</v>
      </c>
      <c r="D6" s="357">
        <f>Gen!T12</f>
        <v>1927.08</v>
      </c>
      <c r="E6" s="315">
        <f>Gen!D12</f>
        <v>36915.22</v>
      </c>
      <c r="F6" s="316">
        <f>'Water-Meter'!E7</f>
        <v>94</v>
      </c>
      <c r="G6" s="317">
        <f>'Water-Meter'!AN7</f>
        <v>159</v>
      </c>
      <c r="H6" s="315">
        <f>'Utility report '!AC7</f>
        <v>64</v>
      </c>
      <c r="I6" s="314">
        <f>'Kit report'!F5</f>
        <v>204.00000000008731</v>
      </c>
      <c r="J6" s="315">
        <f>'Kit report'!X5</f>
        <v>1039.9999999997817</v>
      </c>
    </row>
    <row r="7" spans="1:10" ht="17.100000000000001" customHeight="1" x14ac:dyDescent="0.25">
      <c r="A7" s="705">
        <f>Gen!B13</f>
        <v>44564</v>
      </c>
      <c r="B7" s="707">
        <f>Gen!C13</f>
        <v>0.36</v>
      </c>
      <c r="C7" s="740">
        <f>Gen!AK13</f>
        <v>231</v>
      </c>
      <c r="D7" s="357">
        <f>Gen!T13</f>
        <v>1859.9199999999998</v>
      </c>
      <c r="E7" s="315">
        <f>Gen!D13</f>
        <v>34750.83</v>
      </c>
      <c r="F7" s="316">
        <f>'Water-Meter'!E8</f>
        <v>110</v>
      </c>
      <c r="G7" s="317">
        <f>'Water-Meter'!AG17</f>
        <v>0</v>
      </c>
      <c r="H7" s="315">
        <f>'Utility report '!AC8</f>
        <v>105</v>
      </c>
      <c r="I7" s="314">
        <f>'Kit report'!F6</f>
        <v>275.99999999991269</v>
      </c>
      <c r="J7" s="315">
        <f>'Kit report'!X6</f>
        <v>920.00000000007276</v>
      </c>
    </row>
    <row r="8" spans="1:10" ht="17.100000000000001" customHeight="1" x14ac:dyDescent="0.25">
      <c r="A8" s="705">
        <f>Gen!B14</f>
        <v>44565</v>
      </c>
      <c r="B8" s="707">
        <f>Gen!C14</f>
        <v>0.35</v>
      </c>
      <c r="C8" s="740">
        <f>Gen!AK14</f>
        <v>247.48</v>
      </c>
      <c r="D8" s="357">
        <f>Gen!T14</f>
        <v>1889.6999999999998</v>
      </c>
      <c r="E8" s="315">
        <f>Gen!D14</f>
        <v>32659.910000000003</v>
      </c>
      <c r="F8" s="316">
        <f>'Water-Meter'!E9</f>
        <v>94</v>
      </c>
      <c r="G8" s="317">
        <f>'Water-Meter'!AN9</f>
        <v>163</v>
      </c>
      <c r="H8" s="315">
        <f>'Utility report '!AC9</f>
        <v>147</v>
      </c>
      <c r="I8" s="314">
        <f>'Kit report'!F7</f>
        <v>227.99999999995634</v>
      </c>
      <c r="J8" s="315">
        <f>'Kit report'!X7</f>
        <v>740.00000000014552</v>
      </c>
    </row>
    <row r="9" spans="1:10" ht="17.100000000000001" customHeight="1" x14ac:dyDescent="0.25">
      <c r="A9" s="705">
        <f>Gen!B15</f>
        <v>44566</v>
      </c>
      <c r="B9" s="707">
        <f>Gen!C15</f>
        <v>0.26</v>
      </c>
      <c r="C9" s="740">
        <f>Gen!AK15</f>
        <v>110</v>
      </c>
      <c r="D9" s="357">
        <f>Gen!T15</f>
        <v>1716.3900000000003</v>
      </c>
      <c r="E9" s="315">
        <f>Gen!D15</f>
        <v>30522.730000000003</v>
      </c>
      <c r="F9" s="316">
        <f>'Water-Meter'!E10</f>
        <v>86</v>
      </c>
      <c r="G9" s="317">
        <f>'Water-Meter'!AN10</f>
        <v>156</v>
      </c>
      <c r="H9" s="315">
        <f>'Utility report '!AC10</f>
        <v>0</v>
      </c>
      <c r="I9" s="314">
        <f>'Kit report'!F8</f>
        <v>204.00000000008731</v>
      </c>
      <c r="J9" s="315">
        <f>'Kit report'!X8</f>
        <v>739.99999999978172</v>
      </c>
    </row>
    <row r="10" spans="1:10" ht="17.100000000000001" customHeight="1" x14ac:dyDescent="0.25">
      <c r="A10" s="705">
        <f>Gen!B16</f>
        <v>44567</v>
      </c>
      <c r="B10" s="707">
        <f>Gen!C16</f>
        <v>0.31</v>
      </c>
      <c r="C10" s="740">
        <f>Gen!AK16</f>
        <v>299.04000000000002</v>
      </c>
      <c r="D10" s="357">
        <f>Gen!T16</f>
        <v>1829.15</v>
      </c>
      <c r="E10" s="315">
        <f>Gen!D16</f>
        <v>28696.340000000004</v>
      </c>
      <c r="F10" s="316">
        <f>'Water-Meter'!E11</f>
        <v>90</v>
      </c>
      <c r="G10" s="317">
        <f>'Water-Meter'!AN11</f>
        <v>152</v>
      </c>
      <c r="H10" s="315">
        <f>'Utility report '!AC11</f>
        <v>148</v>
      </c>
      <c r="I10" s="314">
        <f>'Kit report'!F9</f>
        <v>227.99999999995634</v>
      </c>
      <c r="J10" s="315">
        <f>'Kit report'!X9</f>
        <v>660.00000000021828</v>
      </c>
    </row>
    <row r="11" spans="1:10" ht="17.100000000000001" customHeight="1" x14ac:dyDescent="0.25">
      <c r="A11" s="705">
        <f>Gen!B17</f>
        <v>44568</v>
      </c>
      <c r="B11" s="707">
        <f>Gen!C17</f>
        <v>0.24679999999999999</v>
      </c>
      <c r="C11" s="740">
        <f>Gen!AK17</f>
        <v>133</v>
      </c>
      <c r="D11" s="357">
        <f>Gen!T17</f>
        <v>1866.3500000000001</v>
      </c>
      <c r="E11" s="315">
        <f>Gen!D17</f>
        <v>26568.150000000005</v>
      </c>
      <c r="F11" s="316">
        <f>'Water-Meter'!E12</f>
        <v>92</v>
      </c>
      <c r="G11" s="317">
        <f>'Water-Meter'!AN12</f>
        <v>157</v>
      </c>
      <c r="H11" s="315">
        <f>'Utility report '!AC12</f>
        <v>-22473</v>
      </c>
      <c r="I11" s="314">
        <f>'Kit report'!F10</f>
        <v>216.00000000013097</v>
      </c>
      <c r="J11" s="315">
        <f>'Kit report'!X10</f>
        <v>739.99999999978172</v>
      </c>
    </row>
    <row r="12" spans="1:10" ht="17.100000000000001" customHeight="1" x14ac:dyDescent="0.25">
      <c r="A12" s="705">
        <f>Gen!B18</f>
        <v>44569</v>
      </c>
      <c r="B12" s="707">
        <f>Gen!C18</f>
        <v>0.23</v>
      </c>
      <c r="C12" s="740">
        <f>Gen!AK18</f>
        <v>162.47</v>
      </c>
      <c r="D12" s="357">
        <f>Gen!T18</f>
        <v>1767.24</v>
      </c>
      <c r="E12" s="315">
        <f>Gen!D18</f>
        <v>24568.800000000007</v>
      </c>
      <c r="F12" s="316">
        <f>'Water-Meter'!E13</f>
        <v>108</v>
      </c>
      <c r="G12" s="317">
        <f>'Water-Meter'!AN13</f>
        <v>158</v>
      </c>
      <c r="H12" s="315">
        <f>'Utility report '!AC13</f>
        <v>22575</v>
      </c>
      <c r="I12" s="314">
        <f>'Kit report'!F11</f>
        <v>240</v>
      </c>
      <c r="J12" s="315">
        <f>'Kit report'!X11</f>
        <v>700</v>
      </c>
    </row>
    <row r="13" spans="1:10" ht="17.100000000000001" customHeight="1" x14ac:dyDescent="0.25">
      <c r="A13" s="705">
        <f>Gen!B19</f>
        <v>44570</v>
      </c>
      <c r="B13" s="707">
        <f>Gen!C19</f>
        <v>0.20780000000000001</v>
      </c>
      <c r="C13" s="740">
        <f>Gen!AK19</f>
        <v>109.74</v>
      </c>
      <c r="D13" s="357">
        <f>Gen!T19</f>
        <v>1846.05</v>
      </c>
      <c r="E13" s="315">
        <f>Gen!D19</f>
        <v>40639.090000000011</v>
      </c>
      <c r="F13" s="316">
        <f>'Water-Meter'!E14</f>
        <v>101</v>
      </c>
      <c r="G13" s="317">
        <f>'Water-Meter'!AN14</f>
        <v>154</v>
      </c>
      <c r="H13" s="315">
        <f>'Utility report '!AC14</f>
        <v>128</v>
      </c>
      <c r="I13" s="314">
        <f>'Kit report'!F12</f>
        <v>251.99999999982538</v>
      </c>
      <c r="J13" s="315">
        <f>'Kit report'!X12</f>
        <v>780.00000000029104</v>
      </c>
    </row>
    <row r="14" spans="1:10" ht="17.100000000000001" customHeight="1" x14ac:dyDescent="0.25">
      <c r="A14" s="705">
        <f>Gen!B20</f>
        <v>44571</v>
      </c>
      <c r="B14" s="707">
        <f>Gen!C20</f>
        <v>0.17</v>
      </c>
      <c r="C14" s="740">
        <f>Gen!AK20</f>
        <v>79.83</v>
      </c>
      <c r="D14" s="357">
        <f>Gen!T20</f>
        <v>1765.63</v>
      </c>
      <c r="E14" s="315">
        <f>Gen!D20</f>
        <v>38683.30000000001</v>
      </c>
      <c r="F14" s="316">
        <f>'Water-Meter'!E15</f>
        <v>83</v>
      </c>
      <c r="G14" s="317">
        <f>'Water-Meter'!AN15</f>
        <v>88</v>
      </c>
      <c r="H14" s="315">
        <f>'Utility report '!AC15</f>
        <v>77</v>
      </c>
      <c r="I14" s="314">
        <f>'Kit report'!F13</f>
        <v>288.00000000017462</v>
      </c>
      <c r="J14" s="315">
        <f>'Kit report'!X13</f>
        <v>639.99999999978172</v>
      </c>
    </row>
    <row r="15" spans="1:10" ht="17.100000000000001" customHeight="1" x14ac:dyDescent="0.25">
      <c r="A15" s="705">
        <f>Gen!B21</f>
        <v>44572</v>
      </c>
      <c r="B15" s="707">
        <f>Gen!C21</f>
        <v>0.1</v>
      </c>
      <c r="C15" s="740">
        <f>Gen!AK21</f>
        <v>386.46</v>
      </c>
      <c r="D15" s="357">
        <f>Gen!T21</f>
        <v>1625.2799999999997</v>
      </c>
      <c r="E15" s="315">
        <f>Gen!D21</f>
        <v>36837.840000000011</v>
      </c>
      <c r="F15" s="316">
        <f>'Water-Meter'!E16</f>
        <v>67</v>
      </c>
      <c r="G15" s="317">
        <f>'Water-Meter'!AN16</f>
        <v>87</v>
      </c>
      <c r="H15" s="315">
        <f>'Utility report '!AC16</f>
        <v>114</v>
      </c>
      <c r="I15" s="314">
        <f>'Kit report'!F14</f>
        <v>287.99999999995634</v>
      </c>
      <c r="J15" s="315">
        <f>'Kit report'!X14</f>
        <v>500</v>
      </c>
    </row>
    <row r="16" spans="1:10" ht="17.100000000000001" customHeight="1" x14ac:dyDescent="0.25">
      <c r="A16" s="705">
        <f>Gen!B22</f>
        <v>44573</v>
      </c>
      <c r="B16" s="707">
        <f>Gen!C22</f>
        <v>6.4899999999999999E-2</v>
      </c>
      <c r="C16" s="740">
        <f>Gen!AK22</f>
        <v>0</v>
      </c>
      <c r="D16" s="357">
        <f>Gen!T22</f>
        <v>1599.77</v>
      </c>
      <c r="E16" s="315">
        <f>Gen!D22</f>
        <v>34826.100000000013</v>
      </c>
      <c r="F16" s="316">
        <f>'Water-Meter'!E17</f>
        <v>133</v>
      </c>
      <c r="G16" s="317">
        <f>'Water-Meter'!AN17</f>
        <v>86</v>
      </c>
      <c r="H16" s="315">
        <f>'Utility report '!AC17</f>
        <v>112</v>
      </c>
      <c r="I16" s="314">
        <f>'Kit report'!F15</f>
        <v>240</v>
      </c>
      <c r="J16" s="315">
        <f>'Kit report'!X15</f>
        <v>540.00000000014552</v>
      </c>
    </row>
    <row r="17" spans="1:10" ht="17.100000000000001" customHeight="1" x14ac:dyDescent="0.25">
      <c r="A17" s="705">
        <f>Gen!B23</f>
        <v>44574</v>
      </c>
      <c r="B17" s="707">
        <f>Gen!C23</f>
        <v>0.13</v>
      </c>
      <c r="C17" s="740">
        <f>Gen!AK23</f>
        <v>66.31</v>
      </c>
      <c r="D17" s="357">
        <f>Gen!T23</f>
        <v>1507.29</v>
      </c>
      <c r="E17" s="315">
        <f>Gen!D23</f>
        <v>33226.330000000016</v>
      </c>
      <c r="F17" s="316">
        <f>'Water-Meter'!E18</f>
        <v>86</v>
      </c>
      <c r="G17" s="317">
        <f>'Water-Meter'!AN18</f>
        <v>86</v>
      </c>
      <c r="H17" s="315">
        <f>'Utility report '!AC18</f>
        <v>111</v>
      </c>
      <c r="I17" s="314">
        <f>'Kit report'!F16</f>
        <v>287.99999999995634</v>
      </c>
      <c r="J17" s="315">
        <f>'Kit report'!X16</f>
        <v>500</v>
      </c>
    </row>
    <row r="18" spans="1:10" ht="17.100000000000001" customHeight="1" x14ac:dyDescent="0.25">
      <c r="A18" s="705">
        <f>Gen!B24</f>
        <v>44575</v>
      </c>
      <c r="B18" s="707">
        <f>Gen!C24</f>
        <v>0.18</v>
      </c>
      <c r="C18" s="740">
        <f>Gen!AK24</f>
        <v>288.08</v>
      </c>
      <c r="D18" s="357">
        <f>Gen!T24</f>
        <v>1511.92</v>
      </c>
      <c r="E18" s="315">
        <f>Gen!D24</f>
        <v>31652.730000000018</v>
      </c>
      <c r="F18" s="316">
        <f>'Water-Meter'!E19</f>
        <v>92</v>
      </c>
      <c r="G18" s="317">
        <f>'Water-Meter'!AN19</f>
        <v>91</v>
      </c>
      <c r="H18" s="315">
        <f>'Utility report '!AC19</f>
        <v>92</v>
      </c>
      <c r="I18" s="314">
        <f>'Kit report'!F17</f>
        <v>275.99999999991269</v>
      </c>
      <c r="J18" s="315">
        <f>'Kit report'!X17</f>
        <v>500</v>
      </c>
    </row>
    <row r="19" spans="1:10" ht="17.100000000000001" customHeight="1" x14ac:dyDescent="0.25">
      <c r="A19" s="705">
        <f>Gen!B25</f>
        <v>44576</v>
      </c>
      <c r="B19" s="707">
        <f>Gen!C25</f>
        <v>0.16</v>
      </c>
      <c r="C19" s="740">
        <f>Gen!AK25</f>
        <v>0</v>
      </c>
      <c r="D19" s="357">
        <f>Gen!T25</f>
        <v>1442</v>
      </c>
      <c r="E19" s="315">
        <f>Gen!D25</f>
        <v>29852.730000000018</v>
      </c>
      <c r="F19" s="316">
        <f>'Water-Meter'!E20</f>
        <v>102</v>
      </c>
      <c r="G19" s="317">
        <f>'Water-Meter'!AN20</f>
        <v>66</v>
      </c>
      <c r="H19" s="315">
        <f>'Utility report '!AC20</f>
        <v>58</v>
      </c>
      <c r="I19" s="314">
        <f>'Kit report'!F18</f>
        <v>276.00000000013097</v>
      </c>
      <c r="J19" s="315">
        <f>'Kit report'!X18</f>
        <v>579.99999999992724</v>
      </c>
    </row>
    <row r="20" spans="1:10" ht="17.100000000000001" customHeight="1" x14ac:dyDescent="0.25">
      <c r="A20" s="705">
        <f>Gen!B26</f>
        <v>44577</v>
      </c>
      <c r="B20" s="707">
        <f>Gen!C26</f>
        <v>0.18</v>
      </c>
      <c r="C20" s="740">
        <f>Gen!AK26</f>
        <v>447</v>
      </c>
      <c r="D20" s="357">
        <f>Gen!T26</f>
        <v>1354.38</v>
      </c>
      <c r="E20" s="315">
        <f>Gen!D26</f>
        <v>28410.730000000018</v>
      </c>
      <c r="F20" s="316">
        <f>'Water-Meter'!E21</f>
        <v>74</v>
      </c>
      <c r="G20" s="317">
        <f>'Water-Meter'!AN21</f>
        <v>61</v>
      </c>
      <c r="H20" s="315">
        <f>'Utility report '!AC21</f>
        <v>91</v>
      </c>
      <c r="I20" s="314">
        <f>'Kit report'!F19</f>
        <v>252.00000000004366</v>
      </c>
      <c r="J20" s="315">
        <f>'Kit report'!X19</f>
        <v>520.00000000007276</v>
      </c>
    </row>
    <row r="21" spans="1:10" ht="15" x14ac:dyDescent="0.25">
      <c r="A21" s="705">
        <f>Gen!B27</f>
        <v>44578</v>
      </c>
      <c r="B21" s="707">
        <f>Gen!C27</f>
        <v>0.09</v>
      </c>
      <c r="C21" s="740">
        <f>Gen!AK27</f>
        <v>0</v>
      </c>
      <c r="D21" s="357">
        <f>Gen!T27</f>
        <v>1220.47</v>
      </c>
      <c r="E21" s="315">
        <f>Gen!D27</f>
        <v>26609.350000000017</v>
      </c>
      <c r="F21" s="316">
        <f>'Water-Meter'!E22</f>
        <v>68</v>
      </c>
      <c r="G21" s="317">
        <f>'Water-Meter'!AN22</f>
        <v>61</v>
      </c>
      <c r="H21" s="315">
        <f>'Utility report '!AC22</f>
        <v>78</v>
      </c>
      <c r="I21" s="314">
        <f>'Kit report'!F20</f>
        <v>203.99999999986903</v>
      </c>
      <c r="J21" s="315">
        <f>'Kit report'!X20</f>
        <v>600</v>
      </c>
    </row>
    <row r="22" spans="1:10" ht="15" customHeight="1" x14ac:dyDescent="0.25">
      <c r="A22" s="705">
        <f>Gen!B28</f>
        <v>44579</v>
      </c>
      <c r="B22" s="707">
        <f>Gen!C28</f>
        <v>0.16</v>
      </c>
      <c r="C22" s="740">
        <f>Gen!AK30</f>
        <v>238.01999999999998</v>
      </c>
      <c r="D22" s="357">
        <f>Gen!T30</f>
        <v>1370.45</v>
      </c>
      <c r="E22" s="315">
        <f>Gen!D30</f>
        <v>22404.680000000015</v>
      </c>
      <c r="F22" s="316">
        <f>'Water-Meter'!E23</f>
        <v>62</v>
      </c>
      <c r="G22" s="317">
        <f>'Water-Meter'!AN23</f>
        <v>63</v>
      </c>
      <c r="H22" s="315">
        <f>'Utility report '!AC25</f>
        <v>45</v>
      </c>
      <c r="I22" s="314">
        <f>'Kit report'!F23</f>
        <v>240</v>
      </c>
      <c r="J22" s="315">
        <f>'Kit report'!X23</f>
        <v>500</v>
      </c>
    </row>
    <row r="23" spans="1:10" ht="15" customHeight="1" x14ac:dyDescent="0.25">
      <c r="A23" s="705">
        <f>Gen!B29</f>
        <v>44580</v>
      </c>
      <c r="B23" s="707">
        <f>Gen!C29</f>
        <v>0.18</v>
      </c>
      <c r="C23" s="740">
        <f>Gen!AK31</f>
        <v>15</v>
      </c>
      <c r="D23" s="357">
        <f>Gen!T31</f>
        <v>1280.31</v>
      </c>
      <c r="E23" s="315">
        <f>Gen!D31</f>
        <v>20796.210000000014</v>
      </c>
      <c r="F23" s="316">
        <f>'Water-Meter'!E26</f>
        <v>81</v>
      </c>
      <c r="G23" s="317">
        <f>'Water-Meter'!AN24</f>
        <v>52</v>
      </c>
      <c r="H23" s="315">
        <f>'Utility report '!AC26</f>
        <v>139</v>
      </c>
      <c r="I23" s="314">
        <f>'Kit report'!F24</f>
        <v>228.00000000017462</v>
      </c>
      <c r="J23" s="315">
        <f>'Kit report'!X24</f>
        <v>520.00000000007276</v>
      </c>
    </row>
    <row r="24" spans="1:10" ht="15" customHeight="1" x14ac:dyDescent="0.25">
      <c r="A24" s="705">
        <f>Gen!B30</f>
        <v>44581</v>
      </c>
      <c r="B24" s="707">
        <f>Gen!C30</f>
        <v>0.21</v>
      </c>
      <c r="C24" s="740">
        <f>Gen!AK32</f>
        <v>264.82</v>
      </c>
      <c r="D24" s="357">
        <f>Gen!T32</f>
        <v>1286.26</v>
      </c>
      <c r="E24" s="315">
        <f>Gen!D32</f>
        <v>19500.900000000012</v>
      </c>
      <c r="F24" s="316">
        <f>'Water-Meter'!E27</f>
        <v>71</v>
      </c>
      <c r="G24" s="317">
        <f>'Water-Meter'!AN27</f>
        <v>131</v>
      </c>
      <c r="H24" s="315">
        <f>'Utility report '!AC27</f>
        <v>100</v>
      </c>
      <c r="I24" s="314">
        <f>'Kit report'!F25</f>
        <v>1183860</v>
      </c>
      <c r="J24" s="315">
        <f>'Kit report'!X25</f>
        <v>459.99999999985448</v>
      </c>
    </row>
    <row r="25" spans="1:10" ht="15" customHeight="1" x14ac:dyDescent="0.25">
      <c r="A25" s="705">
        <f>Gen!B31</f>
        <v>44582</v>
      </c>
      <c r="B25" s="707">
        <f>Gen!C31</f>
        <v>0.09</v>
      </c>
      <c r="C25" s="740">
        <f>Gen!AK33</f>
        <v>253.24</v>
      </c>
      <c r="D25" s="357">
        <f>Gen!T33</f>
        <v>1199.2800000000002</v>
      </c>
      <c r="E25" s="315">
        <f>Gen!D33</f>
        <v>35949.820000000014</v>
      </c>
      <c r="F25" s="316">
        <f>'Water-Meter'!E28</f>
        <v>62</v>
      </c>
      <c r="G25" s="317">
        <f>'Water-Meter'!AN28</f>
        <v>91</v>
      </c>
      <c r="H25" s="315">
        <f>'Utility report '!AC28</f>
        <v>74</v>
      </c>
      <c r="I25" s="314">
        <f>'Kit report'!F26</f>
        <v>204.00000000008731</v>
      </c>
      <c r="J25" s="315">
        <f>'Kit report'!X26</f>
        <v>400</v>
      </c>
    </row>
    <row r="26" spans="1:10" ht="15" customHeight="1" x14ac:dyDescent="0.25">
      <c r="A26" s="705">
        <f>Gen!B32</f>
        <v>44583</v>
      </c>
      <c r="B26" s="707">
        <f>Gen!C32</f>
        <v>0.08</v>
      </c>
      <c r="C26" s="740">
        <f>Gen!AK34</f>
        <v>237.04000000000002</v>
      </c>
      <c r="D26" s="357">
        <f>Gen!T34</f>
        <v>1340.81</v>
      </c>
      <c r="E26" s="315">
        <f>Gen!D34</f>
        <v>34497.300000000017</v>
      </c>
      <c r="F26" s="316">
        <f>'Water-Meter'!E29</f>
        <v>75</v>
      </c>
      <c r="G26" s="317">
        <f>'Water-Meter'!AN29</f>
        <v>55</v>
      </c>
      <c r="H26" s="315">
        <f>'Utility report '!AC29</f>
        <v>17</v>
      </c>
      <c r="I26" s="314">
        <f>'Kit report'!F27</f>
        <v>240</v>
      </c>
      <c r="J26" s="315">
        <f>'Kit report'!X27</f>
        <v>480.00000000029104</v>
      </c>
    </row>
    <row r="27" spans="1:10" ht="15" customHeight="1" x14ac:dyDescent="0.25">
      <c r="A27" s="705">
        <f>Gen!B33</f>
        <v>44584</v>
      </c>
      <c r="B27" s="707">
        <f>Gen!C33</f>
        <v>0.04</v>
      </c>
      <c r="C27" s="740">
        <f>Gen!AK35</f>
        <v>118.03</v>
      </c>
      <c r="D27" s="357">
        <f>Gen!T35</f>
        <v>1255.47</v>
      </c>
      <c r="E27" s="315">
        <f>Gen!D35</f>
        <v>32919.450000000019</v>
      </c>
      <c r="F27" s="316">
        <f>'Water-Meter'!E30</f>
        <v>160</v>
      </c>
      <c r="G27" s="317">
        <f>'Water-Meter'!AN30</f>
        <v>53</v>
      </c>
      <c r="H27" s="315">
        <f>'Utility report '!AC30</f>
        <v>133</v>
      </c>
      <c r="I27" s="314">
        <f>'Kit report'!F28</f>
        <v>263.99999999986903</v>
      </c>
      <c r="J27" s="315">
        <f>'Kit report'!X28</f>
        <v>7000</v>
      </c>
    </row>
    <row r="28" spans="1:10" ht="15" customHeight="1" x14ac:dyDescent="0.25">
      <c r="A28" s="705">
        <f>Gen!B34</f>
        <v>44585</v>
      </c>
      <c r="B28" s="707">
        <f>Gen!C34</f>
        <v>0.1</v>
      </c>
      <c r="C28" s="740">
        <f>Gen!AK36</f>
        <v>73.37</v>
      </c>
      <c r="D28" s="357">
        <f>Gen!T36</f>
        <v>1351.98</v>
      </c>
      <c r="E28" s="315">
        <f>Gen!D36</f>
        <v>31545.950000000019</v>
      </c>
      <c r="F28" s="316">
        <f>'Water-Meter'!E31</f>
        <v>66</v>
      </c>
      <c r="G28" s="317">
        <f>'Water-Meter'!AN31</f>
        <v>123</v>
      </c>
      <c r="H28" s="315">
        <f>'Utility report '!AC31</f>
        <v>12</v>
      </c>
      <c r="I28" s="314">
        <f>'Kit report'!F29</f>
        <v>264.00000000008731</v>
      </c>
      <c r="J28" s="315">
        <f>'Kit report'!X29</f>
        <v>479.99999999992724</v>
      </c>
    </row>
    <row r="29" spans="1:10" ht="15" customHeight="1" x14ac:dyDescent="0.25">
      <c r="A29" s="705">
        <f>Gen!B35</f>
        <v>44586</v>
      </c>
      <c r="B29" s="707">
        <f>Gen!C35</f>
        <v>0.14000000000000001</v>
      </c>
      <c r="C29" s="740">
        <f>Gen!AK37</f>
        <v>353.88</v>
      </c>
      <c r="D29" s="357">
        <f>Gen!T37</f>
        <v>1411.45</v>
      </c>
      <c r="E29" s="315">
        <f>Gen!D37</f>
        <v>45120.60000000002</v>
      </c>
      <c r="F29" s="316">
        <f>'Water-Meter'!E32</f>
        <v>75</v>
      </c>
      <c r="G29" s="317">
        <f>'Water-Meter'!AN32</f>
        <v>177</v>
      </c>
      <c r="H29" s="315">
        <f>'Utility report '!AC32</f>
        <v>184</v>
      </c>
      <c r="I29" s="314">
        <f>'Kit report'!F30</f>
        <v>227.99999999995634</v>
      </c>
      <c r="J29" s="315">
        <f>'Kit report'!X30</f>
        <v>520.00000000007276</v>
      </c>
    </row>
    <row r="30" spans="1:10" ht="15" customHeight="1" x14ac:dyDescent="0.25">
      <c r="A30" s="705">
        <f>Gen!B36</f>
        <v>44587</v>
      </c>
      <c r="B30" s="707">
        <f>Gen!C36</f>
        <v>0.16</v>
      </c>
      <c r="C30" s="740">
        <f>Gen!AK38</f>
        <v>0</v>
      </c>
      <c r="D30" s="357">
        <f>Gen!T38</f>
        <v>1429.2</v>
      </c>
      <c r="E30" s="315">
        <f>Gen!D38</f>
        <v>43355.270000000019</v>
      </c>
      <c r="F30" s="316">
        <f>'Water-Meter'!E33</f>
        <v>64</v>
      </c>
      <c r="G30" s="317">
        <f>'Water-Meter'!AN33</f>
        <v>159</v>
      </c>
      <c r="H30" s="315">
        <f>'Utility report '!AC33</f>
        <v>66</v>
      </c>
      <c r="I30" s="314">
        <f>'Kit report'!F31</f>
        <v>264.00000000008731</v>
      </c>
      <c r="J30" s="315">
        <f>'Kit report'!X31</f>
        <v>479.99999999992724</v>
      </c>
    </row>
    <row r="31" spans="1:10" ht="15" customHeight="1" x14ac:dyDescent="0.25">
      <c r="A31" s="705">
        <f>Gen!B37</f>
        <v>44588</v>
      </c>
      <c r="B31" s="707">
        <f>Gen!C37</f>
        <v>0.13</v>
      </c>
      <c r="C31" s="740">
        <f>Gen!AK39</f>
        <v>48.59</v>
      </c>
      <c r="D31" s="357">
        <f>Gen!T39</f>
        <v>1414.19</v>
      </c>
      <c r="E31" s="315">
        <f>Gen!D39</f>
        <v>41926.070000000022</v>
      </c>
      <c r="F31" s="316">
        <f>'Water-Meter'!E34</f>
        <v>80</v>
      </c>
      <c r="G31" s="317">
        <f>'Water-Meter'!AN34</f>
        <v>155</v>
      </c>
      <c r="H31" s="315">
        <f>'Utility report '!AC34</f>
        <v>135</v>
      </c>
      <c r="I31" s="314">
        <f>'Kit report'!F32</f>
        <v>263.99999999986903</v>
      </c>
      <c r="J31" s="315">
        <f>'Kit report'!X32</f>
        <v>560.00000000021828</v>
      </c>
    </row>
    <row r="32" spans="1:10" ht="15" customHeight="1" x14ac:dyDescent="0.25">
      <c r="A32" s="705">
        <f>Gen!B38</f>
        <v>44589</v>
      </c>
      <c r="B32" s="707">
        <f>Gen!C38</f>
        <v>0.09</v>
      </c>
      <c r="C32" s="740">
        <f>Gen!AK40</f>
        <v>96</v>
      </c>
      <c r="D32" s="357">
        <f>Gen!T40</f>
        <v>1346.8700000000001</v>
      </c>
      <c r="E32" s="356">
        <f>Gen!D40</f>
        <v>40463.290000000023</v>
      </c>
      <c r="F32" s="316">
        <f>'Water-Meter'!E35</f>
        <v>110</v>
      </c>
      <c r="G32" s="317">
        <f>'Water-Meter'!AN35</f>
        <v>153</v>
      </c>
      <c r="H32" s="315">
        <f>'Utility report '!AC35</f>
        <v>11</v>
      </c>
      <c r="I32" s="314">
        <f>'Kit report'!F33</f>
        <v>216.00000000013097</v>
      </c>
      <c r="J32" s="315">
        <f>'Kit report'!X33</f>
        <v>400</v>
      </c>
    </row>
    <row r="33" spans="1:10" ht="15" customHeight="1" x14ac:dyDescent="0.25">
      <c r="A33" s="705">
        <f>Gen!B39</f>
        <v>44590</v>
      </c>
      <c r="B33" s="707">
        <f>Gen!C39</f>
        <v>0.09</v>
      </c>
      <c r="C33" s="740">
        <f>Gen!AK41</f>
        <v>511.7</v>
      </c>
      <c r="D33" s="357">
        <f>Gen!T41</f>
        <v>1283.56</v>
      </c>
      <c r="E33" s="317">
        <f>Gen!D41</f>
        <v>39020.42000000002</v>
      </c>
      <c r="F33" s="316">
        <f>'Water-Meter'!E36</f>
        <v>104</v>
      </c>
      <c r="G33" s="317">
        <f>'Water-Meter'!AN36</f>
        <v>151</v>
      </c>
      <c r="H33" s="315">
        <f>'Utility report '!AC36</f>
        <v>135</v>
      </c>
      <c r="I33" s="314">
        <f>'Kit report'!F34</f>
        <v>180</v>
      </c>
      <c r="J33" s="315">
        <f>'Kit report'!X34</f>
        <v>459.99999999985448</v>
      </c>
    </row>
    <row r="34" spans="1:10" ht="15" x14ac:dyDescent="0.25">
      <c r="A34" s="705">
        <f>Gen!B40</f>
        <v>44591</v>
      </c>
      <c r="B34" s="707">
        <f>Gen!C40</f>
        <v>0.06</v>
      </c>
      <c r="C34" s="740">
        <f>Gen!AL42</f>
        <v>0</v>
      </c>
      <c r="D34" s="357">
        <f>Gen!U42</f>
        <v>0</v>
      </c>
      <c r="E34" s="317">
        <f>Gen!D42</f>
        <v>37225.160000000018</v>
      </c>
      <c r="F34" s="316" t="str">
        <f>'Water-Meter'!E37</f>
        <v>0</v>
      </c>
      <c r="G34" s="317">
        <f>'Water-Meter'!AN37</f>
        <v>0</v>
      </c>
      <c r="H34" s="315">
        <f>'Utility report '!AC37</f>
        <v>128</v>
      </c>
      <c r="I34" s="314"/>
      <c r="J34" s="315">
        <f>'Kit report'!X35</f>
        <v>-1777280</v>
      </c>
    </row>
    <row r="35" spans="1:10" ht="15" x14ac:dyDescent="0.25">
      <c r="A35" s="186">
        <f>Gen!B41</f>
        <v>44592</v>
      </c>
      <c r="B35" s="706">
        <f>Gen!C41</f>
        <v>0.05</v>
      </c>
      <c r="C35" s="741">
        <f>Gen!AL43</f>
        <v>0</v>
      </c>
      <c r="D35" s="357">
        <f>Gen!U43</f>
        <v>0</v>
      </c>
      <c r="E35" s="317">
        <f>Gen!D43</f>
        <v>37225.160000000018</v>
      </c>
      <c r="F35" s="316">
        <f>'Water-Meter'!E38</f>
        <v>2764</v>
      </c>
      <c r="G35" s="317">
        <f>'Water-Meter'!AN38</f>
        <v>3673</v>
      </c>
      <c r="H35" s="315">
        <f>'Utility report '!AC38</f>
        <v>0</v>
      </c>
      <c r="I35" s="314">
        <f>'Kit report'!F36</f>
        <v>0</v>
      </c>
      <c r="J35" s="315">
        <f>M25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"/>
  <sheetViews>
    <sheetView topLeftCell="A24" workbookViewId="0">
      <selection activeCell="L31" sqref="L31"/>
    </sheetView>
  </sheetViews>
  <sheetFormatPr defaultRowHeight="12.7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9D4A46DCD9C5439C72AF529D93C72B" ma:contentTypeVersion="12" ma:contentTypeDescription="Create a new document." ma:contentTypeScope="" ma:versionID="95ae959561c18a7e12cc9fdbb85588e8">
  <xsd:schema xmlns:xsd="http://www.w3.org/2001/XMLSchema" xmlns:xs="http://www.w3.org/2001/XMLSchema" xmlns:p="http://schemas.microsoft.com/office/2006/metadata/properties" xmlns:ns2="ef8562c0-0682-4399-9d35-aea5069ccf39" xmlns:ns3="52c3bb96-7986-47a2-8d56-c509a96b019d" targetNamespace="http://schemas.microsoft.com/office/2006/metadata/properties" ma:root="true" ma:fieldsID="7af4334462f3e988dd7f434a84204169" ns2:_="" ns3:_="">
    <xsd:import namespace="ef8562c0-0682-4399-9d35-aea5069ccf39"/>
    <xsd:import namespace="52c3bb96-7986-47a2-8d56-c509a96b01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8562c0-0682-4399-9d35-aea5069ccf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c3bb96-7986-47a2-8d56-c509a96b019d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7CFE40D-3B88-4930-9CD4-D020803B2A8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A75D8AA-66E9-42E3-9DE5-502021F9EA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8562c0-0682-4399-9d35-aea5069ccf39"/>
    <ds:schemaRef ds:uri="52c3bb96-7986-47a2-8d56-c509a96b01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8FC3B6A-F63B-42FE-9A5D-398EE53DE8C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Total</vt:lpstr>
      <vt:lpstr>Submetering</vt:lpstr>
      <vt:lpstr>Energy Graph</vt:lpstr>
      <vt:lpstr>UTILITY REPORT 1</vt:lpstr>
      <vt:lpstr>Utility report </vt:lpstr>
      <vt:lpstr>Kit report</vt:lpstr>
      <vt:lpstr>Utility summery</vt:lpstr>
      <vt:lpstr>Gen</vt:lpstr>
      <vt:lpstr>Lpg (2)</vt:lpstr>
      <vt:lpstr>Summery Report</vt:lpstr>
      <vt:lpstr>Daily report Gen</vt:lpstr>
      <vt:lpstr>Water-Meter</vt:lpstr>
      <vt:lpstr>LPG_Graph</vt:lpstr>
      <vt:lpstr>Water_Graph </vt:lpstr>
      <vt:lpstr>Sheet1</vt:lpstr>
      <vt:lpstr>VODACOM AND AIRTEL</vt:lpstr>
      <vt:lpstr>FUEL METER READING</vt:lpstr>
      <vt:lpstr>Daily utility report </vt:lpstr>
      <vt:lpstr>Sheet2</vt:lpstr>
    </vt:vector>
  </TitlesOfParts>
  <Manager/>
  <Company>Kilimanjaro Hotel Kempinski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Joe J. El Khoury</cp:lastModifiedBy>
  <cp:revision/>
  <dcterms:created xsi:type="dcterms:W3CDTF">2009-01-25T09:02:38Z</dcterms:created>
  <dcterms:modified xsi:type="dcterms:W3CDTF">2022-02-02T17:39:13Z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0x010100B19D4A46DCD9C5439C72AF529D93C72B</vt:lpwstr>
  </property>
</Properties>
</file>