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<sst xmlns="http://schemas.openxmlformats.org/spreadsheetml/2006/main" count="129" uniqueCount="50">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</sst>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64760</v>
      </c>
      <c r="F8" s="11">
        <v>5.0000000000000001E-3</v>
      </c>
      <c r="G8" s="12">
        <f>Submetering!R8</f>
        <v>788.50090299999999</v>
      </c>
      <c r="H8" s="11">
        <v>0.52800000000000002</v>
      </c>
      <c r="I8" s="12">
        <f>Hotel!B13</f>
        <v>54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>
        <f>Hotel!Q13</f>
        <v>8490</v>
      </c>
      <c r="F8" s="4">
        <f>Hotel!R13</f>
        <v>8760</v>
      </c>
      <c r="G8" s="4">
        <f>Hotel!S13</f>
        <v>90</v>
      </c>
      <c r="H8" s="4">
        <f>Hotel!T13</f>
        <v>1690</v>
      </c>
      <c r="I8" s="4">
        <f>Hotel!U13</f>
        <v>4340</v>
      </c>
      <c r="J8" s="4">
        <f>Hotel!V13</f>
        <v>3980</v>
      </c>
      <c r="K8" s="4">
        <f>Hotel!W13</f>
        <v>2610</v>
      </c>
      <c r="L8" s="4">
        <f>Hotel!X13</f>
        <v>4410</v>
      </c>
      <c r="M8" s="4">
        <f>Hotel!Y13</f>
        <v>6020</v>
      </c>
      <c r="N8" s="4">
        <f>Hotel!Z13</f>
        <v>2600</v>
      </c>
      <c r="O8" s="4">
        <f>Hotel!AA13</f>
        <v>3060</v>
      </c>
      <c r="P8" s="4">
        <f>Hotel!AB13</f>
        <v>7370</v>
      </c>
      <c r="Q8" s="4">
        <f>Hotel!AC13</f>
        <v>11340</v>
      </c>
      <c r="R8" s="4">
        <f>Hotel!AV13*0.00378541*100</f>
        <v>788.50090299999999</v>
      </c>
      <c r="S8" s="4">
        <f>Hotel!B13</f>
        <v>54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V1" zoomScale="93" zoomScaleNormal="93" workbookViewId="0">
      <selection activeCell="J17" sqref="J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>
        <v>54</v>
      </c>
      <c r="C13" s="24">
        <v>7426960</v>
      </c>
      <c r="D13" s="24">
        <v>17484770</v>
      </c>
      <c r="E13" s="24">
        <v>3104240</v>
      </c>
      <c r="F13" s="24">
        <v>3745740</v>
      </c>
      <c r="G13" s="24">
        <v>11031120</v>
      </c>
      <c r="H13" s="24">
        <v>6060620</v>
      </c>
      <c r="I13" s="24">
        <v>5438390</v>
      </c>
      <c r="J13" s="24">
        <v>6563320</v>
      </c>
      <c r="K13" s="24">
        <v>10003420</v>
      </c>
      <c r="L13" s="24">
        <v>4224670</v>
      </c>
      <c r="M13" s="24">
        <v>8371190</v>
      </c>
      <c r="N13" s="24">
        <v>13116620</v>
      </c>
      <c r="O13" s="24">
        <v>18116740</v>
      </c>
      <c r="Q13" s="37">
        <f t="shared" si="17"/>
        <v>8490</v>
      </c>
      <c r="R13" s="37">
        <f t="shared" si="18"/>
        <v>8760</v>
      </c>
      <c r="S13" s="37">
        <f t="shared" si="16"/>
        <v>90</v>
      </c>
      <c r="T13" s="37">
        <f t="shared" si="33"/>
        <v>1690</v>
      </c>
      <c r="U13" s="37">
        <f t="shared" si="33"/>
        <v>4340</v>
      </c>
      <c r="V13" s="37">
        <f t="shared" si="33"/>
        <v>3980</v>
      </c>
      <c r="W13" s="37">
        <f t="shared" si="33"/>
        <v>2610</v>
      </c>
      <c r="X13" s="37">
        <f t="shared" si="23"/>
        <v>4410</v>
      </c>
      <c r="Y13" s="37">
        <f t="shared" si="24"/>
        <v>6020</v>
      </c>
      <c r="Z13" s="37">
        <f>IF((L13-L12&lt;0), "0",L13-L12)</f>
        <v>2600</v>
      </c>
      <c r="AA13" s="37">
        <f t="shared" si="26"/>
        <v>3060</v>
      </c>
      <c r="AB13" s="37">
        <f t="shared" si="27"/>
        <v>7370</v>
      </c>
      <c r="AC13" s="37">
        <f t="shared" si="28"/>
        <v>11340</v>
      </c>
      <c r="AD13" s="35">
        <f t="shared" si="29"/>
        <v>64760</v>
      </c>
      <c r="AF13" s="20">
        <f t="shared" si="1"/>
        <v>42.45</v>
      </c>
      <c r="AG13" s="20">
        <f t="shared" si="2"/>
        <v>43.800000000000004</v>
      </c>
      <c r="AH13" s="20">
        <f t="shared" si="3"/>
        <v>0.45</v>
      </c>
      <c r="AI13" s="20">
        <f t="shared" si="4"/>
        <v>8.4499999999999993</v>
      </c>
      <c r="AJ13" s="20">
        <f t="shared" si="5"/>
        <v>21.7</v>
      </c>
      <c r="AK13" s="20">
        <f t="shared" si="6"/>
        <v>19.900000000000002</v>
      </c>
      <c r="AL13" s="20">
        <f t="shared" si="7"/>
        <v>13.05</v>
      </c>
      <c r="AM13" s="20">
        <f t="shared" si="8"/>
        <v>22.05</v>
      </c>
      <c r="AN13" s="20">
        <f t="shared" si="9"/>
        <v>30.1</v>
      </c>
      <c r="AO13" s="20">
        <f t="shared" si="10"/>
        <v>13</v>
      </c>
      <c r="AP13" s="20">
        <f t="shared" si="11"/>
        <v>15.3</v>
      </c>
      <c r="AQ13" s="20">
        <f t="shared" si="12"/>
        <v>36.85</v>
      </c>
      <c r="AR13" s="20">
        <f t="shared" si="13"/>
        <v>56.7</v>
      </c>
      <c r="AS13" s="35">
        <f t="shared" si="30"/>
        <v>323.8</v>
      </c>
      <c r="AU13" s="53">
        <v>355857</v>
      </c>
      <c r="AV13" s="37">
        <f t="shared" si="32"/>
        <v>2083</v>
      </c>
      <c r="AW13" s="35">
        <f t="shared" si="14"/>
        <v>4.1660000000000004</v>
      </c>
    </row>
    <row r="14" spans="1:49" x14ac:dyDescent="0.25">
      <c r="A14" s="23">
        <v>44508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0"/>
      <c r="Q14" s="37" t="str">
        <f t="shared" si="17"/>
        <v>0</v>
      </c>
      <c r="R14" s="37" t="str">
        <f t="shared" si="18"/>
        <v>0</v>
      </c>
      <c r="S14" s="37" t="str">
        <f t="shared" si="16"/>
        <v>0</v>
      </c>
      <c r="T14" s="37" t="str">
        <f t="shared" si="33"/>
        <v>0</v>
      </c>
      <c r="U14" s="37" t="str">
        <f t="shared" si="33"/>
        <v>0</v>
      </c>
      <c r="V14" s="37" t="str">
        <f t="shared" si="33"/>
        <v>0</v>
      </c>
      <c r="W14" s="37" t="str">
        <f t="shared" si="33"/>
        <v>0</v>
      </c>
      <c r="X14" s="37" t="str">
        <f t="shared" si="23"/>
        <v>0</v>
      </c>
      <c r="Y14" s="37" t="str">
        <f t="shared" si="24"/>
        <v>0</v>
      </c>
      <c r="Z14" s="37" t="str">
        <f>IF((L14-L13&lt;0), "0",L14-L13)</f>
        <v>0</v>
      </c>
      <c r="AA14" s="37" t="str">
        <f t="shared" si="26"/>
        <v>0</v>
      </c>
      <c r="AB14" s="37" t="str">
        <f t="shared" si="27"/>
        <v>0</v>
      </c>
      <c r="AC14" s="37" t="str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3"/>
      <c r="AV14" s="37" t="str">
        <f t="shared" si="32"/>
        <v>0</v>
      </c>
      <c r="AW14" s="35">
        <f t="shared" si="14"/>
        <v>0</v>
      </c>
    </row>
    <row r="15" spans="1:49" x14ac:dyDescent="0.25">
      <c r="A15" s="23">
        <v>44509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3"/>
      <c r="AV15" s="37">
        <f t="shared" si="32"/>
        <v>0</v>
      </c>
      <c r="AW15" s="35">
        <f t="shared" si="14"/>
        <v>0</v>
      </c>
    </row>
    <row r="16" spans="1:49" x14ac:dyDescent="0.25">
      <c r="A16" s="23">
        <v>44510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3"/>
      <c r="AV16" s="37">
        <f t="shared" si="32"/>
        <v>0</v>
      </c>
      <c r="AW16" s="35">
        <f t="shared" si="14"/>
        <v>0</v>
      </c>
    </row>
    <row r="17" spans="1:49" x14ac:dyDescent="0.25">
      <c r="A17" s="23">
        <v>44511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3"/>
      <c r="AV17" s="37">
        <f t="shared" si="32"/>
        <v>0</v>
      </c>
      <c r="AW17" s="35">
        <f t="shared" si="14"/>
        <v>0</v>
      </c>
    </row>
    <row r="18" spans="1:49" x14ac:dyDescent="0.25">
      <c r="A18" s="23">
        <v>44512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3"/>
      <c r="AV18" s="37">
        <f t="shared" si="32"/>
        <v>0</v>
      </c>
      <c r="AW18" s="35">
        <f t="shared" si="14"/>
        <v>0</v>
      </c>
    </row>
    <row r="19" spans="1:49" x14ac:dyDescent="0.25">
      <c r="A19" s="23">
        <v>44513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3"/>
      <c r="AV19" s="37">
        <f t="shared" si="32"/>
        <v>0</v>
      </c>
      <c r="AW19" s="35">
        <f t="shared" si="14"/>
        <v>0</v>
      </c>
    </row>
    <row r="20" spans="1:49" x14ac:dyDescent="0.25">
      <c r="A20" s="23">
        <v>44514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3"/>
      <c r="AV20" s="37">
        <f t="shared" si="32"/>
        <v>0</v>
      </c>
      <c r="AW20" s="35">
        <f t="shared" si="14"/>
        <v>0</v>
      </c>
    </row>
    <row r="21" spans="1:49" x14ac:dyDescent="0.25">
      <c r="A21" s="23">
        <v>44515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3"/>
      <c r="AV21" s="37">
        <f t="shared" si="32"/>
        <v>0</v>
      </c>
      <c r="AW21" s="35">
        <f t="shared" si="14"/>
        <v>0</v>
      </c>
    </row>
    <row r="22" spans="1:49" x14ac:dyDescent="0.25">
      <c r="A22" s="23">
        <v>44516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3"/>
      <c r="AV22" s="37">
        <f t="shared" si="32"/>
        <v>0</v>
      </c>
      <c r="AW22" s="35">
        <f t="shared" si="14"/>
        <v>0</v>
      </c>
    </row>
    <row r="23" spans="1:49" x14ac:dyDescent="0.25">
      <c r="A23" s="23">
        <v>44517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2"/>
        <v>0</v>
      </c>
      <c r="AW23" s="35">
        <f t="shared" si="14"/>
        <v>0</v>
      </c>
    </row>
    <row r="24" spans="1:49" x14ac:dyDescent="0.25">
      <c r="A24" s="23">
        <v>44518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2"/>
        <v>0</v>
      </c>
      <c r="AW24" s="35">
        <f t="shared" si="14"/>
        <v>0</v>
      </c>
    </row>
    <row r="25" spans="1:49" x14ac:dyDescent="0.25">
      <c r="A25" s="23">
        <v>44519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4">IF((C25-C24&lt;0), "0",C25-C24)</f>
        <v>0</v>
      </c>
      <c r="R25" s="37">
        <f t="shared" si="34"/>
        <v>0</v>
      </c>
      <c r="S25" s="37">
        <f t="shared" si="34"/>
        <v>0</v>
      </c>
      <c r="T25" s="37">
        <f t="shared" si="34"/>
        <v>0</v>
      </c>
      <c r="U25" s="37">
        <f t="shared" si="34"/>
        <v>0</v>
      </c>
      <c r="V25" s="37">
        <f t="shared" si="34"/>
        <v>0</v>
      </c>
      <c r="W25" s="37">
        <f t="shared" si="34"/>
        <v>0</v>
      </c>
      <c r="X25" s="37">
        <f t="shared" si="34"/>
        <v>0</v>
      </c>
      <c r="Y25" s="37">
        <f t="shared" si="34"/>
        <v>0</v>
      </c>
      <c r="Z25" s="37">
        <f t="shared" si="34"/>
        <v>0</v>
      </c>
      <c r="AA25" s="37">
        <f t="shared" si="34"/>
        <v>0</v>
      </c>
      <c r="AB25" s="37">
        <f t="shared" si="34"/>
        <v>0</v>
      </c>
      <c r="AC25" s="37">
        <f t="shared" si="34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2"/>
        <v>0</v>
      </c>
      <c r="AW25" s="35">
        <f t="shared" si="14"/>
        <v>0</v>
      </c>
    </row>
    <row r="26" spans="1:49" x14ac:dyDescent="0.25">
      <c r="A26" s="23">
        <v>44520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4"/>
        <v>0</v>
      </c>
      <c r="R26" s="37">
        <f t="shared" si="34"/>
        <v>0</v>
      </c>
      <c r="S26" s="37">
        <f t="shared" si="34"/>
        <v>0</v>
      </c>
      <c r="T26" s="37">
        <f t="shared" si="34"/>
        <v>0</v>
      </c>
      <c r="U26" s="37">
        <f t="shared" si="34"/>
        <v>0</v>
      </c>
      <c r="V26" s="37">
        <f t="shared" si="34"/>
        <v>0</v>
      </c>
      <c r="W26" s="37">
        <f t="shared" si="34"/>
        <v>0</v>
      </c>
      <c r="X26" s="37">
        <f t="shared" si="34"/>
        <v>0</v>
      </c>
      <c r="Y26" s="37">
        <f t="shared" si="34"/>
        <v>0</v>
      </c>
      <c r="Z26" s="37">
        <f t="shared" si="34"/>
        <v>0</v>
      </c>
      <c r="AA26" s="37">
        <f t="shared" si="34"/>
        <v>0</v>
      </c>
      <c r="AB26" s="37">
        <f t="shared" si="34"/>
        <v>0</v>
      </c>
      <c r="AC26" s="37">
        <f t="shared" si="34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2"/>
        <v>0</v>
      </c>
      <c r="AW26" s="35">
        <f t="shared" si="14"/>
        <v>0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4"/>
        <v>0</v>
      </c>
      <c r="R27" s="37">
        <f t="shared" si="34"/>
        <v>0</v>
      </c>
      <c r="S27" s="37">
        <f t="shared" si="34"/>
        <v>0</v>
      </c>
      <c r="T27" s="37">
        <f t="shared" si="34"/>
        <v>0</v>
      </c>
      <c r="U27" s="37">
        <f t="shared" si="34"/>
        <v>0</v>
      </c>
      <c r="V27" s="37">
        <f t="shared" si="34"/>
        <v>0</v>
      </c>
      <c r="W27" s="37">
        <f t="shared" si="34"/>
        <v>0</v>
      </c>
      <c r="X27" s="37">
        <f t="shared" si="34"/>
        <v>0</v>
      </c>
      <c r="Y27" s="37">
        <f t="shared" si="34"/>
        <v>0</v>
      </c>
      <c r="Z27" s="37">
        <f t="shared" si="34"/>
        <v>0</v>
      </c>
      <c r="AA27" s="37">
        <f t="shared" si="34"/>
        <v>0</v>
      </c>
      <c r="AB27" s="37">
        <f t="shared" si="34"/>
        <v>0</v>
      </c>
      <c r="AC27" s="37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3"/>
      <c r="AV29" s="37">
        <f t="shared" ref="AV29:AV35" si="35">IF((AU29-AU28&lt;0),"0",AU29-AU28)</f>
        <v>0</v>
      </c>
      <c r="AW29" s="35">
        <f t="shared" si="14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3"/>
      <c r="AV30" s="37">
        <f t="shared" si="35"/>
        <v>0</v>
      </c>
      <c r="AW30" s="35">
        <f t="shared" si="14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80780</v>
      </c>
      <c r="R38" s="38">
        <f t="shared" ref="R38:AD38" si="63">SUM(R7:R37)</f>
        <v>30510</v>
      </c>
      <c r="S38" s="38">
        <f t="shared" si="63"/>
        <v>2000</v>
      </c>
      <c r="T38" s="38">
        <f t="shared" si="63"/>
        <v>16340</v>
      </c>
      <c r="U38" s="38">
        <f t="shared" si="63"/>
        <v>30800</v>
      </c>
      <c r="V38" s="38">
        <f t="shared" si="63"/>
        <v>28290</v>
      </c>
      <c r="W38" s="38">
        <f t="shared" si="63"/>
        <v>17310</v>
      </c>
      <c r="X38" s="38">
        <f t="shared" si="63"/>
        <v>32100</v>
      </c>
      <c r="Y38" s="38">
        <f t="shared" si="63"/>
        <v>39740</v>
      </c>
      <c r="Z38" s="38">
        <f t="shared" si="63"/>
        <v>18280</v>
      </c>
      <c r="AA38" s="38">
        <f t="shared" si="63"/>
        <v>21740</v>
      </c>
      <c r="AB38" s="38">
        <f t="shared" si="63"/>
        <v>49400</v>
      </c>
      <c r="AC38" s="38">
        <f t="shared" si="63"/>
        <v>73670</v>
      </c>
      <c r="AD38" s="38">
        <f t="shared" si="63"/>
        <v>440960</v>
      </c>
      <c r="AF38" s="35">
        <f>SUM(AF7:AF37)</f>
        <v>403.9</v>
      </c>
      <c r="AG38" s="35">
        <f t="shared" ref="AG38:AS38" si="64">SUM(AG7:AG37)</f>
        <v>152.55000000000001</v>
      </c>
      <c r="AH38" s="35">
        <f t="shared" si="64"/>
        <v>10</v>
      </c>
      <c r="AI38" s="35">
        <f t="shared" si="64"/>
        <v>81.7</v>
      </c>
      <c r="AJ38" s="35">
        <f t="shared" si="64"/>
        <v>154</v>
      </c>
      <c r="AK38" s="35">
        <f t="shared" si="64"/>
        <v>141.45000000000002</v>
      </c>
      <c r="AL38" s="35">
        <f t="shared" si="64"/>
        <v>86.55</v>
      </c>
      <c r="AM38" s="35">
        <f t="shared" si="64"/>
        <v>160.50000000000003</v>
      </c>
      <c r="AN38" s="35">
        <f t="shared" si="64"/>
        <v>198.70000000000002</v>
      </c>
      <c r="AO38" s="35">
        <f t="shared" si="64"/>
        <v>91.4</v>
      </c>
      <c r="AP38" s="35">
        <f t="shared" si="64"/>
        <v>108.7</v>
      </c>
      <c r="AQ38" s="35">
        <f t="shared" si="64"/>
        <v>247.00000000000003</v>
      </c>
      <c r="AR38" s="35">
        <f t="shared" si="64"/>
        <v>368.35</v>
      </c>
      <c r="AS38" s="35">
        <f t="shared" si="64"/>
        <v>2204.8000000000002</v>
      </c>
      <c r="AU38" s="54"/>
      <c r="AV38" s="35">
        <f>SUM(AV7:AV34)</f>
        <v>14859</v>
      </c>
      <c r="AW38" s="35">
        <f>SUM(AW7:AW34)</f>
        <v>29.718</v>
      </c>
    </row>
    <row r="39" spans="1:49" x14ac:dyDescent="0.25">
      <c r="D39">
        <v>5.0000000000000001E-3</v>
      </c>
      <c r="AV39" s="36">
        <f>AV38*0.00378541*1000</f>
        <v>56247.407189999998</v>
      </c>
    </row>
    <row r="40" spans="1:49" x14ac:dyDescent="0.25">
      <c r="D40">
        <v>2E-3</v>
      </c>
      <c r="AV40">
        <f>AV39/31</f>
        <v>1814.4324899999999</v>
      </c>
    </row>
    <row r="41" spans="1:49" x14ac:dyDescent="0.25">
      <c r="AV41">
        <f>AV38*0.00378541</f>
        <v>56.247407189999997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2021-11-08T04:09:31Z</dcterms:modified>
</cp:coreProperties>
</file>