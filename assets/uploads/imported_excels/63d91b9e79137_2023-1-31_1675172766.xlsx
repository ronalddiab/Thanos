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18" i="7" l="1"/>
  <c r="P19" i="7"/>
  <c r="P30" i="7"/>
  <c r="P31" i="7"/>
  <c r="P32" i="7"/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D18" i="7" l="1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<sst xmlns="http://schemas.openxmlformats.org/spreadsheetml/2006/main" count="315" uniqueCount="148">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</sst>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16.483499999999999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11499.999999999523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99.200000000000728</v>
      </c>
      <c r="J28" s="11">
        <f t="shared" si="2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11899.999999999825</v>
      </c>
      <c r="F29" s="11">
        <f t="shared" si="0"/>
        <v>0.58765030286592534</v>
      </c>
      <c r="G29" s="12">
        <f>(Submetering!AX29+Submetering!AY29+Submetering!AZ29+Submetering!BA29+Submetering!BB29)</f>
        <v>12.820499999999999</v>
      </c>
      <c r="H29" s="11">
        <f t="shared" si="1"/>
        <v>0.99</v>
      </c>
      <c r="I29" s="12">
        <f>'FS Desroches Daily'!CM31</f>
        <v>99.299999999999272</v>
      </c>
      <c r="J29" s="11">
        <f t="shared" si="2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9100.0000000010295</v>
      </c>
      <c r="F30" s="11">
        <f t="shared" si="0"/>
        <v>0.58765030286592534</v>
      </c>
      <c r="G30" s="12">
        <f>(Submetering!AX30+Submetering!AY30+Submetering!AZ30+Submetering!BA30+Submetering!BB30)</f>
        <v>5.4944999999999995</v>
      </c>
      <c r="H30" s="11">
        <f t="shared" si="1"/>
        <v>0.99</v>
      </c>
      <c r="I30" s="12">
        <f>'FS Desroches Daily'!CM32</f>
        <v>98.099999999998545</v>
      </c>
      <c r="J30" s="11">
        <f t="shared" si="2"/>
        <v>10.487297712684205</v>
      </c>
      <c r="K30" s="13">
        <f>'FS Desroches Daily'!CN32</f>
        <v>10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8199.9999999994998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81.400000000001455</v>
      </c>
      <c r="J31" s="11">
        <f t="shared" si="2"/>
        <v>10.487297712684205</v>
      </c>
      <c r="K31" s="13">
        <f>'FS Desroches Daily'!CN33</f>
        <v>10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 t="e">
        <f>Submetering!E32+Submetering!F32+Submetering!G32+Submetering!H32+Submetering!J32-Submetering!AV32</f>
        <v>#VALUE!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 t="e">
        <f>'FS Desroches Daily'!CM34</f>
        <v>#VALUE!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>
        <f>'FS Desroches Daily'!BF29</f>
        <v>54</v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>
        <f>'FS Desroches Daily'!CF29</f>
        <v>3</v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>
        <f>IF(LPG!F35-LPG!F33&lt;0,"0",(LPG!F35-LPG!F33)*1.8315)</f>
        <v>0</v>
      </c>
      <c r="AY27" s="31">
        <f>IF(LPG!H35-LPG!H33&lt;0,"0",(LPG!H35-LPG!H33)*1.8315)</f>
        <v>5.4944999999999995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10.988999999999999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2499.9999999999468</v>
      </c>
      <c r="F28" s="32">
        <f>'FS Desroches Daily'!F30</f>
        <v>3199.9999999996476</v>
      </c>
      <c r="G28" s="31">
        <f>'FS Desroches Daily'!H30</f>
        <v>3499.9999999998367</v>
      </c>
      <c r="H28" s="32">
        <f>'FS Desroches Daily'!J30</f>
        <v>1700.0000000000348</v>
      </c>
      <c r="I28" s="31">
        <f>'FS Desroches Daily'!L30</f>
        <v>2099.9999999999909</v>
      </c>
      <c r="J28" s="32">
        <f>'FS Desroches Daily'!N30</f>
        <v>1900.0000000000127</v>
      </c>
      <c r="K28" s="13">
        <f>'FS Desroches Daily'!P30</f>
        <v>161</v>
      </c>
      <c r="L28" s="31">
        <f>'FS Desroches Daily'!R30</f>
        <v>11</v>
      </c>
      <c r="M28" s="31">
        <f>'FS Desroches Daily'!T30</f>
        <v>900.00000000009095</v>
      </c>
      <c r="N28" s="31">
        <f>'FS Desroches Daily'!V30</f>
        <v>368</v>
      </c>
      <c r="O28" s="31">
        <f>'FS Desroches Daily'!X30</f>
        <v>360.00000000001364</v>
      </c>
      <c r="P28" s="31">
        <f>'FS Desroches Daily'!Z30</f>
        <v>2599.9999999992697</v>
      </c>
      <c r="Q28" s="31">
        <f>'FS Desroches Daily'!AB30</f>
        <v>429.99999999994998</v>
      </c>
      <c r="R28" s="31">
        <f>'FS Desroches Daily'!AD30</f>
        <v>389.99999999998636</v>
      </c>
      <c r="S28" s="31">
        <f>'FS Desroches Daily'!AF30</f>
        <v>969.9999999999136</v>
      </c>
      <c r="T28" s="31">
        <f>'FS Desroches Daily'!AH30</f>
        <v>42</v>
      </c>
      <c r="U28" s="35">
        <f>'FS Desroches Daily'!AJ30</f>
        <v>700.00000000014495</v>
      </c>
      <c r="V28" s="35">
        <f>'FS Desroches Daily'!AL30</f>
        <v>210.00000000003638</v>
      </c>
      <c r="W28" s="35">
        <f>'FS Desroches Daily'!AN30</f>
        <v>159.99999999996817</v>
      </c>
      <c r="X28" s="35">
        <f>'FS Desroches Daily'!AP30</f>
        <v>170.00000000001592</v>
      </c>
      <c r="Y28" s="35">
        <f>'FS Desroches Daily'!AR30</f>
        <v>140.0000000000432</v>
      </c>
      <c r="Z28" s="35">
        <f>'FS Desroches Daily'!AT30</f>
        <v>159.99999999996817</v>
      </c>
      <c r="AA28" s="35">
        <f>'FS Desroches Daily'!AT30</f>
        <v>159.99999999996817</v>
      </c>
      <c r="AB28" s="35">
        <f>'FS Desroches Daily'!AV30</f>
        <v>120.00000000000455</v>
      </c>
      <c r="AC28" s="35">
        <f>'FS Desroches Daily'!AZ30</f>
        <v>149.99999999997726</v>
      </c>
      <c r="AD28" s="35">
        <f>'FS Desroches Daily'!BB30</f>
        <v>150.00000000003411</v>
      </c>
      <c r="AE28" s="35">
        <f>'FS Desroches Daily'!BD30</f>
        <v>89.999999999974989</v>
      </c>
      <c r="AF28" s="31">
        <f>'FS Desroches Daily'!BF30</f>
        <v>52</v>
      </c>
      <c r="AG28" s="32">
        <f>'FS Desroches Daily'!BH30</f>
        <v>50.000000000011369</v>
      </c>
      <c r="AH28" s="32">
        <f>'FS Desroches Daily'!BJ30</f>
        <v>40.000000000020464</v>
      </c>
      <c r="AI28" s="32">
        <f>'FS Desroches Daily'!BL30</f>
        <v>70.000000000050022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48</v>
      </c>
      <c r="AM28" s="32">
        <f>'FS Desroches Daily'!BT30</f>
        <v>50.000000000011369</v>
      </c>
      <c r="AN28" s="32">
        <f>'FS Desroches Daily'!BV30</f>
        <v>42</v>
      </c>
      <c r="AO28" s="32">
        <f>'FS Desroches Daily'!BX30</f>
        <v>60.000000000002274</v>
      </c>
      <c r="AP28" s="32">
        <f>'FS Desroches Daily'!BZ30</f>
        <v>55</v>
      </c>
      <c r="AQ28" s="31">
        <f>'FS Desroches Daily'!CB30</f>
        <v>71.5</v>
      </c>
      <c r="AR28" s="31">
        <f>'FS Desroches Daily'!CD30</f>
        <v>7.3999999999978172</v>
      </c>
      <c r="AS28" s="31">
        <f>'FS Desroches Daily'!CF30</f>
        <v>1.8999999999996362</v>
      </c>
      <c r="AT28" s="31">
        <f>'FS Desroches Daily'!CH30</f>
        <v>54.19999999999709</v>
      </c>
      <c r="AU28" s="31">
        <f>'FS Desroches Daily'!CJ30</f>
        <v>333</v>
      </c>
      <c r="AV28" s="31">
        <f>'FS Desroches Daily'!CL30</f>
        <v>1299.9999999999545</v>
      </c>
      <c r="AW28" s="31">
        <f>'FS Desroches Daily'!CM30</f>
        <v>99.200000000000728</v>
      </c>
      <c r="AX28" s="31">
        <f>IF(LPG!F36-LPG!F34&lt;0,"0",(LPG!F36-LPG!F34)*1.8315)</f>
        <v>0</v>
      </c>
      <c r="AY28" s="31">
        <f>IF(LPG!H36-LPG!H34&lt;0,"0",(LPG!H36-LPG!H34)*1.8315)</f>
        <v>7.3259999999999996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2699.9999999999245</v>
      </c>
      <c r="F29" s="32">
        <f>'FS Desroches Daily'!F31</f>
        <v>3199.9999999996476</v>
      </c>
      <c r="G29" s="31">
        <f>'FS Desroches Daily'!H31</f>
        <v>3099.9999999998809</v>
      </c>
      <c r="H29" s="32">
        <f>'FS Desroches Daily'!J31</f>
        <v>1800.0000000002458</v>
      </c>
      <c r="I29" s="31">
        <f>'FS Desroches Daily'!L31</f>
        <v>2299.9999999999686</v>
      </c>
      <c r="J29" s="32">
        <f>'FS Desroches Daily'!N31</f>
        <v>1700.0000000000348</v>
      </c>
      <c r="K29" s="13">
        <f>'FS Desroches Daily'!P31</f>
        <v>41</v>
      </c>
      <c r="L29" s="31">
        <f>'FS Desroches Daily'!R31</f>
        <v>6</v>
      </c>
      <c r="M29" s="31">
        <f>'FS Desroches Daily'!T31</f>
        <v>799.99999999995453</v>
      </c>
      <c r="N29" s="31">
        <f>'FS Desroches Daily'!V31</f>
        <v>353.40000000002328</v>
      </c>
      <c r="O29" s="31">
        <f>'FS Desroches Daily'!X31</f>
        <v>409.99999999996817</v>
      </c>
      <c r="P29" s="31">
        <f>'FS Desroches Daily'!Z31</f>
        <v>2800.0000000005798</v>
      </c>
      <c r="Q29" s="31">
        <f>'FS Desroches Daily'!AB31</f>
        <v>269.99999999998181</v>
      </c>
      <c r="R29" s="31">
        <f>'FS Desroches Daily'!AD31</f>
        <v>340.00000000003183</v>
      </c>
      <c r="S29" s="31">
        <f>'FS Desroches Daily'!AF31</f>
        <v>920.00000000007276</v>
      </c>
      <c r="T29" s="31">
        <f>'FS Desroches Daily'!AH31</f>
        <v>38</v>
      </c>
      <c r="U29" s="35">
        <f>'FS Desroches Daily'!AJ31</f>
        <v>699.99999999992292</v>
      </c>
      <c r="V29" s="35">
        <f>'FS Desroches Daily'!AL31</f>
        <v>230.00000000001819</v>
      </c>
      <c r="W29" s="35">
        <f>'FS Desroches Daily'!AN31</f>
        <v>170.00000000001592</v>
      </c>
      <c r="X29" s="35">
        <f>'FS Desroches Daily'!AP31</f>
        <v>199.99999999998863</v>
      </c>
      <c r="Y29" s="35">
        <f>'FS Desroches Daily'!AR31</f>
        <v>219.99999999997044</v>
      </c>
      <c r="Z29" s="35">
        <f>'FS Desroches Daily'!AT31</f>
        <v>210.00000000003638</v>
      </c>
      <c r="AA29" s="35">
        <f>'FS Desroches Daily'!AT31</f>
        <v>210.00000000003638</v>
      </c>
      <c r="AB29" s="35">
        <f>'FS Desroches Daily'!AV31</f>
        <v>139.99999999998636</v>
      </c>
      <c r="AC29" s="35">
        <f>'FS Desroches Daily'!AZ31</f>
        <v>160.00000000002501</v>
      </c>
      <c r="AD29" s="35">
        <f>'FS Desroches Daily'!BB31</f>
        <v>129.99999999999545</v>
      </c>
      <c r="AE29" s="35">
        <f>'FS Desroches Daily'!BD31</f>
        <v>79.999999999984084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50.000000000011369</v>
      </c>
      <c r="AI29" s="32">
        <f>'FS Desroches Daily'!BL31</f>
        <v>69.999999999993179</v>
      </c>
      <c r="AJ29" s="32">
        <f>'FS Desroches Daily'!BN31</f>
        <v>50.000000000011369</v>
      </c>
      <c r="AK29" s="32">
        <f>'FS Desroches Daily'!BP31</f>
        <v>40.000000000020464</v>
      </c>
      <c r="AL29" s="32">
        <f>'FS Desroches Daily'!BR31</f>
        <v>51</v>
      </c>
      <c r="AM29" s="32">
        <f>'FS Desroches Daily'!BT31</f>
        <v>60.000000000002274</v>
      </c>
      <c r="AN29" s="32">
        <f>'FS Desroches Daily'!BV31</f>
        <v>43</v>
      </c>
      <c r="AO29" s="32">
        <f>'FS Desroches Daily'!BX31</f>
        <v>60.000000000002274</v>
      </c>
      <c r="AP29" s="32">
        <f>'FS Desroches Daily'!BZ31</f>
        <v>58</v>
      </c>
      <c r="AQ29" s="31">
        <f>'FS Desroches Daily'!CB31</f>
        <v>86.900000000001455</v>
      </c>
      <c r="AR29" s="31">
        <f>'FS Desroches Daily'!CD31</f>
        <v>7.5</v>
      </c>
      <c r="AS29" s="31">
        <f>'FS Desroches Daily'!CF31</f>
        <v>7.8999999999996362</v>
      </c>
      <c r="AT29" s="31">
        <f>'FS Desroches Daily'!CH31</f>
        <v>37.5</v>
      </c>
      <c r="AU29" s="31">
        <f>'FS Desroches Daily'!CJ31</f>
        <v>335</v>
      </c>
      <c r="AV29" s="31">
        <f>'FS Desroches Daily'!CL31</f>
        <v>599.99999999990905</v>
      </c>
      <c r="AW29" s="31">
        <f>'FS Desroches Daily'!CM31</f>
        <v>99.299999999999272</v>
      </c>
      <c r="AX29" s="31">
        <f>IF(LPG!F37-LPG!F35&lt;0,"0",(LPG!F37-LPG!F35)*1.8315)</f>
        <v>0</v>
      </c>
      <c r="AY29" s="31">
        <f>IF(LPG!H37-LPG!H35&lt;0,"0",(LPG!H37-LPG!H35)*1.8315)</f>
        <v>9.1574999999999989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1800.0000000002458</v>
      </c>
      <c r="F30" s="32">
        <f>'FS Desroches Daily'!F32</f>
        <v>2800.0000000005798</v>
      </c>
      <c r="G30" s="31">
        <f>'FS Desroches Daily'!H32</f>
        <v>2900.0000000003465</v>
      </c>
      <c r="H30" s="32">
        <f>'FS Desroches Daily'!J32</f>
        <v>1399.9999999998458</v>
      </c>
      <c r="I30" s="31">
        <f>'FS Desroches Daily'!L32</f>
        <v>1900.0000000000127</v>
      </c>
      <c r="J30" s="32">
        <f>'FS Desroches Daily'!N32</f>
        <v>1100.000000000101</v>
      </c>
      <c r="K30" s="13">
        <f>'FS Desroches Daily'!P32</f>
        <v>19</v>
      </c>
      <c r="L30" s="31">
        <f>'FS Desroches Daily'!R32</f>
        <v>3</v>
      </c>
      <c r="M30" s="31">
        <f>'FS Desroches Daily'!T32</f>
        <v>900.00000000009095</v>
      </c>
      <c r="N30" s="31">
        <f>'FS Desroches Daily'!V32</f>
        <v>328.59999999997672</v>
      </c>
      <c r="O30" s="31">
        <f>'FS Desroches Daily'!X32</f>
        <v>220.00000000002728</v>
      </c>
      <c r="P30" s="31">
        <f>'FS Desroches Daily'!Z32</f>
        <v>2499.9999999995025</v>
      </c>
      <c r="Q30" s="31">
        <f>'FS Desroches Daily'!AB32</f>
        <v>190.00000000005457</v>
      </c>
      <c r="R30" s="31">
        <f>'FS Desroches Daily'!AD32</f>
        <v>230.00000000001819</v>
      </c>
      <c r="S30" s="31">
        <f>'FS Desroches Daily'!AF32</f>
        <v>500</v>
      </c>
      <c r="T30" s="31">
        <f>'FS Desroches Daily'!AH32</f>
        <v>28</v>
      </c>
      <c r="U30" s="35">
        <f>'FS Desroches Daily'!AJ32</f>
        <v>399.99999999995595</v>
      </c>
      <c r="V30" s="35">
        <f>'FS Desroches Daily'!AL32</f>
        <v>119.9999999999477</v>
      </c>
      <c r="W30" s="35">
        <f>'FS Desroches Daily'!AN32</f>
        <v>100.00000000002274</v>
      </c>
      <c r="X30" s="35">
        <f>'FS Desroches Daily'!AP32</f>
        <v>80.000000000040927</v>
      </c>
      <c r="Y30" s="35">
        <f>'FS Desroches Daily'!AR32</f>
        <v>129.99999999999545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69.999999999993179</v>
      </c>
      <c r="AC30" s="35">
        <f>'FS Desroches Daily'!AZ32</f>
        <v>99.999999999965894</v>
      </c>
      <c r="AD30" s="35">
        <f>'FS Desroches Daily'!BB32</f>
        <v>79.999999999984084</v>
      </c>
      <c r="AE30" s="35">
        <f>'FS Desroches Daily'!BD32</f>
        <v>50.000000000011369</v>
      </c>
      <c r="AF30" s="31" t="str">
        <f>'FS Desroches Daily'!BF32</f>
        <v/>
      </c>
      <c r="AG30" s="32">
        <f>'FS Desroches Daily'!BH32</f>
        <v>39.99999999996362</v>
      </c>
      <c r="AH30" s="32">
        <f>'FS Desroches Daily'!BJ32</f>
        <v>39.99999999996362</v>
      </c>
      <c r="AI30" s="32">
        <f>'FS Desroches Daily'!BL32</f>
        <v>50.000000000011369</v>
      </c>
      <c r="AJ30" s="32">
        <f>'FS Desroches Daily'!BN32</f>
        <v>39.999999999992042</v>
      </c>
      <c r="AK30" s="32">
        <f>'FS Desroches Daily'!BP32</f>
        <v>29.999999999972715</v>
      </c>
      <c r="AL30" s="32">
        <f>'FS Desroches Daily'!BR32</f>
        <v>35</v>
      </c>
      <c r="AM30" s="32">
        <f>'FS Desroches Daily'!BT32</f>
        <v>30.000000000001137</v>
      </c>
      <c r="AN30" s="32">
        <f>'FS Desroches Daily'!BV32</f>
        <v>34</v>
      </c>
      <c r="AO30" s="32">
        <f>'FS Desroches Daily'!BX32</f>
        <v>39.999999999992042</v>
      </c>
      <c r="AP30" s="32">
        <f>'FS Desroches Daily'!BZ32</f>
        <v>48</v>
      </c>
      <c r="AQ30" s="31">
        <f>'FS Desroches Daily'!CB32</f>
        <v>88.69999999999709</v>
      </c>
      <c r="AR30" s="31">
        <f>'FS Desroches Daily'!CD32</f>
        <v>7.4000000000014552</v>
      </c>
      <c r="AS30" s="31" t="str">
        <f>'FS Desroches Daily'!CF32</f>
        <v/>
      </c>
      <c r="AT30" s="31">
        <f>'FS Desroches Daily'!CH32</f>
        <v>32.30000000000291</v>
      </c>
      <c r="AU30" s="31">
        <f>'FS Desroches Daily'!CJ32</f>
        <v>321</v>
      </c>
      <c r="AV30" s="31">
        <f>'FS Desroches Daily'!CL32</f>
        <v>900.00000000009095</v>
      </c>
      <c r="AW30" s="31">
        <f>'FS Desroches Daily'!CM32</f>
        <v>98.099999999998545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10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1099.9999999996569</v>
      </c>
      <c r="F31" s="32">
        <f>'FS Desroches Daily'!F33</f>
        <v>2600.0000000001578</v>
      </c>
      <c r="G31" s="31">
        <f>'FS Desroches Daily'!H33</f>
        <v>2799.9999999996917</v>
      </c>
      <c r="H31" s="32">
        <f>'FS Desroches Daily'!J33</f>
        <v>1399.9999999998458</v>
      </c>
      <c r="I31" s="31">
        <f>'FS Desroches Daily'!L33</f>
        <v>2000.0000000002237</v>
      </c>
      <c r="J31" s="32">
        <f>'FS Desroches Daily'!N33</f>
        <v>1100.000000000101</v>
      </c>
      <c r="K31" s="13">
        <f>'FS Desroches Daily'!P33</f>
        <v>17</v>
      </c>
      <c r="L31" s="31">
        <f>'FS Desroches Daily'!R33</f>
        <v>3</v>
      </c>
      <c r="M31" s="31">
        <f>'FS Desroches Daily'!T33</f>
        <v>899.99999999986358</v>
      </c>
      <c r="N31" s="31">
        <f>'FS Desroches Daily'!V33</f>
        <v>285.90000000002328</v>
      </c>
      <c r="O31" s="31">
        <f>'FS Desroches Daily'!X33</f>
        <v>209.99999999992269</v>
      </c>
      <c r="P31" s="31">
        <f>'FS Desroches Daily'!Z33</f>
        <v>2299.9999999999686</v>
      </c>
      <c r="Q31" s="31">
        <f>'FS Desroches Daily'!AB33</f>
        <v>360.00000000001364</v>
      </c>
      <c r="R31" s="31">
        <f>'FS Desroches Daily'!AD33</f>
        <v>220.00000000002728</v>
      </c>
      <c r="S31" s="31">
        <f>'FS Desroches Daily'!AF33</f>
        <v>409.99999999996817</v>
      </c>
      <c r="T31" s="31">
        <f>'FS Desroches Daily'!AH33</f>
        <v>28</v>
      </c>
      <c r="U31" s="35">
        <f>'FS Desroches Daily'!AJ33</f>
        <v>399.99999999995595</v>
      </c>
      <c r="V31" s="35">
        <f>'FS Desroches Daily'!AL33</f>
        <v>70.000000000050022</v>
      </c>
      <c r="W31" s="35">
        <f>'FS Desroches Daily'!AN33</f>
        <v>89.999999999974989</v>
      </c>
      <c r="X31" s="35">
        <f>'FS Desroches Daily'!AP33</f>
        <v>60.000000000002274</v>
      </c>
      <c r="Y31" s="35">
        <f>'FS Desroches Daily'!AR33</f>
        <v>69.999999999993179</v>
      </c>
      <c r="Z31" s="35">
        <f>'FS Desroches Daily'!AT33</f>
        <v>60.000000000002274</v>
      </c>
      <c r="AA31" s="35">
        <f>'FS Desroches Daily'!AT33</f>
        <v>60.000000000002274</v>
      </c>
      <c r="AB31" s="35">
        <f>'FS Desroches Daily'!AV33</f>
        <v>50.000000000011369</v>
      </c>
      <c r="AC31" s="35">
        <f>'FS Desroches Daily'!AZ33</f>
        <v>50.000000000011369</v>
      </c>
      <c r="AD31" s="35">
        <f>'FS Desroches Daily'!BB33</f>
        <v>60.000000000002274</v>
      </c>
      <c r="AE31" s="35">
        <f>'FS Desroches Daily'!BD33</f>
        <v>40.000000000020464</v>
      </c>
      <c r="AF31" s="31">
        <f>'FS Desroches Daily'!BF33</f>
        <v>0</v>
      </c>
      <c r="AG31" s="32">
        <f>'FS Desroches Daily'!BH33</f>
        <v>30.000000000029559</v>
      </c>
      <c r="AH31" s="32">
        <f>'FS Desroches Daily'!BJ33</f>
        <v>30.000000000029559</v>
      </c>
      <c r="AI31" s="32">
        <f>'FS Desroches Daily'!BL33</f>
        <v>49.999999999954525</v>
      </c>
      <c r="AJ31" s="32">
        <f>'FS Desroches Daily'!BN33</f>
        <v>30.000000000001137</v>
      </c>
      <c r="AK31" s="32">
        <f>'FS Desroches Daily'!BP33</f>
        <v>20.000000000038654</v>
      </c>
      <c r="AL31" s="32">
        <f>'FS Desroches Daily'!BR33</f>
        <v>39</v>
      </c>
      <c r="AM31" s="32">
        <f>'FS Desroches Daily'!BT33</f>
        <v>39.999999999992042</v>
      </c>
      <c r="AN31" s="32">
        <f>'FS Desroches Daily'!BV33</f>
        <v>30</v>
      </c>
      <c r="AO31" s="32">
        <f>'FS Desroches Daily'!BX33</f>
        <v>40.000000000020464</v>
      </c>
      <c r="AP31" s="32">
        <f>'FS Desroches Daily'!BZ33</f>
        <v>49</v>
      </c>
      <c r="AQ31" s="31">
        <f>'FS Desroches Daily'!CB33</f>
        <v>80.30000000000291</v>
      </c>
      <c r="AR31" s="31">
        <f>'FS Desroches Daily'!CD33</f>
        <v>5.5999999999985448</v>
      </c>
      <c r="AS31" s="31">
        <f>'FS Desroches Daily'!CF33</f>
        <v>0</v>
      </c>
      <c r="AT31" s="31">
        <f>'FS Desroches Daily'!CH33</f>
        <v>45</v>
      </c>
      <c r="AU31" s="31">
        <f>'FS Desroches Daily'!CJ33</f>
        <v>303</v>
      </c>
      <c r="AV31" s="31">
        <f>'FS Desroches Daily'!CL33</f>
        <v>799.99999999995453</v>
      </c>
      <c r="AW31" s="31">
        <f>'FS Desroches Daily'!CM33</f>
        <v>81.400000000001455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10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e">
        <f>'FS Desroches Daily'!T34</f>
        <v>#VALUE!</v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>
        <f>'FS Desroches Daily'!BF34</f>
        <v>0</v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>
        <f>'FS Desroches Daily'!CF34</f>
        <v>0</v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88099.999999999854</v>
      </c>
      <c r="F33" s="17">
        <f t="shared" ref="F33:BC33" si="0">SUM(F2:F32)</f>
        <v>98500.000000000524</v>
      </c>
      <c r="G33" s="17">
        <f t="shared" si="0"/>
        <v>113200.00000000003</v>
      </c>
      <c r="H33" s="17">
        <f t="shared" si="0"/>
        <v>49999.999999999847</v>
      </c>
      <c r="I33" s="17">
        <f t="shared" si="0"/>
        <v>73900.000000000087</v>
      </c>
      <c r="J33" s="17">
        <f t="shared" si="0"/>
        <v>50000.000000000298</v>
      </c>
      <c r="K33" s="17">
        <f t="shared" si="0"/>
        <v>964</v>
      </c>
      <c r="L33" s="17">
        <f t="shared" si="0"/>
        <v>143</v>
      </c>
      <c r="M33" s="17" t="e">
        <f t="shared" si="0"/>
        <v>#VALUE!</v>
      </c>
      <c r="N33" s="17">
        <f t="shared" si="0"/>
        <v>14073.099999999977</v>
      </c>
      <c r="O33" s="17">
        <f t="shared" si="0"/>
        <v>10309.999999999945</v>
      </c>
      <c r="P33" s="17">
        <f t="shared" si="0"/>
        <v>87699.999999999927</v>
      </c>
      <c r="Q33" s="17">
        <f t="shared" si="0"/>
        <v>9710.0000000000364</v>
      </c>
      <c r="R33" s="17">
        <f t="shared" si="0"/>
        <v>11450.000000000045</v>
      </c>
      <c r="S33" s="17">
        <f t="shared" si="0"/>
        <v>25419.999999999956</v>
      </c>
      <c r="T33" s="17">
        <f t="shared" si="0"/>
        <v>1302</v>
      </c>
      <c r="U33" s="35">
        <f t="shared" si="0"/>
        <v>24000.000000000029</v>
      </c>
      <c r="V33" s="35">
        <f t="shared" si="0"/>
        <v>6720.00000000003</v>
      </c>
      <c r="W33" s="35">
        <f t="shared" si="0"/>
        <v>4779.9999999999727</v>
      </c>
      <c r="X33" s="35">
        <f t="shared" si="0"/>
        <v>6760.0000000000509</v>
      </c>
      <c r="Y33" s="35">
        <f t="shared" si="0"/>
        <v>5839.9999999999745</v>
      </c>
      <c r="Z33" s="35">
        <f t="shared" si="0"/>
        <v>7805.5199999999604</v>
      </c>
      <c r="AA33" s="35">
        <f t="shared" si="0"/>
        <v>7805.5199999999604</v>
      </c>
      <c r="AB33" s="35">
        <f t="shared" si="0"/>
        <v>4919.99999999996</v>
      </c>
      <c r="AC33" s="35">
        <f t="shared" si="0"/>
        <v>4969.9999999999691</v>
      </c>
      <c r="AD33" s="35">
        <f t="shared" si="0"/>
        <v>4780.0000000000291</v>
      </c>
      <c r="AE33" s="35">
        <f t="shared" si="0"/>
        <v>3530.0000000000296</v>
      </c>
      <c r="AF33" s="17">
        <f t="shared" si="0"/>
        <v>1337</v>
      </c>
      <c r="AG33" s="32">
        <f t="shared" si="0"/>
        <v>1240.0000000000091</v>
      </c>
      <c r="AH33" s="32">
        <f t="shared" si="0"/>
        <v>1269.9999999999818</v>
      </c>
      <c r="AI33" s="32">
        <f t="shared" si="0"/>
        <v>1909.9999999999682</v>
      </c>
      <c r="AJ33" s="32">
        <f t="shared" si="0"/>
        <v>1319.9999999999932</v>
      </c>
      <c r="AK33" s="32">
        <f t="shared" si="0"/>
        <v>1110.0000000000136</v>
      </c>
      <c r="AL33" s="32">
        <f t="shared" si="0"/>
        <v>1350</v>
      </c>
      <c r="AM33" s="32">
        <f t="shared" si="0"/>
        <v>1389.9999999999864</v>
      </c>
      <c r="AN33" s="32">
        <f t="shared" si="0"/>
        <v>1280</v>
      </c>
      <c r="AO33" s="32">
        <f t="shared" si="0"/>
        <v>1370.0000000000045</v>
      </c>
      <c r="AP33" s="32">
        <f t="shared" si="0"/>
        <v>1600</v>
      </c>
      <c r="AQ33" s="17">
        <f t="shared" si="0"/>
        <v>2482.5</v>
      </c>
      <c r="AR33" s="17">
        <f t="shared" si="0"/>
        <v>398.5</v>
      </c>
      <c r="AS33" s="17">
        <f t="shared" si="0"/>
        <v>88.099999999998545</v>
      </c>
      <c r="AT33" s="17">
        <f t="shared" si="0"/>
        <v>1625.8000000000029</v>
      </c>
      <c r="AU33" s="17">
        <f t="shared" si="0"/>
        <v>9750</v>
      </c>
      <c r="AV33" s="17">
        <f t="shared" si="0"/>
        <v>30899.999999999862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157.50899999999999</v>
      </c>
      <c r="BC33" s="17">
        <f t="shared" si="0"/>
        <v>787</v>
      </c>
    </row>
    <row r="35" spans="5:55" x14ac:dyDescent="0.25">
      <c r="E35" s="38">
        <f>E33/E37</f>
        <v>0.22535542720328988</v>
      </c>
      <c r="G35" s="29" t="e">
        <f>G33-M36</f>
        <v>#VALUE!</v>
      </c>
      <c r="AE35" s="35">
        <f>SUM(U33:AE33)</f>
        <v>81911.039999999964</v>
      </c>
      <c r="AG35" s="32">
        <f>SUM(AG33:AP33)</f>
        <v>13839.999999999956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390938.00000000052</v>
      </c>
      <c r="G37" s="37" t="e">
        <f>M36/E37</f>
        <v>#VALUE!</v>
      </c>
      <c r="M37" s="35">
        <f>AE35</f>
        <v>81911.039999999964</v>
      </c>
    </row>
    <row r="38" spans="5:55" x14ac:dyDescent="0.25">
      <c r="L38" s="27">
        <f>M38/E37</f>
        <v>3.5402033058950365E-2</v>
      </c>
      <c r="M38" s="29">
        <f>AG35</f>
        <v>13839.999999999956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A1" zoomScale="82" zoomScaleNormal="82" workbookViewId="0">
      <pane ySplit="1" topLeftCell="A13" activePane="bottomLeft" state="frozen"/>
      <selection pane="bottomLeft" activeCell="Q37" sqref="Q3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>
        <v>61206</v>
      </c>
      <c r="BF29" s="67">
        <f t="shared" si="27"/>
        <v>54</v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>
        <v>9058</v>
      </c>
      <c r="CF29" s="67">
        <f t="shared" si="40"/>
        <v>3</v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>
        <v>3.8693</v>
      </c>
      <c r="D30" s="64">
        <f t="shared" si="0"/>
        <v>2499.9999999999468</v>
      </c>
      <c r="E30" s="58">
        <v>5.1231</v>
      </c>
      <c r="F30" s="64">
        <f t="shared" si="1"/>
        <v>3199.9999999996476</v>
      </c>
      <c r="G30" s="58">
        <v>5.1497000000000002</v>
      </c>
      <c r="H30" s="64">
        <f t="shared" si="2"/>
        <v>3499.9999999998367</v>
      </c>
      <c r="I30" s="58">
        <v>2.5415999999999999</v>
      </c>
      <c r="J30" s="64">
        <f t="shared" si="3"/>
        <v>1700.0000000000348</v>
      </c>
      <c r="K30" s="58">
        <v>3.9024999999999999</v>
      </c>
      <c r="L30" s="64">
        <f t="shared" si="48"/>
        <v>2099.9999999999909</v>
      </c>
      <c r="M30" s="58">
        <v>2.3611</v>
      </c>
      <c r="N30" s="64">
        <f t="shared" si="49"/>
        <v>1900.0000000000127</v>
      </c>
      <c r="O30" s="58">
        <v>28550</v>
      </c>
      <c r="P30" s="67">
        <f t="shared" si="6"/>
        <v>161</v>
      </c>
      <c r="Q30" s="58">
        <v>3561</v>
      </c>
      <c r="R30" s="67">
        <f t="shared" si="7"/>
        <v>11</v>
      </c>
      <c r="S30" s="58">
        <v>1672.2</v>
      </c>
      <c r="T30" s="67">
        <f t="shared" si="8"/>
        <v>900.00000000009095</v>
      </c>
      <c r="U30" s="58">
        <v>659803</v>
      </c>
      <c r="V30" s="67">
        <f t="shared" si="9"/>
        <v>368</v>
      </c>
      <c r="W30" s="58">
        <v>594.47</v>
      </c>
      <c r="X30" s="65">
        <f t="shared" si="10"/>
        <v>360.00000000001364</v>
      </c>
      <c r="Y30" s="58">
        <v>4.5195999999999996</v>
      </c>
      <c r="Z30" s="65">
        <f t="shared" si="11"/>
        <v>2599.9999999992697</v>
      </c>
      <c r="AA30" s="58">
        <v>601.52</v>
      </c>
      <c r="AB30" s="65">
        <f t="shared" si="12"/>
        <v>429.99999999994998</v>
      </c>
      <c r="AC30" s="58">
        <v>606.41999999999996</v>
      </c>
      <c r="AD30" s="65">
        <f t="shared" si="13"/>
        <v>389.99999999998636</v>
      </c>
      <c r="AE30" s="58">
        <v>969.05</v>
      </c>
      <c r="AF30" s="65">
        <f t="shared" si="14"/>
        <v>969.9999999999136</v>
      </c>
      <c r="AG30" s="58">
        <v>26826</v>
      </c>
      <c r="AH30" s="67">
        <f t="shared" si="15"/>
        <v>42</v>
      </c>
      <c r="AI30" s="58">
        <v>1.0333000000000001</v>
      </c>
      <c r="AJ30" s="65">
        <f t="shared" si="16"/>
        <v>700.00000000014495</v>
      </c>
      <c r="AK30" s="58">
        <v>341.74</v>
      </c>
      <c r="AL30" s="65">
        <f t="shared" si="17"/>
        <v>210.00000000003638</v>
      </c>
      <c r="AM30" s="58">
        <v>312.27999999999997</v>
      </c>
      <c r="AN30" s="65">
        <f t="shared" si="18"/>
        <v>159.99999999996817</v>
      </c>
      <c r="AO30" s="58">
        <v>303.82</v>
      </c>
      <c r="AP30" s="65">
        <f t="shared" si="19"/>
        <v>170.00000000001592</v>
      </c>
      <c r="AQ30" s="58">
        <v>356.35</v>
      </c>
      <c r="AR30" s="65">
        <f t="shared" si="20"/>
        <v>140.0000000000432</v>
      </c>
      <c r="AS30" s="58">
        <v>482.65</v>
      </c>
      <c r="AT30" s="65">
        <f t="shared" si="21"/>
        <v>159.99999999996817</v>
      </c>
      <c r="AU30" s="58">
        <v>386.82</v>
      </c>
      <c r="AV30" s="65">
        <f t="shared" si="22"/>
        <v>120.00000000000455</v>
      </c>
      <c r="AW30" s="58">
        <v>413.91</v>
      </c>
      <c r="AX30" s="65">
        <f t="shared" si="23"/>
        <v>150.00000000003411</v>
      </c>
      <c r="AY30" s="58">
        <v>448.95</v>
      </c>
      <c r="AZ30" s="65">
        <f t="shared" si="24"/>
        <v>149.99999999997726</v>
      </c>
      <c r="BA30" s="58">
        <v>466.66</v>
      </c>
      <c r="BB30" s="65">
        <f t="shared" si="25"/>
        <v>150.00000000003411</v>
      </c>
      <c r="BC30" s="58">
        <v>299.19</v>
      </c>
      <c r="BD30" s="65">
        <f t="shared" si="26"/>
        <v>89.999999999974989</v>
      </c>
      <c r="BE30" s="59">
        <v>61258</v>
      </c>
      <c r="BF30" s="67">
        <f t="shared" si="27"/>
        <v>52</v>
      </c>
      <c r="BG30" s="60">
        <v>257.81</v>
      </c>
      <c r="BH30" s="65">
        <f t="shared" si="28"/>
        <v>50.000000000011369</v>
      </c>
      <c r="BI30" s="60">
        <v>311.94</v>
      </c>
      <c r="BJ30" s="65">
        <f t="shared" si="29"/>
        <v>40.000000000020464</v>
      </c>
      <c r="BK30" s="60">
        <v>264.35000000000002</v>
      </c>
      <c r="BL30" s="65">
        <f t="shared" si="30"/>
        <v>70.000000000050022</v>
      </c>
      <c r="BM30" s="60">
        <v>247.78</v>
      </c>
      <c r="BN30" s="65">
        <f t="shared" si="31"/>
        <v>39.999999999992042</v>
      </c>
      <c r="BO30" s="60">
        <v>316.2</v>
      </c>
      <c r="BP30" s="65">
        <f t="shared" si="32"/>
        <v>50.000000000011369</v>
      </c>
      <c r="BQ30" s="60">
        <v>66154</v>
      </c>
      <c r="BR30" s="65">
        <f t="shared" si="33"/>
        <v>48</v>
      </c>
      <c r="BS30" s="60">
        <v>225.94</v>
      </c>
      <c r="BT30" s="65">
        <f t="shared" si="34"/>
        <v>50.000000000011369</v>
      </c>
      <c r="BU30" s="60">
        <v>63575</v>
      </c>
      <c r="BV30" s="65">
        <f t="shared" si="35"/>
        <v>42</v>
      </c>
      <c r="BW30" s="60">
        <v>254.04</v>
      </c>
      <c r="BX30" s="65">
        <f t="shared" si="36"/>
        <v>60.000000000002274</v>
      </c>
      <c r="BY30" s="60">
        <v>85334</v>
      </c>
      <c r="BZ30" s="67">
        <f t="shared" si="37"/>
        <v>55</v>
      </c>
      <c r="CA30" s="60">
        <v>62703.5</v>
      </c>
      <c r="CB30" s="67">
        <f t="shared" si="38"/>
        <v>71.5</v>
      </c>
      <c r="CC30" s="60">
        <v>18778.599999999999</v>
      </c>
      <c r="CD30" s="67">
        <f t="shared" si="39"/>
        <v>7.3999999999978172</v>
      </c>
      <c r="CE30" s="60">
        <v>9059.9</v>
      </c>
      <c r="CF30" s="67">
        <f t="shared" si="40"/>
        <v>1.8999999999996362</v>
      </c>
      <c r="CG30" s="60">
        <v>86628.2</v>
      </c>
      <c r="CH30" s="67">
        <f t="shared" si="41"/>
        <v>54.19999999999709</v>
      </c>
      <c r="CI30" s="60">
        <v>1122709</v>
      </c>
      <c r="CJ30" s="67">
        <f t="shared" si="42"/>
        <v>333</v>
      </c>
      <c r="CK30" s="60">
        <v>1225.5</v>
      </c>
      <c r="CL30" s="64">
        <f t="shared" si="43"/>
        <v>1299.9999999999545</v>
      </c>
      <c r="CM30" s="65">
        <f t="shared" si="50"/>
        <v>99.200000000000728</v>
      </c>
      <c r="CN30" s="62">
        <v>9</v>
      </c>
      <c r="CO30" s="62">
        <v>16</v>
      </c>
      <c r="CP30" s="68">
        <v>53341</v>
      </c>
      <c r="CQ30" s="67">
        <f t="shared" si="51"/>
        <v>81</v>
      </c>
      <c r="CR30" s="68">
        <v>27843.200000000001</v>
      </c>
      <c r="CS30" s="67">
        <f t="shared" si="44"/>
        <v>18.200000000000728</v>
      </c>
      <c r="CT30" s="75">
        <v>13126</v>
      </c>
      <c r="CU30" s="67">
        <f t="shared" si="45"/>
        <v>13</v>
      </c>
      <c r="CV30" s="68">
        <v>31861</v>
      </c>
      <c r="CW30" s="67">
        <f t="shared" si="46"/>
        <v>45</v>
      </c>
      <c r="CX30" s="58">
        <v>5888.9</v>
      </c>
      <c r="CY30" s="67">
        <f t="shared" si="47"/>
        <v>12.199999999999818</v>
      </c>
    </row>
    <row r="31" spans="1:103" ht="25.5" customHeight="1" thickBot="1" x14ac:dyDescent="0.45">
      <c r="A31" s="63">
        <v>44954</v>
      </c>
      <c r="B31" s="66"/>
      <c r="C31" s="58">
        <v>3.8719999999999999</v>
      </c>
      <c r="D31" s="64">
        <f t="shared" si="0"/>
        <v>2699.9999999999245</v>
      </c>
      <c r="E31" s="58">
        <v>5.1262999999999996</v>
      </c>
      <c r="F31" s="64">
        <f t="shared" si="1"/>
        <v>3199.9999999996476</v>
      </c>
      <c r="G31" s="58">
        <v>5.1528</v>
      </c>
      <c r="H31" s="64">
        <f t="shared" si="2"/>
        <v>3099.9999999998809</v>
      </c>
      <c r="I31" s="58">
        <v>2.5434000000000001</v>
      </c>
      <c r="J31" s="64">
        <f t="shared" si="3"/>
        <v>1800.0000000002458</v>
      </c>
      <c r="K31" s="58">
        <v>3.9047999999999998</v>
      </c>
      <c r="L31" s="64">
        <f t="shared" si="48"/>
        <v>2299.9999999999686</v>
      </c>
      <c r="M31" s="58">
        <v>2.3628</v>
      </c>
      <c r="N31" s="64">
        <f t="shared" si="49"/>
        <v>1700.0000000000348</v>
      </c>
      <c r="O31" s="58">
        <v>28591</v>
      </c>
      <c r="P31" s="67">
        <f t="shared" si="6"/>
        <v>41</v>
      </c>
      <c r="Q31" s="58">
        <v>3567</v>
      </c>
      <c r="R31" s="67">
        <f t="shared" si="7"/>
        <v>6</v>
      </c>
      <c r="S31" s="58">
        <v>1673</v>
      </c>
      <c r="T31" s="67">
        <f t="shared" si="8"/>
        <v>799.99999999995453</v>
      </c>
      <c r="U31" s="58">
        <v>660156.4</v>
      </c>
      <c r="V31" s="67">
        <f t="shared" si="9"/>
        <v>353.40000000002328</v>
      </c>
      <c r="W31" s="58">
        <v>594.88</v>
      </c>
      <c r="X31" s="65">
        <f t="shared" si="10"/>
        <v>409.99999999996817</v>
      </c>
      <c r="Y31" s="58">
        <v>4.5224000000000002</v>
      </c>
      <c r="Z31" s="65">
        <f t="shared" si="11"/>
        <v>2800.0000000005798</v>
      </c>
      <c r="AA31" s="58">
        <v>601.79</v>
      </c>
      <c r="AB31" s="65">
        <f t="shared" si="12"/>
        <v>269.99999999998181</v>
      </c>
      <c r="AC31" s="58">
        <v>606.76</v>
      </c>
      <c r="AD31" s="65">
        <f t="shared" si="13"/>
        <v>340.00000000003183</v>
      </c>
      <c r="AE31" s="58">
        <v>969.97</v>
      </c>
      <c r="AF31" s="65">
        <f t="shared" si="14"/>
        <v>920.00000000007276</v>
      </c>
      <c r="AG31" s="58">
        <v>26864</v>
      </c>
      <c r="AH31" s="67">
        <f t="shared" si="15"/>
        <v>38</v>
      </c>
      <c r="AI31" s="58">
        <v>1.034</v>
      </c>
      <c r="AJ31" s="65">
        <f t="shared" si="16"/>
        <v>699.99999999992292</v>
      </c>
      <c r="AK31" s="58">
        <v>341.97</v>
      </c>
      <c r="AL31" s="65">
        <f t="shared" si="17"/>
        <v>230.00000000001819</v>
      </c>
      <c r="AM31" s="58">
        <v>312.45</v>
      </c>
      <c r="AN31" s="65">
        <f t="shared" si="18"/>
        <v>170.00000000001592</v>
      </c>
      <c r="AO31" s="58">
        <v>304.02</v>
      </c>
      <c r="AP31" s="65">
        <f t="shared" si="19"/>
        <v>199.99999999998863</v>
      </c>
      <c r="AQ31" s="58">
        <v>356.57</v>
      </c>
      <c r="AR31" s="65">
        <f t="shared" si="20"/>
        <v>219.99999999997044</v>
      </c>
      <c r="AS31" s="58">
        <v>482.86</v>
      </c>
      <c r="AT31" s="65">
        <f t="shared" si="21"/>
        <v>210.00000000003638</v>
      </c>
      <c r="AU31" s="58">
        <v>386.96</v>
      </c>
      <c r="AV31" s="65">
        <f t="shared" si="22"/>
        <v>139.99999999998636</v>
      </c>
      <c r="AW31" s="58">
        <v>414.08</v>
      </c>
      <c r="AX31" s="65">
        <f t="shared" si="23"/>
        <v>169.99999999995907</v>
      </c>
      <c r="AY31" s="58">
        <v>449.11</v>
      </c>
      <c r="AZ31" s="65">
        <f t="shared" si="24"/>
        <v>160.00000000002501</v>
      </c>
      <c r="BA31" s="58">
        <v>466.79</v>
      </c>
      <c r="BB31" s="65">
        <f t="shared" si="25"/>
        <v>129.99999999999545</v>
      </c>
      <c r="BC31" s="58">
        <v>299.27</v>
      </c>
      <c r="BD31" s="65">
        <f t="shared" si="26"/>
        <v>79.999999999984084</v>
      </c>
      <c r="BE31" s="59">
        <v>61298</v>
      </c>
      <c r="BF31" s="67">
        <f t="shared" si="27"/>
        <v>40</v>
      </c>
      <c r="BG31" s="60">
        <v>257.86</v>
      </c>
      <c r="BH31" s="65">
        <f t="shared" si="28"/>
        <v>50.000000000011369</v>
      </c>
      <c r="BI31" s="60">
        <v>311.99</v>
      </c>
      <c r="BJ31" s="65">
        <f t="shared" si="29"/>
        <v>50.000000000011369</v>
      </c>
      <c r="BK31" s="60">
        <v>264.42</v>
      </c>
      <c r="BL31" s="65">
        <f t="shared" si="30"/>
        <v>69.999999999993179</v>
      </c>
      <c r="BM31" s="60">
        <v>247.83</v>
      </c>
      <c r="BN31" s="65">
        <f t="shared" si="31"/>
        <v>50.000000000011369</v>
      </c>
      <c r="BO31" s="60">
        <v>316.24</v>
      </c>
      <c r="BP31" s="65">
        <f t="shared" si="32"/>
        <v>40.000000000020464</v>
      </c>
      <c r="BQ31" s="60">
        <v>66205</v>
      </c>
      <c r="BR31" s="65">
        <f t="shared" si="33"/>
        <v>51</v>
      </c>
      <c r="BS31" s="60">
        <v>226</v>
      </c>
      <c r="BT31" s="65">
        <f t="shared" si="34"/>
        <v>60.000000000002274</v>
      </c>
      <c r="BU31" s="60">
        <v>63618</v>
      </c>
      <c r="BV31" s="65">
        <f t="shared" si="35"/>
        <v>43</v>
      </c>
      <c r="BW31" s="60">
        <v>254.1</v>
      </c>
      <c r="BX31" s="65">
        <f t="shared" si="36"/>
        <v>60.000000000002274</v>
      </c>
      <c r="BY31" s="60">
        <v>85392</v>
      </c>
      <c r="BZ31" s="67">
        <f t="shared" si="37"/>
        <v>58</v>
      </c>
      <c r="CA31" s="60">
        <v>62790.400000000001</v>
      </c>
      <c r="CB31" s="67">
        <f t="shared" si="38"/>
        <v>86.900000000001455</v>
      </c>
      <c r="CC31" s="60">
        <v>18786.099999999999</v>
      </c>
      <c r="CD31" s="67">
        <f t="shared" si="39"/>
        <v>7.5</v>
      </c>
      <c r="CE31" s="60">
        <v>9067.7999999999993</v>
      </c>
      <c r="CF31" s="67">
        <f t="shared" si="40"/>
        <v>7.8999999999996362</v>
      </c>
      <c r="CG31" s="60">
        <v>86665.7</v>
      </c>
      <c r="CH31" s="67">
        <f t="shared" si="41"/>
        <v>37.5</v>
      </c>
      <c r="CI31" s="60">
        <v>1123044</v>
      </c>
      <c r="CJ31" s="67">
        <f t="shared" si="42"/>
        <v>335</v>
      </c>
      <c r="CK31" s="60">
        <v>1226.0999999999999</v>
      </c>
      <c r="CL31" s="64">
        <f t="shared" si="43"/>
        <v>599.99999999990905</v>
      </c>
      <c r="CM31" s="65">
        <f t="shared" si="50"/>
        <v>99.299999999999272</v>
      </c>
      <c r="CN31" s="62">
        <v>10</v>
      </c>
      <c r="CO31" s="62">
        <v>19</v>
      </c>
      <c r="CP31" s="68">
        <v>53425</v>
      </c>
      <c r="CQ31" s="67">
        <f t="shared" si="51"/>
        <v>84</v>
      </c>
      <c r="CR31" s="68">
        <v>27858.5</v>
      </c>
      <c r="CS31" s="67">
        <f t="shared" si="44"/>
        <v>15.299999999999272</v>
      </c>
      <c r="CT31" s="75">
        <v>13142</v>
      </c>
      <c r="CU31" s="67">
        <f t="shared" si="45"/>
        <v>16</v>
      </c>
      <c r="CV31" s="68">
        <v>31909</v>
      </c>
      <c r="CW31" s="67">
        <f t="shared" si="46"/>
        <v>48</v>
      </c>
      <c r="CX31" s="58">
        <v>5901.7</v>
      </c>
      <c r="CY31" s="67">
        <f t="shared" si="47"/>
        <v>12.800000000000182</v>
      </c>
    </row>
    <row r="32" spans="1:103" ht="25.5" customHeight="1" thickBot="1" x14ac:dyDescent="0.45">
      <c r="A32" s="63">
        <v>44955</v>
      </c>
      <c r="B32" s="68"/>
      <c r="C32" s="58">
        <v>3.8738000000000001</v>
      </c>
      <c r="D32" s="64">
        <f t="shared" si="0"/>
        <v>1800.0000000002458</v>
      </c>
      <c r="E32" s="58">
        <v>5.1291000000000002</v>
      </c>
      <c r="F32" s="64">
        <f t="shared" si="1"/>
        <v>2800.0000000005798</v>
      </c>
      <c r="G32" s="58">
        <v>5.1557000000000004</v>
      </c>
      <c r="H32" s="64">
        <f t="shared" si="2"/>
        <v>2900.0000000003465</v>
      </c>
      <c r="I32" s="58">
        <v>2.5448</v>
      </c>
      <c r="J32" s="64">
        <f t="shared" si="3"/>
        <v>1399.9999999998458</v>
      </c>
      <c r="K32" s="58">
        <v>3.9066999999999998</v>
      </c>
      <c r="L32" s="64">
        <f t="shared" si="48"/>
        <v>1900.0000000000127</v>
      </c>
      <c r="M32" s="58">
        <v>2.3639000000000001</v>
      </c>
      <c r="N32" s="64">
        <f t="shared" si="49"/>
        <v>1100.000000000101</v>
      </c>
      <c r="O32" s="58">
        <v>28610</v>
      </c>
      <c r="P32" s="67">
        <f t="shared" si="6"/>
        <v>19</v>
      </c>
      <c r="Q32" s="58">
        <v>3570</v>
      </c>
      <c r="R32" s="67">
        <f t="shared" si="7"/>
        <v>3</v>
      </c>
      <c r="S32" s="58">
        <v>1673.9</v>
      </c>
      <c r="T32" s="67">
        <f t="shared" si="8"/>
        <v>900.00000000009095</v>
      </c>
      <c r="U32" s="58">
        <v>660485</v>
      </c>
      <c r="V32" s="67">
        <f t="shared" si="9"/>
        <v>328.59999999997672</v>
      </c>
      <c r="W32" s="58">
        <v>595.1</v>
      </c>
      <c r="X32" s="65">
        <f t="shared" si="10"/>
        <v>220.00000000002728</v>
      </c>
      <c r="Y32" s="58">
        <v>4.5248999999999997</v>
      </c>
      <c r="Z32" s="65">
        <f t="shared" si="11"/>
        <v>2499.9999999995025</v>
      </c>
      <c r="AA32" s="58">
        <v>601.98</v>
      </c>
      <c r="AB32" s="65">
        <f t="shared" si="12"/>
        <v>190.00000000005457</v>
      </c>
      <c r="AC32" s="58">
        <v>606.99</v>
      </c>
      <c r="AD32" s="65">
        <f t="shared" si="13"/>
        <v>230.00000000001819</v>
      </c>
      <c r="AE32" s="58">
        <v>970.47</v>
      </c>
      <c r="AF32" s="65">
        <f t="shared" si="14"/>
        <v>500</v>
      </c>
      <c r="AG32" s="58">
        <v>26892</v>
      </c>
      <c r="AH32" s="67">
        <f t="shared" si="15"/>
        <v>28</v>
      </c>
      <c r="AI32" s="58">
        <v>1.0344</v>
      </c>
      <c r="AJ32" s="65">
        <f t="shared" si="16"/>
        <v>399.99999999995595</v>
      </c>
      <c r="AK32" s="58">
        <v>342.09</v>
      </c>
      <c r="AL32" s="65">
        <f t="shared" si="17"/>
        <v>119.9999999999477</v>
      </c>
      <c r="AM32" s="58">
        <v>312.55</v>
      </c>
      <c r="AN32" s="65">
        <f t="shared" si="18"/>
        <v>100.00000000002274</v>
      </c>
      <c r="AO32" s="58">
        <v>304.10000000000002</v>
      </c>
      <c r="AP32" s="65">
        <f t="shared" si="19"/>
        <v>80.000000000040927</v>
      </c>
      <c r="AQ32" s="58">
        <v>356.7</v>
      </c>
      <c r="AR32" s="65">
        <f t="shared" si="20"/>
        <v>129.99999999999545</v>
      </c>
      <c r="AS32" s="58">
        <v>483.01</v>
      </c>
      <c r="AT32" s="65">
        <f t="shared" si="21"/>
        <v>149.99999999997726</v>
      </c>
      <c r="AU32" s="58">
        <v>387.03</v>
      </c>
      <c r="AV32" s="65">
        <f t="shared" si="22"/>
        <v>69.999999999993179</v>
      </c>
      <c r="AW32" s="58">
        <v>414.17</v>
      </c>
      <c r="AX32" s="65">
        <f t="shared" si="23"/>
        <v>90.000000000031832</v>
      </c>
      <c r="AY32" s="58">
        <v>449.21</v>
      </c>
      <c r="AZ32" s="65">
        <f t="shared" si="24"/>
        <v>99.999999999965894</v>
      </c>
      <c r="BA32" s="58">
        <v>466.87</v>
      </c>
      <c r="BB32" s="65">
        <f t="shared" si="25"/>
        <v>79.999999999984084</v>
      </c>
      <c r="BC32" s="58">
        <v>299.32</v>
      </c>
      <c r="BD32" s="65">
        <f t="shared" si="26"/>
        <v>50.000000000011369</v>
      </c>
      <c r="BE32" s="59"/>
      <c r="BF32" s="67" t="str">
        <f t="shared" si="27"/>
        <v/>
      </c>
      <c r="BG32" s="60">
        <v>257.89999999999998</v>
      </c>
      <c r="BH32" s="65">
        <f t="shared" si="28"/>
        <v>39.99999999996362</v>
      </c>
      <c r="BI32" s="60">
        <v>312.02999999999997</v>
      </c>
      <c r="BJ32" s="65">
        <f t="shared" si="29"/>
        <v>39.99999999996362</v>
      </c>
      <c r="BK32" s="60">
        <v>264.47000000000003</v>
      </c>
      <c r="BL32" s="65">
        <f t="shared" si="30"/>
        <v>50.000000000011369</v>
      </c>
      <c r="BM32" s="60">
        <v>247.87</v>
      </c>
      <c r="BN32" s="65">
        <f t="shared" si="31"/>
        <v>39.999999999992042</v>
      </c>
      <c r="BO32" s="60">
        <v>316.27</v>
      </c>
      <c r="BP32" s="65">
        <f t="shared" si="32"/>
        <v>29.999999999972715</v>
      </c>
      <c r="BQ32" s="60">
        <v>66240</v>
      </c>
      <c r="BR32" s="65">
        <f t="shared" si="33"/>
        <v>35</v>
      </c>
      <c r="BS32" s="60">
        <v>226.03</v>
      </c>
      <c r="BT32" s="65">
        <f t="shared" si="34"/>
        <v>30.000000000001137</v>
      </c>
      <c r="BU32" s="60">
        <v>63652</v>
      </c>
      <c r="BV32" s="65">
        <f t="shared" si="35"/>
        <v>34</v>
      </c>
      <c r="BW32" s="60">
        <v>254.14</v>
      </c>
      <c r="BX32" s="65">
        <f t="shared" si="36"/>
        <v>39.999999999992042</v>
      </c>
      <c r="BY32" s="60">
        <v>85440</v>
      </c>
      <c r="BZ32" s="67">
        <f t="shared" si="37"/>
        <v>48</v>
      </c>
      <c r="CA32" s="60">
        <v>62879.1</v>
      </c>
      <c r="CB32" s="67">
        <f t="shared" si="38"/>
        <v>88.69999999999709</v>
      </c>
      <c r="CC32" s="60">
        <v>18793.5</v>
      </c>
      <c r="CD32" s="67">
        <f t="shared" si="39"/>
        <v>7.4000000000014552</v>
      </c>
      <c r="CE32" s="60"/>
      <c r="CF32" s="67" t="str">
        <f t="shared" si="40"/>
        <v/>
      </c>
      <c r="CG32" s="60">
        <v>86698</v>
      </c>
      <c r="CH32" s="67">
        <f t="shared" si="41"/>
        <v>32.30000000000291</v>
      </c>
      <c r="CI32" s="60">
        <v>1123365</v>
      </c>
      <c r="CJ32" s="67">
        <f t="shared" si="42"/>
        <v>321</v>
      </c>
      <c r="CK32" s="60">
        <v>1227</v>
      </c>
      <c r="CL32" s="64">
        <f t="shared" si="43"/>
        <v>900.00000000009095</v>
      </c>
      <c r="CM32" s="65">
        <f t="shared" si="50"/>
        <v>98.099999999998545</v>
      </c>
      <c r="CN32" s="62">
        <v>10</v>
      </c>
      <c r="CO32" s="62">
        <v>19</v>
      </c>
      <c r="CP32" s="68">
        <v>53504</v>
      </c>
      <c r="CQ32" s="67">
        <f t="shared" si="51"/>
        <v>79</v>
      </c>
      <c r="CR32" s="68">
        <v>27877.599999999999</v>
      </c>
      <c r="CS32" s="67">
        <f t="shared" si="44"/>
        <v>19.099999999998545</v>
      </c>
      <c r="CT32" s="75">
        <v>13157</v>
      </c>
      <c r="CU32" s="67">
        <f t="shared" si="45"/>
        <v>15</v>
      </c>
      <c r="CV32" s="68">
        <v>31933</v>
      </c>
      <c r="CW32" s="67">
        <f t="shared" si="46"/>
        <v>24</v>
      </c>
      <c r="CX32" s="58">
        <v>5906</v>
      </c>
      <c r="CY32" s="67">
        <f t="shared" si="47"/>
        <v>4.3000000000001819</v>
      </c>
    </row>
    <row r="33" spans="1:103" ht="25.5" customHeight="1" thickBot="1" x14ac:dyDescent="0.45">
      <c r="A33" s="63">
        <v>44956</v>
      </c>
      <c r="B33" s="68"/>
      <c r="C33" s="58">
        <v>3.8748999999999998</v>
      </c>
      <c r="D33" s="64">
        <f t="shared" si="0"/>
        <v>1099.9999999996569</v>
      </c>
      <c r="E33" s="58">
        <v>5.1317000000000004</v>
      </c>
      <c r="F33" s="64">
        <f t="shared" si="1"/>
        <v>2600.0000000001578</v>
      </c>
      <c r="G33" s="58">
        <v>5.1585000000000001</v>
      </c>
      <c r="H33" s="64">
        <f t="shared" si="2"/>
        <v>2799.9999999996917</v>
      </c>
      <c r="I33" s="58">
        <v>2.5461999999999998</v>
      </c>
      <c r="J33" s="64">
        <f t="shared" si="3"/>
        <v>1399.9999999998458</v>
      </c>
      <c r="K33" s="58">
        <v>3.9087000000000001</v>
      </c>
      <c r="L33" s="64">
        <f t="shared" si="48"/>
        <v>2000.0000000002237</v>
      </c>
      <c r="M33" s="58">
        <v>2.3650000000000002</v>
      </c>
      <c r="N33" s="64">
        <f t="shared" si="49"/>
        <v>1100.000000000101</v>
      </c>
      <c r="O33" s="58">
        <v>28627</v>
      </c>
      <c r="P33" s="67">
        <f t="shared" si="6"/>
        <v>17</v>
      </c>
      <c r="Q33" s="58">
        <v>3573</v>
      </c>
      <c r="R33" s="67">
        <f t="shared" si="7"/>
        <v>3</v>
      </c>
      <c r="S33" s="58">
        <v>1674.8</v>
      </c>
      <c r="T33" s="67">
        <f t="shared" si="8"/>
        <v>899.99999999986358</v>
      </c>
      <c r="U33" s="58">
        <v>660770.9</v>
      </c>
      <c r="V33" s="67">
        <f t="shared" si="9"/>
        <v>285.90000000002328</v>
      </c>
      <c r="W33" s="58">
        <v>595.30999999999995</v>
      </c>
      <c r="X33" s="65">
        <f t="shared" si="10"/>
        <v>209.99999999992269</v>
      </c>
      <c r="Y33" s="58">
        <v>4.5271999999999997</v>
      </c>
      <c r="Z33" s="65">
        <f t="shared" si="11"/>
        <v>2299.9999999999686</v>
      </c>
      <c r="AA33" s="58">
        <v>602.34</v>
      </c>
      <c r="AB33" s="65">
        <f t="shared" si="12"/>
        <v>360.00000000001364</v>
      </c>
      <c r="AC33" s="58">
        <v>607.21</v>
      </c>
      <c r="AD33" s="65">
        <f t="shared" si="13"/>
        <v>220.00000000002728</v>
      </c>
      <c r="AE33" s="58">
        <v>970.88</v>
      </c>
      <c r="AF33" s="65">
        <f t="shared" si="14"/>
        <v>409.99999999996817</v>
      </c>
      <c r="AG33" s="58">
        <v>26920</v>
      </c>
      <c r="AH33" s="67">
        <f t="shared" si="15"/>
        <v>28</v>
      </c>
      <c r="AI33" s="58">
        <v>1.0347999999999999</v>
      </c>
      <c r="AJ33" s="65">
        <f t="shared" si="16"/>
        <v>399.99999999995595</v>
      </c>
      <c r="AK33" s="58">
        <v>342.16</v>
      </c>
      <c r="AL33" s="65">
        <f t="shared" si="17"/>
        <v>70.000000000050022</v>
      </c>
      <c r="AM33" s="58">
        <v>312.64</v>
      </c>
      <c r="AN33" s="65">
        <f t="shared" si="18"/>
        <v>89.999999999974989</v>
      </c>
      <c r="AO33" s="58">
        <v>304.16000000000003</v>
      </c>
      <c r="AP33" s="65">
        <f t="shared" si="19"/>
        <v>60.000000000002274</v>
      </c>
      <c r="AQ33" s="58">
        <v>356.77</v>
      </c>
      <c r="AR33" s="65">
        <f t="shared" si="20"/>
        <v>69.999999999993179</v>
      </c>
      <c r="AS33" s="58">
        <v>483.07</v>
      </c>
      <c r="AT33" s="65">
        <f t="shared" si="21"/>
        <v>60.000000000002274</v>
      </c>
      <c r="AU33" s="58">
        <v>387.08</v>
      </c>
      <c r="AV33" s="65">
        <f t="shared" si="22"/>
        <v>50.000000000011369</v>
      </c>
      <c r="AW33" s="58">
        <v>414.22</v>
      </c>
      <c r="AX33" s="65">
        <f t="shared" si="23"/>
        <v>50.000000000011369</v>
      </c>
      <c r="AY33" s="58">
        <v>449.26</v>
      </c>
      <c r="AZ33" s="65">
        <f t="shared" si="24"/>
        <v>50.000000000011369</v>
      </c>
      <c r="BA33" s="58">
        <v>466.93</v>
      </c>
      <c r="BB33" s="65">
        <f t="shared" si="25"/>
        <v>60.000000000002274</v>
      </c>
      <c r="BC33" s="58">
        <v>299.36</v>
      </c>
      <c r="BD33" s="65">
        <f t="shared" si="26"/>
        <v>40.000000000020464</v>
      </c>
      <c r="BE33" s="59"/>
      <c r="BF33" s="67">
        <f t="shared" si="27"/>
        <v>0</v>
      </c>
      <c r="BG33" s="60">
        <v>257.93</v>
      </c>
      <c r="BH33" s="65">
        <f t="shared" si="28"/>
        <v>30.000000000029559</v>
      </c>
      <c r="BI33" s="60">
        <v>312.06</v>
      </c>
      <c r="BJ33" s="65">
        <f t="shared" si="29"/>
        <v>30.000000000029559</v>
      </c>
      <c r="BK33" s="60">
        <v>264.52</v>
      </c>
      <c r="BL33" s="65">
        <f t="shared" si="30"/>
        <v>49.999999999954525</v>
      </c>
      <c r="BM33" s="60">
        <v>247.9</v>
      </c>
      <c r="BN33" s="65">
        <f t="shared" si="31"/>
        <v>30.000000000001137</v>
      </c>
      <c r="BO33" s="60">
        <v>316.29000000000002</v>
      </c>
      <c r="BP33" s="65">
        <f t="shared" si="32"/>
        <v>20.000000000038654</v>
      </c>
      <c r="BQ33" s="60">
        <v>66279</v>
      </c>
      <c r="BR33" s="65">
        <f t="shared" si="33"/>
        <v>39</v>
      </c>
      <c r="BS33" s="60">
        <v>226.07</v>
      </c>
      <c r="BT33" s="65">
        <f t="shared" si="34"/>
        <v>39.999999999992042</v>
      </c>
      <c r="BU33" s="60">
        <v>63682</v>
      </c>
      <c r="BV33" s="65">
        <f t="shared" si="35"/>
        <v>30</v>
      </c>
      <c r="BW33" s="60">
        <v>254.18</v>
      </c>
      <c r="BX33" s="65">
        <f t="shared" si="36"/>
        <v>40.000000000020464</v>
      </c>
      <c r="BY33" s="60">
        <v>85489</v>
      </c>
      <c r="BZ33" s="67">
        <f t="shared" si="37"/>
        <v>49</v>
      </c>
      <c r="CA33" s="60">
        <v>62959.4</v>
      </c>
      <c r="CB33" s="67">
        <f t="shared" si="38"/>
        <v>80.30000000000291</v>
      </c>
      <c r="CC33" s="60">
        <v>18799.099999999999</v>
      </c>
      <c r="CD33" s="67">
        <f t="shared" si="39"/>
        <v>5.5999999999985448</v>
      </c>
      <c r="CE33" s="60"/>
      <c r="CF33" s="67">
        <f t="shared" si="40"/>
        <v>0</v>
      </c>
      <c r="CG33" s="60">
        <v>86743</v>
      </c>
      <c r="CH33" s="67">
        <f t="shared" si="41"/>
        <v>45</v>
      </c>
      <c r="CI33" s="60">
        <v>1123668</v>
      </c>
      <c r="CJ33" s="67">
        <f t="shared" si="42"/>
        <v>303</v>
      </c>
      <c r="CK33" s="60">
        <v>1227.8</v>
      </c>
      <c r="CL33" s="64">
        <f t="shared" si="43"/>
        <v>799.99999999995453</v>
      </c>
      <c r="CM33" s="65">
        <f t="shared" si="50"/>
        <v>81.400000000001455</v>
      </c>
      <c r="CN33" s="62">
        <v>10</v>
      </c>
      <c r="CO33" s="62">
        <v>19</v>
      </c>
      <c r="CP33" s="68">
        <v>53572</v>
      </c>
      <c r="CQ33" s="67">
        <f t="shared" si="51"/>
        <v>68</v>
      </c>
      <c r="CR33" s="68">
        <v>27891</v>
      </c>
      <c r="CS33" s="67">
        <f t="shared" si="44"/>
        <v>13.400000000001455</v>
      </c>
      <c r="CT33" s="75">
        <v>13175</v>
      </c>
      <c r="CU33" s="67">
        <f t="shared" si="45"/>
        <v>18</v>
      </c>
      <c r="CV33" s="68">
        <v>31955</v>
      </c>
      <c r="CW33" s="67">
        <f t="shared" si="46"/>
        <v>22</v>
      </c>
      <c r="CX33" s="58">
        <v>5911.8</v>
      </c>
      <c r="CY33" s="67">
        <f t="shared" si="47"/>
        <v>5.8000000000001819</v>
      </c>
    </row>
    <row r="34" spans="1:103" ht="25.5" customHeight="1" thickBot="1" x14ac:dyDescent="0.45">
      <c r="A34" s="63">
        <v>44957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8"/>
        <v>0</v>
      </c>
      <c r="M34" s="58"/>
      <c r="N34" s="64" t="str">
        <f t="shared" si="49"/>
        <v/>
      </c>
      <c r="O34" s="58"/>
      <c r="P34" s="67" t="str">
        <f t="shared" si="6"/>
        <v/>
      </c>
      <c r="Q34" s="58"/>
      <c r="R34" s="67" t="str">
        <f t="shared" si="7"/>
        <v/>
      </c>
      <c r="S34" s="58"/>
      <c r="T34" s="67" t="e">
        <f t="shared" si="8"/>
        <v>#VALUE!</v>
      </c>
      <c r="U34" s="58"/>
      <c r="V34" s="67" t="str">
        <f t="shared" si="9"/>
        <v/>
      </c>
      <c r="W34" s="58"/>
      <c r="X34" s="65" t="str">
        <f t="shared" si="10"/>
        <v/>
      </c>
      <c r="Y34" s="58"/>
      <c r="Z34" s="65" t="str">
        <f t="shared" si="11"/>
        <v/>
      </c>
      <c r="AA34" s="58"/>
      <c r="AB34" s="65" t="str">
        <f t="shared" si="12"/>
        <v/>
      </c>
      <c r="AC34" s="58"/>
      <c r="AD34" s="65" t="str">
        <f t="shared" si="13"/>
        <v/>
      </c>
      <c r="AE34" s="58"/>
      <c r="AF34" s="65" t="str">
        <f t="shared" si="14"/>
        <v/>
      </c>
      <c r="AG34" s="58"/>
      <c r="AH34" s="67" t="str">
        <f t="shared" si="15"/>
        <v/>
      </c>
      <c r="AI34" s="58"/>
      <c r="AJ34" s="65" t="str">
        <f t="shared" si="16"/>
        <v/>
      </c>
      <c r="AK34" s="58"/>
      <c r="AL34" s="65" t="str">
        <f t="shared" si="17"/>
        <v/>
      </c>
      <c r="AM34" s="58"/>
      <c r="AN34" s="65" t="str">
        <f t="shared" si="18"/>
        <v/>
      </c>
      <c r="AO34" s="58"/>
      <c r="AP34" s="65" t="str">
        <f t="shared" si="19"/>
        <v/>
      </c>
      <c r="AQ34" s="58"/>
      <c r="AR34" s="65" t="str">
        <f t="shared" si="20"/>
        <v/>
      </c>
      <c r="AS34" s="58"/>
      <c r="AT34" s="65" t="str">
        <f t="shared" si="21"/>
        <v/>
      </c>
      <c r="AU34" s="58"/>
      <c r="AV34" s="65" t="str">
        <f t="shared" si="22"/>
        <v/>
      </c>
      <c r="AW34" s="58"/>
      <c r="AX34" s="65" t="str">
        <f t="shared" si="23"/>
        <v/>
      </c>
      <c r="AY34" s="58"/>
      <c r="AZ34" s="65" t="str">
        <f t="shared" si="24"/>
        <v/>
      </c>
      <c r="BA34" s="58"/>
      <c r="BB34" s="65" t="str">
        <f t="shared" si="25"/>
        <v/>
      </c>
      <c r="BC34" s="58"/>
      <c r="BD34" s="65" t="str">
        <f t="shared" si="26"/>
        <v/>
      </c>
      <c r="BE34" s="59"/>
      <c r="BF34" s="67">
        <f t="shared" si="27"/>
        <v>0</v>
      </c>
      <c r="BG34" s="60"/>
      <c r="BH34" s="65" t="str">
        <f t="shared" si="28"/>
        <v/>
      </c>
      <c r="BI34" s="60"/>
      <c r="BJ34" s="65" t="str">
        <f t="shared" si="29"/>
        <v/>
      </c>
      <c r="BK34" s="60"/>
      <c r="BL34" s="65" t="str">
        <f t="shared" si="30"/>
        <v/>
      </c>
      <c r="BM34" s="60"/>
      <c r="BN34" s="65" t="str">
        <f t="shared" si="31"/>
        <v/>
      </c>
      <c r="BO34" s="60"/>
      <c r="BP34" s="65" t="str">
        <f t="shared" si="32"/>
        <v/>
      </c>
      <c r="BQ34" s="60"/>
      <c r="BR34" s="65" t="str">
        <f t="shared" si="33"/>
        <v/>
      </c>
      <c r="BS34" s="60"/>
      <c r="BT34" s="65" t="str">
        <f t="shared" si="34"/>
        <v/>
      </c>
      <c r="BU34" s="60"/>
      <c r="BV34" s="65" t="str">
        <f t="shared" si="35"/>
        <v/>
      </c>
      <c r="BW34" s="60"/>
      <c r="BX34" s="65" t="str">
        <f t="shared" si="36"/>
        <v/>
      </c>
      <c r="BY34" s="60"/>
      <c r="BZ34" s="67" t="str">
        <f t="shared" si="37"/>
        <v/>
      </c>
      <c r="CA34" s="60"/>
      <c r="CB34" s="67" t="str">
        <f t="shared" si="38"/>
        <v/>
      </c>
      <c r="CC34" s="60"/>
      <c r="CD34" s="67" t="str">
        <f t="shared" si="39"/>
        <v/>
      </c>
      <c r="CE34" s="60"/>
      <c r="CF34" s="67">
        <f t="shared" si="40"/>
        <v>0</v>
      </c>
      <c r="CG34" s="60"/>
      <c r="CH34" s="67" t="str">
        <f t="shared" si="41"/>
        <v/>
      </c>
      <c r="CI34" s="60"/>
      <c r="CJ34" s="67" t="str">
        <f t="shared" si="42"/>
        <v/>
      </c>
      <c r="CK34" s="60"/>
      <c r="CL34" s="64" t="str">
        <f t="shared" si="43"/>
        <v/>
      </c>
      <c r="CM34" s="65" t="e">
        <f t="shared" si="50"/>
        <v>#VALUE!</v>
      </c>
      <c r="CN34" s="62"/>
      <c r="CO34" s="62"/>
      <c r="CP34" s="68"/>
      <c r="CQ34" s="67" t="str">
        <f t="shared" si="51"/>
        <v/>
      </c>
      <c r="CR34" s="68"/>
      <c r="CS34" s="67" t="str">
        <f t="shared" si="44"/>
        <v/>
      </c>
      <c r="CT34" s="75"/>
      <c r="CU34" s="67" t="str">
        <f t="shared" si="45"/>
        <v/>
      </c>
      <c r="CV34" s="68"/>
      <c r="CW34" s="67" t="str">
        <f t="shared" si="46"/>
        <v/>
      </c>
      <c r="CX34" s="58"/>
      <c r="CY34" s="67" t="str">
        <f t="shared" si="47"/>
        <v/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>
        <v>0</v>
      </c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C37" sqref="C37:Q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>
        <v>9</v>
      </c>
      <c r="D34" s="40">
        <v>16</v>
      </c>
      <c r="E34" s="41">
        <v>5</v>
      </c>
      <c r="F34" s="41">
        <v>6834</v>
      </c>
      <c r="G34" s="41">
        <v>85</v>
      </c>
      <c r="H34" s="41">
        <v>1340</v>
      </c>
      <c r="I34" s="41">
        <v>80</v>
      </c>
      <c r="J34" s="41">
        <v>2212</v>
      </c>
      <c r="K34" s="42">
        <v>85</v>
      </c>
      <c r="L34" s="42">
        <v>80</v>
      </c>
      <c r="M34" s="42">
        <v>1914</v>
      </c>
      <c r="N34" s="39">
        <v>85</v>
      </c>
      <c r="O34" s="39">
        <v>83</v>
      </c>
      <c r="P34" s="39">
        <v>58</v>
      </c>
      <c r="Q34" s="39">
        <v>5794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44954</v>
      </c>
      <c r="B35" s="40"/>
      <c r="C35" s="40">
        <v>10</v>
      </c>
      <c r="D35" s="40">
        <v>19</v>
      </c>
      <c r="E35" s="41">
        <v>0</v>
      </c>
      <c r="F35" s="41">
        <v>6834</v>
      </c>
      <c r="G35" s="41">
        <v>78</v>
      </c>
      <c r="H35" s="41">
        <v>1342</v>
      </c>
      <c r="I35" s="41">
        <v>80</v>
      </c>
      <c r="J35" s="41">
        <v>2212</v>
      </c>
      <c r="K35" s="42">
        <v>85</v>
      </c>
      <c r="L35" s="42">
        <v>80</v>
      </c>
      <c r="M35" s="42">
        <v>1914</v>
      </c>
      <c r="N35" s="39">
        <v>85</v>
      </c>
      <c r="O35" s="39">
        <v>83</v>
      </c>
      <c r="P35" s="39">
        <v>55</v>
      </c>
      <c r="Q35" s="39">
        <v>5799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44955</v>
      </c>
      <c r="B36" s="40"/>
      <c r="C36" s="40">
        <v>10</v>
      </c>
      <c r="D36" s="40">
        <v>19</v>
      </c>
      <c r="E36" s="41">
        <v>0</v>
      </c>
      <c r="F36" s="41">
        <v>6834</v>
      </c>
      <c r="G36" s="41">
        <v>70</v>
      </c>
      <c r="H36" s="41">
        <v>1344</v>
      </c>
      <c r="I36" s="41">
        <v>80</v>
      </c>
      <c r="J36" s="41">
        <v>2212</v>
      </c>
      <c r="K36" s="42">
        <v>85</v>
      </c>
      <c r="L36" s="42">
        <v>78</v>
      </c>
      <c r="M36" s="42">
        <v>1914</v>
      </c>
      <c r="N36" s="39">
        <v>85</v>
      </c>
      <c r="O36" s="39">
        <v>83</v>
      </c>
      <c r="P36" s="39">
        <v>50</v>
      </c>
      <c r="Q36" s="39">
        <v>5801</v>
      </c>
      <c r="R36" s="77">
        <v>60</v>
      </c>
      <c r="S36" s="77">
        <v>233</v>
      </c>
      <c r="T36">
        <f t="shared" si="1"/>
        <v>0</v>
      </c>
    </row>
    <row r="37" spans="1:20" x14ac:dyDescent="0.25">
      <c r="A37" s="73">
        <v>44956</v>
      </c>
      <c r="B37" s="40"/>
      <c r="C37" s="40">
        <v>10</v>
      </c>
      <c r="D37" s="40">
        <v>19</v>
      </c>
      <c r="E37" s="41">
        <v>0</v>
      </c>
      <c r="F37" s="41">
        <v>6834</v>
      </c>
      <c r="G37" s="41">
        <v>55</v>
      </c>
      <c r="H37" s="41">
        <v>1347</v>
      </c>
      <c r="I37" s="41">
        <v>80</v>
      </c>
      <c r="J37" s="41">
        <v>2212</v>
      </c>
      <c r="K37" s="42">
        <v>85</v>
      </c>
      <c r="L37" s="42">
        <v>75</v>
      </c>
      <c r="M37" s="42">
        <v>1914</v>
      </c>
      <c r="N37" s="39">
        <v>85</v>
      </c>
      <c r="O37" s="39">
        <v>83</v>
      </c>
      <c r="P37" s="39">
        <v>50</v>
      </c>
      <c r="Q37" s="39">
        <v>5804</v>
      </c>
      <c r="R37" s="77">
        <v>60</v>
      </c>
      <c r="S37" s="77">
        <v>233</v>
      </c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-233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2023-01-31T08:03:06Z</dcterms:modified>
</cp:coreProperties>
</file>