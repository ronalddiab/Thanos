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4000" windowHeight="960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2" l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5" i="2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V5" i="4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5" i="4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5" i="4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5" i="4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5" i="4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G5" i="4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5" i="4"/>
  <c r="C6" i="4" s="1"/>
  <c r="C7" i="4" s="1"/>
  <c r="C8" i="4" s="1"/>
  <c r="C9" i="4" s="1"/>
  <c r="C10" i="4" s="1"/>
  <c r="C11" i="4" s="1"/>
  <c r="C12" i="4" s="1"/>
  <c r="C13" i="4" s="1"/>
  <c r="C14" i="4" s="1"/>
  <c r="Z2" i="4"/>
  <c r="X2" i="4"/>
  <c r="I2" i="4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C15" i="4" l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14" i="4"/>
  <c r="Y2" i="4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D15" i="4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C4" i="1"/>
  <c r="D4" i="1" s="1"/>
  <c r="C5" i="1"/>
  <c r="D5" i="1" s="1"/>
  <c r="C6" i="1"/>
  <c r="D6" i="1" s="1"/>
  <c r="C7" i="1"/>
  <c r="D7" i="1" s="1"/>
  <c r="C8" i="1"/>
  <c r="C9" i="1"/>
  <c r="D9" i="1" s="1"/>
  <c r="C10" i="1"/>
  <c r="D10" i="1" s="1"/>
  <c r="C11" i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D8" i="1"/>
  <c r="D11" i="1"/>
  <c r="D24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G16" i="3" l="1"/>
  <c r="G17" i="3"/>
  <c r="G18" i="3"/>
  <c r="C11" i="5" l="1"/>
  <c r="I33" i="1" l="1"/>
  <c r="J33" i="1" s="1"/>
  <c r="I32" i="1"/>
  <c r="J32" i="1" s="1"/>
  <c r="L33" i="1"/>
  <c r="M33" i="1" s="1"/>
  <c r="L32" i="1"/>
  <c r="M32" i="1" s="1"/>
  <c r="C33" i="1"/>
  <c r="D33" i="1" s="1"/>
  <c r="C32" i="1"/>
  <c r="D32" i="1" s="1"/>
  <c r="O33" i="1"/>
  <c r="P33" i="1" s="1"/>
  <c r="O32" i="1"/>
  <c r="P32" i="1" s="1"/>
  <c r="F33" i="1"/>
  <c r="G33" i="1" s="1"/>
  <c r="F32" i="1"/>
  <c r="G32" i="1" s="1"/>
  <c r="R33" i="1"/>
  <c r="S33" i="1" s="1"/>
  <c r="R32" i="1"/>
  <c r="S32" i="1" s="1"/>
  <c r="N26" i="10"/>
  <c r="Q22" i="2" l="1"/>
  <c r="U3" i="2" l="1"/>
  <c r="R3" i="2"/>
  <c r="S3" i="2" s="1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4" i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31" i="4" s="1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<sst xmlns="http://schemas.openxmlformats.org/spreadsheetml/2006/main" count="441" uniqueCount="144">
  <si>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</si>
  <si>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</si>
  <si>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</si>
  <si>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</si>
  <si>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</si>
  <si>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</si>
  <si>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</si>
  <si>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</si>
  <si>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</si>
  <si>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</si>
  <si>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</si>
  <si>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</si>
  <si>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</si>
  <si>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</si>
  <si>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</si>
  <si>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</si>
  <si>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</si>
  <si>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</si>
  <si>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</si>
  <si>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</si>
  <si>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</si>
  <si>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</si>
  <si>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</si>
  <si>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</si>
  <si>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</si>
  <si>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</si>
  <si>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</si>
  <si>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</si>
  <si>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</si>
  <si>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</si>
  <si>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</si>
  <si>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</si>
  <si>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</si>
  <si>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</si>
  <si>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</si>
  <si>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</si>
  <si>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</si>
  <si>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</si>
  <si>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</si>
  <si>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</si>
  <si>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</si>
  <si>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</si>
  <si>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</si>
  <si>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</si>
  <si>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</si>
  <si>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</si>
  <si>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</si>
  <si>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</si>
  <si>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</si>
  <si>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</si>
  <si>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</si>
  <si>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</si>
  <si>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</si>
  <si>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</si>
  <si>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</si>
  <si>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</si>
  <si>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</si>
  <si>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</si>
  <si>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</si>
  <si>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</si>
  <si>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</si>
  <si>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</si>
  <si>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</si>
  <si>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</si>
  <si>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</si>
  <si>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</si>
  <si>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</si>
  <si>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</si>
  <si>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</si>
  <si>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</si>
  <si>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</si>
  <si>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</si>
  <si>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</si>
  <si>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</si>
  <si>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</si>
  <si>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</si>
  <si>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</si>
  <si>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</si>
  <si>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</si>
  <si>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</si>
  <si>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</si>
  <si>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</si>
  <si>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</si>
  <si>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</si>
  <si>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</si>
  <si>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</si>
  <si>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</si>
  <si>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</si>
  <si>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</si>
  <si>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</si>
  <si>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</si>
  <si>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</si>
  <si>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</si>
  <si>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</si>
  <si>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</si>
  <si>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</si>
  <si>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</si>
  <si>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</si>
  <si>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</si>
  <si>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</si>
  <si>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</si>
  <si>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</si>
  <si>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</si>
  <si>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</si>
  <si>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</si>
  <si>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</si>
  <si>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</si>
  <si>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</si>
  <si>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</si>
  <si>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</si>
  <si>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</si>
  <si>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</si>
  <si>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</si>
  <si>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</si>
  <si>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</si>
  <si>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</si>
  <si>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</si>
  <si>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</si>
  <si>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</si>
  <si>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</si>
  <si>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</si>
  <si>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</si>
  <si>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</si>
  <si>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</si>
  <si>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</si>
  <si>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</si>
  <si>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</si>
  <si>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</si>
  <si>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</si>
  <si>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</si>
  <si>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</si>
  <si>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</si>
  <si>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</si>
  <si>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</si>
  <si>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</si>
  <si>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</si>
  <si>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</si>
  <si>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</si>
  <si>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</si>
  <si>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May  2021</t>
  </si>
  <si>
    <t>.</t>
  </si>
  <si>
    <t>Acutal till June  2021</t>
  </si>
  <si>
    <t>Acutal till July 2021</t>
  </si>
  <si>
    <t>Energy Monthly Statement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</si>
</sst>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C2" sqref="C2:C32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65967.370211999994</v>
      </c>
      <c r="F2" s="146">
        <v>1.27</v>
      </c>
      <c r="G2" s="42">
        <f>Gas!C3*0.9147</f>
        <v>2167.8389999999999</v>
      </c>
      <c r="H2" s="147">
        <v>3.65</v>
      </c>
      <c r="I2" s="148">
        <f>Submetering!H2+Submetering!AD2+Submetering!AE2</f>
        <v>976</v>
      </c>
      <c r="J2" s="149">
        <v>10.029999999999999</v>
      </c>
      <c r="K2" s="42">
        <f>ELECT.!B3</f>
        <v>238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80067.542372000011</v>
      </c>
      <c r="F3" s="146">
        <v>1.27</v>
      </c>
      <c r="G3" s="42">
        <f>Gas!C4*0.9147</f>
        <v>2014.1694</v>
      </c>
      <c r="H3" s="147">
        <v>3.65</v>
      </c>
      <c r="I3" s="149">
        <f>Submetering!H3+Submetering!AD3+Submetering!AE3</f>
        <v>1206</v>
      </c>
      <c r="J3" s="149">
        <v>10.029999999999999</v>
      </c>
      <c r="K3" s="42">
        <f>ELECT.!B4</f>
        <v>263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46">
        <v>1.27</v>
      </c>
      <c r="G4" s="42">
        <f>Gas!C5*0.9147</f>
        <v>0</v>
      </c>
      <c r="H4" s="147">
        <v>3.65</v>
      </c>
      <c r="I4" s="149">
        <f>Submetering!H4+Submetering!AD4+Submetering!AE4</f>
        <v>-194</v>
      </c>
      <c r="J4" s="149">
        <v>10.029999999999999</v>
      </c>
      <c r="K4" s="42">
        <f>ELECT.!B5</f>
        <v>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46">
        <v>1.27</v>
      </c>
      <c r="G5" s="42">
        <f>Gas!C6*0.9147</f>
        <v>0</v>
      </c>
      <c r="H5" s="147">
        <v>3.65</v>
      </c>
      <c r="I5" s="149">
        <f>Submetering!H5+Submetering!AD5+Submetering!AE5</f>
        <v>-194</v>
      </c>
      <c r="J5" s="149">
        <v>10.029999999999999</v>
      </c>
      <c r="K5" s="42">
        <f>ELECT.!B6</f>
        <v>0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46">
        <v>1.27</v>
      </c>
      <c r="G6" s="42">
        <f>Gas!C7*0.9147</f>
        <v>0</v>
      </c>
      <c r="H6" s="147">
        <v>3.65</v>
      </c>
      <c r="I6" s="149">
        <f>Submetering!H6+Submetering!AD6+Submetering!AE6</f>
        <v>-194</v>
      </c>
      <c r="J6" s="149">
        <v>10.029999999999999</v>
      </c>
      <c r="K6" s="42">
        <f>ELECT.!B7</f>
        <v>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46">
        <v>1.27</v>
      </c>
      <c r="G7" s="42">
        <f>Gas!C8*0.9147</f>
        <v>0</v>
      </c>
      <c r="H7" s="147">
        <v>3.65</v>
      </c>
      <c r="I7" s="149">
        <f>Submetering!H7+Submetering!AD7+Submetering!AE7</f>
        <v>-194</v>
      </c>
      <c r="J7" s="149">
        <v>10.029999999999999</v>
      </c>
      <c r="K7" s="42">
        <f>ELECT.!B8</f>
        <v>0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6">
        <v>1.27</v>
      </c>
      <c r="G8" s="42">
        <f>Gas!C9*0.9147</f>
        <v>0</v>
      </c>
      <c r="H8" s="147">
        <v>3.65</v>
      </c>
      <c r="I8" s="149">
        <f>Submetering!H8+Submetering!AD8+Submetering!AE8</f>
        <v>-194</v>
      </c>
      <c r="J8" s="149">
        <v>10.029999999999999</v>
      </c>
      <c r="K8" s="42">
        <f>ELECT.!B9</f>
        <v>0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6">
        <v>1.27</v>
      </c>
      <c r="G9" s="42">
        <f>Gas!C10*0.9147</f>
        <v>0</v>
      </c>
      <c r="H9" s="147">
        <v>3.65</v>
      </c>
      <c r="I9" s="149">
        <f>Submetering!H9+Submetering!AD9+Submetering!AE9</f>
        <v>-194</v>
      </c>
      <c r="J9" s="149">
        <v>10.029999999999999</v>
      </c>
      <c r="K9" s="42">
        <f>ELECT.!B10</f>
        <v>0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6">
        <v>1.27</v>
      </c>
      <c r="G10" s="42">
        <f>Gas!C11*0.9147</f>
        <v>0</v>
      </c>
      <c r="H10" s="147">
        <v>3.65</v>
      </c>
      <c r="I10" s="149">
        <f>Submetering!H10+Submetering!AD10+Submetering!AE10</f>
        <v>-194</v>
      </c>
      <c r="J10" s="149">
        <v>10.029999999999999</v>
      </c>
      <c r="K10" s="42">
        <f>ELECT.!B11</f>
        <v>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6">
        <v>1.27</v>
      </c>
      <c r="G11" s="42">
        <f>Gas!C12*0.9147</f>
        <v>0</v>
      </c>
      <c r="H11" s="147">
        <v>3.65</v>
      </c>
      <c r="I11" s="149">
        <f>Submetering!H11+Submetering!AD11+Submetering!AE11</f>
        <v>-194</v>
      </c>
      <c r="J11" s="149">
        <v>10.029999999999999</v>
      </c>
      <c r="K11" s="42">
        <f>ELECT.!B12</f>
        <v>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6">
        <v>1.27</v>
      </c>
      <c r="G12" s="42">
        <f>Gas!C13*0.9147</f>
        <v>0</v>
      </c>
      <c r="H12" s="147">
        <v>3.65</v>
      </c>
      <c r="I12" s="149">
        <f>Submetering!H12+Submetering!AD12+Submetering!AE12</f>
        <v>-194</v>
      </c>
      <c r="J12" s="149">
        <v>10.029999999999999</v>
      </c>
      <c r="K12" s="42">
        <f>ELECT.!B13</f>
        <v>0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2" sqref="C2:C32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1170</v>
      </c>
      <c r="F2" s="42">
        <f>Water!E3</f>
        <v>0</v>
      </c>
      <c r="G2" s="42">
        <f>Water!G3</f>
        <v>645.29999999999995</v>
      </c>
      <c r="H2" s="42">
        <f>Water!I3</f>
        <v>2.214</v>
      </c>
      <c r="I2" s="42">
        <f>ELECT.!F3</f>
        <v>19392</v>
      </c>
      <c r="J2" s="42">
        <f>ELECT.!H3</f>
        <v>49813</v>
      </c>
      <c r="K2" s="42">
        <f>ELECT.!K3</f>
        <v>5367</v>
      </c>
      <c r="L2" s="42">
        <f>ELECT.!M3</f>
        <v>5806</v>
      </c>
      <c r="M2" s="42">
        <f>ELECT.!O3</f>
        <v>13322</v>
      </c>
      <c r="N2" s="42">
        <f>ELECT.!Q3</f>
        <v>13073</v>
      </c>
      <c r="O2" s="42">
        <f>ELECT.!S3</f>
        <v>9239</v>
      </c>
      <c r="P2" s="42">
        <f>ELECT.!W3*2</f>
        <v>20904</v>
      </c>
      <c r="Q2" s="42">
        <f>ELECT.!D3</f>
        <v>800</v>
      </c>
      <c r="R2" s="43">
        <f>BTU!C3</f>
        <v>16.829000000001543</v>
      </c>
      <c r="S2" s="43">
        <f>BTU!F3</f>
        <v>3.7870000000002619</v>
      </c>
      <c r="T2" s="43">
        <f>BTU!I3</f>
        <v>8</v>
      </c>
      <c r="U2" s="43">
        <f>BTU!O3</f>
        <v>1.5360000000000582</v>
      </c>
      <c r="V2" s="43">
        <f>BTU!L3</f>
        <v>12.28</v>
      </c>
      <c r="W2" s="43">
        <f>BTU!R3</f>
        <v>4.1000000000003638</v>
      </c>
      <c r="X2" s="40">
        <f>ELECT.!B3</f>
        <v>238</v>
      </c>
      <c r="Y2" s="40">
        <f>I2+J2-(K2+L2+M2+N2+O2+P2)</f>
        <v>1494</v>
      </c>
      <c r="Z2">
        <f>'Mall, Citadel, Rotana'!C3+'Mall, Citadel, Rotana'!E3+'Mall, Citadel, Rotana'!G3+'Mall, Citadel, Rotana'!I3</f>
        <v>1410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109</v>
      </c>
      <c r="AD2" s="40">
        <f>(E2-H2-194)*0.1318</f>
        <v>128.34499479999999</v>
      </c>
      <c r="AE2" s="40">
        <f>E2-H2-AD2-194</f>
        <v>845.44100520000006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1400</v>
      </c>
      <c r="F3" s="42">
        <f>Water!E4</f>
        <v>0</v>
      </c>
      <c r="G3" s="42">
        <f>Water!G4</f>
        <v>720.9</v>
      </c>
      <c r="H3" s="42">
        <f>Water!I4</f>
        <v>2.4300000000000002</v>
      </c>
      <c r="I3" s="42">
        <f>ELECT.!F4</f>
        <v>21190</v>
      </c>
      <c r="J3" s="42">
        <f>ELECT.!H4</f>
        <v>62318</v>
      </c>
      <c r="K3" s="42">
        <f>ELECT.!K4</f>
        <v>6507</v>
      </c>
      <c r="L3" s="42">
        <f>ELECT.!M4</f>
        <v>6966</v>
      </c>
      <c r="M3" s="42">
        <f>ELECT.!O4</f>
        <v>14078</v>
      </c>
      <c r="N3" s="42">
        <f>ELECT.!Q4</f>
        <v>16265</v>
      </c>
      <c r="O3" s="42">
        <f>ELECT.!S4</f>
        <v>11675</v>
      </c>
      <c r="P3" s="42">
        <f>ELECT.!W4*2</f>
        <v>26608</v>
      </c>
      <c r="Q3" s="42">
        <f>ELECT.!D4</f>
        <v>800</v>
      </c>
      <c r="R3" s="43">
        <f>BTU!C4</f>
        <v>10.827999999997701</v>
      </c>
      <c r="S3" s="43">
        <f>BTU!F4</f>
        <v>2.418999999999869</v>
      </c>
      <c r="T3" s="43">
        <f>BTU!I4</f>
        <v>5</v>
      </c>
      <c r="U3" s="43">
        <f>BTU!O4</f>
        <v>0.94500000000016371</v>
      </c>
      <c r="V3" s="43">
        <f>BTU!L4</f>
        <v>9.984000000000151</v>
      </c>
      <c r="W3" s="43">
        <f>BTU!R4</f>
        <v>2.7199999999993452</v>
      </c>
      <c r="X3" s="40">
        <f>ELECT.!B4</f>
        <v>263</v>
      </c>
      <c r="Y3" s="40">
        <f t="shared" ref="Y3:Y31" si="0">I3+J3-(K3+L3+M3+N3+O3+P3)</f>
        <v>1409</v>
      </c>
      <c r="Z3">
        <f>'Mall, Citadel, Rotana'!C4+'Mall, Citadel, Rotana'!E4+'Mall, Citadel, Rotana'!G4+'Mall, Citadel, Rotana'!I4</f>
        <v>1410</v>
      </c>
      <c r="AA3">
        <f>'Mall, Citadel, Rotana'!K4+'Mall, Citadel, Rotana'!M4</f>
        <v>640</v>
      </c>
      <c r="AB3">
        <f>'Mall, Citadel, Rotana'!O4</f>
        <v>4</v>
      </c>
      <c r="AC3">
        <f>'Mall, Citadel, Rotana'!Q4+'Mall, Citadel, Rotana'!S4</f>
        <v>110</v>
      </c>
      <c r="AD3" s="40">
        <f t="shared" ref="AD3:AD31" si="1">(E3-H3-194)*0.1318</f>
        <v>158.630526</v>
      </c>
      <c r="AE3" s="40">
        <f t="shared" ref="AE3:AE31" si="2">E3-H3-AD3-194</f>
        <v>1044.939474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0</v>
      </c>
      <c r="F4" s="42">
        <f>Water!E5</f>
        <v>0</v>
      </c>
      <c r="G4" s="42">
        <f>Water!G5</f>
        <v>0</v>
      </c>
      <c r="H4" s="42">
        <f>Water!I5</f>
        <v>0</v>
      </c>
      <c r="I4" s="42">
        <f>ELECT.!F5</f>
        <v>0</v>
      </c>
      <c r="J4" s="42">
        <f>ELECT.!H5</f>
        <v>0</v>
      </c>
      <c r="K4" s="42" t="str">
        <f>ELECT.!K5</f>
        <v>0</v>
      </c>
      <c r="L4" s="42">
        <f>ELECT.!M5</f>
        <v>0</v>
      </c>
      <c r="M4" s="42">
        <f>ELECT.!O5</f>
        <v>0</v>
      </c>
      <c r="N4" s="42">
        <f>ELECT.!Q5</f>
        <v>0</v>
      </c>
      <c r="O4" s="42">
        <f>ELECT.!S5</f>
        <v>0</v>
      </c>
      <c r="P4" s="42">
        <f>ELECT.!W5*2</f>
        <v>0</v>
      </c>
      <c r="Q4" s="42">
        <f>ELECT.!D5</f>
        <v>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0</v>
      </c>
      <c r="Y4" s="40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40">
        <f t="shared" si="1"/>
        <v>-25.569199999999999</v>
      </c>
      <c r="AE4" s="40">
        <f t="shared" si="2"/>
        <v>-168.4308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0</v>
      </c>
      <c r="F5" s="42">
        <f>Water!E6</f>
        <v>0</v>
      </c>
      <c r="G5" s="42">
        <f>Water!G6</f>
        <v>0</v>
      </c>
      <c r="H5" s="42">
        <f>Water!I6</f>
        <v>0</v>
      </c>
      <c r="I5" s="42">
        <f>ELECT.!F6</f>
        <v>0</v>
      </c>
      <c r="J5" s="42">
        <f>ELECT.!H6</f>
        <v>0</v>
      </c>
      <c r="K5" s="42">
        <f>ELECT.!K6</f>
        <v>0</v>
      </c>
      <c r="L5" s="42">
        <f>ELECT.!M6</f>
        <v>0</v>
      </c>
      <c r="M5" s="42">
        <f>ELECT.!O6</f>
        <v>0</v>
      </c>
      <c r="N5" s="42">
        <f>ELECT.!Q6</f>
        <v>0</v>
      </c>
      <c r="O5" s="42">
        <f>ELECT.!S6</f>
        <v>0</v>
      </c>
      <c r="P5" s="42">
        <f>ELECT.!W6*2</f>
        <v>0</v>
      </c>
      <c r="Q5" s="42">
        <f>ELECT.!D6</f>
        <v>0</v>
      </c>
      <c r="R5" s="43">
        <f>BTU!C6</f>
        <v>0</v>
      </c>
      <c r="S5" s="43">
        <f>BTU!F6</f>
        <v>0</v>
      </c>
      <c r="T5" s="43">
        <f>BTU!I6</f>
        <v>0</v>
      </c>
      <c r="U5" s="43">
        <f>BTU!O6</f>
        <v>0</v>
      </c>
      <c r="V5" s="43">
        <f>BTU!L6</f>
        <v>0</v>
      </c>
      <c r="W5" s="43">
        <f>BTU!R6</f>
        <v>0</v>
      </c>
      <c r="X5" s="40">
        <f>ELECT.!B6</f>
        <v>0</v>
      </c>
      <c r="Y5" s="40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40">
        <f t="shared" si="1"/>
        <v>-25.569199999999999</v>
      </c>
      <c r="AE5" s="40">
        <f t="shared" si="2"/>
        <v>-168.4308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0</v>
      </c>
      <c r="J6" s="42">
        <f>ELECT.!H7</f>
        <v>0</v>
      </c>
      <c r="K6" s="42">
        <f>ELECT.!K7</f>
        <v>0</v>
      </c>
      <c r="L6" s="42">
        <f>ELECT.!M7</f>
        <v>0</v>
      </c>
      <c r="M6" s="42">
        <f>ELECT.!O7</f>
        <v>0</v>
      </c>
      <c r="N6" s="42">
        <f>ELECT.!Q7</f>
        <v>0</v>
      </c>
      <c r="O6" s="42">
        <f>ELECT.!S7</f>
        <v>0</v>
      </c>
      <c r="P6" s="42">
        <f>ELECT.!W7*2</f>
        <v>0</v>
      </c>
      <c r="Q6" s="42">
        <f>ELECT.!D7</f>
        <v>0</v>
      </c>
      <c r="R6" s="43">
        <f>BTU!C7</f>
        <v>0</v>
      </c>
      <c r="S6" s="43">
        <f>BTU!F7</f>
        <v>0</v>
      </c>
      <c r="T6" s="43">
        <f>BTU!I7</f>
        <v>0</v>
      </c>
      <c r="U6" s="43">
        <f>BTU!O7</f>
        <v>0</v>
      </c>
      <c r="V6" s="43">
        <f>BTU!L7</f>
        <v>0</v>
      </c>
      <c r="W6" s="43">
        <f>BTU!R7</f>
        <v>0</v>
      </c>
      <c r="X6" s="40">
        <f>ELECT.!B7</f>
        <v>0</v>
      </c>
      <c r="Y6" s="40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40">
        <f t="shared" si="1"/>
        <v>-25.569199999999999</v>
      </c>
      <c r="AE6" s="40">
        <f t="shared" si="2"/>
        <v>-168.4308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0</v>
      </c>
      <c r="F7" s="42">
        <f>Water!E8</f>
        <v>0</v>
      </c>
      <c r="G7" s="42">
        <f>Water!G8</f>
        <v>0</v>
      </c>
      <c r="H7" s="42">
        <f>Water!I8</f>
        <v>0</v>
      </c>
      <c r="I7" s="42">
        <f>ELECT.!F8</f>
        <v>0</v>
      </c>
      <c r="J7" s="42">
        <f>ELECT.!H8</f>
        <v>0</v>
      </c>
      <c r="K7" s="42">
        <f>ELECT.!K8</f>
        <v>0</v>
      </c>
      <c r="L7" s="42">
        <f>ELECT.!M8</f>
        <v>0</v>
      </c>
      <c r="M7" s="42">
        <f>ELECT.!O8</f>
        <v>0</v>
      </c>
      <c r="N7" s="42">
        <f>ELECT.!Q8</f>
        <v>0</v>
      </c>
      <c r="O7" s="42">
        <f>ELECT.!S8</f>
        <v>0</v>
      </c>
      <c r="P7" s="42">
        <f>ELECT.!W8*2</f>
        <v>0</v>
      </c>
      <c r="Q7" s="42">
        <f>ELECT.!D8</f>
        <v>0</v>
      </c>
      <c r="R7" s="43">
        <f>BTU!C8</f>
        <v>0</v>
      </c>
      <c r="S7" s="43">
        <f>BTU!F8</f>
        <v>0</v>
      </c>
      <c r="T7" s="43">
        <f>BTU!I8</f>
        <v>0</v>
      </c>
      <c r="U7" s="43">
        <f>BTU!O8</f>
        <v>0</v>
      </c>
      <c r="V7" s="43">
        <f>BTU!L8</f>
        <v>0</v>
      </c>
      <c r="W7" s="43">
        <f>BTU!R8</f>
        <v>0</v>
      </c>
      <c r="X7" s="40">
        <f>ELECT.!B8</f>
        <v>0</v>
      </c>
      <c r="Y7" s="40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0">
        <f t="shared" si="1"/>
        <v>-25.569199999999999</v>
      </c>
      <c r="AE7" s="40">
        <f t="shared" si="2"/>
        <v>-168.4308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0</v>
      </c>
      <c r="F8" s="42">
        <f>Water!E9</f>
        <v>0</v>
      </c>
      <c r="G8" s="42">
        <f>Water!G9</f>
        <v>0</v>
      </c>
      <c r="H8" s="42">
        <f>Water!I9</f>
        <v>0</v>
      </c>
      <c r="I8" s="42">
        <f>ELECT.!F9</f>
        <v>0</v>
      </c>
      <c r="J8" s="42">
        <f>ELECT.!H9</f>
        <v>0</v>
      </c>
      <c r="K8" s="42">
        <f>ELECT.!K9</f>
        <v>0</v>
      </c>
      <c r="L8" s="42">
        <f>ELECT.!M9</f>
        <v>0</v>
      </c>
      <c r="M8" s="42">
        <f>ELECT.!O9</f>
        <v>0</v>
      </c>
      <c r="N8" s="42">
        <f>ELECT.!Q9</f>
        <v>0</v>
      </c>
      <c r="O8" s="42">
        <f>ELECT.!S9</f>
        <v>0</v>
      </c>
      <c r="P8" s="42">
        <f>ELECT.!W9*2</f>
        <v>0</v>
      </c>
      <c r="Q8" s="42">
        <f>ELECT.!D9</f>
        <v>0</v>
      </c>
      <c r="R8" s="43">
        <f>BTU!C9</f>
        <v>0</v>
      </c>
      <c r="S8" s="43">
        <f>BTU!F9</f>
        <v>0</v>
      </c>
      <c r="T8" s="43">
        <f>BTU!I9</f>
        <v>0</v>
      </c>
      <c r="U8" s="43">
        <f>BTU!O9</f>
        <v>0</v>
      </c>
      <c r="V8" s="43">
        <f>BTU!L9</f>
        <v>0</v>
      </c>
      <c r="W8" s="43">
        <f>BTU!R9</f>
        <v>0</v>
      </c>
      <c r="X8" s="40">
        <f>ELECT.!B9</f>
        <v>0</v>
      </c>
      <c r="Y8" s="40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0">
        <f t="shared" si="1"/>
        <v>-25.569199999999999</v>
      </c>
      <c r="AE8" s="40">
        <f t="shared" si="2"/>
        <v>-168.4308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0</v>
      </c>
      <c r="F9" s="42">
        <f>Water!E10</f>
        <v>0</v>
      </c>
      <c r="G9" s="42">
        <f>Water!G10</f>
        <v>0</v>
      </c>
      <c r="H9" s="42">
        <f>Water!I10</f>
        <v>0</v>
      </c>
      <c r="I9" s="42">
        <f>ELECT.!F10</f>
        <v>0</v>
      </c>
      <c r="J9" s="42">
        <f>ELECT.!H10</f>
        <v>0</v>
      </c>
      <c r="K9" s="42">
        <f>ELECT.!K10</f>
        <v>0</v>
      </c>
      <c r="L9" s="42">
        <f>ELECT.!M10</f>
        <v>0</v>
      </c>
      <c r="M9" s="42">
        <f>ELECT.!O10</f>
        <v>0</v>
      </c>
      <c r="N9" s="42">
        <f>ELECT.!Q10</f>
        <v>0</v>
      </c>
      <c r="O9" s="42">
        <f>ELECT.!S10</f>
        <v>0</v>
      </c>
      <c r="P9" s="42">
        <f>ELECT.!W10*2</f>
        <v>0</v>
      </c>
      <c r="Q9" s="42">
        <f>ELECT.!D10</f>
        <v>0</v>
      </c>
      <c r="R9" s="43">
        <f>BTU!C10</f>
        <v>0</v>
      </c>
      <c r="S9" s="43">
        <f>BTU!F10</f>
        <v>0</v>
      </c>
      <c r="T9" s="43">
        <f>BTU!I10</f>
        <v>0</v>
      </c>
      <c r="U9" s="43">
        <f>BTU!O10</f>
        <v>0</v>
      </c>
      <c r="V9" s="43">
        <f>BTU!L10</f>
        <v>0</v>
      </c>
      <c r="W9" s="43">
        <f>BTU!R10</f>
        <v>0</v>
      </c>
      <c r="X9" s="40">
        <f>ELECT.!B10</f>
        <v>0</v>
      </c>
      <c r="Y9" s="40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0">
        <f t="shared" si="1"/>
        <v>-25.569199999999999</v>
      </c>
      <c r="AE9" s="40">
        <f t="shared" si="2"/>
        <v>-168.4308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0</v>
      </c>
      <c r="F10" s="42">
        <f>Water!E11</f>
        <v>0</v>
      </c>
      <c r="G10" s="42">
        <f>Water!G11</f>
        <v>0</v>
      </c>
      <c r="H10" s="42">
        <f>Water!I11</f>
        <v>0</v>
      </c>
      <c r="I10" s="42">
        <f>ELECT.!F11</f>
        <v>0</v>
      </c>
      <c r="J10" s="42">
        <f>ELECT.!H11</f>
        <v>0</v>
      </c>
      <c r="K10" s="42">
        <f>ELECT.!K11</f>
        <v>0</v>
      </c>
      <c r="L10" s="42">
        <f>ELECT.!M11</f>
        <v>0</v>
      </c>
      <c r="M10" s="42">
        <f>ELECT.!O11</f>
        <v>0</v>
      </c>
      <c r="N10" s="42">
        <f>ELECT.!Q11</f>
        <v>0</v>
      </c>
      <c r="O10" s="42">
        <f>ELECT.!S11</f>
        <v>0</v>
      </c>
      <c r="P10" s="42">
        <f>ELECT.!W11*2</f>
        <v>0</v>
      </c>
      <c r="Q10" s="42">
        <f>ELECT.!D11</f>
        <v>0</v>
      </c>
      <c r="R10" s="43">
        <f>BTU!C11</f>
        <v>0</v>
      </c>
      <c r="S10" s="43">
        <f>BTU!F11</f>
        <v>0</v>
      </c>
      <c r="T10" s="43">
        <f>BTU!I11</f>
        <v>0</v>
      </c>
      <c r="U10" s="43">
        <f>BTU!O11</f>
        <v>0</v>
      </c>
      <c r="V10" s="43">
        <f>BTU!L11</f>
        <v>0</v>
      </c>
      <c r="W10" s="43">
        <f>BTU!R11</f>
        <v>0</v>
      </c>
      <c r="X10" s="40">
        <f>ELECT.!B11</f>
        <v>0</v>
      </c>
      <c r="Y10" s="40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0">
        <f t="shared" si="1"/>
        <v>-25.569199999999999</v>
      </c>
      <c r="AE10" s="40">
        <f t="shared" si="2"/>
        <v>-168.4308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0</v>
      </c>
      <c r="F11" s="42">
        <f>Water!E12</f>
        <v>0</v>
      </c>
      <c r="G11" s="42">
        <f>Water!G12</f>
        <v>0</v>
      </c>
      <c r="H11" s="42">
        <f>Water!I12</f>
        <v>0</v>
      </c>
      <c r="I11" s="42">
        <f>ELECT.!F12</f>
        <v>0</v>
      </c>
      <c r="J11" s="42">
        <f>ELECT.!H12</f>
        <v>0</v>
      </c>
      <c r="K11" s="42">
        <f>ELECT.!K12</f>
        <v>0</v>
      </c>
      <c r="L11" s="42">
        <f>ELECT.!M12</f>
        <v>0</v>
      </c>
      <c r="M11" s="42">
        <f>ELECT.!O12</f>
        <v>0</v>
      </c>
      <c r="N11" s="42">
        <f>ELECT.!Q12</f>
        <v>0</v>
      </c>
      <c r="O11" s="42">
        <f>ELECT.!S12</f>
        <v>0</v>
      </c>
      <c r="P11" s="42">
        <f>ELECT.!W12*2</f>
        <v>0</v>
      </c>
      <c r="Q11" s="42">
        <f>ELECT.!D12</f>
        <v>0</v>
      </c>
      <c r="R11" s="43">
        <f>BTU!C12</f>
        <v>0</v>
      </c>
      <c r="S11" s="43">
        <f>BTU!F12</f>
        <v>0</v>
      </c>
      <c r="T11" s="43">
        <f>BTU!I12</f>
        <v>0</v>
      </c>
      <c r="U11" s="43">
        <f>BTU!O12</f>
        <v>0</v>
      </c>
      <c r="V11" s="43">
        <f>BTU!L12</f>
        <v>0</v>
      </c>
      <c r="W11" s="43">
        <f>BTU!R12</f>
        <v>0</v>
      </c>
      <c r="X11" s="40">
        <f>ELECT.!B12</f>
        <v>0</v>
      </c>
      <c r="Y11" s="40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-25.569199999999999</v>
      </c>
      <c r="AE11" s="40">
        <f t="shared" si="2"/>
        <v>-168.4308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0</v>
      </c>
      <c r="F12" s="42">
        <f>Water!E13</f>
        <v>0</v>
      </c>
      <c r="G12" s="42">
        <f>Water!G13</f>
        <v>0</v>
      </c>
      <c r="H12" s="42">
        <f>Water!I13</f>
        <v>0</v>
      </c>
      <c r="I12" s="42">
        <f>ELECT.!F13</f>
        <v>0</v>
      </c>
      <c r="J12" s="42">
        <f>ELECT.!H13</f>
        <v>0</v>
      </c>
      <c r="K12" s="42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0</v>
      </c>
      <c r="R12" s="43">
        <f>BTU!C13</f>
        <v>0</v>
      </c>
      <c r="S12" s="43">
        <f>BTU!F13</f>
        <v>0</v>
      </c>
      <c r="T12" s="43">
        <f>BTU!I13</f>
        <v>0</v>
      </c>
      <c r="U12" s="43">
        <f>BTU!O13</f>
        <v>0</v>
      </c>
      <c r="V12" s="43">
        <f>BTU!L13</f>
        <v>0</v>
      </c>
      <c r="W12" s="43">
        <f>BTU!R13</f>
        <v>0</v>
      </c>
      <c r="X12" s="40">
        <f>ELECT.!B13</f>
        <v>0</v>
      </c>
      <c r="Y12" s="40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0">
        <f t="shared" si="1"/>
        <v>-25.569199999999999</v>
      </c>
      <c r="AE12" s="40">
        <f t="shared" si="2"/>
        <v>-168.4308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C1" zoomScale="110" zoomScaleNormal="110" workbookViewId="0">
      <pane ySplit="1" topLeftCell="A2" activePane="bottomLeft" state="frozen"/>
      <selection pane="bottomLeft" activeCell="C4" sqref="A4:XFD4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44408</v>
      </c>
      <c r="B2" s="37">
        <v>45656</v>
      </c>
      <c r="C2" s="16"/>
      <c r="D2" s="37">
        <v>39722</v>
      </c>
      <c r="E2" s="16"/>
      <c r="F2" s="37">
        <v>20627</v>
      </c>
      <c r="G2" s="16"/>
      <c r="H2" s="37">
        <v>246346</v>
      </c>
      <c r="I2" s="16"/>
      <c r="J2" s="37">
        <v>303517</v>
      </c>
      <c r="K2" s="16"/>
      <c r="L2" s="37">
        <v>25206</v>
      </c>
      <c r="M2" s="16"/>
      <c r="N2" s="37">
        <v>215736</v>
      </c>
      <c r="O2" s="16"/>
      <c r="P2" s="37">
        <v>113851</v>
      </c>
      <c r="Q2" s="16"/>
      <c r="R2" s="1">
        <v>55047</v>
      </c>
      <c r="S2" s="16"/>
      <c r="T2" s="37">
        <v>3718</v>
      </c>
      <c r="U2" s="16"/>
    </row>
    <row r="3" spans="1:24" ht="13.5" thickBot="1" x14ac:dyDescent="0.25">
      <c r="A3" s="10">
        <v>44409</v>
      </c>
      <c r="B3" s="37">
        <v>45662</v>
      </c>
      <c r="C3" s="16">
        <f>(B3-B2)*800/5</f>
        <v>960</v>
      </c>
      <c r="D3" s="37">
        <v>39724</v>
      </c>
      <c r="E3" s="16">
        <f>(D3-D2)*800/5</f>
        <v>320</v>
      </c>
      <c r="F3" s="37">
        <v>20631</v>
      </c>
      <c r="G3" s="16">
        <f>(F3-F2)*100/5</f>
        <v>80</v>
      </c>
      <c r="H3" s="37">
        <v>246396</v>
      </c>
      <c r="I3" s="16">
        <f>(H3-H2)</f>
        <v>50</v>
      </c>
      <c r="J3" s="37">
        <f>J2</f>
        <v>303517</v>
      </c>
      <c r="K3" s="16">
        <f>(J3-J2)*800/5</f>
        <v>0</v>
      </c>
      <c r="L3" s="37">
        <v>25210</v>
      </c>
      <c r="M3" s="16">
        <f>(L3-L2)*800/5</f>
        <v>640</v>
      </c>
      <c r="N3" s="37">
        <v>215739</v>
      </c>
      <c r="O3" s="16">
        <f>N3-N2</f>
        <v>3</v>
      </c>
      <c r="P3" s="37">
        <v>113960</v>
      </c>
      <c r="Q3" s="16">
        <f>P3-P2</f>
        <v>109</v>
      </c>
      <c r="R3" s="1">
        <f>R2</f>
        <v>55047</v>
      </c>
      <c r="S3" s="16">
        <f>R3-R2</f>
        <v>0</v>
      </c>
      <c r="T3" s="37">
        <v>3719</v>
      </c>
      <c r="U3" s="16">
        <f>(T3-T2)*800/5</f>
        <v>160</v>
      </c>
    </row>
    <row r="4" spans="1:24" ht="13.5" thickBot="1" x14ac:dyDescent="0.25">
      <c r="A4" s="10">
        <v>44410</v>
      </c>
      <c r="B4" s="37">
        <v>45668</v>
      </c>
      <c r="C4" s="16">
        <f t="shared" ref="C4:C33" si="0">(B4-B3)*800/5</f>
        <v>960</v>
      </c>
      <c r="D4" s="37">
        <v>39726</v>
      </c>
      <c r="E4" s="16">
        <f t="shared" ref="E4:E33" si="1">(D4-D3)*800/5</f>
        <v>320</v>
      </c>
      <c r="F4" s="37">
        <v>20635</v>
      </c>
      <c r="G4" s="16">
        <f t="shared" ref="G4:G33" si="2">(F4-F3)*100/5</f>
        <v>80</v>
      </c>
      <c r="H4" s="37">
        <v>246446</v>
      </c>
      <c r="I4" s="16">
        <f t="shared" ref="I4:I33" si="3">(H4-H3)</f>
        <v>50</v>
      </c>
      <c r="J4" s="37">
        <v>303517</v>
      </c>
      <c r="K4" s="16">
        <f t="shared" ref="K4:K33" si="4">(J4-J3)*800/5</f>
        <v>0</v>
      </c>
      <c r="L4" s="37">
        <v>25214</v>
      </c>
      <c r="M4" s="16">
        <f t="shared" ref="M4:M33" si="5">(L4-L3)*800/5</f>
        <v>640</v>
      </c>
      <c r="N4" s="37">
        <v>215743</v>
      </c>
      <c r="O4" s="16">
        <f t="shared" ref="O4:O33" si="6">N4-N3</f>
        <v>4</v>
      </c>
      <c r="P4" s="37">
        <v>114070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37">
        <v>3720</v>
      </c>
      <c r="U4" s="16">
        <f t="shared" ref="U4:U33" si="9">(T4-T3)*800/5</f>
        <v>160</v>
      </c>
    </row>
    <row r="5" spans="1:24" ht="13.5" thickBot="1" x14ac:dyDescent="0.25">
      <c r="A5" s="10">
        <v>44411</v>
      </c>
      <c r="B5" s="37">
        <f t="shared" ref="B4:B33" si="10">B4</f>
        <v>45668</v>
      </c>
      <c r="C5" s="16">
        <f t="shared" si="0"/>
        <v>0</v>
      </c>
      <c r="D5" s="37">
        <f t="shared" ref="D4:D33" si="11">D4</f>
        <v>39726</v>
      </c>
      <c r="E5" s="16">
        <f t="shared" si="1"/>
        <v>0</v>
      </c>
      <c r="F5" s="37">
        <f t="shared" ref="F4:F33" si="12">F4</f>
        <v>20635</v>
      </c>
      <c r="G5" s="16">
        <f t="shared" si="2"/>
        <v>0</v>
      </c>
      <c r="H5" s="37">
        <f t="shared" ref="H4:H33" si="13">H4</f>
        <v>246446</v>
      </c>
      <c r="I5" s="16">
        <f t="shared" si="3"/>
        <v>0</v>
      </c>
      <c r="J5" s="37">
        <v>303517</v>
      </c>
      <c r="K5" s="16">
        <f t="shared" si="4"/>
        <v>0</v>
      </c>
      <c r="L5" s="37">
        <f t="shared" ref="L4:L33" si="14">L4</f>
        <v>25214</v>
      </c>
      <c r="M5" s="16">
        <f t="shared" si="5"/>
        <v>0</v>
      </c>
      <c r="N5" s="37">
        <f t="shared" ref="N4:N33" si="15">N4</f>
        <v>215743</v>
      </c>
      <c r="O5" s="16">
        <f t="shared" si="6"/>
        <v>0</v>
      </c>
      <c r="P5" s="37">
        <f t="shared" ref="P4:P33" si="16">P4</f>
        <v>114070</v>
      </c>
      <c r="Q5" s="16">
        <f t="shared" si="7"/>
        <v>0</v>
      </c>
      <c r="R5" s="1">
        <v>55047</v>
      </c>
      <c r="S5" s="16">
        <f t="shared" si="8"/>
        <v>0</v>
      </c>
      <c r="T5" s="37">
        <f t="shared" ref="T4:T33" si="17">T4</f>
        <v>3720</v>
      </c>
      <c r="U5" s="16">
        <f t="shared" si="9"/>
        <v>0</v>
      </c>
    </row>
    <row r="6" spans="1:24" ht="13.5" thickBot="1" x14ac:dyDescent="0.25">
      <c r="A6" s="10">
        <v>44412</v>
      </c>
      <c r="B6" s="37">
        <f t="shared" si="10"/>
        <v>45668</v>
      </c>
      <c r="C6" s="16">
        <f t="shared" si="0"/>
        <v>0</v>
      </c>
      <c r="D6" s="37">
        <f t="shared" si="11"/>
        <v>39726</v>
      </c>
      <c r="E6" s="16">
        <f t="shared" si="1"/>
        <v>0</v>
      </c>
      <c r="F6" s="37">
        <f t="shared" si="12"/>
        <v>20635</v>
      </c>
      <c r="G6" s="16">
        <f t="shared" si="2"/>
        <v>0</v>
      </c>
      <c r="H6" s="37">
        <f t="shared" si="13"/>
        <v>246446</v>
      </c>
      <c r="I6" s="16">
        <f t="shared" si="3"/>
        <v>0</v>
      </c>
      <c r="J6" s="37">
        <v>303517</v>
      </c>
      <c r="K6" s="16">
        <f t="shared" si="4"/>
        <v>0</v>
      </c>
      <c r="L6" s="37">
        <f t="shared" si="14"/>
        <v>25214</v>
      </c>
      <c r="M6" s="16">
        <f t="shared" si="5"/>
        <v>0</v>
      </c>
      <c r="N6" s="37">
        <f t="shared" si="15"/>
        <v>215743</v>
      </c>
      <c r="O6" s="16">
        <f t="shared" si="6"/>
        <v>0</v>
      </c>
      <c r="P6" s="37">
        <f t="shared" si="16"/>
        <v>114070</v>
      </c>
      <c r="Q6" s="16">
        <f t="shared" si="7"/>
        <v>0</v>
      </c>
      <c r="R6" s="1">
        <v>55047</v>
      </c>
      <c r="S6" s="16">
        <f>R30-R5</f>
        <v>0</v>
      </c>
      <c r="T6" s="37">
        <f t="shared" si="17"/>
        <v>3720</v>
      </c>
      <c r="U6" s="16">
        <f t="shared" si="9"/>
        <v>0</v>
      </c>
    </row>
    <row r="7" spans="1:24" ht="13.5" thickBot="1" x14ac:dyDescent="0.25">
      <c r="A7" s="10">
        <v>44413</v>
      </c>
      <c r="B7" s="37">
        <f t="shared" si="10"/>
        <v>45668</v>
      </c>
      <c r="C7" s="16">
        <f t="shared" si="0"/>
        <v>0</v>
      </c>
      <c r="D7" s="37">
        <f t="shared" si="11"/>
        <v>39726</v>
      </c>
      <c r="E7" s="16">
        <f t="shared" si="1"/>
        <v>0</v>
      </c>
      <c r="F7" s="37">
        <f t="shared" si="12"/>
        <v>20635</v>
      </c>
      <c r="G7" s="16">
        <f t="shared" si="2"/>
        <v>0</v>
      </c>
      <c r="H7" s="37">
        <f t="shared" si="13"/>
        <v>246446</v>
      </c>
      <c r="I7" s="16">
        <f t="shared" si="3"/>
        <v>0</v>
      </c>
      <c r="J7" s="37">
        <v>303517</v>
      </c>
      <c r="K7" s="16">
        <f t="shared" si="4"/>
        <v>0</v>
      </c>
      <c r="L7" s="37">
        <f t="shared" si="14"/>
        <v>25214</v>
      </c>
      <c r="M7" s="16">
        <f t="shared" si="5"/>
        <v>0</v>
      </c>
      <c r="N7" s="37">
        <f t="shared" si="15"/>
        <v>215743</v>
      </c>
      <c r="O7" s="16">
        <f t="shared" si="6"/>
        <v>0</v>
      </c>
      <c r="P7" s="37">
        <f t="shared" si="16"/>
        <v>114070</v>
      </c>
      <c r="Q7" s="16">
        <f t="shared" si="7"/>
        <v>0</v>
      </c>
      <c r="R7" s="1">
        <v>55047</v>
      </c>
      <c r="S7" s="16">
        <f>R7-R30</f>
        <v>0</v>
      </c>
      <c r="T7" s="37">
        <f t="shared" si="17"/>
        <v>3720</v>
      </c>
      <c r="U7" s="16">
        <f t="shared" si="9"/>
        <v>0</v>
      </c>
    </row>
    <row r="8" spans="1:24" ht="13.5" thickBot="1" x14ac:dyDescent="0.25">
      <c r="A8" s="10">
        <v>44414</v>
      </c>
      <c r="B8" s="37">
        <f t="shared" si="10"/>
        <v>45668</v>
      </c>
      <c r="C8" s="16">
        <f t="shared" si="0"/>
        <v>0</v>
      </c>
      <c r="D8" s="37">
        <f t="shared" si="11"/>
        <v>39726</v>
      </c>
      <c r="E8" s="16">
        <f t="shared" si="1"/>
        <v>0</v>
      </c>
      <c r="F8" s="37">
        <f t="shared" si="12"/>
        <v>20635</v>
      </c>
      <c r="G8" s="16">
        <f t="shared" si="2"/>
        <v>0</v>
      </c>
      <c r="H8" s="37">
        <f t="shared" si="13"/>
        <v>246446</v>
      </c>
      <c r="I8" s="16">
        <f t="shared" si="3"/>
        <v>0</v>
      </c>
      <c r="J8" s="37">
        <v>303517</v>
      </c>
      <c r="K8" s="16">
        <f t="shared" si="4"/>
        <v>0</v>
      </c>
      <c r="L8" s="37">
        <f t="shared" si="14"/>
        <v>25214</v>
      </c>
      <c r="M8" s="16">
        <f t="shared" si="5"/>
        <v>0</v>
      </c>
      <c r="N8" s="37">
        <f t="shared" si="15"/>
        <v>215743</v>
      </c>
      <c r="O8" s="16">
        <f t="shared" si="6"/>
        <v>0</v>
      </c>
      <c r="P8" s="37">
        <f t="shared" si="16"/>
        <v>114070</v>
      </c>
      <c r="Q8" s="16">
        <f t="shared" si="7"/>
        <v>0</v>
      </c>
      <c r="R8" s="1">
        <v>55047</v>
      </c>
      <c r="S8" s="16">
        <f>R8-R7</f>
        <v>0</v>
      </c>
      <c r="T8" s="37">
        <f t="shared" si="17"/>
        <v>3720</v>
      </c>
      <c r="U8" s="16">
        <f t="shared" si="9"/>
        <v>0</v>
      </c>
    </row>
    <row r="9" spans="1:24" ht="13.5" thickBot="1" x14ac:dyDescent="0.25">
      <c r="A9" s="10">
        <v>44415</v>
      </c>
      <c r="B9" s="37">
        <f t="shared" si="10"/>
        <v>45668</v>
      </c>
      <c r="C9" s="16">
        <f t="shared" si="0"/>
        <v>0</v>
      </c>
      <c r="D9" s="37">
        <f t="shared" si="11"/>
        <v>39726</v>
      </c>
      <c r="E9" s="16">
        <f t="shared" si="1"/>
        <v>0</v>
      </c>
      <c r="F9" s="37">
        <f t="shared" si="12"/>
        <v>20635</v>
      </c>
      <c r="G9" s="16">
        <f t="shared" si="2"/>
        <v>0</v>
      </c>
      <c r="H9" s="37">
        <f t="shared" si="13"/>
        <v>246446</v>
      </c>
      <c r="I9" s="16">
        <f t="shared" si="3"/>
        <v>0</v>
      </c>
      <c r="J9" s="37">
        <v>303517</v>
      </c>
      <c r="K9" s="16">
        <f t="shared" si="4"/>
        <v>0</v>
      </c>
      <c r="L9" s="37">
        <f t="shared" si="14"/>
        <v>25214</v>
      </c>
      <c r="M9" s="16">
        <f t="shared" si="5"/>
        <v>0</v>
      </c>
      <c r="N9" s="37">
        <f t="shared" si="15"/>
        <v>215743</v>
      </c>
      <c r="O9" s="16">
        <f t="shared" si="6"/>
        <v>0</v>
      </c>
      <c r="P9" s="37">
        <f t="shared" si="16"/>
        <v>114070</v>
      </c>
      <c r="Q9" s="16">
        <f>P9-P8</f>
        <v>0</v>
      </c>
      <c r="R9" s="1">
        <v>55047</v>
      </c>
      <c r="S9" s="16">
        <f>R9-R8</f>
        <v>0</v>
      </c>
      <c r="T9" s="37">
        <f t="shared" si="17"/>
        <v>3720</v>
      </c>
      <c r="U9" s="16">
        <f t="shared" si="9"/>
        <v>0</v>
      </c>
    </row>
    <row r="10" spans="1:24" ht="13.5" thickBot="1" x14ac:dyDescent="0.25">
      <c r="A10" s="10">
        <v>44416</v>
      </c>
      <c r="B10" s="37">
        <f t="shared" si="10"/>
        <v>45668</v>
      </c>
      <c r="C10" s="16">
        <f t="shared" si="0"/>
        <v>0</v>
      </c>
      <c r="D10" s="37">
        <f t="shared" si="11"/>
        <v>39726</v>
      </c>
      <c r="E10" s="16">
        <f t="shared" si="1"/>
        <v>0</v>
      </c>
      <c r="F10" s="37">
        <f t="shared" si="12"/>
        <v>20635</v>
      </c>
      <c r="G10" s="16">
        <f t="shared" si="2"/>
        <v>0</v>
      </c>
      <c r="H10" s="37">
        <f t="shared" si="13"/>
        <v>246446</v>
      </c>
      <c r="I10" s="16">
        <f t="shared" si="3"/>
        <v>0</v>
      </c>
      <c r="J10" s="37">
        <v>303517</v>
      </c>
      <c r="K10" s="16">
        <f t="shared" si="4"/>
        <v>0</v>
      </c>
      <c r="L10" s="37">
        <f t="shared" si="14"/>
        <v>25214</v>
      </c>
      <c r="M10" s="16">
        <f t="shared" si="5"/>
        <v>0</v>
      </c>
      <c r="N10" s="37">
        <f t="shared" si="15"/>
        <v>215743</v>
      </c>
      <c r="O10" s="16">
        <f t="shared" si="6"/>
        <v>0</v>
      </c>
      <c r="P10" s="37">
        <f t="shared" si="16"/>
        <v>114070</v>
      </c>
      <c r="Q10" s="16">
        <f>P10-P9</f>
        <v>0</v>
      </c>
      <c r="R10" s="1">
        <v>55047</v>
      </c>
      <c r="S10" s="16">
        <f>R10-R9</f>
        <v>0</v>
      </c>
      <c r="T10" s="37">
        <f t="shared" si="17"/>
        <v>3720</v>
      </c>
      <c r="U10" s="16">
        <f t="shared" si="9"/>
        <v>0</v>
      </c>
    </row>
    <row r="11" spans="1:24" ht="13.5" thickBot="1" x14ac:dyDescent="0.25">
      <c r="A11" s="10">
        <v>44417</v>
      </c>
      <c r="B11" s="37">
        <f t="shared" si="10"/>
        <v>45668</v>
      </c>
      <c r="C11" s="16">
        <f t="shared" si="0"/>
        <v>0</v>
      </c>
      <c r="D11" s="37">
        <f t="shared" si="11"/>
        <v>39726</v>
      </c>
      <c r="E11" s="16">
        <f t="shared" si="1"/>
        <v>0</v>
      </c>
      <c r="F11" s="37">
        <f t="shared" si="12"/>
        <v>20635</v>
      </c>
      <c r="G11" s="16">
        <f t="shared" si="2"/>
        <v>0</v>
      </c>
      <c r="H11" s="37">
        <f t="shared" si="13"/>
        <v>246446</v>
      </c>
      <c r="I11" s="16">
        <f t="shared" si="3"/>
        <v>0</v>
      </c>
      <c r="J11" s="37">
        <v>303517</v>
      </c>
      <c r="K11" s="16">
        <f t="shared" si="4"/>
        <v>0</v>
      </c>
      <c r="L11" s="37">
        <f t="shared" si="14"/>
        <v>25214</v>
      </c>
      <c r="M11" s="16">
        <f t="shared" si="5"/>
        <v>0</v>
      </c>
      <c r="N11" s="37">
        <f t="shared" si="15"/>
        <v>215743</v>
      </c>
      <c r="O11" s="16">
        <f t="shared" si="6"/>
        <v>0</v>
      </c>
      <c r="P11" s="37">
        <f t="shared" si="16"/>
        <v>114070</v>
      </c>
      <c r="Q11" s="16">
        <f t="shared" si="7"/>
        <v>0</v>
      </c>
      <c r="R11" s="1">
        <v>55047</v>
      </c>
      <c r="S11" s="16">
        <f t="shared" si="8"/>
        <v>0</v>
      </c>
      <c r="T11" s="37">
        <f t="shared" si="17"/>
        <v>3720</v>
      </c>
      <c r="U11" s="16">
        <f t="shared" si="9"/>
        <v>0</v>
      </c>
    </row>
    <row r="12" spans="1:24" ht="13.5" thickBot="1" x14ac:dyDescent="0.25">
      <c r="A12" s="10">
        <v>44418</v>
      </c>
      <c r="B12" s="37">
        <f t="shared" si="10"/>
        <v>45668</v>
      </c>
      <c r="C12" s="16">
        <f t="shared" si="0"/>
        <v>0</v>
      </c>
      <c r="D12" s="37">
        <f t="shared" si="11"/>
        <v>39726</v>
      </c>
      <c r="E12" s="16">
        <f t="shared" si="1"/>
        <v>0</v>
      </c>
      <c r="F12" s="37">
        <f t="shared" si="12"/>
        <v>20635</v>
      </c>
      <c r="G12" s="16">
        <f t="shared" si="2"/>
        <v>0</v>
      </c>
      <c r="H12" s="37">
        <f t="shared" si="13"/>
        <v>246446</v>
      </c>
      <c r="I12" s="16">
        <f t="shared" si="3"/>
        <v>0</v>
      </c>
      <c r="J12" s="37">
        <v>303517</v>
      </c>
      <c r="K12" s="16">
        <f t="shared" si="4"/>
        <v>0</v>
      </c>
      <c r="L12" s="37">
        <f t="shared" si="14"/>
        <v>25214</v>
      </c>
      <c r="M12" s="16">
        <f t="shared" si="5"/>
        <v>0</v>
      </c>
      <c r="N12" s="37">
        <f t="shared" si="15"/>
        <v>215743</v>
      </c>
      <c r="O12" s="16">
        <f t="shared" si="6"/>
        <v>0</v>
      </c>
      <c r="P12" s="37">
        <f t="shared" si="16"/>
        <v>114070</v>
      </c>
      <c r="Q12" s="16">
        <f t="shared" si="7"/>
        <v>0</v>
      </c>
      <c r="R12" s="1">
        <v>55047</v>
      </c>
      <c r="S12" s="16">
        <f t="shared" si="8"/>
        <v>0</v>
      </c>
      <c r="T12" s="37">
        <f t="shared" si="17"/>
        <v>3720</v>
      </c>
      <c r="U12" s="16">
        <f t="shared" si="9"/>
        <v>0</v>
      </c>
    </row>
    <row r="13" spans="1:24" ht="13.5" thickBot="1" x14ac:dyDescent="0.25">
      <c r="A13" s="10">
        <v>44419</v>
      </c>
      <c r="B13" s="37">
        <f t="shared" si="10"/>
        <v>45668</v>
      </c>
      <c r="C13" s="16">
        <f t="shared" si="0"/>
        <v>0</v>
      </c>
      <c r="D13" s="37">
        <f t="shared" si="11"/>
        <v>39726</v>
      </c>
      <c r="E13" s="16">
        <f t="shared" si="1"/>
        <v>0</v>
      </c>
      <c r="F13" s="37">
        <f t="shared" si="12"/>
        <v>20635</v>
      </c>
      <c r="G13" s="16">
        <f t="shared" si="2"/>
        <v>0</v>
      </c>
      <c r="H13" s="37">
        <f t="shared" si="13"/>
        <v>246446</v>
      </c>
      <c r="I13" s="16">
        <f t="shared" si="3"/>
        <v>0</v>
      </c>
      <c r="J13" s="37">
        <v>303517</v>
      </c>
      <c r="K13" s="16">
        <f t="shared" si="4"/>
        <v>0</v>
      </c>
      <c r="L13" s="37">
        <f t="shared" si="14"/>
        <v>25214</v>
      </c>
      <c r="M13" s="16">
        <f t="shared" si="5"/>
        <v>0</v>
      </c>
      <c r="N13" s="37">
        <f t="shared" si="15"/>
        <v>215743</v>
      </c>
      <c r="O13" s="16">
        <f t="shared" si="6"/>
        <v>0</v>
      </c>
      <c r="P13" s="37">
        <f t="shared" si="16"/>
        <v>114070</v>
      </c>
      <c r="Q13" s="16">
        <f t="shared" si="7"/>
        <v>0</v>
      </c>
      <c r="R13" s="1">
        <v>55047</v>
      </c>
      <c r="S13" s="16">
        <f t="shared" si="8"/>
        <v>0</v>
      </c>
      <c r="T13" s="37">
        <f t="shared" si="17"/>
        <v>3720</v>
      </c>
      <c r="U13" s="16">
        <f t="shared" si="9"/>
        <v>0</v>
      </c>
    </row>
    <row r="14" spans="1:24" ht="13.5" thickBot="1" x14ac:dyDescent="0.25">
      <c r="A14" s="10">
        <v>44420</v>
      </c>
      <c r="B14" s="37">
        <f t="shared" si="10"/>
        <v>45668</v>
      </c>
      <c r="C14" s="16">
        <f t="shared" si="0"/>
        <v>0</v>
      </c>
      <c r="D14" s="37">
        <f t="shared" si="11"/>
        <v>39726</v>
      </c>
      <c r="E14" s="16">
        <f t="shared" si="1"/>
        <v>0</v>
      </c>
      <c r="F14" s="37">
        <f t="shared" si="12"/>
        <v>20635</v>
      </c>
      <c r="G14" s="16">
        <f t="shared" si="2"/>
        <v>0</v>
      </c>
      <c r="H14" s="37">
        <f t="shared" si="13"/>
        <v>246446</v>
      </c>
      <c r="I14" s="16">
        <f t="shared" si="3"/>
        <v>0</v>
      </c>
      <c r="J14" s="37">
        <v>303517</v>
      </c>
      <c r="K14" s="16">
        <f t="shared" si="4"/>
        <v>0</v>
      </c>
      <c r="L14" s="37">
        <f t="shared" si="14"/>
        <v>25214</v>
      </c>
      <c r="M14" s="16">
        <f t="shared" si="5"/>
        <v>0</v>
      </c>
      <c r="N14" s="37">
        <f t="shared" si="15"/>
        <v>215743</v>
      </c>
      <c r="O14" s="16">
        <f t="shared" si="6"/>
        <v>0</v>
      </c>
      <c r="P14" s="37">
        <f t="shared" si="16"/>
        <v>114070</v>
      </c>
      <c r="Q14" s="16">
        <f t="shared" si="7"/>
        <v>0</v>
      </c>
      <c r="R14" s="1">
        <v>55047</v>
      </c>
      <c r="S14" s="16">
        <f t="shared" si="8"/>
        <v>0</v>
      </c>
      <c r="T14" s="37">
        <f t="shared" si="17"/>
        <v>3720</v>
      </c>
      <c r="U14" s="16">
        <f>(T14-T13)*800/5</f>
        <v>0</v>
      </c>
    </row>
    <row r="15" spans="1:24" ht="13.5" thickBot="1" x14ac:dyDescent="0.25">
      <c r="A15" s="10">
        <v>44421</v>
      </c>
      <c r="B15" s="37">
        <f t="shared" si="10"/>
        <v>45668</v>
      </c>
      <c r="C15" s="16">
        <f t="shared" si="0"/>
        <v>0</v>
      </c>
      <c r="D15" s="37">
        <f t="shared" si="11"/>
        <v>39726</v>
      </c>
      <c r="E15" s="16">
        <f t="shared" si="1"/>
        <v>0</v>
      </c>
      <c r="F15" s="37">
        <f t="shared" si="12"/>
        <v>20635</v>
      </c>
      <c r="G15" s="16">
        <f t="shared" si="2"/>
        <v>0</v>
      </c>
      <c r="H15" s="37">
        <f t="shared" si="13"/>
        <v>246446</v>
      </c>
      <c r="I15" s="16">
        <f t="shared" si="3"/>
        <v>0</v>
      </c>
      <c r="J15" s="37">
        <v>303517</v>
      </c>
      <c r="K15" s="16">
        <f t="shared" si="4"/>
        <v>0</v>
      </c>
      <c r="L15" s="37">
        <f t="shared" si="14"/>
        <v>25214</v>
      </c>
      <c r="M15" s="16">
        <f t="shared" si="5"/>
        <v>0</v>
      </c>
      <c r="N15" s="37">
        <f t="shared" si="15"/>
        <v>215743</v>
      </c>
      <c r="O15" s="16">
        <f t="shared" si="6"/>
        <v>0</v>
      </c>
      <c r="P15" s="37">
        <f t="shared" si="16"/>
        <v>114070</v>
      </c>
      <c r="Q15" s="16">
        <f t="shared" si="7"/>
        <v>0</v>
      </c>
      <c r="R15" s="1">
        <v>55047</v>
      </c>
      <c r="S15" s="16">
        <f t="shared" si="8"/>
        <v>0</v>
      </c>
      <c r="T15" s="37">
        <f t="shared" si="17"/>
        <v>3720</v>
      </c>
      <c r="U15" s="16">
        <f>(T15-T14)*800/5</f>
        <v>0</v>
      </c>
      <c r="X15" t="s">
        <v>12</v>
      </c>
    </row>
    <row r="16" spans="1:24" ht="13.5" thickBot="1" x14ac:dyDescent="0.25">
      <c r="A16" s="10">
        <v>44422</v>
      </c>
      <c r="B16" s="37">
        <f t="shared" si="10"/>
        <v>45668</v>
      </c>
      <c r="C16" s="16">
        <f t="shared" si="0"/>
        <v>0</v>
      </c>
      <c r="D16" s="37">
        <f t="shared" si="11"/>
        <v>39726</v>
      </c>
      <c r="E16" s="16">
        <f t="shared" si="1"/>
        <v>0</v>
      </c>
      <c r="F16" s="37">
        <f t="shared" si="12"/>
        <v>20635</v>
      </c>
      <c r="G16" s="16">
        <f t="shared" si="2"/>
        <v>0</v>
      </c>
      <c r="H16" s="37">
        <f t="shared" si="13"/>
        <v>246446</v>
      </c>
      <c r="I16" s="16">
        <f t="shared" si="3"/>
        <v>0</v>
      </c>
      <c r="J16" s="37">
        <v>303517</v>
      </c>
      <c r="K16" s="16">
        <f t="shared" si="4"/>
        <v>0</v>
      </c>
      <c r="L16" s="37">
        <f t="shared" si="14"/>
        <v>25214</v>
      </c>
      <c r="M16" s="16">
        <f t="shared" si="5"/>
        <v>0</v>
      </c>
      <c r="N16" s="37">
        <f t="shared" si="15"/>
        <v>215743</v>
      </c>
      <c r="O16" s="16">
        <f t="shared" si="6"/>
        <v>0</v>
      </c>
      <c r="P16" s="37">
        <f t="shared" si="16"/>
        <v>114070</v>
      </c>
      <c r="Q16" s="16">
        <f t="shared" si="7"/>
        <v>0</v>
      </c>
      <c r="R16" s="1">
        <v>55047</v>
      </c>
      <c r="S16" s="16">
        <f t="shared" si="8"/>
        <v>0</v>
      </c>
      <c r="T16" s="37">
        <f t="shared" si="17"/>
        <v>3720</v>
      </c>
      <c r="U16" s="16">
        <f t="shared" si="9"/>
        <v>0</v>
      </c>
      <c r="W16" t="s">
        <v>12</v>
      </c>
    </row>
    <row r="17" spans="1:23" ht="13.5" thickBot="1" x14ac:dyDescent="0.25">
      <c r="A17" s="10">
        <v>44423</v>
      </c>
      <c r="B17" s="37">
        <f t="shared" si="10"/>
        <v>45668</v>
      </c>
      <c r="C17" s="16">
        <f t="shared" si="0"/>
        <v>0</v>
      </c>
      <c r="D17" s="37">
        <f t="shared" si="11"/>
        <v>39726</v>
      </c>
      <c r="E17" s="16">
        <f t="shared" si="1"/>
        <v>0</v>
      </c>
      <c r="F17" s="37">
        <f t="shared" si="12"/>
        <v>20635</v>
      </c>
      <c r="G17" s="16">
        <f t="shared" si="2"/>
        <v>0</v>
      </c>
      <c r="H17" s="37">
        <f t="shared" si="13"/>
        <v>246446</v>
      </c>
      <c r="I17" s="16">
        <f t="shared" si="3"/>
        <v>0</v>
      </c>
      <c r="J17" s="37">
        <v>303517</v>
      </c>
      <c r="K17" s="16">
        <f t="shared" si="4"/>
        <v>0</v>
      </c>
      <c r="L17" s="37">
        <f t="shared" si="14"/>
        <v>25214</v>
      </c>
      <c r="M17" s="16">
        <f t="shared" si="5"/>
        <v>0</v>
      </c>
      <c r="N17" s="37">
        <f t="shared" si="15"/>
        <v>215743</v>
      </c>
      <c r="O17" s="16">
        <f t="shared" si="6"/>
        <v>0</v>
      </c>
      <c r="P17" s="37">
        <f t="shared" si="16"/>
        <v>114070</v>
      </c>
      <c r="Q17" s="16">
        <f t="shared" si="7"/>
        <v>0</v>
      </c>
      <c r="R17" s="1">
        <v>55047</v>
      </c>
      <c r="S17" s="16">
        <f>S16</f>
        <v>0</v>
      </c>
      <c r="T17" s="37">
        <f t="shared" si="17"/>
        <v>3720</v>
      </c>
      <c r="U17" s="16">
        <f t="shared" si="9"/>
        <v>0</v>
      </c>
    </row>
    <row r="18" spans="1:23" ht="13.5" thickBot="1" x14ac:dyDescent="0.25">
      <c r="A18" s="10">
        <v>44424</v>
      </c>
      <c r="B18" s="37">
        <f t="shared" si="10"/>
        <v>45668</v>
      </c>
      <c r="C18" s="16">
        <f t="shared" si="0"/>
        <v>0</v>
      </c>
      <c r="D18" s="37">
        <f t="shared" si="11"/>
        <v>39726</v>
      </c>
      <c r="E18" s="16">
        <f t="shared" si="1"/>
        <v>0</v>
      </c>
      <c r="F18" s="37">
        <f t="shared" si="12"/>
        <v>20635</v>
      </c>
      <c r="G18" s="16">
        <f t="shared" si="2"/>
        <v>0</v>
      </c>
      <c r="H18" s="37">
        <f t="shared" si="13"/>
        <v>246446</v>
      </c>
      <c r="I18" s="16">
        <f t="shared" si="3"/>
        <v>0</v>
      </c>
      <c r="J18" s="37">
        <v>303517</v>
      </c>
      <c r="K18" s="16">
        <f t="shared" si="4"/>
        <v>0</v>
      </c>
      <c r="L18" s="37">
        <f t="shared" si="14"/>
        <v>25214</v>
      </c>
      <c r="M18" s="16">
        <f t="shared" si="5"/>
        <v>0</v>
      </c>
      <c r="N18" s="37">
        <f t="shared" si="15"/>
        <v>215743</v>
      </c>
      <c r="O18" s="16">
        <f t="shared" si="6"/>
        <v>0</v>
      </c>
      <c r="P18" s="37">
        <f t="shared" si="16"/>
        <v>114070</v>
      </c>
      <c r="Q18" s="16">
        <f t="shared" si="7"/>
        <v>0</v>
      </c>
      <c r="R18" s="1">
        <v>55047</v>
      </c>
      <c r="S18" s="16">
        <f t="shared" si="8"/>
        <v>0</v>
      </c>
      <c r="T18" s="37">
        <f t="shared" si="17"/>
        <v>3720</v>
      </c>
      <c r="U18" s="16">
        <f t="shared" si="9"/>
        <v>0</v>
      </c>
    </row>
    <row r="19" spans="1:23" ht="13.5" thickBot="1" x14ac:dyDescent="0.25">
      <c r="A19" s="10">
        <v>44425</v>
      </c>
      <c r="B19" s="37">
        <f t="shared" si="10"/>
        <v>45668</v>
      </c>
      <c r="C19" s="16">
        <f t="shared" si="0"/>
        <v>0</v>
      </c>
      <c r="D19" s="37">
        <f t="shared" si="11"/>
        <v>39726</v>
      </c>
      <c r="E19" s="16">
        <f t="shared" si="1"/>
        <v>0</v>
      </c>
      <c r="F19" s="37">
        <f t="shared" si="12"/>
        <v>20635</v>
      </c>
      <c r="G19" s="16">
        <f t="shared" si="2"/>
        <v>0</v>
      </c>
      <c r="H19" s="37">
        <f t="shared" si="13"/>
        <v>246446</v>
      </c>
      <c r="I19" s="16">
        <f t="shared" si="3"/>
        <v>0</v>
      </c>
      <c r="J19" s="37">
        <v>303517</v>
      </c>
      <c r="K19" s="16">
        <f t="shared" si="4"/>
        <v>0</v>
      </c>
      <c r="L19" s="37">
        <f t="shared" si="14"/>
        <v>25214</v>
      </c>
      <c r="M19" s="16">
        <f t="shared" si="5"/>
        <v>0</v>
      </c>
      <c r="N19" s="37">
        <f t="shared" si="15"/>
        <v>215743</v>
      </c>
      <c r="O19" s="16">
        <f t="shared" si="6"/>
        <v>0</v>
      </c>
      <c r="P19" s="37">
        <f t="shared" si="16"/>
        <v>114070</v>
      </c>
      <c r="Q19" s="16">
        <f t="shared" si="7"/>
        <v>0</v>
      </c>
      <c r="R19" s="1">
        <v>55047</v>
      </c>
      <c r="S19" s="16">
        <f t="shared" si="8"/>
        <v>0</v>
      </c>
      <c r="T19" s="37">
        <f t="shared" si="17"/>
        <v>3720</v>
      </c>
      <c r="U19" s="16">
        <f t="shared" si="9"/>
        <v>0</v>
      </c>
      <c r="W19" t="s">
        <v>12</v>
      </c>
    </row>
    <row r="20" spans="1:23" ht="13.5" thickBot="1" x14ac:dyDescent="0.25">
      <c r="A20" s="10">
        <v>44426</v>
      </c>
      <c r="B20" s="37">
        <f t="shared" si="10"/>
        <v>45668</v>
      </c>
      <c r="C20" s="16">
        <f t="shared" si="0"/>
        <v>0</v>
      </c>
      <c r="D20" s="37">
        <f t="shared" si="11"/>
        <v>39726</v>
      </c>
      <c r="E20" s="16">
        <f t="shared" si="1"/>
        <v>0</v>
      </c>
      <c r="F20" s="37">
        <f t="shared" si="12"/>
        <v>20635</v>
      </c>
      <c r="G20" s="16">
        <f t="shared" si="2"/>
        <v>0</v>
      </c>
      <c r="H20" s="37">
        <f t="shared" si="13"/>
        <v>246446</v>
      </c>
      <c r="I20" s="16">
        <f t="shared" si="3"/>
        <v>0</v>
      </c>
      <c r="J20" s="37">
        <v>303517</v>
      </c>
      <c r="K20" s="16">
        <v>0</v>
      </c>
      <c r="L20" s="37">
        <f t="shared" si="14"/>
        <v>25214</v>
      </c>
      <c r="M20" s="16">
        <f t="shared" si="5"/>
        <v>0</v>
      </c>
      <c r="N20" s="37">
        <f t="shared" si="15"/>
        <v>215743</v>
      </c>
      <c r="O20" s="16">
        <f t="shared" si="6"/>
        <v>0</v>
      </c>
      <c r="P20" s="37">
        <f t="shared" si="16"/>
        <v>114070</v>
      </c>
      <c r="Q20" s="16">
        <f t="shared" si="7"/>
        <v>0</v>
      </c>
      <c r="R20" s="1">
        <v>55047</v>
      </c>
      <c r="S20" s="16">
        <f t="shared" si="8"/>
        <v>0</v>
      </c>
      <c r="T20" s="37">
        <f t="shared" si="17"/>
        <v>3720</v>
      </c>
      <c r="U20" s="16">
        <f t="shared" si="9"/>
        <v>0</v>
      </c>
    </row>
    <row r="21" spans="1:23" ht="13.5" thickBot="1" x14ac:dyDescent="0.25">
      <c r="A21" s="10">
        <v>44427</v>
      </c>
      <c r="B21" s="37">
        <f t="shared" si="10"/>
        <v>45668</v>
      </c>
      <c r="C21" s="16">
        <f t="shared" si="0"/>
        <v>0</v>
      </c>
      <c r="D21" s="37">
        <f t="shared" si="11"/>
        <v>39726</v>
      </c>
      <c r="E21" s="16">
        <f t="shared" si="1"/>
        <v>0</v>
      </c>
      <c r="F21" s="37">
        <f t="shared" si="12"/>
        <v>20635</v>
      </c>
      <c r="G21" s="16">
        <f t="shared" si="2"/>
        <v>0</v>
      </c>
      <c r="H21" s="37">
        <f t="shared" si="13"/>
        <v>246446</v>
      </c>
      <c r="I21" s="16">
        <f t="shared" si="3"/>
        <v>0</v>
      </c>
      <c r="J21" s="37">
        <v>303517</v>
      </c>
      <c r="K21" s="16">
        <f t="shared" si="4"/>
        <v>0</v>
      </c>
      <c r="L21" s="37">
        <f t="shared" si="14"/>
        <v>25214</v>
      </c>
      <c r="M21" s="16">
        <f t="shared" si="5"/>
        <v>0</v>
      </c>
      <c r="N21" s="37">
        <f t="shared" si="15"/>
        <v>215743</v>
      </c>
      <c r="O21" s="16">
        <f t="shared" si="6"/>
        <v>0</v>
      </c>
      <c r="P21" s="37">
        <f t="shared" si="16"/>
        <v>114070</v>
      </c>
      <c r="Q21" s="16">
        <f t="shared" si="7"/>
        <v>0</v>
      </c>
      <c r="R21" s="1">
        <v>55047</v>
      </c>
      <c r="S21" s="16">
        <f t="shared" si="8"/>
        <v>0</v>
      </c>
      <c r="T21" s="37">
        <f t="shared" si="17"/>
        <v>3720</v>
      </c>
      <c r="U21" s="16">
        <f t="shared" si="9"/>
        <v>0</v>
      </c>
    </row>
    <row r="22" spans="1:23" ht="13.5" thickBot="1" x14ac:dyDescent="0.25">
      <c r="A22" s="10">
        <v>44428</v>
      </c>
      <c r="B22" s="37">
        <f t="shared" si="10"/>
        <v>45668</v>
      </c>
      <c r="C22" s="16">
        <f t="shared" si="0"/>
        <v>0</v>
      </c>
      <c r="D22" s="37">
        <f t="shared" si="11"/>
        <v>39726</v>
      </c>
      <c r="E22" s="16">
        <f t="shared" si="1"/>
        <v>0</v>
      </c>
      <c r="F22" s="37">
        <f t="shared" si="12"/>
        <v>20635</v>
      </c>
      <c r="G22" s="16">
        <f t="shared" si="2"/>
        <v>0</v>
      </c>
      <c r="H22" s="37">
        <f t="shared" si="13"/>
        <v>246446</v>
      </c>
      <c r="I22" s="16">
        <f t="shared" si="3"/>
        <v>0</v>
      </c>
      <c r="J22" s="37">
        <v>303517</v>
      </c>
      <c r="K22" s="16">
        <f t="shared" si="4"/>
        <v>0</v>
      </c>
      <c r="L22" s="37">
        <f t="shared" si="14"/>
        <v>25214</v>
      </c>
      <c r="M22" s="16">
        <f t="shared" si="5"/>
        <v>0</v>
      </c>
      <c r="N22" s="37">
        <f t="shared" si="15"/>
        <v>215743</v>
      </c>
      <c r="O22" s="16">
        <f t="shared" si="6"/>
        <v>0</v>
      </c>
      <c r="P22" s="37">
        <f t="shared" si="16"/>
        <v>114070</v>
      </c>
      <c r="Q22" s="16">
        <f>P22-P21</f>
        <v>0</v>
      </c>
      <c r="R22" s="1">
        <v>55047</v>
      </c>
      <c r="S22" s="16">
        <f t="shared" si="8"/>
        <v>0</v>
      </c>
      <c r="T22" s="37">
        <f t="shared" si="17"/>
        <v>3720</v>
      </c>
      <c r="U22" s="16">
        <f t="shared" si="9"/>
        <v>0</v>
      </c>
    </row>
    <row r="23" spans="1:23" ht="13.5" thickBot="1" x14ac:dyDescent="0.25">
      <c r="A23" s="10">
        <v>44429</v>
      </c>
      <c r="B23" s="37">
        <f t="shared" si="10"/>
        <v>45668</v>
      </c>
      <c r="C23" s="16">
        <f t="shared" si="0"/>
        <v>0</v>
      </c>
      <c r="D23" s="37">
        <f t="shared" si="11"/>
        <v>39726</v>
      </c>
      <c r="E23" s="16">
        <f t="shared" si="1"/>
        <v>0</v>
      </c>
      <c r="F23" s="37">
        <f t="shared" si="12"/>
        <v>20635</v>
      </c>
      <c r="G23" s="16">
        <f t="shared" si="2"/>
        <v>0</v>
      </c>
      <c r="H23" s="37">
        <f t="shared" si="13"/>
        <v>246446</v>
      </c>
      <c r="I23" s="16">
        <f t="shared" si="3"/>
        <v>0</v>
      </c>
      <c r="J23" s="37">
        <v>303517</v>
      </c>
      <c r="K23" s="16">
        <f t="shared" si="4"/>
        <v>0</v>
      </c>
      <c r="L23" s="37">
        <f t="shared" si="14"/>
        <v>25214</v>
      </c>
      <c r="M23" s="16">
        <f t="shared" si="5"/>
        <v>0</v>
      </c>
      <c r="N23" s="37">
        <f t="shared" si="15"/>
        <v>215743</v>
      </c>
      <c r="O23" s="16">
        <f t="shared" si="6"/>
        <v>0</v>
      </c>
      <c r="P23" s="37">
        <f t="shared" si="16"/>
        <v>114070</v>
      </c>
      <c r="Q23" s="16">
        <f t="shared" si="7"/>
        <v>0</v>
      </c>
      <c r="R23" s="1">
        <v>55047</v>
      </c>
      <c r="S23" s="16">
        <f t="shared" si="8"/>
        <v>0</v>
      </c>
      <c r="T23" s="37">
        <f t="shared" si="17"/>
        <v>3720</v>
      </c>
      <c r="U23" s="16">
        <f t="shared" si="9"/>
        <v>0</v>
      </c>
    </row>
    <row r="24" spans="1:23" s="138" customFormat="1" ht="13.5" thickBot="1" x14ac:dyDescent="0.25">
      <c r="A24" s="10">
        <v>44430</v>
      </c>
      <c r="B24" s="37">
        <f t="shared" si="10"/>
        <v>45668</v>
      </c>
      <c r="C24" s="16">
        <f t="shared" si="0"/>
        <v>0</v>
      </c>
      <c r="D24" s="37">
        <f t="shared" si="11"/>
        <v>39726</v>
      </c>
      <c r="E24" s="16">
        <f t="shared" si="1"/>
        <v>0</v>
      </c>
      <c r="F24" s="37">
        <f t="shared" si="12"/>
        <v>20635</v>
      </c>
      <c r="G24" s="16">
        <f t="shared" si="2"/>
        <v>0</v>
      </c>
      <c r="H24" s="37">
        <f t="shared" si="13"/>
        <v>246446</v>
      </c>
      <c r="I24" s="16">
        <f t="shared" si="3"/>
        <v>0</v>
      </c>
      <c r="J24" s="37">
        <v>303517</v>
      </c>
      <c r="K24" s="16">
        <f t="shared" si="4"/>
        <v>0</v>
      </c>
      <c r="L24" s="37">
        <f t="shared" si="14"/>
        <v>25214</v>
      </c>
      <c r="M24" s="16">
        <f t="shared" si="5"/>
        <v>0</v>
      </c>
      <c r="N24" s="37">
        <f t="shared" si="15"/>
        <v>215743</v>
      </c>
      <c r="O24" s="16">
        <f t="shared" si="6"/>
        <v>0</v>
      </c>
      <c r="P24" s="37">
        <f t="shared" si="16"/>
        <v>114070</v>
      </c>
      <c r="Q24" s="16">
        <f t="shared" si="7"/>
        <v>0</v>
      </c>
      <c r="R24" s="1">
        <v>55047</v>
      </c>
      <c r="S24" s="16">
        <f t="shared" si="8"/>
        <v>0</v>
      </c>
      <c r="T24" s="37">
        <f t="shared" si="17"/>
        <v>3720</v>
      </c>
      <c r="U24" s="16">
        <f t="shared" si="9"/>
        <v>0</v>
      </c>
    </row>
    <row r="25" spans="1:23" ht="13.5" thickBot="1" x14ac:dyDescent="0.25">
      <c r="A25" s="10">
        <v>44431</v>
      </c>
      <c r="B25" s="37">
        <f t="shared" si="10"/>
        <v>45668</v>
      </c>
      <c r="C25" s="16">
        <f t="shared" si="0"/>
        <v>0</v>
      </c>
      <c r="D25" s="37">
        <f t="shared" si="11"/>
        <v>39726</v>
      </c>
      <c r="E25" s="16">
        <f t="shared" si="1"/>
        <v>0</v>
      </c>
      <c r="F25" s="37">
        <f t="shared" si="12"/>
        <v>20635</v>
      </c>
      <c r="G25" s="16">
        <f t="shared" si="2"/>
        <v>0</v>
      </c>
      <c r="H25" s="37">
        <f t="shared" si="13"/>
        <v>246446</v>
      </c>
      <c r="I25" s="16">
        <f t="shared" si="3"/>
        <v>0</v>
      </c>
      <c r="J25" s="37">
        <v>303517</v>
      </c>
      <c r="K25" s="16">
        <f t="shared" si="4"/>
        <v>0</v>
      </c>
      <c r="L25" s="37">
        <f t="shared" si="14"/>
        <v>25214</v>
      </c>
      <c r="M25" s="16">
        <f t="shared" si="5"/>
        <v>0</v>
      </c>
      <c r="N25" s="37">
        <f t="shared" si="15"/>
        <v>215743</v>
      </c>
      <c r="O25" s="16">
        <f t="shared" si="6"/>
        <v>0</v>
      </c>
      <c r="P25" s="37">
        <f t="shared" si="16"/>
        <v>114070</v>
      </c>
      <c r="Q25" s="16">
        <f t="shared" si="7"/>
        <v>0</v>
      </c>
      <c r="R25" s="1">
        <v>55047</v>
      </c>
      <c r="S25" s="16">
        <f t="shared" si="8"/>
        <v>0</v>
      </c>
      <c r="T25" s="37">
        <f t="shared" si="17"/>
        <v>3720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44432</v>
      </c>
      <c r="B26" s="37">
        <f t="shared" si="10"/>
        <v>45668</v>
      </c>
      <c r="C26" s="16">
        <f t="shared" si="0"/>
        <v>0</v>
      </c>
      <c r="D26" s="37">
        <f t="shared" si="11"/>
        <v>39726</v>
      </c>
      <c r="E26" s="16">
        <f t="shared" si="1"/>
        <v>0</v>
      </c>
      <c r="F26" s="37">
        <f t="shared" si="12"/>
        <v>20635</v>
      </c>
      <c r="G26" s="16">
        <f t="shared" si="2"/>
        <v>0</v>
      </c>
      <c r="H26" s="37">
        <f t="shared" si="13"/>
        <v>246446</v>
      </c>
      <c r="I26" s="16">
        <f t="shared" si="3"/>
        <v>0</v>
      </c>
      <c r="J26" s="37">
        <v>303517</v>
      </c>
      <c r="K26" s="16">
        <f t="shared" si="4"/>
        <v>0</v>
      </c>
      <c r="L26" s="37">
        <f t="shared" si="14"/>
        <v>25214</v>
      </c>
      <c r="M26" s="16">
        <f t="shared" si="5"/>
        <v>0</v>
      </c>
      <c r="N26" s="37">
        <f t="shared" si="15"/>
        <v>215743</v>
      </c>
      <c r="O26" s="16">
        <f t="shared" si="6"/>
        <v>0</v>
      </c>
      <c r="P26" s="37">
        <f t="shared" si="16"/>
        <v>114070</v>
      </c>
      <c r="Q26" s="16">
        <f t="shared" si="7"/>
        <v>0</v>
      </c>
      <c r="R26" s="1">
        <v>55047</v>
      </c>
      <c r="S26" s="16">
        <f t="shared" si="8"/>
        <v>0</v>
      </c>
      <c r="T26" s="37">
        <f t="shared" si="17"/>
        <v>3720</v>
      </c>
      <c r="U26" s="16">
        <f t="shared" si="9"/>
        <v>0</v>
      </c>
      <c r="W26" t="s">
        <v>12</v>
      </c>
    </row>
    <row r="27" spans="1:23" ht="13.5" thickBot="1" x14ac:dyDescent="0.25">
      <c r="A27" s="10">
        <v>44433</v>
      </c>
      <c r="B27" s="37">
        <f t="shared" si="10"/>
        <v>45668</v>
      </c>
      <c r="C27" s="16">
        <f t="shared" si="0"/>
        <v>0</v>
      </c>
      <c r="D27" s="37">
        <f t="shared" si="11"/>
        <v>39726</v>
      </c>
      <c r="E27" s="16">
        <f t="shared" si="1"/>
        <v>0</v>
      </c>
      <c r="F27" s="37">
        <f t="shared" si="12"/>
        <v>20635</v>
      </c>
      <c r="G27" s="16">
        <f t="shared" si="2"/>
        <v>0</v>
      </c>
      <c r="H27" s="37">
        <f t="shared" si="13"/>
        <v>246446</v>
      </c>
      <c r="I27" s="16">
        <f t="shared" si="3"/>
        <v>0</v>
      </c>
      <c r="J27" s="37">
        <v>303517</v>
      </c>
      <c r="K27" s="16">
        <f t="shared" si="4"/>
        <v>0</v>
      </c>
      <c r="L27" s="37">
        <f t="shared" si="14"/>
        <v>25214</v>
      </c>
      <c r="M27" s="16">
        <f t="shared" si="5"/>
        <v>0</v>
      </c>
      <c r="N27" s="37">
        <f t="shared" si="15"/>
        <v>215743</v>
      </c>
      <c r="O27" s="16">
        <f t="shared" si="6"/>
        <v>0</v>
      </c>
      <c r="P27" s="37">
        <f t="shared" si="16"/>
        <v>114070</v>
      </c>
      <c r="Q27" s="16">
        <f t="shared" si="7"/>
        <v>0</v>
      </c>
      <c r="R27" s="1">
        <v>55047</v>
      </c>
      <c r="S27" s="16">
        <f t="shared" si="8"/>
        <v>0</v>
      </c>
      <c r="T27" s="37">
        <f t="shared" si="17"/>
        <v>3720</v>
      </c>
      <c r="U27" s="16">
        <f t="shared" si="9"/>
        <v>0</v>
      </c>
    </row>
    <row r="28" spans="1:23" ht="13.5" thickBot="1" x14ac:dyDescent="0.25">
      <c r="A28" s="10">
        <v>44434</v>
      </c>
      <c r="B28" s="37">
        <f t="shared" si="10"/>
        <v>45668</v>
      </c>
      <c r="C28" s="16">
        <f t="shared" si="0"/>
        <v>0</v>
      </c>
      <c r="D28" s="37">
        <f t="shared" si="11"/>
        <v>39726</v>
      </c>
      <c r="E28" s="16">
        <f t="shared" si="1"/>
        <v>0</v>
      </c>
      <c r="F28" s="37">
        <f t="shared" si="12"/>
        <v>20635</v>
      </c>
      <c r="G28" s="16">
        <f t="shared" si="2"/>
        <v>0</v>
      </c>
      <c r="H28" s="37">
        <f t="shared" si="13"/>
        <v>246446</v>
      </c>
      <c r="I28" s="16">
        <f t="shared" si="3"/>
        <v>0</v>
      </c>
      <c r="J28" s="37">
        <v>303517</v>
      </c>
      <c r="K28" s="16">
        <f t="shared" si="4"/>
        <v>0</v>
      </c>
      <c r="L28" s="37">
        <f t="shared" si="14"/>
        <v>25214</v>
      </c>
      <c r="M28" s="16">
        <f t="shared" si="5"/>
        <v>0</v>
      </c>
      <c r="N28" s="37">
        <f t="shared" si="15"/>
        <v>215743</v>
      </c>
      <c r="O28" s="16">
        <f t="shared" si="6"/>
        <v>0</v>
      </c>
      <c r="P28" s="37">
        <f t="shared" si="16"/>
        <v>114070</v>
      </c>
      <c r="Q28" s="17">
        <f t="shared" si="7"/>
        <v>0</v>
      </c>
      <c r="R28" s="1">
        <v>55047</v>
      </c>
      <c r="S28" s="17">
        <f t="shared" si="8"/>
        <v>0</v>
      </c>
      <c r="T28" s="37">
        <f t="shared" si="17"/>
        <v>3720</v>
      </c>
      <c r="U28" s="16">
        <f t="shared" si="9"/>
        <v>0</v>
      </c>
    </row>
    <row r="29" spans="1:23" ht="13.5" thickBot="1" x14ac:dyDescent="0.25">
      <c r="A29" s="10">
        <v>44435</v>
      </c>
      <c r="B29" s="37">
        <f t="shared" si="10"/>
        <v>45668</v>
      </c>
      <c r="C29" s="16">
        <f t="shared" si="0"/>
        <v>0</v>
      </c>
      <c r="D29" s="37">
        <f t="shared" si="11"/>
        <v>39726</v>
      </c>
      <c r="E29" s="16">
        <f t="shared" si="1"/>
        <v>0</v>
      </c>
      <c r="F29" s="37">
        <f t="shared" si="12"/>
        <v>20635</v>
      </c>
      <c r="G29" s="16">
        <f t="shared" si="2"/>
        <v>0</v>
      </c>
      <c r="H29" s="37">
        <f t="shared" si="13"/>
        <v>246446</v>
      </c>
      <c r="I29" s="16">
        <f t="shared" si="3"/>
        <v>0</v>
      </c>
      <c r="J29" s="37">
        <v>303517</v>
      </c>
      <c r="K29" s="16">
        <f t="shared" si="4"/>
        <v>0</v>
      </c>
      <c r="L29" s="37">
        <f t="shared" si="14"/>
        <v>25214</v>
      </c>
      <c r="M29" s="16">
        <f t="shared" si="5"/>
        <v>0</v>
      </c>
      <c r="N29" s="37">
        <f t="shared" si="15"/>
        <v>215743</v>
      </c>
      <c r="O29" s="16">
        <f t="shared" si="6"/>
        <v>0</v>
      </c>
      <c r="P29" s="37">
        <f t="shared" si="16"/>
        <v>114070</v>
      </c>
      <c r="Q29" s="16">
        <f t="shared" si="7"/>
        <v>0</v>
      </c>
      <c r="R29" s="1">
        <v>55047</v>
      </c>
      <c r="S29" s="16">
        <f t="shared" si="8"/>
        <v>0</v>
      </c>
      <c r="T29" s="37">
        <f t="shared" si="17"/>
        <v>3720</v>
      </c>
      <c r="U29" s="16">
        <f t="shared" si="9"/>
        <v>0</v>
      </c>
    </row>
    <row r="30" spans="1:23" ht="13.5" thickBot="1" x14ac:dyDescent="0.25">
      <c r="A30" s="10">
        <v>44436</v>
      </c>
      <c r="B30" s="37">
        <f t="shared" si="10"/>
        <v>45668</v>
      </c>
      <c r="C30" s="16">
        <f t="shared" si="0"/>
        <v>0</v>
      </c>
      <c r="D30" s="37">
        <f t="shared" si="11"/>
        <v>39726</v>
      </c>
      <c r="E30" s="16">
        <f t="shared" si="1"/>
        <v>0</v>
      </c>
      <c r="F30" s="37">
        <f t="shared" si="12"/>
        <v>20635</v>
      </c>
      <c r="G30" s="16">
        <f t="shared" si="2"/>
        <v>0</v>
      </c>
      <c r="H30" s="37">
        <f t="shared" si="13"/>
        <v>246446</v>
      </c>
      <c r="I30" s="16">
        <f t="shared" si="3"/>
        <v>0</v>
      </c>
      <c r="J30" s="37">
        <v>303517</v>
      </c>
      <c r="K30" s="16">
        <f t="shared" si="4"/>
        <v>0</v>
      </c>
      <c r="L30" s="37">
        <f t="shared" si="14"/>
        <v>25214</v>
      </c>
      <c r="M30" s="16">
        <f t="shared" si="5"/>
        <v>0</v>
      </c>
      <c r="N30" s="37">
        <f t="shared" si="15"/>
        <v>215743</v>
      </c>
      <c r="O30" s="16">
        <f t="shared" si="6"/>
        <v>0</v>
      </c>
      <c r="P30" s="37">
        <f t="shared" si="16"/>
        <v>114070</v>
      </c>
      <c r="Q30" s="16">
        <f t="shared" si="7"/>
        <v>0</v>
      </c>
      <c r="R30" s="1">
        <v>55047</v>
      </c>
      <c r="S30" s="16">
        <f t="shared" si="8"/>
        <v>0</v>
      </c>
      <c r="T30" s="37">
        <f t="shared" si="17"/>
        <v>3720</v>
      </c>
      <c r="U30" s="16">
        <f t="shared" si="9"/>
        <v>0</v>
      </c>
    </row>
    <row r="31" spans="1:23" ht="13.5" thickBot="1" x14ac:dyDescent="0.25">
      <c r="A31" s="10">
        <v>44437</v>
      </c>
      <c r="B31" s="37">
        <f t="shared" si="10"/>
        <v>45668</v>
      </c>
      <c r="C31" s="16">
        <f t="shared" si="0"/>
        <v>0</v>
      </c>
      <c r="D31" s="37">
        <f t="shared" si="11"/>
        <v>39726</v>
      </c>
      <c r="E31" s="16">
        <f t="shared" si="1"/>
        <v>0</v>
      </c>
      <c r="F31" s="37">
        <f t="shared" si="12"/>
        <v>20635</v>
      </c>
      <c r="G31" s="16">
        <f t="shared" si="2"/>
        <v>0</v>
      </c>
      <c r="H31" s="37">
        <f t="shared" si="13"/>
        <v>246446</v>
      </c>
      <c r="I31" s="16">
        <f t="shared" si="3"/>
        <v>0</v>
      </c>
      <c r="J31" s="37">
        <v>303517</v>
      </c>
      <c r="K31" s="16">
        <f t="shared" si="4"/>
        <v>0</v>
      </c>
      <c r="L31" s="37">
        <f t="shared" si="14"/>
        <v>25214</v>
      </c>
      <c r="M31" s="16">
        <f t="shared" si="5"/>
        <v>0</v>
      </c>
      <c r="N31" s="37">
        <f t="shared" si="15"/>
        <v>215743</v>
      </c>
      <c r="O31" s="16">
        <f t="shared" si="6"/>
        <v>0</v>
      </c>
      <c r="P31" s="37">
        <f t="shared" si="16"/>
        <v>114070</v>
      </c>
      <c r="Q31" s="16">
        <f t="shared" si="7"/>
        <v>0</v>
      </c>
      <c r="R31" s="1">
        <v>55047</v>
      </c>
      <c r="S31" s="16">
        <f t="shared" si="8"/>
        <v>0</v>
      </c>
      <c r="T31" s="37">
        <f t="shared" si="17"/>
        <v>3720</v>
      </c>
      <c r="U31" s="16">
        <f t="shared" si="9"/>
        <v>0</v>
      </c>
    </row>
    <row r="32" spans="1:23" ht="15" customHeight="1" thickBot="1" x14ac:dyDescent="0.25">
      <c r="A32" s="10">
        <v>44438</v>
      </c>
      <c r="B32" s="37">
        <f t="shared" si="10"/>
        <v>45668</v>
      </c>
      <c r="C32" s="16">
        <f t="shared" si="0"/>
        <v>0</v>
      </c>
      <c r="D32" s="37">
        <f t="shared" si="11"/>
        <v>39726</v>
      </c>
      <c r="E32" s="16">
        <f t="shared" si="1"/>
        <v>0</v>
      </c>
      <c r="F32" s="37">
        <f t="shared" si="12"/>
        <v>20635</v>
      </c>
      <c r="G32" s="16">
        <f t="shared" si="2"/>
        <v>0</v>
      </c>
      <c r="H32" s="37">
        <f t="shared" si="13"/>
        <v>246446</v>
      </c>
      <c r="I32" s="16">
        <f t="shared" si="3"/>
        <v>0</v>
      </c>
      <c r="J32" s="37">
        <v>303517</v>
      </c>
      <c r="K32" s="16">
        <f t="shared" si="4"/>
        <v>0</v>
      </c>
      <c r="L32" s="37">
        <f t="shared" si="14"/>
        <v>25214</v>
      </c>
      <c r="M32" s="16">
        <f t="shared" si="5"/>
        <v>0</v>
      </c>
      <c r="N32" s="37">
        <f t="shared" si="15"/>
        <v>215743</v>
      </c>
      <c r="O32" s="16">
        <f t="shared" si="6"/>
        <v>0</v>
      </c>
      <c r="P32" s="37">
        <f t="shared" si="16"/>
        <v>114070</v>
      </c>
      <c r="Q32" s="16">
        <f t="shared" si="7"/>
        <v>0</v>
      </c>
      <c r="R32" s="1">
        <v>55047</v>
      </c>
      <c r="S32" s="16">
        <f t="shared" si="8"/>
        <v>0</v>
      </c>
      <c r="T32" s="37">
        <f t="shared" si="17"/>
        <v>3720</v>
      </c>
      <c r="U32" s="16">
        <f t="shared" si="9"/>
        <v>0</v>
      </c>
      <c r="V32" t="s">
        <v>12</v>
      </c>
    </row>
    <row r="33" spans="1:21" ht="13.5" thickBot="1" x14ac:dyDescent="0.25">
      <c r="A33" s="10">
        <v>44439</v>
      </c>
      <c r="B33" s="37">
        <f t="shared" si="10"/>
        <v>45668</v>
      </c>
      <c r="C33" s="16">
        <f t="shared" si="0"/>
        <v>0</v>
      </c>
      <c r="D33" s="37">
        <f t="shared" si="11"/>
        <v>39726</v>
      </c>
      <c r="E33" s="16">
        <f t="shared" si="1"/>
        <v>0</v>
      </c>
      <c r="F33" s="37">
        <f t="shared" si="12"/>
        <v>20635</v>
      </c>
      <c r="G33" s="16">
        <f t="shared" si="2"/>
        <v>0</v>
      </c>
      <c r="H33" s="37">
        <f t="shared" si="13"/>
        <v>246446</v>
      </c>
      <c r="I33" s="16">
        <f t="shared" si="3"/>
        <v>0</v>
      </c>
      <c r="J33" s="37">
        <v>303517</v>
      </c>
      <c r="K33" s="16">
        <f t="shared" si="4"/>
        <v>0</v>
      </c>
      <c r="L33" s="37">
        <f t="shared" si="14"/>
        <v>25214</v>
      </c>
      <c r="M33" s="16">
        <f t="shared" si="5"/>
        <v>0</v>
      </c>
      <c r="N33" s="37">
        <f t="shared" si="15"/>
        <v>215743</v>
      </c>
      <c r="O33" s="16">
        <f t="shared" si="6"/>
        <v>0</v>
      </c>
      <c r="P33" s="37">
        <f t="shared" si="16"/>
        <v>114070</v>
      </c>
      <c r="Q33" s="16">
        <f t="shared" si="7"/>
        <v>0</v>
      </c>
      <c r="R33" s="1">
        <v>55047</v>
      </c>
      <c r="S33" s="16">
        <f t="shared" si="8"/>
        <v>0</v>
      </c>
      <c r="T33" s="37">
        <f t="shared" si="17"/>
        <v>3720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1920</v>
      </c>
      <c r="D34" s="13"/>
      <c r="E34" s="11">
        <f>SUM(E3:E33)</f>
        <v>640</v>
      </c>
      <c r="F34" s="13"/>
      <c r="G34" s="11">
        <f>SUM(G3:G33)</f>
        <v>160</v>
      </c>
      <c r="H34" s="13"/>
      <c r="I34" s="11">
        <f>SUM(I3:I33)</f>
        <v>100</v>
      </c>
      <c r="J34" s="13"/>
      <c r="K34" s="11">
        <f>SUM(K3:K33)</f>
        <v>0</v>
      </c>
      <c r="L34" s="13"/>
      <c r="M34" s="11">
        <f>SUM(M3:M33)</f>
        <v>1280</v>
      </c>
      <c r="N34" s="38"/>
      <c r="O34" s="11">
        <f>SUM(O3:O33)</f>
        <v>7</v>
      </c>
      <c r="P34" s="13"/>
      <c r="Q34" s="11">
        <f>SUM(Q3:Q33)</f>
        <v>219</v>
      </c>
      <c r="R34" s="1"/>
      <c r="S34" s="11">
        <f>SUM(S3:S33)</f>
        <v>0</v>
      </c>
      <c r="T34" s="1"/>
      <c r="U34" s="11">
        <f>SUM(U3:U33)</f>
        <v>320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7"/>
  <sheetViews>
    <sheetView tabSelected="1" zoomScaleNormal="100" zoomScaleSheetLayoutView="110" workbookViewId="0">
      <pane ySplit="1" topLeftCell="A2" activePane="bottomLeft" state="frozen"/>
      <selection pane="bottomLeft" activeCell="A4" sqref="A4:XFD4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44408</v>
      </c>
      <c r="B2" s="44">
        <v>248</v>
      </c>
      <c r="C2" s="153">
        <v>18554</v>
      </c>
      <c r="D2" s="44"/>
      <c r="E2" s="154">
        <v>27109152</v>
      </c>
      <c r="F2" s="44"/>
      <c r="G2" s="155">
        <v>85974955</v>
      </c>
      <c r="H2" s="44"/>
      <c r="I2" s="22">
        <f>F2+H2</f>
        <v>0</v>
      </c>
      <c r="J2" s="154">
        <v>8437636</v>
      </c>
      <c r="K2" s="44"/>
      <c r="L2" s="157">
        <v>8403344</v>
      </c>
      <c r="M2" s="44"/>
      <c r="N2" s="154">
        <v>5521900</v>
      </c>
      <c r="O2" s="44"/>
      <c r="P2" s="157">
        <v>4343583</v>
      </c>
      <c r="Q2" s="44"/>
      <c r="R2" s="154">
        <v>18169577</v>
      </c>
      <c r="S2" s="44"/>
      <c r="T2" s="154">
        <v>0</v>
      </c>
      <c r="U2" s="11"/>
      <c r="V2" s="154">
        <v>5911732</v>
      </c>
      <c r="W2" s="44"/>
      <c r="X2" s="22">
        <f t="shared" ref="X2" si="0">K2+M2+O2+Q2+S2+U2+W2</f>
        <v>0</v>
      </c>
      <c r="Y2" s="159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10">
        <v>44409</v>
      </c>
      <c r="B3" s="44">
        <v>238</v>
      </c>
      <c r="C3" s="153">
        <v>18559</v>
      </c>
      <c r="D3" s="44">
        <f t="shared" ref="D3" si="3">IF((C3-C2)&lt;0,"0",(C3-C2))*160</f>
        <v>800</v>
      </c>
      <c r="E3" s="154">
        <v>27128544</v>
      </c>
      <c r="F3" s="44">
        <f t="shared" ref="F3" si="4">IF((E3-E2)&lt;0,"0",(E3-E2))</f>
        <v>19392</v>
      </c>
      <c r="G3" s="155">
        <v>86024768</v>
      </c>
      <c r="H3" s="44">
        <f t="shared" ref="H3" si="5">IF((G3-G2)&lt;0,"0",(G3-G2))</f>
        <v>49813</v>
      </c>
      <c r="I3" s="22">
        <f>F3+H3</f>
        <v>69205</v>
      </c>
      <c r="J3" s="154">
        <v>8443003</v>
      </c>
      <c r="K3" s="44">
        <v>5367</v>
      </c>
      <c r="L3" s="157">
        <v>8409150</v>
      </c>
      <c r="M3" s="44">
        <f t="shared" ref="M3" si="6">IF((L3-L2)&lt;0,"0",(L3-L2))</f>
        <v>5806</v>
      </c>
      <c r="N3" s="154">
        <v>5528561</v>
      </c>
      <c r="O3" s="44">
        <f>(IF((N3-N2)&lt;P93,"0",(N3-N2)))*2</f>
        <v>13322</v>
      </c>
      <c r="P3" s="157">
        <v>4356656</v>
      </c>
      <c r="Q3" s="44">
        <f t="shared" ref="Q3" si="7">IF((P3-P2)&lt;0,"0",(P3-P2))</f>
        <v>13073</v>
      </c>
      <c r="R3" s="154">
        <v>18178816</v>
      </c>
      <c r="S3" s="44">
        <f t="shared" ref="S3" si="8">IF((R3-R2)&lt;0,"0",(R3-R2))</f>
        <v>9239</v>
      </c>
      <c r="T3" s="154">
        <v>0</v>
      </c>
      <c r="U3" s="158"/>
      <c r="V3" s="154">
        <v>5922184</v>
      </c>
      <c r="W3" s="44">
        <f t="shared" ref="W3" si="9">IF((V3-V2)&lt;0,"0",(V3-V2))</f>
        <v>10452</v>
      </c>
      <c r="X3" s="22">
        <f t="shared" ref="X3" si="10">K3+M3+O3+Q3+S3+U3+W3</f>
        <v>57259</v>
      </c>
      <c r="Y3" s="159">
        <f t="shared" ref="Y3" si="11">I3-X3</f>
        <v>11946</v>
      </c>
      <c r="Z3" s="3">
        <f t="shared" ref="Z3" si="12">(0.93352*(W3+S3)+0.5568*(Q3+O3))*0.26</f>
        <v>8600.4563632000009</v>
      </c>
      <c r="AA3" s="3">
        <f>SUM(Z1:Z3)</f>
        <v>8600.4563632000009</v>
      </c>
    </row>
    <row r="4" spans="1:27" ht="16.5" thickBot="1" x14ac:dyDescent="0.3">
      <c r="A4" s="10">
        <v>44410</v>
      </c>
      <c r="B4" s="44">
        <v>263</v>
      </c>
      <c r="C4" s="153">
        <v>18564</v>
      </c>
      <c r="D4" s="44">
        <f t="shared" ref="D4:D33" si="13">IF((C4-C3)&lt;0,"0",(C4-C3))*160</f>
        <v>800</v>
      </c>
      <c r="E4" s="154">
        <v>27149734</v>
      </c>
      <c r="F4" s="44">
        <f t="shared" ref="F4:F33" si="14">IF((E4-E3)&lt;0,"0",(E4-E3))</f>
        <v>21190</v>
      </c>
      <c r="G4" s="155">
        <v>86087086</v>
      </c>
      <c r="H4" s="44">
        <f t="shared" ref="H4:H33" si="15">IF((G4-G3)&lt;0,"0",(G4-G3))</f>
        <v>62318</v>
      </c>
      <c r="I4" s="156">
        <f t="shared" ref="I4:I31" si="16">F4+H4</f>
        <v>83508</v>
      </c>
      <c r="J4" s="154">
        <v>8449510</v>
      </c>
      <c r="K4" s="44">
        <f t="shared" ref="K4:K33" si="17">IF((J4-J3)&lt;0,"0",(J4-J3))</f>
        <v>6507</v>
      </c>
      <c r="L4" s="157">
        <v>8416116</v>
      </c>
      <c r="M4" s="44">
        <f t="shared" ref="M4:M33" si="18">IF((L4-L3)&lt;0,"0",(L4-L3))</f>
        <v>6966</v>
      </c>
      <c r="N4" s="154">
        <v>5535600</v>
      </c>
      <c r="O4" s="44">
        <f>(IF((N4-N3)&lt;P95,"0",(N4-N3)))*2</f>
        <v>14078</v>
      </c>
      <c r="P4" s="157">
        <v>4372921</v>
      </c>
      <c r="Q4" s="44">
        <f t="shared" ref="Q4:Q33" si="19">IF((P4-P3)&lt;0,"0",(P4-P3))</f>
        <v>16265</v>
      </c>
      <c r="R4" s="154">
        <v>18190491</v>
      </c>
      <c r="S4" s="44">
        <f t="shared" ref="S4:S33" si="20">IF((R4-R3)&lt;0,"0",(R4-R3))</f>
        <v>11675</v>
      </c>
      <c r="T4" s="154">
        <v>0</v>
      </c>
      <c r="U4" s="158"/>
      <c r="V4" s="154">
        <v>5935488</v>
      </c>
      <c r="W4" s="44">
        <f t="shared" ref="W4:W33" si="21">IF((V4-V3)&lt;0,"0",(V4-V3))</f>
        <v>13304</v>
      </c>
      <c r="X4" s="22">
        <f t="shared" ref="X4:X33" si="22">K4+M4+O4+Q4+S4+U4+W4</f>
        <v>68795</v>
      </c>
      <c r="Y4" s="159">
        <f t="shared" ref="Y4:Y33" si="23">I4-X4</f>
        <v>14713</v>
      </c>
      <c r="Z4" s="3">
        <f t="shared" ref="Z4:Z33" si="24">(0.93352*(W4+S4)+0.5568*(Q4+O4))*0.26</f>
        <v>10455.4784048</v>
      </c>
      <c r="AA4" s="3">
        <f>SUM(Z2:Z4)</f>
        <v>19055.934767999999</v>
      </c>
    </row>
    <row r="5" spans="1:27" ht="16.5" thickBot="1" x14ac:dyDescent="0.3">
      <c r="A5" s="10">
        <v>44411</v>
      </c>
      <c r="B5" s="44"/>
      <c r="C5" s="153">
        <f t="shared" ref="C4:C33" si="25">C4</f>
        <v>18564</v>
      </c>
      <c r="D5" s="44">
        <f t="shared" si="13"/>
        <v>0</v>
      </c>
      <c r="E5" s="154">
        <f t="shared" ref="E4:E33" si="26">E4</f>
        <v>27149734</v>
      </c>
      <c r="F5" s="44">
        <f t="shared" si="14"/>
        <v>0</v>
      </c>
      <c r="G5" s="155">
        <f t="shared" ref="G4:G33" si="27">G4</f>
        <v>86087086</v>
      </c>
      <c r="H5" s="44">
        <f t="shared" si="15"/>
        <v>0</v>
      </c>
      <c r="I5" s="156">
        <f t="shared" si="16"/>
        <v>0</v>
      </c>
      <c r="J5" s="154">
        <v>8437636</v>
      </c>
      <c r="K5" s="44" t="str">
        <f t="shared" si="17"/>
        <v>0</v>
      </c>
      <c r="L5" s="157">
        <f t="shared" ref="L4:L33" si="28">L4</f>
        <v>8416116</v>
      </c>
      <c r="M5" s="44">
        <f t="shared" si="18"/>
        <v>0</v>
      </c>
      <c r="N5" s="154">
        <f t="shared" ref="N4:N33" si="29">N4</f>
        <v>5535600</v>
      </c>
      <c r="O5" s="44">
        <f t="shared" ref="O5:O33" si="30">(IF((N5-N4)&lt;0,"0",(N5-N4)))*2</f>
        <v>0</v>
      </c>
      <c r="P5" s="157">
        <f t="shared" ref="P4:P33" si="31">P4</f>
        <v>4372921</v>
      </c>
      <c r="Q5" s="44">
        <f t="shared" si="19"/>
        <v>0</v>
      </c>
      <c r="R5" s="154">
        <f t="shared" ref="R4:R33" si="32">R4</f>
        <v>18190491</v>
      </c>
      <c r="S5" s="44">
        <f t="shared" si="20"/>
        <v>0</v>
      </c>
      <c r="T5" s="154">
        <v>0</v>
      </c>
      <c r="U5" s="158"/>
      <c r="V5" s="154">
        <f t="shared" ref="V4:V33" si="33">V4</f>
        <v>5935488</v>
      </c>
      <c r="W5" s="44">
        <f t="shared" si="21"/>
        <v>0</v>
      </c>
      <c r="X5" s="22">
        <f t="shared" si="22"/>
        <v>0</v>
      </c>
      <c r="Y5" s="159">
        <f t="shared" si="23"/>
        <v>0</v>
      </c>
      <c r="Z5" s="3">
        <f t="shared" si="24"/>
        <v>0</v>
      </c>
      <c r="AA5" s="3">
        <f>SUM(Z3:Z5)</f>
        <v>19055.934767999999</v>
      </c>
    </row>
    <row r="6" spans="1:27" ht="16.5" thickBot="1" x14ac:dyDescent="0.3">
      <c r="A6" s="10">
        <v>44412</v>
      </c>
      <c r="B6" s="44"/>
      <c r="C6" s="153">
        <f t="shared" si="25"/>
        <v>18564</v>
      </c>
      <c r="D6" s="44">
        <f t="shared" si="13"/>
        <v>0</v>
      </c>
      <c r="E6" s="154">
        <f t="shared" si="26"/>
        <v>27149734</v>
      </c>
      <c r="F6" s="44">
        <f t="shared" si="14"/>
        <v>0</v>
      </c>
      <c r="G6" s="155">
        <f t="shared" si="27"/>
        <v>86087086</v>
      </c>
      <c r="H6" s="44">
        <f t="shared" si="15"/>
        <v>0</v>
      </c>
      <c r="I6" s="156">
        <f t="shared" si="16"/>
        <v>0</v>
      </c>
      <c r="J6" s="154">
        <v>8437636</v>
      </c>
      <c r="K6" s="44">
        <f t="shared" si="17"/>
        <v>0</v>
      </c>
      <c r="L6" s="157">
        <f t="shared" si="28"/>
        <v>8416116</v>
      </c>
      <c r="M6" s="44">
        <f t="shared" si="18"/>
        <v>0</v>
      </c>
      <c r="N6" s="154">
        <f t="shared" si="29"/>
        <v>5535600</v>
      </c>
      <c r="O6" s="44">
        <f t="shared" si="30"/>
        <v>0</v>
      </c>
      <c r="P6" s="157">
        <f t="shared" si="31"/>
        <v>4372921</v>
      </c>
      <c r="Q6" s="44">
        <f t="shared" si="19"/>
        <v>0</v>
      </c>
      <c r="R6" s="154">
        <f t="shared" si="32"/>
        <v>18190491</v>
      </c>
      <c r="S6" s="44">
        <f t="shared" si="20"/>
        <v>0</v>
      </c>
      <c r="T6" s="154">
        <v>0</v>
      </c>
      <c r="U6" s="158"/>
      <c r="V6" s="154">
        <f t="shared" si="33"/>
        <v>5935488</v>
      </c>
      <c r="W6" s="44">
        <f t="shared" si="21"/>
        <v>0</v>
      </c>
      <c r="X6" s="22">
        <f t="shared" si="22"/>
        <v>0</v>
      </c>
      <c r="Y6" s="159">
        <f t="shared" si="23"/>
        <v>0</v>
      </c>
      <c r="Z6" s="3">
        <f t="shared" si="24"/>
        <v>0</v>
      </c>
      <c r="AA6" s="3">
        <f>SUM(Z4:Z6)</f>
        <v>10455.4784048</v>
      </c>
    </row>
    <row r="7" spans="1:27" ht="16.5" thickBot="1" x14ac:dyDescent="0.3">
      <c r="A7" s="10">
        <v>44413</v>
      </c>
      <c r="B7" s="44"/>
      <c r="C7" s="153">
        <f t="shared" si="25"/>
        <v>18564</v>
      </c>
      <c r="D7" s="44">
        <f t="shared" si="13"/>
        <v>0</v>
      </c>
      <c r="E7" s="154">
        <f t="shared" si="26"/>
        <v>27149734</v>
      </c>
      <c r="F7" s="44">
        <f t="shared" si="14"/>
        <v>0</v>
      </c>
      <c r="G7" s="155">
        <f t="shared" si="27"/>
        <v>86087086</v>
      </c>
      <c r="H7" s="44">
        <f t="shared" si="15"/>
        <v>0</v>
      </c>
      <c r="I7" s="156">
        <f t="shared" si="16"/>
        <v>0</v>
      </c>
      <c r="J7" s="154">
        <v>8437636</v>
      </c>
      <c r="K7" s="44">
        <f t="shared" si="17"/>
        <v>0</v>
      </c>
      <c r="L7" s="157">
        <f t="shared" si="28"/>
        <v>8416116</v>
      </c>
      <c r="M7" s="44">
        <f t="shared" si="18"/>
        <v>0</v>
      </c>
      <c r="N7" s="154">
        <f t="shared" si="29"/>
        <v>5535600</v>
      </c>
      <c r="O7" s="44">
        <f t="shared" si="30"/>
        <v>0</v>
      </c>
      <c r="P7" s="157">
        <f t="shared" si="31"/>
        <v>4372921</v>
      </c>
      <c r="Q7" s="44">
        <f t="shared" si="19"/>
        <v>0</v>
      </c>
      <c r="R7" s="154">
        <f t="shared" si="32"/>
        <v>18190491</v>
      </c>
      <c r="S7" s="44">
        <f t="shared" si="20"/>
        <v>0</v>
      </c>
      <c r="T7" s="154">
        <v>0</v>
      </c>
      <c r="U7" s="158"/>
      <c r="V7" s="154">
        <f t="shared" si="33"/>
        <v>5935488</v>
      </c>
      <c r="W7" s="44">
        <f t="shared" si="21"/>
        <v>0</v>
      </c>
      <c r="X7" s="22">
        <f t="shared" si="22"/>
        <v>0</v>
      </c>
      <c r="Y7" s="159">
        <f t="shared" si="23"/>
        <v>0</v>
      </c>
      <c r="Z7" s="3">
        <f t="shared" si="24"/>
        <v>0</v>
      </c>
      <c r="AA7" s="3">
        <f t="shared" ref="AA7:AA33" si="34">SUM(Z4:Z7)</f>
        <v>10455.4784048</v>
      </c>
    </row>
    <row r="8" spans="1:27" ht="16.5" thickBot="1" x14ac:dyDescent="0.3">
      <c r="A8" s="10">
        <v>44414</v>
      </c>
      <c r="B8" s="44"/>
      <c r="C8" s="153">
        <f t="shared" si="25"/>
        <v>18564</v>
      </c>
      <c r="D8" s="44">
        <f t="shared" si="13"/>
        <v>0</v>
      </c>
      <c r="E8" s="154">
        <f t="shared" si="26"/>
        <v>27149734</v>
      </c>
      <c r="F8" s="44">
        <f t="shared" si="14"/>
        <v>0</v>
      </c>
      <c r="G8" s="155">
        <f t="shared" si="27"/>
        <v>86087086</v>
      </c>
      <c r="H8" s="44">
        <f t="shared" si="15"/>
        <v>0</v>
      </c>
      <c r="I8" s="156">
        <f t="shared" si="16"/>
        <v>0</v>
      </c>
      <c r="J8" s="154">
        <v>8437636</v>
      </c>
      <c r="K8" s="44">
        <f t="shared" si="17"/>
        <v>0</v>
      </c>
      <c r="L8" s="157">
        <f t="shared" si="28"/>
        <v>8416116</v>
      </c>
      <c r="M8" s="44">
        <f t="shared" si="18"/>
        <v>0</v>
      </c>
      <c r="N8" s="154">
        <f t="shared" si="29"/>
        <v>5535600</v>
      </c>
      <c r="O8" s="44">
        <f t="shared" si="30"/>
        <v>0</v>
      </c>
      <c r="P8" s="157">
        <f t="shared" si="31"/>
        <v>4372921</v>
      </c>
      <c r="Q8" s="44">
        <f t="shared" si="19"/>
        <v>0</v>
      </c>
      <c r="R8" s="154">
        <f t="shared" si="32"/>
        <v>18190491</v>
      </c>
      <c r="S8" s="44">
        <f t="shared" si="20"/>
        <v>0</v>
      </c>
      <c r="T8" s="154">
        <v>0</v>
      </c>
      <c r="U8" s="158"/>
      <c r="V8" s="154">
        <f t="shared" si="33"/>
        <v>5935488</v>
      </c>
      <c r="W8" s="44">
        <f t="shared" si="21"/>
        <v>0</v>
      </c>
      <c r="X8" s="22">
        <f t="shared" si="22"/>
        <v>0</v>
      </c>
      <c r="Y8" s="159">
        <f t="shared" si="23"/>
        <v>0</v>
      </c>
      <c r="Z8" s="3">
        <f t="shared" si="24"/>
        <v>0</v>
      </c>
      <c r="AA8" s="3">
        <f t="shared" si="34"/>
        <v>0</v>
      </c>
    </row>
    <row r="9" spans="1:27" ht="16.5" thickBot="1" x14ac:dyDescent="0.3">
      <c r="A9" s="10">
        <v>44415</v>
      </c>
      <c r="B9" s="44"/>
      <c r="C9" s="153">
        <f t="shared" si="25"/>
        <v>18564</v>
      </c>
      <c r="D9" s="44">
        <f t="shared" si="13"/>
        <v>0</v>
      </c>
      <c r="E9" s="154">
        <f t="shared" si="26"/>
        <v>27149734</v>
      </c>
      <c r="F9" s="44">
        <f t="shared" si="14"/>
        <v>0</v>
      </c>
      <c r="G9" s="155">
        <f t="shared" si="27"/>
        <v>86087086</v>
      </c>
      <c r="H9" s="44">
        <f t="shared" si="15"/>
        <v>0</v>
      </c>
      <c r="I9" s="156">
        <f t="shared" si="16"/>
        <v>0</v>
      </c>
      <c r="J9" s="154">
        <v>8437636</v>
      </c>
      <c r="K9" s="44">
        <f t="shared" si="17"/>
        <v>0</v>
      </c>
      <c r="L9" s="157">
        <f t="shared" si="28"/>
        <v>8416116</v>
      </c>
      <c r="M9" s="44">
        <f t="shared" si="18"/>
        <v>0</v>
      </c>
      <c r="N9" s="154">
        <f t="shared" si="29"/>
        <v>5535600</v>
      </c>
      <c r="O9" s="44">
        <f t="shared" si="30"/>
        <v>0</v>
      </c>
      <c r="P9" s="157">
        <f t="shared" si="31"/>
        <v>4372921</v>
      </c>
      <c r="Q9" s="44">
        <f t="shared" si="19"/>
        <v>0</v>
      </c>
      <c r="R9" s="154">
        <f t="shared" si="32"/>
        <v>18190491</v>
      </c>
      <c r="S9" s="44">
        <f t="shared" si="20"/>
        <v>0</v>
      </c>
      <c r="T9" s="154">
        <v>0</v>
      </c>
      <c r="U9" s="158"/>
      <c r="V9" s="154">
        <f t="shared" si="33"/>
        <v>5935488</v>
      </c>
      <c r="W9" s="44">
        <f t="shared" si="21"/>
        <v>0</v>
      </c>
      <c r="X9" s="22">
        <f t="shared" si="22"/>
        <v>0</v>
      </c>
      <c r="Y9" s="159">
        <f t="shared" si="23"/>
        <v>0</v>
      </c>
      <c r="Z9" s="3">
        <f t="shared" si="24"/>
        <v>0</v>
      </c>
      <c r="AA9" s="3">
        <f t="shared" si="34"/>
        <v>0</v>
      </c>
    </row>
    <row r="10" spans="1:27" ht="16.5" thickBot="1" x14ac:dyDescent="0.3">
      <c r="A10" s="10">
        <v>44416</v>
      </c>
      <c r="B10" s="44"/>
      <c r="C10" s="153">
        <f t="shared" si="25"/>
        <v>18564</v>
      </c>
      <c r="D10" s="44">
        <f t="shared" si="13"/>
        <v>0</v>
      </c>
      <c r="E10" s="154">
        <f t="shared" si="26"/>
        <v>27149734</v>
      </c>
      <c r="F10" s="44">
        <f t="shared" si="14"/>
        <v>0</v>
      </c>
      <c r="G10" s="155">
        <f t="shared" si="27"/>
        <v>86087086</v>
      </c>
      <c r="H10" s="44">
        <f t="shared" si="15"/>
        <v>0</v>
      </c>
      <c r="I10" s="156">
        <f t="shared" si="16"/>
        <v>0</v>
      </c>
      <c r="J10" s="154">
        <v>8437636</v>
      </c>
      <c r="K10" s="44">
        <f t="shared" si="17"/>
        <v>0</v>
      </c>
      <c r="L10" s="157">
        <f t="shared" si="28"/>
        <v>8416116</v>
      </c>
      <c r="M10" s="44">
        <f t="shared" si="18"/>
        <v>0</v>
      </c>
      <c r="N10" s="154">
        <f t="shared" si="29"/>
        <v>5535600</v>
      </c>
      <c r="O10" s="44">
        <f t="shared" si="30"/>
        <v>0</v>
      </c>
      <c r="P10" s="157">
        <f t="shared" si="31"/>
        <v>4372921</v>
      </c>
      <c r="Q10" s="44">
        <f t="shared" si="19"/>
        <v>0</v>
      </c>
      <c r="R10" s="154">
        <f t="shared" si="32"/>
        <v>18190491</v>
      </c>
      <c r="S10" s="44">
        <f t="shared" si="20"/>
        <v>0</v>
      </c>
      <c r="T10" s="154">
        <v>0</v>
      </c>
      <c r="U10" s="158"/>
      <c r="V10" s="154">
        <f t="shared" si="33"/>
        <v>5935488</v>
      </c>
      <c r="W10" s="44">
        <f t="shared" si="21"/>
        <v>0</v>
      </c>
      <c r="X10" s="22">
        <f t="shared" si="22"/>
        <v>0</v>
      </c>
      <c r="Y10" s="159">
        <f t="shared" si="23"/>
        <v>0</v>
      </c>
      <c r="Z10" s="3">
        <f t="shared" si="24"/>
        <v>0</v>
      </c>
      <c r="AA10" s="3">
        <f t="shared" si="34"/>
        <v>0</v>
      </c>
    </row>
    <row r="11" spans="1:27" ht="15.75" customHeight="1" thickBot="1" x14ac:dyDescent="0.3">
      <c r="A11" s="10">
        <v>44417</v>
      </c>
      <c r="B11" s="44"/>
      <c r="C11" s="153">
        <f t="shared" si="25"/>
        <v>18564</v>
      </c>
      <c r="D11" s="44">
        <f t="shared" si="13"/>
        <v>0</v>
      </c>
      <c r="E11" s="154">
        <f t="shared" si="26"/>
        <v>27149734</v>
      </c>
      <c r="F11" s="44">
        <f t="shared" si="14"/>
        <v>0</v>
      </c>
      <c r="G11" s="155">
        <f t="shared" si="27"/>
        <v>86087086</v>
      </c>
      <c r="H11" s="44">
        <f t="shared" si="15"/>
        <v>0</v>
      </c>
      <c r="I11" s="156">
        <f t="shared" si="16"/>
        <v>0</v>
      </c>
      <c r="J11" s="154">
        <v>8437636</v>
      </c>
      <c r="K11" s="44">
        <f t="shared" si="17"/>
        <v>0</v>
      </c>
      <c r="L11" s="157">
        <f t="shared" si="28"/>
        <v>8416116</v>
      </c>
      <c r="M11" s="44">
        <f t="shared" si="18"/>
        <v>0</v>
      </c>
      <c r="N11" s="154">
        <f t="shared" si="29"/>
        <v>5535600</v>
      </c>
      <c r="O11" s="44">
        <f t="shared" si="30"/>
        <v>0</v>
      </c>
      <c r="P11" s="157">
        <f t="shared" si="31"/>
        <v>4372921</v>
      </c>
      <c r="Q11" s="44">
        <f t="shared" si="19"/>
        <v>0</v>
      </c>
      <c r="R11" s="154">
        <f t="shared" si="32"/>
        <v>18190491</v>
      </c>
      <c r="S11" s="44">
        <f t="shared" si="20"/>
        <v>0</v>
      </c>
      <c r="T11" s="154">
        <v>0</v>
      </c>
      <c r="U11" s="158"/>
      <c r="V11" s="154">
        <f t="shared" si="33"/>
        <v>5935488</v>
      </c>
      <c r="W11" s="44">
        <f t="shared" si="21"/>
        <v>0</v>
      </c>
      <c r="X11" s="22">
        <f t="shared" si="22"/>
        <v>0</v>
      </c>
      <c r="Y11" s="159">
        <f t="shared" si="23"/>
        <v>0</v>
      </c>
      <c r="Z11" s="3">
        <f t="shared" si="24"/>
        <v>0</v>
      </c>
      <c r="AA11" s="3">
        <f t="shared" si="34"/>
        <v>0</v>
      </c>
    </row>
    <row r="12" spans="1:27" ht="16.5" thickBot="1" x14ac:dyDescent="0.3">
      <c r="A12" s="10">
        <v>44418</v>
      </c>
      <c r="B12" s="44"/>
      <c r="C12" s="153">
        <f t="shared" si="25"/>
        <v>18564</v>
      </c>
      <c r="D12" s="44">
        <f t="shared" si="13"/>
        <v>0</v>
      </c>
      <c r="E12" s="154">
        <f t="shared" si="26"/>
        <v>27149734</v>
      </c>
      <c r="F12" s="44">
        <f t="shared" si="14"/>
        <v>0</v>
      </c>
      <c r="G12" s="155">
        <f t="shared" si="27"/>
        <v>86087086</v>
      </c>
      <c r="H12" s="44">
        <f t="shared" si="15"/>
        <v>0</v>
      </c>
      <c r="I12" s="156">
        <f t="shared" si="16"/>
        <v>0</v>
      </c>
      <c r="J12" s="154">
        <v>8437636</v>
      </c>
      <c r="K12" s="44">
        <f t="shared" si="17"/>
        <v>0</v>
      </c>
      <c r="L12" s="157">
        <f t="shared" si="28"/>
        <v>8416116</v>
      </c>
      <c r="M12" s="44">
        <f t="shared" si="18"/>
        <v>0</v>
      </c>
      <c r="N12" s="154">
        <f t="shared" si="29"/>
        <v>5535600</v>
      </c>
      <c r="O12" s="44">
        <f t="shared" si="30"/>
        <v>0</v>
      </c>
      <c r="P12" s="157">
        <f t="shared" si="31"/>
        <v>4372921</v>
      </c>
      <c r="Q12" s="44">
        <f t="shared" si="19"/>
        <v>0</v>
      </c>
      <c r="R12" s="154">
        <f t="shared" si="32"/>
        <v>18190491</v>
      </c>
      <c r="S12" s="44">
        <f t="shared" si="20"/>
        <v>0</v>
      </c>
      <c r="T12" s="154">
        <v>0</v>
      </c>
      <c r="U12" s="158"/>
      <c r="V12" s="154">
        <f t="shared" si="33"/>
        <v>5935488</v>
      </c>
      <c r="W12" s="44">
        <f t="shared" si="21"/>
        <v>0</v>
      </c>
      <c r="X12" s="22">
        <f t="shared" si="22"/>
        <v>0</v>
      </c>
      <c r="Y12" s="159">
        <f t="shared" si="23"/>
        <v>0</v>
      </c>
      <c r="Z12" s="3">
        <f t="shared" si="24"/>
        <v>0</v>
      </c>
      <c r="AA12" s="3">
        <f t="shared" si="34"/>
        <v>0</v>
      </c>
    </row>
    <row r="13" spans="1:27" ht="16.5" thickBot="1" x14ac:dyDescent="0.3">
      <c r="A13" s="10">
        <v>44419</v>
      </c>
      <c r="B13" s="44"/>
      <c r="C13" s="153">
        <f t="shared" si="25"/>
        <v>18564</v>
      </c>
      <c r="D13" s="44">
        <f t="shared" si="13"/>
        <v>0</v>
      </c>
      <c r="E13" s="154">
        <f t="shared" si="26"/>
        <v>27149734</v>
      </c>
      <c r="F13" s="44">
        <f t="shared" si="14"/>
        <v>0</v>
      </c>
      <c r="G13" s="155">
        <f t="shared" si="27"/>
        <v>86087086</v>
      </c>
      <c r="H13" s="44">
        <f t="shared" si="15"/>
        <v>0</v>
      </c>
      <c r="I13" s="156">
        <f t="shared" si="16"/>
        <v>0</v>
      </c>
      <c r="J13" s="154">
        <v>8437636</v>
      </c>
      <c r="K13" s="44">
        <f t="shared" si="17"/>
        <v>0</v>
      </c>
      <c r="L13" s="157">
        <f t="shared" si="28"/>
        <v>8416116</v>
      </c>
      <c r="M13" s="44">
        <f t="shared" si="18"/>
        <v>0</v>
      </c>
      <c r="N13" s="154">
        <f t="shared" si="29"/>
        <v>5535600</v>
      </c>
      <c r="O13" s="44">
        <f t="shared" si="30"/>
        <v>0</v>
      </c>
      <c r="P13" s="157">
        <f t="shared" si="31"/>
        <v>4372921</v>
      </c>
      <c r="Q13" s="44">
        <f t="shared" si="19"/>
        <v>0</v>
      </c>
      <c r="R13" s="154">
        <f t="shared" si="32"/>
        <v>18190491</v>
      </c>
      <c r="S13" s="44">
        <f>IF((R13-R12)&lt;0,"0",(R13-R12))</f>
        <v>0</v>
      </c>
      <c r="T13" s="154">
        <v>0</v>
      </c>
      <c r="U13" s="158"/>
      <c r="V13" s="154">
        <f t="shared" si="33"/>
        <v>5935488</v>
      </c>
      <c r="W13" s="44">
        <f t="shared" si="21"/>
        <v>0</v>
      </c>
      <c r="X13" s="22">
        <f t="shared" si="22"/>
        <v>0</v>
      </c>
      <c r="Y13" s="159">
        <f t="shared" si="23"/>
        <v>0</v>
      </c>
      <c r="Z13" s="3">
        <f t="shared" si="24"/>
        <v>0</v>
      </c>
      <c r="AA13" s="3">
        <f t="shared" si="34"/>
        <v>0</v>
      </c>
    </row>
    <row r="14" spans="1:27" ht="16.5" thickBot="1" x14ac:dyDescent="0.3">
      <c r="A14" s="10">
        <v>44420</v>
      </c>
      <c r="B14" s="44"/>
      <c r="C14" s="153">
        <f t="shared" si="25"/>
        <v>18564</v>
      </c>
      <c r="D14" s="44">
        <f t="shared" si="13"/>
        <v>0</v>
      </c>
      <c r="E14" s="154">
        <f t="shared" si="26"/>
        <v>27149734</v>
      </c>
      <c r="F14" s="44">
        <f>IF((E14-E13)&lt;0,"0",(E14-E13))</f>
        <v>0</v>
      </c>
      <c r="G14" s="155">
        <f t="shared" si="27"/>
        <v>86087086</v>
      </c>
      <c r="H14" s="44">
        <f t="shared" si="15"/>
        <v>0</v>
      </c>
      <c r="I14" s="156">
        <f t="shared" si="16"/>
        <v>0</v>
      </c>
      <c r="J14" s="154">
        <v>8437636</v>
      </c>
      <c r="K14" s="44">
        <f t="shared" si="17"/>
        <v>0</v>
      </c>
      <c r="L14" s="157">
        <f t="shared" si="28"/>
        <v>8416116</v>
      </c>
      <c r="M14" s="44">
        <f t="shared" si="18"/>
        <v>0</v>
      </c>
      <c r="N14" s="154">
        <f t="shared" si="29"/>
        <v>5535600</v>
      </c>
      <c r="O14" s="44">
        <f t="shared" si="30"/>
        <v>0</v>
      </c>
      <c r="P14" s="157">
        <f t="shared" si="31"/>
        <v>4372921</v>
      </c>
      <c r="Q14" s="44">
        <f t="shared" si="19"/>
        <v>0</v>
      </c>
      <c r="R14" s="154">
        <f t="shared" si="32"/>
        <v>18190491</v>
      </c>
      <c r="S14" s="44">
        <f>IF((R14-R13)&lt;0,"0",(R14-R13))</f>
        <v>0</v>
      </c>
      <c r="T14" s="154">
        <v>0</v>
      </c>
      <c r="U14" s="158"/>
      <c r="V14" s="154">
        <f t="shared" si="33"/>
        <v>5935488</v>
      </c>
      <c r="W14" s="44">
        <f t="shared" si="21"/>
        <v>0</v>
      </c>
      <c r="X14" s="22">
        <f t="shared" si="22"/>
        <v>0</v>
      </c>
      <c r="Y14" s="159">
        <f t="shared" si="23"/>
        <v>0</v>
      </c>
      <c r="Z14" s="3">
        <f t="shared" si="24"/>
        <v>0</v>
      </c>
      <c r="AA14" s="3">
        <f t="shared" si="34"/>
        <v>0</v>
      </c>
    </row>
    <row r="15" spans="1:27" ht="16.5" thickBot="1" x14ac:dyDescent="0.3">
      <c r="A15" s="10">
        <v>44421</v>
      </c>
      <c r="B15" s="44"/>
      <c r="C15" s="153">
        <f t="shared" si="25"/>
        <v>18564</v>
      </c>
      <c r="D15" s="44">
        <f t="shared" si="13"/>
        <v>0</v>
      </c>
      <c r="E15" s="154">
        <f t="shared" si="26"/>
        <v>27149734</v>
      </c>
      <c r="F15" s="44">
        <f>IF((E15-E14)&lt;0,"0",(E15-E14))</f>
        <v>0</v>
      </c>
      <c r="G15" s="155">
        <f t="shared" si="27"/>
        <v>86087086</v>
      </c>
      <c r="H15" s="44">
        <f t="shared" si="15"/>
        <v>0</v>
      </c>
      <c r="I15" s="156">
        <f t="shared" si="16"/>
        <v>0</v>
      </c>
      <c r="J15" s="154">
        <v>8437636</v>
      </c>
      <c r="K15" s="44">
        <f t="shared" si="17"/>
        <v>0</v>
      </c>
      <c r="L15" s="157">
        <f t="shared" si="28"/>
        <v>8416116</v>
      </c>
      <c r="M15" s="44">
        <f t="shared" si="18"/>
        <v>0</v>
      </c>
      <c r="N15" s="154">
        <f t="shared" si="29"/>
        <v>5535600</v>
      </c>
      <c r="O15" s="44">
        <f t="shared" si="30"/>
        <v>0</v>
      </c>
      <c r="P15" s="157">
        <f t="shared" si="31"/>
        <v>4372921</v>
      </c>
      <c r="Q15" s="44">
        <f t="shared" si="19"/>
        <v>0</v>
      </c>
      <c r="R15" s="154">
        <f t="shared" si="32"/>
        <v>18190491</v>
      </c>
      <c r="S15" s="44">
        <f>IF((R15-R14)&lt;0,"0",(R15-R14))</f>
        <v>0</v>
      </c>
      <c r="T15" s="154">
        <v>0</v>
      </c>
      <c r="U15" s="158"/>
      <c r="V15" s="154">
        <f t="shared" si="33"/>
        <v>5935488</v>
      </c>
      <c r="W15" s="44">
        <f t="shared" si="21"/>
        <v>0</v>
      </c>
      <c r="X15" s="22">
        <f t="shared" si="22"/>
        <v>0</v>
      </c>
      <c r="Y15" s="159">
        <f t="shared" si="23"/>
        <v>0</v>
      </c>
      <c r="Z15" s="3">
        <f t="shared" si="24"/>
        <v>0</v>
      </c>
      <c r="AA15" s="3">
        <f t="shared" si="34"/>
        <v>0</v>
      </c>
    </row>
    <row r="16" spans="1:27" ht="16.5" thickBot="1" x14ac:dyDescent="0.3">
      <c r="A16" s="10">
        <v>44422</v>
      </c>
      <c r="B16" s="44"/>
      <c r="C16" s="153">
        <f t="shared" si="25"/>
        <v>18564</v>
      </c>
      <c r="D16" s="44">
        <f t="shared" si="13"/>
        <v>0</v>
      </c>
      <c r="E16" s="154">
        <f t="shared" si="26"/>
        <v>27149734</v>
      </c>
      <c r="F16" s="44">
        <f>IF((E16-E15)&lt;0,"0",(E16-E15))</f>
        <v>0</v>
      </c>
      <c r="G16" s="155">
        <f t="shared" si="27"/>
        <v>86087086</v>
      </c>
      <c r="H16" s="44">
        <f t="shared" si="15"/>
        <v>0</v>
      </c>
      <c r="I16" s="156">
        <f t="shared" si="16"/>
        <v>0</v>
      </c>
      <c r="J16" s="154">
        <v>8437636</v>
      </c>
      <c r="K16" s="44">
        <f t="shared" si="17"/>
        <v>0</v>
      </c>
      <c r="L16" s="157">
        <f t="shared" si="28"/>
        <v>8416116</v>
      </c>
      <c r="M16" s="44">
        <f t="shared" si="18"/>
        <v>0</v>
      </c>
      <c r="N16" s="154">
        <f t="shared" si="29"/>
        <v>5535600</v>
      </c>
      <c r="O16" s="44">
        <f t="shared" si="30"/>
        <v>0</v>
      </c>
      <c r="P16" s="157">
        <f t="shared" si="31"/>
        <v>4372921</v>
      </c>
      <c r="Q16" s="44">
        <f t="shared" si="19"/>
        <v>0</v>
      </c>
      <c r="R16" s="154">
        <f t="shared" si="32"/>
        <v>18190491</v>
      </c>
      <c r="S16" s="44">
        <f t="shared" si="20"/>
        <v>0</v>
      </c>
      <c r="T16" s="154">
        <v>0</v>
      </c>
      <c r="U16" s="158"/>
      <c r="V16" s="154">
        <f t="shared" si="33"/>
        <v>5935488</v>
      </c>
      <c r="W16" s="44">
        <f t="shared" si="21"/>
        <v>0</v>
      </c>
      <c r="X16" s="22">
        <f t="shared" si="22"/>
        <v>0</v>
      </c>
      <c r="Y16" s="159">
        <f t="shared" si="23"/>
        <v>0</v>
      </c>
      <c r="Z16" s="3">
        <f t="shared" si="24"/>
        <v>0</v>
      </c>
      <c r="AA16" s="3">
        <f t="shared" si="34"/>
        <v>0</v>
      </c>
    </row>
    <row r="17" spans="1:27" s="136" customFormat="1" ht="16.5" thickBot="1" x14ac:dyDescent="0.3">
      <c r="A17" s="10">
        <v>44423</v>
      </c>
      <c r="B17" s="135"/>
      <c r="C17" s="153">
        <f t="shared" si="25"/>
        <v>18564</v>
      </c>
      <c r="D17" s="44">
        <f t="shared" si="13"/>
        <v>0</v>
      </c>
      <c r="E17" s="154">
        <f t="shared" si="26"/>
        <v>27149734</v>
      </c>
      <c r="F17" s="135">
        <f t="shared" si="14"/>
        <v>0</v>
      </c>
      <c r="G17" s="155">
        <f t="shared" si="27"/>
        <v>86087086</v>
      </c>
      <c r="H17" s="44">
        <f t="shared" si="15"/>
        <v>0</v>
      </c>
      <c r="I17" s="160">
        <f t="shared" si="16"/>
        <v>0</v>
      </c>
      <c r="J17" s="154">
        <v>8437636</v>
      </c>
      <c r="K17" s="135">
        <f t="shared" si="17"/>
        <v>0</v>
      </c>
      <c r="L17" s="157">
        <f t="shared" si="28"/>
        <v>8416116</v>
      </c>
      <c r="M17" s="135">
        <f t="shared" si="18"/>
        <v>0</v>
      </c>
      <c r="N17" s="154">
        <f t="shared" si="29"/>
        <v>5535600</v>
      </c>
      <c r="O17" s="135">
        <f t="shared" si="30"/>
        <v>0</v>
      </c>
      <c r="P17" s="157">
        <f t="shared" si="31"/>
        <v>4372921</v>
      </c>
      <c r="Q17" s="135">
        <f t="shared" si="19"/>
        <v>0</v>
      </c>
      <c r="R17" s="154">
        <f t="shared" si="32"/>
        <v>18190491</v>
      </c>
      <c r="S17" s="135">
        <f t="shared" si="20"/>
        <v>0</v>
      </c>
      <c r="T17" s="161">
        <v>0</v>
      </c>
      <c r="U17" s="158"/>
      <c r="V17" s="154">
        <f t="shared" si="33"/>
        <v>5935488</v>
      </c>
      <c r="W17" s="135">
        <f t="shared" si="21"/>
        <v>0</v>
      </c>
      <c r="X17" s="22">
        <f t="shared" si="22"/>
        <v>0</v>
      </c>
      <c r="Y17" s="162">
        <f t="shared" si="23"/>
        <v>0</v>
      </c>
      <c r="Z17" s="163">
        <f t="shared" si="24"/>
        <v>0</v>
      </c>
      <c r="AA17" s="163">
        <f t="shared" si="34"/>
        <v>0</v>
      </c>
    </row>
    <row r="18" spans="1:27" s="136" customFormat="1" ht="16.5" thickBot="1" x14ac:dyDescent="0.3">
      <c r="A18" s="10">
        <v>44424</v>
      </c>
      <c r="B18" s="135"/>
      <c r="C18" s="153">
        <f t="shared" si="25"/>
        <v>18564</v>
      </c>
      <c r="D18" s="44">
        <f t="shared" si="13"/>
        <v>0</v>
      </c>
      <c r="E18" s="154">
        <f t="shared" si="26"/>
        <v>27149734</v>
      </c>
      <c r="F18" s="135">
        <f t="shared" si="14"/>
        <v>0</v>
      </c>
      <c r="G18" s="155">
        <f t="shared" si="27"/>
        <v>86087086</v>
      </c>
      <c r="H18" s="44">
        <f t="shared" si="15"/>
        <v>0</v>
      </c>
      <c r="I18" s="160">
        <f t="shared" si="16"/>
        <v>0</v>
      </c>
      <c r="J18" s="154">
        <v>8437636</v>
      </c>
      <c r="K18" s="135">
        <f t="shared" si="17"/>
        <v>0</v>
      </c>
      <c r="L18" s="157">
        <f t="shared" si="28"/>
        <v>8416116</v>
      </c>
      <c r="M18" s="135">
        <f t="shared" si="18"/>
        <v>0</v>
      </c>
      <c r="N18" s="154">
        <f t="shared" si="29"/>
        <v>5535600</v>
      </c>
      <c r="O18" s="135">
        <f t="shared" si="30"/>
        <v>0</v>
      </c>
      <c r="P18" s="157">
        <f t="shared" si="31"/>
        <v>4372921</v>
      </c>
      <c r="Q18" s="135">
        <f t="shared" si="19"/>
        <v>0</v>
      </c>
      <c r="R18" s="154">
        <f t="shared" si="32"/>
        <v>18190491</v>
      </c>
      <c r="S18" s="135">
        <f t="shared" si="20"/>
        <v>0</v>
      </c>
      <c r="T18" s="161">
        <v>0</v>
      </c>
      <c r="U18" s="158"/>
      <c r="V18" s="154">
        <f t="shared" si="33"/>
        <v>5935488</v>
      </c>
      <c r="W18" s="135">
        <f t="shared" si="21"/>
        <v>0</v>
      </c>
      <c r="X18" s="22">
        <f t="shared" si="22"/>
        <v>0</v>
      </c>
      <c r="Y18" s="162">
        <f t="shared" si="23"/>
        <v>0</v>
      </c>
      <c r="Z18" s="163">
        <f t="shared" si="24"/>
        <v>0</v>
      </c>
      <c r="AA18" s="163">
        <f t="shared" si="34"/>
        <v>0</v>
      </c>
    </row>
    <row r="19" spans="1:27" s="136" customFormat="1" ht="16.5" thickBot="1" x14ac:dyDescent="0.3">
      <c r="A19" s="10">
        <v>44425</v>
      </c>
      <c r="B19" s="135"/>
      <c r="C19" s="153">
        <f t="shared" si="25"/>
        <v>18564</v>
      </c>
      <c r="D19" s="44">
        <f>IF((C19-C18)&lt;0,"0",(C19-C18))*160</f>
        <v>0</v>
      </c>
      <c r="E19" s="154">
        <f t="shared" si="26"/>
        <v>27149734</v>
      </c>
      <c r="F19" s="135">
        <f t="shared" si="14"/>
        <v>0</v>
      </c>
      <c r="G19" s="155">
        <f t="shared" si="27"/>
        <v>86087086</v>
      </c>
      <c r="H19" s="44">
        <f t="shared" si="15"/>
        <v>0</v>
      </c>
      <c r="I19" s="160">
        <f t="shared" si="16"/>
        <v>0</v>
      </c>
      <c r="J19" s="154">
        <v>8437636</v>
      </c>
      <c r="K19" s="135">
        <f t="shared" si="17"/>
        <v>0</v>
      </c>
      <c r="L19" s="157">
        <f t="shared" si="28"/>
        <v>8416116</v>
      </c>
      <c r="M19" s="135">
        <f t="shared" si="18"/>
        <v>0</v>
      </c>
      <c r="N19" s="154">
        <f t="shared" si="29"/>
        <v>5535600</v>
      </c>
      <c r="O19" s="135">
        <f t="shared" si="30"/>
        <v>0</v>
      </c>
      <c r="P19" s="157">
        <f t="shared" si="31"/>
        <v>4372921</v>
      </c>
      <c r="Q19" s="135">
        <f t="shared" si="19"/>
        <v>0</v>
      </c>
      <c r="R19" s="154">
        <f t="shared" si="32"/>
        <v>18190491</v>
      </c>
      <c r="S19" s="135">
        <f t="shared" si="20"/>
        <v>0</v>
      </c>
      <c r="T19" s="161">
        <v>0</v>
      </c>
      <c r="U19" s="158"/>
      <c r="V19" s="154">
        <f t="shared" si="33"/>
        <v>5935488</v>
      </c>
      <c r="W19" s="135">
        <f t="shared" si="21"/>
        <v>0</v>
      </c>
      <c r="X19" s="22">
        <f t="shared" si="22"/>
        <v>0</v>
      </c>
      <c r="Y19" s="162">
        <f t="shared" si="23"/>
        <v>0</v>
      </c>
      <c r="Z19" s="163">
        <f t="shared" si="24"/>
        <v>0</v>
      </c>
      <c r="AA19" s="163">
        <f t="shared" si="34"/>
        <v>0</v>
      </c>
    </row>
    <row r="20" spans="1:27" s="136" customFormat="1" ht="16.5" thickBot="1" x14ac:dyDescent="0.3">
      <c r="A20" s="10">
        <v>44426</v>
      </c>
      <c r="B20" s="135"/>
      <c r="C20" s="153">
        <f t="shared" si="25"/>
        <v>18564</v>
      </c>
      <c r="D20" s="44">
        <f>IF((C20-C19)&lt;0,"0",(C20-C19))*160</f>
        <v>0</v>
      </c>
      <c r="E20" s="154">
        <f t="shared" si="26"/>
        <v>27149734</v>
      </c>
      <c r="F20" s="135">
        <f t="shared" si="14"/>
        <v>0</v>
      </c>
      <c r="G20" s="155">
        <f t="shared" si="27"/>
        <v>86087086</v>
      </c>
      <c r="H20" s="44">
        <f t="shared" si="15"/>
        <v>0</v>
      </c>
      <c r="I20" s="160">
        <f t="shared" si="16"/>
        <v>0</v>
      </c>
      <c r="J20" s="154">
        <v>8437636</v>
      </c>
      <c r="K20" s="135">
        <f t="shared" si="17"/>
        <v>0</v>
      </c>
      <c r="L20" s="157">
        <f t="shared" si="28"/>
        <v>8416116</v>
      </c>
      <c r="M20" s="135">
        <f t="shared" si="18"/>
        <v>0</v>
      </c>
      <c r="N20" s="154">
        <f t="shared" si="29"/>
        <v>5535600</v>
      </c>
      <c r="O20" s="135">
        <f t="shared" si="30"/>
        <v>0</v>
      </c>
      <c r="P20" s="157">
        <f t="shared" si="31"/>
        <v>4372921</v>
      </c>
      <c r="Q20" s="135">
        <f t="shared" si="19"/>
        <v>0</v>
      </c>
      <c r="R20" s="154">
        <f t="shared" si="32"/>
        <v>18190491</v>
      </c>
      <c r="S20" s="135">
        <f t="shared" si="20"/>
        <v>0</v>
      </c>
      <c r="T20" s="161">
        <v>0</v>
      </c>
      <c r="U20" s="158"/>
      <c r="V20" s="154">
        <f t="shared" si="33"/>
        <v>5935488</v>
      </c>
      <c r="W20" s="135">
        <f t="shared" si="21"/>
        <v>0</v>
      </c>
      <c r="X20" s="22">
        <f t="shared" si="22"/>
        <v>0</v>
      </c>
      <c r="Y20" s="162">
        <f t="shared" si="23"/>
        <v>0</v>
      </c>
      <c r="Z20" s="163">
        <f t="shared" si="24"/>
        <v>0</v>
      </c>
      <c r="AA20" s="163">
        <f t="shared" si="34"/>
        <v>0</v>
      </c>
    </row>
    <row r="21" spans="1:27" s="136" customFormat="1" ht="16.5" thickBot="1" x14ac:dyDescent="0.3">
      <c r="A21" s="10">
        <v>44427</v>
      </c>
      <c r="B21" s="135"/>
      <c r="C21" s="153">
        <f t="shared" si="25"/>
        <v>18564</v>
      </c>
      <c r="D21" s="44">
        <f>IF((C21-C20)&lt;0,"0",(C21-C20))*160</f>
        <v>0</v>
      </c>
      <c r="E21" s="154">
        <f t="shared" si="26"/>
        <v>27149734</v>
      </c>
      <c r="F21" s="135">
        <f t="shared" si="14"/>
        <v>0</v>
      </c>
      <c r="G21" s="155">
        <f t="shared" si="27"/>
        <v>86087086</v>
      </c>
      <c r="H21" s="44">
        <f t="shared" si="15"/>
        <v>0</v>
      </c>
      <c r="I21" s="160">
        <f t="shared" si="16"/>
        <v>0</v>
      </c>
      <c r="J21" s="154">
        <v>8437636</v>
      </c>
      <c r="K21" s="135">
        <f t="shared" si="17"/>
        <v>0</v>
      </c>
      <c r="L21" s="157">
        <f t="shared" si="28"/>
        <v>8416116</v>
      </c>
      <c r="M21" s="135">
        <f t="shared" si="18"/>
        <v>0</v>
      </c>
      <c r="N21" s="154">
        <f t="shared" si="29"/>
        <v>5535600</v>
      </c>
      <c r="O21" s="135">
        <f t="shared" si="30"/>
        <v>0</v>
      </c>
      <c r="P21" s="157">
        <f t="shared" si="31"/>
        <v>4372921</v>
      </c>
      <c r="Q21" s="135">
        <f t="shared" si="19"/>
        <v>0</v>
      </c>
      <c r="R21" s="154">
        <f t="shared" si="32"/>
        <v>18190491</v>
      </c>
      <c r="S21" s="135">
        <f t="shared" si="20"/>
        <v>0</v>
      </c>
      <c r="T21" s="161">
        <v>0</v>
      </c>
      <c r="U21" s="158"/>
      <c r="V21" s="154">
        <f t="shared" si="33"/>
        <v>5935488</v>
      </c>
      <c r="W21" s="135">
        <f t="shared" si="21"/>
        <v>0</v>
      </c>
      <c r="X21" s="22">
        <f t="shared" si="22"/>
        <v>0</v>
      </c>
      <c r="Y21" s="162">
        <f t="shared" si="23"/>
        <v>0</v>
      </c>
      <c r="Z21" s="163">
        <f t="shared" si="24"/>
        <v>0</v>
      </c>
      <c r="AA21" s="163">
        <f t="shared" si="34"/>
        <v>0</v>
      </c>
    </row>
    <row r="22" spans="1:27" ht="16.5" thickBot="1" x14ac:dyDescent="0.3">
      <c r="A22" s="10">
        <v>44428</v>
      </c>
      <c r="B22" s="44"/>
      <c r="C22" s="153">
        <f t="shared" si="25"/>
        <v>18564</v>
      </c>
      <c r="D22" s="44">
        <f t="shared" si="13"/>
        <v>0</v>
      </c>
      <c r="E22" s="154">
        <f t="shared" si="26"/>
        <v>27149734</v>
      </c>
      <c r="F22" s="44">
        <f t="shared" si="14"/>
        <v>0</v>
      </c>
      <c r="G22" s="155">
        <f t="shared" si="27"/>
        <v>86087086</v>
      </c>
      <c r="H22" s="44">
        <f t="shared" si="15"/>
        <v>0</v>
      </c>
      <c r="I22" s="156">
        <f t="shared" si="16"/>
        <v>0</v>
      </c>
      <c r="J22" s="154">
        <v>8437636</v>
      </c>
      <c r="K22" s="44">
        <f t="shared" si="17"/>
        <v>0</v>
      </c>
      <c r="L22" s="157">
        <f t="shared" si="28"/>
        <v>8416116</v>
      </c>
      <c r="M22" s="44">
        <f t="shared" si="18"/>
        <v>0</v>
      </c>
      <c r="N22" s="154">
        <f t="shared" si="29"/>
        <v>5535600</v>
      </c>
      <c r="O22" s="44">
        <f t="shared" si="30"/>
        <v>0</v>
      </c>
      <c r="P22" s="157">
        <f t="shared" si="31"/>
        <v>4372921</v>
      </c>
      <c r="Q22" s="44">
        <f t="shared" si="19"/>
        <v>0</v>
      </c>
      <c r="R22" s="154">
        <f t="shared" si="32"/>
        <v>18190491</v>
      </c>
      <c r="S22" s="44">
        <f t="shared" si="20"/>
        <v>0</v>
      </c>
      <c r="T22" s="154">
        <v>0</v>
      </c>
      <c r="U22" s="158"/>
      <c r="V22" s="154">
        <f t="shared" si="33"/>
        <v>5935488</v>
      </c>
      <c r="W22" s="44">
        <f t="shared" si="21"/>
        <v>0</v>
      </c>
      <c r="X22" s="22">
        <f t="shared" si="22"/>
        <v>0</v>
      </c>
      <c r="Y22" s="159">
        <f t="shared" si="23"/>
        <v>0</v>
      </c>
      <c r="Z22" s="3">
        <f t="shared" si="24"/>
        <v>0</v>
      </c>
      <c r="AA22" s="3">
        <f t="shared" si="34"/>
        <v>0</v>
      </c>
    </row>
    <row r="23" spans="1:27" ht="16.5" thickBot="1" x14ac:dyDescent="0.3">
      <c r="A23" s="10">
        <v>44429</v>
      </c>
      <c r="B23" s="44"/>
      <c r="C23" s="153">
        <f t="shared" si="25"/>
        <v>18564</v>
      </c>
      <c r="D23" s="44">
        <f t="shared" si="13"/>
        <v>0</v>
      </c>
      <c r="E23" s="154">
        <f t="shared" si="26"/>
        <v>27149734</v>
      </c>
      <c r="F23" s="44">
        <f t="shared" si="14"/>
        <v>0</v>
      </c>
      <c r="G23" s="155">
        <f t="shared" si="27"/>
        <v>86087086</v>
      </c>
      <c r="H23" s="44">
        <f t="shared" si="15"/>
        <v>0</v>
      </c>
      <c r="I23" s="156">
        <f t="shared" si="16"/>
        <v>0</v>
      </c>
      <c r="J23" s="154">
        <v>8437636</v>
      </c>
      <c r="K23" s="44">
        <f t="shared" si="17"/>
        <v>0</v>
      </c>
      <c r="L23" s="157">
        <f t="shared" si="28"/>
        <v>8416116</v>
      </c>
      <c r="M23" s="44">
        <f t="shared" si="18"/>
        <v>0</v>
      </c>
      <c r="N23" s="154">
        <f t="shared" si="29"/>
        <v>5535600</v>
      </c>
      <c r="O23" s="44">
        <f t="shared" si="30"/>
        <v>0</v>
      </c>
      <c r="P23" s="157">
        <f t="shared" si="31"/>
        <v>4372921</v>
      </c>
      <c r="Q23" s="44">
        <f t="shared" si="19"/>
        <v>0</v>
      </c>
      <c r="R23" s="154">
        <f t="shared" si="32"/>
        <v>18190491</v>
      </c>
      <c r="S23" s="44">
        <f t="shared" si="20"/>
        <v>0</v>
      </c>
      <c r="T23" s="154">
        <v>0</v>
      </c>
      <c r="U23" s="158"/>
      <c r="V23" s="154">
        <f t="shared" si="33"/>
        <v>5935488</v>
      </c>
      <c r="W23" s="44">
        <f t="shared" si="21"/>
        <v>0</v>
      </c>
      <c r="X23" s="22">
        <f t="shared" si="22"/>
        <v>0</v>
      </c>
      <c r="Y23" s="159">
        <f t="shared" si="23"/>
        <v>0</v>
      </c>
      <c r="Z23" s="3">
        <f t="shared" si="24"/>
        <v>0</v>
      </c>
      <c r="AA23" s="3">
        <f t="shared" si="34"/>
        <v>0</v>
      </c>
    </row>
    <row r="24" spans="1:27" ht="16.5" thickBot="1" x14ac:dyDescent="0.3">
      <c r="A24" s="10">
        <v>44430</v>
      </c>
      <c r="B24" s="44"/>
      <c r="C24" s="153">
        <f t="shared" si="25"/>
        <v>18564</v>
      </c>
      <c r="D24" s="44">
        <f t="shared" si="13"/>
        <v>0</v>
      </c>
      <c r="E24" s="154">
        <f t="shared" si="26"/>
        <v>27149734</v>
      </c>
      <c r="F24" s="44">
        <f t="shared" si="14"/>
        <v>0</v>
      </c>
      <c r="G24" s="155">
        <f t="shared" si="27"/>
        <v>86087086</v>
      </c>
      <c r="H24" s="44">
        <f t="shared" si="15"/>
        <v>0</v>
      </c>
      <c r="I24" s="156">
        <f t="shared" si="16"/>
        <v>0</v>
      </c>
      <c r="J24" s="154">
        <v>8437636</v>
      </c>
      <c r="K24" s="44">
        <f t="shared" si="17"/>
        <v>0</v>
      </c>
      <c r="L24" s="157">
        <f t="shared" si="28"/>
        <v>8416116</v>
      </c>
      <c r="M24" s="44">
        <f t="shared" si="18"/>
        <v>0</v>
      </c>
      <c r="N24" s="154">
        <f t="shared" si="29"/>
        <v>5535600</v>
      </c>
      <c r="O24" s="44">
        <f t="shared" si="30"/>
        <v>0</v>
      </c>
      <c r="P24" s="157">
        <f t="shared" si="31"/>
        <v>4372921</v>
      </c>
      <c r="Q24" s="44">
        <f t="shared" si="19"/>
        <v>0</v>
      </c>
      <c r="R24" s="154">
        <f t="shared" si="32"/>
        <v>18190491</v>
      </c>
      <c r="S24" s="44">
        <f t="shared" si="20"/>
        <v>0</v>
      </c>
      <c r="T24" s="154">
        <v>0</v>
      </c>
      <c r="U24" s="158"/>
      <c r="V24" s="154">
        <f t="shared" si="33"/>
        <v>5935488</v>
      </c>
      <c r="W24" s="44">
        <f t="shared" si="21"/>
        <v>0</v>
      </c>
      <c r="X24" s="22">
        <f t="shared" si="22"/>
        <v>0</v>
      </c>
      <c r="Y24" s="159">
        <f t="shared" si="23"/>
        <v>0</v>
      </c>
      <c r="Z24" s="3">
        <f t="shared" si="24"/>
        <v>0</v>
      </c>
      <c r="AA24" s="3">
        <f t="shared" si="34"/>
        <v>0</v>
      </c>
    </row>
    <row r="25" spans="1:27" ht="16.5" thickBot="1" x14ac:dyDescent="0.3">
      <c r="A25" s="10">
        <v>44431</v>
      </c>
      <c r="B25" s="44"/>
      <c r="C25" s="153">
        <f t="shared" si="25"/>
        <v>18564</v>
      </c>
      <c r="D25" s="44">
        <f t="shared" si="13"/>
        <v>0</v>
      </c>
      <c r="E25" s="154">
        <f t="shared" si="26"/>
        <v>27149734</v>
      </c>
      <c r="F25" s="44">
        <f t="shared" si="14"/>
        <v>0</v>
      </c>
      <c r="G25" s="155">
        <f t="shared" si="27"/>
        <v>86087086</v>
      </c>
      <c r="H25" s="44">
        <f t="shared" si="15"/>
        <v>0</v>
      </c>
      <c r="I25" s="156">
        <f t="shared" si="16"/>
        <v>0</v>
      </c>
      <c r="J25" s="154">
        <v>8437636</v>
      </c>
      <c r="K25" s="44">
        <f t="shared" si="17"/>
        <v>0</v>
      </c>
      <c r="L25" s="157">
        <f t="shared" si="28"/>
        <v>8416116</v>
      </c>
      <c r="M25" s="44">
        <f t="shared" si="18"/>
        <v>0</v>
      </c>
      <c r="N25" s="154">
        <f t="shared" si="29"/>
        <v>5535600</v>
      </c>
      <c r="O25" s="44">
        <f t="shared" si="30"/>
        <v>0</v>
      </c>
      <c r="P25" s="157">
        <f t="shared" si="31"/>
        <v>4372921</v>
      </c>
      <c r="Q25" s="44">
        <f t="shared" si="19"/>
        <v>0</v>
      </c>
      <c r="R25" s="154">
        <f t="shared" si="32"/>
        <v>18190491</v>
      </c>
      <c r="S25" s="44">
        <f t="shared" si="20"/>
        <v>0</v>
      </c>
      <c r="T25" s="154">
        <v>0</v>
      </c>
      <c r="U25" s="158"/>
      <c r="V25" s="154">
        <f t="shared" si="33"/>
        <v>5935488</v>
      </c>
      <c r="W25" s="44">
        <f t="shared" si="21"/>
        <v>0</v>
      </c>
      <c r="X25" s="22">
        <f t="shared" si="22"/>
        <v>0</v>
      </c>
      <c r="Y25" s="159">
        <f t="shared" si="23"/>
        <v>0</v>
      </c>
      <c r="Z25" s="3">
        <f t="shared" si="24"/>
        <v>0</v>
      </c>
      <c r="AA25" s="3">
        <f t="shared" si="34"/>
        <v>0</v>
      </c>
    </row>
    <row r="26" spans="1:27" ht="16.5" thickBot="1" x14ac:dyDescent="0.3">
      <c r="A26" s="10">
        <v>44432</v>
      </c>
      <c r="B26" s="44"/>
      <c r="C26" s="153">
        <f t="shared" si="25"/>
        <v>18564</v>
      </c>
      <c r="D26" s="44">
        <f t="shared" si="13"/>
        <v>0</v>
      </c>
      <c r="E26" s="154">
        <f t="shared" si="26"/>
        <v>27149734</v>
      </c>
      <c r="F26" s="44">
        <f t="shared" si="14"/>
        <v>0</v>
      </c>
      <c r="G26" s="155">
        <f t="shared" si="27"/>
        <v>86087086</v>
      </c>
      <c r="H26" s="44">
        <f t="shared" si="15"/>
        <v>0</v>
      </c>
      <c r="I26" s="156">
        <f t="shared" si="16"/>
        <v>0</v>
      </c>
      <c r="J26" s="154">
        <v>8437636</v>
      </c>
      <c r="K26" s="44">
        <f t="shared" si="17"/>
        <v>0</v>
      </c>
      <c r="L26" s="157">
        <f t="shared" si="28"/>
        <v>8416116</v>
      </c>
      <c r="M26" s="44">
        <f t="shared" si="18"/>
        <v>0</v>
      </c>
      <c r="N26" s="154">
        <f t="shared" si="29"/>
        <v>5535600</v>
      </c>
      <c r="O26" s="44">
        <f t="shared" si="30"/>
        <v>0</v>
      </c>
      <c r="P26" s="157">
        <f t="shared" si="31"/>
        <v>4372921</v>
      </c>
      <c r="Q26" s="44">
        <f t="shared" si="19"/>
        <v>0</v>
      </c>
      <c r="R26" s="154">
        <f t="shared" si="32"/>
        <v>18190491</v>
      </c>
      <c r="S26" s="44">
        <f t="shared" si="20"/>
        <v>0</v>
      </c>
      <c r="T26" s="154">
        <v>0</v>
      </c>
      <c r="U26" s="158"/>
      <c r="V26" s="154">
        <f t="shared" si="33"/>
        <v>5935488</v>
      </c>
      <c r="W26" s="44">
        <f t="shared" si="21"/>
        <v>0</v>
      </c>
      <c r="X26" s="22">
        <f t="shared" si="22"/>
        <v>0</v>
      </c>
      <c r="Y26" s="159">
        <f t="shared" si="23"/>
        <v>0</v>
      </c>
      <c r="Z26" s="3">
        <f t="shared" si="24"/>
        <v>0</v>
      </c>
      <c r="AA26" s="3">
        <f t="shared" si="34"/>
        <v>0</v>
      </c>
    </row>
    <row r="27" spans="1:27" ht="16.5" thickBot="1" x14ac:dyDescent="0.3">
      <c r="A27" s="10">
        <v>44433</v>
      </c>
      <c r="B27" s="44"/>
      <c r="C27" s="153">
        <f t="shared" si="25"/>
        <v>18564</v>
      </c>
      <c r="D27" s="44">
        <f t="shared" si="13"/>
        <v>0</v>
      </c>
      <c r="E27" s="154">
        <f t="shared" si="26"/>
        <v>27149734</v>
      </c>
      <c r="F27" s="44">
        <f t="shared" si="14"/>
        <v>0</v>
      </c>
      <c r="G27" s="155">
        <f t="shared" si="27"/>
        <v>86087086</v>
      </c>
      <c r="H27" s="44">
        <f t="shared" si="15"/>
        <v>0</v>
      </c>
      <c r="I27" s="156">
        <f t="shared" si="16"/>
        <v>0</v>
      </c>
      <c r="J27" s="154">
        <v>8437636</v>
      </c>
      <c r="K27" s="44">
        <f t="shared" si="17"/>
        <v>0</v>
      </c>
      <c r="L27" s="157">
        <f t="shared" si="28"/>
        <v>8416116</v>
      </c>
      <c r="M27" s="44">
        <f t="shared" si="18"/>
        <v>0</v>
      </c>
      <c r="N27" s="154">
        <f t="shared" si="29"/>
        <v>5535600</v>
      </c>
      <c r="O27" s="44">
        <f t="shared" si="30"/>
        <v>0</v>
      </c>
      <c r="P27" s="157">
        <f t="shared" si="31"/>
        <v>4372921</v>
      </c>
      <c r="Q27" s="44">
        <f t="shared" si="19"/>
        <v>0</v>
      </c>
      <c r="R27" s="154">
        <f t="shared" si="32"/>
        <v>18190491</v>
      </c>
      <c r="S27" s="44">
        <f t="shared" si="20"/>
        <v>0</v>
      </c>
      <c r="T27" s="154">
        <v>0</v>
      </c>
      <c r="U27" s="158"/>
      <c r="V27" s="154">
        <f t="shared" si="33"/>
        <v>5935488</v>
      </c>
      <c r="W27" s="44">
        <f t="shared" si="21"/>
        <v>0</v>
      </c>
      <c r="X27" s="22">
        <f t="shared" si="22"/>
        <v>0</v>
      </c>
      <c r="Y27" s="159">
        <f t="shared" si="23"/>
        <v>0</v>
      </c>
      <c r="Z27" s="3">
        <f t="shared" si="24"/>
        <v>0</v>
      </c>
      <c r="AA27" s="3">
        <f t="shared" si="34"/>
        <v>0</v>
      </c>
    </row>
    <row r="28" spans="1:27" ht="16.5" thickBot="1" x14ac:dyDescent="0.3">
      <c r="A28" s="10">
        <v>44434</v>
      </c>
      <c r="B28" s="44"/>
      <c r="C28" s="153">
        <f t="shared" si="25"/>
        <v>18564</v>
      </c>
      <c r="D28" s="44">
        <f t="shared" si="13"/>
        <v>0</v>
      </c>
      <c r="E28" s="154">
        <f t="shared" si="26"/>
        <v>27149734</v>
      </c>
      <c r="F28" s="44">
        <f t="shared" si="14"/>
        <v>0</v>
      </c>
      <c r="G28" s="155">
        <f t="shared" si="27"/>
        <v>86087086</v>
      </c>
      <c r="H28" s="44">
        <f t="shared" si="15"/>
        <v>0</v>
      </c>
      <c r="I28" s="156">
        <f t="shared" si="16"/>
        <v>0</v>
      </c>
      <c r="J28" s="154">
        <v>8437636</v>
      </c>
      <c r="K28" s="44">
        <f t="shared" si="17"/>
        <v>0</v>
      </c>
      <c r="L28" s="157">
        <f t="shared" si="28"/>
        <v>8416116</v>
      </c>
      <c r="M28" s="44">
        <f t="shared" si="18"/>
        <v>0</v>
      </c>
      <c r="N28" s="154">
        <f t="shared" si="29"/>
        <v>5535600</v>
      </c>
      <c r="O28" s="44">
        <f t="shared" si="30"/>
        <v>0</v>
      </c>
      <c r="P28" s="157">
        <f t="shared" si="31"/>
        <v>4372921</v>
      </c>
      <c r="Q28" s="44">
        <f t="shared" si="19"/>
        <v>0</v>
      </c>
      <c r="R28" s="154">
        <f t="shared" si="32"/>
        <v>18190491</v>
      </c>
      <c r="S28" s="44">
        <f t="shared" si="20"/>
        <v>0</v>
      </c>
      <c r="T28" s="154">
        <v>0</v>
      </c>
      <c r="U28" s="158"/>
      <c r="V28" s="154">
        <f t="shared" si="33"/>
        <v>5935488</v>
      </c>
      <c r="W28" s="44">
        <f t="shared" si="21"/>
        <v>0</v>
      </c>
      <c r="X28" s="22">
        <f t="shared" si="22"/>
        <v>0</v>
      </c>
      <c r="Y28" s="159">
        <f t="shared" si="23"/>
        <v>0</v>
      </c>
      <c r="Z28" s="3">
        <f t="shared" si="24"/>
        <v>0</v>
      </c>
      <c r="AA28" s="3">
        <f t="shared" si="34"/>
        <v>0</v>
      </c>
    </row>
    <row r="29" spans="1:27" ht="16.5" thickBot="1" x14ac:dyDescent="0.3">
      <c r="A29" s="10">
        <v>44435</v>
      </c>
      <c r="B29" s="44"/>
      <c r="C29" s="153">
        <f t="shared" si="25"/>
        <v>18564</v>
      </c>
      <c r="D29" s="44">
        <f t="shared" si="13"/>
        <v>0</v>
      </c>
      <c r="E29" s="154">
        <f t="shared" si="26"/>
        <v>27149734</v>
      </c>
      <c r="F29" s="44">
        <f t="shared" si="14"/>
        <v>0</v>
      </c>
      <c r="G29" s="155">
        <f t="shared" si="27"/>
        <v>86087086</v>
      </c>
      <c r="H29" s="44">
        <f t="shared" si="15"/>
        <v>0</v>
      </c>
      <c r="I29" s="156">
        <f t="shared" si="16"/>
        <v>0</v>
      </c>
      <c r="J29" s="154">
        <v>8437636</v>
      </c>
      <c r="K29" s="44">
        <f t="shared" si="17"/>
        <v>0</v>
      </c>
      <c r="L29" s="157">
        <f t="shared" si="28"/>
        <v>8416116</v>
      </c>
      <c r="M29" s="44">
        <f t="shared" si="18"/>
        <v>0</v>
      </c>
      <c r="N29" s="154">
        <f t="shared" si="29"/>
        <v>5535600</v>
      </c>
      <c r="O29" s="44">
        <f t="shared" si="30"/>
        <v>0</v>
      </c>
      <c r="P29" s="157">
        <f t="shared" si="31"/>
        <v>4372921</v>
      </c>
      <c r="Q29" s="44">
        <f t="shared" si="19"/>
        <v>0</v>
      </c>
      <c r="R29" s="154">
        <f t="shared" si="32"/>
        <v>18190491</v>
      </c>
      <c r="S29" s="44">
        <f t="shared" si="20"/>
        <v>0</v>
      </c>
      <c r="T29" s="154">
        <v>0</v>
      </c>
      <c r="U29" s="158"/>
      <c r="V29" s="154">
        <f t="shared" si="33"/>
        <v>5935488</v>
      </c>
      <c r="W29" s="44">
        <f t="shared" si="21"/>
        <v>0</v>
      </c>
      <c r="X29" s="22">
        <f t="shared" si="22"/>
        <v>0</v>
      </c>
      <c r="Y29" s="159">
        <f t="shared" si="23"/>
        <v>0</v>
      </c>
      <c r="Z29" s="3">
        <f t="shared" si="24"/>
        <v>0</v>
      </c>
      <c r="AA29" s="3">
        <f t="shared" si="34"/>
        <v>0</v>
      </c>
    </row>
    <row r="30" spans="1:27" ht="16.5" thickBot="1" x14ac:dyDescent="0.3">
      <c r="A30" s="10">
        <v>44436</v>
      </c>
      <c r="B30" s="44"/>
      <c r="C30" s="153">
        <f t="shared" si="25"/>
        <v>18564</v>
      </c>
      <c r="D30" s="44">
        <f t="shared" si="13"/>
        <v>0</v>
      </c>
      <c r="E30" s="154">
        <f t="shared" si="26"/>
        <v>27149734</v>
      </c>
      <c r="F30" s="44">
        <f t="shared" si="14"/>
        <v>0</v>
      </c>
      <c r="G30" s="155">
        <f t="shared" si="27"/>
        <v>86087086</v>
      </c>
      <c r="H30" s="44">
        <f t="shared" si="15"/>
        <v>0</v>
      </c>
      <c r="I30" s="156">
        <f t="shared" si="16"/>
        <v>0</v>
      </c>
      <c r="J30" s="154">
        <v>8437636</v>
      </c>
      <c r="K30" s="44">
        <f t="shared" si="17"/>
        <v>0</v>
      </c>
      <c r="L30" s="157">
        <f t="shared" si="28"/>
        <v>8416116</v>
      </c>
      <c r="M30" s="44">
        <f t="shared" si="18"/>
        <v>0</v>
      </c>
      <c r="N30" s="154">
        <f t="shared" si="29"/>
        <v>5535600</v>
      </c>
      <c r="O30" s="44">
        <f t="shared" si="30"/>
        <v>0</v>
      </c>
      <c r="P30" s="157">
        <f t="shared" si="31"/>
        <v>4372921</v>
      </c>
      <c r="Q30" s="44">
        <f t="shared" si="19"/>
        <v>0</v>
      </c>
      <c r="R30" s="154">
        <f t="shared" si="32"/>
        <v>18190491</v>
      </c>
      <c r="S30" s="44">
        <f t="shared" si="20"/>
        <v>0</v>
      </c>
      <c r="T30" s="154">
        <v>0</v>
      </c>
      <c r="U30" s="158"/>
      <c r="V30" s="154">
        <f t="shared" si="33"/>
        <v>5935488</v>
      </c>
      <c r="W30" s="44">
        <f t="shared" si="21"/>
        <v>0</v>
      </c>
      <c r="X30" s="22">
        <f t="shared" si="22"/>
        <v>0</v>
      </c>
      <c r="Y30" s="159">
        <f t="shared" si="23"/>
        <v>0</v>
      </c>
      <c r="Z30" s="3">
        <f t="shared" si="24"/>
        <v>0</v>
      </c>
      <c r="AA30" s="3">
        <f t="shared" si="34"/>
        <v>0</v>
      </c>
    </row>
    <row r="31" spans="1:27" ht="16.5" thickBot="1" x14ac:dyDescent="0.3">
      <c r="A31" s="10">
        <v>44437</v>
      </c>
      <c r="B31" s="44"/>
      <c r="C31" s="153">
        <f t="shared" si="25"/>
        <v>18564</v>
      </c>
      <c r="D31" s="44">
        <f t="shared" si="13"/>
        <v>0</v>
      </c>
      <c r="E31" s="154">
        <f t="shared" si="26"/>
        <v>27149734</v>
      </c>
      <c r="F31" s="44">
        <f t="shared" si="14"/>
        <v>0</v>
      </c>
      <c r="G31" s="155">
        <f t="shared" si="27"/>
        <v>86087086</v>
      </c>
      <c r="H31" s="44">
        <f t="shared" si="15"/>
        <v>0</v>
      </c>
      <c r="I31" s="156">
        <f t="shared" si="16"/>
        <v>0</v>
      </c>
      <c r="J31" s="154">
        <v>8437636</v>
      </c>
      <c r="K31" s="44">
        <f t="shared" si="17"/>
        <v>0</v>
      </c>
      <c r="L31" s="157">
        <f t="shared" si="28"/>
        <v>8416116</v>
      </c>
      <c r="M31" s="44">
        <f t="shared" si="18"/>
        <v>0</v>
      </c>
      <c r="N31" s="154">
        <f t="shared" si="29"/>
        <v>5535600</v>
      </c>
      <c r="O31" s="44">
        <f t="shared" si="30"/>
        <v>0</v>
      </c>
      <c r="P31" s="157">
        <f t="shared" si="31"/>
        <v>4372921</v>
      </c>
      <c r="Q31" s="44">
        <f t="shared" si="19"/>
        <v>0</v>
      </c>
      <c r="R31" s="154">
        <f t="shared" si="32"/>
        <v>18190491</v>
      </c>
      <c r="S31" s="44">
        <f t="shared" si="20"/>
        <v>0</v>
      </c>
      <c r="T31" s="154">
        <v>0</v>
      </c>
      <c r="U31" s="11"/>
      <c r="V31" s="154">
        <f t="shared" si="33"/>
        <v>5935488</v>
      </c>
      <c r="W31" s="44">
        <f t="shared" si="21"/>
        <v>0</v>
      </c>
      <c r="X31" s="22">
        <f t="shared" si="22"/>
        <v>0</v>
      </c>
      <c r="Y31" s="159">
        <f t="shared" si="23"/>
        <v>0</v>
      </c>
      <c r="Z31" s="3">
        <f t="shared" si="24"/>
        <v>0</v>
      </c>
      <c r="AA31" s="3">
        <f t="shared" si="34"/>
        <v>0</v>
      </c>
    </row>
    <row r="32" spans="1:27" ht="16.5" thickBot="1" x14ac:dyDescent="0.3">
      <c r="A32" s="10">
        <v>44438</v>
      </c>
      <c r="B32" s="44"/>
      <c r="C32" s="153">
        <f t="shared" si="25"/>
        <v>18564</v>
      </c>
      <c r="D32" s="44">
        <f t="shared" si="13"/>
        <v>0</v>
      </c>
      <c r="E32" s="154">
        <f t="shared" si="26"/>
        <v>27149734</v>
      </c>
      <c r="F32" s="44">
        <f t="shared" si="14"/>
        <v>0</v>
      </c>
      <c r="G32" s="155">
        <f t="shared" si="27"/>
        <v>86087086</v>
      </c>
      <c r="H32" s="44">
        <f t="shared" si="15"/>
        <v>0</v>
      </c>
      <c r="I32" s="22">
        <f>F32+H32</f>
        <v>0</v>
      </c>
      <c r="J32" s="154">
        <v>8437636</v>
      </c>
      <c r="K32" s="44">
        <f t="shared" si="17"/>
        <v>0</v>
      </c>
      <c r="L32" s="157">
        <f t="shared" si="28"/>
        <v>8416116</v>
      </c>
      <c r="M32" s="44">
        <f t="shared" si="18"/>
        <v>0</v>
      </c>
      <c r="N32" s="154">
        <f t="shared" si="29"/>
        <v>5535600</v>
      </c>
      <c r="O32" s="44">
        <f t="shared" si="30"/>
        <v>0</v>
      </c>
      <c r="P32" s="157">
        <f t="shared" si="31"/>
        <v>4372921</v>
      </c>
      <c r="Q32" s="44">
        <f t="shared" si="19"/>
        <v>0</v>
      </c>
      <c r="R32" s="154">
        <f t="shared" si="32"/>
        <v>18190491</v>
      </c>
      <c r="S32" s="44">
        <f t="shared" si="20"/>
        <v>0</v>
      </c>
      <c r="T32" s="154">
        <v>0</v>
      </c>
      <c r="U32" s="11"/>
      <c r="V32" s="154">
        <f t="shared" si="33"/>
        <v>5935488</v>
      </c>
      <c r="W32" s="44">
        <f t="shared" si="21"/>
        <v>0</v>
      </c>
      <c r="X32" s="22">
        <f t="shared" si="22"/>
        <v>0</v>
      </c>
      <c r="Y32" s="159">
        <f t="shared" si="23"/>
        <v>0</v>
      </c>
      <c r="Z32" s="3">
        <f t="shared" si="24"/>
        <v>0</v>
      </c>
      <c r="AA32" s="3">
        <f t="shared" si="34"/>
        <v>0</v>
      </c>
    </row>
    <row r="33" spans="1:27" ht="16.5" thickBot="1" x14ac:dyDescent="0.3">
      <c r="A33" s="10">
        <v>44439</v>
      </c>
      <c r="B33" s="44"/>
      <c r="C33" s="153">
        <f t="shared" si="25"/>
        <v>18564</v>
      </c>
      <c r="D33" s="44">
        <f t="shared" si="13"/>
        <v>0</v>
      </c>
      <c r="E33" s="154">
        <f t="shared" si="26"/>
        <v>27149734</v>
      </c>
      <c r="F33" s="44">
        <f t="shared" si="14"/>
        <v>0</v>
      </c>
      <c r="G33" s="155">
        <f t="shared" si="27"/>
        <v>86087086</v>
      </c>
      <c r="H33" s="44">
        <f t="shared" si="15"/>
        <v>0</v>
      </c>
      <c r="I33" s="22">
        <f>F33+H33</f>
        <v>0</v>
      </c>
      <c r="J33" s="154">
        <v>8437636</v>
      </c>
      <c r="K33" s="44">
        <f t="shared" si="17"/>
        <v>0</v>
      </c>
      <c r="L33" s="157">
        <f t="shared" si="28"/>
        <v>8416116</v>
      </c>
      <c r="M33" s="44">
        <f t="shared" si="18"/>
        <v>0</v>
      </c>
      <c r="N33" s="154">
        <f t="shared" si="29"/>
        <v>5535600</v>
      </c>
      <c r="O33" s="44">
        <f t="shared" si="30"/>
        <v>0</v>
      </c>
      <c r="P33" s="157">
        <f t="shared" si="31"/>
        <v>4372921</v>
      </c>
      <c r="Q33" s="44">
        <f t="shared" si="19"/>
        <v>0</v>
      </c>
      <c r="R33" s="154">
        <f t="shared" si="32"/>
        <v>18190491</v>
      </c>
      <c r="S33" s="44">
        <f t="shared" si="20"/>
        <v>0</v>
      </c>
      <c r="T33" s="154">
        <v>0</v>
      </c>
      <c r="U33" s="11"/>
      <c r="V33" s="154">
        <f t="shared" si="33"/>
        <v>5935488</v>
      </c>
      <c r="W33" s="44">
        <f t="shared" si="21"/>
        <v>0</v>
      </c>
      <c r="X33" s="22">
        <f t="shared" si="22"/>
        <v>0</v>
      </c>
      <c r="Y33" s="159">
        <f t="shared" si="23"/>
        <v>0</v>
      </c>
      <c r="Z33" s="3">
        <f t="shared" si="24"/>
        <v>0</v>
      </c>
      <c r="AA33" s="3">
        <f t="shared" si="34"/>
        <v>0</v>
      </c>
    </row>
    <row r="34" spans="1:27" ht="16.5" thickBot="1" x14ac:dyDescent="0.3">
      <c r="A34" s="6" t="s">
        <v>23</v>
      </c>
      <c r="B34" s="144">
        <f>SUM(B2:B33)</f>
        <v>749</v>
      </c>
      <c r="C34" s="144"/>
      <c r="D34" s="144">
        <f>SUM(D2:D33)</f>
        <v>1600</v>
      </c>
      <c r="E34" s="61">
        <v>0</v>
      </c>
      <c r="F34" s="61">
        <f>SUM(F2:F33)</f>
        <v>40582</v>
      </c>
      <c r="G34" s="61">
        <v>0</v>
      </c>
      <c r="H34" s="61">
        <f>SUM(H2:H33)</f>
        <v>112131</v>
      </c>
      <c r="I34" s="61">
        <f>SUM(I5:I33)</f>
        <v>0</v>
      </c>
      <c r="J34" s="61">
        <v>0</v>
      </c>
      <c r="K34" s="61">
        <f>SUM(K2:K33)</f>
        <v>11874</v>
      </c>
      <c r="L34" s="61">
        <v>0</v>
      </c>
      <c r="M34" s="61">
        <f>SUM(M2:M33)</f>
        <v>12772</v>
      </c>
      <c r="N34" s="61">
        <v>0</v>
      </c>
      <c r="O34" s="61">
        <f>SUM(O2:O33)</f>
        <v>27400</v>
      </c>
      <c r="P34" s="61">
        <v>0</v>
      </c>
      <c r="Q34" s="61">
        <f>SUM(Q2:Q33)</f>
        <v>29338</v>
      </c>
      <c r="R34" s="61">
        <v>0</v>
      </c>
      <c r="S34" s="61">
        <f>SUM(S2:S33)</f>
        <v>20914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23756</v>
      </c>
      <c r="X34" s="61">
        <f>SUM(X5:X33)</f>
        <v>0</v>
      </c>
      <c r="Y34" s="61">
        <f>SUM(Y2:Y33)</f>
        <v>26659</v>
      </c>
      <c r="Z34" s="61">
        <f>SUM(Z2:Z33)</f>
        <v>19055.934767999999</v>
      </c>
      <c r="AA34" s="61">
        <f>SUM(AA2:AA33)</f>
        <v>67623.28270879999</v>
      </c>
    </row>
    <row r="35" spans="1:27" x14ac:dyDescent="0.25"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 t="s">
        <v>12</v>
      </c>
      <c r="V35" s="164"/>
      <c r="W35" s="164"/>
      <c r="X35" s="164"/>
      <c r="Y35" s="27"/>
    </row>
    <row r="36" spans="1:27" x14ac:dyDescent="0.25">
      <c r="Y36" s="27"/>
    </row>
    <row r="47" spans="1:27" ht="15" x14ac:dyDescent="0.2">
      <c r="A47" s="25"/>
      <c r="B47" s="45"/>
      <c r="C47" s="45"/>
      <c r="D47" s="45"/>
      <c r="Z47" s="25"/>
      <c r="AA47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4" sqref="A4:XFD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44408</v>
      </c>
      <c r="B2" s="3">
        <v>419728</v>
      </c>
      <c r="C2" s="44"/>
      <c r="D2" s="3">
        <v>4377000</v>
      </c>
      <c r="E2" s="44"/>
      <c r="F2" s="3">
        <v>4456700</v>
      </c>
      <c r="G2" s="44"/>
      <c r="H2" s="3">
        <v>741531</v>
      </c>
      <c r="I2" s="49"/>
      <c r="J2" s="22"/>
      <c r="K2" s="23"/>
    </row>
    <row r="3" spans="1:14" ht="16.5" thickBot="1" x14ac:dyDescent="0.3">
      <c r="A3" s="10">
        <v>44409</v>
      </c>
      <c r="B3" s="3">
        <v>419845</v>
      </c>
      <c r="C3" s="44">
        <f t="shared" ref="C3" si="0">(IF((B3-B2)&lt;0,"0",(B3-B2)))*10</f>
        <v>1170</v>
      </c>
      <c r="D3" s="3">
        <f>D2</f>
        <v>4377000</v>
      </c>
      <c r="E3" s="44">
        <f>(IF((D3-D2)&lt;0,"0",(D3-D2)))*0.027</f>
        <v>0</v>
      </c>
      <c r="F3" s="3">
        <v>4480600</v>
      </c>
      <c r="G3" s="44">
        <f>(IF((F3-F2)&lt;0,"0",(F3-F2)))*0.027</f>
        <v>645.29999999999995</v>
      </c>
      <c r="H3" s="3">
        <v>741613</v>
      </c>
      <c r="I3" s="49">
        <f>(IF((H3-H2)&lt;0,"0",(H3-H2)))*0.027</f>
        <v>2.214</v>
      </c>
      <c r="J3" s="22">
        <f t="shared" ref="J3" si="1">C3+E3+G3+I3</f>
        <v>1817.5139999999999</v>
      </c>
      <c r="K3" s="23">
        <f t="shared" ref="K3" si="2">J3*5.86</f>
        <v>10650.63204</v>
      </c>
    </row>
    <row r="4" spans="1:14" ht="16.5" thickBot="1" x14ac:dyDescent="0.3">
      <c r="A4" s="10">
        <v>44410</v>
      </c>
      <c r="B4" s="3">
        <v>419985</v>
      </c>
      <c r="C4" s="44">
        <f t="shared" ref="C4:C8" si="3">(IF((B4-B3)&lt;0,"0",(B4-B3)))*10</f>
        <v>1400</v>
      </c>
      <c r="D4" s="3">
        <f t="shared" ref="D4:D33" si="4">D3</f>
        <v>4377000</v>
      </c>
      <c r="E4" s="44">
        <f t="shared" ref="E4:E33" si="5">(IF((D4-D3)&lt;0,"0",(D4-D3)))*0.027</f>
        <v>0</v>
      </c>
      <c r="F4" s="3">
        <v>4507300</v>
      </c>
      <c r="G4" s="44">
        <f>(IF((F4-F3)&lt;0,"0",(F4-F3)))*0.027</f>
        <v>720.9</v>
      </c>
      <c r="H4" s="3">
        <v>741703</v>
      </c>
      <c r="I4" s="49">
        <f>(IF((H4-H3)&lt;0,"0",(H4-H3)))*0.027</f>
        <v>2.4300000000000002</v>
      </c>
      <c r="J4" s="22">
        <f t="shared" ref="J4:J33" si="6">C4+E4+G4+I4</f>
        <v>2123.33</v>
      </c>
      <c r="K4" s="23">
        <f t="shared" ref="K4:K33" si="7">J4*5.86</f>
        <v>12442.7138</v>
      </c>
    </row>
    <row r="5" spans="1:14" ht="16.5" thickBot="1" x14ac:dyDescent="0.3">
      <c r="A5" s="10">
        <v>44411</v>
      </c>
      <c r="B5" s="3">
        <f t="shared" ref="B4:B33" si="8">B4</f>
        <v>419985</v>
      </c>
      <c r="C5" s="44">
        <f t="shared" si="3"/>
        <v>0</v>
      </c>
      <c r="D5" s="3">
        <f t="shared" si="4"/>
        <v>4377000</v>
      </c>
      <c r="E5" s="44">
        <f t="shared" si="5"/>
        <v>0</v>
      </c>
      <c r="F5" s="3">
        <f t="shared" ref="F4:F33" si="9">F4</f>
        <v>4507300</v>
      </c>
      <c r="G5" s="44">
        <f t="shared" ref="G5:G33" si="10">(IF((F5-F4)&lt;0,"0",(F5-F4)))*0.027</f>
        <v>0</v>
      </c>
      <c r="H5" s="3">
        <f t="shared" ref="H4:H33" si="11">H4</f>
        <v>741703</v>
      </c>
      <c r="I5" s="49">
        <f t="shared" ref="I5:I33" si="12">(IF((H5-H4)&lt;0,"0",(H5-H4)))*0.027</f>
        <v>0</v>
      </c>
      <c r="J5" s="22">
        <f t="shared" si="6"/>
        <v>0</v>
      </c>
      <c r="K5" s="23">
        <f t="shared" si="7"/>
        <v>0</v>
      </c>
    </row>
    <row r="6" spans="1:14" ht="16.5" thickBot="1" x14ac:dyDescent="0.3">
      <c r="A6" s="10">
        <v>44412</v>
      </c>
      <c r="B6" s="3">
        <f t="shared" si="8"/>
        <v>419985</v>
      </c>
      <c r="C6" s="44">
        <f t="shared" si="3"/>
        <v>0</v>
      </c>
      <c r="D6" s="3">
        <f t="shared" si="4"/>
        <v>4377000</v>
      </c>
      <c r="E6" s="44">
        <f t="shared" si="5"/>
        <v>0</v>
      </c>
      <c r="F6" s="3">
        <f t="shared" si="9"/>
        <v>4507300</v>
      </c>
      <c r="G6" s="44">
        <f t="shared" si="10"/>
        <v>0</v>
      </c>
      <c r="H6" s="3">
        <f t="shared" si="11"/>
        <v>741703</v>
      </c>
      <c r="I6" s="49">
        <f t="shared" si="12"/>
        <v>0</v>
      </c>
      <c r="J6" s="22">
        <f t="shared" si="6"/>
        <v>0</v>
      </c>
      <c r="K6" s="23">
        <f t="shared" si="7"/>
        <v>0</v>
      </c>
    </row>
    <row r="7" spans="1:14" ht="16.5" thickBot="1" x14ac:dyDescent="0.3">
      <c r="A7" s="10">
        <v>44413</v>
      </c>
      <c r="B7" s="3">
        <f t="shared" si="8"/>
        <v>419985</v>
      </c>
      <c r="C7" s="44">
        <f t="shared" si="3"/>
        <v>0</v>
      </c>
      <c r="D7" s="3">
        <f t="shared" si="4"/>
        <v>4377000</v>
      </c>
      <c r="E7" s="44">
        <f t="shared" si="5"/>
        <v>0</v>
      </c>
      <c r="F7" s="3">
        <f t="shared" si="9"/>
        <v>4507300</v>
      </c>
      <c r="G7" s="44">
        <f t="shared" si="10"/>
        <v>0</v>
      </c>
      <c r="H7" s="3">
        <f t="shared" si="11"/>
        <v>741703</v>
      </c>
      <c r="I7" s="49">
        <f t="shared" si="12"/>
        <v>0</v>
      </c>
      <c r="J7" s="22">
        <f t="shared" si="6"/>
        <v>0</v>
      </c>
      <c r="K7" s="23">
        <f t="shared" si="7"/>
        <v>0</v>
      </c>
      <c r="L7" t="s">
        <v>12</v>
      </c>
      <c r="N7" t="s">
        <v>12</v>
      </c>
    </row>
    <row r="8" spans="1:14" ht="16.5" thickBot="1" x14ac:dyDescent="0.3">
      <c r="A8" s="10">
        <v>44414</v>
      </c>
      <c r="B8" s="3">
        <f t="shared" si="8"/>
        <v>419985</v>
      </c>
      <c r="C8" s="44">
        <f t="shared" si="3"/>
        <v>0</v>
      </c>
      <c r="D8" s="3">
        <f t="shared" si="4"/>
        <v>4377000</v>
      </c>
      <c r="E8" s="44">
        <f t="shared" si="5"/>
        <v>0</v>
      </c>
      <c r="F8" s="3">
        <f t="shared" si="9"/>
        <v>4507300</v>
      </c>
      <c r="G8" s="44">
        <f t="shared" si="10"/>
        <v>0</v>
      </c>
      <c r="H8" s="3">
        <f t="shared" si="11"/>
        <v>741703</v>
      </c>
      <c r="I8" s="49">
        <f t="shared" si="12"/>
        <v>0</v>
      </c>
      <c r="J8" s="22">
        <f t="shared" si="6"/>
        <v>0</v>
      </c>
      <c r="K8" s="23">
        <f t="shared" si="7"/>
        <v>0</v>
      </c>
    </row>
    <row r="9" spans="1:14" ht="16.5" thickBot="1" x14ac:dyDescent="0.3">
      <c r="A9" s="10">
        <v>44415</v>
      </c>
      <c r="B9" s="3">
        <f t="shared" si="8"/>
        <v>419985</v>
      </c>
      <c r="C9" s="44">
        <f t="shared" ref="C9:C33" si="13">(IF((B9-B8)&lt;0,"0",(B9-B8)))*10</f>
        <v>0</v>
      </c>
      <c r="D9" s="3">
        <f t="shared" si="4"/>
        <v>4377000</v>
      </c>
      <c r="E9" s="44">
        <f t="shared" si="5"/>
        <v>0</v>
      </c>
      <c r="F9" s="3">
        <f t="shared" si="9"/>
        <v>4507300</v>
      </c>
      <c r="G9" s="44">
        <f t="shared" si="10"/>
        <v>0</v>
      </c>
      <c r="H9" s="3">
        <f t="shared" si="11"/>
        <v>741703</v>
      </c>
      <c r="I9" s="49">
        <f t="shared" si="12"/>
        <v>0</v>
      </c>
      <c r="J9" s="22">
        <f t="shared" si="6"/>
        <v>0</v>
      </c>
      <c r="K9" s="23">
        <f t="shared" si="7"/>
        <v>0</v>
      </c>
    </row>
    <row r="10" spans="1:14" ht="16.5" thickBot="1" x14ac:dyDescent="0.3">
      <c r="A10" s="10">
        <v>44416</v>
      </c>
      <c r="B10" s="3">
        <f t="shared" si="8"/>
        <v>419985</v>
      </c>
      <c r="C10" s="44">
        <f>(IF((B10-B9)&lt;0,"0",(B10-B9)))*10</f>
        <v>0</v>
      </c>
      <c r="D10" s="3">
        <f t="shared" si="4"/>
        <v>4377000</v>
      </c>
      <c r="E10" s="44">
        <f t="shared" si="5"/>
        <v>0</v>
      </c>
      <c r="F10" s="3">
        <f t="shared" si="9"/>
        <v>4507300</v>
      </c>
      <c r="G10" s="44">
        <f t="shared" si="10"/>
        <v>0</v>
      </c>
      <c r="H10" s="3">
        <f t="shared" si="11"/>
        <v>741703</v>
      </c>
      <c r="I10" s="49">
        <f t="shared" si="12"/>
        <v>0</v>
      </c>
      <c r="J10" s="22">
        <f t="shared" si="6"/>
        <v>0</v>
      </c>
      <c r="K10" s="23">
        <f t="shared" si="7"/>
        <v>0</v>
      </c>
    </row>
    <row r="11" spans="1:14" ht="16.5" thickBot="1" x14ac:dyDescent="0.3">
      <c r="A11" s="10">
        <v>44417</v>
      </c>
      <c r="B11" s="3">
        <f t="shared" si="8"/>
        <v>419985</v>
      </c>
      <c r="C11" s="44">
        <f t="shared" si="13"/>
        <v>0</v>
      </c>
      <c r="D11" s="3">
        <f t="shared" si="4"/>
        <v>4377000</v>
      </c>
      <c r="E11" s="44">
        <f t="shared" si="5"/>
        <v>0</v>
      </c>
      <c r="F11" s="3">
        <f t="shared" si="9"/>
        <v>4507300</v>
      </c>
      <c r="G11" s="44">
        <f t="shared" si="10"/>
        <v>0</v>
      </c>
      <c r="H11" s="3">
        <f t="shared" si="11"/>
        <v>741703</v>
      </c>
      <c r="I11" s="49">
        <f t="shared" si="12"/>
        <v>0</v>
      </c>
      <c r="J11" s="22">
        <f t="shared" si="6"/>
        <v>0</v>
      </c>
      <c r="K11" s="23">
        <f t="shared" si="7"/>
        <v>0</v>
      </c>
      <c r="N11" t="s">
        <v>12</v>
      </c>
    </row>
    <row r="12" spans="1:14" ht="16.5" thickBot="1" x14ac:dyDescent="0.3">
      <c r="A12" s="10">
        <v>44418</v>
      </c>
      <c r="B12" s="3">
        <f t="shared" si="8"/>
        <v>419985</v>
      </c>
      <c r="C12" s="44">
        <f t="shared" si="13"/>
        <v>0</v>
      </c>
      <c r="D12" s="3">
        <f t="shared" si="4"/>
        <v>4377000</v>
      </c>
      <c r="E12" s="44">
        <f t="shared" si="5"/>
        <v>0</v>
      </c>
      <c r="F12" s="3">
        <f t="shared" si="9"/>
        <v>4507300</v>
      </c>
      <c r="G12" s="44">
        <f t="shared" si="10"/>
        <v>0</v>
      </c>
      <c r="H12" s="3">
        <f t="shared" si="11"/>
        <v>741703</v>
      </c>
      <c r="I12" s="49">
        <f t="shared" si="12"/>
        <v>0</v>
      </c>
      <c r="J12" s="22">
        <f t="shared" si="6"/>
        <v>0</v>
      </c>
      <c r="K12" s="23">
        <f t="shared" si="7"/>
        <v>0</v>
      </c>
    </row>
    <row r="13" spans="1:14" ht="16.5" thickBot="1" x14ac:dyDescent="0.3">
      <c r="A13" s="10">
        <v>44419</v>
      </c>
      <c r="B13" s="3">
        <f t="shared" si="8"/>
        <v>419985</v>
      </c>
      <c r="C13" s="44">
        <f t="shared" si="13"/>
        <v>0</v>
      </c>
      <c r="D13" s="3">
        <f t="shared" si="4"/>
        <v>4377000</v>
      </c>
      <c r="E13" s="44">
        <f t="shared" si="5"/>
        <v>0</v>
      </c>
      <c r="F13" s="3">
        <f t="shared" si="9"/>
        <v>4507300</v>
      </c>
      <c r="G13" s="44">
        <f t="shared" si="10"/>
        <v>0</v>
      </c>
      <c r="H13" s="3">
        <f t="shared" si="11"/>
        <v>741703</v>
      </c>
      <c r="I13" s="49">
        <f t="shared" si="12"/>
        <v>0</v>
      </c>
      <c r="J13" s="22">
        <f t="shared" si="6"/>
        <v>0</v>
      </c>
      <c r="K13" s="23">
        <f t="shared" si="7"/>
        <v>0</v>
      </c>
    </row>
    <row r="14" spans="1:14" ht="16.5" thickBot="1" x14ac:dyDescent="0.3">
      <c r="A14" s="10">
        <v>44420</v>
      </c>
      <c r="B14" s="3">
        <f t="shared" si="8"/>
        <v>419985</v>
      </c>
      <c r="C14" s="44">
        <f t="shared" si="13"/>
        <v>0</v>
      </c>
      <c r="D14" s="3">
        <f t="shared" si="4"/>
        <v>4377000</v>
      </c>
      <c r="E14" s="44">
        <f t="shared" si="5"/>
        <v>0</v>
      </c>
      <c r="F14" s="3">
        <f t="shared" si="9"/>
        <v>4507300</v>
      </c>
      <c r="G14" s="44">
        <f t="shared" si="10"/>
        <v>0</v>
      </c>
      <c r="H14" s="3">
        <f t="shared" si="11"/>
        <v>741703</v>
      </c>
      <c r="I14" s="49">
        <f t="shared" si="12"/>
        <v>0</v>
      </c>
      <c r="J14" s="22">
        <f t="shared" si="6"/>
        <v>0</v>
      </c>
      <c r="K14" s="23">
        <f t="shared" si="7"/>
        <v>0</v>
      </c>
    </row>
    <row r="15" spans="1:14" ht="16.5" thickBot="1" x14ac:dyDescent="0.3">
      <c r="A15" s="10">
        <v>44421</v>
      </c>
      <c r="B15" s="3">
        <f t="shared" si="8"/>
        <v>419985</v>
      </c>
      <c r="C15" s="44">
        <f t="shared" si="13"/>
        <v>0</v>
      </c>
      <c r="D15" s="3">
        <f t="shared" si="4"/>
        <v>4377000</v>
      </c>
      <c r="E15" s="44">
        <f t="shared" si="5"/>
        <v>0</v>
      </c>
      <c r="F15" s="3">
        <f t="shared" si="9"/>
        <v>4507300</v>
      </c>
      <c r="G15" s="44">
        <f t="shared" si="10"/>
        <v>0</v>
      </c>
      <c r="H15" s="3">
        <f t="shared" si="11"/>
        <v>741703</v>
      </c>
      <c r="I15" s="49">
        <f t="shared" si="12"/>
        <v>0</v>
      </c>
      <c r="J15" s="22">
        <f t="shared" si="6"/>
        <v>0</v>
      </c>
      <c r="K15" s="23">
        <f t="shared" si="7"/>
        <v>0</v>
      </c>
    </row>
    <row r="16" spans="1:14" ht="16.5" thickBot="1" x14ac:dyDescent="0.3">
      <c r="A16" s="10">
        <v>44422</v>
      </c>
      <c r="B16" s="3">
        <f t="shared" si="8"/>
        <v>419985</v>
      </c>
      <c r="C16" s="44">
        <f t="shared" si="13"/>
        <v>0</v>
      </c>
      <c r="D16" s="3">
        <f t="shared" si="4"/>
        <v>4377000</v>
      </c>
      <c r="E16" s="44">
        <f t="shared" si="5"/>
        <v>0</v>
      </c>
      <c r="F16" s="3">
        <f t="shared" si="9"/>
        <v>4507300</v>
      </c>
      <c r="G16" s="44">
        <f t="shared" si="10"/>
        <v>0</v>
      </c>
      <c r="H16" s="3">
        <f t="shared" si="11"/>
        <v>741703</v>
      </c>
      <c r="I16" s="49">
        <f t="shared" si="12"/>
        <v>0</v>
      </c>
      <c r="J16" s="22">
        <f t="shared" si="6"/>
        <v>0</v>
      </c>
      <c r="K16" s="23">
        <f t="shared" si="7"/>
        <v>0</v>
      </c>
    </row>
    <row r="17" spans="1:25" ht="16.5" thickBot="1" x14ac:dyDescent="0.3">
      <c r="A17" s="10">
        <v>44423</v>
      </c>
      <c r="B17" s="3">
        <f t="shared" si="8"/>
        <v>419985</v>
      </c>
      <c r="C17" s="44">
        <f t="shared" si="13"/>
        <v>0</v>
      </c>
      <c r="D17" s="3">
        <f t="shared" si="4"/>
        <v>4377000</v>
      </c>
      <c r="E17" s="44">
        <f t="shared" si="5"/>
        <v>0</v>
      </c>
      <c r="F17" s="3">
        <f t="shared" si="9"/>
        <v>4507300</v>
      </c>
      <c r="G17" s="44">
        <f t="shared" si="10"/>
        <v>0</v>
      </c>
      <c r="H17" s="3">
        <f t="shared" si="11"/>
        <v>741703</v>
      </c>
      <c r="I17" s="49">
        <f t="shared" si="12"/>
        <v>0</v>
      </c>
      <c r="J17" s="22">
        <f t="shared" si="6"/>
        <v>0</v>
      </c>
      <c r="K17" s="23">
        <f t="shared" si="7"/>
        <v>0</v>
      </c>
      <c r="P17" t="s">
        <v>12</v>
      </c>
      <c r="R17" t="s">
        <v>12</v>
      </c>
    </row>
    <row r="18" spans="1:25" ht="16.5" thickBot="1" x14ac:dyDescent="0.3">
      <c r="A18" s="10">
        <v>44424</v>
      </c>
      <c r="B18" s="3">
        <f t="shared" si="8"/>
        <v>419985</v>
      </c>
      <c r="C18" s="44">
        <f t="shared" si="13"/>
        <v>0</v>
      </c>
      <c r="D18" s="3">
        <f t="shared" si="4"/>
        <v>4377000</v>
      </c>
      <c r="E18" s="44">
        <f t="shared" si="5"/>
        <v>0</v>
      </c>
      <c r="F18" s="3">
        <f t="shared" si="9"/>
        <v>4507300</v>
      </c>
      <c r="G18" s="44">
        <f t="shared" si="10"/>
        <v>0</v>
      </c>
      <c r="H18" s="3">
        <f t="shared" si="11"/>
        <v>741703</v>
      </c>
      <c r="I18" s="49">
        <f t="shared" si="12"/>
        <v>0</v>
      </c>
      <c r="J18" s="22">
        <f t="shared" si="6"/>
        <v>0</v>
      </c>
      <c r="K18" s="23">
        <f t="shared" si="7"/>
        <v>0</v>
      </c>
      <c r="Q18" t="s">
        <v>43</v>
      </c>
    </row>
    <row r="19" spans="1:25" ht="16.5" thickBot="1" x14ac:dyDescent="0.3">
      <c r="A19" s="10">
        <v>44425</v>
      </c>
      <c r="B19" s="3">
        <f t="shared" si="8"/>
        <v>419985</v>
      </c>
      <c r="C19" s="44">
        <f t="shared" si="13"/>
        <v>0</v>
      </c>
      <c r="D19" s="3">
        <f t="shared" si="4"/>
        <v>4377000</v>
      </c>
      <c r="E19" s="44">
        <f t="shared" si="5"/>
        <v>0</v>
      </c>
      <c r="F19" s="3">
        <f t="shared" si="9"/>
        <v>4507300</v>
      </c>
      <c r="G19" s="44">
        <f t="shared" si="10"/>
        <v>0</v>
      </c>
      <c r="H19" s="3">
        <f t="shared" si="11"/>
        <v>741703</v>
      </c>
      <c r="I19" s="49">
        <f t="shared" si="12"/>
        <v>0</v>
      </c>
      <c r="J19" s="22">
        <f t="shared" si="6"/>
        <v>0</v>
      </c>
      <c r="K19" s="23">
        <f t="shared" si="7"/>
        <v>0</v>
      </c>
      <c r="Q19" t="s">
        <v>12</v>
      </c>
    </row>
    <row r="20" spans="1:25" ht="16.5" thickBot="1" x14ac:dyDescent="0.3">
      <c r="A20" s="10">
        <v>44426</v>
      </c>
      <c r="B20" s="3">
        <f t="shared" si="8"/>
        <v>419985</v>
      </c>
      <c r="C20" s="44">
        <f t="shared" si="13"/>
        <v>0</v>
      </c>
      <c r="D20" s="3">
        <f t="shared" si="4"/>
        <v>4377000</v>
      </c>
      <c r="E20" s="44">
        <f t="shared" si="5"/>
        <v>0</v>
      </c>
      <c r="F20" s="3">
        <f t="shared" si="9"/>
        <v>4507300</v>
      </c>
      <c r="G20" s="44">
        <f t="shared" si="10"/>
        <v>0</v>
      </c>
      <c r="H20" s="3">
        <f t="shared" si="11"/>
        <v>741703</v>
      </c>
      <c r="I20" s="49">
        <f t="shared" si="12"/>
        <v>0</v>
      </c>
      <c r="J20" s="22">
        <f t="shared" si="6"/>
        <v>0</v>
      </c>
      <c r="K20" s="23">
        <f t="shared" si="7"/>
        <v>0</v>
      </c>
    </row>
    <row r="21" spans="1:25" ht="16.5" thickBot="1" x14ac:dyDescent="0.3">
      <c r="A21" s="10">
        <v>44427</v>
      </c>
      <c r="B21" s="3">
        <f t="shared" si="8"/>
        <v>419985</v>
      </c>
      <c r="C21" s="44">
        <f t="shared" si="13"/>
        <v>0</v>
      </c>
      <c r="D21" s="3">
        <f t="shared" si="4"/>
        <v>4377000</v>
      </c>
      <c r="E21" s="44">
        <f t="shared" si="5"/>
        <v>0</v>
      </c>
      <c r="F21" s="3">
        <f t="shared" si="9"/>
        <v>4507300</v>
      </c>
      <c r="G21" s="44">
        <f t="shared" si="10"/>
        <v>0</v>
      </c>
      <c r="H21" s="3">
        <f t="shared" si="11"/>
        <v>741703</v>
      </c>
      <c r="I21" s="49">
        <f t="shared" si="12"/>
        <v>0</v>
      </c>
      <c r="J21" s="22">
        <f t="shared" si="6"/>
        <v>0</v>
      </c>
      <c r="K21" s="23">
        <f t="shared" si="7"/>
        <v>0</v>
      </c>
    </row>
    <row r="22" spans="1:25" ht="16.5" thickBot="1" x14ac:dyDescent="0.3">
      <c r="A22" s="10">
        <v>44428</v>
      </c>
      <c r="B22" s="3">
        <f t="shared" si="8"/>
        <v>419985</v>
      </c>
      <c r="C22" s="44">
        <f t="shared" si="13"/>
        <v>0</v>
      </c>
      <c r="D22" s="3">
        <f t="shared" si="4"/>
        <v>4377000</v>
      </c>
      <c r="E22" s="44">
        <f t="shared" si="5"/>
        <v>0</v>
      </c>
      <c r="F22" s="3">
        <f t="shared" si="9"/>
        <v>4507300</v>
      </c>
      <c r="G22" s="44">
        <f t="shared" si="10"/>
        <v>0</v>
      </c>
      <c r="H22" s="3">
        <f t="shared" si="11"/>
        <v>741703</v>
      </c>
      <c r="I22" s="49">
        <f t="shared" si="12"/>
        <v>0</v>
      </c>
      <c r="J22" s="22">
        <f t="shared" si="6"/>
        <v>0</v>
      </c>
      <c r="K22" s="23">
        <f t="shared" si="7"/>
        <v>0</v>
      </c>
      <c r="P22" t="s">
        <v>12</v>
      </c>
      <c r="S22" s="31" t="s">
        <v>12</v>
      </c>
    </row>
    <row r="23" spans="1:25" ht="16.5" thickBot="1" x14ac:dyDescent="0.3">
      <c r="A23" s="10">
        <v>44429</v>
      </c>
      <c r="B23" s="3">
        <f t="shared" si="8"/>
        <v>419985</v>
      </c>
      <c r="C23" s="44">
        <f t="shared" si="13"/>
        <v>0</v>
      </c>
      <c r="D23" s="3">
        <f t="shared" si="4"/>
        <v>4377000</v>
      </c>
      <c r="E23" s="44">
        <f t="shared" si="5"/>
        <v>0</v>
      </c>
      <c r="F23" s="3">
        <f t="shared" si="9"/>
        <v>4507300</v>
      </c>
      <c r="G23" s="44">
        <f t="shared" si="10"/>
        <v>0</v>
      </c>
      <c r="H23" s="3">
        <f t="shared" si="11"/>
        <v>741703</v>
      </c>
      <c r="I23" s="49">
        <f t="shared" si="12"/>
        <v>0</v>
      </c>
      <c r="J23" s="22">
        <f t="shared" si="6"/>
        <v>0</v>
      </c>
      <c r="K23" s="23">
        <f t="shared" si="7"/>
        <v>0</v>
      </c>
      <c r="Q23" t="s">
        <v>12</v>
      </c>
    </row>
    <row r="24" spans="1:25" ht="16.5" thickBot="1" x14ac:dyDescent="0.3">
      <c r="A24" s="10">
        <v>44430</v>
      </c>
      <c r="B24" s="3">
        <f t="shared" si="8"/>
        <v>419985</v>
      </c>
      <c r="C24" s="44">
        <f t="shared" si="13"/>
        <v>0</v>
      </c>
      <c r="D24" s="3">
        <f t="shared" si="4"/>
        <v>4377000</v>
      </c>
      <c r="E24" s="44">
        <f t="shared" si="5"/>
        <v>0</v>
      </c>
      <c r="F24" s="3">
        <f t="shared" si="9"/>
        <v>4507300</v>
      </c>
      <c r="G24" s="44">
        <f t="shared" si="10"/>
        <v>0</v>
      </c>
      <c r="H24" s="3">
        <f t="shared" si="11"/>
        <v>741703</v>
      </c>
      <c r="I24" s="49">
        <f t="shared" si="12"/>
        <v>0</v>
      </c>
      <c r="J24" s="22">
        <f t="shared" si="6"/>
        <v>0</v>
      </c>
      <c r="K24" s="23">
        <f t="shared" si="7"/>
        <v>0</v>
      </c>
    </row>
    <row r="25" spans="1:25" ht="17.25" customHeight="1" thickBot="1" x14ac:dyDescent="0.4">
      <c r="A25" s="10">
        <v>44431</v>
      </c>
      <c r="B25" s="3">
        <f t="shared" si="8"/>
        <v>419985</v>
      </c>
      <c r="C25" s="44">
        <f t="shared" si="13"/>
        <v>0</v>
      </c>
      <c r="D25" s="3">
        <f t="shared" si="4"/>
        <v>4377000</v>
      </c>
      <c r="E25" s="44">
        <f t="shared" si="5"/>
        <v>0</v>
      </c>
      <c r="F25" s="3">
        <f t="shared" si="9"/>
        <v>4507300</v>
      </c>
      <c r="G25" s="44">
        <f>F25-F24</f>
        <v>0</v>
      </c>
      <c r="H25" s="3">
        <f t="shared" si="11"/>
        <v>741703</v>
      </c>
      <c r="I25" s="49">
        <f t="shared" si="12"/>
        <v>0</v>
      </c>
      <c r="J25" s="22">
        <f t="shared" si="6"/>
        <v>0</v>
      </c>
      <c r="K25" s="23">
        <f t="shared" si="7"/>
        <v>0</v>
      </c>
      <c r="Y25" s="60"/>
    </row>
    <row r="26" spans="1:25" ht="16.5" thickBot="1" x14ac:dyDescent="0.3">
      <c r="A26" s="10">
        <v>44432</v>
      </c>
      <c r="B26" s="3">
        <f t="shared" si="8"/>
        <v>419985</v>
      </c>
      <c r="C26" s="44">
        <f t="shared" si="13"/>
        <v>0</v>
      </c>
      <c r="D26" s="3">
        <f t="shared" si="4"/>
        <v>4377000</v>
      </c>
      <c r="E26" s="44">
        <f t="shared" si="5"/>
        <v>0</v>
      </c>
      <c r="F26" s="3">
        <f t="shared" si="9"/>
        <v>4507300</v>
      </c>
      <c r="G26" s="44">
        <f t="shared" si="10"/>
        <v>0</v>
      </c>
      <c r="H26" s="3">
        <f t="shared" si="11"/>
        <v>741703</v>
      </c>
      <c r="I26" s="49">
        <f t="shared" si="12"/>
        <v>0</v>
      </c>
      <c r="J26" s="22">
        <f t="shared" si="6"/>
        <v>0</v>
      </c>
      <c r="K26" s="23">
        <f t="shared" si="7"/>
        <v>0</v>
      </c>
      <c r="L26" t="s">
        <v>12</v>
      </c>
    </row>
    <row r="27" spans="1:25" ht="16.5" thickBot="1" x14ac:dyDescent="0.3">
      <c r="A27" s="10">
        <v>44433</v>
      </c>
      <c r="B27" s="3">
        <f t="shared" si="8"/>
        <v>419985</v>
      </c>
      <c r="C27" s="44">
        <f t="shared" si="13"/>
        <v>0</v>
      </c>
      <c r="D27" s="3">
        <f t="shared" si="4"/>
        <v>4377000</v>
      </c>
      <c r="E27" s="44">
        <f t="shared" si="5"/>
        <v>0</v>
      </c>
      <c r="F27" s="3">
        <f t="shared" si="9"/>
        <v>4507300</v>
      </c>
      <c r="G27" s="44">
        <f t="shared" si="10"/>
        <v>0</v>
      </c>
      <c r="H27" s="3">
        <f t="shared" si="11"/>
        <v>741703</v>
      </c>
      <c r="I27" s="49">
        <f t="shared" si="12"/>
        <v>0</v>
      </c>
      <c r="J27" s="22">
        <f t="shared" si="6"/>
        <v>0</v>
      </c>
      <c r="K27" s="23">
        <f t="shared" si="7"/>
        <v>0</v>
      </c>
      <c r="O27" t="s">
        <v>12</v>
      </c>
    </row>
    <row r="28" spans="1:25" ht="16.5" thickBot="1" x14ac:dyDescent="0.3">
      <c r="A28" s="10">
        <v>44434</v>
      </c>
      <c r="B28" s="3">
        <f t="shared" si="8"/>
        <v>419985</v>
      </c>
      <c r="C28" s="44">
        <f t="shared" si="13"/>
        <v>0</v>
      </c>
      <c r="D28" s="3">
        <f t="shared" si="4"/>
        <v>4377000</v>
      </c>
      <c r="E28" s="44">
        <f t="shared" si="5"/>
        <v>0</v>
      </c>
      <c r="F28" s="3">
        <f t="shared" si="9"/>
        <v>4507300</v>
      </c>
      <c r="G28" s="44">
        <f t="shared" si="10"/>
        <v>0</v>
      </c>
      <c r="H28" s="3">
        <f t="shared" si="11"/>
        <v>741703</v>
      </c>
      <c r="I28" s="49">
        <f t="shared" si="12"/>
        <v>0</v>
      </c>
      <c r="J28" s="22">
        <f t="shared" si="6"/>
        <v>0</v>
      </c>
      <c r="K28" s="23">
        <f t="shared" si="7"/>
        <v>0</v>
      </c>
    </row>
    <row r="29" spans="1:25" ht="16.5" thickBot="1" x14ac:dyDescent="0.3">
      <c r="A29" s="10">
        <v>44435</v>
      </c>
      <c r="B29" s="3">
        <f t="shared" si="8"/>
        <v>419985</v>
      </c>
      <c r="C29" s="44">
        <f t="shared" si="13"/>
        <v>0</v>
      </c>
      <c r="D29" s="3">
        <f t="shared" si="4"/>
        <v>4377000</v>
      </c>
      <c r="E29" s="44">
        <f t="shared" si="5"/>
        <v>0</v>
      </c>
      <c r="F29" s="3">
        <f t="shared" si="9"/>
        <v>4507300</v>
      </c>
      <c r="G29" s="44">
        <f t="shared" si="10"/>
        <v>0</v>
      </c>
      <c r="H29" s="3">
        <f t="shared" si="11"/>
        <v>741703</v>
      </c>
      <c r="I29" s="49">
        <f t="shared" si="12"/>
        <v>0</v>
      </c>
      <c r="J29" s="22">
        <f t="shared" si="6"/>
        <v>0</v>
      </c>
      <c r="K29" s="23">
        <f t="shared" si="7"/>
        <v>0</v>
      </c>
    </row>
    <row r="30" spans="1:25" ht="16.5" thickBot="1" x14ac:dyDescent="0.3">
      <c r="A30" s="10">
        <v>44436</v>
      </c>
      <c r="B30" s="3">
        <f t="shared" si="8"/>
        <v>419985</v>
      </c>
      <c r="C30" s="44">
        <f t="shared" si="13"/>
        <v>0</v>
      </c>
      <c r="D30" s="3">
        <f t="shared" si="4"/>
        <v>4377000</v>
      </c>
      <c r="E30" s="44">
        <f t="shared" si="5"/>
        <v>0</v>
      </c>
      <c r="F30" s="3">
        <f t="shared" si="9"/>
        <v>4507300</v>
      </c>
      <c r="G30" s="44">
        <f t="shared" si="10"/>
        <v>0</v>
      </c>
      <c r="H30" s="3">
        <f t="shared" si="11"/>
        <v>741703</v>
      </c>
      <c r="I30" s="49">
        <f t="shared" si="12"/>
        <v>0</v>
      </c>
      <c r="J30" s="22">
        <f t="shared" si="6"/>
        <v>0</v>
      </c>
      <c r="K30" s="23">
        <f t="shared" si="7"/>
        <v>0</v>
      </c>
    </row>
    <row r="31" spans="1:25" ht="16.5" thickBot="1" x14ac:dyDescent="0.3">
      <c r="A31" s="10">
        <v>44437</v>
      </c>
      <c r="B31" s="3">
        <f t="shared" si="8"/>
        <v>419985</v>
      </c>
      <c r="C31" s="44">
        <f t="shared" si="13"/>
        <v>0</v>
      </c>
      <c r="D31" s="3">
        <f t="shared" si="4"/>
        <v>4377000</v>
      </c>
      <c r="E31" s="44">
        <f t="shared" si="5"/>
        <v>0</v>
      </c>
      <c r="F31" s="3">
        <f t="shared" si="9"/>
        <v>4507300</v>
      </c>
      <c r="G31" s="44">
        <f t="shared" si="10"/>
        <v>0</v>
      </c>
      <c r="H31" s="3">
        <f t="shared" si="11"/>
        <v>741703</v>
      </c>
      <c r="I31" s="49">
        <f t="shared" si="12"/>
        <v>0</v>
      </c>
      <c r="J31" s="22">
        <f t="shared" si="6"/>
        <v>0</v>
      </c>
      <c r="K31" s="23">
        <f t="shared" si="7"/>
        <v>0</v>
      </c>
    </row>
    <row r="32" spans="1:25" ht="16.5" thickBot="1" x14ac:dyDescent="0.3">
      <c r="A32" s="10">
        <v>44438</v>
      </c>
      <c r="B32" s="3">
        <f t="shared" si="8"/>
        <v>419985</v>
      </c>
      <c r="C32" s="44">
        <f t="shared" si="13"/>
        <v>0</v>
      </c>
      <c r="D32" s="3">
        <f t="shared" si="4"/>
        <v>4377000</v>
      </c>
      <c r="E32" s="44">
        <f t="shared" si="5"/>
        <v>0</v>
      </c>
      <c r="F32" s="3">
        <f t="shared" si="9"/>
        <v>4507300</v>
      </c>
      <c r="G32" s="44">
        <f t="shared" si="10"/>
        <v>0</v>
      </c>
      <c r="H32" s="3">
        <f t="shared" si="11"/>
        <v>741703</v>
      </c>
      <c r="I32" s="49">
        <f t="shared" si="12"/>
        <v>0</v>
      </c>
      <c r="J32" s="22">
        <f t="shared" si="6"/>
        <v>0</v>
      </c>
      <c r="K32" s="23">
        <f t="shared" si="7"/>
        <v>0</v>
      </c>
    </row>
    <row r="33" spans="1:11" ht="16.5" thickBot="1" x14ac:dyDescent="0.3">
      <c r="A33" s="10">
        <v>44439</v>
      </c>
      <c r="B33" s="3">
        <f t="shared" si="8"/>
        <v>419985</v>
      </c>
      <c r="C33" s="44">
        <f t="shared" si="13"/>
        <v>0</v>
      </c>
      <c r="D33" s="3">
        <f t="shared" si="4"/>
        <v>4377000</v>
      </c>
      <c r="E33" s="44">
        <f t="shared" si="5"/>
        <v>0</v>
      </c>
      <c r="F33" s="3">
        <f t="shared" si="9"/>
        <v>4507300</v>
      </c>
      <c r="G33" s="44">
        <f t="shared" si="10"/>
        <v>0</v>
      </c>
      <c r="H33" s="3">
        <f t="shared" si="11"/>
        <v>741703</v>
      </c>
      <c r="I33" s="49">
        <f t="shared" si="12"/>
        <v>0</v>
      </c>
      <c r="J33" s="22">
        <f t="shared" si="6"/>
        <v>0</v>
      </c>
      <c r="K33" s="23">
        <f t="shared" si="7"/>
        <v>0</v>
      </c>
    </row>
    <row r="34" spans="1:11" ht="21" thickBot="1" x14ac:dyDescent="0.3">
      <c r="A34" s="9" t="s">
        <v>23</v>
      </c>
      <c r="B34" s="3"/>
      <c r="C34" s="61">
        <f>SUM(C3:C33)</f>
        <v>2570</v>
      </c>
      <c r="D34" s="3"/>
      <c r="E34" s="61">
        <f>SUM(E3:E33)</f>
        <v>0</v>
      </c>
      <c r="F34" s="3"/>
      <c r="G34" s="61">
        <f>SUM(G3:G33)</f>
        <v>1366.1999999999998</v>
      </c>
      <c r="H34" s="3"/>
      <c r="I34" s="61">
        <f>SUM(I3:I33)</f>
        <v>4.6440000000000001</v>
      </c>
      <c r="J34" s="61">
        <f>SUM(J3:J33)</f>
        <v>3940.8440000000001</v>
      </c>
      <c r="K34" s="61">
        <f>SUM(K3:K33)</f>
        <v>23093.345840000002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4" sqref="A4:XFD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44408</v>
      </c>
      <c r="B2" s="139">
        <v>17503175</v>
      </c>
      <c r="C2" s="50"/>
    </row>
    <row r="3" spans="1:9" ht="24" thickBot="1" x14ac:dyDescent="0.4">
      <c r="A3" s="10">
        <v>44409</v>
      </c>
      <c r="B3" s="139">
        <v>17505545</v>
      </c>
      <c r="C3" s="50">
        <f>IF((B3-B2)&lt;0,"0",(B3-B2))</f>
        <v>2370</v>
      </c>
    </row>
    <row r="4" spans="1:9" ht="24" thickBot="1" x14ac:dyDescent="0.4">
      <c r="A4" s="10">
        <v>44410</v>
      </c>
      <c r="B4" s="139">
        <v>17507747</v>
      </c>
      <c r="C4" s="50">
        <f t="shared" ref="C4:C30" si="0">IF((B4-B3)&lt;0,"0",(B4-B3))</f>
        <v>2202</v>
      </c>
    </row>
    <row r="5" spans="1:9" ht="24" thickBot="1" x14ac:dyDescent="0.4">
      <c r="A5" s="10">
        <v>44411</v>
      </c>
      <c r="B5" s="139">
        <f t="shared" ref="B4:B33" si="1">B4</f>
        <v>17507747</v>
      </c>
      <c r="C5" s="50">
        <f t="shared" si="0"/>
        <v>0</v>
      </c>
    </row>
    <row r="6" spans="1:9" ht="24" thickBot="1" x14ac:dyDescent="0.4">
      <c r="A6" s="10">
        <v>44412</v>
      </c>
      <c r="B6" s="139">
        <f t="shared" si="1"/>
        <v>17507747</v>
      </c>
      <c r="C6" s="50">
        <f>IF((B6-B5)&lt;0,"0",(B6-B5))</f>
        <v>0</v>
      </c>
    </row>
    <row r="7" spans="1:9" ht="24" thickBot="1" x14ac:dyDescent="0.4">
      <c r="A7" s="10">
        <v>44413</v>
      </c>
      <c r="B7" s="139">
        <f t="shared" si="1"/>
        <v>17507747</v>
      </c>
      <c r="C7" s="50">
        <f>IF((B7-B6)&lt;0,"0",(B7-B6))</f>
        <v>0</v>
      </c>
    </row>
    <row r="8" spans="1:9" ht="24" thickBot="1" x14ac:dyDescent="0.4">
      <c r="A8" s="10">
        <v>44414</v>
      </c>
      <c r="B8" s="139">
        <f t="shared" si="1"/>
        <v>17507747</v>
      </c>
      <c r="C8" s="50">
        <f>IF((B8-B7)&lt;0,"0",(B8-B7))</f>
        <v>0</v>
      </c>
    </row>
    <row r="9" spans="1:9" ht="24" thickBot="1" x14ac:dyDescent="0.4">
      <c r="A9" s="10">
        <v>44415</v>
      </c>
      <c r="B9" s="139">
        <f t="shared" si="1"/>
        <v>17507747</v>
      </c>
      <c r="C9" s="50">
        <f t="shared" si="0"/>
        <v>0</v>
      </c>
    </row>
    <row r="10" spans="1:9" ht="24" thickBot="1" x14ac:dyDescent="0.4">
      <c r="A10" s="10">
        <v>44416</v>
      </c>
      <c r="B10" s="139">
        <f t="shared" si="1"/>
        <v>17507747</v>
      </c>
      <c r="C10" s="50">
        <f t="shared" si="0"/>
        <v>0</v>
      </c>
    </row>
    <row r="11" spans="1:9" ht="24" thickBot="1" x14ac:dyDescent="0.4">
      <c r="A11" s="10">
        <v>44417</v>
      </c>
      <c r="B11" s="139">
        <f t="shared" si="1"/>
        <v>17507747</v>
      </c>
      <c r="C11" s="50">
        <f>IF((B11-B10)&lt;0,"0",(B11-B10))</f>
        <v>0</v>
      </c>
    </row>
    <row r="12" spans="1:9" ht="24" thickBot="1" x14ac:dyDescent="0.4">
      <c r="A12" s="10">
        <v>44418</v>
      </c>
      <c r="B12" s="139">
        <f t="shared" si="1"/>
        <v>17507747</v>
      </c>
      <c r="C12" s="50">
        <f t="shared" si="0"/>
        <v>0</v>
      </c>
    </row>
    <row r="13" spans="1:9" ht="24" thickBot="1" x14ac:dyDescent="0.4">
      <c r="A13" s="10">
        <v>44419</v>
      </c>
      <c r="B13" s="139">
        <f t="shared" si="1"/>
        <v>17507747</v>
      </c>
      <c r="C13" s="50">
        <f t="shared" si="0"/>
        <v>0</v>
      </c>
    </row>
    <row r="14" spans="1:9" ht="24" thickBot="1" x14ac:dyDescent="0.4">
      <c r="A14" s="10">
        <v>44420</v>
      </c>
      <c r="B14" s="139">
        <f t="shared" si="1"/>
        <v>17507747</v>
      </c>
      <c r="C14" s="50">
        <f t="shared" si="0"/>
        <v>0</v>
      </c>
    </row>
    <row r="15" spans="1:9" ht="24" thickBot="1" x14ac:dyDescent="0.4">
      <c r="A15" s="10">
        <v>44421</v>
      </c>
      <c r="B15" s="139">
        <f t="shared" si="1"/>
        <v>17507747</v>
      </c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44422</v>
      </c>
      <c r="B16" s="139">
        <f t="shared" si="1"/>
        <v>17507747</v>
      </c>
      <c r="C16" s="50">
        <f t="shared" si="0"/>
        <v>0</v>
      </c>
    </row>
    <row r="17" spans="1:9" ht="25.5" customHeight="1" thickBot="1" x14ac:dyDescent="0.4">
      <c r="A17" s="10">
        <v>44423</v>
      </c>
      <c r="B17" s="139">
        <f t="shared" si="1"/>
        <v>17507747</v>
      </c>
      <c r="C17" s="50">
        <f t="shared" si="0"/>
        <v>0</v>
      </c>
      <c r="F17" s="137"/>
    </row>
    <row r="18" spans="1:9" ht="24" thickBot="1" x14ac:dyDescent="0.4">
      <c r="A18" s="10">
        <v>44424</v>
      </c>
      <c r="B18" s="139">
        <f t="shared" si="1"/>
        <v>17507747</v>
      </c>
      <c r="C18" s="50">
        <f t="shared" si="0"/>
        <v>0</v>
      </c>
    </row>
    <row r="19" spans="1:9" ht="24" thickBot="1" x14ac:dyDescent="0.4">
      <c r="A19" s="10">
        <v>44425</v>
      </c>
      <c r="B19" s="139">
        <f t="shared" si="1"/>
        <v>17507747</v>
      </c>
      <c r="C19" s="50">
        <f t="shared" si="0"/>
        <v>0</v>
      </c>
    </row>
    <row r="20" spans="1:9" ht="24" thickBot="1" x14ac:dyDescent="0.4">
      <c r="A20" s="10">
        <v>44426</v>
      </c>
      <c r="B20" s="139">
        <f t="shared" si="1"/>
        <v>17507747</v>
      </c>
      <c r="C20" s="50">
        <f t="shared" si="0"/>
        <v>0</v>
      </c>
    </row>
    <row r="21" spans="1:9" ht="24" thickBot="1" x14ac:dyDescent="0.4">
      <c r="A21" s="10">
        <v>44427</v>
      </c>
      <c r="B21" s="139">
        <f t="shared" si="1"/>
        <v>17507747</v>
      </c>
      <c r="C21" s="50">
        <f t="shared" si="0"/>
        <v>0</v>
      </c>
    </row>
    <row r="22" spans="1:9" ht="24" thickBot="1" x14ac:dyDescent="0.4">
      <c r="A22" s="10">
        <v>44428</v>
      </c>
      <c r="B22" s="139">
        <f t="shared" si="1"/>
        <v>17507747</v>
      </c>
      <c r="C22" s="50">
        <f t="shared" si="0"/>
        <v>0</v>
      </c>
    </row>
    <row r="23" spans="1:9" ht="24" thickBot="1" x14ac:dyDescent="0.4">
      <c r="A23" s="10">
        <v>44429</v>
      </c>
      <c r="B23" s="139">
        <f t="shared" si="1"/>
        <v>17507747</v>
      </c>
      <c r="C23" s="50">
        <f t="shared" si="0"/>
        <v>0</v>
      </c>
      <c r="F23" t="s">
        <v>12</v>
      </c>
    </row>
    <row r="24" spans="1:9" ht="24" thickBot="1" x14ac:dyDescent="0.4">
      <c r="A24" s="10">
        <v>44430</v>
      </c>
      <c r="B24" s="139">
        <f t="shared" si="1"/>
        <v>17507747</v>
      </c>
      <c r="C24" s="50">
        <f t="shared" si="0"/>
        <v>0</v>
      </c>
      <c r="E24" t="s">
        <v>12</v>
      </c>
    </row>
    <row r="25" spans="1:9" ht="24" thickBot="1" x14ac:dyDescent="0.4">
      <c r="A25" s="10">
        <v>44431</v>
      </c>
      <c r="B25" s="139">
        <f t="shared" si="1"/>
        <v>17507747</v>
      </c>
      <c r="C25" s="50">
        <f t="shared" si="0"/>
        <v>0</v>
      </c>
    </row>
    <row r="26" spans="1:9" ht="24" thickBot="1" x14ac:dyDescent="0.4">
      <c r="A26" s="10">
        <v>44432</v>
      </c>
      <c r="B26" s="139">
        <f t="shared" si="1"/>
        <v>17507747</v>
      </c>
      <c r="C26" s="50">
        <f t="shared" si="0"/>
        <v>0</v>
      </c>
    </row>
    <row r="27" spans="1:9" ht="24" thickBot="1" x14ac:dyDescent="0.4">
      <c r="A27" s="10">
        <v>44433</v>
      </c>
      <c r="B27" s="139">
        <f t="shared" si="1"/>
        <v>17507747</v>
      </c>
      <c r="C27" s="50">
        <f t="shared" si="0"/>
        <v>0</v>
      </c>
    </row>
    <row r="28" spans="1:9" ht="24" thickBot="1" x14ac:dyDescent="0.4">
      <c r="A28" s="10">
        <v>44434</v>
      </c>
      <c r="B28" s="139">
        <f t="shared" si="1"/>
        <v>17507747</v>
      </c>
      <c r="C28" s="50">
        <f t="shared" si="0"/>
        <v>0</v>
      </c>
      <c r="I28" t="s">
        <v>12</v>
      </c>
    </row>
    <row r="29" spans="1:9" ht="24" thickBot="1" x14ac:dyDescent="0.4">
      <c r="A29" s="10">
        <v>44435</v>
      </c>
      <c r="B29" s="139">
        <f t="shared" si="1"/>
        <v>17507747</v>
      </c>
      <c r="C29" s="50">
        <f t="shared" si="0"/>
        <v>0</v>
      </c>
    </row>
    <row r="30" spans="1:9" ht="24" thickBot="1" x14ac:dyDescent="0.4">
      <c r="A30" s="10">
        <v>44436</v>
      </c>
      <c r="B30" s="139">
        <f t="shared" si="1"/>
        <v>17507747</v>
      </c>
      <c r="C30" s="50">
        <f t="shared" si="0"/>
        <v>0</v>
      </c>
    </row>
    <row r="31" spans="1:9" ht="24" thickBot="1" x14ac:dyDescent="0.4">
      <c r="A31" s="10">
        <v>44437</v>
      </c>
      <c r="B31" s="139">
        <f t="shared" si="1"/>
        <v>17507747</v>
      </c>
      <c r="C31" s="50">
        <f>IF((B31-B30)&lt;0,"0",(B31-B30))</f>
        <v>0</v>
      </c>
    </row>
    <row r="32" spans="1:9" ht="24" thickBot="1" x14ac:dyDescent="0.4">
      <c r="A32" s="10">
        <v>44438</v>
      </c>
      <c r="B32" s="139">
        <f t="shared" si="1"/>
        <v>17507747</v>
      </c>
      <c r="C32" s="50">
        <f>IF((B32-B31)&lt;0,"0",(B32-B31))</f>
        <v>0</v>
      </c>
    </row>
    <row r="33" spans="1:3" ht="24" thickBot="1" x14ac:dyDescent="0.4">
      <c r="A33" s="10">
        <v>44439</v>
      </c>
      <c r="B33" s="139">
        <f t="shared" si="1"/>
        <v>17507747</v>
      </c>
      <c r="C33" s="50">
        <f>IF((B33-B32)&lt;0,"0",(B33-B32))</f>
        <v>0</v>
      </c>
    </row>
    <row r="34" spans="1:3" ht="24" thickBot="1" x14ac:dyDescent="0.4">
      <c r="A34" s="165" t="s">
        <v>138</v>
      </c>
      <c r="B34" s="166"/>
      <c r="C34" s="142">
        <f>SUM(C3:C33)</f>
        <v>4572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B4" sqref="A4:XFD4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</row>
    <row r="2" spans="1:25" ht="16.5" thickBot="1" x14ac:dyDescent="0.25">
      <c r="A2" s="10">
        <v>44408</v>
      </c>
      <c r="B2" s="1">
        <v>21504.142</v>
      </c>
      <c r="C2" s="49"/>
      <c r="D2" s="33"/>
      <c r="E2" s="1">
        <v>3776.0549999999998</v>
      </c>
      <c r="F2" s="49"/>
      <c r="G2" s="33"/>
      <c r="H2" s="1">
        <v>3644</v>
      </c>
      <c r="I2" s="49"/>
      <c r="J2" s="33"/>
      <c r="K2" s="7">
        <v>13576.79</v>
      </c>
      <c r="L2" s="49"/>
      <c r="M2" s="33"/>
      <c r="N2" s="7">
        <v>3146.8429999999998</v>
      </c>
      <c r="O2" s="49"/>
      <c r="P2" s="33"/>
      <c r="Q2" s="7">
        <v>4995.5</v>
      </c>
      <c r="R2" s="49"/>
      <c r="S2" s="33"/>
      <c r="T2" s="8"/>
      <c r="U2" s="35"/>
    </row>
    <row r="3" spans="1:25" ht="16.5" thickBot="1" x14ac:dyDescent="0.25">
      <c r="A3" s="10">
        <v>44409</v>
      </c>
      <c r="B3" s="1">
        <v>21520.971000000001</v>
      </c>
      <c r="C3" s="49">
        <f>IF((B3-B2)&lt;0,"0",(B3-B2))</f>
        <v>16.829000000001543</v>
      </c>
      <c r="D3" s="33">
        <f t="shared" ref="D3:D33" si="0">C3*1.9*1000</f>
        <v>31975.100000002927</v>
      </c>
      <c r="E3" s="1">
        <v>3779.8420000000001</v>
      </c>
      <c r="F3" s="49">
        <f t="shared" ref="F3:F33" si="1">IF((E3-E2)&lt;0,"0",(E3-E2))</f>
        <v>3.7870000000002619</v>
      </c>
      <c r="G3" s="33">
        <f t="shared" ref="G3:G33" si="2">F3*1.9*1000</f>
        <v>7195.3000000004968</v>
      </c>
      <c r="H3" s="1">
        <v>3652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1348.3789999999999</v>
      </c>
      <c r="L3" s="49">
        <v>12.28</v>
      </c>
      <c r="M3" s="33">
        <f t="shared" ref="M3:M33" si="5">L3*1.9*1000</f>
        <v>23331.999999999996</v>
      </c>
      <c r="N3" s="7">
        <v>3148.3789999999999</v>
      </c>
      <c r="O3" s="49">
        <f t="shared" ref="O3:O33" si="6">IF((N3-N2)&lt;0,"0",(N3-N2))</f>
        <v>1.5360000000000582</v>
      </c>
      <c r="P3" s="33">
        <f t="shared" ref="P3:P33" si="7">O3*1.9*1000</f>
        <v>2918.4000000001101</v>
      </c>
      <c r="Q3" s="7">
        <v>4999.6000000000004</v>
      </c>
      <c r="R3" s="49">
        <f t="shared" ref="R3:R33" si="8">IF((Q3-Q2)&lt;0,"0",(Q3-Q2))</f>
        <v>4.1000000000003638</v>
      </c>
      <c r="S3" s="33">
        <f t="shared" ref="S3:S33" si="9">R3*1.9*1000</f>
        <v>7790.0000000006912</v>
      </c>
      <c r="T3" s="8">
        <f>C3+F3+I3+L3+O3+R3</f>
        <v>46.532000000002228</v>
      </c>
      <c r="U3" s="35">
        <f>T3*1.9*1000</f>
        <v>88410.800000004223</v>
      </c>
    </row>
    <row r="4" spans="1:25" ht="16.5" thickBot="1" x14ac:dyDescent="0.25">
      <c r="A4" s="10">
        <v>44410</v>
      </c>
      <c r="B4" s="1">
        <v>21531.798999999999</v>
      </c>
      <c r="C4" s="49">
        <f t="shared" ref="C4:C33" si="10">IF((B4-B3)&lt;0,"0",(B4-B3))</f>
        <v>10.827999999997701</v>
      </c>
      <c r="D4" s="33">
        <f t="shared" si="0"/>
        <v>20573.199999995632</v>
      </c>
      <c r="E4" s="1">
        <v>3782.261</v>
      </c>
      <c r="F4" s="49">
        <f t="shared" si="1"/>
        <v>2.418999999999869</v>
      </c>
      <c r="G4" s="33">
        <f t="shared" si="2"/>
        <v>4596.0999999997512</v>
      </c>
      <c r="H4" s="1">
        <v>3657</v>
      </c>
      <c r="I4" s="49">
        <f t="shared" si="3"/>
        <v>5</v>
      </c>
      <c r="J4" s="33">
        <f t="shared" si="4"/>
        <v>9500</v>
      </c>
      <c r="K4" s="7">
        <v>1358.3630000000001</v>
      </c>
      <c r="L4" s="49">
        <f t="shared" ref="L4:L33" si="11">IF((K4-K3)&lt;0,"0",(K4-K3))</f>
        <v>9.984000000000151</v>
      </c>
      <c r="M4" s="33">
        <f t="shared" si="5"/>
        <v>18969.600000000286</v>
      </c>
      <c r="N4" s="7">
        <v>3149.3240000000001</v>
      </c>
      <c r="O4" s="49">
        <f t="shared" si="6"/>
        <v>0.94500000000016371</v>
      </c>
      <c r="P4" s="33">
        <f t="shared" si="7"/>
        <v>1795.500000000311</v>
      </c>
      <c r="Q4" s="7">
        <v>5002.32</v>
      </c>
      <c r="R4" s="49">
        <f t="shared" si="8"/>
        <v>2.7199999999993452</v>
      </c>
      <c r="S4" s="33">
        <f t="shared" si="9"/>
        <v>5167.9999999987558</v>
      </c>
      <c r="T4" s="8">
        <f>C4+F4+I4+L4+O4+R4</f>
        <v>31.89599999999723</v>
      </c>
      <c r="U4" s="35">
        <f t="shared" ref="U4:U33" si="12">T4*1.9*1000</f>
        <v>60602.399999994734</v>
      </c>
    </row>
    <row r="5" spans="1:25" ht="16.5" thickBot="1" x14ac:dyDescent="0.25">
      <c r="A5" s="10">
        <v>44411</v>
      </c>
      <c r="B5" s="1">
        <f t="shared" ref="B4:B33" si="13">B4</f>
        <v>21531.798999999999</v>
      </c>
      <c r="C5" s="49">
        <f t="shared" si="10"/>
        <v>0</v>
      </c>
      <c r="D5" s="33">
        <f t="shared" si="0"/>
        <v>0</v>
      </c>
      <c r="E5" s="1">
        <f t="shared" ref="E4:E33" si="14">E4</f>
        <v>3782.261</v>
      </c>
      <c r="F5" s="49">
        <f t="shared" si="1"/>
        <v>0</v>
      </c>
      <c r="G5" s="33">
        <f t="shared" si="2"/>
        <v>0</v>
      </c>
      <c r="H5" s="1">
        <f t="shared" ref="H4:H33" si="15">H4</f>
        <v>3657</v>
      </c>
      <c r="I5" s="49">
        <f t="shared" si="3"/>
        <v>0</v>
      </c>
      <c r="J5" s="33">
        <f t="shared" si="4"/>
        <v>0</v>
      </c>
      <c r="K5" s="7">
        <f t="shared" ref="K4:K33" si="16">K4</f>
        <v>1358.3630000000001</v>
      </c>
      <c r="L5" s="49">
        <f t="shared" si="11"/>
        <v>0</v>
      </c>
      <c r="M5" s="33">
        <f t="shared" si="5"/>
        <v>0</v>
      </c>
      <c r="N5" s="7">
        <f t="shared" ref="N4:N33" si="17">N4</f>
        <v>3149.3240000000001</v>
      </c>
      <c r="O5" s="49">
        <f t="shared" si="6"/>
        <v>0</v>
      </c>
      <c r="P5" s="33">
        <f t="shared" si="7"/>
        <v>0</v>
      </c>
      <c r="Q5" s="7">
        <f t="shared" ref="Q4:Q33" si="18">Q4</f>
        <v>5002.32</v>
      </c>
      <c r="R5" s="49">
        <f t="shared" si="8"/>
        <v>0</v>
      </c>
      <c r="S5" s="33">
        <f t="shared" si="9"/>
        <v>0</v>
      </c>
      <c r="T5" s="8">
        <f>C5+F5+I5+L5+O5+R5</f>
        <v>0</v>
      </c>
      <c r="U5" s="35">
        <f t="shared" si="12"/>
        <v>0</v>
      </c>
    </row>
    <row r="6" spans="1:25" ht="16.5" thickBot="1" x14ac:dyDescent="0.25">
      <c r="A6" s="10">
        <v>44412</v>
      </c>
      <c r="B6" s="1">
        <f t="shared" si="13"/>
        <v>21531.798999999999</v>
      </c>
      <c r="C6" s="49">
        <f t="shared" si="10"/>
        <v>0</v>
      </c>
      <c r="D6" s="33">
        <f t="shared" si="0"/>
        <v>0</v>
      </c>
      <c r="E6" s="1">
        <f t="shared" si="14"/>
        <v>3782.261</v>
      </c>
      <c r="F6" s="49">
        <f t="shared" si="1"/>
        <v>0</v>
      </c>
      <c r="G6" s="33">
        <f t="shared" si="2"/>
        <v>0</v>
      </c>
      <c r="H6" s="1">
        <f t="shared" si="15"/>
        <v>3657</v>
      </c>
      <c r="I6" s="49">
        <f t="shared" si="3"/>
        <v>0</v>
      </c>
      <c r="J6" s="33">
        <f t="shared" si="4"/>
        <v>0</v>
      </c>
      <c r="K6" s="7">
        <f t="shared" si="16"/>
        <v>1358.3630000000001</v>
      </c>
      <c r="L6" s="49">
        <f t="shared" si="11"/>
        <v>0</v>
      </c>
      <c r="M6" s="33">
        <f t="shared" si="5"/>
        <v>0</v>
      </c>
      <c r="N6" s="7">
        <f t="shared" si="17"/>
        <v>3149.3240000000001</v>
      </c>
      <c r="O6" s="49">
        <f t="shared" si="6"/>
        <v>0</v>
      </c>
      <c r="P6" s="33">
        <f t="shared" si="7"/>
        <v>0</v>
      </c>
      <c r="Q6" s="7">
        <f t="shared" si="18"/>
        <v>5002.32</v>
      </c>
      <c r="R6" s="49">
        <f t="shared" si="8"/>
        <v>0</v>
      </c>
      <c r="S6" s="33">
        <f t="shared" si="9"/>
        <v>0</v>
      </c>
      <c r="T6" s="8">
        <f t="shared" ref="T6:T33" si="19">C6+F6+I6+L6+O6+R6</f>
        <v>0</v>
      </c>
      <c r="U6" s="35">
        <f t="shared" si="12"/>
        <v>0</v>
      </c>
    </row>
    <row r="7" spans="1:25" ht="16.5" thickBot="1" x14ac:dyDescent="0.25">
      <c r="A7" s="10">
        <v>44413</v>
      </c>
      <c r="B7" s="1">
        <f t="shared" si="13"/>
        <v>21531.798999999999</v>
      </c>
      <c r="C7" s="49">
        <f t="shared" si="10"/>
        <v>0</v>
      </c>
      <c r="D7" s="33">
        <f t="shared" si="0"/>
        <v>0</v>
      </c>
      <c r="E7" s="1">
        <f t="shared" si="14"/>
        <v>3782.261</v>
      </c>
      <c r="F7" s="49">
        <f t="shared" si="1"/>
        <v>0</v>
      </c>
      <c r="G7" s="33">
        <f t="shared" si="2"/>
        <v>0</v>
      </c>
      <c r="H7" s="1">
        <f t="shared" si="15"/>
        <v>3657</v>
      </c>
      <c r="I7" s="49">
        <f t="shared" si="3"/>
        <v>0</v>
      </c>
      <c r="J7" s="33">
        <f t="shared" si="4"/>
        <v>0</v>
      </c>
      <c r="K7" s="7">
        <f t="shared" si="16"/>
        <v>1358.3630000000001</v>
      </c>
      <c r="L7" s="49">
        <f t="shared" si="11"/>
        <v>0</v>
      </c>
      <c r="M7" s="33">
        <f t="shared" si="5"/>
        <v>0</v>
      </c>
      <c r="N7" s="7">
        <f t="shared" si="17"/>
        <v>3149.3240000000001</v>
      </c>
      <c r="O7" s="49">
        <f t="shared" si="6"/>
        <v>0</v>
      </c>
      <c r="P7" s="33">
        <f t="shared" si="7"/>
        <v>0</v>
      </c>
      <c r="Q7" s="7">
        <f t="shared" si="18"/>
        <v>5002.32</v>
      </c>
      <c r="R7" s="49">
        <f t="shared" si="8"/>
        <v>0</v>
      </c>
      <c r="S7" s="33">
        <f t="shared" si="9"/>
        <v>0</v>
      </c>
      <c r="T7" s="8">
        <f t="shared" si="19"/>
        <v>0</v>
      </c>
      <c r="U7" s="35">
        <f t="shared" si="12"/>
        <v>0</v>
      </c>
    </row>
    <row r="8" spans="1:25" ht="16.5" thickBot="1" x14ac:dyDescent="0.25">
      <c r="A8" s="10">
        <v>44414</v>
      </c>
      <c r="B8" s="1">
        <f t="shared" si="13"/>
        <v>21531.798999999999</v>
      </c>
      <c r="C8" s="49">
        <f t="shared" si="10"/>
        <v>0</v>
      </c>
      <c r="D8" s="33">
        <f t="shared" si="0"/>
        <v>0</v>
      </c>
      <c r="E8" s="1">
        <f t="shared" si="14"/>
        <v>3782.261</v>
      </c>
      <c r="F8" s="49">
        <f t="shared" si="1"/>
        <v>0</v>
      </c>
      <c r="G8" s="33">
        <f t="shared" si="2"/>
        <v>0</v>
      </c>
      <c r="H8" s="1">
        <f t="shared" si="15"/>
        <v>3657</v>
      </c>
      <c r="I8" s="49">
        <f t="shared" si="3"/>
        <v>0</v>
      </c>
      <c r="J8" s="33">
        <f t="shared" si="4"/>
        <v>0</v>
      </c>
      <c r="K8" s="7">
        <f t="shared" si="16"/>
        <v>1358.3630000000001</v>
      </c>
      <c r="L8" s="49">
        <f t="shared" si="11"/>
        <v>0</v>
      </c>
      <c r="M8" s="33">
        <f t="shared" si="5"/>
        <v>0</v>
      </c>
      <c r="N8" s="7">
        <f t="shared" si="17"/>
        <v>3149.3240000000001</v>
      </c>
      <c r="O8" s="49">
        <f t="shared" si="6"/>
        <v>0</v>
      </c>
      <c r="P8" s="33">
        <f t="shared" si="7"/>
        <v>0</v>
      </c>
      <c r="Q8" s="7">
        <f t="shared" si="18"/>
        <v>5002.32</v>
      </c>
      <c r="R8" s="49">
        <f t="shared" si="8"/>
        <v>0</v>
      </c>
      <c r="S8" s="33">
        <f t="shared" si="9"/>
        <v>0</v>
      </c>
      <c r="T8" s="8">
        <f t="shared" si="19"/>
        <v>0</v>
      </c>
      <c r="U8" s="35">
        <f t="shared" si="12"/>
        <v>0</v>
      </c>
    </row>
    <row r="9" spans="1:25" ht="16.5" thickBot="1" x14ac:dyDescent="0.25">
      <c r="A9" s="10">
        <v>44415</v>
      </c>
      <c r="B9" s="1">
        <f t="shared" si="13"/>
        <v>21531.798999999999</v>
      </c>
      <c r="C9" s="49">
        <f t="shared" si="10"/>
        <v>0</v>
      </c>
      <c r="D9" s="33">
        <f t="shared" si="0"/>
        <v>0</v>
      </c>
      <c r="E9" s="1">
        <f t="shared" si="14"/>
        <v>3782.261</v>
      </c>
      <c r="F9" s="49">
        <f t="shared" si="1"/>
        <v>0</v>
      </c>
      <c r="G9" s="33">
        <f t="shared" si="2"/>
        <v>0</v>
      </c>
      <c r="H9" s="1">
        <f t="shared" si="15"/>
        <v>3657</v>
      </c>
      <c r="I9" s="49">
        <f t="shared" si="3"/>
        <v>0</v>
      </c>
      <c r="J9" s="33">
        <f t="shared" si="4"/>
        <v>0</v>
      </c>
      <c r="K9" s="7">
        <f t="shared" si="16"/>
        <v>1358.3630000000001</v>
      </c>
      <c r="L9" s="49">
        <f t="shared" si="11"/>
        <v>0</v>
      </c>
      <c r="M9" s="33">
        <f t="shared" si="5"/>
        <v>0</v>
      </c>
      <c r="N9" s="7">
        <f t="shared" si="17"/>
        <v>3149.3240000000001</v>
      </c>
      <c r="O9" s="49">
        <f t="shared" si="6"/>
        <v>0</v>
      </c>
      <c r="P9" s="33">
        <f t="shared" si="7"/>
        <v>0</v>
      </c>
      <c r="Q9" s="7">
        <f t="shared" si="18"/>
        <v>5002.32</v>
      </c>
      <c r="R9" s="49">
        <f t="shared" si="8"/>
        <v>0</v>
      </c>
      <c r="S9" s="33">
        <f t="shared" si="9"/>
        <v>0</v>
      </c>
      <c r="T9" s="8">
        <f t="shared" si="19"/>
        <v>0</v>
      </c>
      <c r="U9" s="35">
        <f t="shared" si="12"/>
        <v>0</v>
      </c>
    </row>
    <row r="10" spans="1:25" ht="16.5" thickBot="1" x14ac:dyDescent="0.25">
      <c r="A10" s="10">
        <v>44416</v>
      </c>
      <c r="B10" s="1">
        <f t="shared" si="13"/>
        <v>21531.798999999999</v>
      </c>
      <c r="C10" s="49">
        <f t="shared" si="10"/>
        <v>0</v>
      </c>
      <c r="D10" s="33">
        <f t="shared" si="0"/>
        <v>0</v>
      </c>
      <c r="E10" s="1">
        <f t="shared" si="14"/>
        <v>3782.261</v>
      </c>
      <c r="F10" s="49">
        <f t="shared" si="1"/>
        <v>0</v>
      </c>
      <c r="G10" s="33">
        <f t="shared" si="2"/>
        <v>0</v>
      </c>
      <c r="H10" s="1">
        <f t="shared" si="15"/>
        <v>3657</v>
      </c>
      <c r="I10" s="49">
        <f t="shared" si="3"/>
        <v>0</v>
      </c>
      <c r="J10" s="33">
        <f t="shared" si="4"/>
        <v>0</v>
      </c>
      <c r="K10" s="7">
        <f t="shared" si="16"/>
        <v>1358.3630000000001</v>
      </c>
      <c r="L10" s="49">
        <f t="shared" si="11"/>
        <v>0</v>
      </c>
      <c r="M10" s="33">
        <f t="shared" si="5"/>
        <v>0</v>
      </c>
      <c r="N10" s="7">
        <f t="shared" si="17"/>
        <v>3149.3240000000001</v>
      </c>
      <c r="O10" s="49">
        <f t="shared" si="6"/>
        <v>0</v>
      </c>
      <c r="P10" s="33">
        <f t="shared" si="7"/>
        <v>0</v>
      </c>
      <c r="Q10" s="7">
        <f t="shared" si="18"/>
        <v>5002.32</v>
      </c>
      <c r="R10" s="49">
        <f t="shared" si="8"/>
        <v>0</v>
      </c>
      <c r="S10" s="33">
        <f t="shared" si="9"/>
        <v>0</v>
      </c>
      <c r="T10" s="8">
        <f t="shared" si="19"/>
        <v>0</v>
      </c>
      <c r="U10" s="35">
        <f t="shared" si="12"/>
        <v>0</v>
      </c>
    </row>
    <row r="11" spans="1:25" ht="16.5" thickBot="1" x14ac:dyDescent="0.25">
      <c r="A11" s="10">
        <v>44417</v>
      </c>
      <c r="B11" s="1">
        <f t="shared" si="13"/>
        <v>21531.798999999999</v>
      </c>
      <c r="C11" s="49">
        <f t="shared" si="10"/>
        <v>0</v>
      </c>
      <c r="D11" s="33">
        <f t="shared" si="0"/>
        <v>0</v>
      </c>
      <c r="E11" s="1">
        <f t="shared" si="14"/>
        <v>3782.261</v>
      </c>
      <c r="F11" s="49">
        <f t="shared" si="1"/>
        <v>0</v>
      </c>
      <c r="G11" s="33">
        <f t="shared" si="2"/>
        <v>0</v>
      </c>
      <c r="H11" s="1">
        <f t="shared" si="15"/>
        <v>3657</v>
      </c>
      <c r="I11" s="49">
        <f t="shared" si="3"/>
        <v>0</v>
      </c>
      <c r="J11" s="33">
        <f t="shared" si="4"/>
        <v>0</v>
      </c>
      <c r="K11" s="7">
        <f t="shared" si="16"/>
        <v>1358.3630000000001</v>
      </c>
      <c r="L11" s="49">
        <f t="shared" si="11"/>
        <v>0</v>
      </c>
      <c r="M11" s="33">
        <f t="shared" si="5"/>
        <v>0</v>
      </c>
      <c r="N11" s="7">
        <f t="shared" si="17"/>
        <v>3149.3240000000001</v>
      </c>
      <c r="O11" s="49">
        <f t="shared" si="6"/>
        <v>0</v>
      </c>
      <c r="P11" s="33">
        <f t="shared" si="7"/>
        <v>0</v>
      </c>
      <c r="Q11" s="7">
        <f t="shared" si="18"/>
        <v>5002.32</v>
      </c>
      <c r="R11" s="49">
        <f t="shared" si="8"/>
        <v>0</v>
      </c>
      <c r="S11" s="33">
        <f t="shared" si="9"/>
        <v>0</v>
      </c>
      <c r="T11" s="8">
        <f t="shared" si="19"/>
        <v>0</v>
      </c>
      <c r="U11" s="35">
        <f t="shared" si="12"/>
        <v>0</v>
      </c>
    </row>
    <row r="12" spans="1:25" ht="16.5" thickBot="1" x14ac:dyDescent="0.25">
      <c r="A12" s="10">
        <v>44418</v>
      </c>
      <c r="B12" s="1">
        <f t="shared" si="13"/>
        <v>21531.798999999999</v>
      </c>
      <c r="C12" s="49">
        <f t="shared" si="10"/>
        <v>0</v>
      </c>
      <c r="D12" s="33">
        <f t="shared" si="0"/>
        <v>0</v>
      </c>
      <c r="E12" s="1">
        <f t="shared" si="14"/>
        <v>3782.261</v>
      </c>
      <c r="F12" s="49">
        <f t="shared" si="1"/>
        <v>0</v>
      </c>
      <c r="G12" s="33">
        <f t="shared" si="2"/>
        <v>0</v>
      </c>
      <c r="H12" s="1">
        <f t="shared" si="15"/>
        <v>3657</v>
      </c>
      <c r="I12" s="49">
        <f t="shared" si="3"/>
        <v>0</v>
      </c>
      <c r="J12" s="33">
        <f t="shared" si="4"/>
        <v>0</v>
      </c>
      <c r="K12" s="7">
        <f t="shared" si="16"/>
        <v>1358.3630000000001</v>
      </c>
      <c r="L12" s="49">
        <f t="shared" si="11"/>
        <v>0</v>
      </c>
      <c r="M12" s="33">
        <f t="shared" si="5"/>
        <v>0</v>
      </c>
      <c r="N12" s="7">
        <f t="shared" si="17"/>
        <v>3149.3240000000001</v>
      </c>
      <c r="O12" s="49">
        <f t="shared" si="6"/>
        <v>0</v>
      </c>
      <c r="P12" s="33">
        <f t="shared" si="7"/>
        <v>0</v>
      </c>
      <c r="Q12" s="7">
        <f t="shared" si="18"/>
        <v>5002.32</v>
      </c>
      <c r="R12" s="49">
        <f t="shared" si="8"/>
        <v>0</v>
      </c>
      <c r="S12" s="33">
        <f t="shared" si="9"/>
        <v>0</v>
      </c>
      <c r="T12" s="8">
        <f t="shared" si="19"/>
        <v>0</v>
      </c>
      <c r="U12" s="35">
        <f t="shared" si="12"/>
        <v>0</v>
      </c>
    </row>
    <row r="13" spans="1:25" ht="16.5" thickBot="1" x14ac:dyDescent="0.25">
      <c r="A13" s="10">
        <v>44419</v>
      </c>
      <c r="B13" s="1">
        <f t="shared" si="13"/>
        <v>21531.798999999999</v>
      </c>
      <c r="C13" s="49">
        <f t="shared" si="10"/>
        <v>0</v>
      </c>
      <c r="D13" s="33">
        <f t="shared" si="0"/>
        <v>0</v>
      </c>
      <c r="E13" s="1">
        <f t="shared" si="14"/>
        <v>3782.261</v>
      </c>
      <c r="F13" s="49">
        <f t="shared" si="1"/>
        <v>0</v>
      </c>
      <c r="G13" s="33">
        <f t="shared" si="2"/>
        <v>0</v>
      </c>
      <c r="H13" s="1">
        <f t="shared" si="15"/>
        <v>3657</v>
      </c>
      <c r="I13" s="49">
        <f t="shared" si="3"/>
        <v>0</v>
      </c>
      <c r="J13" s="33">
        <f t="shared" si="4"/>
        <v>0</v>
      </c>
      <c r="K13" s="7">
        <f t="shared" si="16"/>
        <v>1358.3630000000001</v>
      </c>
      <c r="L13" s="49">
        <f t="shared" si="11"/>
        <v>0</v>
      </c>
      <c r="M13" s="33">
        <f t="shared" si="5"/>
        <v>0</v>
      </c>
      <c r="N13" s="7">
        <f t="shared" si="17"/>
        <v>3149.3240000000001</v>
      </c>
      <c r="O13" s="49">
        <f t="shared" si="6"/>
        <v>0</v>
      </c>
      <c r="P13" s="33">
        <f t="shared" si="7"/>
        <v>0</v>
      </c>
      <c r="Q13" s="7">
        <f t="shared" si="18"/>
        <v>5002.32</v>
      </c>
      <c r="R13" s="49">
        <f t="shared" si="8"/>
        <v>0</v>
      </c>
      <c r="S13" s="33">
        <f t="shared" si="9"/>
        <v>0</v>
      </c>
      <c r="T13" s="8">
        <f t="shared" si="19"/>
        <v>0</v>
      </c>
      <c r="U13" s="35">
        <f t="shared" si="12"/>
        <v>0</v>
      </c>
    </row>
    <row r="14" spans="1:25" ht="16.5" thickBot="1" x14ac:dyDescent="0.25">
      <c r="A14" s="10">
        <v>44420</v>
      </c>
      <c r="B14" s="1">
        <f t="shared" si="13"/>
        <v>21531.798999999999</v>
      </c>
      <c r="C14" s="49">
        <f t="shared" si="10"/>
        <v>0</v>
      </c>
      <c r="D14" s="33">
        <f t="shared" si="0"/>
        <v>0</v>
      </c>
      <c r="E14" s="1">
        <f t="shared" si="14"/>
        <v>3782.261</v>
      </c>
      <c r="F14" s="49">
        <f t="shared" si="1"/>
        <v>0</v>
      </c>
      <c r="G14" s="33">
        <f t="shared" si="2"/>
        <v>0</v>
      </c>
      <c r="H14" s="1">
        <f t="shared" si="15"/>
        <v>3657</v>
      </c>
      <c r="I14" s="49">
        <f t="shared" si="3"/>
        <v>0</v>
      </c>
      <c r="J14" s="33">
        <f t="shared" si="4"/>
        <v>0</v>
      </c>
      <c r="K14" s="7">
        <f t="shared" si="16"/>
        <v>1358.3630000000001</v>
      </c>
      <c r="L14" s="49">
        <f t="shared" si="11"/>
        <v>0</v>
      </c>
      <c r="M14" s="33">
        <f t="shared" si="5"/>
        <v>0</v>
      </c>
      <c r="N14" s="7">
        <f t="shared" si="17"/>
        <v>3149.3240000000001</v>
      </c>
      <c r="O14" s="49">
        <f t="shared" si="6"/>
        <v>0</v>
      </c>
      <c r="P14" s="33">
        <f t="shared" si="7"/>
        <v>0</v>
      </c>
      <c r="Q14" s="7">
        <f t="shared" si="18"/>
        <v>5002.32</v>
      </c>
      <c r="R14" s="49">
        <f t="shared" si="8"/>
        <v>0</v>
      </c>
      <c r="S14" s="33">
        <f t="shared" si="9"/>
        <v>0</v>
      </c>
      <c r="T14" s="8">
        <f t="shared" si="19"/>
        <v>0</v>
      </c>
      <c r="U14" s="35">
        <f t="shared" si="12"/>
        <v>0</v>
      </c>
    </row>
    <row r="15" spans="1:25" ht="16.5" thickBot="1" x14ac:dyDescent="0.25">
      <c r="A15" s="10">
        <v>44421</v>
      </c>
      <c r="B15" s="1">
        <f t="shared" si="13"/>
        <v>21531.798999999999</v>
      </c>
      <c r="C15" s="49">
        <f t="shared" si="10"/>
        <v>0</v>
      </c>
      <c r="D15" s="33">
        <f t="shared" si="0"/>
        <v>0</v>
      </c>
      <c r="E15" s="1">
        <f t="shared" si="14"/>
        <v>3782.261</v>
      </c>
      <c r="F15" s="49">
        <f t="shared" si="1"/>
        <v>0</v>
      </c>
      <c r="G15" s="33">
        <f t="shared" si="2"/>
        <v>0</v>
      </c>
      <c r="H15" s="1">
        <f t="shared" si="15"/>
        <v>3657</v>
      </c>
      <c r="I15" s="49">
        <f t="shared" si="3"/>
        <v>0</v>
      </c>
      <c r="J15" s="33">
        <f t="shared" si="4"/>
        <v>0</v>
      </c>
      <c r="K15" s="7">
        <f t="shared" si="16"/>
        <v>1358.3630000000001</v>
      </c>
      <c r="L15" s="49">
        <f t="shared" si="11"/>
        <v>0</v>
      </c>
      <c r="M15" s="33">
        <f t="shared" si="5"/>
        <v>0</v>
      </c>
      <c r="N15" s="7">
        <f t="shared" si="17"/>
        <v>3149.3240000000001</v>
      </c>
      <c r="O15" s="49">
        <f t="shared" si="6"/>
        <v>0</v>
      </c>
      <c r="P15" s="33">
        <f t="shared" si="7"/>
        <v>0</v>
      </c>
      <c r="Q15" s="7">
        <f t="shared" si="18"/>
        <v>5002.32</v>
      </c>
      <c r="R15" s="49">
        <f t="shared" si="8"/>
        <v>0</v>
      </c>
      <c r="S15" s="33">
        <f t="shared" si="9"/>
        <v>0</v>
      </c>
      <c r="T15" s="8">
        <f t="shared" si="19"/>
        <v>0</v>
      </c>
      <c r="U15" s="35">
        <f t="shared" si="12"/>
        <v>0</v>
      </c>
      <c r="W15" t="s">
        <v>12</v>
      </c>
    </row>
    <row r="16" spans="1:25" ht="16.5" thickBot="1" x14ac:dyDescent="0.25">
      <c r="A16" s="10">
        <v>44422</v>
      </c>
      <c r="B16" s="1">
        <f t="shared" si="13"/>
        <v>21531.798999999999</v>
      </c>
      <c r="C16" s="49">
        <f t="shared" si="10"/>
        <v>0</v>
      </c>
      <c r="D16" s="33">
        <f t="shared" si="0"/>
        <v>0</v>
      </c>
      <c r="E16" s="1">
        <f t="shared" si="14"/>
        <v>3782.261</v>
      </c>
      <c r="F16" s="49">
        <f t="shared" si="1"/>
        <v>0</v>
      </c>
      <c r="G16" s="33">
        <f t="shared" si="2"/>
        <v>0</v>
      </c>
      <c r="H16" s="1">
        <f t="shared" si="15"/>
        <v>3657</v>
      </c>
      <c r="I16" s="49">
        <f t="shared" si="3"/>
        <v>0</v>
      </c>
      <c r="J16" s="33">
        <f t="shared" si="4"/>
        <v>0</v>
      </c>
      <c r="K16" s="7">
        <f t="shared" si="16"/>
        <v>1358.3630000000001</v>
      </c>
      <c r="L16" s="49">
        <f t="shared" si="11"/>
        <v>0</v>
      </c>
      <c r="M16" s="33">
        <f t="shared" si="5"/>
        <v>0</v>
      </c>
      <c r="N16" s="7">
        <f t="shared" si="17"/>
        <v>3149.3240000000001</v>
      </c>
      <c r="O16" s="49">
        <f t="shared" si="6"/>
        <v>0</v>
      </c>
      <c r="P16" s="33">
        <f t="shared" si="7"/>
        <v>0</v>
      </c>
      <c r="Q16" s="7">
        <f t="shared" si="18"/>
        <v>5002.32</v>
      </c>
      <c r="R16" s="49">
        <f t="shared" si="8"/>
        <v>0</v>
      </c>
      <c r="S16" s="33">
        <f t="shared" si="9"/>
        <v>0</v>
      </c>
      <c r="T16" s="8">
        <f t="shared" si="19"/>
        <v>0</v>
      </c>
      <c r="U16" s="35">
        <f t="shared" si="12"/>
        <v>0</v>
      </c>
      <c r="Y16" t="s">
        <v>12</v>
      </c>
    </row>
    <row r="17" spans="1:24" ht="16.5" thickBot="1" x14ac:dyDescent="0.25">
      <c r="A17" s="10">
        <v>44423</v>
      </c>
      <c r="B17" s="1">
        <f t="shared" si="13"/>
        <v>21531.798999999999</v>
      </c>
      <c r="C17" s="49">
        <f t="shared" si="10"/>
        <v>0</v>
      </c>
      <c r="D17" s="33">
        <f t="shared" si="0"/>
        <v>0</v>
      </c>
      <c r="E17" s="1">
        <f t="shared" si="14"/>
        <v>3782.261</v>
      </c>
      <c r="F17" s="49">
        <f t="shared" si="1"/>
        <v>0</v>
      </c>
      <c r="G17" s="33">
        <f t="shared" si="2"/>
        <v>0</v>
      </c>
      <c r="H17" s="1">
        <f t="shared" si="15"/>
        <v>3657</v>
      </c>
      <c r="I17" s="49">
        <f t="shared" si="3"/>
        <v>0</v>
      </c>
      <c r="J17" s="33">
        <f t="shared" si="4"/>
        <v>0</v>
      </c>
      <c r="K17" s="7">
        <f t="shared" si="16"/>
        <v>1358.3630000000001</v>
      </c>
      <c r="L17" s="49">
        <f t="shared" si="11"/>
        <v>0</v>
      </c>
      <c r="M17" s="33">
        <f t="shared" si="5"/>
        <v>0</v>
      </c>
      <c r="N17" s="7">
        <f t="shared" si="17"/>
        <v>3149.3240000000001</v>
      </c>
      <c r="O17" s="49">
        <f t="shared" si="6"/>
        <v>0</v>
      </c>
      <c r="P17" s="33">
        <f t="shared" si="7"/>
        <v>0</v>
      </c>
      <c r="Q17" s="7">
        <f t="shared" si="18"/>
        <v>5002.32</v>
      </c>
      <c r="R17" s="49">
        <f t="shared" si="8"/>
        <v>0</v>
      </c>
      <c r="S17" s="33">
        <f t="shared" si="9"/>
        <v>0</v>
      </c>
      <c r="T17" s="8">
        <f t="shared" si="19"/>
        <v>0</v>
      </c>
      <c r="U17" s="35">
        <f t="shared" si="12"/>
        <v>0</v>
      </c>
    </row>
    <row r="18" spans="1:24" ht="16.5" thickBot="1" x14ac:dyDescent="0.25">
      <c r="A18" s="10">
        <v>44424</v>
      </c>
      <c r="B18" s="1">
        <f t="shared" si="13"/>
        <v>21531.798999999999</v>
      </c>
      <c r="C18" s="49">
        <f t="shared" si="10"/>
        <v>0</v>
      </c>
      <c r="D18" s="33">
        <f t="shared" si="0"/>
        <v>0</v>
      </c>
      <c r="E18" s="1">
        <f t="shared" si="14"/>
        <v>3782.261</v>
      </c>
      <c r="F18" s="49">
        <f t="shared" si="1"/>
        <v>0</v>
      </c>
      <c r="G18" s="33">
        <f t="shared" si="2"/>
        <v>0</v>
      </c>
      <c r="H18" s="1">
        <f t="shared" si="15"/>
        <v>3657</v>
      </c>
      <c r="I18" s="49">
        <f t="shared" si="3"/>
        <v>0</v>
      </c>
      <c r="J18" s="33">
        <f t="shared" si="4"/>
        <v>0</v>
      </c>
      <c r="K18" s="7">
        <f t="shared" si="16"/>
        <v>1358.3630000000001</v>
      </c>
      <c r="L18" s="49">
        <f t="shared" si="11"/>
        <v>0</v>
      </c>
      <c r="M18" s="33">
        <f t="shared" si="5"/>
        <v>0</v>
      </c>
      <c r="N18" s="7">
        <f t="shared" si="17"/>
        <v>3149.3240000000001</v>
      </c>
      <c r="O18" s="49">
        <f t="shared" si="6"/>
        <v>0</v>
      </c>
      <c r="P18" s="33">
        <f t="shared" si="7"/>
        <v>0</v>
      </c>
      <c r="Q18" s="7">
        <f t="shared" si="18"/>
        <v>5002.32</v>
      </c>
      <c r="R18" s="49">
        <f t="shared" si="8"/>
        <v>0</v>
      </c>
      <c r="S18" s="33">
        <f t="shared" si="9"/>
        <v>0</v>
      </c>
      <c r="T18" s="8">
        <f t="shared" si="19"/>
        <v>0</v>
      </c>
      <c r="U18" s="35">
        <f t="shared" si="12"/>
        <v>0</v>
      </c>
    </row>
    <row r="19" spans="1:24" ht="16.5" thickBot="1" x14ac:dyDescent="0.25">
      <c r="A19" s="10">
        <v>44425</v>
      </c>
      <c r="B19" s="1">
        <f t="shared" si="13"/>
        <v>21531.798999999999</v>
      </c>
      <c r="C19" s="49">
        <f t="shared" si="10"/>
        <v>0</v>
      </c>
      <c r="D19" s="33">
        <f t="shared" si="0"/>
        <v>0</v>
      </c>
      <c r="E19" s="1">
        <f t="shared" si="14"/>
        <v>3782.261</v>
      </c>
      <c r="F19" s="49">
        <f t="shared" si="1"/>
        <v>0</v>
      </c>
      <c r="G19" s="33">
        <f t="shared" si="2"/>
        <v>0</v>
      </c>
      <c r="H19" s="1">
        <f t="shared" si="15"/>
        <v>3657</v>
      </c>
      <c r="I19" s="49">
        <f t="shared" si="3"/>
        <v>0</v>
      </c>
      <c r="J19" s="33">
        <f t="shared" si="4"/>
        <v>0</v>
      </c>
      <c r="K19" s="7">
        <f t="shared" si="16"/>
        <v>1358.3630000000001</v>
      </c>
      <c r="L19" s="49">
        <f t="shared" si="11"/>
        <v>0</v>
      </c>
      <c r="M19" s="33">
        <f t="shared" si="5"/>
        <v>0</v>
      </c>
      <c r="N19" s="7">
        <f t="shared" si="17"/>
        <v>3149.3240000000001</v>
      </c>
      <c r="O19" s="49">
        <f t="shared" si="6"/>
        <v>0</v>
      </c>
      <c r="P19" s="33">
        <f t="shared" si="7"/>
        <v>0</v>
      </c>
      <c r="Q19" s="7">
        <f t="shared" si="18"/>
        <v>5002.32</v>
      </c>
      <c r="R19" s="49">
        <f t="shared" si="8"/>
        <v>0</v>
      </c>
      <c r="S19" s="33">
        <f t="shared" si="9"/>
        <v>0</v>
      </c>
      <c r="T19" s="8">
        <f t="shared" si="19"/>
        <v>0</v>
      </c>
      <c r="U19" s="35">
        <f t="shared" si="12"/>
        <v>0</v>
      </c>
    </row>
    <row r="20" spans="1:24" ht="16.5" thickBot="1" x14ac:dyDescent="0.25">
      <c r="A20" s="10">
        <v>44426</v>
      </c>
      <c r="B20" s="1">
        <f t="shared" si="13"/>
        <v>21531.798999999999</v>
      </c>
      <c r="C20" s="49">
        <f t="shared" si="10"/>
        <v>0</v>
      </c>
      <c r="D20" s="33">
        <f t="shared" si="0"/>
        <v>0</v>
      </c>
      <c r="E20" s="1">
        <f t="shared" si="14"/>
        <v>3782.261</v>
      </c>
      <c r="F20" s="49">
        <f t="shared" si="1"/>
        <v>0</v>
      </c>
      <c r="G20" s="33">
        <f t="shared" si="2"/>
        <v>0</v>
      </c>
      <c r="H20" s="1">
        <f t="shared" si="15"/>
        <v>3657</v>
      </c>
      <c r="I20" s="49">
        <f t="shared" si="3"/>
        <v>0</v>
      </c>
      <c r="J20" s="33">
        <f t="shared" si="4"/>
        <v>0</v>
      </c>
      <c r="K20" s="7">
        <f t="shared" si="16"/>
        <v>1358.3630000000001</v>
      </c>
      <c r="L20" s="49">
        <f t="shared" si="11"/>
        <v>0</v>
      </c>
      <c r="M20" s="33">
        <f t="shared" si="5"/>
        <v>0</v>
      </c>
      <c r="N20" s="7">
        <f t="shared" si="17"/>
        <v>3149.3240000000001</v>
      </c>
      <c r="O20" s="49">
        <f t="shared" si="6"/>
        <v>0</v>
      </c>
      <c r="P20" s="33">
        <f t="shared" si="7"/>
        <v>0</v>
      </c>
      <c r="Q20" s="7">
        <f t="shared" si="18"/>
        <v>5002.32</v>
      </c>
      <c r="R20" s="49">
        <f t="shared" si="8"/>
        <v>0</v>
      </c>
      <c r="S20" s="33">
        <f t="shared" si="9"/>
        <v>0</v>
      </c>
      <c r="T20" s="8">
        <f t="shared" si="19"/>
        <v>0</v>
      </c>
      <c r="U20" s="35">
        <f t="shared" si="12"/>
        <v>0</v>
      </c>
      <c r="X20" t="s">
        <v>12</v>
      </c>
    </row>
    <row r="21" spans="1:24" ht="16.5" thickBot="1" x14ac:dyDescent="0.25">
      <c r="A21" s="10">
        <v>44427</v>
      </c>
      <c r="B21" s="1">
        <f t="shared" si="13"/>
        <v>21531.798999999999</v>
      </c>
      <c r="C21" s="49">
        <f t="shared" si="10"/>
        <v>0</v>
      </c>
      <c r="D21" s="33">
        <f t="shared" si="0"/>
        <v>0</v>
      </c>
      <c r="E21" s="1">
        <f t="shared" si="14"/>
        <v>3782.261</v>
      </c>
      <c r="F21" s="49">
        <f t="shared" si="1"/>
        <v>0</v>
      </c>
      <c r="G21" s="33">
        <f t="shared" si="2"/>
        <v>0</v>
      </c>
      <c r="H21" s="1">
        <f t="shared" si="15"/>
        <v>3657</v>
      </c>
      <c r="I21" s="49">
        <f t="shared" si="3"/>
        <v>0</v>
      </c>
      <c r="J21" s="33">
        <f t="shared" si="4"/>
        <v>0</v>
      </c>
      <c r="K21" s="7">
        <f t="shared" si="16"/>
        <v>1358.3630000000001</v>
      </c>
      <c r="L21" s="49">
        <f t="shared" si="11"/>
        <v>0</v>
      </c>
      <c r="M21" s="33">
        <f t="shared" si="5"/>
        <v>0</v>
      </c>
      <c r="N21" s="7">
        <f t="shared" si="17"/>
        <v>3149.3240000000001</v>
      </c>
      <c r="O21" s="49">
        <f t="shared" si="6"/>
        <v>0</v>
      </c>
      <c r="P21" s="33">
        <f t="shared" si="7"/>
        <v>0</v>
      </c>
      <c r="Q21" s="7">
        <f t="shared" si="18"/>
        <v>5002.32</v>
      </c>
      <c r="R21" s="49">
        <f t="shared" si="8"/>
        <v>0</v>
      </c>
      <c r="S21" s="33">
        <f t="shared" si="9"/>
        <v>0</v>
      </c>
      <c r="T21" s="8">
        <f t="shared" si="19"/>
        <v>0</v>
      </c>
      <c r="U21" s="35">
        <f t="shared" si="12"/>
        <v>0</v>
      </c>
    </row>
    <row r="22" spans="1:24" ht="16.5" thickBot="1" x14ac:dyDescent="0.25">
      <c r="A22" s="10">
        <v>44428</v>
      </c>
      <c r="B22" s="1">
        <f t="shared" si="13"/>
        <v>21531.798999999999</v>
      </c>
      <c r="C22" s="49">
        <f t="shared" si="10"/>
        <v>0</v>
      </c>
      <c r="D22" s="33">
        <f t="shared" si="0"/>
        <v>0</v>
      </c>
      <c r="E22" s="1">
        <f t="shared" si="14"/>
        <v>3782.261</v>
      </c>
      <c r="F22" s="49">
        <f t="shared" si="1"/>
        <v>0</v>
      </c>
      <c r="G22" s="33">
        <f t="shared" si="2"/>
        <v>0</v>
      </c>
      <c r="H22" s="1">
        <f t="shared" si="15"/>
        <v>3657</v>
      </c>
      <c r="I22" s="49">
        <f t="shared" si="3"/>
        <v>0</v>
      </c>
      <c r="J22" s="33">
        <f t="shared" si="4"/>
        <v>0</v>
      </c>
      <c r="K22" s="7">
        <f t="shared" si="16"/>
        <v>1358.3630000000001</v>
      </c>
      <c r="L22" s="49">
        <f t="shared" si="11"/>
        <v>0</v>
      </c>
      <c r="M22" s="33">
        <f t="shared" si="5"/>
        <v>0</v>
      </c>
      <c r="N22" s="7">
        <f t="shared" si="17"/>
        <v>3149.3240000000001</v>
      </c>
      <c r="O22" s="49">
        <f t="shared" si="6"/>
        <v>0</v>
      </c>
      <c r="P22" s="33">
        <f t="shared" si="7"/>
        <v>0</v>
      </c>
      <c r="Q22" s="7">
        <f t="shared" si="18"/>
        <v>5002.32</v>
      </c>
      <c r="R22" s="49">
        <f t="shared" si="8"/>
        <v>0</v>
      </c>
      <c r="S22" s="33">
        <f t="shared" si="9"/>
        <v>0</v>
      </c>
      <c r="T22" s="8">
        <f t="shared" si="19"/>
        <v>0</v>
      </c>
      <c r="U22" s="35">
        <f t="shared" si="12"/>
        <v>0</v>
      </c>
    </row>
    <row r="23" spans="1:24" ht="16.5" thickBot="1" x14ac:dyDescent="0.25">
      <c r="A23" s="10">
        <v>44429</v>
      </c>
      <c r="B23" s="1">
        <f t="shared" si="13"/>
        <v>21531.798999999999</v>
      </c>
      <c r="C23" s="49">
        <f t="shared" si="10"/>
        <v>0</v>
      </c>
      <c r="D23" s="33">
        <f t="shared" si="0"/>
        <v>0</v>
      </c>
      <c r="E23" s="1">
        <f t="shared" si="14"/>
        <v>3782.261</v>
      </c>
      <c r="F23" s="49">
        <f t="shared" si="1"/>
        <v>0</v>
      </c>
      <c r="G23" s="33">
        <f t="shared" si="2"/>
        <v>0</v>
      </c>
      <c r="H23" s="1">
        <f t="shared" si="15"/>
        <v>3657</v>
      </c>
      <c r="I23" s="49">
        <f t="shared" si="3"/>
        <v>0</v>
      </c>
      <c r="J23" s="33">
        <f t="shared" si="4"/>
        <v>0</v>
      </c>
      <c r="K23" s="7">
        <f t="shared" si="16"/>
        <v>1358.3630000000001</v>
      </c>
      <c r="L23" s="49">
        <f t="shared" si="11"/>
        <v>0</v>
      </c>
      <c r="M23" s="33">
        <f t="shared" si="5"/>
        <v>0</v>
      </c>
      <c r="N23" s="7">
        <f t="shared" si="17"/>
        <v>3149.3240000000001</v>
      </c>
      <c r="O23" s="49">
        <f t="shared" si="6"/>
        <v>0</v>
      </c>
      <c r="P23" s="33">
        <f t="shared" si="7"/>
        <v>0</v>
      </c>
      <c r="Q23" s="7">
        <f t="shared" si="18"/>
        <v>5002.32</v>
      </c>
      <c r="R23" s="49">
        <f t="shared" si="8"/>
        <v>0</v>
      </c>
      <c r="S23" s="33">
        <f t="shared" si="9"/>
        <v>0</v>
      </c>
      <c r="T23" s="8">
        <f t="shared" si="19"/>
        <v>0</v>
      </c>
      <c r="U23" s="35">
        <f t="shared" si="12"/>
        <v>0</v>
      </c>
    </row>
    <row r="24" spans="1:24" ht="16.5" thickBot="1" x14ac:dyDescent="0.25">
      <c r="A24" s="10">
        <v>44430</v>
      </c>
      <c r="B24" s="1">
        <f t="shared" si="13"/>
        <v>21531.798999999999</v>
      </c>
      <c r="C24" s="49">
        <f t="shared" si="10"/>
        <v>0</v>
      </c>
      <c r="D24" s="33">
        <f t="shared" si="0"/>
        <v>0</v>
      </c>
      <c r="E24" s="1">
        <f t="shared" si="14"/>
        <v>3782.261</v>
      </c>
      <c r="F24" s="49">
        <f t="shared" si="1"/>
        <v>0</v>
      </c>
      <c r="G24" s="33">
        <f t="shared" si="2"/>
        <v>0</v>
      </c>
      <c r="H24" s="1">
        <f t="shared" si="15"/>
        <v>3657</v>
      </c>
      <c r="I24" s="49">
        <f t="shared" si="3"/>
        <v>0</v>
      </c>
      <c r="J24" s="33">
        <f t="shared" si="4"/>
        <v>0</v>
      </c>
      <c r="K24" s="7">
        <f t="shared" si="16"/>
        <v>1358.3630000000001</v>
      </c>
      <c r="L24" s="49">
        <f t="shared" si="11"/>
        <v>0</v>
      </c>
      <c r="M24" s="33">
        <f t="shared" si="5"/>
        <v>0</v>
      </c>
      <c r="N24" s="7">
        <f t="shared" si="17"/>
        <v>3149.3240000000001</v>
      </c>
      <c r="O24" s="49">
        <f t="shared" si="6"/>
        <v>0</v>
      </c>
      <c r="P24" s="33">
        <f t="shared" si="7"/>
        <v>0</v>
      </c>
      <c r="Q24" s="7">
        <f t="shared" si="18"/>
        <v>5002.32</v>
      </c>
      <c r="R24" s="49">
        <f t="shared" si="8"/>
        <v>0</v>
      </c>
      <c r="S24" s="33">
        <f t="shared" si="9"/>
        <v>0</v>
      </c>
      <c r="T24" s="8">
        <f t="shared" si="19"/>
        <v>0</v>
      </c>
      <c r="U24" s="35">
        <f t="shared" si="12"/>
        <v>0</v>
      </c>
    </row>
    <row r="25" spans="1:24" ht="16.5" thickBot="1" x14ac:dyDescent="0.25">
      <c r="A25" s="10">
        <v>44431</v>
      </c>
      <c r="B25" s="1">
        <f t="shared" si="13"/>
        <v>21531.798999999999</v>
      </c>
      <c r="C25" s="49">
        <f t="shared" si="10"/>
        <v>0</v>
      </c>
      <c r="D25" s="33">
        <f t="shared" si="0"/>
        <v>0</v>
      </c>
      <c r="E25" s="1">
        <f t="shared" si="14"/>
        <v>3782.261</v>
      </c>
      <c r="F25" s="49">
        <f t="shared" si="1"/>
        <v>0</v>
      </c>
      <c r="G25" s="33">
        <f t="shared" si="2"/>
        <v>0</v>
      </c>
      <c r="H25" s="1">
        <f t="shared" si="15"/>
        <v>3657</v>
      </c>
      <c r="I25" s="49">
        <f t="shared" si="3"/>
        <v>0</v>
      </c>
      <c r="J25" s="33">
        <f t="shared" si="4"/>
        <v>0</v>
      </c>
      <c r="K25" s="7">
        <f t="shared" si="16"/>
        <v>1358.3630000000001</v>
      </c>
      <c r="L25" s="49">
        <f t="shared" si="11"/>
        <v>0</v>
      </c>
      <c r="M25" s="33">
        <f t="shared" si="5"/>
        <v>0</v>
      </c>
      <c r="N25" s="7">
        <f t="shared" si="17"/>
        <v>3149.3240000000001</v>
      </c>
      <c r="O25" s="49">
        <f t="shared" si="6"/>
        <v>0</v>
      </c>
      <c r="P25" s="33">
        <f t="shared" si="7"/>
        <v>0</v>
      </c>
      <c r="Q25" s="7">
        <f t="shared" si="18"/>
        <v>5002.32</v>
      </c>
      <c r="R25" s="49">
        <f t="shared" si="8"/>
        <v>0</v>
      </c>
      <c r="S25" s="33">
        <f t="shared" si="9"/>
        <v>0</v>
      </c>
      <c r="T25" s="8">
        <f t="shared" si="19"/>
        <v>0</v>
      </c>
      <c r="U25" s="35">
        <f t="shared" si="12"/>
        <v>0</v>
      </c>
    </row>
    <row r="26" spans="1:24" ht="16.5" thickBot="1" x14ac:dyDescent="0.25">
      <c r="A26" s="10">
        <v>44432</v>
      </c>
      <c r="B26" s="1">
        <f t="shared" si="13"/>
        <v>21531.798999999999</v>
      </c>
      <c r="C26" s="49">
        <f t="shared" si="10"/>
        <v>0</v>
      </c>
      <c r="D26" s="33">
        <f t="shared" si="0"/>
        <v>0</v>
      </c>
      <c r="E26" s="1">
        <f t="shared" si="14"/>
        <v>3782.261</v>
      </c>
      <c r="F26" s="49">
        <f t="shared" si="1"/>
        <v>0</v>
      </c>
      <c r="G26" s="33">
        <f t="shared" si="2"/>
        <v>0</v>
      </c>
      <c r="H26" s="1">
        <f t="shared" si="15"/>
        <v>3657</v>
      </c>
      <c r="I26" s="49">
        <f t="shared" si="3"/>
        <v>0</v>
      </c>
      <c r="J26" s="33">
        <f t="shared" si="4"/>
        <v>0</v>
      </c>
      <c r="K26" s="7">
        <f t="shared" si="16"/>
        <v>1358.3630000000001</v>
      </c>
      <c r="L26" s="49">
        <f t="shared" si="11"/>
        <v>0</v>
      </c>
      <c r="M26" s="33">
        <f t="shared" si="5"/>
        <v>0</v>
      </c>
      <c r="N26" s="7">
        <f t="shared" si="17"/>
        <v>3149.3240000000001</v>
      </c>
      <c r="O26" s="49">
        <f t="shared" si="6"/>
        <v>0</v>
      </c>
      <c r="P26" s="33">
        <f t="shared" si="7"/>
        <v>0</v>
      </c>
      <c r="Q26" s="7">
        <f t="shared" si="18"/>
        <v>5002.32</v>
      </c>
      <c r="R26" s="49">
        <f t="shared" si="8"/>
        <v>0</v>
      </c>
      <c r="S26" s="33">
        <f t="shared" si="9"/>
        <v>0</v>
      </c>
      <c r="T26" s="8">
        <f t="shared" si="19"/>
        <v>0</v>
      </c>
      <c r="U26" s="35">
        <f t="shared" si="12"/>
        <v>0</v>
      </c>
      <c r="V26" t="s">
        <v>12</v>
      </c>
    </row>
    <row r="27" spans="1:24" ht="16.5" thickBot="1" x14ac:dyDescent="0.25">
      <c r="A27" s="10">
        <v>44433</v>
      </c>
      <c r="B27" s="1">
        <f t="shared" si="13"/>
        <v>21531.798999999999</v>
      </c>
      <c r="C27" s="49">
        <f t="shared" si="10"/>
        <v>0</v>
      </c>
      <c r="D27" s="33">
        <f t="shared" si="0"/>
        <v>0</v>
      </c>
      <c r="E27" s="1">
        <f t="shared" si="14"/>
        <v>3782.261</v>
      </c>
      <c r="F27" s="49">
        <f t="shared" si="1"/>
        <v>0</v>
      </c>
      <c r="G27" s="33">
        <f t="shared" si="2"/>
        <v>0</v>
      </c>
      <c r="H27" s="1">
        <f t="shared" si="15"/>
        <v>3657</v>
      </c>
      <c r="I27" s="49">
        <f t="shared" si="3"/>
        <v>0</v>
      </c>
      <c r="J27" s="33">
        <f t="shared" si="4"/>
        <v>0</v>
      </c>
      <c r="K27" s="7">
        <f t="shared" si="16"/>
        <v>1358.3630000000001</v>
      </c>
      <c r="L27" s="49">
        <f t="shared" si="11"/>
        <v>0</v>
      </c>
      <c r="M27" s="33">
        <f t="shared" si="5"/>
        <v>0</v>
      </c>
      <c r="N27" s="7">
        <f t="shared" si="17"/>
        <v>3149.3240000000001</v>
      </c>
      <c r="O27" s="49">
        <f t="shared" si="6"/>
        <v>0</v>
      </c>
      <c r="P27" s="33">
        <f t="shared" si="7"/>
        <v>0</v>
      </c>
      <c r="Q27" s="7">
        <f t="shared" si="18"/>
        <v>5002.32</v>
      </c>
      <c r="R27" s="49">
        <f t="shared" si="8"/>
        <v>0</v>
      </c>
      <c r="S27" s="33">
        <f t="shared" si="9"/>
        <v>0</v>
      </c>
      <c r="T27" s="8">
        <f t="shared" si="19"/>
        <v>0</v>
      </c>
      <c r="U27" s="35">
        <f t="shared" si="12"/>
        <v>0</v>
      </c>
      <c r="V27" t="s">
        <v>12</v>
      </c>
    </row>
    <row r="28" spans="1:24" ht="16.5" thickBot="1" x14ac:dyDescent="0.25">
      <c r="A28" s="10">
        <v>44434</v>
      </c>
      <c r="B28" s="1">
        <f t="shared" si="13"/>
        <v>21531.798999999999</v>
      </c>
      <c r="C28" s="49">
        <f t="shared" si="10"/>
        <v>0</v>
      </c>
      <c r="D28" s="33">
        <f t="shared" si="0"/>
        <v>0</v>
      </c>
      <c r="E28" s="1">
        <f t="shared" si="14"/>
        <v>3782.261</v>
      </c>
      <c r="F28" s="49">
        <f t="shared" si="1"/>
        <v>0</v>
      </c>
      <c r="G28" s="33">
        <f t="shared" si="2"/>
        <v>0</v>
      </c>
      <c r="H28" s="1">
        <f t="shared" si="15"/>
        <v>3657</v>
      </c>
      <c r="I28" s="49">
        <f t="shared" si="3"/>
        <v>0</v>
      </c>
      <c r="J28" s="33">
        <f t="shared" si="4"/>
        <v>0</v>
      </c>
      <c r="K28" s="7">
        <f t="shared" si="16"/>
        <v>1358.3630000000001</v>
      </c>
      <c r="L28" s="49">
        <f t="shared" si="11"/>
        <v>0</v>
      </c>
      <c r="M28" s="33">
        <f t="shared" si="5"/>
        <v>0</v>
      </c>
      <c r="N28" s="7">
        <f t="shared" si="17"/>
        <v>3149.3240000000001</v>
      </c>
      <c r="O28" s="49">
        <f t="shared" si="6"/>
        <v>0</v>
      </c>
      <c r="P28" s="33">
        <f t="shared" si="7"/>
        <v>0</v>
      </c>
      <c r="Q28" s="7">
        <f t="shared" si="18"/>
        <v>5002.32</v>
      </c>
      <c r="R28" s="49">
        <f t="shared" si="8"/>
        <v>0</v>
      </c>
      <c r="S28" s="33">
        <f t="shared" si="9"/>
        <v>0</v>
      </c>
      <c r="T28" s="8">
        <f t="shared" si="19"/>
        <v>0</v>
      </c>
      <c r="U28" s="35">
        <f t="shared" si="12"/>
        <v>0</v>
      </c>
    </row>
    <row r="29" spans="1:24" ht="16.5" thickBot="1" x14ac:dyDescent="0.25">
      <c r="A29" s="10">
        <v>44435</v>
      </c>
      <c r="B29" s="1">
        <f t="shared" si="13"/>
        <v>21531.798999999999</v>
      </c>
      <c r="C29" s="49">
        <f t="shared" si="10"/>
        <v>0</v>
      </c>
      <c r="D29" s="33">
        <f t="shared" si="0"/>
        <v>0</v>
      </c>
      <c r="E29" s="1">
        <f t="shared" si="14"/>
        <v>3782.261</v>
      </c>
      <c r="F29" s="49">
        <f t="shared" si="1"/>
        <v>0</v>
      </c>
      <c r="G29" s="33">
        <f t="shared" si="2"/>
        <v>0</v>
      </c>
      <c r="H29" s="1">
        <f t="shared" si="15"/>
        <v>3657</v>
      </c>
      <c r="I29" s="49">
        <f t="shared" si="3"/>
        <v>0</v>
      </c>
      <c r="J29" s="33">
        <f t="shared" si="4"/>
        <v>0</v>
      </c>
      <c r="K29" s="7">
        <f t="shared" si="16"/>
        <v>1358.3630000000001</v>
      </c>
      <c r="L29" s="49">
        <f t="shared" si="11"/>
        <v>0</v>
      </c>
      <c r="M29" s="33">
        <f t="shared" si="5"/>
        <v>0</v>
      </c>
      <c r="N29" s="7">
        <f t="shared" si="17"/>
        <v>3149.3240000000001</v>
      </c>
      <c r="O29" s="49">
        <f t="shared" si="6"/>
        <v>0</v>
      </c>
      <c r="P29" s="33">
        <f t="shared" si="7"/>
        <v>0</v>
      </c>
      <c r="Q29" s="7">
        <f t="shared" si="18"/>
        <v>5002.32</v>
      </c>
      <c r="R29" s="49">
        <f t="shared" si="8"/>
        <v>0</v>
      </c>
      <c r="S29" s="33">
        <f t="shared" si="9"/>
        <v>0</v>
      </c>
      <c r="T29" s="8">
        <f t="shared" si="19"/>
        <v>0</v>
      </c>
      <c r="U29" s="35">
        <f t="shared" si="12"/>
        <v>0</v>
      </c>
    </row>
    <row r="30" spans="1:24" ht="16.5" thickBot="1" x14ac:dyDescent="0.25">
      <c r="A30" s="10">
        <v>44436</v>
      </c>
      <c r="B30" s="1">
        <f t="shared" si="13"/>
        <v>21531.798999999999</v>
      </c>
      <c r="C30" s="49">
        <f t="shared" si="10"/>
        <v>0</v>
      </c>
      <c r="D30" s="33">
        <f t="shared" si="0"/>
        <v>0</v>
      </c>
      <c r="E30" s="1">
        <f t="shared" si="14"/>
        <v>3782.261</v>
      </c>
      <c r="F30" s="49">
        <f t="shared" si="1"/>
        <v>0</v>
      </c>
      <c r="G30" s="33">
        <f t="shared" si="2"/>
        <v>0</v>
      </c>
      <c r="H30" s="1">
        <f t="shared" si="15"/>
        <v>3657</v>
      </c>
      <c r="I30" s="49">
        <f t="shared" si="3"/>
        <v>0</v>
      </c>
      <c r="J30" s="33">
        <f t="shared" si="4"/>
        <v>0</v>
      </c>
      <c r="K30" s="7">
        <f t="shared" si="16"/>
        <v>1358.3630000000001</v>
      </c>
      <c r="L30" s="49">
        <f t="shared" si="11"/>
        <v>0</v>
      </c>
      <c r="M30" s="33">
        <f t="shared" si="5"/>
        <v>0</v>
      </c>
      <c r="N30" s="7">
        <f t="shared" si="17"/>
        <v>3149.3240000000001</v>
      </c>
      <c r="O30" s="49">
        <f t="shared" si="6"/>
        <v>0</v>
      </c>
      <c r="P30" s="33">
        <f t="shared" si="7"/>
        <v>0</v>
      </c>
      <c r="Q30" s="7">
        <f t="shared" si="18"/>
        <v>5002.32</v>
      </c>
      <c r="R30" s="49">
        <f t="shared" si="8"/>
        <v>0</v>
      </c>
      <c r="S30" s="33">
        <f t="shared" si="9"/>
        <v>0</v>
      </c>
      <c r="T30" s="8">
        <f t="shared" si="19"/>
        <v>0</v>
      </c>
      <c r="U30" s="35">
        <f t="shared" si="12"/>
        <v>0</v>
      </c>
    </row>
    <row r="31" spans="1:24" ht="16.5" thickBot="1" x14ac:dyDescent="0.25">
      <c r="A31" s="10">
        <v>44437</v>
      </c>
      <c r="B31" s="1">
        <f t="shared" si="13"/>
        <v>21531.798999999999</v>
      </c>
      <c r="C31" s="49">
        <f t="shared" si="10"/>
        <v>0</v>
      </c>
      <c r="D31" s="33">
        <f t="shared" si="0"/>
        <v>0</v>
      </c>
      <c r="E31" s="1">
        <f t="shared" si="14"/>
        <v>3782.261</v>
      </c>
      <c r="F31" s="49">
        <f t="shared" si="1"/>
        <v>0</v>
      </c>
      <c r="G31" s="33">
        <f t="shared" si="2"/>
        <v>0</v>
      </c>
      <c r="H31" s="1">
        <f t="shared" si="15"/>
        <v>3657</v>
      </c>
      <c r="I31" s="49">
        <f t="shared" si="3"/>
        <v>0</v>
      </c>
      <c r="J31" s="33">
        <f t="shared" si="4"/>
        <v>0</v>
      </c>
      <c r="K31" s="7">
        <f t="shared" si="16"/>
        <v>1358.3630000000001</v>
      </c>
      <c r="L31" s="49">
        <f t="shared" si="11"/>
        <v>0</v>
      </c>
      <c r="M31" s="33">
        <f t="shared" si="5"/>
        <v>0</v>
      </c>
      <c r="N31" s="7">
        <f t="shared" si="17"/>
        <v>3149.3240000000001</v>
      </c>
      <c r="O31" s="49">
        <f t="shared" si="6"/>
        <v>0</v>
      </c>
      <c r="P31" s="33">
        <f t="shared" si="7"/>
        <v>0</v>
      </c>
      <c r="Q31" s="7">
        <f t="shared" si="18"/>
        <v>5002.32</v>
      </c>
      <c r="R31" s="49">
        <f t="shared" si="8"/>
        <v>0</v>
      </c>
      <c r="S31" s="33">
        <f t="shared" si="9"/>
        <v>0</v>
      </c>
      <c r="T31" s="8">
        <f t="shared" si="19"/>
        <v>0</v>
      </c>
      <c r="U31" s="35">
        <f t="shared" si="12"/>
        <v>0</v>
      </c>
    </row>
    <row r="32" spans="1:24" ht="16.5" thickBot="1" x14ac:dyDescent="0.25">
      <c r="A32" s="10">
        <v>44438</v>
      </c>
      <c r="B32" s="1">
        <f t="shared" si="13"/>
        <v>21531.798999999999</v>
      </c>
      <c r="C32" s="49">
        <f t="shared" si="10"/>
        <v>0</v>
      </c>
      <c r="D32" s="33">
        <f t="shared" si="0"/>
        <v>0</v>
      </c>
      <c r="E32" s="1">
        <f t="shared" si="14"/>
        <v>3782.261</v>
      </c>
      <c r="F32" s="49">
        <f t="shared" si="1"/>
        <v>0</v>
      </c>
      <c r="G32" s="33">
        <f t="shared" si="2"/>
        <v>0</v>
      </c>
      <c r="H32" s="1">
        <f t="shared" si="15"/>
        <v>3657</v>
      </c>
      <c r="I32" s="49">
        <f t="shared" si="3"/>
        <v>0</v>
      </c>
      <c r="J32" s="33">
        <f t="shared" si="4"/>
        <v>0</v>
      </c>
      <c r="K32" s="7">
        <f t="shared" si="16"/>
        <v>1358.3630000000001</v>
      </c>
      <c r="L32" s="49">
        <f t="shared" si="11"/>
        <v>0</v>
      </c>
      <c r="M32" s="33">
        <f t="shared" si="5"/>
        <v>0</v>
      </c>
      <c r="N32" s="7">
        <f t="shared" si="17"/>
        <v>3149.3240000000001</v>
      </c>
      <c r="O32" s="49">
        <f t="shared" si="6"/>
        <v>0</v>
      </c>
      <c r="P32" s="33">
        <f t="shared" si="7"/>
        <v>0</v>
      </c>
      <c r="Q32" s="7">
        <f t="shared" si="18"/>
        <v>5002.32</v>
      </c>
      <c r="R32" s="49">
        <f t="shared" si="8"/>
        <v>0</v>
      </c>
      <c r="S32" s="33">
        <f t="shared" si="9"/>
        <v>0</v>
      </c>
      <c r="T32" s="8">
        <f t="shared" si="19"/>
        <v>0</v>
      </c>
      <c r="U32" s="35">
        <f t="shared" si="12"/>
        <v>0</v>
      </c>
    </row>
    <row r="33" spans="1:27" ht="16.5" thickBot="1" x14ac:dyDescent="0.25">
      <c r="A33" s="10">
        <v>44439</v>
      </c>
      <c r="B33" s="1">
        <f t="shared" si="13"/>
        <v>21531.798999999999</v>
      </c>
      <c r="C33" s="49">
        <f t="shared" si="10"/>
        <v>0</v>
      </c>
      <c r="D33" s="33">
        <f t="shared" si="0"/>
        <v>0</v>
      </c>
      <c r="E33" s="1">
        <f t="shared" si="14"/>
        <v>3782.261</v>
      </c>
      <c r="F33" s="49">
        <f t="shared" si="1"/>
        <v>0</v>
      </c>
      <c r="G33" s="33">
        <f t="shared" si="2"/>
        <v>0</v>
      </c>
      <c r="H33" s="1">
        <f t="shared" si="15"/>
        <v>3657</v>
      </c>
      <c r="I33" s="49">
        <f t="shared" si="3"/>
        <v>0</v>
      </c>
      <c r="J33" s="33">
        <f t="shared" si="4"/>
        <v>0</v>
      </c>
      <c r="K33" s="7">
        <f t="shared" si="16"/>
        <v>1358.3630000000001</v>
      </c>
      <c r="L33" s="49">
        <f t="shared" si="11"/>
        <v>0</v>
      </c>
      <c r="M33" s="33">
        <f t="shared" si="5"/>
        <v>0</v>
      </c>
      <c r="N33" s="7">
        <f t="shared" si="17"/>
        <v>3149.3240000000001</v>
      </c>
      <c r="O33" s="49">
        <f t="shared" si="6"/>
        <v>0</v>
      </c>
      <c r="P33" s="33">
        <f t="shared" si="7"/>
        <v>0</v>
      </c>
      <c r="Q33" s="7">
        <f t="shared" si="18"/>
        <v>5002.32</v>
      </c>
      <c r="R33" s="49">
        <f t="shared" si="8"/>
        <v>0</v>
      </c>
      <c r="S33" s="33">
        <f t="shared" si="9"/>
        <v>0</v>
      </c>
      <c r="T33" s="8">
        <f t="shared" si="19"/>
        <v>0</v>
      </c>
      <c r="U33" s="35">
        <f t="shared" si="12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27.656999999999243</v>
      </c>
      <c r="D34" s="144">
        <f>SUM(D2:D33)</f>
        <v>52548.299999998562</v>
      </c>
      <c r="E34" s="144">
        <v>0</v>
      </c>
      <c r="F34" s="144">
        <f>SUM(F2:F33)</f>
        <v>6.206000000000131</v>
      </c>
      <c r="G34" s="144">
        <f>SUM(G2:G33)</f>
        <v>11791.400000000249</v>
      </c>
      <c r="H34" s="144"/>
      <c r="I34" s="144">
        <f>SUM(I2:I33)</f>
        <v>13</v>
      </c>
      <c r="J34" s="144">
        <f>SUM(J2:J33)</f>
        <v>24700</v>
      </c>
      <c r="K34" s="144"/>
      <c r="L34" s="144">
        <f>SUM(L2:L33)</f>
        <v>22.264000000000152</v>
      </c>
      <c r="M34" s="144">
        <f>SUM(M2:M33)</f>
        <v>42301.600000000282</v>
      </c>
      <c r="N34" s="144"/>
      <c r="O34" s="144">
        <f>SUM(O2:O33)</f>
        <v>2.4810000000002219</v>
      </c>
      <c r="P34" s="144">
        <f>SUM(P2:P33)</f>
        <v>4713.9000000004216</v>
      </c>
      <c r="Q34" s="144"/>
      <c r="R34" s="144">
        <f>SUM(R2:R33)</f>
        <v>6.819999999999709</v>
      </c>
      <c r="S34" s="144">
        <f>SUM(S2:S33)</f>
        <v>12957.999999999447</v>
      </c>
      <c r="T34" s="144">
        <f>SUM(T2:T33)</f>
        <v>78.427999999999457</v>
      </c>
      <c r="U34" s="144">
        <f>SUM(U2:U33)</f>
        <v>149013.19999999896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0"/>
      <c r="B2" s="101" t="s">
        <v>92</v>
      </c>
      <c r="C2" s="102">
        <f>K8+K9+K14</f>
        <v>71515</v>
      </c>
      <c r="D2" s="102">
        <f>C2*1.27</f>
        <v>90824.05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27109152</v>
      </c>
      <c r="J3" s="140">
        <f>ELECT.!E33</f>
        <v>27149734</v>
      </c>
      <c r="K3" s="97">
        <f>J3-I3</f>
        <v>40582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85974955</v>
      </c>
      <c r="J4" s="140">
        <f>ELECT.!G33</f>
        <v>86087086</v>
      </c>
      <c r="K4" s="97">
        <f>J4-I4</f>
        <v>112131</v>
      </c>
    </row>
    <row r="5" spans="1:11" ht="13.5" thickBot="1" x14ac:dyDescent="0.25">
      <c r="A5" s="100"/>
      <c r="B5" s="106" t="s">
        <v>27</v>
      </c>
      <c r="C5" s="110">
        <f>(K10+K12)*0.842284+K26</f>
        <v>59234.124984000002</v>
      </c>
      <c r="D5" s="110">
        <f t="shared" ref="D5:D11" si="0">C5*1.27</f>
        <v>75227.338729680007</v>
      </c>
      <c r="E5" s="111"/>
      <c r="F5" s="100"/>
      <c r="G5" s="100"/>
      <c r="H5" s="106" t="s">
        <v>23</v>
      </c>
      <c r="I5" s="112"/>
      <c r="J5" s="112"/>
      <c r="K5" s="132">
        <f>K3+K4</f>
        <v>152713</v>
      </c>
    </row>
    <row r="6" spans="1:11" ht="13.5" thickBot="1" x14ac:dyDescent="0.25">
      <c r="A6" s="100"/>
      <c r="B6" s="106" t="s">
        <v>99</v>
      </c>
      <c r="C6" s="110">
        <f>(K10+K12+K26)*0.1488</f>
        <v>10419.868799999998</v>
      </c>
      <c r="D6" s="110">
        <f t="shared" si="0"/>
        <v>13233.233375999998</v>
      </c>
      <c r="E6" s="111"/>
      <c r="F6" s="100"/>
      <c r="G6" s="100"/>
      <c r="H6" s="106" t="s">
        <v>100</v>
      </c>
      <c r="I6" s="145">
        <f>ELECT.!J2</f>
        <v>8437636</v>
      </c>
      <c r="J6" s="141">
        <f>ELECT.!J33</f>
        <v>8437636</v>
      </c>
      <c r="K6" s="97">
        <f>J6-I6</f>
        <v>0</v>
      </c>
    </row>
    <row r="7" spans="1:11" ht="13.5" thickBot="1" x14ac:dyDescent="0.25">
      <c r="A7" s="100"/>
      <c r="B7" s="106" t="s">
        <v>101</v>
      </c>
      <c r="C7" s="110">
        <f>(K6+K7)-(C8+C9+C10+C11+K26)</f>
        <v>7006</v>
      </c>
      <c r="D7" s="110">
        <f t="shared" si="0"/>
        <v>8897.6200000000008</v>
      </c>
      <c r="E7" s="111"/>
      <c r="F7" s="100"/>
      <c r="G7" s="100"/>
      <c r="H7" s="106" t="s">
        <v>102</v>
      </c>
      <c r="I7" s="145">
        <f>ELECT.!L2</f>
        <v>8403344</v>
      </c>
      <c r="J7" s="141">
        <f>ELECT.!L33</f>
        <v>8416116</v>
      </c>
      <c r="K7" s="97">
        <f>J7-I7</f>
        <v>12772</v>
      </c>
    </row>
    <row r="8" spans="1:11" ht="13.5" thickBot="1" x14ac:dyDescent="0.25">
      <c r="A8" s="100"/>
      <c r="B8" s="106" t="s">
        <v>103</v>
      </c>
      <c r="C8" s="110">
        <f>K21+K22+K23+K24</f>
        <v>2340</v>
      </c>
      <c r="D8" s="110">
        <f t="shared" si="0"/>
        <v>2971.8</v>
      </c>
      <c r="E8" s="111"/>
      <c r="F8" s="100"/>
      <c r="G8" s="100"/>
      <c r="H8" s="106" t="s">
        <v>104</v>
      </c>
      <c r="I8" s="145">
        <f>ELECT.!N2</f>
        <v>5521900</v>
      </c>
      <c r="J8" s="141">
        <f>ELECT.!N33</f>
        <v>5535600</v>
      </c>
      <c r="K8" s="97">
        <f>(J8-I8)*2</f>
        <v>27400</v>
      </c>
    </row>
    <row r="9" spans="1:11" ht="13.5" thickBot="1" x14ac:dyDescent="0.25">
      <c r="A9" s="100"/>
      <c r="B9" s="106" t="s">
        <v>137</v>
      </c>
      <c r="C9" s="110">
        <f>K25+K16+K17</f>
        <v>327</v>
      </c>
      <c r="D9" s="110">
        <f t="shared" si="0"/>
        <v>415.29</v>
      </c>
      <c r="E9" s="111"/>
      <c r="F9" s="100"/>
      <c r="G9" s="100"/>
      <c r="H9" s="106" t="s">
        <v>105</v>
      </c>
      <c r="I9" s="145">
        <f>ELECT.!P2</f>
        <v>4343583</v>
      </c>
      <c r="J9" s="141">
        <f>ELECT.!P33</f>
        <v>4372921</v>
      </c>
      <c r="K9" s="97">
        <f>J9-I9</f>
        <v>29338</v>
      </c>
    </row>
    <row r="10" spans="1:11" ht="13.5" thickBot="1" x14ac:dyDescent="0.25">
      <c r="A10" s="100"/>
      <c r="B10" s="106" t="s">
        <v>106</v>
      </c>
      <c r="C10" s="110">
        <f>K18</f>
        <v>1280</v>
      </c>
      <c r="D10" s="110">
        <f t="shared" si="0"/>
        <v>1625.6</v>
      </c>
      <c r="E10" s="111"/>
      <c r="F10" s="100"/>
      <c r="G10" s="100"/>
      <c r="H10" s="106" t="s">
        <v>107</v>
      </c>
      <c r="I10" s="145">
        <f>ELECT.!R2</f>
        <v>18169577</v>
      </c>
      <c r="J10" s="141">
        <f>ELECT.!R33</f>
        <v>18190491</v>
      </c>
      <c r="K10" s="97">
        <f>J10-I10</f>
        <v>20914</v>
      </c>
    </row>
    <row r="11" spans="1:11" ht="13.5" thickBot="1" x14ac:dyDescent="0.25">
      <c r="A11" s="100"/>
      <c r="B11" s="106" t="s">
        <v>108</v>
      </c>
      <c r="C11" s="110">
        <f>K19+K20</f>
        <v>219</v>
      </c>
      <c r="D11" s="110">
        <f t="shared" si="0"/>
        <v>278.13</v>
      </c>
      <c r="E11" s="111"/>
      <c r="F11" s="100"/>
      <c r="G11" s="100"/>
      <c r="H11" s="106" t="s">
        <v>109</v>
      </c>
      <c r="I11" s="113">
        <v>0</v>
      </c>
      <c r="J11" s="141">
        <f>ELECT.!J37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5911732</v>
      </c>
      <c r="J12" s="141">
        <f>ELECT.!V33</f>
        <v>5935488</v>
      </c>
      <c r="K12" s="97">
        <f>(J12-I12)*2</f>
        <v>47512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137936</v>
      </c>
    </row>
    <row r="14" spans="1:11" ht="13.5" thickBot="1" x14ac:dyDescent="0.25">
      <c r="A14" s="100"/>
      <c r="B14" s="106" t="s">
        <v>42</v>
      </c>
      <c r="C14" s="110">
        <f>K29</f>
        <v>2570</v>
      </c>
      <c r="D14" s="118">
        <f t="shared" ref="D14:D22" si="1">C14*10.03</f>
        <v>25777.1</v>
      </c>
      <c r="E14" s="119"/>
      <c r="F14" s="100"/>
      <c r="G14" s="100"/>
      <c r="H14" s="106" t="s">
        <v>114</v>
      </c>
      <c r="I14" s="115"/>
      <c r="J14" s="116"/>
      <c r="K14" s="98">
        <f>K5-K13</f>
        <v>14777</v>
      </c>
    </row>
    <row r="15" spans="1:11" ht="13.5" thickBot="1" x14ac:dyDescent="0.25">
      <c r="A15" s="100"/>
      <c r="B15" s="106" t="s">
        <v>115</v>
      </c>
      <c r="C15" s="120">
        <f>K30</f>
        <v>4.6440000000000001</v>
      </c>
      <c r="D15" s="118">
        <f t="shared" si="1"/>
        <v>46.579319999999996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-428.96207919999995</v>
      </c>
      <c r="D16" s="118">
        <f t="shared" si="1"/>
        <v>-4302.4896543759996</v>
      </c>
      <c r="E16" s="119"/>
      <c r="F16" s="100"/>
      <c r="G16" s="100"/>
      <c r="H16" s="121" t="s">
        <v>136</v>
      </c>
      <c r="I16" s="122">
        <f>'Mall, Citadel, Rotana'!T2</f>
        <v>3718</v>
      </c>
      <c r="J16" s="122">
        <f>'Mall, Citadel, Rotana'!T33</f>
        <v>3720</v>
      </c>
      <c r="K16" s="99">
        <f>(J16-I16)*160</f>
        <v>320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25206</v>
      </c>
      <c r="J18" s="122">
        <f>'Mall, Citadel, Rotana'!L33</f>
        <v>25214</v>
      </c>
      <c r="K18" s="99">
        <f>(J18-I18)*160</f>
        <v>1280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68" t="s">
        <v>116</v>
      </c>
      <c r="F19" s="169"/>
      <c r="G19" s="100"/>
      <c r="H19" s="121" t="s">
        <v>117</v>
      </c>
      <c r="I19" s="122">
        <f>'Mall, Citadel, Rotana'!P2</f>
        <v>113851</v>
      </c>
      <c r="J19" s="122">
        <f>'Mall, Citadel, Rotana'!P33</f>
        <v>114070</v>
      </c>
      <c r="K19" s="99">
        <f>J19-I19</f>
        <v>219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45656</v>
      </c>
      <c r="J21" s="122">
        <f>'Mall, Citadel, Rotana'!B33</f>
        <v>45668</v>
      </c>
      <c r="K21" s="99">
        <f>(J21-I21)*120</f>
        <v>1440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-2825.6819207999997</v>
      </c>
      <c r="D22" s="118">
        <f t="shared" si="1"/>
        <v>-28341.589665623997</v>
      </c>
      <c r="E22" s="119"/>
      <c r="F22" s="100"/>
      <c r="G22" s="100"/>
      <c r="H22" s="121" t="s">
        <v>15</v>
      </c>
      <c r="I22" s="122">
        <f>'Mall, Citadel, Rotana'!D2</f>
        <v>39722</v>
      </c>
      <c r="J22" s="122">
        <f>'Mall, Citadel, Rotana'!D33</f>
        <v>39726</v>
      </c>
      <c r="K22" s="99">
        <f>(J22-I22)*160</f>
        <v>640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20627</v>
      </c>
      <c r="J23" s="122">
        <f>'Mall, Citadel, Rotana'!F33</f>
        <v>20635</v>
      </c>
      <c r="K23" s="99">
        <f>(J23-I23)*20</f>
        <v>160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246346</v>
      </c>
      <c r="J24" s="122">
        <f>'Mall, Citadel, Rotana'!H33</f>
        <v>246446</v>
      </c>
      <c r="K24" s="99">
        <f>J24-I24</f>
        <v>100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215736</v>
      </c>
      <c r="J25" s="122">
        <f>'Mall, Citadel, Rotana'!N33</f>
        <v>215743</v>
      </c>
      <c r="K25" s="99">
        <f>J25-I25</f>
        <v>7</v>
      </c>
    </row>
    <row r="26" spans="1:11" ht="13.5" thickBot="1" x14ac:dyDescent="0.25">
      <c r="A26" s="100"/>
      <c r="B26" s="106" t="s">
        <v>42</v>
      </c>
      <c r="C26" s="124">
        <f>K35</f>
        <v>4572</v>
      </c>
      <c r="D26" s="110">
        <f>C26*3.65</f>
        <v>16687.8</v>
      </c>
      <c r="E26" s="111"/>
      <c r="F26" s="100"/>
      <c r="G26" s="100"/>
      <c r="H26" s="121" t="s">
        <v>123</v>
      </c>
      <c r="I26" s="131">
        <f>ELECT.!C2</f>
        <v>18554</v>
      </c>
      <c r="J26" s="131">
        <f>ELECT.!C33</f>
        <v>18564</v>
      </c>
      <c r="K26" s="99">
        <f>(J26-I26)*160</f>
        <v>1600</v>
      </c>
    </row>
    <row r="27" spans="1:11" ht="13.5" thickBot="1" x14ac:dyDescent="0.25">
      <c r="A27" s="100"/>
      <c r="B27" s="101" t="s">
        <v>124</v>
      </c>
      <c r="C27" s="124">
        <f>C26</f>
        <v>4572</v>
      </c>
      <c r="D27" s="110">
        <f>C27*3.65</f>
        <v>16687.8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419728</v>
      </c>
      <c r="J29" s="122">
        <f>Water!B33</f>
        <v>419985</v>
      </c>
      <c r="K29" s="99">
        <f>(J29-I29)*10</f>
        <v>2570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741531</v>
      </c>
      <c r="J30" s="122">
        <f>Water!H33</f>
        <v>741703</v>
      </c>
      <c r="K30" s="99">
        <f>(J30-I30)*0.027</f>
        <v>4.6440000000000001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4456700</v>
      </c>
      <c r="J32" s="122">
        <f>Water!F33</f>
        <v>4507300</v>
      </c>
      <c r="K32" s="99">
        <f>(J32-I32)*0.027</f>
        <v>1366.2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17503175</v>
      </c>
      <c r="J35" s="143">
        <f>Gas!B33</f>
        <v>17507747</v>
      </c>
      <c r="K35" s="130">
        <f>J35-I35</f>
        <v>4572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47" zoomScaleNormal="100" workbookViewId="0">
      <selection activeCell="H94" sqref="H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139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70">
        <v>6</v>
      </c>
      <c r="D2" s="66" t="s">
        <v>80</v>
      </c>
      <c r="E2" s="67">
        <v>278147</v>
      </c>
      <c r="F2" s="67">
        <v>279216</v>
      </c>
      <c r="G2" s="68">
        <f>F2-E2</f>
        <v>1069</v>
      </c>
      <c r="H2" s="69"/>
      <c r="J2" s="170">
        <v>6</v>
      </c>
      <c r="K2" s="66" t="s">
        <v>80</v>
      </c>
      <c r="L2" s="67">
        <v>279216</v>
      </c>
      <c r="M2" s="67">
        <v>280262</v>
      </c>
      <c r="N2" s="68">
        <f>M2-L2</f>
        <v>1046</v>
      </c>
      <c r="O2" s="69"/>
    </row>
    <row r="3" spans="2:15" ht="15" x14ac:dyDescent="0.2">
      <c r="B3" s="62"/>
      <c r="C3" s="172"/>
      <c r="D3" s="66" t="s">
        <v>81</v>
      </c>
      <c r="E3" s="67">
        <v>241395</v>
      </c>
      <c r="F3" s="67">
        <v>242223</v>
      </c>
      <c r="G3" s="68">
        <f t="shared" ref="G3:G60" si="0">F3-E3</f>
        <v>828</v>
      </c>
      <c r="H3" s="69"/>
      <c r="J3" s="172"/>
      <c r="K3" s="66" t="s">
        <v>81</v>
      </c>
      <c r="L3" s="67">
        <v>242223</v>
      </c>
      <c r="M3" s="67">
        <v>242725</v>
      </c>
      <c r="N3" s="68">
        <f t="shared" ref="N3:N60" si="1">M3-L3</f>
        <v>502</v>
      </c>
      <c r="O3" s="69"/>
    </row>
    <row r="4" spans="2:15" ht="15" x14ac:dyDescent="0.2">
      <c r="B4" s="62"/>
      <c r="C4" s="171"/>
      <c r="D4" s="66" t="s">
        <v>82</v>
      </c>
      <c r="E4" s="67">
        <v>189597</v>
      </c>
      <c r="F4" s="67">
        <v>190115</v>
      </c>
      <c r="G4" s="68">
        <f t="shared" si="0"/>
        <v>518</v>
      </c>
      <c r="H4" s="69"/>
      <c r="J4" s="171"/>
      <c r="K4" s="66" t="s">
        <v>82</v>
      </c>
      <c r="L4" s="67">
        <v>190115</v>
      </c>
      <c r="M4" s="67">
        <v>190541</v>
      </c>
      <c r="N4" s="68">
        <f t="shared" si="1"/>
        <v>426</v>
      </c>
      <c r="O4" s="69"/>
    </row>
    <row r="5" spans="2:15" ht="15" x14ac:dyDescent="0.2">
      <c r="B5" s="62"/>
      <c r="C5" s="170">
        <v>7</v>
      </c>
      <c r="D5" s="66" t="s">
        <v>80</v>
      </c>
      <c r="E5" s="67">
        <v>239098</v>
      </c>
      <c r="F5" s="67">
        <v>240166</v>
      </c>
      <c r="G5" s="68">
        <f t="shared" si="0"/>
        <v>1068</v>
      </c>
      <c r="H5" s="69"/>
      <c r="J5" s="170">
        <v>7</v>
      </c>
      <c r="K5" s="66" t="s">
        <v>80</v>
      </c>
      <c r="L5" s="67">
        <v>240166</v>
      </c>
      <c r="M5" s="67">
        <v>241447</v>
      </c>
      <c r="N5" s="68">
        <f t="shared" si="1"/>
        <v>1281</v>
      </c>
      <c r="O5" s="69"/>
    </row>
    <row r="6" spans="2:15" ht="15" x14ac:dyDescent="0.2">
      <c r="B6" s="62"/>
      <c r="C6" s="172"/>
      <c r="D6" s="66" t="s">
        <v>81</v>
      </c>
      <c r="E6" s="67">
        <v>153583</v>
      </c>
      <c r="F6" s="67">
        <v>153654</v>
      </c>
      <c r="G6" s="68">
        <f t="shared" si="0"/>
        <v>71</v>
      </c>
      <c r="H6" s="69"/>
      <c r="J6" s="172"/>
      <c r="K6" s="66" t="s">
        <v>81</v>
      </c>
      <c r="L6" s="67">
        <v>153654</v>
      </c>
      <c r="M6" s="67">
        <v>153709</v>
      </c>
      <c r="N6" s="68">
        <f t="shared" si="1"/>
        <v>55</v>
      </c>
      <c r="O6" s="69"/>
    </row>
    <row r="7" spans="2:15" ht="15" x14ac:dyDescent="0.2">
      <c r="B7" s="62"/>
      <c r="C7" s="171"/>
      <c r="D7" s="66" t="s">
        <v>82</v>
      </c>
      <c r="E7" s="67">
        <v>117854</v>
      </c>
      <c r="F7" s="67">
        <v>118586</v>
      </c>
      <c r="G7" s="68">
        <f t="shared" si="0"/>
        <v>732</v>
      </c>
      <c r="H7" s="69"/>
      <c r="J7" s="171"/>
      <c r="K7" s="66" t="s">
        <v>82</v>
      </c>
      <c r="L7" s="67">
        <v>118586</v>
      </c>
      <c r="M7" s="67">
        <v>119307</v>
      </c>
      <c r="N7" s="68">
        <f t="shared" si="1"/>
        <v>721</v>
      </c>
      <c r="O7" s="69"/>
    </row>
    <row r="8" spans="2:15" ht="15" x14ac:dyDescent="0.2">
      <c r="B8" s="62"/>
      <c r="C8" s="170">
        <v>8</v>
      </c>
      <c r="D8" s="66" t="s">
        <v>80</v>
      </c>
      <c r="E8" s="67">
        <v>72512</v>
      </c>
      <c r="F8" s="67">
        <v>72662</v>
      </c>
      <c r="G8" s="68">
        <f t="shared" si="0"/>
        <v>150</v>
      </c>
      <c r="H8" s="69"/>
      <c r="J8" s="170">
        <v>8</v>
      </c>
      <c r="K8" s="66" t="s">
        <v>80</v>
      </c>
      <c r="L8" s="67">
        <v>72662</v>
      </c>
      <c r="M8" s="67">
        <v>72845</v>
      </c>
      <c r="N8" s="68">
        <f t="shared" si="1"/>
        <v>183</v>
      </c>
      <c r="O8" s="69"/>
    </row>
    <row r="9" spans="2:15" ht="15" x14ac:dyDescent="0.2">
      <c r="B9" s="62"/>
      <c r="C9" s="17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7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71"/>
      <c r="D10" s="66" t="s">
        <v>82</v>
      </c>
      <c r="E10" s="67">
        <v>96586</v>
      </c>
      <c r="F10" s="67">
        <v>97426</v>
      </c>
      <c r="G10" s="68">
        <f t="shared" si="0"/>
        <v>840</v>
      </c>
      <c r="H10" s="69"/>
      <c r="J10" s="171"/>
      <c r="K10" s="66" t="s">
        <v>82</v>
      </c>
      <c r="L10" s="67">
        <v>97426</v>
      </c>
      <c r="M10" s="67">
        <v>98137</v>
      </c>
      <c r="N10" s="68">
        <f t="shared" si="1"/>
        <v>711</v>
      </c>
      <c r="O10" s="69"/>
    </row>
    <row r="11" spans="2:15" ht="15" x14ac:dyDescent="0.2">
      <c r="B11" s="62"/>
      <c r="C11" s="170">
        <v>9</v>
      </c>
      <c r="D11" s="66" t="s">
        <v>80</v>
      </c>
      <c r="E11" s="67">
        <v>43563</v>
      </c>
      <c r="F11" s="67">
        <v>43623</v>
      </c>
      <c r="G11" s="68">
        <f t="shared" si="0"/>
        <v>60</v>
      </c>
      <c r="H11" s="69"/>
      <c r="J11" s="170">
        <v>9</v>
      </c>
      <c r="K11" s="66" t="s">
        <v>80</v>
      </c>
      <c r="L11" s="67">
        <v>43623</v>
      </c>
      <c r="M11" s="67">
        <v>43639</v>
      </c>
      <c r="N11" s="68">
        <f t="shared" si="1"/>
        <v>16</v>
      </c>
      <c r="O11" s="69"/>
    </row>
    <row r="12" spans="2:15" ht="15" x14ac:dyDescent="0.2">
      <c r="B12" s="62"/>
      <c r="C12" s="17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7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71"/>
      <c r="D13" s="66" t="s">
        <v>82</v>
      </c>
      <c r="E13" s="67">
        <v>28469</v>
      </c>
      <c r="F13" s="67">
        <v>28565</v>
      </c>
      <c r="G13" s="68">
        <f t="shared" si="0"/>
        <v>96</v>
      </c>
      <c r="H13" s="69"/>
      <c r="I13" s="71"/>
      <c r="J13" s="171"/>
      <c r="K13" s="66" t="s">
        <v>82</v>
      </c>
      <c r="L13" s="67">
        <v>28565</v>
      </c>
      <c r="M13" s="67">
        <v>28642</v>
      </c>
      <c r="N13" s="68">
        <f t="shared" si="1"/>
        <v>77</v>
      </c>
      <c r="O13" s="69"/>
    </row>
    <row r="14" spans="2:15" ht="15" x14ac:dyDescent="0.2">
      <c r="B14" s="62"/>
      <c r="C14" s="170">
        <v>10</v>
      </c>
      <c r="D14" s="66" t="s">
        <v>80</v>
      </c>
      <c r="E14" s="67">
        <v>193243</v>
      </c>
      <c r="F14" s="67">
        <v>195198</v>
      </c>
      <c r="G14" s="68">
        <f t="shared" si="0"/>
        <v>1955</v>
      </c>
      <c r="H14" s="69"/>
      <c r="I14" s="72"/>
      <c r="J14" s="170">
        <v>10</v>
      </c>
      <c r="K14" s="66" t="s">
        <v>80</v>
      </c>
      <c r="L14" s="67">
        <v>195198</v>
      </c>
      <c r="M14" s="67">
        <v>197101</v>
      </c>
      <c r="N14" s="68">
        <f t="shared" si="1"/>
        <v>1903</v>
      </c>
      <c r="O14" s="69"/>
    </row>
    <row r="15" spans="2:15" ht="15" x14ac:dyDescent="0.2">
      <c r="B15" s="62"/>
      <c r="C15" s="17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7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71"/>
      <c r="D16" s="66" t="s">
        <v>82</v>
      </c>
      <c r="E16" s="67">
        <v>184137</v>
      </c>
      <c r="F16" s="67">
        <v>185326</v>
      </c>
      <c r="G16" s="68">
        <f t="shared" si="0"/>
        <v>1189</v>
      </c>
      <c r="H16" s="69"/>
      <c r="I16" s="72"/>
      <c r="J16" s="171"/>
      <c r="K16" s="66" t="s">
        <v>82</v>
      </c>
      <c r="L16" s="67">
        <v>185326</v>
      </c>
      <c r="M16" s="67">
        <v>185938</v>
      </c>
      <c r="N16" s="68">
        <f t="shared" si="1"/>
        <v>612</v>
      </c>
      <c r="O16" s="69"/>
    </row>
    <row r="17" spans="2:15" ht="15" x14ac:dyDescent="0.2">
      <c r="B17" s="62"/>
      <c r="C17" s="170">
        <v>11</v>
      </c>
      <c r="D17" s="66" t="s">
        <v>80</v>
      </c>
      <c r="E17" s="68">
        <v>63276</v>
      </c>
      <c r="F17" s="68">
        <v>63759</v>
      </c>
      <c r="G17" s="68">
        <f t="shared" si="0"/>
        <v>483</v>
      </c>
      <c r="H17" s="69"/>
      <c r="I17" s="72"/>
      <c r="J17" s="170">
        <v>11</v>
      </c>
      <c r="K17" s="66" t="s">
        <v>80</v>
      </c>
      <c r="L17" s="68">
        <v>63759</v>
      </c>
      <c r="M17" s="68">
        <v>64235</v>
      </c>
      <c r="N17" s="68">
        <f t="shared" si="1"/>
        <v>476</v>
      </c>
      <c r="O17" s="69"/>
    </row>
    <row r="18" spans="2:15" ht="15" x14ac:dyDescent="0.2">
      <c r="B18" s="62"/>
      <c r="C18" s="172"/>
      <c r="D18" s="66" t="s">
        <v>81</v>
      </c>
      <c r="E18" s="68">
        <v>211867</v>
      </c>
      <c r="F18" s="68">
        <v>212487</v>
      </c>
      <c r="G18" s="68">
        <f t="shared" si="0"/>
        <v>620</v>
      </c>
      <c r="H18" s="69"/>
      <c r="I18" s="72"/>
      <c r="J18" s="172"/>
      <c r="K18" s="66" t="s">
        <v>81</v>
      </c>
      <c r="L18" s="68">
        <v>212487</v>
      </c>
      <c r="M18" s="68">
        <v>213386</v>
      </c>
      <c r="N18" s="68">
        <f t="shared" si="1"/>
        <v>899</v>
      </c>
      <c r="O18" s="69"/>
    </row>
    <row r="19" spans="2:15" ht="15" x14ac:dyDescent="0.2">
      <c r="B19" s="62"/>
      <c r="C19" s="171"/>
      <c r="D19" s="66" t="s">
        <v>82</v>
      </c>
      <c r="E19" s="67">
        <v>30588</v>
      </c>
      <c r="F19" s="67">
        <v>30633</v>
      </c>
      <c r="G19" s="68">
        <f t="shared" si="0"/>
        <v>45</v>
      </c>
      <c r="H19" s="69"/>
      <c r="I19" s="72"/>
      <c r="J19" s="171"/>
      <c r="K19" s="66" t="s">
        <v>82</v>
      </c>
      <c r="L19" s="67">
        <v>30633</v>
      </c>
      <c r="M19" s="67">
        <v>30683</v>
      </c>
      <c r="N19" s="68">
        <f t="shared" si="1"/>
        <v>50</v>
      </c>
      <c r="O19" s="69"/>
    </row>
    <row r="20" spans="2:15" ht="15" x14ac:dyDescent="0.2">
      <c r="B20" s="62"/>
      <c r="C20" s="170">
        <v>12</v>
      </c>
      <c r="D20" s="66" t="s">
        <v>80</v>
      </c>
      <c r="E20" s="150">
        <v>145544</v>
      </c>
      <c r="F20" s="150">
        <v>145877</v>
      </c>
      <c r="G20" s="68">
        <f t="shared" si="0"/>
        <v>333</v>
      </c>
      <c r="H20" s="69"/>
      <c r="I20" s="72"/>
      <c r="J20" s="170">
        <v>12</v>
      </c>
      <c r="K20" s="66" t="s">
        <v>80</v>
      </c>
      <c r="L20" s="150">
        <v>145877</v>
      </c>
      <c r="M20" s="150">
        <v>146008</v>
      </c>
      <c r="N20" s="68">
        <f t="shared" si="1"/>
        <v>131</v>
      </c>
      <c r="O20" s="69"/>
    </row>
    <row r="21" spans="2:15" ht="15" x14ac:dyDescent="0.2">
      <c r="B21" s="62"/>
      <c r="C21" s="172"/>
      <c r="D21" s="66" t="s">
        <v>81</v>
      </c>
      <c r="E21" s="67">
        <v>22365</v>
      </c>
      <c r="F21" s="67">
        <v>22387</v>
      </c>
      <c r="G21" s="68">
        <f t="shared" si="0"/>
        <v>22</v>
      </c>
      <c r="H21" s="69"/>
      <c r="I21" s="73" t="s">
        <v>12</v>
      </c>
      <c r="J21" s="172"/>
      <c r="K21" s="66" t="s">
        <v>81</v>
      </c>
      <c r="L21" s="67">
        <v>22387</v>
      </c>
      <c r="M21" s="67">
        <v>22414</v>
      </c>
      <c r="N21" s="68">
        <f t="shared" si="1"/>
        <v>27</v>
      </c>
      <c r="O21" s="69"/>
    </row>
    <row r="22" spans="2:15" ht="15" x14ac:dyDescent="0.2">
      <c r="B22" s="62"/>
      <c r="C22" s="171"/>
      <c r="D22" s="66" t="s">
        <v>82</v>
      </c>
      <c r="E22" s="67">
        <v>241282</v>
      </c>
      <c r="F22" s="67">
        <v>242321</v>
      </c>
      <c r="G22" s="68">
        <f t="shared" si="0"/>
        <v>1039</v>
      </c>
      <c r="H22" s="69"/>
      <c r="I22" s="72"/>
      <c r="J22" s="171"/>
      <c r="K22" s="66" t="s">
        <v>82</v>
      </c>
      <c r="L22" s="67">
        <v>242321</v>
      </c>
      <c r="M22" s="67">
        <v>242715</v>
      </c>
      <c r="N22" s="68">
        <f t="shared" si="1"/>
        <v>394</v>
      </c>
      <c r="O22" s="69"/>
    </row>
    <row r="23" spans="2:15" ht="15" x14ac:dyDescent="0.2">
      <c r="B23" s="62"/>
      <c r="C23" s="170">
        <v>14</v>
      </c>
      <c r="D23" s="66" t="s">
        <v>80</v>
      </c>
      <c r="E23" s="67">
        <v>116596</v>
      </c>
      <c r="F23" s="67">
        <v>116596</v>
      </c>
      <c r="G23" s="68">
        <f t="shared" si="0"/>
        <v>0</v>
      </c>
      <c r="H23" s="69"/>
      <c r="I23" s="72"/>
      <c r="J23" s="170">
        <v>14</v>
      </c>
      <c r="K23" s="66" t="s">
        <v>80</v>
      </c>
      <c r="L23" s="67">
        <v>116596</v>
      </c>
      <c r="M23" s="67">
        <v>116871</v>
      </c>
      <c r="N23" s="68">
        <f t="shared" si="1"/>
        <v>275</v>
      </c>
      <c r="O23" s="69"/>
    </row>
    <row r="24" spans="2:15" ht="15" x14ac:dyDescent="0.2">
      <c r="B24" s="62"/>
      <c r="C24" s="17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7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7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7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7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7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72"/>
      <c r="D27" s="66" t="s">
        <v>81</v>
      </c>
      <c r="E27" s="67">
        <v>79294</v>
      </c>
      <c r="F27" s="67">
        <v>80062</v>
      </c>
      <c r="G27" s="68">
        <f t="shared" si="0"/>
        <v>768</v>
      </c>
      <c r="H27" s="69"/>
      <c r="I27" s="73" t="s">
        <v>12</v>
      </c>
      <c r="J27" s="172"/>
      <c r="K27" s="66" t="s">
        <v>81</v>
      </c>
      <c r="L27" s="67">
        <v>80062</v>
      </c>
      <c r="M27" s="67">
        <v>80522</v>
      </c>
      <c r="N27" s="68">
        <f t="shared" si="1"/>
        <v>460</v>
      </c>
      <c r="O27" s="69"/>
    </row>
    <row r="28" spans="2:15" ht="15" x14ac:dyDescent="0.2">
      <c r="B28" s="62"/>
      <c r="C28" s="171"/>
      <c r="D28" s="66" t="s">
        <v>82</v>
      </c>
      <c r="E28" s="67">
        <v>151963</v>
      </c>
      <c r="F28" s="67">
        <v>153122</v>
      </c>
      <c r="G28" s="68">
        <f t="shared" si="0"/>
        <v>1159</v>
      </c>
      <c r="H28" s="69"/>
      <c r="I28" s="72"/>
      <c r="J28" s="171"/>
      <c r="K28" s="66" t="s">
        <v>82</v>
      </c>
      <c r="L28" s="67">
        <v>153122</v>
      </c>
      <c r="M28" s="67">
        <v>154238</v>
      </c>
      <c r="N28" s="68">
        <f t="shared" si="1"/>
        <v>1116</v>
      </c>
      <c r="O28" s="69"/>
    </row>
    <row r="29" spans="2:15" ht="15" x14ac:dyDescent="0.2">
      <c r="B29" s="62"/>
      <c r="C29" s="17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7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72"/>
      <c r="D30" s="66" t="s">
        <v>81</v>
      </c>
      <c r="E30" s="150">
        <v>59399</v>
      </c>
      <c r="F30" s="150">
        <v>59578</v>
      </c>
      <c r="G30" s="68">
        <f t="shared" si="0"/>
        <v>179</v>
      </c>
      <c r="H30" s="69"/>
      <c r="I30" s="72"/>
      <c r="J30" s="172"/>
      <c r="K30" s="66" t="s">
        <v>81</v>
      </c>
      <c r="L30" s="150">
        <v>59578</v>
      </c>
      <c r="M30" s="150">
        <v>59824</v>
      </c>
      <c r="N30" s="68">
        <f t="shared" si="1"/>
        <v>246</v>
      </c>
      <c r="O30" s="69"/>
    </row>
    <row r="31" spans="2:15" ht="15" x14ac:dyDescent="0.2">
      <c r="B31" s="62"/>
      <c r="C31" s="17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7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70">
        <v>17</v>
      </c>
      <c r="D32" s="66" t="s">
        <v>80</v>
      </c>
      <c r="E32" s="67">
        <v>32018</v>
      </c>
      <c r="F32" s="67">
        <v>32296</v>
      </c>
      <c r="G32" s="68">
        <f t="shared" si="0"/>
        <v>278</v>
      </c>
      <c r="H32" s="69"/>
      <c r="I32" s="72"/>
      <c r="J32" s="170">
        <v>17</v>
      </c>
      <c r="K32" s="66" t="s">
        <v>80</v>
      </c>
      <c r="L32" s="67">
        <v>32296</v>
      </c>
      <c r="M32" s="67">
        <v>32768</v>
      </c>
      <c r="N32" s="68">
        <f t="shared" si="1"/>
        <v>472</v>
      </c>
      <c r="O32" s="69"/>
    </row>
    <row r="33" spans="2:15" ht="15" x14ac:dyDescent="0.2">
      <c r="B33" s="62"/>
      <c r="C33" s="172"/>
      <c r="D33" s="66" t="s">
        <v>81</v>
      </c>
      <c r="E33" s="67">
        <v>64144</v>
      </c>
      <c r="F33" s="67">
        <v>64144</v>
      </c>
      <c r="G33" s="68">
        <f t="shared" si="0"/>
        <v>0</v>
      </c>
      <c r="H33" s="69"/>
      <c r="I33" s="72"/>
      <c r="J33" s="172"/>
      <c r="K33" s="66" t="s">
        <v>81</v>
      </c>
      <c r="L33" s="67">
        <v>64144</v>
      </c>
      <c r="M33" s="67">
        <v>64149</v>
      </c>
      <c r="N33" s="68">
        <f t="shared" si="1"/>
        <v>5</v>
      </c>
      <c r="O33" s="69"/>
    </row>
    <row r="34" spans="2:15" ht="15" x14ac:dyDescent="0.2">
      <c r="B34" s="62"/>
      <c r="C34" s="171"/>
      <c r="D34" s="66" t="s">
        <v>82</v>
      </c>
      <c r="E34" s="67">
        <v>11410</v>
      </c>
      <c r="F34" s="67">
        <v>11511</v>
      </c>
      <c r="G34" s="68">
        <f t="shared" si="0"/>
        <v>101</v>
      </c>
      <c r="H34" s="75"/>
      <c r="I34" s="72"/>
      <c r="J34" s="171"/>
      <c r="K34" s="66" t="s">
        <v>82</v>
      </c>
      <c r="L34" s="67">
        <v>11511</v>
      </c>
      <c r="M34" s="67">
        <v>11579</v>
      </c>
      <c r="N34" s="68">
        <f t="shared" si="1"/>
        <v>68</v>
      </c>
      <c r="O34" s="75"/>
    </row>
    <row r="35" spans="2:15" ht="15" x14ac:dyDescent="0.2">
      <c r="B35" s="62"/>
      <c r="C35" s="170">
        <v>18</v>
      </c>
      <c r="D35" s="66" t="s">
        <v>80</v>
      </c>
      <c r="E35" s="67">
        <v>235612</v>
      </c>
      <c r="F35" s="67">
        <v>237344</v>
      </c>
      <c r="G35" s="68">
        <f t="shared" si="0"/>
        <v>1732</v>
      </c>
      <c r="H35" s="75"/>
      <c r="I35" s="72"/>
      <c r="J35" s="170">
        <v>18</v>
      </c>
      <c r="K35" s="66" t="s">
        <v>80</v>
      </c>
      <c r="L35" s="67">
        <v>237344</v>
      </c>
      <c r="M35" s="67">
        <v>239144</v>
      </c>
      <c r="N35" s="68">
        <f t="shared" si="1"/>
        <v>1800</v>
      </c>
      <c r="O35" s="75"/>
    </row>
    <row r="36" spans="2:15" ht="15" x14ac:dyDescent="0.2">
      <c r="B36" s="62"/>
      <c r="C36" s="172"/>
      <c r="D36" s="66" t="s">
        <v>81</v>
      </c>
      <c r="E36" s="74">
        <v>16753</v>
      </c>
      <c r="F36" s="74">
        <v>16753</v>
      </c>
      <c r="G36" s="68">
        <f t="shared" si="0"/>
        <v>0</v>
      </c>
      <c r="H36" s="69"/>
      <c r="I36" s="72"/>
      <c r="J36" s="172"/>
      <c r="K36" s="66" t="s">
        <v>81</v>
      </c>
      <c r="L36" s="74">
        <v>16753</v>
      </c>
      <c r="M36" s="74">
        <v>16836</v>
      </c>
      <c r="N36" s="68">
        <f t="shared" si="1"/>
        <v>83</v>
      </c>
      <c r="O36" s="69"/>
    </row>
    <row r="37" spans="2:15" ht="15" x14ac:dyDescent="0.2">
      <c r="B37" s="62"/>
      <c r="C37" s="171"/>
      <c r="D37" s="66" t="s">
        <v>82</v>
      </c>
      <c r="E37" s="67">
        <v>76545</v>
      </c>
      <c r="F37" s="67">
        <v>77837</v>
      </c>
      <c r="G37" s="68">
        <f t="shared" si="0"/>
        <v>1292</v>
      </c>
      <c r="H37" s="69"/>
      <c r="I37" s="72"/>
      <c r="J37" s="171"/>
      <c r="K37" s="66" t="s">
        <v>82</v>
      </c>
      <c r="L37" s="67">
        <v>77837</v>
      </c>
      <c r="M37" s="67">
        <v>78775</v>
      </c>
      <c r="N37" s="68">
        <f t="shared" si="1"/>
        <v>938</v>
      </c>
      <c r="O37" s="69"/>
    </row>
    <row r="38" spans="2:15" ht="15" x14ac:dyDescent="0.2">
      <c r="B38" s="62"/>
      <c r="C38" s="170">
        <v>19</v>
      </c>
      <c r="D38" s="66" t="s">
        <v>80</v>
      </c>
      <c r="E38" s="67">
        <v>21241</v>
      </c>
      <c r="F38" s="67">
        <v>21387</v>
      </c>
      <c r="G38" s="68">
        <f t="shared" si="0"/>
        <v>146</v>
      </c>
      <c r="H38" s="69"/>
      <c r="I38" s="72"/>
      <c r="J38" s="170">
        <v>19</v>
      </c>
      <c r="K38" s="66" t="s">
        <v>80</v>
      </c>
      <c r="L38" s="67">
        <v>21387</v>
      </c>
      <c r="M38" s="67">
        <v>21552</v>
      </c>
      <c r="N38" s="68">
        <f t="shared" si="1"/>
        <v>165</v>
      </c>
      <c r="O38" s="69"/>
    </row>
    <row r="39" spans="2:15" ht="15" x14ac:dyDescent="0.2">
      <c r="B39" s="62"/>
      <c r="C39" s="172"/>
      <c r="D39" s="66" t="s">
        <v>81</v>
      </c>
      <c r="E39" s="150">
        <v>82607</v>
      </c>
      <c r="F39" s="150">
        <v>82853</v>
      </c>
      <c r="G39" s="68">
        <f t="shared" si="0"/>
        <v>246</v>
      </c>
      <c r="H39" s="75"/>
      <c r="I39" s="72"/>
      <c r="J39" s="172"/>
      <c r="K39" s="66" t="s">
        <v>81</v>
      </c>
      <c r="L39" s="150">
        <v>82853</v>
      </c>
      <c r="M39" s="150">
        <v>83126</v>
      </c>
      <c r="N39" s="68">
        <f t="shared" si="1"/>
        <v>273</v>
      </c>
      <c r="O39" s="75"/>
    </row>
    <row r="40" spans="2:15" ht="15" x14ac:dyDescent="0.2">
      <c r="B40" s="62"/>
      <c r="C40" s="17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7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70">
        <v>20</v>
      </c>
      <c r="D41" s="66" t="s">
        <v>80</v>
      </c>
      <c r="E41" s="67">
        <v>118234</v>
      </c>
      <c r="F41" s="67">
        <v>118454</v>
      </c>
      <c r="G41" s="68">
        <f t="shared" si="0"/>
        <v>220</v>
      </c>
      <c r="H41" s="69"/>
      <c r="I41" s="72"/>
      <c r="J41" s="170">
        <v>20</v>
      </c>
      <c r="K41" s="66" t="s">
        <v>80</v>
      </c>
      <c r="L41" s="67">
        <v>118454</v>
      </c>
      <c r="M41" s="67">
        <v>118849</v>
      </c>
      <c r="N41" s="68">
        <f t="shared" si="1"/>
        <v>395</v>
      </c>
      <c r="O41" s="69"/>
    </row>
    <row r="42" spans="2:15" ht="15" x14ac:dyDescent="0.2">
      <c r="B42" s="62"/>
      <c r="C42" s="172"/>
      <c r="D42" s="66" t="s">
        <v>81</v>
      </c>
      <c r="E42" s="150">
        <v>68785</v>
      </c>
      <c r="F42" s="150">
        <v>68935</v>
      </c>
      <c r="G42" s="68">
        <f t="shared" si="0"/>
        <v>150</v>
      </c>
      <c r="H42" s="69"/>
      <c r="J42" s="172"/>
      <c r="K42" s="66" t="s">
        <v>81</v>
      </c>
      <c r="L42" s="150">
        <v>68935</v>
      </c>
      <c r="M42" s="150">
        <v>69099</v>
      </c>
      <c r="N42" s="68">
        <f t="shared" si="1"/>
        <v>164</v>
      </c>
      <c r="O42" s="69"/>
    </row>
    <row r="43" spans="2:15" ht="15" x14ac:dyDescent="0.2">
      <c r="B43" s="62"/>
      <c r="C43" s="171"/>
      <c r="D43" s="66" t="s">
        <v>82</v>
      </c>
      <c r="E43" s="67">
        <v>3251</v>
      </c>
      <c r="F43" s="67">
        <v>3297</v>
      </c>
      <c r="G43" s="68">
        <f t="shared" si="0"/>
        <v>46</v>
      </c>
      <c r="H43" s="69"/>
      <c r="J43" s="171"/>
      <c r="K43" s="66" t="s">
        <v>82</v>
      </c>
      <c r="L43" s="67">
        <v>3297</v>
      </c>
      <c r="M43" s="67">
        <v>3298</v>
      </c>
      <c r="N43" s="68">
        <f t="shared" si="1"/>
        <v>1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70">
        <v>21</v>
      </c>
      <c r="D45" s="80" t="s">
        <v>83</v>
      </c>
      <c r="E45" s="67">
        <v>3367</v>
      </c>
      <c r="F45" s="67">
        <v>3430</v>
      </c>
      <c r="G45" s="68">
        <f t="shared" si="0"/>
        <v>63</v>
      </c>
      <c r="H45" s="70" t="s">
        <v>12</v>
      </c>
      <c r="J45" s="170">
        <v>21</v>
      </c>
      <c r="K45" s="80" t="s">
        <v>83</v>
      </c>
      <c r="L45" s="67">
        <v>3430</v>
      </c>
      <c r="M45" s="67">
        <v>3468</v>
      </c>
      <c r="N45" s="68">
        <f t="shared" si="1"/>
        <v>38</v>
      </c>
      <c r="O45" s="70" t="s">
        <v>12</v>
      </c>
    </row>
    <row r="46" spans="2:15" ht="15" x14ac:dyDescent="0.2">
      <c r="B46" s="62"/>
      <c r="C46" s="172"/>
      <c r="D46" s="80" t="s">
        <v>82</v>
      </c>
      <c r="E46" s="67">
        <v>38125</v>
      </c>
      <c r="F46" s="67">
        <v>38125</v>
      </c>
      <c r="G46" s="68">
        <f t="shared" si="0"/>
        <v>0</v>
      </c>
      <c r="H46" s="69"/>
      <c r="J46" s="172"/>
      <c r="K46" s="80" t="s">
        <v>82</v>
      </c>
      <c r="L46" s="67">
        <v>38125</v>
      </c>
      <c r="M46" s="67">
        <v>38755</v>
      </c>
      <c r="N46" s="68">
        <f t="shared" si="1"/>
        <v>630</v>
      </c>
      <c r="O46" s="69"/>
    </row>
    <row r="47" spans="2:15" ht="15" x14ac:dyDescent="0.2">
      <c r="B47" s="62"/>
      <c r="C47" s="17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7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72"/>
      <c r="D48" s="80" t="s">
        <v>82</v>
      </c>
      <c r="E48" s="81">
        <v>19468</v>
      </c>
      <c r="F48" s="81">
        <v>19630</v>
      </c>
      <c r="G48" s="68">
        <f t="shared" si="0"/>
        <v>162</v>
      </c>
      <c r="H48" s="69"/>
      <c r="J48" s="172"/>
      <c r="K48" s="80" t="s">
        <v>82</v>
      </c>
      <c r="L48" s="81">
        <v>19630</v>
      </c>
      <c r="M48" s="81">
        <v>19792</v>
      </c>
      <c r="N48" s="68">
        <f t="shared" si="1"/>
        <v>162</v>
      </c>
      <c r="O48" s="69"/>
    </row>
    <row r="49" spans="1:15" ht="15" x14ac:dyDescent="0.2">
      <c r="B49" s="62"/>
      <c r="C49" s="170">
        <v>23</v>
      </c>
      <c r="D49" s="66" t="s">
        <v>83</v>
      </c>
      <c r="E49" s="81"/>
      <c r="F49" s="81"/>
      <c r="G49" s="68">
        <f t="shared" si="0"/>
        <v>0</v>
      </c>
      <c r="H49" s="69"/>
      <c r="J49" s="17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72"/>
      <c r="D50" s="66" t="s">
        <v>82</v>
      </c>
      <c r="E50" s="81"/>
      <c r="F50" s="81"/>
      <c r="G50" s="68">
        <f t="shared" si="0"/>
        <v>0</v>
      </c>
      <c r="H50" s="69"/>
      <c r="J50" s="17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73">
        <v>24</v>
      </c>
      <c r="D52" s="66" t="s">
        <v>84</v>
      </c>
      <c r="E52" s="150">
        <v>240464</v>
      </c>
      <c r="F52" s="150">
        <v>241579</v>
      </c>
      <c r="G52" s="68">
        <f t="shared" si="0"/>
        <v>1115</v>
      </c>
      <c r="H52" s="150">
        <v>241579</v>
      </c>
      <c r="J52" s="173">
        <v>24</v>
      </c>
      <c r="K52" s="66" t="s">
        <v>84</v>
      </c>
      <c r="L52" s="150">
        <v>241579</v>
      </c>
      <c r="M52" s="150">
        <v>242334</v>
      </c>
      <c r="N52" s="68">
        <f t="shared" si="1"/>
        <v>755</v>
      </c>
      <c r="O52" s="83"/>
    </row>
    <row r="53" spans="1:15" ht="15" x14ac:dyDescent="0.2">
      <c r="B53" s="62"/>
      <c r="C53" s="174"/>
      <c r="D53" s="66" t="s">
        <v>85</v>
      </c>
      <c r="E53" s="150">
        <v>535259</v>
      </c>
      <c r="F53" s="150">
        <v>535736</v>
      </c>
      <c r="G53" s="68">
        <f t="shared" si="0"/>
        <v>477</v>
      </c>
      <c r="H53" s="75"/>
      <c r="J53" s="174"/>
      <c r="K53" s="66" t="s">
        <v>85</v>
      </c>
      <c r="L53" s="150">
        <v>535736</v>
      </c>
      <c r="M53" s="150">
        <v>536218</v>
      </c>
      <c r="N53" s="68">
        <f t="shared" si="1"/>
        <v>482</v>
      </c>
      <c r="O53" s="75"/>
    </row>
    <row r="54" spans="1:15" ht="15" x14ac:dyDescent="0.2">
      <c r="B54" s="62"/>
      <c r="C54" s="17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7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7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7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7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7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70">
        <v>26</v>
      </c>
      <c r="D57" s="66" t="s">
        <v>84</v>
      </c>
      <c r="E57" s="67">
        <v>700352</v>
      </c>
      <c r="F57" s="67">
        <v>703724</v>
      </c>
      <c r="G57" s="68">
        <f t="shared" si="0"/>
        <v>3372</v>
      </c>
      <c r="H57" s="69"/>
      <c r="J57" s="170">
        <v>26</v>
      </c>
      <c r="K57" s="66" t="s">
        <v>84</v>
      </c>
      <c r="L57" s="67">
        <v>703724</v>
      </c>
      <c r="M57" s="67">
        <v>706781</v>
      </c>
      <c r="N57" s="68">
        <f t="shared" si="1"/>
        <v>3057</v>
      </c>
      <c r="O57" s="69"/>
    </row>
    <row r="58" spans="1:15" ht="15" x14ac:dyDescent="0.2">
      <c r="A58" s="72"/>
      <c r="B58" s="62"/>
      <c r="C58" s="171"/>
      <c r="D58" s="66" t="s">
        <v>85</v>
      </c>
      <c r="E58" s="67">
        <v>767743</v>
      </c>
      <c r="F58" s="67">
        <v>772007</v>
      </c>
      <c r="G58" s="68">
        <f t="shared" si="0"/>
        <v>4264</v>
      </c>
      <c r="H58" s="75"/>
      <c r="I58" s="72"/>
      <c r="J58" s="171"/>
      <c r="K58" s="66" t="s">
        <v>85</v>
      </c>
      <c r="L58" s="67">
        <v>772007</v>
      </c>
      <c r="M58" s="67">
        <v>775701</v>
      </c>
      <c r="N58" s="68">
        <f t="shared" si="1"/>
        <v>3694</v>
      </c>
      <c r="O58" s="75"/>
    </row>
    <row r="59" spans="1:15" ht="15" x14ac:dyDescent="0.2">
      <c r="A59" s="72"/>
      <c r="B59" s="62"/>
      <c r="C59" s="170">
        <v>27</v>
      </c>
      <c r="D59" s="66" t="s">
        <v>84</v>
      </c>
      <c r="E59" s="67">
        <v>237633</v>
      </c>
      <c r="F59" s="67">
        <v>238754</v>
      </c>
      <c r="G59" s="68">
        <f t="shared" si="0"/>
        <v>1121</v>
      </c>
      <c r="H59" s="69"/>
      <c r="I59" s="72"/>
      <c r="J59" s="170">
        <v>27</v>
      </c>
      <c r="K59" s="66" t="s">
        <v>84</v>
      </c>
      <c r="L59" s="67">
        <v>238754</v>
      </c>
      <c r="M59" s="67">
        <v>239540</v>
      </c>
      <c r="N59" s="68">
        <f t="shared" si="1"/>
        <v>786</v>
      </c>
      <c r="O59" s="69"/>
    </row>
    <row r="60" spans="1:15" ht="15" x14ac:dyDescent="0.2">
      <c r="A60" s="72"/>
      <c r="B60" s="62"/>
      <c r="C60" s="171"/>
      <c r="D60" s="66" t="s">
        <v>85</v>
      </c>
      <c r="E60" s="67">
        <v>97283</v>
      </c>
      <c r="F60" s="67">
        <v>97743</v>
      </c>
      <c r="G60" s="68">
        <f t="shared" si="0"/>
        <v>460</v>
      </c>
      <c r="H60" s="69"/>
      <c r="I60" s="72"/>
      <c r="J60" s="171"/>
      <c r="K60" s="66" t="s">
        <v>85</v>
      </c>
      <c r="L60" s="67">
        <v>97743</v>
      </c>
      <c r="M60" s="67">
        <v>99246</v>
      </c>
      <c r="N60" s="68">
        <f t="shared" si="1"/>
        <v>1503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70">
        <v>28</v>
      </c>
      <c r="D62" s="179" t="s">
        <v>86</v>
      </c>
      <c r="E62" s="67"/>
      <c r="F62" s="67"/>
      <c r="G62" s="68"/>
      <c r="H62" s="181" t="s">
        <v>87</v>
      </c>
      <c r="I62" s="72"/>
      <c r="J62" s="170">
        <v>28</v>
      </c>
      <c r="K62" s="179" t="s">
        <v>86</v>
      </c>
      <c r="L62" s="67"/>
      <c r="M62" s="67"/>
      <c r="N62" s="68"/>
      <c r="O62" s="181" t="s">
        <v>87</v>
      </c>
    </row>
    <row r="63" spans="1:15" ht="15" x14ac:dyDescent="0.2">
      <c r="A63" s="72"/>
      <c r="B63" s="62"/>
      <c r="C63" s="171"/>
      <c r="D63" s="180"/>
      <c r="E63" s="67"/>
      <c r="F63" s="67"/>
      <c r="G63" s="68"/>
      <c r="H63" s="182"/>
      <c r="I63" s="72"/>
      <c r="J63" s="171"/>
      <c r="K63" s="180"/>
      <c r="L63" s="67"/>
      <c r="M63" s="67"/>
      <c r="N63" s="68"/>
      <c r="O63" s="182"/>
    </row>
    <row r="64" spans="1:15" x14ac:dyDescent="0.2">
      <c r="A64" s="72"/>
      <c r="B64" s="62"/>
      <c r="C64" s="183" t="s">
        <v>88</v>
      </c>
      <c r="D64" s="183"/>
      <c r="E64" s="183"/>
      <c r="F64" s="183"/>
      <c r="G64" s="86">
        <f>SUM(G2:G63)</f>
        <v>28469</v>
      </c>
      <c r="H64" s="87"/>
      <c r="I64" s="72"/>
      <c r="J64" s="183" t="s">
        <v>88</v>
      </c>
      <c r="K64" s="183"/>
      <c r="L64" s="183"/>
      <c r="M64" s="183"/>
      <c r="N64" s="86">
        <f>SUM(N2:N63)</f>
        <v>27078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4">
        <v>44348</v>
      </c>
      <c r="C69" s="185"/>
      <c r="D69" s="185"/>
      <c r="E69" s="186"/>
      <c r="F69" s="90"/>
      <c r="G69" s="187">
        <v>44378</v>
      </c>
      <c r="H69" s="188"/>
      <c r="I69" s="188"/>
      <c r="J69" s="189"/>
      <c r="K69" s="90"/>
      <c r="L69" s="176" t="s">
        <v>25</v>
      </c>
      <c r="M69" s="177"/>
      <c r="N69" s="177"/>
      <c r="O69" s="178"/>
    </row>
    <row r="70" spans="1:15" ht="13.5" thickBot="1" x14ac:dyDescent="0.25">
      <c r="A70" s="88"/>
      <c r="B70" s="151" t="s">
        <v>140</v>
      </c>
      <c r="C70" s="151">
        <v>30</v>
      </c>
      <c r="D70" s="151" t="s">
        <v>89</v>
      </c>
      <c r="E70" s="151" t="s">
        <v>90</v>
      </c>
      <c r="F70" s="88"/>
      <c r="G70" s="151" t="s">
        <v>140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92509</v>
      </c>
      <c r="D71" s="94">
        <v>55533</v>
      </c>
      <c r="E71" s="95">
        <v>78552</v>
      </c>
      <c r="F71" s="88"/>
      <c r="G71" s="92">
        <v>6</v>
      </c>
      <c r="H71" s="93">
        <v>92652</v>
      </c>
      <c r="I71" s="94">
        <v>56083</v>
      </c>
      <c r="J71" s="95">
        <v>78552</v>
      </c>
      <c r="K71" s="88"/>
      <c r="L71" s="91">
        <v>6</v>
      </c>
      <c r="M71" s="96">
        <f>H71-C71</f>
        <v>143</v>
      </c>
      <c r="N71" s="96">
        <f>I71-D71</f>
        <v>550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96466</v>
      </c>
      <c r="D72" s="94">
        <v>103854</v>
      </c>
      <c r="E72" s="95">
        <v>63632</v>
      </c>
      <c r="F72" s="88"/>
      <c r="G72" s="92">
        <v>7</v>
      </c>
      <c r="H72" s="93">
        <v>97056</v>
      </c>
      <c r="I72" s="94">
        <v>104037</v>
      </c>
      <c r="J72" s="95">
        <v>63964</v>
      </c>
      <c r="K72" s="88"/>
      <c r="L72" s="91">
        <v>7</v>
      </c>
      <c r="M72" s="96">
        <f t="shared" ref="M72:O94" si="2">H72-C72</f>
        <v>590</v>
      </c>
      <c r="N72" s="96">
        <f t="shared" si="2"/>
        <v>183</v>
      </c>
      <c r="O72" s="96">
        <f t="shared" si="2"/>
        <v>332</v>
      </c>
    </row>
    <row r="73" spans="1:15" ht="15.75" thickBot="1" x14ac:dyDescent="0.25">
      <c r="A73" s="88"/>
      <c r="B73" s="92">
        <v>8</v>
      </c>
      <c r="C73" s="93">
        <v>112695</v>
      </c>
      <c r="D73" s="94">
        <v>247669</v>
      </c>
      <c r="E73" s="95">
        <v>106409</v>
      </c>
      <c r="F73" s="88"/>
      <c r="G73" s="92">
        <v>8</v>
      </c>
      <c r="H73" s="93">
        <v>113007</v>
      </c>
      <c r="I73" s="94">
        <v>249843</v>
      </c>
      <c r="J73" s="95">
        <v>107717</v>
      </c>
      <c r="K73" s="88"/>
      <c r="L73" s="91">
        <v>8</v>
      </c>
      <c r="M73" s="96">
        <f t="shared" si="2"/>
        <v>312</v>
      </c>
      <c r="N73" s="96">
        <f t="shared" si="2"/>
        <v>2174</v>
      </c>
      <c r="O73" s="96">
        <f t="shared" si="2"/>
        <v>1308</v>
      </c>
    </row>
    <row r="74" spans="1:15" ht="15.75" thickBot="1" x14ac:dyDescent="0.25">
      <c r="A74" s="88"/>
      <c r="B74" s="92">
        <v>9</v>
      </c>
      <c r="C74" s="93">
        <v>68293</v>
      </c>
      <c r="D74" s="94">
        <v>151984</v>
      </c>
      <c r="E74" s="95">
        <v>152414</v>
      </c>
      <c r="F74" s="88"/>
      <c r="G74" s="92">
        <v>9</v>
      </c>
      <c r="H74" s="93">
        <v>68451</v>
      </c>
      <c r="I74" s="94">
        <v>152398</v>
      </c>
      <c r="J74" s="95">
        <v>154275</v>
      </c>
      <c r="K74" s="88"/>
      <c r="L74" s="91">
        <v>9</v>
      </c>
      <c r="M74" s="96">
        <f t="shared" si="2"/>
        <v>158</v>
      </c>
      <c r="N74" s="96">
        <f t="shared" si="2"/>
        <v>414</v>
      </c>
      <c r="O74" s="96">
        <f t="shared" si="2"/>
        <v>1861</v>
      </c>
    </row>
    <row r="75" spans="1:15" ht="15.75" thickBot="1" x14ac:dyDescent="0.25">
      <c r="A75" s="88"/>
      <c r="B75" s="92">
        <v>10</v>
      </c>
      <c r="C75" s="93">
        <v>71461</v>
      </c>
      <c r="D75" s="94">
        <v>112954</v>
      </c>
      <c r="E75" s="95">
        <v>144160</v>
      </c>
      <c r="F75" s="88"/>
      <c r="G75" s="92">
        <v>10</v>
      </c>
      <c r="H75" s="93">
        <v>71941</v>
      </c>
      <c r="I75" s="94">
        <v>113315</v>
      </c>
      <c r="J75" s="95">
        <v>145687</v>
      </c>
      <c r="K75" s="88"/>
      <c r="L75" s="91">
        <v>10</v>
      </c>
      <c r="M75" s="96">
        <f t="shared" si="2"/>
        <v>480</v>
      </c>
      <c r="N75" s="96">
        <f t="shared" si="2"/>
        <v>361</v>
      </c>
      <c r="O75" s="96">
        <f t="shared" si="2"/>
        <v>1527</v>
      </c>
    </row>
    <row r="76" spans="1:15" ht="15.75" thickBot="1" x14ac:dyDescent="0.25">
      <c r="A76" s="88"/>
      <c r="B76" s="92">
        <v>11</v>
      </c>
      <c r="C76" s="93">
        <v>153339</v>
      </c>
      <c r="D76" s="94">
        <v>182575</v>
      </c>
      <c r="E76" s="95">
        <v>211728</v>
      </c>
      <c r="F76" s="88"/>
      <c r="G76" s="92">
        <v>11</v>
      </c>
      <c r="H76" s="93">
        <v>154115</v>
      </c>
      <c r="I76" s="94">
        <v>183371</v>
      </c>
      <c r="J76" s="95">
        <v>211915</v>
      </c>
      <c r="K76" s="88"/>
      <c r="L76" s="91">
        <v>11</v>
      </c>
      <c r="M76" s="96">
        <f t="shared" si="2"/>
        <v>776</v>
      </c>
      <c r="N76" s="96">
        <f t="shared" si="2"/>
        <v>796</v>
      </c>
      <c r="O76" s="96">
        <f t="shared" si="2"/>
        <v>187</v>
      </c>
    </row>
    <row r="77" spans="1:15" ht="15.75" thickBot="1" x14ac:dyDescent="0.25">
      <c r="A77" s="88"/>
      <c r="B77" s="92">
        <v>12</v>
      </c>
      <c r="C77" s="93">
        <v>149241</v>
      </c>
      <c r="D77" s="94">
        <v>96392</v>
      </c>
      <c r="E77" s="95">
        <v>100215</v>
      </c>
      <c r="F77" s="88"/>
      <c r="G77" s="92">
        <v>12</v>
      </c>
      <c r="H77" s="93">
        <v>149633</v>
      </c>
      <c r="I77" s="94">
        <v>96444</v>
      </c>
      <c r="J77" s="95">
        <v>100338</v>
      </c>
      <c r="K77" s="88"/>
      <c r="L77" s="91">
        <v>12</v>
      </c>
      <c r="M77" s="96">
        <f t="shared" si="2"/>
        <v>392</v>
      </c>
      <c r="N77" s="96">
        <f>I77-D77</f>
        <v>52</v>
      </c>
      <c r="O77" s="96">
        <f t="shared" si="2"/>
        <v>123</v>
      </c>
    </row>
    <row r="78" spans="1:15" ht="15.75" thickBot="1" x14ac:dyDescent="0.25">
      <c r="A78" s="88"/>
      <c r="B78" s="92">
        <v>14</v>
      </c>
      <c r="C78" s="93">
        <v>123669</v>
      </c>
      <c r="D78" s="94">
        <v>47964</v>
      </c>
      <c r="E78" s="95">
        <v>50974</v>
      </c>
      <c r="F78" s="88"/>
      <c r="G78" s="92">
        <v>14</v>
      </c>
      <c r="H78" s="93">
        <v>123669</v>
      </c>
      <c r="I78" s="94">
        <v>48021</v>
      </c>
      <c r="J78" s="95">
        <v>51059</v>
      </c>
      <c r="K78" s="88"/>
      <c r="L78" s="91">
        <v>14</v>
      </c>
      <c r="M78" s="96">
        <f t="shared" si="2"/>
        <v>0</v>
      </c>
      <c r="N78" s="96">
        <f t="shared" si="2"/>
        <v>57</v>
      </c>
      <c r="O78" s="96">
        <f t="shared" si="2"/>
        <v>85</v>
      </c>
    </row>
    <row r="79" spans="1:15" ht="15.75" thickBot="1" x14ac:dyDescent="0.25">
      <c r="A79" s="88"/>
      <c r="B79" s="92">
        <v>15</v>
      </c>
      <c r="C79" s="93">
        <v>168024</v>
      </c>
      <c r="D79" s="94">
        <v>146784</v>
      </c>
      <c r="E79" s="95">
        <v>157945</v>
      </c>
      <c r="F79" s="88"/>
      <c r="G79" s="92">
        <v>15</v>
      </c>
      <c r="H79" s="93">
        <v>168733</v>
      </c>
      <c r="I79" s="94">
        <v>147882</v>
      </c>
      <c r="J79" s="95">
        <v>158384</v>
      </c>
      <c r="K79" s="88"/>
      <c r="L79" s="91">
        <v>15</v>
      </c>
      <c r="M79" s="96">
        <f t="shared" si="2"/>
        <v>709</v>
      </c>
      <c r="N79" s="96">
        <f t="shared" si="2"/>
        <v>1098</v>
      </c>
      <c r="O79" s="96">
        <f t="shared" si="2"/>
        <v>439</v>
      </c>
    </row>
    <row r="80" spans="1:15" ht="15.75" thickBot="1" x14ac:dyDescent="0.25">
      <c r="A80" s="88"/>
      <c r="B80" s="92">
        <v>16</v>
      </c>
      <c r="C80" s="93">
        <v>121689</v>
      </c>
      <c r="D80" s="94">
        <v>146910</v>
      </c>
      <c r="E80" s="95">
        <v>215419</v>
      </c>
      <c r="F80" s="88"/>
      <c r="G80" s="92">
        <v>16</v>
      </c>
      <c r="H80" s="93">
        <v>122105</v>
      </c>
      <c r="I80" s="94">
        <v>147353</v>
      </c>
      <c r="J80" s="95">
        <v>215915</v>
      </c>
      <c r="K80" s="88"/>
      <c r="L80" s="91">
        <v>16</v>
      </c>
      <c r="M80" s="96">
        <f t="shared" si="2"/>
        <v>416</v>
      </c>
      <c r="N80" s="96">
        <f t="shared" si="2"/>
        <v>443</v>
      </c>
      <c r="O80" s="96">
        <f t="shared" si="2"/>
        <v>496</v>
      </c>
    </row>
    <row r="81" spans="1:15" ht="15.75" thickBot="1" x14ac:dyDescent="0.25">
      <c r="A81" s="88"/>
      <c r="B81" s="92">
        <v>17</v>
      </c>
      <c r="C81" s="93">
        <v>38476</v>
      </c>
      <c r="D81" s="94">
        <v>85709</v>
      </c>
      <c r="E81" s="95">
        <v>202138</v>
      </c>
      <c r="F81" s="88"/>
      <c r="G81" s="92">
        <v>17</v>
      </c>
      <c r="H81" s="93">
        <v>38476</v>
      </c>
      <c r="I81" s="94">
        <v>85973</v>
      </c>
      <c r="J81" s="95">
        <v>202301</v>
      </c>
      <c r="K81" s="88"/>
      <c r="L81" s="91">
        <v>17</v>
      </c>
      <c r="M81" s="96">
        <f t="shared" si="2"/>
        <v>0</v>
      </c>
      <c r="N81" s="96">
        <f t="shared" si="2"/>
        <v>264</v>
      </c>
      <c r="O81" s="96">
        <f t="shared" si="2"/>
        <v>163</v>
      </c>
    </row>
    <row r="82" spans="1:15" ht="15.75" thickBot="1" x14ac:dyDescent="0.25">
      <c r="A82" s="88"/>
      <c r="B82" s="92">
        <v>18</v>
      </c>
      <c r="C82" s="93">
        <v>136428</v>
      </c>
      <c r="D82" s="94">
        <v>72401</v>
      </c>
      <c r="E82" s="95">
        <v>163080</v>
      </c>
      <c r="F82" s="88"/>
      <c r="G82" s="92">
        <v>18</v>
      </c>
      <c r="H82" s="93">
        <v>137137</v>
      </c>
      <c r="I82" s="94">
        <v>72631</v>
      </c>
      <c r="J82" s="95">
        <v>163470</v>
      </c>
      <c r="K82" s="88"/>
      <c r="L82" s="91">
        <v>18</v>
      </c>
      <c r="M82" s="96">
        <f t="shared" si="2"/>
        <v>709</v>
      </c>
      <c r="N82" s="96">
        <f t="shared" si="2"/>
        <v>230</v>
      </c>
      <c r="O82" s="96">
        <f t="shared" si="2"/>
        <v>390</v>
      </c>
    </row>
    <row r="83" spans="1:15" ht="15.75" thickBot="1" x14ac:dyDescent="0.25">
      <c r="A83" s="88"/>
      <c r="B83" s="92">
        <v>19</v>
      </c>
      <c r="C83" s="93">
        <v>75592</v>
      </c>
      <c r="D83" s="94">
        <v>170642</v>
      </c>
      <c r="E83" s="95">
        <v>122582</v>
      </c>
      <c r="F83" s="88"/>
      <c r="G83" s="92">
        <v>19</v>
      </c>
      <c r="H83" s="93">
        <v>75861</v>
      </c>
      <c r="I83" s="94">
        <v>170981</v>
      </c>
      <c r="J83" s="95">
        <v>123008</v>
      </c>
      <c r="K83" s="88"/>
      <c r="L83" s="91">
        <v>19</v>
      </c>
      <c r="M83" s="96">
        <f t="shared" si="2"/>
        <v>269</v>
      </c>
      <c r="N83" s="96">
        <f t="shared" si="2"/>
        <v>339</v>
      </c>
      <c r="O83" s="96">
        <f t="shared" si="2"/>
        <v>426</v>
      </c>
    </row>
    <row r="84" spans="1:15" ht="15.75" thickBot="1" x14ac:dyDescent="0.25">
      <c r="A84" s="88"/>
      <c r="B84" s="92">
        <v>20</v>
      </c>
      <c r="C84" s="93">
        <v>143123</v>
      </c>
      <c r="D84" s="94">
        <v>172307</v>
      </c>
      <c r="E84" s="95">
        <v>87542</v>
      </c>
      <c r="F84" s="88"/>
      <c r="G84" s="92">
        <v>20</v>
      </c>
      <c r="H84" s="93">
        <v>143584</v>
      </c>
      <c r="I84" s="94">
        <v>173650</v>
      </c>
      <c r="J84" s="95">
        <v>87544</v>
      </c>
      <c r="K84" s="88"/>
      <c r="L84" s="91">
        <v>20</v>
      </c>
      <c r="M84" s="96">
        <f>H84-C84</f>
        <v>461</v>
      </c>
      <c r="N84" s="96">
        <f t="shared" si="2"/>
        <v>1343</v>
      </c>
      <c r="O84" s="96">
        <f t="shared" si="2"/>
        <v>2</v>
      </c>
    </row>
    <row r="85" spans="1:15" ht="15.75" thickBot="1" x14ac:dyDescent="0.25">
      <c r="A85" s="88"/>
      <c r="B85" s="92">
        <v>21</v>
      </c>
      <c r="C85" s="93">
        <v>191497</v>
      </c>
      <c r="D85" s="94">
        <v>88590</v>
      </c>
      <c r="E85" s="95">
        <v>111731</v>
      </c>
      <c r="F85" s="88"/>
      <c r="G85" s="92">
        <v>21</v>
      </c>
      <c r="H85" s="93">
        <v>191812</v>
      </c>
      <c r="I85" s="94">
        <v>88967</v>
      </c>
      <c r="J85" s="95">
        <v>112440</v>
      </c>
      <c r="K85" s="88"/>
      <c r="L85" s="91">
        <v>21</v>
      </c>
      <c r="M85" s="96">
        <f t="shared" si="2"/>
        <v>315</v>
      </c>
      <c r="N85" s="96">
        <f t="shared" si="2"/>
        <v>377</v>
      </c>
      <c r="O85" s="96">
        <f t="shared" si="2"/>
        <v>709</v>
      </c>
    </row>
    <row r="86" spans="1:15" ht="15.75" thickBot="1" x14ac:dyDescent="0.25">
      <c r="A86" s="88"/>
      <c r="B86" s="92">
        <v>22</v>
      </c>
      <c r="C86" s="93">
        <v>134248</v>
      </c>
      <c r="D86" s="94">
        <v>92444</v>
      </c>
      <c r="E86" s="95">
        <v>118355</v>
      </c>
      <c r="F86" s="88"/>
      <c r="G86" s="92">
        <v>22</v>
      </c>
      <c r="H86" s="93">
        <v>135816</v>
      </c>
      <c r="I86" s="94">
        <v>93464</v>
      </c>
      <c r="J86" s="95">
        <v>119703</v>
      </c>
      <c r="K86" s="88"/>
      <c r="L86" s="91">
        <v>22</v>
      </c>
      <c r="M86" s="96">
        <f t="shared" si="2"/>
        <v>1568</v>
      </c>
      <c r="N86" s="96">
        <f t="shared" si="2"/>
        <v>1020</v>
      </c>
      <c r="O86" s="96">
        <f t="shared" si="2"/>
        <v>1348</v>
      </c>
    </row>
    <row r="87" spans="1:15" ht="15.75" thickBot="1" x14ac:dyDescent="0.25">
      <c r="A87" s="88"/>
      <c r="B87" s="92">
        <v>23</v>
      </c>
      <c r="C87" s="93">
        <v>127340</v>
      </c>
      <c r="D87" s="94">
        <v>154958</v>
      </c>
      <c r="E87" s="95">
        <v>287989</v>
      </c>
      <c r="F87" s="88"/>
      <c r="G87" s="92">
        <v>23</v>
      </c>
      <c r="H87" s="93">
        <v>127540</v>
      </c>
      <c r="I87" s="94">
        <v>154958</v>
      </c>
      <c r="J87" s="95">
        <v>288556</v>
      </c>
      <c r="K87" s="88"/>
      <c r="L87" s="91">
        <v>23</v>
      </c>
      <c r="M87" s="96">
        <f t="shared" si="2"/>
        <v>200</v>
      </c>
      <c r="N87" s="96">
        <f t="shared" si="2"/>
        <v>0</v>
      </c>
      <c r="O87" s="96">
        <f t="shared" si="2"/>
        <v>567</v>
      </c>
    </row>
    <row r="88" spans="1:15" ht="15.75" thickBot="1" x14ac:dyDescent="0.25">
      <c r="A88" s="88"/>
      <c r="B88" s="92">
        <v>24</v>
      </c>
      <c r="C88" s="93">
        <v>78540</v>
      </c>
      <c r="D88" s="94">
        <v>150112</v>
      </c>
      <c r="E88" s="95">
        <v>101403</v>
      </c>
      <c r="F88" s="88"/>
      <c r="G88" s="92">
        <v>24</v>
      </c>
      <c r="H88" s="93">
        <v>78661</v>
      </c>
      <c r="I88" s="94">
        <v>150148</v>
      </c>
      <c r="J88" s="95">
        <v>101484</v>
      </c>
      <c r="K88" s="88"/>
      <c r="L88" s="91">
        <v>24</v>
      </c>
      <c r="M88" s="96">
        <f t="shared" si="2"/>
        <v>121</v>
      </c>
      <c r="N88" s="96">
        <f t="shared" si="2"/>
        <v>36</v>
      </c>
      <c r="O88" s="96">
        <f>J88-E88</f>
        <v>81</v>
      </c>
    </row>
    <row r="89" spans="1:15" ht="15.75" thickBot="1" x14ac:dyDescent="0.25">
      <c r="A89" s="88"/>
      <c r="B89" s="92">
        <v>25</v>
      </c>
      <c r="C89" s="93">
        <v>120754</v>
      </c>
      <c r="D89" s="94">
        <v>179432</v>
      </c>
      <c r="E89" s="95">
        <v>160166</v>
      </c>
      <c r="F89" s="88"/>
      <c r="G89" s="92">
        <v>25</v>
      </c>
      <c r="H89" s="93">
        <v>120871</v>
      </c>
      <c r="I89" s="94">
        <v>179666</v>
      </c>
      <c r="J89" s="95">
        <v>161207</v>
      </c>
      <c r="K89" s="88"/>
      <c r="L89" s="91">
        <v>25</v>
      </c>
      <c r="M89" s="96">
        <f t="shared" si="2"/>
        <v>117</v>
      </c>
      <c r="N89" s="96">
        <f t="shared" si="2"/>
        <v>234</v>
      </c>
      <c r="O89" s="96">
        <f>J89-E89</f>
        <v>1041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51045</v>
      </c>
      <c r="E90" s="95">
        <v>52998</v>
      </c>
      <c r="F90" s="88"/>
      <c r="G90" s="92">
        <v>26</v>
      </c>
      <c r="H90" s="93">
        <v>113543</v>
      </c>
      <c r="I90" s="94">
        <v>51230</v>
      </c>
      <c r="J90" s="95">
        <v>53641</v>
      </c>
      <c r="K90" s="88"/>
      <c r="L90" s="91">
        <v>26</v>
      </c>
      <c r="M90" s="96">
        <f t="shared" si="2"/>
        <v>0</v>
      </c>
      <c r="N90" s="96">
        <f t="shared" si="2"/>
        <v>185</v>
      </c>
      <c r="O90" s="96">
        <f t="shared" si="2"/>
        <v>643</v>
      </c>
    </row>
    <row r="91" spans="1:15" ht="15.75" thickBot="1" x14ac:dyDescent="0.25">
      <c r="A91" s="88"/>
      <c r="B91" s="92">
        <v>27</v>
      </c>
      <c r="C91" s="93">
        <v>101625</v>
      </c>
      <c r="D91" s="94">
        <v>108090</v>
      </c>
      <c r="E91" s="95">
        <v>120198</v>
      </c>
      <c r="F91" s="88"/>
      <c r="G91" s="92">
        <v>27</v>
      </c>
      <c r="H91" s="93">
        <v>101868</v>
      </c>
      <c r="I91" s="94">
        <v>108637</v>
      </c>
      <c r="J91" s="152"/>
      <c r="K91" s="88"/>
      <c r="L91" s="91">
        <v>27</v>
      </c>
      <c r="M91" s="96">
        <f t="shared" si="2"/>
        <v>243</v>
      </c>
      <c r="N91" s="96">
        <f t="shared" si="2"/>
        <v>547</v>
      </c>
      <c r="O91" s="96">
        <f t="shared" si="2"/>
        <v>-120198</v>
      </c>
    </row>
    <row r="92" spans="1:15" ht="15.75" thickBot="1" x14ac:dyDescent="0.25">
      <c r="A92" s="88"/>
      <c r="B92" s="92">
        <v>28</v>
      </c>
      <c r="C92" s="93">
        <v>194490</v>
      </c>
      <c r="D92" s="94">
        <v>102133</v>
      </c>
      <c r="E92" s="95">
        <v>110299</v>
      </c>
      <c r="F92" s="88"/>
      <c r="G92" s="92">
        <v>28</v>
      </c>
      <c r="H92" s="93">
        <v>194772</v>
      </c>
      <c r="I92" s="94">
        <v>102294</v>
      </c>
      <c r="J92" s="95">
        <v>110425</v>
      </c>
      <c r="K92" s="88"/>
      <c r="L92" s="91">
        <v>28</v>
      </c>
      <c r="M92" s="96">
        <f t="shared" si="2"/>
        <v>282</v>
      </c>
      <c r="N92" s="96">
        <f t="shared" si="2"/>
        <v>161</v>
      </c>
      <c r="O92" s="96">
        <f t="shared" si="2"/>
        <v>126</v>
      </c>
    </row>
    <row r="93" spans="1:15" ht="15.75" thickBot="1" x14ac:dyDescent="0.25">
      <c r="A93" s="88"/>
      <c r="B93" s="92">
        <v>29</v>
      </c>
      <c r="C93" s="93"/>
      <c r="D93" s="94">
        <v>82120</v>
      </c>
      <c r="E93" s="95"/>
      <c r="F93" s="88"/>
      <c r="G93" s="92">
        <v>29</v>
      </c>
      <c r="H93" s="93"/>
      <c r="I93" s="94">
        <v>83061</v>
      </c>
      <c r="J93" s="95"/>
      <c r="K93" s="88"/>
      <c r="L93" s="91">
        <v>29</v>
      </c>
      <c r="M93" s="96">
        <f t="shared" si="2"/>
        <v>0</v>
      </c>
      <c r="N93" s="96">
        <f t="shared" si="2"/>
        <v>941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2021-08-03T02:19:18Z</dcterms:modified>
</cp:coreProperties>
</file>