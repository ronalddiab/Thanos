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860" documentId="8_{94E09A37-EE3F-4C9E-A72D-0ED23F721CEB}" xr6:coauthVersionLast="47" xr6:coauthVersionMax="47" xr10:uidLastSave="{EA6855C2-C9ED-45B5-80D1-C1DDA5E6FA55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4" i="1" l="1"/>
  <c r="AF25" i="1"/>
  <c r="AF26" i="1"/>
  <c r="AF27" i="1"/>
  <c r="AF28" i="1"/>
  <c r="AF29" i="1"/>
  <c r="AF30" i="1"/>
  <c r="AF31" i="1"/>
  <c r="AD24" i="1"/>
  <c r="AD25" i="1"/>
  <c r="AD26" i="1"/>
  <c r="AD27" i="1"/>
  <c r="AD28" i="1"/>
  <c r="AD29" i="1"/>
  <c r="AD30" i="1"/>
  <c r="AD31" i="1"/>
  <c r="AB24" i="1"/>
  <c r="AB25" i="1"/>
  <c r="AB26" i="1"/>
  <c r="AB27" i="1"/>
  <c r="AB28" i="1"/>
  <c r="AB29" i="1"/>
  <c r="AB30" i="1"/>
  <c r="AB31" i="1"/>
  <c r="U24" i="1"/>
  <c r="U25" i="1"/>
  <c r="U26" i="1"/>
  <c r="U27" i="1"/>
  <c r="U28" i="1"/>
  <c r="U29" i="1"/>
  <c r="U30" i="1"/>
  <c r="U31" i="1"/>
  <c r="Q24" i="1"/>
  <c r="Q25" i="1"/>
  <c r="Q26" i="1"/>
  <c r="Q27" i="1"/>
  <c r="Q28" i="1"/>
  <c r="Q29" i="1"/>
  <c r="Q30" i="1"/>
  <c r="Q31" i="1"/>
  <c r="O24" i="1"/>
  <c r="O25" i="1"/>
  <c r="O26" i="1"/>
  <c r="O27" i="1"/>
  <c r="O28" i="1"/>
  <c r="O29" i="1"/>
  <c r="O30" i="1"/>
  <c r="O31" i="1"/>
  <c r="K24" i="1"/>
  <c r="K25" i="1"/>
  <c r="K26" i="1"/>
  <c r="K27" i="1"/>
  <c r="K28" i="1"/>
  <c r="K29" i="1"/>
  <c r="K30" i="1"/>
  <c r="K31" i="1"/>
  <c r="G24" i="1"/>
  <c r="G25" i="1"/>
  <c r="G26" i="1"/>
  <c r="G27" i="1"/>
  <c r="G28" i="1"/>
  <c r="G29" i="1"/>
  <c r="G30" i="1"/>
  <c r="G31" i="1"/>
  <c r="E24" i="1"/>
  <c r="E25" i="1"/>
  <c r="E26" i="1"/>
  <c r="E27" i="1"/>
  <c r="E28" i="1"/>
  <c r="E29" i="1"/>
  <c r="E30" i="1"/>
  <c r="E31" i="1"/>
  <c r="C24" i="1"/>
  <c r="C25" i="1"/>
  <c r="C26" i="1"/>
  <c r="C27" i="1"/>
  <c r="C28" i="1"/>
  <c r="C29" i="1"/>
  <c r="C30" i="1"/>
  <c r="C31" i="1"/>
  <c r="M25" i="1"/>
  <c r="M26" i="1"/>
  <c r="M27" i="1"/>
  <c r="M28" i="1"/>
  <c r="M29" i="1"/>
  <c r="M30" i="1"/>
  <c r="M31" i="1"/>
  <c r="M24" i="1"/>
  <c r="AF17" i="1"/>
  <c r="AF18" i="1"/>
  <c r="AF19" i="1"/>
  <c r="AF20" i="1"/>
  <c r="AF21" i="1"/>
  <c r="AF22" i="1"/>
  <c r="AF23" i="1"/>
  <c r="AD17" i="1"/>
  <c r="AD18" i="1"/>
  <c r="AD19" i="1"/>
  <c r="AD20" i="1"/>
  <c r="AD21" i="1"/>
  <c r="AD22" i="1"/>
  <c r="AD23" i="1"/>
  <c r="AB17" i="1"/>
  <c r="AB18" i="1"/>
  <c r="AB19" i="1"/>
  <c r="AB20" i="1"/>
  <c r="AB21" i="1"/>
  <c r="AB22" i="1"/>
  <c r="AB23" i="1"/>
  <c r="U17" i="1"/>
  <c r="U18" i="1"/>
  <c r="U19" i="1"/>
  <c r="U20" i="1"/>
  <c r="U21" i="1"/>
  <c r="U22" i="1"/>
  <c r="U23" i="1"/>
  <c r="Q17" i="1"/>
  <c r="Q18" i="1"/>
  <c r="Q19" i="1"/>
  <c r="Q20" i="1"/>
  <c r="Q21" i="1"/>
  <c r="Q22" i="1"/>
  <c r="Q23" i="1"/>
  <c r="O17" i="1"/>
  <c r="O18" i="1"/>
  <c r="O19" i="1"/>
  <c r="O20" i="1"/>
  <c r="O21" i="1"/>
  <c r="O22" i="1"/>
  <c r="O23" i="1"/>
  <c r="M17" i="1"/>
  <c r="M18" i="1"/>
  <c r="M19" i="1"/>
  <c r="M20" i="1"/>
  <c r="M21" i="1"/>
  <c r="M22" i="1"/>
  <c r="M23" i="1"/>
  <c r="K17" i="1"/>
  <c r="K18" i="1"/>
  <c r="K19" i="1"/>
  <c r="K20" i="1"/>
  <c r="K21" i="1"/>
  <c r="K22" i="1"/>
  <c r="K23" i="1"/>
  <c r="G17" i="1"/>
  <c r="G18" i="1"/>
  <c r="G19" i="1"/>
  <c r="G20" i="1"/>
  <c r="G21" i="1"/>
  <c r="G22" i="1"/>
  <c r="G23" i="1"/>
  <c r="E17" i="1"/>
  <c r="E18" i="1"/>
  <c r="E19" i="1"/>
  <c r="E20" i="1"/>
  <c r="E21" i="1"/>
  <c r="E22" i="1"/>
  <c r="E23" i="1"/>
  <c r="C17" i="1"/>
  <c r="C18" i="1"/>
  <c r="C19" i="1"/>
  <c r="C20" i="1"/>
  <c r="C21" i="1"/>
  <c r="C22" i="1"/>
  <c r="C23" i="1"/>
  <c r="K11" i="1"/>
  <c r="AF10" i="1"/>
  <c r="AF11" i="1"/>
  <c r="AF12" i="1"/>
  <c r="AF13" i="1"/>
  <c r="AF14" i="1"/>
  <c r="AF15" i="1"/>
  <c r="AF16" i="1"/>
  <c r="AD10" i="1"/>
  <c r="AD11" i="1"/>
  <c r="AD12" i="1"/>
  <c r="AD13" i="1"/>
  <c r="AD14" i="1"/>
  <c r="AD15" i="1"/>
  <c r="AD16" i="1"/>
  <c r="AB10" i="1"/>
  <c r="AB11" i="1"/>
  <c r="AB12" i="1"/>
  <c r="AB13" i="1"/>
  <c r="AB14" i="1"/>
  <c r="AB15" i="1"/>
  <c r="AB16" i="1"/>
  <c r="U10" i="1"/>
  <c r="U11" i="1"/>
  <c r="U12" i="1"/>
  <c r="U13" i="1"/>
  <c r="U14" i="1"/>
  <c r="U15" i="1"/>
  <c r="U16" i="1"/>
  <c r="Q10" i="1"/>
  <c r="Q11" i="1"/>
  <c r="Q12" i="1"/>
  <c r="Q13" i="1"/>
  <c r="Q14" i="1"/>
  <c r="Q15" i="1"/>
  <c r="Q16" i="1"/>
  <c r="O10" i="1"/>
  <c r="O11" i="1"/>
  <c r="O12" i="1"/>
  <c r="O13" i="1"/>
  <c r="O14" i="1"/>
  <c r="O15" i="1"/>
  <c r="O16" i="1"/>
  <c r="M10" i="1"/>
  <c r="M11" i="1"/>
  <c r="M12" i="1"/>
  <c r="M13" i="1"/>
  <c r="M14" i="1"/>
  <c r="M15" i="1"/>
  <c r="M16" i="1"/>
  <c r="K10" i="1"/>
  <c r="K12" i="1"/>
  <c r="K13" i="1"/>
  <c r="K14" i="1"/>
  <c r="K15" i="1"/>
  <c r="K16" i="1"/>
  <c r="G10" i="1"/>
  <c r="G11" i="1"/>
  <c r="G12" i="1"/>
  <c r="G13" i="1"/>
  <c r="G14" i="1"/>
  <c r="G15" i="1"/>
  <c r="G16" i="1"/>
  <c r="E10" i="1"/>
  <c r="E11" i="1"/>
  <c r="E12" i="1"/>
  <c r="E13" i="1"/>
  <c r="E14" i="1"/>
  <c r="E15" i="1"/>
  <c r="E16" i="1"/>
  <c r="C10" i="1"/>
  <c r="C11" i="1"/>
  <c r="C12" i="1"/>
  <c r="C13" i="1"/>
  <c r="C14" i="1"/>
  <c r="C15" i="1"/>
  <c r="C16" i="1"/>
  <c r="AF4" i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U4" i="1"/>
  <c r="U5" i="1"/>
  <c r="U6" i="1"/>
  <c r="U7" i="1"/>
  <c r="U8" i="1"/>
  <c r="U9" i="1"/>
  <c r="Q4" i="1"/>
  <c r="Q5" i="1"/>
  <c r="Q6" i="1"/>
  <c r="Q7" i="1"/>
  <c r="Q8" i="1"/>
  <c r="Q9" i="1"/>
  <c r="O4" i="1"/>
  <c r="O5" i="1"/>
  <c r="O6" i="1"/>
  <c r="O7" i="1"/>
  <c r="O8" i="1"/>
  <c r="O9" i="1"/>
  <c r="K4" i="1"/>
  <c r="K5" i="1"/>
  <c r="K6" i="1"/>
  <c r="K7" i="1"/>
  <c r="K8" i="1"/>
  <c r="K9" i="1"/>
  <c r="M4" i="1"/>
  <c r="M5" i="1"/>
  <c r="M6" i="1"/>
  <c r="M7" i="1"/>
  <c r="M8" i="1"/>
  <c r="M9" i="1"/>
  <c r="G4" i="1" l="1"/>
  <c r="G5" i="1"/>
  <c r="G6" i="1"/>
  <c r="G7" i="1"/>
  <c r="G8" i="1"/>
  <c r="G9" i="1"/>
  <c r="E4" i="1"/>
  <c r="E5" i="1"/>
  <c r="E6" i="1"/>
  <c r="E7" i="1"/>
  <c r="E8" i="1"/>
  <c r="E9" i="1"/>
  <c r="C4" i="1"/>
  <c r="C5" i="1"/>
  <c r="C6" i="1"/>
  <c r="C7" i="1"/>
  <c r="C8" i="1"/>
  <c r="C9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2"/>
  <c r="AH34" i="1" l="1"/>
  <c r="Y34" i="1"/>
  <c r="AK34" i="1"/>
  <c r="AJ34" i="1"/>
  <c r="AI34" i="1"/>
  <c r="K2" i="1"/>
  <c r="M2" i="1"/>
  <c r="O2" i="1"/>
  <c r="Q2" i="1"/>
  <c r="R2" i="1"/>
  <c r="U2" i="1"/>
  <c r="K2" i="2" s="1"/>
  <c r="X2" i="1"/>
  <c r="AB2" i="1"/>
  <c r="I2" i="2" s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1" i="1" l="1"/>
  <c r="Z30" i="1"/>
  <c r="Z29" i="1"/>
  <c r="Z28" i="1"/>
  <c r="Z27" i="1"/>
  <c r="Z26" i="1"/>
  <c r="Z24" i="1"/>
  <c r="Z25" i="1"/>
  <c r="G25" i="2" s="1"/>
  <c r="Z23" i="1"/>
  <c r="Z22" i="1"/>
  <c r="Z21" i="1"/>
  <c r="Z20" i="1"/>
  <c r="Z19" i="1"/>
  <c r="Z17" i="1"/>
  <c r="Z18" i="1"/>
  <c r="G18" i="2" s="1"/>
  <c r="Z16" i="1"/>
  <c r="Z15" i="1"/>
  <c r="Z14" i="1"/>
  <c r="Z13" i="1"/>
  <c r="Z12" i="1"/>
  <c r="Z10" i="1"/>
  <c r="Z11" i="1"/>
  <c r="G11" i="2" s="1"/>
  <c r="Z9" i="1"/>
  <c r="G9" i="2" s="1"/>
  <c r="Z8" i="1"/>
  <c r="G8" i="2" s="1"/>
  <c r="Z7" i="1"/>
  <c r="G7" i="2" s="1"/>
  <c r="Z6" i="1"/>
  <c r="G6" i="2" s="1"/>
  <c r="Z5" i="1"/>
  <c r="G5" i="2" s="1"/>
  <c r="Z4" i="1"/>
  <c r="G4" i="2" s="1"/>
  <c r="G31" i="2"/>
  <c r="G30" i="2"/>
  <c r="G29" i="2"/>
  <c r="G28" i="2"/>
  <c r="G27" i="2"/>
  <c r="G26" i="2"/>
  <c r="G24" i="2"/>
  <c r="G23" i="2"/>
  <c r="G22" i="2"/>
  <c r="G20" i="2"/>
  <c r="G21" i="2"/>
  <c r="G19" i="2"/>
  <c r="G17" i="2"/>
  <c r="G16" i="2"/>
  <c r="G15" i="2"/>
  <c r="G13" i="2"/>
  <c r="G14" i="2"/>
  <c r="U34" i="1"/>
  <c r="Z3" i="1"/>
  <c r="G3" i="2" s="1"/>
  <c r="Z2" i="1"/>
  <c r="G2" i="2" s="1"/>
  <c r="G10" i="2"/>
  <c r="G12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G2" i="1"/>
  <c r="E3" i="1"/>
  <c r="E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C2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H2" i="1"/>
  <c r="E2" i="2" s="1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<sst xmlns="http://schemas.openxmlformats.org/spreadsheetml/2006/main" count="81" uniqueCount="41">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</sst>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35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G1" sqref="G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4" customWidth="1"/>
    <col min="6" max="6" width="12.5703125" style="126" customWidth="1"/>
    <col min="7" max="7" width="8.85546875" style="129"/>
    <col min="8" max="8" width="8.85546875" style="131"/>
    <col min="9" max="10" width="8.85546875" style="135"/>
    <col min="11" max="12" width="12.28515625" style="139" bestFit="1" customWidth="1"/>
    <col min="13" max="13" width="8.85546875" style="142"/>
    <col min="14" max="14" width="11.5703125" style="142" customWidth="1"/>
    <col min="15" max="16384" width="8.85546875" style="5"/>
  </cols>
  <sheetData>
    <row r="1" spans="1:14" ht="75.75" thickBot="1" x14ac:dyDescent="0.25">
      <c r="A1" s="121" t="s">
        <v>0</v>
      </c>
      <c r="B1" s="121" t="s">
        <v>1</v>
      </c>
      <c r="C1" s="143" t="s">
        <v>2</v>
      </c>
      <c r="D1" s="143" t="s">
        <v>3</v>
      </c>
      <c r="E1" s="122" t="s">
        <v>4</v>
      </c>
      <c r="F1" s="123" t="s">
        <v>5</v>
      </c>
      <c r="G1" s="127" t="s">
        <v>6</v>
      </c>
      <c r="H1" s="128" t="s">
        <v>40</v>
      </c>
      <c r="I1" s="132" t="s">
        <v>7</v>
      </c>
      <c r="J1" s="132" t="s">
        <v>8</v>
      </c>
      <c r="K1" s="136" t="s">
        <v>9</v>
      </c>
      <c r="L1" s="136" t="s">
        <v>10</v>
      </c>
      <c r="M1" s="140" t="s">
        <v>11</v>
      </c>
      <c r="N1" s="140" t="s">
        <v>12</v>
      </c>
    </row>
    <row r="2" spans="1:14" ht="15.75" thickTop="1" x14ac:dyDescent="0.25">
      <c r="A2" s="120" t="s">
        <v>13</v>
      </c>
      <c r="B2" s="5">
        <v>1</v>
      </c>
      <c r="C2" s="144">
        <v>9</v>
      </c>
      <c r="D2" s="145">
        <v>2024</v>
      </c>
      <c r="E2" s="124">
        <f>IF(ALMYRA!H2&lt;0,"0",ALMYRA!H2)</f>
        <v>7792</v>
      </c>
      <c r="F2" s="125">
        <f>(ALMYRA!C2*0.24)/E2</f>
        <v>0.17411704312114989</v>
      </c>
      <c r="G2" s="129">
        <f>ALMYRA!Z2</f>
        <v>200</v>
      </c>
      <c r="H2" s="130">
        <v>0.65800000000000003</v>
      </c>
      <c r="I2" s="133">
        <f>IF(ALMYRA!AB2&lt;0,"0",ALMYRA!AB2)</f>
        <v>82</v>
      </c>
      <c r="J2" s="134">
        <v>2.4</v>
      </c>
      <c r="K2" s="137">
        <f>ALMYRA!U2</f>
        <v>116</v>
      </c>
      <c r="L2" s="138">
        <v>0.88</v>
      </c>
      <c r="M2" s="141">
        <f>ALMYRA!AJ2</f>
        <v>104</v>
      </c>
      <c r="N2" s="141">
        <f>ALMYRA!AK2</f>
        <v>220</v>
      </c>
    </row>
    <row r="3" spans="1:14" ht="15" x14ac:dyDescent="0.25">
      <c r="A3" s="120" t="s">
        <v>13</v>
      </c>
      <c r="B3" s="5">
        <f>B2+1</f>
        <v>2</v>
      </c>
      <c r="C3" s="144">
        <v>9</v>
      </c>
      <c r="D3" s="145">
        <v>2024</v>
      </c>
      <c r="E3" s="124">
        <f>IF(ALMYRA!H3&lt;0,"0",ALMYRA!H3)</f>
        <v>8060</v>
      </c>
      <c r="F3" s="125">
        <f>(ALMYRA!C3*0.24)/E3</f>
        <v>0.173985111662531</v>
      </c>
      <c r="G3" s="129">
        <f>ALMYRA!Z3</f>
        <v>133.71000000000004</v>
      </c>
      <c r="H3" s="130">
        <v>0.65800000000000003</v>
      </c>
      <c r="I3" s="133">
        <f>IF(ALMYRA!AB3&lt;0,"0",ALMYRA!AB3)</f>
        <v>71</v>
      </c>
      <c r="J3" s="134">
        <v>2.4</v>
      </c>
      <c r="K3" s="137">
        <f>ALMYRA!U3</f>
        <v>97</v>
      </c>
      <c r="L3" s="138">
        <v>0.88</v>
      </c>
      <c r="M3" s="141">
        <f>ALMYRA!AJ3</f>
        <v>100</v>
      </c>
      <c r="N3" s="141">
        <f>ALMYRA!AK3</f>
        <v>203</v>
      </c>
    </row>
    <row r="4" spans="1:14" ht="15" x14ac:dyDescent="0.25">
      <c r="A4" s="120" t="s">
        <v>13</v>
      </c>
      <c r="B4" s="5">
        <f t="shared" ref="B4:B31" si="0">B3+1</f>
        <v>3</v>
      </c>
      <c r="C4" s="144">
        <v>9</v>
      </c>
      <c r="D4" s="145">
        <v>2024</v>
      </c>
      <c r="E4" s="124">
        <f>IF(ALMYRA!H4&lt;0,"0",ALMYRA!H4)</f>
        <v>7477</v>
      </c>
      <c r="F4" s="125">
        <f>(ALMYRA!C4*0.24)/E4</f>
        <v>0.16742543800989701</v>
      </c>
      <c r="G4" s="129">
        <f>ALMYRA!Z4</f>
        <v>175</v>
      </c>
      <c r="H4" s="130">
        <v>0.65800000000000003</v>
      </c>
      <c r="I4" s="133">
        <f>IF(ALMYRA!AB4&lt;0,"0",ALMYRA!AB4)</f>
        <v>70</v>
      </c>
      <c r="J4" s="134">
        <v>2.4</v>
      </c>
      <c r="K4" s="137">
        <f>ALMYRA!U4</f>
        <v>97</v>
      </c>
      <c r="L4" s="138">
        <v>0.88</v>
      </c>
      <c r="M4" s="141">
        <f>ALMYRA!AJ4</f>
        <v>107</v>
      </c>
      <c r="N4" s="141">
        <f>ALMYRA!AK4</f>
        <v>214</v>
      </c>
    </row>
    <row r="5" spans="1:14" ht="15" x14ac:dyDescent="0.25">
      <c r="A5" s="120" t="s">
        <v>13</v>
      </c>
      <c r="B5" s="5">
        <f t="shared" si="0"/>
        <v>4</v>
      </c>
      <c r="C5" s="144">
        <v>9</v>
      </c>
      <c r="D5" s="145">
        <v>2024</v>
      </c>
      <c r="E5" s="124">
        <f>IF(ALMYRA!H5&lt;0,"0",ALMYRA!H5)</f>
        <v>7910</v>
      </c>
      <c r="F5" s="125">
        <f>(ALMYRA!C5*0.24)/E5</f>
        <v>0.17752718078381796</v>
      </c>
      <c r="G5" s="129">
        <f>ALMYRA!Z5</f>
        <v>125</v>
      </c>
      <c r="H5" s="130">
        <v>0.65800000000000003</v>
      </c>
      <c r="I5" s="133">
        <f>IF(ALMYRA!AB5&lt;0,"0",ALMYRA!AB5)</f>
        <v>65</v>
      </c>
      <c r="J5" s="134">
        <v>2.4</v>
      </c>
      <c r="K5" s="137">
        <f>ALMYRA!U5</f>
        <v>0</v>
      </c>
      <c r="L5" s="138">
        <v>0.88</v>
      </c>
      <c r="M5" s="141">
        <f>ALMYRA!AJ5</f>
        <v>120</v>
      </c>
      <c r="N5" s="141">
        <f>ALMYRA!AK5</f>
        <v>245</v>
      </c>
    </row>
    <row r="6" spans="1:14" ht="15" x14ac:dyDescent="0.25">
      <c r="A6" s="120" t="s">
        <v>13</v>
      </c>
      <c r="B6" s="5">
        <f t="shared" si="0"/>
        <v>5</v>
      </c>
      <c r="C6" s="144">
        <v>9</v>
      </c>
      <c r="D6" s="145">
        <v>2024</v>
      </c>
      <c r="E6" s="124">
        <f>IF(ALMYRA!H6&lt;0,"0",ALMYRA!H6)</f>
        <v>8715</v>
      </c>
      <c r="F6" s="125">
        <f>(ALMYRA!C6*0.24)/E6</f>
        <v>0.17850602409638552</v>
      </c>
      <c r="G6" s="129">
        <f>ALMYRA!Z6</f>
        <v>150</v>
      </c>
      <c r="H6" s="130">
        <v>0.65800000000000003</v>
      </c>
      <c r="I6" s="133">
        <f>IF(ALMYRA!AB6&lt;0,"0",ALMYRA!AB6)</f>
        <v>84</v>
      </c>
      <c r="J6" s="134">
        <v>2.4</v>
      </c>
      <c r="K6" s="137">
        <f>ALMYRA!U6</f>
        <v>96</v>
      </c>
      <c r="L6" s="138">
        <v>0.88</v>
      </c>
      <c r="M6" s="141">
        <f>ALMYRA!AJ6</f>
        <v>129</v>
      </c>
      <c r="N6" s="141">
        <f>ALMYRA!AK6</f>
        <v>257</v>
      </c>
    </row>
    <row r="7" spans="1:14" ht="15" x14ac:dyDescent="0.25">
      <c r="A7" s="120" t="s">
        <v>13</v>
      </c>
      <c r="B7" s="5">
        <f t="shared" si="0"/>
        <v>6</v>
      </c>
      <c r="C7" s="144">
        <v>9</v>
      </c>
      <c r="D7" s="145">
        <v>2024</v>
      </c>
      <c r="E7" s="124">
        <f>IF(ALMYRA!H7&lt;0,"0",ALMYRA!H7)</f>
        <v>9218</v>
      </c>
      <c r="F7" s="125">
        <f>(ALMYRA!C7*0.24)/E7</f>
        <v>0.18136689086569754</v>
      </c>
      <c r="G7" s="129">
        <f>ALMYRA!Z7</f>
        <v>50.000000000000455</v>
      </c>
      <c r="H7" s="130">
        <v>0.65800000000000003</v>
      </c>
      <c r="I7" s="133">
        <f>IF(ALMYRA!AB7&lt;0,"0",ALMYRA!AB7)</f>
        <v>92</v>
      </c>
      <c r="J7" s="134">
        <v>2.4</v>
      </c>
      <c r="K7" s="137">
        <f>ALMYRA!U7</f>
        <v>0</v>
      </c>
      <c r="L7" s="138">
        <v>0.88</v>
      </c>
      <c r="M7" s="141">
        <f>ALMYRA!AJ7</f>
        <v>157</v>
      </c>
      <c r="N7" s="141">
        <f>ALMYRA!AK7</f>
        <v>312</v>
      </c>
    </row>
    <row r="8" spans="1:14" ht="15" x14ac:dyDescent="0.25">
      <c r="A8" s="120" t="s">
        <v>13</v>
      </c>
      <c r="B8" s="5">
        <f t="shared" si="0"/>
        <v>7</v>
      </c>
      <c r="C8" s="144">
        <v>9</v>
      </c>
      <c r="D8" s="145">
        <v>2024</v>
      </c>
      <c r="E8" s="124">
        <f>IF(ALMYRA!H8&lt;0,"0",ALMYRA!H8)</f>
        <v>9512</v>
      </c>
      <c r="F8" s="125">
        <f>(ALMYRA!C8*0.24)/E8</f>
        <v>0.1848444070647603</v>
      </c>
      <c r="G8" s="129">
        <f>ALMYRA!Z8</f>
        <v>249.99999999999955</v>
      </c>
      <c r="H8" s="130">
        <v>0.65800000000000003</v>
      </c>
      <c r="I8" s="133">
        <f>IF(ALMYRA!AB8&lt;0,"0",ALMYRA!AB8)</f>
        <v>86</v>
      </c>
      <c r="J8" s="134">
        <v>2.4</v>
      </c>
      <c r="K8" s="137">
        <f>ALMYRA!U8</f>
        <v>97</v>
      </c>
      <c r="L8" s="138">
        <v>0.88</v>
      </c>
      <c r="M8" s="141">
        <f>ALMYRA!AJ8</f>
        <v>175</v>
      </c>
      <c r="N8" s="141">
        <f>ALMYRA!AK8</f>
        <v>351</v>
      </c>
    </row>
    <row r="9" spans="1:14" ht="15" x14ac:dyDescent="0.25">
      <c r="A9" s="120" t="s">
        <v>13</v>
      </c>
      <c r="B9" s="5">
        <f t="shared" si="0"/>
        <v>8</v>
      </c>
      <c r="C9" s="144">
        <v>9</v>
      </c>
      <c r="D9" s="145">
        <v>2024</v>
      </c>
      <c r="E9" s="124">
        <f>IF(ALMYRA!H9&lt;0,"0",ALMYRA!H9)</f>
        <v>9656</v>
      </c>
      <c r="F9" s="125">
        <f>(ALMYRA!C9*0.24)/E9</f>
        <v>0.18524440762220382</v>
      </c>
      <c r="G9" s="129">
        <f>ALMYRA!Z9</f>
        <v>200</v>
      </c>
      <c r="H9" s="130">
        <v>0.65800000000000003</v>
      </c>
      <c r="I9" s="133">
        <f>IF(ALMYRA!AB9&lt;0,"0",ALMYRA!AB9)</f>
        <v>92</v>
      </c>
      <c r="J9" s="134">
        <v>2.4</v>
      </c>
      <c r="K9" s="137">
        <f>ALMYRA!U9</f>
        <v>191</v>
      </c>
      <c r="L9" s="138">
        <v>0.88</v>
      </c>
      <c r="M9" s="141">
        <f>ALMYRA!AJ9</f>
        <v>145</v>
      </c>
      <c r="N9" s="141">
        <f>ALMYRA!AK9</f>
        <v>276</v>
      </c>
    </row>
    <row r="10" spans="1:14" ht="15" x14ac:dyDescent="0.25">
      <c r="A10" s="120" t="s">
        <v>13</v>
      </c>
      <c r="B10" s="5">
        <f t="shared" si="0"/>
        <v>9</v>
      </c>
      <c r="C10" s="144">
        <v>9</v>
      </c>
      <c r="D10" s="145">
        <v>2024</v>
      </c>
      <c r="E10" s="124">
        <f>IF(ALMYRA!H10&lt;0,"0",ALMYRA!H10)</f>
        <v>8541</v>
      </c>
      <c r="F10" s="125">
        <f>(ALMYRA!C10*0.24)/E10</f>
        <v>0.17781524411661398</v>
      </c>
      <c r="G10" s="129">
        <f>ALMYRA!Z10</f>
        <v>148.42000000000007</v>
      </c>
      <c r="H10" s="130">
        <v>0.65800000000000003</v>
      </c>
      <c r="I10" s="133">
        <f>IF(ALMYRA!AB10&lt;0,"0",ALMYRA!AB10)</f>
        <v>80</v>
      </c>
      <c r="J10" s="134">
        <v>2.4</v>
      </c>
      <c r="K10" s="137">
        <f>ALMYRA!U10</f>
        <v>0</v>
      </c>
      <c r="L10" s="138">
        <v>0.88</v>
      </c>
      <c r="M10" s="141">
        <f>ALMYRA!AJ10</f>
        <v>161</v>
      </c>
      <c r="N10" s="141">
        <f>ALMYRA!AK10</f>
        <v>269</v>
      </c>
    </row>
    <row r="11" spans="1:14" ht="15" x14ac:dyDescent="0.25">
      <c r="A11" s="120" t="s">
        <v>13</v>
      </c>
      <c r="B11" s="5">
        <f t="shared" si="0"/>
        <v>10</v>
      </c>
      <c r="C11" s="144">
        <v>9</v>
      </c>
      <c r="D11" s="145">
        <v>2024</v>
      </c>
      <c r="E11" s="124">
        <f>IF(ALMYRA!H11&lt;0,"0",ALMYRA!H11)</f>
        <v>8690</v>
      </c>
      <c r="F11" s="125">
        <f>(ALMYRA!C11*0.24)/E11</f>
        <v>0.17788722669735327</v>
      </c>
      <c r="G11" s="129">
        <f>ALMYRA!Z11</f>
        <v>225</v>
      </c>
      <c r="H11" s="130">
        <v>0.65800000000000003</v>
      </c>
      <c r="I11" s="133">
        <f>IF(ALMYRA!AB11&lt;0,"0",ALMYRA!AB11)</f>
        <v>81</v>
      </c>
      <c r="J11" s="134">
        <v>2.4</v>
      </c>
      <c r="K11" s="137">
        <f>ALMYRA!U11</f>
        <v>95</v>
      </c>
      <c r="L11" s="138">
        <v>0.88</v>
      </c>
      <c r="M11" s="141">
        <f>ALMYRA!AJ11</f>
        <v>157</v>
      </c>
      <c r="N11" s="141">
        <f>ALMYRA!AK11</f>
        <v>289</v>
      </c>
    </row>
    <row r="12" spans="1:14" ht="15" x14ac:dyDescent="0.25">
      <c r="A12" s="120" t="s">
        <v>13</v>
      </c>
      <c r="B12" s="5">
        <f t="shared" si="0"/>
        <v>11</v>
      </c>
      <c r="C12" s="144">
        <v>9</v>
      </c>
      <c r="D12" s="145">
        <v>2024</v>
      </c>
      <c r="E12" s="124">
        <f>IF(ALMYRA!H12&lt;0,"0",ALMYRA!H12)</f>
        <v>9237</v>
      </c>
      <c r="F12" s="125">
        <f>(ALMYRA!C12*0.24)/E12</f>
        <v>0.1821370574861968</v>
      </c>
      <c r="G12" s="129">
        <f>ALMYRA!Z12</f>
        <v>200</v>
      </c>
      <c r="H12" s="130">
        <v>0.65800000000000003</v>
      </c>
      <c r="I12" s="133">
        <f>IF(ALMYRA!AB12&lt;0,"0",ALMYRA!AB12)</f>
        <v>87</v>
      </c>
      <c r="J12" s="134">
        <v>2.4</v>
      </c>
      <c r="K12" s="137">
        <f>ALMYRA!U12</f>
        <v>188</v>
      </c>
      <c r="L12" s="138">
        <v>0.88</v>
      </c>
      <c r="M12" s="141">
        <f>ALMYRA!AJ12</f>
        <v>152</v>
      </c>
      <c r="N12" s="141">
        <f>ALMYRA!AK12</f>
        <v>292</v>
      </c>
    </row>
    <row r="13" spans="1:14" ht="15" x14ac:dyDescent="0.25">
      <c r="A13" s="120" t="s">
        <v>13</v>
      </c>
      <c r="B13" s="5">
        <f t="shared" si="0"/>
        <v>12</v>
      </c>
      <c r="C13" s="144">
        <v>9</v>
      </c>
      <c r="D13" s="145">
        <v>2024</v>
      </c>
      <c r="E13" s="124">
        <f>IF(ALMYRA!H13&lt;0,"0",ALMYRA!H13)</f>
        <v>9298</v>
      </c>
      <c r="F13" s="125">
        <f>(ALMYRA!C13*0.24)/E13</f>
        <v>0.18419445041944502</v>
      </c>
      <c r="G13" s="129">
        <f>ALMYRA!Z13</f>
        <v>25</v>
      </c>
      <c r="H13" s="130">
        <v>0.65800000000000003</v>
      </c>
      <c r="I13" s="133">
        <f>IF(ALMYRA!AB13&lt;0,"0",ALMYRA!AB13)</f>
        <v>83</v>
      </c>
      <c r="J13" s="134">
        <v>2.4</v>
      </c>
      <c r="K13" s="137">
        <f>ALMYRA!U13</f>
        <v>0</v>
      </c>
      <c r="L13" s="138">
        <v>0.88</v>
      </c>
      <c r="M13" s="141">
        <f>ALMYRA!AJ13</f>
        <v>169</v>
      </c>
      <c r="N13" s="141">
        <f>ALMYRA!AK13</f>
        <v>321</v>
      </c>
    </row>
    <row r="14" spans="1:14" ht="15" x14ac:dyDescent="0.25">
      <c r="A14" s="120" t="s">
        <v>13</v>
      </c>
      <c r="B14" s="5">
        <f t="shared" si="0"/>
        <v>13</v>
      </c>
      <c r="C14" s="144">
        <v>9</v>
      </c>
      <c r="D14" s="145">
        <v>2024</v>
      </c>
      <c r="E14" s="124">
        <f>IF(ALMYRA!H14&lt;0,"0",ALMYRA!H14)</f>
        <v>9219</v>
      </c>
      <c r="F14" s="125">
        <f>(ALMYRA!C14*0.24)/E14</f>
        <v>0.18272697689554182</v>
      </c>
      <c r="G14" s="129">
        <f>ALMYRA!Z14</f>
        <v>250</v>
      </c>
      <c r="H14" s="130">
        <v>0.65800000000000003</v>
      </c>
      <c r="I14" s="133">
        <f>IF(ALMYRA!AB14&lt;0,"0",ALMYRA!AB14)</f>
        <v>106</v>
      </c>
      <c r="J14" s="134">
        <v>2.4</v>
      </c>
      <c r="K14" s="137">
        <f>ALMYRA!U14</f>
        <v>123</v>
      </c>
      <c r="L14" s="138">
        <v>0.88</v>
      </c>
      <c r="M14" s="141">
        <f>ALMYRA!AJ14</f>
        <v>186</v>
      </c>
      <c r="N14" s="141">
        <f>ALMYRA!AK14</f>
        <v>369</v>
      </c>
    </row>
    <row r="15" spans="1:14" ht="15" x14ac:dyDescent="0.25">
      <c r="A15" s="120" t="s">
        <v>13</v>
      </c>
      <c r="B15" s="5">
        <f t="shared" si="0"/>
        <v>14</v>
      </c>
      <c r="C15" s="144">
        <v>9</v>
      </c>
      <c r="D15" s="145">
        <v>2024</v>
      </c>
      <c r="E15" s="124">
        <f>IF(ALMYRA!H15&lt;0,"0",ALMYRA!H15)</f>
        <v>9656</v>
      </c>
      <c r="F15" s="125">
        <f>(ALMYRA!C15*0.24)/E15</f>
        <v>0.18713338856669429</v>
      </c>
      <c r="G15" s="129">
        <f>ALMYRA!Z15</f>
        <v>25</v>
      </c>
      <c r="H15" s="130">
        <v>0.65800000000000003</v>
      </c>
      <c r="I15" s="133">
        <f>IF(ALMYRA!AB15&lt;0,"0",ALMYRA!AB15)</f>
        <v>102</v>
      </c>
      <c r="J15" s="134">
        <v>2.4</v>
      </c>
      <c r="K15" s="137">
        <f>ALMYRA!U15</f>
        <v>157</v>
      </c>
      <c r="L15" s="138">
        <v>0.88</v>
      </c>
      <c r="M15" s="141">
        <f>ALMYRA!AJ15</f>
        <v>184</v>
      </c>
      <c r="N15" s="141">
        <f>ALMYRA!AK15</f>
        <v>368</v>
      </c>
    </row>
    <row r="16" spans="1:14" ht="15" x14ac:dyDescent="0.25">
      <c r="A16" s="120" t="s">
        <v>13</v>
      </c>
      <c r="B16" s="5">
        <f t="shared" si="0"/>
        <v>15</v>
      </c>
      <c r="C16" s="144">
        <v>9</v>
      </c>
      <c r="D16" s="145">
        <v>2024</v>
      </c>
      <c r="E16" s="124">
        <f>IF(ALMYRA!H16&lt;0,"0",ALMYRA!H16)</f>
        <v>8067</v>
      </c>
      <c r="F16" s="125">
        <f>(ALMYRA!C16*0.24)/E16</f>
        <v>0.1798735589438453</v>
      </c>
      <c r="G16" s="129">
        <f>ALMYRA!Z16</f>
        <v>150</v>
      </c>
      <c r="H16" s="130">
        <v>0.65800000000000003</v>
      </c>
      <c r="I16" s="133">
        <f>IF(ALMYRA!AB16&lt;0,"0",ALMYRA!AB16)</f>
        <v>81</v>
      </c>
      <c r="J16" s="134">
        <v>2.4</v>
      </c>
      <c r="K16" s="137">
        <f>ALMYRA!U16</f>
        <v>93</v>
      </c>
      <c r="L16" s="138">
        <v>0.88</v>
      </c>
      <c r="M16" s="141">
        <f>ALMYRA!AJ16</f>
        <v>148</v>
      </c>
      <c r="N16" s="141">
        <f>ALMYRA!AK16</f>
        <v>291</v>
      </c>
    </row>
    <row r="17" spans="1:14" ht="15" x14ac:dyDescent="0.25">
      <c r="A17" s="120" t="s">
        <v>13</v>
      </c>
      <c r="B17" s="5">
        <f t="shared" si="0"/>
        <v>16</v>
      </c>
      <c r="C17" s="144">
        <v>9</v>
      </c>
      <c r="D17" s="145">
        <v>2024</v>
      </c>
      <c r="E17" s="124">
        <f>IF(ALMYRA!H17&lt;0,"0",ALMYRA!H17)</f>
        <v>7452</v>
      </c>
      <c r="F17" s="125">
        <f>(ALMYRA!C17*0.24)/E17</f>
        <v>0.17239935587761676</v>
      </c>
      <c r="G17" s="129">
        <f>ALMYRA!Z17</f>
        <v>248.28999999999996</v>
      </c>
      <c r="H17" s="130">
        <v>0.65800000000000003</v>
      </c>
      <c r="I17" s="133">
        <f>IF(ALMYRA!AB17&lt;0,"0",ALMYRA!AB17)</f>
        <v>89</v>
      </c>
      <c r="J17" s="134">
        <v>2.4</v>
      </c>
      <c r="K17" s="137">
        <f>ALMYRA!U17</f>
        <v>92</v>
      </c>
      <c r="L17" s="138">
        <v>0.88</v>
      </c>
      <c r="M17" s="141">
        <f>ALMYRA!AJ17</f>
        <v>154</v>
      </c>
      <c r="N17" s="141">
        <f>ALMYRA!AK17</f>
        <v>303</v>
      </c>
    </row>
    <row r="18" spans="1:14" ht="15" x14ac:dyDescent="0.25">
      <c r="A18" s="120" t="s">
        <v>13</v>
      </c>
      <c r="B18" s="5">
        <f t="shared" si="0"/>
        <v>17</v>
      </c>
      <c r="C18" s="144">
        <v>9</v>
      </c>
      <c r="D18" s="145">
        <v>2024</v>
      </c>
      <c r="E18" s="124">
        <f>IF(ALMYRA!H18&lt;0,"0",ALMYRA!H18)</f>
        <v>7983</v>
      </c>
      <c r="F18" s="125">
        <f>(ALMYRA!C18*0.24)/E18</f>
        <v>0.17951146185644495</v>
      </c>
      <c r="G18" s="129">
        <f>ALMYRA!Z18</f>
        <v>225</v>
      </c>
      <c r="H18" s="130">
        <v>0.65800000000000003</v>
      </c>
      <c r="I18" s="133">
        <f>IF(ALMYRA!AB18&lt;0,"0",ALMYRA!AB18)</f>
        <v>91</v>
      </c>
      <c r="J18" s="134">
        <v>2.4</v>
      </c>
      <c r="K18" s="137">
        <f>ALMYRA!U18</f>
        <v>182</v>
      </c>
      <c r="L18" s="138">
        <v>0.88</v>
      </c>
      <c r="M18" s="141">
        <f>ALMYRA!AJ18</f>
        <v>166</v>
      </c>
      <c r="N18" s="141">
        <f>ALMYRA!AK18</f>
        <v>320</v>
      </c>
    </row>
    <row r="19" spans="1:14" ht="15" x14ac:dyDescent="0.25">
      <c r="A19" s="120" t="s">
        <v>13</v>
      </c>
      <c r="B19" s="5">
        <f t="shared" si="0"/>
        <v>18</v>
      </c>
      <c r="C19" s="144">
        <v>9</v>
      </c>
      <c r="D19" s="145">
        <v>2024</v>
      </c>
      <c r="E19" s="124">
        <f>IF(ALMYRA!H19&lt;0,"0",ALMYRA!H19)</f>
        <v>7990</v>
      </c>
      <c r="F19" s="125">
        <f>(ALMYRA!C19*0.24)/E19</f>
        <v>0.1819374217772215</v>
      </c>
      <c r="G19" s="129">
        <f>ALMYRA!Z19</f>
        <v>150</v>
      </c>
      <c r="H19" s="130">
        <v>0.65800000000000003</v>
      </c>
      <c r="I19" s="133">
        <f>IF(ALMYRA!AB19&lt;0,"0",ALMYRA!AB19)</f>
        <v>94</v>
      </c>
      <c r="J19" s="134">
        <v>2.4</v>
      </c>
      <c r="K19" s="137">
        <f>ALMYRA!U19</f>
        <v>180</v>
      </c>
      <c r="L19" s="138">
        <v>0.88</v>
      </c>
      <c r="M19" s="141">
        <f>ALMYRA!AJ19</f>
        <v>172</v>
      </c>
      <c r="N19" s="141">
        <f>ALMYRA!AK19</f>
        <v>331</v>
      </c>
    </row>
    <row r="20" spans="1:14" ht="15" x14ac:dyDescent="0.25">
      <c r="A20" s="120" t="s">
        <v>13</v>
      </c>
      <c r="B20" s="5">
        <f t="shared" si="0"/>
        <v>19</v>
      </c>
      <c r="C20" s="144">
        <v>9</v>
      </c>
      <c r="D20" s="145">
        <v>2024</v>
      </c>
      <c r="E20" s="124">
        <f>IF(ALMYRA!H20&lt;0,"0",ALMYRA!H20)</f>
        <v>7884</v>
      </c>
      <c r="F20" s="125">
        <f>(ALMYRA!C20*0.24)/E20</f>
        <v>0.17488584474885843</v>
      </c>
      <c r="G20" s="129">
        <f>ALMYRA!Z20</f>
        <v>100</v>
      </c>
      <c r="H20" s="130">
        <v>0.65800000000000003</v>
      </c>
      <c r="I20" s="133">
        <f>IF(ALMYRA!AB20&lt;0,"0",ALMYRA!AB20)</f>
        <v>98</v>
      </c>
      <c r="J20" s="134">
        <v>2.4</v>
      </c>
      <c r="K20" s="137">
        <f>ALMYRA!U20</f>
        <v>0</v>
      </c>
      <c r="L20" s="138">
        <v>0.88</v>
      </c>
      <c r="M20" s="141">
        <f>ALMYRA!AJ20</f>
        <v>171</v>
      </c>
      <c r="N20" s="141">
        <f>ALMYRA!AK20</f>
        <v>324</v>
      </c>
    </row>
    <row r="21" spans="1:14" ht="15" x14ac:dyDescent="0.25">
      <c r="A21" s="120" t="s">
        <v>13</v>
      </c>
      <c r="B21" s="5">
        <f t="shared" si="0"/>
        <v>20</v>
      </c>
      <c r="C21" s="144">
        <v>9</v>
      </c>
      <c r="D21" s="145">
        <v>2024</v>
      </c>
      <c r="E21" s="124">
        <f>IF(ALMYRA!H21&lt;0,"0",ALMYRA!H21)</f>
        <v>7901</v>
      </c>
      <c r="F21" s="125">
        <f>(ALMYRA!C21*0.24)/E21</f>
        <v>0.18322743956461204</v>
      </c>
      <c r="G21" s="129">
        <f>ALMYRA!Z21</f>
        <v>300</v>
      </c>
      <c r="H21" s="130">
        <v>0.65800000000000003</v>
      </c>
      <c r="I21" s="133">
        <f>IF(ALMYRA!AB21&lt;0,"0",ALMYRA!AB21)</f>
        <v>104</v>
      </c>
      <c r="J21" s="134">
        <v>2.4</v>
      </c>
      <c r="K21" s="137">
        <f>ALMYRA!U21</f>
        <v>196</v>
      </c>
      <c r="L21" s="138">
        <v>0.88</v>
      </c>
      <c r="M21" s="141">
        <f>ALMYRA!AJ21</f>
        <v>178</v>
      </c>
      <c r="N21" s="141">
        <f>ALMYRA!AK21</f>
        <v>350</v>
      </c>
    </row>
    <row r="22" spans="1:14" ht="15" x14ac:dyDescent="0.25">
      <c r="A22" s="120" t="s">
        <v>13</v>
      </c>
      <c r="B22" s="5">
        <f t="shared" si="0"/>
        <v>21</v>
      </c>
      <c r="C22" s="144">
        <v>9</v>
      </c>
      <c r="D22" s="145">
        <v>2024</v>
      </c>
      <c r="E22" s="124">
        <f>IF(ALMYRA!H22&lt;0,"0",ALMYRA!H22)</f>
        <v>8052</v>
      </c>
      <c r="F22" s="125">
        <f>(ALMYRA!C22*0.24)/E22</f>
        <v>0.17806259314456035</v>
      </c>
      <c r="G22" s="129">
        <f>ALMYRA!Z22</f>
        <v>225</v>
      </c>
      <c r="H22" s="130">
        <v>0.65800000000000003</v>
      </c>
      <c r="I22" s="133">
        <f>IF(ALMYRA!AB22&lt;0,"0",ALMYRA!AB22)</f>
        <v>119</v>
      </c>
      <c r="J22" s="134">
        <v>2.4</v>
      </c>
      <c r="K22" s="137">
        <f>ALMYRA!U22</f>
        <v>186</v>
      </c>
      <c r="L22" s="138">
        <v>0.88</v>
      </c>
      <c r="M22" s="141">
        <f>ALMYRA!AJ22</f>
        <v>181</v>
      </c>
      <c r="N22" s="141">
        <f>ALMYRA!AK22</f>
        <v>351</v>
      </c>
    </row>
    <row r="23" spans="1:14" ht="15" x14ac:dyDescent="0.25">
      <c r="A23" s="120" t="s">
        <v>13</v>
      </c>
      <c r="B23" s="5">
        <f t="shared" si="0"/>
        <v>22</v>
      </c>
      <c r="C23" s="144">
        <v>9</v>
      </c>
      <c r="D23" s="145">
        <v>2024</v>
      </c>
      <c r="E23" s="124">
        <f>IF(ALMYRA!H23&lt;0,"0",ALMYRA!H23)</f>
        <v>7542</v>
      </c>
      <c r="F23" s="125">
        <f>(ALMYRA!C23*0.24)/E23</f>
        <v>0.18491646778042958</v>
      </c>
      <c r="G23" s="129">
        <f>ALMYRA!Z23</f>
        <v>50</v>
      </c>
      <c r="H23" s="130">
        <v>0.65800000000000003</v>
      </c>
      <c r="I23" s="133">
        <f>IF(ALMYRA!AB23&lt;0,"0",ALMYRA!AB23)</f>
        <v>101</v>
      </c>
      <c r="J23" s="134">
        <v>2.4</v>
      </c>
      <c r="K23" s="137">
        <f>ALMYRA!U23</f>
        <v>74</v>
      </c>
      <c r="L23" s="138">
        <v>0.88</v>
      </c>
      <c r="M23" s="141">
        <f>ALMYRA!AJ23</f>
        <v>174</v>
      </c>
      <c r="N23" s="141">
        <f>ALMYRA!AK23</f>
        <v>334</v>
      </c>
    </row>
    <row r="24" spans="1:14" ht="15" x14ac:dyDescent="0.25">
      <c r="A24" s="120" t="s">
        <v>13</v>
      </c>
      <c r="B24" s="5">
        <f t="shared" si="0"/>
        <v>23</v>
      </c>
      <c r="C24" s="144">
        <v>9</v>
      </c>
      <c r="D24" s="145">
        <v>2024</v>
      </c>
      <c r="E24" s="124">
        <f>IF(ALMYRA!H24&lt;0,"0",ALMYRA!H24)</f>
        <v>7399</v>
      </c>
      <c r="F24" s="125">
        <f>(ALMYRA!C24*0.24)/E24</f>
        <v>0.17204487092850385</v>
      </c>
      <c r="G24" s="129">
        <f>ALMYRA!Z24</f>
        <v>181.30999999999949</v>
      </c>
      <c r="H24" s="130">
        <v>0.65800000000000003</v>
      </c>
      <c r="I24" s="133">
        <f>IF(ALMYRA!AB24&lt;0,"0",ALMYRA!AB24)</f>
        <v>113</v>
      </c>
      <c r="J24" s="134">
        <v>2.4</v>
      </c>
      <c r="K24" s="137">
        <f>ALMYRA!U24</f>
        <v>113</v>
      </c>
      <c r="L24" s="138">
        <v>0.88</v>
      </c>
      <c r="M24" s="141">
        <f>ALMYRA!AJ24</f>
        <v>170</v>
      </c>
      <c r="N24" s="141">
        <f>ALMYRA!AK24</f>
        <v>322</v>
      </c>
    </row>
    <row r="25" spans="1:14" ht="15" x14ac:dyDescent="0.25">
      <c r="A25" s="120" t="s">
        <v>13</v>
      </c>
      <c r="B25" s="5">
        <f t="shared" si="0"/>
        <v>24</v>
      </c>
      <c r="C25" s="144">
        <v>9</v>
      </c>
      <c r="D25" s="145">
        <v>2024</v>
      </c>
      <c r="E25" s="124">
        <f>IF(ALMYRA!H25&lt;0,"0",ALMYRA!H25)</f>
        <v>8062</v>
      </c>
      <c r="F25" s="125">
        <f>(ALMYRA!C25*0.24)/E25</f>
        <v>0.17924088315554454</v>
      </c>
      <c r="G25" s="129">
        <f>ALMYRA!Z25</f>
        <v>225</v>
      </c>
      <c r="H25" s="130">
        <v>0.65800000000000003</v>
      </c>
      <c r="I25" s="133">
        <f>IF(ALMYRA!AB25&lt;0,"0",ALMYRA!AB25)</f>
        <v>101</v>
      </c>
      <c r="J25" s="134">
        <v>2.4</v>
      </c>
      <c r="K25" s="137">
        <f>ALMYRA!U25</f>
        <v>97</v>
      </c>
      <c r="L25" s="138">
        <v>0.88</v>
      </c>
      <c r="M25" s="141">
        <f>ALMYRA!AJ25</f>
        <v>178</v>
      </c>
      <c r="N25" s="141">
        <f>ALMYRA!AK25</f>
        <v>322</v>
      </c>
    </row>
    <row r="26" spans="1:14" ht="15" x14ac:dyDescent="0.25">
      <c r="A26" s="120" t="s">
        <v>13</v>
      </c>
      <c r="B26" s="5">
        <f>B25+1</f>
        <v>25</v>
      </c>
      <c r="C26" s="144">
        <v>9</v>
      </c>
      <c r="D26" s="145">
        <v>2024</v>
      </c>
      <c r="E26" s="124">
        <f>IF(ALMYRA!H26&lt;0,"0",ALMYRA!H26)</f>
        <v>7829</v>
      </c>
      <c r="F26" s="125">
        <f>(ALMYRA!C26*0.24)/E26</f>
        <v>0.17528675437476049</v>
      </c>
      <c r="G26" s="129">
        <f>ALMYRA!Z26</f>
        <v>225</v>
      </c>
      <c r="H26" s="130">
        <v>0.65800000000000003</v>
      </c>
      <c r="I26" s="133">
        <f>IF(ALMYRA!AB26&lt;0,"0",ALMYRA!AB26)</f>
        <v>110</v>
      </c>
      <c r="J26" s="134">
        <v>2.4</v>
      </c>
      <c r="K26" s="137">
        <f>ALMYRA!U26</f>
        <v>92</v>
      </c>
      <c r="L26" s="138">
        <v>0.88</v>
      </c>
      <c r="M26" s="141">
        <f>ALMYRA!AJ26</f>
        <v>184</v>
      </c>
      <c r="N26" s="141">
        <f>ALMYRA!AK26</f>
        <v>317</v>
      </c>
    </row>
    <row r="27" spans="1:14" ht="15" x14ac:dyDescent="0.25">
      <c r="A27" s="120" t="s">
        <v>13</v>
      </c>
      <c r="B27" s="5">
        <f t="shared" si="0"/>
        <v>26</v>
      </c>
      <c r="C27" s="144">
        <v>9</v>
      </c>
      <c r="D27" s="145">
        <v>2024</v>
      </c>
      <c r="E27" s="124">
        <f>IF(ALMYRA!H27&lt;0,"0",ALMYRA!H27)</f>
        <v>8152</v>
      </c>
      <c r="F27" s="125">
        <f>(ALMYRA!C27*0.24)/E27</f>
        <v>0.17861629048086358</v>
      </c>
      <c r="G27" s="129">
        <f>ALMYRA!Z27</f>
        <v>50</v>
      </c>
      <c r="H27" s="130">
        <v>0.65800000000000003</v>
      </c>
      <c r="I27" s="133">
        <f>IF(ALMYRA!AB27&lt;0,"0",ALMYRA!AB27)</f>
        <v>114</v>
      </c>
      <c r="J27" s="134">
        <v>2.4</v>
      </c>
      <c r="K27" s="137">
        <f>ALMYRA!U27</f>
        <v>95</v>
      </c>
      <c r="L27" s="138">
        <v>0.88</v>
      </c>
      <c r="M27" s="141">
        <f>ALMYRA!AJ27</f>
        <v>178</v>
      </c>
      <c r="N27" s="141">
        <f>ALMYRA!AK27</f>
        <v>301</v>
      </c>
    </row>
    <row r="28" spans="1:14" ht="15" x14ac:dyDescent="0.25">
      <c r="A28" s="120" t="s">
        <v>13</v>
      </c>
      <c r="B28" s="5">
        <f t="shared" si="0"/>
        <v>27</v>
      </c>
      <c r="C28" s="144">
        <v>9</v>
      </c>
      <c r="D28" s="145">
        <v>2024</v>
      </c>
      <c r="E28" s="124">
        <f>IF(ALMYRA!H28&lt;0,"0",ALMYRA!H28)</f>
        <v>8344</v>
      </c>
      <c r="F28" s="125">
        <f>(ALMYRA!C28*0.24)/E28</f>
        <v>0.18034515819750718</v>
      </c>
      <c r="G28" s="129">
        <f>ALMYRA!Z28</f>
        <v>175</v>
      </c>
      <c r="H28" s="130">
        <v>0.65800000000000003</v>
      </c>
      <c r="I28" s="133">
        <f>IF(ALMYRA!AB28&lt;0,"0",ALMYRA!AB28)</f>
        <v>114</v>
      </c>
      <c r="J28" s="134">
        <v>2.4</v>
      </c>
      <c r="K28" s="137">
        <f>ALMYRA!U28</f>
        <v>163</v>
      </c>
      <c r="L28" s="138">
        <v>0.88</v>
      </c>
      <c r="M28" s="141">
        <f>ALMYRA!AJ28</f>
        <v>181</v>
      </c>
      <c r="N28" s="141">
        <f>ALMYRA!AK28</f>
        <v>313</v>
      </c>
    </row>
    <row r="29" spans="1:14" ht="15" x14ac:dyDescent="0.25">
      <c r="A29" s="120" t="s">
        <v>13</v>
      </c>
      <c r="B29" s="5">
        <f t="shared" si="0"/>
        <v>28</v>
      </c>
      <c r="C29" s="144">
        <v>9</v>
      </c>
      <c r="D29" s="145">
        <v>2024</v>
      </c>
      <c r="E29" s="124">
        <f>IF(ALMYRA!H29&lt;0,"0",ALMYRA!H29)</f>
        <v>8323</v>
      </c>
      <c r="F29" s="125">
        <f>(ALMYRA!C29*0.24)/E29</f>
        <v>0.18103087828907846</v>
      </c>
      <c r="G29" s="129">
        <f>ALMYRA!Z29</f>
        <v>150</v>
      </c>
      <c r="H29" s="130">
        <v>0.65800000000000003</v>
      </c>
      <c r="I29" s="133">
        <f>IF(ALMYRA!AB29&lt;0,"0",ALMYRA!AB29)</f>
        <v>94</v>
      </c>
      <c r="J29" s="134">
        <v>2.4</v>
      </c>
      <c r="K29" s="137">
        <f>ALMYRA!U29</f>
        <v>124</v>
      </c>
      <c r="L29" s="138">
        <v>0.88</v>
      </c>
      <c r="M29" s="141">
        <f>ALMYRA!AJ29</f>
        <v>179</v>
      </c>
      <c r="N29" s="141">
        <f>ALMYRA!AK29</f>
        <v>329</v>
      </c>
    </row>
    <row r="30" spans="1:14" ht="15" x14ac:dyDescent="0.25">
      <c r="A30" s="120" t="s">
        <v>13</v>
      </c>
      <c r="B30" s="5">
        <f t="shared" si="0"/>
        <v>29</v>
      </c>
      <c r="C30" s="144">
        <v>9</v>
      </c>
      <c r="D30" s="145">
        <v>2024</v>
      </c>
      <c r="E30" s="124">
        <f>IF(ALMYRA!H30&lt;0,"0",ALMYRA!H30)</f>
        <v>7612</v>
      </c>
      <c r="F30" s="125">
        <f>(ALMYRA!C30*0.24)/E30</f>
        <v>0.17621650026274302</v>
      </c>
      <c r="G30" s="129">
        <f>ALMYRA!Z30</f>
        <v>150</v>
      </c>
      <c r="H30" s="130">
        <v>0.65800000000000003</v>
      </c>
      <c r="I30" s="133">
        <f>IF(ALMYRA!AB30&lt;0,"0",ALMYRA!AB30)</f>
        <v>104</v>
      </c>
      <c r="J30" s="134">
        <v>2.4</v>
      </c>
      <c r="K30" s="137">
        <f>ALMYRA!U30</f>
        <v>96</v>
      </c>
      <c r="L30" s="138">
        <v>0.88</v>
      </c>
      <c r="M30" s="141">
        <f>ALMYRA!AJ30</f>
        <v>156</v>
      </c>
      <c r="N30" s="141">
        <f>ALMYRA!AK30</f>
        <v>305</v>
      </c>
    </row>
    <row r="31" spans="1:14" ht="15" x14ac:dyDescent="0.25">
      <c r="A31" s="120" t="s">
        <v>13</v>
      </c>
      <c r="B31" s="5">
        <f t="shared" si="0"/>
        <v>30</v>
      </c>
      <c r="C31" s="144">
        <v>9</v>
      </c>
      <c r="D31" s="145">
        <v>2024</v>
      </c>
      <c r="E31" s="124">
        <f>IF(ALMYRA!H31&lt;0,"0",ALMYRA!H31)</f>
        <v>7075</v>
      </c>
      <c r="F31" s="125">
        <f>(ALMYRA!C31*0.24)/E31</f>
        <v>0.17710812720848057</v>
      </c>
      <c r="G31" s="129">
        <f>ALMYRA!Z31</f>
        <v>234.59999999999991</v>
      </c>
      <c r="H31" s="130">
        <v>0.65800000000000003</v>
      </c>
      <c r="I31" s="133">
        <f>IF(ALMYRA!AB31&lt;0,"0",ALMYRA!AB31)</f>
        <v>96</v>
      </c>
      <c r="J31" s="134">
        <v>2.4</v>
      </c>
      <c r="K31" s="137">
        <f>ALMYRA!U31</f>
        <v>97</v>
      </c>
      <c r="L31" s="138">
        <v>0.88</v>
      </c>
      <c r="M31" s="141">
        <f>ALMYRA!AJ31</f>
        <v>153</v>
      </c>
      <c r="N31" s="141">
        <f>ALMYRA!AK31</f>
        <v>302</v>
      </c>
    </row>
    <row r="32" spans="1:14" x14ac:dyDescent="0.2">
      <c r="D32" s="146"/>
      <c r="E32" s="4"/>
      <c r="F32" s="146"/>
      <c r="G32" s="4"/>
      <c r="H32" s="147"/>
      <c r="I32" s="146"/>
      <c r="J32" s="146"/>
      <c r="K32"/>
      <c r="L32"/>
      <c r="M32" s="146"/>
      <c r="N32" s="146"/>
    </row>
    <row r="33" spans="4:14" x14ac:dyDescent="0.2">
      <c r="D33" s="146"/>
      <c r="E33" s="4"/>
      <c r="F33" s="146"/>
      <c r="G33" s="4"/>
      <c r="H33" s="147"/>
      <c r="I33" s="146"/>
      <c r="J33" s="146"/>
      <c r="K33"/>
      <c r="L33"/>
      <c r="M33" s="146"/>
      <c r="N33" s="146"/>
    </row>
    <row r="34" spans="4:14" x14ac:dyDescent="0.2">
      <c r="D34" s="146"/>
      <c r="E34" s="4"/>
      <c r="F34" s="146"/>
      <c r="G34" s="4"/>
      <c r="H34" s="147"/>
      <c r="I34" s="146"/>
      <c r="J34" s="146"/>
      <c r="K34"/>
      <c r="L34"/>
      <c r="M34" s="146"/>
      <c r="N34" s="146"/>
    </row>
    <row r="35" spans="4:14" x14ac:dyDescent="0.2">
      <c r="D35" s="146"/>
      <c r="E35" s="4"/>
      <c r="F35" s="146"/>
      <c r="G35" s="4"/>
      <c r="H35" s="147"/>
      <c r="I35" s="146"/>
      <c r="J35" s="146"/>
      <c r="K35"/>
      <c r="L35"/>
      <c r="M35" s="146"/>
      <c r="N35" s="146"/>
    </row>
    <row r="36" spans="4:14" x14ac:dyDescent="0.2">
      <c r="D36" s="146"/>
      <c r="E36" s="4"/>
      <c r="F36" s="146"/>
      <c r="G36" s="4"/>
      <c r="H36" s="147"/>
      <c r="I36" s="146"/>
      <c r="J36" s="146"/>
      <c r="K36"/>
      <c r="L36"/>
      <c r="M36" s="146"/>
      <c r="N36" s="146"/>
    </row>
    <row r="37" spans="4:14" x14ac:dyDescent="0.2">
      <c r="D37" s="146"/>
      <c r="E37" s="4"/>
      <c r="F37" s="146"/>
      <c r="G37" s="4"/>
      <c r="H37" s="147"/>
      <c r="I37" s="146"/>
      <c r="J37" s="146"/>
      <c r="K37"/>
      <c r="L37"/>
      <c r="M37" s="146"/>
      <c r="N37" s="146"/>
    </row>
    <row r="38" spans="4:14" x14ac:dyDescent="0.2">
      <c r="D38" s="146"/>
      <c r="E38" s="4"/>
      <c r="F38" s="146"/>
      <c r="G38" s="4"/>
      <c r="H38" s="147"/>
      <c r="I38" s="146"/>
      <c r="J38" s="146"/>
      <c r="K38"/>
      <c r="L38"/>
      <c r="M38" s="146"/>
      <c r="N38" s="146"/>
    </row>
    <row r="39" spans="4:14" x14ac:dyDescent="0.2">
      <c r="E39" s="4"/>
      <c r="F39" s="146"/>
      <c r="G39" s="4"/>
      <c r="H39" s="147"/>
      <c r="I39" s="5"/>
      <c r="J39" s="5"/>
      <c r="K39"/>
      <c r="L39"/>
      <c r="M39" s="5"/>
      <c r="N39" s="5"/>
    </row>
    <row r="40" spans="4:14" x14ac:dyDescent="0.2">
      <c r="E40" s="4"/>
      <c r="F40" s="146"/>
      <c r="G40" s="4"/>
      <c r="H40" s="147"/>
      <c r="I40" s="5"/>
      <c r="J40" s="5"/>
      <c r="K40"/>
      <c r="L40"/>
      <c r="M40" s="5"/>
      <c r="N40" s="5"/>
    </row>
    <row r="41" spans="4:14" x14ac:dyDescent="0.2">
      <c r="E41" s="4"/>
      <c r="F41" s="146"/>
      <c r="G41" s="4"/>
      <c r="H41" s="147"/>
      <c r="I41" s="5"/>
      <c r="J41" s="5"/>
      <c r="K41"/>
      <c r="L41"/>
      <c r="M41" s="5"/>
      <c r="N41" s="5"/>
    </row>
    <row r="42" spans="4:14" x14ac:dyDescent="0.2">
      <c r="E42" s="4"/>
      <c r="F42" s="146"/>
      <c r="G42" s="4"/>
      <c r="H42" s="147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7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7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7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7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7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7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7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7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7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7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7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7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7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7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7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7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7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7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7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7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7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7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7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7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7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7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7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7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7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7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7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7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7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7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7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7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7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7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7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7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7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7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7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7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7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7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7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7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7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7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7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7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7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7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7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7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7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7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7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7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7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7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7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7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7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7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7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7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7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7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7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7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7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7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7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7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7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7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7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7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7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7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7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7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7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7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7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7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7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7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7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7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7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7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7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7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7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7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7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7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7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7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7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7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7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7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7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7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7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7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7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7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7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7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7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7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7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7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7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7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7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7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7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7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7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7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7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7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7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7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7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7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7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7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7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7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7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7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7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7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7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7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7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7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7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7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7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7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7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7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7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7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7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7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7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7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7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7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7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7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7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7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7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7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7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7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7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7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7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7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7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7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7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7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7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7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7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7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7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7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7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7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7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7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7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7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7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7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7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7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7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7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7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7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7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7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7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7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7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7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7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7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7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7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7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7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7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7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7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7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7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7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7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7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7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7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7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7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7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7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7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7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7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7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7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7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7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7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7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7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7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7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7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7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7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7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7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7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7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7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7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7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7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7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7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7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7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7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7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7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7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7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7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7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7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7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7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7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7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7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7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7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7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7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7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7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7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7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7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7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7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7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7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7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7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7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7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7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7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7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7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7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7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7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7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7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7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7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7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7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7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7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7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7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7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7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7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7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7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7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7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7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7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7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7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7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7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7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7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7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7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7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7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7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7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7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7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7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7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7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7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7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7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7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7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7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7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7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7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7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7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7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7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7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7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7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7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7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7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7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7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7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7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7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7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7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7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7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7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7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7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7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7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7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7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7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7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7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7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7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7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7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7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7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7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7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7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7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7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7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7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7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7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7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7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7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7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7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7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7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7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7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7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7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7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7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7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7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7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7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7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7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7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7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7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7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7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7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7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7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7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7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7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7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7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7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7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7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7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7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7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7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7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7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7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7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7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7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7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7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7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7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7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7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7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7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7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7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7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7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7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7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7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7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7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7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7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7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7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7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7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7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7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7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7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7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7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7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7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7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7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7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7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7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7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7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7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7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7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7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7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7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7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7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7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7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7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7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7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7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7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7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7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7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7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7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7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7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7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7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7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7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7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7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7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7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7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7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7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7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7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7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7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7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7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7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7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7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7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7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7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7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7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7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7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7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7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7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7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7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7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7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7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7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7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7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7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7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7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7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7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7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7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7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7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7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7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7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7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7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7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7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7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7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7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7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7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7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7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7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7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7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7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7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7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7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7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7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7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7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7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7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7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7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7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7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7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7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7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7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7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7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7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7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7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7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7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7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7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7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7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7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7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7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7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7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7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7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7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7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7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7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7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7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7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7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7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7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7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7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7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7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7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7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7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7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7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7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7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7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7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7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7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7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7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7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7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7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7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7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7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7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7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7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7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7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7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7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7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7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7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7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7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7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7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7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7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7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7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7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7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7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7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7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7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7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7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7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7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7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7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7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7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7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7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7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7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7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7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7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7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7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7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7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7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7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7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7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7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7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7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7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7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7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7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7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7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7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7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7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7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7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7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7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7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7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7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7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7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7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7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7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7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7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7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7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7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7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7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7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7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7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7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7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7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7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7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7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7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7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7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7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7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7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7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7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7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7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7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7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7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7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7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7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7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7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7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7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7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7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7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7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7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7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7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7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7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7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7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7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7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7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7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7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7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7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7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7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7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7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7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7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7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7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7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7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7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7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7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7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7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7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7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7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7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7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7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7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7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7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7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7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7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7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7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7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7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7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7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7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7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7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7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7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7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7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7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7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7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7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7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7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7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7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7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7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7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7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7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7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7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7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7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7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7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7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7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7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7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7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7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7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7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7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7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7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7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7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7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7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7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7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7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7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7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7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7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7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7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7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7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7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7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7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7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7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7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7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7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7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7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7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7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7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7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7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7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7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7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7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7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7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7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7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7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7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7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7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7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7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7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7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7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7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7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7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7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7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7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7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7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7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7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7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7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7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7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7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7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7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7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7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7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7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7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7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7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7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7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7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7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7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7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7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7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7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7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7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7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7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7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7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7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7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7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7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7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7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7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7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7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7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7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7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7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7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7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7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7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7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7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7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7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7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7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7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7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7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7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7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7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7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7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7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7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7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7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7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7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7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7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7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7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7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7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7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7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7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7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7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7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7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7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7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7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7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7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7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7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7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7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7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7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7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7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7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7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7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7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7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7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7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7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7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7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7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7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7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7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7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7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7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7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7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7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7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7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7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7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7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7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7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7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7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7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7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7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7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7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7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7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7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7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7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7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7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7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7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7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7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7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7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7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7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7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7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7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7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7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7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7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7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7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7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7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7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7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7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7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7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7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7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7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7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7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7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7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7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7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7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7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7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7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7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7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7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7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7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7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7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7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7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7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7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7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7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7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7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7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7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7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7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7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7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7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7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7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7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7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7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7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7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7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7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7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7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7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7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7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7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7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7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7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7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7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7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7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7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7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7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7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7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7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7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7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7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7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7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7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7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7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7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7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7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7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7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7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7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7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7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7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7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7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7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7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7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7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7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7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7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7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7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7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7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7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7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7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7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7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7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7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7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7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7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7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7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7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7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7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7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7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7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7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7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7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7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7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7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7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7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7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7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7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7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7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7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7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7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7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7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7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7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7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7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7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7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7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7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7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7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7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7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7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7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7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7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7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7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7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7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7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7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7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7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7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7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7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7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7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7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7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7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7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7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7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7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7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7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7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7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7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7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7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7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7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7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7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7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7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7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7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7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7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7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7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7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7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7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7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7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7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7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7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7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7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7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7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7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7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7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7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7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7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7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7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7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7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7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7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7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7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7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7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7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7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7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7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7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7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7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7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7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7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7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7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7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7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7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7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7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7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7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7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7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7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7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7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7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7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7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7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7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7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7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7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7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7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7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7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7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7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7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7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7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7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7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7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7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7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7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7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7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7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7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7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7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7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7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7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7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7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7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7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7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7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7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7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7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7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7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7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7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7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7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7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7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7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7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7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7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7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7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7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7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7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7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7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7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7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7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7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7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7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7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7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7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7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7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7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7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7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7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7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7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7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7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7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7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7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7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7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7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7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7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7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7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7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7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7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7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7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7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7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7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7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7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7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7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7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7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7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7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7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7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7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7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7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7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7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7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7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7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7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7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7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7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7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7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7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7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7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7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7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7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7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7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7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7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7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7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7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7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7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7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7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7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7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7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7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7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7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7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7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7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7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7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7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7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7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7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7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7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7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7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7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7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7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7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7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7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7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7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7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7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7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7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7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7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7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7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7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7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7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7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7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7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7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7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7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7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7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7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7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7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7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7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7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7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7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7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7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7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7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7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7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7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7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7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7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7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7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7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7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7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7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7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7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7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7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7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7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7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7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7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7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7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7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7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7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7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7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7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7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7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7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7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7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7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7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7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7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7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7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7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7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7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7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7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7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7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7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7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7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7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7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7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7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7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7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7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7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7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7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7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7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7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7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7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7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7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7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7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7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7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7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7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7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7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7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7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7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7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7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7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7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7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7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7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7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7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7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7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7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7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7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7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7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7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7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7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7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7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7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7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7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7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7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7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7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7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7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7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7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7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7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7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7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7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7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7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7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7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7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7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7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7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7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7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7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7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7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7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7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7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7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7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7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7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7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7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7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7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7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7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7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7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7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7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7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7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7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7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7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7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7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7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7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7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7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7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7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7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7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7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7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7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7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7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7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7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7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7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7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7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7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7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7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7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7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7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7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7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7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7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7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7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7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7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7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7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7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7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7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7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7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7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7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7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7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7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7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7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7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7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7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7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7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7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7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7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7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7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7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7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7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7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7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7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7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7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7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7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7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7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7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7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7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7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7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7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7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7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7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7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/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4">
        <v>45536</v>
      </c>
      <c r="B2" s="8">
        <v>31930051</v>
      </c>
      <c r="C2" s="16">
        <f>B3-B2</f>
        <v>5653</v>
      </c>
      <c r="D2" s="9">
        <v>872682</v>
      </c>
      <c r="E2" s="16">
        <f>D3-D2</f>
        <v>2139</v>
      </c>
      <c r="F2" s="34">
        <v>110448</v>
      </c>
      <c r="G2" s="99">
        <f>F3-F2</f>
        <v>0</v>
      </c>
      <c r="H2" s="103">
        <f>C2+E2-G2</f>
        <v>7792</v>
      </c>
      <c r="I2" s="109">
        <f>H2-K2-M2-O2-Q2</f>
        <v>6622.3333333327755</v>
      </c>
      <c r="J2" s="96">
        <v>4647838.8</v>
      </c>
      <c r="K2" s="41">
        <f>J3-J2</f>
        <v>975.60000000055879</v>
      </c>
      <c r="L2" s="14">
        <v>465039</v>
      </c>
      <c r="M2" s="41">
        <f>L3-L2</f>
        <v>47</v>
      </c>
      <c r="N2" s="14">
        <v>121704.5</v>
      </c>
      <c r="O2" s="41">
        <f>N3-N2</f>
        <v>70.460000000006403</v>
      </c>
      <c r="P2" s="96">
        <v>173680.7</v>
      </c>
      <c r="Q2" s="65">
        <f>P3-P2</f>
        <v>76.606666666659294</v>
      </c>
      <c r="R2" s="24">
        <f>A2</f>
        <v>45536</v>
      </c>
      <c r="S2" s="39">
        <v>5000</v>
      </c>
      <c r="T2" s="40">
        <v>0</v>
      </c>
      <c r="U2" s="41">
        <f>S2+T2-S3</f>
        <v>116</v>
      </c>
      <c r="V2" s="19">
        <v>0.64</v>
      </c>
      <c r="W2" s="48">
        <v>0.62</v>
      </c>
      <c r="X2" s="50">
        <f t="shared" ref="X2:X33" si="0">(V2*2500)+(W2*2500)</f>
        <v>3150</v>
      </c>
      <c r="Y2" s="49"/>
      <c r="Z2" s="41">
        <f>X2+Y2-X3</f>
        <v>200</v>
      </c>
      <c r="AA2" s="56">
        <v>102128</v>
      </c>
      <c r="AB2" s="41">
        <f>AA3-AA2</f>
        <v>82</v>
      </c>
      <c r="AC2" s="56">
        <v>237.6</v>
      </c>
      <c r="AD2" s="41">
        <f>AC3-AC2</f>
        <v>11</v>
      </c>
      <c r="AE2" s="59">
        <v>69965</v>
      </c>
      <c r="AF2" s="41">
        <f>AE3-AE2</f>
        <v>18</v>
      </c>
      <c r="AG2" s="62">
        <v>3100</v>
      </c>
      <c r="AH2" s="73">
        <v>0</v>
      </c>
      <c r="AI2" s="41">
        <f>AG3+AH2-AG2</f>
        <v>0</v>
      </c>
      <c r="AJ2" s="12">
        <v>104</v>
      </c>
      <c r="AK2" s="22">
        <v>220</v>
      </c>
    </row>
    <row r="3" spans="1:37" x14ac:dyDescent="0.2">
      <c r="A3" s="25">
        <v>45537</v>
      </c>
      <c r="B3" s="10">
        <v>31935704</v>
      </c>
      <c r="C3" s="67">
        <f>B4-B3</f>
        <v>5843</v>
      </c>
      <c r="D3" s="11">
        <v>874821</v>
      </c>
      <c r="E3" s="17">
        <f>D4-D3</f>
        <v>2217</v>
      </c>
      <c r="F3" s="35">
        <v>110448</v>
      </c>
      <c r="G3" s="100">
        <f>F4-F3</f>
        <v>0</v>
      </c>
      <c r="H3" s="104">
        <f t="shared" ref="H3:H32" si="1">C3+E3-G3</f>
        <v>8060</v>
      </c>
      <c r="I3" s="110">
        <f t="shared" ref="I3:I32" si="2">H3-K3-M3-O3-Q3</f>
        <v>6888.7333333340794</v>
      </c>
      <c r="J3" s="97">
        <v>4648814.4000000004</v>
      </c>
      <c r="K3" s="44">
        <f>J4-J3</f>
        <v>977.19999999925494</v>
      </c>
      <c r="L3" s="15">
        <v>465086</v>
      </c>
      <c r="M3" s="44">
        <f>L4-L3</f>
        <v>47</v>
      </c>
      <c r="N3" s="15">
        <v>121774.96</v>
      </c>
      <c r="O3" s="44">
        <f>N4-N3</f>
        <v>70.460000000006403</v>
      </c>
      <c r="P3" s="97">
        <v>173757.30666666667</v>
      </c>
      <c r="Q3" s="66">
        <f>P4-P3</f>
        <v>76.606666666659294</v>
      </c>
      <c r="R3" s="25">
        <f>A3</f>
        <v>45537</v>
      </c>
      <c r="S3" s="42">
        <v>4884</v>
      </c>
      <c r="T3" s="43">
        <v>0</v>
      </c>
      <c r="U3" s="44">
        <f>S3+T3-S4</f>
        <v>97</v>
      </c>
      <c r="V3" s="20">
        <v>0.6</v>
      </c>
      <c r="W3" s="51">
        <v>0.57999999999999996</v>
      </c>
      <c r="X3" s="52">
        <f t="shared" si="0"/>
        <v>2950</v>
      </c>
      <c r="Y3" s="49">
        <v>1133.71</v>
      </c>
      <c r="Z3" s="53">
        <f t="shared" ref="Z3:Z31" si="3">X3+Y3-X4</f>
        <v>133.71000000000004</v>
      </c>
      <c r="AA3" s="57">
        <v>102210</v>
      </c>
      <c r="AB3" s="44">
        <f>AA4-AA3</f>
        <v>71</v>
      </c>
      <c r="AC3" s="57">
        <v>248.6</v>
      </c>
      <c r="AD3" s="44">
        <f>AC4-AC3</f>
        <v>9.0999999999999943</v>
      </c>
      <c r="AE3" s="60">
        <v>69983</v>
      </c>
      <c r="AF3" s="44">
        <f>AE4-AE3</f>
        <v>82</v>
      </c>
      <c r="AG3" s="63">
        <v>3100</v>
      </c>
      <c r="AH3" s="74">
        <v>0</v>
      </c>
      <c r="AI3" s="53">
        <f t="shared" ref="AI3:AI32" si="4">AG4+AH3-AG3</f>
        <v>0</v>
      </c>
      <c r="AJ3" s="13">
        <v>100</v>
      </c>
      <c r="AK3" s="23">
        <v>203</v>
      </c>
    </row>
    <row r="4" spans="1:37" x14ac:dyDescent="0.2">
      <c r="A4" s="25">
        <v>45538</v>
      </c>
      <c r="B4" s="10">
        <v>31941547</v>
      </c>
      <c r="C4" s="67">
        <f t="shared" ref="C4:C31" si="5">B5-B4</f>
        <v>5216</v>
      </c>
      <c r="D4" s="11">
        <v>877038</v>
      </c>
      <c r="E4" s="17">
        <f t="shared" ref="E4:E31" si="6">D5-D4</f>
        <v>2261</v>
      </c>
      <c r="F4" s="35">
        <v>110448</v>
      </c>
      <c r="G4" s="100">
        <f t="shared" ref="G4:G31" si="7">F5-F4</f>
        <v>0</v>
      </c>
      <c r="H4" s="104">
        <f t="shared" si="1"/>
        <v>7477</v>
      </c>
      <c r="I4" s="110">
        <f t="shared" si="2"/>
        <v>6333.3333333327901</v>
      </c>
      <c r="J4" s="97">
        <v>4649791.5999999996</v>
      </c>
      <c r="K4" s="44">
        <f t="shared" ref="K4:K31" si="8">J5-J4</f>
        <v>949.60000000055879</v>
      </c>
      <c r="L4" s="15">
        <v>465133</v>
      </c>
      <c r="M4" s="44">
        <f t="shared" ref="M4:M31" si="9">L5-L4</f>
        <v>47</v>
      </c>
      <c r="N4" s="15">
        <v>121845.42000000001</v>
      </c>
      <c r="O4" s="44">
        <f t="shared" ref="O4:O31" si="10">N5-N4</f>
        <v>70.459999999991851</v>
      </c>
      <c r="P4" s="97">
        <v>173833.91333333333</v>
      </c>
      <c r="Q4" s="66">
        <f t="shared" ref="Q4:Q31" si="11">P5-P4</f>
        <v>76.606666666659294</v>
      </c>
      <c r="R4" s="25">
        <f t="shared" ref="R4:R32" si="12">A4</f>
        <v>45538</v>
      </c>
      <c r="S4" s="42">
        <v>4787</v>
      </c>
      <c r="T4" s="43">
        <v>0</v>
      </c>
      <c r="U4" s="44">
        <f t="shared" ref="U4:U31" si="13">S4+T4-S5</f>
        <v>97</v>
      </c>
      <c r="V4" s="20">
        <v>0.79</v>
      </c>
      <c r="W4" s="51">
        <v>0.79</v>
      </c>
      <c r="X4" s="52">
        <f t="shared" si="0"/>
        <v>3950</v>
      </c>
      <c r="Y4" s="49"/>
      <c r="Z4" s="53">
        <f t="shared" si="3"/>
        <v>175</v>
      </c>
      <c r="AA4" s="57">
        <v>102281</v>
      </c>
      <c r="AB4" s="44">
        <f t="shared" ref="AB4:AB31" si="14">AA5-AA4</f>
        <v>70</v>
      </c>
      <c r="AC4" s="57">
        <v>257.7</v>
      </c>
      <c r="AD4" s="44">
        <f t="shared" ref="AD4:AD31" si="15">AC5-AC4</f>
        <v>9.5</v>
      </c>
      <c r="AE4" s="60">
        <v>70065</v>
      </c>
      <c r="AF4" s="44">
        <f t="shared" ref="AF4:AF31" si="16">AE5-AE4</f>
        <v>48</v>
      </c>
      <c r="AG4" s="63">
        <v>3100</v>
      </c>
      <c r="AH4" s="74">
        <v>0</v>
      </c>
      <c r="AI4" s="53">
        <f t="shared" si="4"/>
        <v>0</v>
      </c>
      <c r="AJ4" s="13">
        <v>107</v>
      </c>
      <c r="AK4" s="23">
        <v>214</v>
      </c>
    </row>
    <row r="5" spans="1:37" x14ac:dyDescent="0.2">
      <c r="A5" s="25">
        <v>45539</v>
      </c>
      <c r="B5" s="10">
        <v>31946763</v>
      </c>
      <c r="C5" s="67">
        <f t="shared" si="5"/>
        <v>5851</v>
      </c>
      <c r="D5" s="11">
        <v>879299</v>
      </c>
      <c r="E5" s="17">
        <f t="shared" si="6"/>
        <v>2059</v>
      </c>
      <c r="F5" s="35">
        <v>110448</v>
      </c>
      <c r="G5" s="100">
        <f t="shared" si="7"/>
        <v>0</v>
      </c>
      <c r="H5" s="104">
        <f t="shared" si="1"/>
        <v>7910</v>
      </c>
      <c r="I5" s="110">
        <f t="shared" si="2"/>
        <v>6744.7333333328133</v>
      </c>
      <c r="J5" s="97">
        <v>4650741.2</v>
      </c>
      <c r="K5" s="44">
        <f t="shared" si="8"/>
        <v>971.20000000018626</v>
      </c>
      <c r="L5" s="15">
        <v>465180</v>
      </c>
      <c r="M5" s="44">
        <f t="shared" si="9"/>
        <v>47</v>
      </c>
      <c r="N5" s="15">
        <v>121915.88</v>
      </c>
      <c r="O5" s="44">
        <f t="shared" si="10"/>
        <v>70.459999999991851</v>
      </c>
      <c r="P5" s="97">
        <v>173910.52</v>
      </c>
      <c r="Q5" s="66">
        <f t="shared" si="11"/>
        <v>76.60666666700854</v>
      </c>
      <c r="R5" s="25">
        <f t="shared" si="12"/>
        <v>45539</v>
      </c>
      <c r="S5" s="42">
        <v>4690</v>
      </c>
      <c r="T5" s="43">
        <v>0</v>
      </c>
      <c r="U5" s="44">
        <f t="shared" si="13"/>
        <v>0</v>
      </c>
      <c r="V5" s="20">
        <v>0.76</v>
      </c>
      <c r="W5" s="51">
        <v>0.75</v>
      </c>
      <c r="X5" s="52">
        <f t="shared" si="0"/>
        <v>3775</v>
      </c>
      <c r="Y5" s="49"/>
      <c r="Z5" s="53">
        <f t="shared" si="3"/>
        <v>125</v>
      </c>
      <c r="AA5" s="57">
        <v>102351</v>
      </c>
      <c r="AB5" s="44">
        <f t="shared" si="14"/>
        <v>65</v>
      </c>
      <c r="AC5" s="57">
        <v>267.2</v>
      </c>
      <c r="AD5" s="44">
        <f t="shared" si="15"/>
        <v>5.1999999999999886</v>
      </c>
      <c r="AE5" s="60">
        <v>70113</v>
      </c>
      <c r="AF5" s="44">
        <f t="shared" si="16"/>
        <v>48</v>
      </c>
      <c r="AG5" s="63">
        <v>3100</v>
      </c>
      <c r="AH5" s="74">
        <v>0</v>
      </c>
      <c r="AI5" s="53">
        <f t="shared" si="4"/>
        <v>0</v>
      </c>
      <c r="AJ5" s="13">
        <v>120</v>
      </c>
      <c r="AK5" s="23">
        <v>245</v>
      </c>
    </row>
    <row r="6" spans="1:37" x14ac:dyDescent="0.2">
      <c r="A6" s="25">
        <v>45540</v>
      </c>
      <c r="B6" s="10">
        <v>31952614</v>
      </c>
      <c r="C6" s="67">
        <f t="shared" si="5"/>
        <v>6482</v>
      </c>
      <c r="D6" s="11">
        <v>881358</v>
      </c>
      <c r="E6" s="17">
        <f t="shared" si="6"/>
        <v>2233</v>
      </c>
      <c r="F6" s="35">
        <v>110448</v>
      </c>
      <c r="G6" s="100">
        <f t="shared" si="7"/>
        <v>0</v>
      </c>
      <c r="H6" s="104">
        <f t="shared" si="1"/>
        <v>8715</v>
      </c>
      <c r="I6" s="110">
        <f t="shared" si="2"/>
        <v>7497.7333333347487</v>
      </c>
      <c r="J6" s="97">
        <v>4651712.4000000004</v>
      </c>
      <c r="K6" s="44">
        <f t="shared" si="8"/>
        <v>1023.1999999992549</v>
      </c>
      <c r="L6" s="15">
        <v>465227</v>
      </c>
      <c r="M6" s="44">
        <f t="shared" si="9"/>
        <v>47</v>
      </c>
      <c r="N6" s="15">
        <v>121986.34</v>
      </c>
      <c r="O6" s="44">
        <f t="shared" si="10"/>
        <v>70.460000000006403</v>
      </c>
      <c r="P6" s="97">
        <v>173987.126666667</v>
      </c>
      <c r="Q6" s="66">
        <f t="shared" si="11"/>
        <v>76.606666665989906</v>
      </c>
      <c r="R6" s="25">
        <f t="shared" si="12"/>
        <v>45540</v>
      </c>
      <c r="S6" s="42">
        <v>4690</v>
      </c>
      <c r="T6" s="43">
        <v>0</v>
      </c>
      <c r="U6" s="44">
        <f t="shared" si="13"/>
        <v>96</v>
      </c>
      <c r="V6" s="20">
        <v>0.73</v>
      </c>
      <c r="W6" s="51">
        <v>0.73</v>
      </c>
      <c r="X6" s="52">
        <f t="shared" si="0"/>
        <v>3650</v>
      </c>
      <c r="Y6" s="49"/>
      <c r="Z6" s="53">
        <f t="shared" si="3"/>
        <v>150</v>
      </c>
      <c r="AA6" s="57">
        <v>102416</v>
      </c>
      <c r="AB6" s="44">
        <f t="shared" si="14"/>
        <v>84</v>
      </c>
      <c r="AC6" s="57">
        <v>272.39999999999998</v>
      </c>
      <c r="AD6" s="44">
        <f t="shared" si="15"/>
        <v>10.5</v>
      </c>
      <c r="AE6" s="60">
        <v>70161</v>
      </c>
      <c r="AF6" s="44">
        <f t="shared" si="16"/>
        <v>60</v>
      </c>
      <c r="AG6" s="63">
        <v>3100</v>
      </c>
      <c r="AH6" s="74">
        <v>0</v>
      </c>
      <c r="AI6" s="53">
        <f t="shared" si="4"/>
        <v>0</v>
      </c>
      <c r="AJ6" s="13">
        <v>129</v>
      </c>
      <c r="AK6" s="23">
        <v>257</v>
      </c>
    </row>
    <row r="7" spans="1:37" x14ac:dyDescent="0.2">
      <c r="A7" s="25">
        <v>45541</v>
      </c>
      <c r="B7" s="10">
        <v>31959096</v>
      </c>
      <c r="C7" s="67">
        <f t="shared" si="5"/>
        <v>6966</v>
      </c>
      <c r="D7" s="11">
        <v>883591</v>
      </c>
      <c r="E7" s="17">
        <f t="shared" si="6"/>
        <v>2252</v>
      </c>
      <c r="F7" s="35">
        <v>110448</v>
      </c>
      <c r="G7" s="100">
        <f t="shared" si="7"/>
        <v>0</v>
      </c>
      <c r="H7" s="104">
        <f t="shared" si="1"/>
        <v>9218</v>
      </c>
      <c r="I7" s="110">
        <f t="shared" si="2"/>
        <v>7951.9333333329996</v>
      </c>
      <c r="J7" s="97">
        <v>4652735.5999999996</v>
      </c>
      <c r="K7" s="44">
        <f t="shared" si="8"/>
        <v>1072</v>
      </c>
      <c r="L7" s="15">
        <v>465274</v>
      </c>
      <c r="M7" s="44">
        <f t="shared" si="9"/>
        <v>47</v>
      </c>
      <c r="N7" s="15">
        <v>122056.8</v>
      </c>
      <c r="O7" s="44">
        <f t="shared" si="10"/>
        <v>70.459999999991851</v>
      </c>
      <c r="P7" s="97">
        <v>174063.73333333299</v>
      </c>
      <c r="Q7" s="66">
        <f t="shared" si="11"/>
        <v>76.60666666700854</v>
      </c>
      <c r="R7" s="25">
        <f t="shared" si="12"/>
        <v>45541</v>
      </c>
      <c r="S7" s="42">
        <v>4594</v>
      </c>
      <c r="T7" s="43">
        <v>0</v>
      </c>
      <c r="U7" s="44">
        <f t="shared" si="13"/>
        <v>0</v>
      </c>
      <c r="V7" s="20">
        <v>0.7</v>
      </c>
      <c r="W7" s="51">
        <v>0.7</v>
      </c>
      <c r="X7" s="52">
        <f t="shared" si="0"/>
        <v>3500</v>
      </c>
      <c r="Y7" s="49"/>
      <c r="Z7" s="53">
        <f t="shared" si="3"/>
        <v>50.000000000000455</v>
      </c>
      <c r="AA7" s="57">
        <v>102500</v>
      </c>
      <c r="AB7" s="44">
        <f t="shared" si="14"/>
        <v>92</v>
      </c>
      <c r="AC7" s="57">
        <v>282.89999999999998</v>
      </c>
      <c r="AD7" s="44">
        <f t="shared" si="15"/>
        <v>14.900000000000034</v>
      </c>
      <c r="AE7" s="60">
        <v>70221</v>
      </c>
      <c r="AF7" s="44">
        <f t="shared" si="16"/>
        <v>43</v>
      </c>
      <c r="AG7" s="63">
        <v>3100</v>
      </c>
      <c r="AH7" s="74">
        <v>0</v>
      </c>
      <c r="AI7" s="53">
        <f t="shared" si="4"/>
        <v>0</v>
      </c>
      <c r="AJ7" s="13">
        <v>157</v>
      </c>
      <c r="AK7" s="23">
        <v>312</v>
      </c>
    </row>
    <row r="8" spans="1:37" x14ac:dyDescent="0.2">
      <c r="A8" s="25">
        <v>45542</v>
      </c>
      <c r="B8" s="10">
        <v>31966062</v>
      </c>
      <c r="C8" s="67">
        <f t="shared" si="5"/>
        <v>7326</v>
      </c>
      <c r="D8" s="11">
        <v>885843</v>
      </c>
      <c r="E8" s="17">
        <f t="shared" si="6"/>
        <v>2186</v>
      </c>
      <c r="F8" s="35">
        <v>110448</v>
      </c>
      <c r="G8" s="100">
        <f t="shared" si="7"/>
        <v>0</v>
      </c>
      <c r="H8" s="104">
        <f t="shared" si="1"/>
        <v>9512</v>
      </c>
      <c r="I8" s="110">
        <f t="shared" si="2"/>
        <v>8193.9333333329851</v>
      </c>
      <c r="J8" s="97">
        <v>4653807.5999999996</v>
      </c>
      <c r="K8" s="44">
        <f t="shared" si="8"/>
        <v>1124</v>
      </c>
      <c r="L8" s="15">
        <v>465321</v>
      </c>
      <c r="M8" s="44">
        <f t="shared" si="9"/>
        <v>47</v>
      </c>
      <c r="N8" s="15">
        <v>122127.26</v>
      </c>
      <c r="O8" s="44">
        <f t="shared" si="10"/>
        <v>70.460000000006403</v>
      </c>
      <c r="P8" s="97">
        <v>174140.34</v>
      </c>
      <c r="Q8" s="66">
        <f t="shared" si="11"/>
        <v>76.60666666700854</v>
      </c>
      <c r="R8" s="25">
        <f t="shared" si="12"/>
        <v>45542</v>
      </c>
      <c r="S8" s="42">
        <v>4594</v>
      </c>
      <c r="T8" s="43">
        <v>0</v>
      </c>
      <c r="U8" s="44">
        <f t="shared" si="13"/>
        <v>97</v>
      </c>
      <c r="V8" s="20">
        <v>0.69</v>
      </c>
      <c r="W8" s="51">
        <v>0.69</v>
      </c>
      <c r="X8" s="52">
        <f t="shared" si="0"/>
        <v>3449.9999999999995</v>
      </c>
      <c r="Y8" s="49"/>
      <c r="Z8" s="53">
        <f t="shared" si="3"/>
        <v>249.99999999999955</v>
      </c>
      <c r="AA8" s="57">
        <v>102592</v>
      </c>
      <c r="AB8" s="44">
        <f t="shared" si="14"/>
        <v>86</v>
      </c>
      <c r="AC8" s="57">
        <v>297.8</v>
      </c>
      <c r="AD8" s="44">
        <f t="shared" si="15"/>
        <v>9.1999999999999886</v>
      </c>
      <c r="AE8" s="60">
        <v>70264</v>
      </c>
      <c r="AF8" s="44">
        <f t="shared" si="16"/>
        <v>43</v>
      </c>
      <c r="AG8" s="63">
        <v>3100</v>
      </c>
      <c r="AH8" s="74">
        <v>0</v>
      </c>
      <c r="AI8" s="53">
        <f t="shared" si="4"/>
        <v>0</v>
      </c>
      <c r="AJ8" s="13">
        <v>175</v>
      </c>
      <c r="AK8" s="23">
        <v>351</v>
      </c>
    </row>
    <row r="9" spans="1:37" x14ac:dyDescent="0.2">
      <c r="A9" s="25">
        <v>45543</v>
      </c>
      <c r="B9" s="10">
        <v>31973388</v>
      </c>
      <c r="C9" s="67">
        <f t="shared" si="5"/>
        <v>7453</v>
      </c>
      <c r="D9" s="11">
        <v>888029</v>
      </c>
      <c r="E9" s="17">
        <f t="shared" si="6"/>
        <v>2203</v>
      </c>
      <c r="F9" s="35">
        <v>110448</v>
      </c>
      <c r="G9" s="100">
        <f t="shared" si="7"/>
        <v>0</v>
      </c>
      <c r="H9" s="104">
        <f t="shared" si="1"/>
        <v>9656</v>
      </c>
      <c r="I9" s="110">
        <f t="shared" si="2"/>
        <v>8321.9333333340182</v>
      </c>
      <c r="J9" s="97">
        <v>4654931.5999999996</v>
      </c>
      <c r="K9" s="44">
        <f t="shared" si="8"/>
        <v>1140</v>
      </c>
      <c r="L9" s="15">
        <v>465368</v>
      </c>
      <c r="M9" s="44">
        <f t="shared" si="9"/>
        <v>47</v>
      </c>
      <c r="N9" s="15">
        <v>122197.72</v>
      </c>
      <c r="O9" s="44">
        <f t="shared" si="10"/>
        <v>70.459999999991851</v>
      </c>
      <c r="P9" s="97">
        <v>174216.94666666701</v>
      </c>
      <c r="Q9" s="66">
        <f t="shared" si="11"/>
        <v>76.606666665989906</v>
      </c>
      <c r="R9" s="25">
        <f t="shared" si="12"/>
        <v>45543</v>
      </c>
      <c r="S9" s="42">
        <v>4497</v>
      </c>
      <c r="T9" s="43">
        <v>0</v>
      </c>
      <c r="U9" s="44">
        <f t="shared" si="13"/>
        <v>191</v>
      </c>
      <c r="V9" s="20">
        <v>0.65</v>
      </c>
      <c r="W9" s="51">
        <v>0.63</v>
      </c>
      <c r="X9" s="52">
        <f t="shared" si="0"/>
        <v>3200</v>
      </c>
      <c r="Y9" s="49"/>
      <c r="Z9" s="53">
        <f t="shared" si="3"/>
        <v>200</v>
      </c>
      <c r="AA9" s="57">
        <v>102678</v>
      </c>
      <c r="AB9" s="44">
        <f t="shared" si="14"/>
        <v>92</v>
      </c>
      <c r="AC9" s="57">
        <v>307</v>
      </c>
      <c r="AD9" s="44">
        <f t="shared" si="15"/>
        <v>7.1000000000000227</v>
      </c>
      <c r="AE9" s="60">
        <v>70307</v>
      </c>
      <c r="AF9" s="44">
        <f t="shared" si="16"/>
        <v>22</v>
      </c>
      <c r="AG9" s="63">
        <v>3100</v>
      </c>
      <c r="AH9" s="74">
        <v>0</v>
      </c>
      <c r="AI9" s="53">
        <f t="shared" si="4"/>
        <v>0</v>
      </c>
      <c r="AJ9" s="13">
        <v>145</v>
      </c>
      <c r="AK9" s="23">
        <v>276</v>
      </c>
    </row>
    <row r="10" spans="1:37" x14ac:dyDescent="0.2">
      <c r="A10" s="25">
        <v>45544</v>
      </c>
      <c r="B10" s="10">
        <v>31980841</v>
      </c>
      <c r="C10" s="67">
        <f t="shared" si="5"/>
        <v>6328</v>
      </c>
      <c r="D10" s="11">
        <v>890232</v>
      </c>
      <c r="E10" s="17">
        <f t="shared" si="6"/>
        <v>2213</v>
      </c>
      <c r="F10" s="35">
        <v>110448</v>
      </c>
      <c r="G10" s="100">
        <f t="shared" si="7"/>
        <v>0</v>
      </c>
      <c r="H10" s="104">
        <f t="shared" si="1"/>
        <v>8541</v>
      </c>
      <c r="I10" s="110">
        <f t="shared" si="2"/>
        <v>7393.3333333324263</v>
      </c>
      <c r="J10" s="97">
        <v>4656071.5999999996</v>
      </c>
      <c r="K10" s="44">
        <f t="shared" si="8"/>
        <v>953.60000000055879</v>
      </c>
      <c r="L10" s="15">
        <v>465415</v>
      </c>
      <c r="M10" s="44">
        <f t="shared" si="9"/>
        <v>47</v>
      </c>
      <c r="N10" s="15">
        <v>122268.18</v>
      </c>
      <c r="O10" s="44">
        <f t="shared" si="10"/>
        <v>70.460000000006403</v>
      </c>
      <c r="P10" s="97">
        <v>174293.55333333299</v>
      </c>
      <c r="Q10" s="66">
        <f t="shared" si="11"/>
        <v>76.60666666700854</v>
      </c>
      <c r="R10" s="25">
        <f t="shared" si="12"/>
        <v>45544</v>
      </c>
      <c r="S10" s="42">
        <v>4306</v>
      </c>
      <c r="T10" s="43">
        <v>0</v>
      </c>
      <c r="U10" s="44">
        <f t="shared" si="13"/>
        <v>0</v>
      </c>
      <c r="V10" s="20">
        <v>0.6</v>
      </c>
      <c r="W10" s="51">
        <v>0.6</v>
      </c>
      <c r="X10" s="52">
        <f t="shared" si="0"/>
        <v>3000</v>
      </c>
      <c r="Y10" s="49">
        <v>1073.42</v>
      </c>
      <c r="Z10" s="53">
        <f t="shared" si="3"/>
        <v>148.42000000000007</v>
      </c>
      <c r="AA10" s="57">
        <v>102770</v>
      </c>
      <c r="AB10" s="44">
        <f t="shared" si="14"/>
        <v>80</v>
      </c>
      <c r="AC10" s="57">
        <v>314.10000000000002</v>
      </c>
      <c r="AD10" s="44">
        <f t="shared" si="15"/>
        <v>8</v>
      </c>
      <c r="AE10" s="60">
        <v>70329</v>
      </c>
      <c r="AF10" s="44">
        <f t="shared" si="16"/>
        <v>41</v>
      </c>
      <c r="AG10" s="63">
        <v>3100</v>
      </c>
      <c r="AH10" s="74">
        <v>0</v>
      </c>
      <c r="AI10" s="53">
        <f t="shared" si="4"/>
        <v>0</v>
      </c>
      <c r="AJ10" s="13">
        <v>161</v>
      </c>
      <c r="AK10" s="23">
        <v>269</v>
      </c>
    </row>
    <row r="11" spans="1:37" x14ac:dyDescent="0.2">
      <c r="A11" s="25">
        <v>45545</v>
      </c>
      <c r="B11" s="10">
        <v>31987169</v>
      </c>
      <c r="C11" s="67">
        <f t="shared" si="5"/>
        <v>6441</v>
      </c>
      <c r="D11" s="11">
        <v>892445</v>
      </c>
      <c r="E11" s="17">
        <f t="shared" si="6"/>
        <v>2249</v>
      </c>
      <c r="F11" s="35">
        <v>110448</v>
      </c>
      <c r="G11" s="100">
        <f t="shared" si="7"/>
        <v>0</v>
      </c>
      <c r="H11" s="104">
        <f t="shared" si="1"/>
        <v>8690</v>
      </c>
      <c r="I11" s="110">
        <f t="shared" si="2"/>
        <v>7425.1333333331713</v>
      </c>
      <c r="J11" s="97">
        <v>4657025.2</v>
      </c>
      <c r="K11" s="44">
        <f t="shared" si="8"/>
        <v>1070.7999999998137</v>
      </c>
      <c r="L11" s="15">
        <v>465462</v>
      </c>
      <c r="M11" s="44">
        <f t="shared" si="9"/>
        <v>47</v>
      </c>
      <c r="N11" s="15">
        <v>122338.64</v>
      </c>
      <c r="O11" s="44">
        <f t="shared" si="10"/>
        <v>70.460000000006403</v>
      </c>
      <c r="P11" s="97">
        <v>174370.16</v>
      </c>
      <c r="Q11" s="66">
        <f t="shared" si="11"/>
        <v>76.60666666700854</v>
      </c>
      <c r="R11" s="25">
        <f t="shared" si="12"/>
        <v>45545</v>
      </c>
      <c r="S11" s="42">
        <v>4306</v>
      </c>
      <c r="T11" s="43">
        <v>0</v>
      </c>
      <c r="U11" s="44">
        <f t="shared" si="13"/>
        <v>95</v>
      </c>
      <c r="V11" s="20">
        <v>0.78</v>
      </c>
      <c r="W11" s="51">
        <v>0.79</v>
      </c>
      <c r="X11" s="52">
        <f t="shared" si="0"/>
        <v>3925</v>
      </c>
      <c r="Y11" s="49"/>
      <c r="Z11" s="53">
        <f t="shared" si="3"/>
        <v>225</v>
      </c>
      <c r="AA11" s="57">
        <v>102850</v>
      </c>
      <c r="AB11" s="44">
        <f t="shared" si="14"/>
        <v>81</v>
      </c>
      <c r="AC11" s="57">
        <v>322.10000000000002</v>
      </c>
      <c r="AD11" s="44">
        <f t="shared" si="15"/>
        <v>8.2999999999999545</v>
      </c>
      <c r="AE11" s="60">
        <v>70370</v>
      </c>
      <c r="AF11" s="44">
        <f t="shared" si="16"/>
        <v>67</v>
      </c>
      <c r="AG11" s="63">
        <v>3100</v>
      </c>
      <c r="AH11" s="74">
        <v>0</v>
      </c>
      <c r="AI11" s="53">
        <f t="shared" si="4"/>
        <v>0</v>
      </c>
      <c r="AJ11" s="13">
        <v>157</v>
      </c>
      <c r="AK11" s="23">
        <v>289</v>
      </c>
    </row>
    <row r="12" spans="1:37" x14ac:dyDescent="0.2">
      <c r="A12" s="25">
        <v>45546</v>
      </c>
      <c r="B12" s="10">
        <v>31993610</v>
      </c>
      <c r="C12" s="67">
        <f t="shared" si="5"/>
        <v>7010</v>
      </c>
      <c r="D12" s="11">
        <v>894694</v>
      </c>
      <c r="E12" s="17">
        <f t="shared" si="6"/>
        <v>2227</v>
      </c>
      <c r="F12" s="35">
        <v>110448</v>
      </c>
      <c r="G12" s="100">
        <f t="shared" si="7"/>
        <v>0</v>
      </c>
      <c r="H12" s="104">
        <f t="shared" si="1"/>
        <v>9237</v>
      </c>
      <c r="I12" s="110">
        <f t="shared" si="2"/>
        <v>7949.733333333832</v>
      </c>
      <c r="J12" s="97">
        <v>4658096</v>
      </c>
      <c r="K12" s="44">
        <f t="shared" si="8"/>
        <v>1093.2000000001863</v>
      </c>
      <c r="L12" s="15">
        <v>465509</v>
      </c>
      <c r="M12" s="44">
        <f t="shared" si="9"/>
        <v>47</v>
      </c>
      <c r="N12" s="15">
        <v>122409.1</v>
      </c>
      <c r="O12" s="44">
        <f t="shared" si="10"/>
        <v>70.459999999991851</v>
      </c>
      <c r="P12" s="97">
        <v>174446.76666666701</v>
      </c>
      <c r="Q12" s="66">
        <f t="shared" si="11"/>
        <v>76.606666665989906</v>
      </c>
      <c r="R12" s="25">
        <f t="shared" si="12"/>
        <v>45546</v>
      </c>
      <c r="S12" s="42">
        <v>4211</v>
      </c>
      <c r="T12" s="43">
        <v>0</v>
      </c>
      <c r="U12" s="44">
        <f t="shared" si="13"/>
        <v>188</v>
      </c>
      <c r="V12" s="20">
        <v>0.73</v>
      </c>
      <c r="W12" s="51">
        <v>0.75</v>
      </c>
      <c r="X12" s="52">
        <f t="shared" si="0"/>
        <v>3700</v>
      </c>
      <c r="Y12" s="49"/>
      <c r="Z12" s="53">
        <f t="shared" si="3"/>
        <v>200</v>
      </c>
      <c r="AA12" s="57">
        <v>102931</v>
      </c>
      <c r="AB12" s="44">
        <f t="shared" si="14"/>
        <v>87</v>
      </c>
      <c r="AC12" s="57">
        <v>330.4</v>
      </c>
      <c r="AD12" s="44">
        <f t="shared" si="15"/>
        <v>11.5</v>
      </c>
      <c r="AE12" s="60">
        <v>70437</v>
      </c>
      <c r="AF12" s="44">
        <f t="shared" si="16"/>
        <v>70</v>
      </c>
      <c r="AG12" s="63">
        <v>3100</v>
      </c>
      <c r="AH12" s="74">
        <v>0</v>
      </c>
      <c r="AI12" s="53">
        <f t="shared" si="4"/>
        <v>0</v>
      </c>
      <c r="AJ12" s="13">
        <v>152</v>
      </c>
      <c r="AK12" s="23">
        <v>292</v>
      </c>
    </row>
    <row r="13" spans="1:37" x14ac:dyDescent="0.2">
      <c r="A13" s="25">
        <v>45547</v>
      </c>
      <c r="B13" s="10">
        <v>32000620</v>
      </c>
      <c r="C13" s="67">
        <f t="shared" si="5"/>
        <v>7136</v>
      </c>
      <c r="D13" s="11">
        <v>896921</v>
      </c>
      <c r="E13" s="17">
        <f t="shared" si="6"/>
        <v>2162</v>
      </c>
      <c r="F13" s="35">
        <v>110448</v>
      </c>
      <c r="G13" s="100">
        <f t="shared" si="7"/>
        <v>0</v>
      </c>
      <c r="H13" s="104">
        <f t="shared" si="1"/>
        <v>9298</v>
      </c>
      <c r="I13" s="110">
        <f t="shared" si="2"/>
        <v>8086.7333333327988</v>
      </c>
      <c r="J13" s="97">
        <v>4659189.2</v>
      </c>
      <c r="K13" s="44">
        <f t="shared" si="8"/>
        <v>1017.2000000001863</v>
      </c>
      <c r="L13" s="15">
        <v>465556</v>
      </c>
      <c r="M13" s="44">
        <f t="shared" si="9"/>
        <v>47</v>
      </c>
      <c r="N13" s="15">
        <v>122479.56</v>
      </c>
      <c r="O13" s="44">
        <f t="shared" si="10"/>
        <v>70.460000000006403</v>
      </c>
      <c r="P13" s="97">
        <v>174523.373333333</v>
      </c>
      <c r="Q13" s="66">
        <f t="shared" si="11"/>
        <v>76.60666666700854</v>
      </c>
      <c r="R13" s="25">
        <f t="shared" si="12"/>
        <v>45547</v>
      </c>
      <c r="S13" s="42">
        <v>4023</v>
      </c>
      <c r="T13" s="43">
        <v>0</v>
      </c>
      <c r="U13" s="44">
        <f t="shared" si="13"/>
        <v>0</v>
      </c>
      <c r="V13" s="20">
        <v>0.69</v>
      </c>
      <c r="W13" s="51">
        <v>0.71</v>
      </c>
      <c r="X13" s="52">
        <f t="shared" si="0"/>
        <v>3500</v>
      </c>
      <c r="Y13" s="49"/>
      <c r="Z13" s="53">
        <f t="shared" si="3"/>
        <v>25</v>
      </c>
      <c r="AA13" s="57">
        <v>103018</v>
      </c>
      <c r="AB13" s="44">
        <f t="shared" si="14"/>
        <v>83</v>
      </c>
      <c r="AC13" s="57">
        <v>341.9</v>
      </c>
      <c r="AD13" s="44">
        <f t="shared" si="15"/>
        <v>4.6000000000000227</v>
      </c>
      <c r="AE13" s="60">
        <v>70507</v>
      </c>
      <c r="AF13" s="44">
        <f t="shared" si="16"/>
        <v>31</v>
      </c>
      <c r="AG13" s="63">
        <v>3100</v>
      </c>
      <c r="AH13" s="74">
        <v>0</v>
      </c>
      <c r="AI13" s="53">
        <f t="shared" si="4"/>
        <v>0</v>
      </c>
      <c r="AJ13" s="13">
        <v>169</v>
      </c>
      <c r="AK13" s="23">
        <v>321</v>
      </c>
    </row>
    <row r="14" spans="1:37" x14ac:dyDescent="0.2">
      <c r="A14" s="25">
        <v>45548</v>
      </c>
      <c r="B14" s="10">
        <v>32007756</v>
      </c>
      <c r="C14" s="67">
        <f t="shared" si="5"/>
        <v>7019</v>
      </c>
      <c r="D14" s="11">
        <v>899083</v>
      </c>
      <c r="E14" s="17">
        <f t="shared" si="6"/>
        <v>2200</v>
      </c>
      <c r="F14" s="35">
        <v>110448</v>
      </c>
      <c r="G14" s="100">
        <f t="shared" si="7"/>
        <v>0</v>
      </c>
      <c r="H14" s="104">
        <f t="shared" si="1"/>
        <v>9219</v>
      </c>
      <c r="I14" s="110">
        <f t="shared" si="2"/>
        <v>7854.9333333330287</v>
      </c>
      <c r="J14" s="97">
        <v>4660206.4000000004</v>
      </c>
      <c r="K14" s="44">
        <f t="shared" si="8"/>
        <v>1170</v>
      </c>
      <c r="L14" s="15">
        <v>465603</v>
      </c>
      <c r="M14" s="44">
        <f t="shared" si="9"/>
        <v>47</v>
      </c>
      <c r="N14" s="15">
        <v>122550.02</v>
      </c>
      <c r="O14" s="44">
        <f t="shared" si="10"/>
        <v>70.459999999991851</v>
      </c>
      <c r="P14" s="97">
        <v>174599.98</v>
      </c>
      <c r="Q14" s="66">
        <f t="shared" si="11"/>
        <v>76.606666666979436</v>
      </c>
      <c r="R14" s="25">
        <f t="shared" si="12"/>
        <v>45548</v>
      </c>
      <c r="S14" s="42">
        <v>4023</v>
      </c>
      <c r="T14" s="43">
        <v>0</v>
      </c>
      <c r="U14" s="44">
        <f t="shared" si="13"/>
        <v>123</v>
      </c>
      <c r="V14" s="20">
        <v>0.69</v>
      </c>
      <c r="W14" s="51">
        <v>0.7</v>
      </c>
      <c r="X14" s="52">
        <f t="shared" si="0"/>
        <v>3475</v>
      </c>
      <c r="Y14" s="49"/>
      <c r="Z14" s="53">
        <f t="shared" si="3"/>
        <v>250</v>
      </c>
      <c r="AA14" s="57">
        <v>103101</v>
      </c>
      <c r="AB14" s="44">
        <f t="shared" si="14"/>
        <v>106</v>
      </c>
      <c r="AC14" s="57">
        <v>346.5</v>
      </c>
      <c r="AD14" s="44">
        <f t="shared" si="15"/>
        <v>17.600000000000023</v>
      </c>
      <c r="AE14" s="60">
        <v>70538</v>
      </c>
      <c r="AF14" s="44">
        <f t="shared" si="16"/>
        <v>54</v>
      </c>
      <c r="AG14" s="63">
        <v>3100</v>
      </c>
      <c r="AH14" s="74">
        <v>0</v>
      </c>
      <c r="AI14" s="53">
        <f t="shared" si="4"/>
        <v>0</v>
      </c>
      <c r="AJ14" s="13">
        <v>186</v>
      </c>
      <c r="AK14" s="23">
        <v>369</v>
      </c>
    </row>
    <row r="15" spans="1:37" x14ac:dyDescent="0.2">
      <c r="A15" s="25">
        <v>45549</v>
      </c>
      <c r="B15" s="10">
        <v>32014775</v>
      </c>
      <c r="C15" s="67">
        <f t="shared" si="5"/>
        <v>7529</v>
      </c>
      <c r="D15" s="11">
        <v>901283</v>
      </c>
      <c r="E15" s="17">
        <f t="shared" si="6"/>
        <v>2127</v>
      </c>
      <c r="F15" s="35">
        <v>110448</v>
      </c>
      <c r="G15" s="100">
        <f t="shared" si="7"/>
        <v>0</v>
      </c>
      <c r="H15" s="104">
        <f t="shared" si="1"/>
        <v>9656</v>
      </c>
      <c r="I15" s="110">
        <f t="shared" si="2"/>
        <v>8237.9333333339746</v>
      </c>
      <c r="J15" s="97">
        <v>4661376.4000000004</v>
      </c>
      <c r="K15" s="44">
        <f t="shared" si="8"/>
        <v>1224</v>
      </c>
      <c r="L15" s="15">
        <v>465650</v>
      </c>
      <c r="M15" s="44">
        <f t="shared" si="9"/>
        <v>47</v>
      </c>
      <c r="N15" s="15">
        <v>122620.48</v>
      </c>
      <c r="O15" s="44">
        <f t="shared" si="10"/>
        <v>70.460000000006403</v>
      </c>
      <c r="P15" s="97">
        <v>174676.58666666699</v>
      </c>
      <c r="Q15" s="66">
        <f t="shared" si="11"/>
        <v>76.606666666019009</v>
      </c>
      <c r="R15" s="25">
        <f t="shared" si="12"/>
        <v>45549</v>
      </c>
      <c r="S15" s="42">
        <v>3900</v>
      </c>
      <c r="T15" s="43">
        <v>0</v>
      </c>
      <c r="U15" s="44">
        <f t="shared" si="13"/>
        <v>157</v>
      </c>
      <c r="V15" s="20">
        <v>0.64</v>
      </c>
      <c r="W15" s="51">
        <v>0.65</v>
      </c>
      <c r="X15" s="52">
        <f t="shared" si="0"/>
        <v>3225</v>
      </c>
      <c r="Y15" s="49"/>
      <c r="Z15" s="53">
        <f t="shared" si="3"/>
        <v>25</v>
      </c>
      <c r="AA15" s="57">
        <v>103207</v>
      </c>
      <c r="AB15" s="44">
        <f t="shared" si="14"/>
        <v>102</v>
      </c>
      <c r="AC15" s="57">
        <v>364.1</v>
      </c>
      <c r="AD15" s="44">
        <f t="shared" si="15"/>
        <v>7</v>
      </c>
      <c r="AE15" s="60">
        <v>70592</v>
      </c>
      <c r="AF15" s="44">
        <f t="shared" si="16"/>
        <v>23</v>
      </c>
      <c r="AG15" s="63">
        <v>3100</v>
      </c>
      <c r="AH15" s="74">
        <v>0</v>
      </c>
      <c r="AI15" s="53">
        <f t="shared" si="4"/>
        <v>0</v>
      </c>
      <c r="AJ15" s="13">
        <v>184</v>
      </c>
      <c r="AK15" s="23">
        <v>368</v>
      </c>
    </row>
    <row r="16" spans="1:37" x14ac:dyDescent="0.2">
      <c r="A16" s="25">
        <v>45550</v>
      </c>
      <c r="B16" s="10">
        <v>32022304</v>
      </c>
      <c r="C16" s="67">
        <f t="shared" si="5"/>
        <v>6046</v>
      </c>
      <c r="D16" s="11">
        <v>903410</v>
      </c>
      <c r="E16" s="17">
        <f t="shared" si="6"/>
        <v>2021</v>
      </c>
      <c r="F16" s="35">
        <v>110448</v>
      </c>
      <c r="G16" s="100">
        <f t="shared" si="7"/>
        <v>0</v>
      </c>
      <c r="H16" s="104">
        <f t="shared" si="1"/>
        <v>8067</v>
      </c>
      <c r="I16" s="110">
        <f t="shared" si="2"/>
        <v>6843.3333333334012</v>
      </c>
      <c r="J16" s="97">
        <v>4662600.4000000004</v>
      </c>
      <c r="K16" s="44">
        <f t="shared" si="8"/>
        <v>1029.5999999996275</v>
      </c>
      <c r="L16" s="15">
        <v>465697</v>
      </c>
      <c r="M16" s="44">
        <f t="shared" si="9"/>
        <v>47</v>
      </c>
      <c r="N16" s="15">
        <v>122690.94</v>
      </c>
      <c r="O16" s="44">
        <f t="shared" si="10"/>
        <v>70.459999999991851</v>
      </c>
      <c r="P16" s="97">
        <v>174753.19333333301</v>
      </c>
      <c r="Q16" s="66">
        <f t="shared" si="11"/>
        <v>76.606666666979436</v>
      </c>
      <c r="R16" s="25">
        <f t="shared" si="12"/>
        <v>45550</v>
      </c>
      <c r="S16" s="42">
        <v>3743</v>
      </c>
      <c r="T16" s="43">
        <v>0</v>
      </c>
      <c r="U16" s="44">
        <f t="shared" si="13"/>
        <v>93</v>
      </c>
      <c r="V16" s="20">
        <v>0.65</v>
      </c>
      <c r="W16" s="51">
        <v>0.63</v>
      </c>
      <c r="X16" s="52">
        <f t="shared" si="0"/>
        <v>3200</v>
      </c>
      <c r="Y16" s="49"/>
      <c r="Z16" s="53">
        <f t="shared" si="3"/>
        <v>150</v>
      </c>
      <c r="AA16" s="57">
        <v>103309</v>
      </c>
      <c r="AB16" s="44">
        <f t="shared" si="14"/>
        <v>81</v>
      </c>
      <c r="AC16" s="57">
        <v>371.1</v>
      </c>
      <c r="AD16" s="44">
        <f t="shared" si="15"/>
        <v>11.899999999999977</v>
      </c>
      <c r="AE16" s="60">
        <v>70615</v>
      </c>
      <c r="AF16" s="44">
        <f t="shared" si="16"/>
        <v>43</v>
      </c>
      <c r="AG16" s="63">
        <v>3100</v>
      </c>
      <c r="AH16" s="74">
        <v>0</v>
      </c>
      <c r="AI16" s="53">
        <f t="shared" si="4"/>
        <v>0</v>
      </c>
      <c r="AJ16" s="13">
        <v>148</v>
      </c>
      <c r="AK16" s="23">
        <v>291</v>
      </c>
    </row>
    <row r="17" spans="1:37" x14ac:dyDescent="0.2">
      <c r="A17" s="25">
        <v>45551</v>
      </c>
      <c r="B17" s="10">
        <v>32028350</v>
      </c>
      <c r="C17" s="67">
        <f t="shared" si="5"/>
        <v>5353</v>
      </c>
      <c r="D17" s="11">
        <v>905431</v>
      </c>
      <c r="E17" s="17">
        <f t="shared" si="6"/>
        <v>2102</v>
      </c>
      <c r="F17" s="35">
        <v>110448</v>
      </c>
      <c r="G17" s="100">
        <f t="shared" si="7"/>
        <v>3</v>
      </c>
      <c r="H17" s="104">
        <f t="shared" si="1"/>
        <v>7452</v>
      </c>
      <c r="I17" s="110">
        <f t="shared" si="2"/>
        <v>6378.7333333327988</v>
      </c>
      <c r="J17" s="97">
        <v>4663630</v>
      </c>
      <c r="K17" s="44">
        <f t="shared" si="8"/>
        <v>879.20000000018626</v>
      </c>
      <c r="L17" s="15">
        <v>465744</v>
      </c>
      <c r="M17" s="44">
        <f t="shared" si="9"/>
        <v>47</v>
      </c>
      <c r="N17" s="15">
        <v>122761.4</v>
      </c>
      <c r="O17" s="44">
        <f t="shared" si="10"/>
        <v>70.460000000006403</v>
      </c>
      <c r="P17" s="97">
        <v>174829.8</v>
      </c>
      <c r="Q17" s="66">
        <f t="shared" si="11"/>
        <v>76.60666666700854</v>
      </c>
      <c r="R17" s="25">
        <f t="shared" si="12"/>
        <v>45551</v>
      </c>
      <c r="S17" s="42">
        <v>3650</v>
      </c>
      <c r="T17" s="43">
        <v>0</v>
      </c>
      <c r="U17" s="44">
        <f t="shared" si="13"/>
        <v>92</v>
      </c>
      <c r="V17" s="20">
        <v>0.63</v>
      </c>
      <c r="W17" s="51">
        <v>0.59</v>
      </c>
      <c r="X17" s="52">
        <f t="shared" si="0"/>
        <v>3050</v>
      </c>
      <c r="Y17" s="49">
        <v>1198.29</v>
      </c>
      <c r="Z17" s="53">
        <f t="shared" si="3"/>
        <v>248.28999999999996</v>
      </c>
      <c r="AA17" s="57">
        <v>103390</v>
      </c>
      <c r="AB17" s="44">
        <f t="shared" si="14"/>
        <v>89</v>
      </c>
      <c r="AC17" s="57">
        <v>383</v>
      </c>
      <c r="AD17" s="44">
        <f t="shared" si="15"/>
        <v>5.5</v>
      </c>
      <c r="AE17" s="60">
        <v>70658</v>
      </c>
      <c r="AF17" s="44">
        <f t="shared" si="16"/>
        <v>59</v>
      </c>
      <c r="AG17" s="63">
        <v>3100</v>
      </c>
      <c r="AH17" s="74">
        <v>0</v>
      </c>
      <c r="AI17" s="53">
        <f t="shared" si="4"/>
        <v>0</v>
      </c>
      <c r="AJ17" s="13">
        <v>154</v>
      </c>
      <c r="AK17" s="23">
        <v>303</v>
      </c>
    </row>
    <row r="18" spans="1:37" x14ac:dyDescent="0.2">
      <c r="A18" s="25">
        <v>45552</v>
      </c>
      <c r="B18" s="10">
        <v>32033703</v>
      </c>
      <c r="C18" s="67">
        <f t="shared" si="5"/>
        <v>5971</v>
      </c>
      <c r="D18" s="11">
        <v>907533</v>
      </c>
      <c r="E18" s="17">
        <f t="shared" si="6"/>
        <v>2015</v>
      </c>
      <c r="F18" s="35">
        <v>110451</v>
      </c>
      <c r="G18" s="100">
        <f t="shared" si="7"/>
        <v>3</v>
      </c>
      <c r="H18" s="104">
        <f t="shared" si="1"/>
        <v>7983</v>
      </c>
      <c r="I18" s="110">
        <f t="shared" si="2"/>
        <v>6812.9333333340037</v>
      </c>
      <c r="J18" s="97">
        <v>4664509.2</v>
      </c>
      <c r="K18" s="44">
        <f t="shared" si="8"/>
        <v>976</v>
      </c>
      <c r="L18" s="15">
        <v>465791</v>
      </c>
      <c r="M18" s="44">
        <f t="shared" si="9"/>
        <v>47</v>
      </c>
      <c r="N18" s="15">
        <v>122831.86</v>
      </c>
      <c r="O18" s="44">
        <f t="shared" si="10"/>
        <v>70.460000000006403</v>
      </c>
      <c r="P18" s="97">
        <v>174906.406666667</v>
      </c>
      <c r="Q18" s="66">
        <f t="shared" si="11"/>
        <v>76.606666665989906</v>
      </c>
      <c r="R18" s="25">
        <f t="shared" si="12"/>
        <v>45552</v>
      </c>
      <c r="S18" s="42">
        <v>3558</v>
      </c>
      <c r="T18" s="43">
        <v>0</v>
      </c>
      <c r="U18" s="44">
        <f t="shared" si="13"/>
        <v>182</v>
      </c>
      <c r="V18" s="20">
        <v>0.8</v>
      </c>
      <c r="W18" s="51">
        <v>0.8</v>
      </c>
      <c r="X18" s="52">
        <f t="shared" si="0"/>
        <v>4000</v>
      </c>
      <c r="Y18" s="49"/>
      <c r="Z18" s="53">
        <f t="shared" si="3"/>
        <v>225</v>
      </c>
      <c r="AA18" s="57">
        <v>103479</v>
      </c>
      <c r="AB18" s="44">
        <f t="shared" si="14"/>
        <v>91</v>
      </c>
      <c r="AC18" s="57">
        <v>388.5</v>
      </c>
      <c r="AD18" s="44">
        <f t="shared" si="15"/>
        <v>9.8999999999999773</v>
      </c>
      <c r="AE18" s="60">
        <v>70717</v>
      </c>
      <c r="AF18" s="44">
        <f t="shared" si="16"/>
        <v>54</v>
      </c>
      <c r="AG18" s="63">
        <v>3100</v>
      </c>
      <c r="AH18" s="74">
        <v>0</v>
      </c>
      <c r="AI18" s="53">
        <f t="shared" si="4"/>
        <v>0</v>
      </c>
      <c r="AJ18" s="13">
        <v>166</v>
      </c>
      <c r="AK18" s="23">
        <v>320</v>
      </c>
    </row>
    <row r="19" spans="1:37" x14ac:dyDescent="0.2">
      <c r="A19" s="25">
        <v>45553</v>
      </c>
      <c r="B19" s="10">
        <v>32039674</v>
      </c>
      <c r="C19" s="67">
        <f t="shared" si="5"/>
        <v>6057</v>
      </c>
      <c r="D19" s="11">
        <v>909548</v>
      </c>
      <c r="E19" s="17">
        <f t="shared" si="6"/>
        <v>1933</v>
      </c>
      <c r="F19" s="35">
        <v>110454</v>
      </c>
      <c r="G19" s="100">
        <f t="shared" si="7"/>
        <v>0</v>
      </c>
      <c r="H19" s="104">
        <f t="shared" si="1"/>
        <v>7990</v>
      </c>
      <c r="I19" s="110">
        <f t="shared" si="2"/>
        <v>6901.5333333335584</v>
      </c>
      <c r="J19" s="97">
        <v>4665485.2</v>
      </c>
      <c r="K19" s="44">
        <f t="shared" si="8"/>
        <v>894.39999999944121</v>
      </c>
      <c r="L19" s="15">
        <v>465838</v>
      </c>
      <c r="M19" s="44">
        <f t="shared" si="9"/>
        <v>47</v>
      </c>
      <c r="N19" s="15">
        <v>122902.32</v>
      </c>
      <c r="O19" s="44">
        <f t="shared" si="10"/>
        <v>70.459999999991851</v>
      </c>
      <c r="P19" s="97">
        <v>174983.01333333299</v>
      </c>
      <c r="Q19" s="66">
        <f t="shared" si="11"/>
        <v>76.60666666700854</v>
      </c>
      <c r="R19" s="25">
        <f t="shared" si="12"/>
        <v>45553</v>
      </c>
      <c r="S19" s="42">
        <v>3376</v>
      </c>
      <c r="T19" s="43">
        <v>0</v>
      </c>
      <c r="U19" s="44">
        <f t="shared" si="13"/>
        <v>180</v>
      </c>
      <c r="V19" s="20">
        <v>0.76</v>
      </c>
      <c r="W19" s="51">
        <v>0.75</v>
      </c>
      <c r="X19" s="52">
        <f t="shared" si="0"/>
        <v>3775</v>
      </c>
      <c r="Y19" s="49"/>
      <c r="Z19" s="53">
        <f t="shared" si="3"/>
        <v>150</v>
      </c>
      <c r="AA19" s="57">
        <v>103570</v>
      </c>
      <c r="AB19" s="44">
        <f t="shared" si="14"/>
        <v>94</v>
      </c>
      <c r="AC19" s="57">
        <v>398.4</v>
      </c>
      <c r="AD19" s="44">
        <f t="shared" si="15"/>
        <v>8.6000000000000227</v>
      </c>
      <c r="AE19" s="60">
        <v>70771</v>
      </c>
      <c r="AF19" s="44">
        <f t="shared" si="16"/>
        <v>49</v>
      </c>
      <c r="AG19" s="63">
        <v>3100</v>
      </c>
      <c r="AH19" s="74">
        <v>0</v>
      </c>
      <c r="AI19" s="53">
        <f t="shared" si="4"/>
        <v>0</v>
      </c>
      <c r="AJ19" s="13">
        <v>172</v>
      </c>
      <c r="AK19" s="23">
        <v>331</v>
      </c>
    </row>
    <row r="20" spans="1:37" x14ac:dyDescent="0.2">
      <c r="A20" s="25">
        <v>45554</v>
      </c>
      <c r="B20" s="10">
        <v>32045731</v>
      </c>
      <c r="C20" s="67">
        <f t="shared" si="5"/>
        <v>5745</v>
      </c>
      <c r="D20" s="11">
        <v>911481</v>
      </c>
      <c r="E20" s="17">
        <f t="shared" si="6"/>
        <v>2139</v>
      </c>
      <c r="F20" s="35">
        <v>110454</v>
      </c>
      <c r="G20" s="100">
        <f t="shared" si="7"/>
        <v>0</v>
      </c>
      <c r="H20" s="104">
        <f t="shared" si="1"/>
        <v>7884</v>
      </c>
      <c r="I20" s="110">
        <f t="shared" si="2"/>
        <v>6815.13333333224</v>
      </c>
      <c r="J20" s="97">
        <v>4666379.5999999996</v>
      </c>
      <c r="K20" s="44">
        <f t="shared" si="8"/>
        <v>874.80000000074506</v>
      </c>
      <c r="L20" s="15">
        <v>465885</v>
      </c>
      <c r="M20" s="44">
        <f t="shared" si="9"/>
        <v>47</v>
      </c>
      <c r="N20" s="15">
        <v>122972.78</v>
      </c>
      <c r="O20" s="44">
        <f t="shared" si="10"/>
        <v>70.460000000006403</v>
      </c>
      <c r="P20" s="97">
        <v>175059.62</v>
      </c>
      <c r="Q20" s="66">
        <f t="shared" si="11"/>
        <v>76.60666666700854</v>
      </c>
      <c r="R20" s="25">
        <f t="shared" si="12"/>
        <v>45554</v>
      </c>
      <c r="S20" s="42">
        <v>3196</v>
      </c>
      <c r="T20" s="43">
        <v>0</v>
      </c>
      <c r="U20" s="44">
        <f t="shared" si="13"/>
        <v>0</v>
      </c>
      <c r="V20" s="20">
        <v>0.74</v>
      </c>
      <c r="W20" s="51">
        <v>0.71</v>
      </c>
      <c r="X20" s="52">
        <f t="shared" si="0"/>
        <v>3625</v>
      </c>
      <c r="Y20" s="49"/>
      <c r="Z20" s="53">
        <f t="shared" si="3"/>
        <v>100</v>
      </c>
      <c r="AA20" s="57">
        <v>103664</v>
      </c>
      <c r="AB20" s="44">
        <f t="shared" si="14"/>
        <v>98</v>
      </c>
      <c r="AC20" s="57">
        <v>407</v>
      </c>
      <c r="AD20" s="44">
        <f t="shared" si="15"/>
        <v>12.800000000000011</v>
      </c>
      <c r="AE20" s="60">
        <v>70820</v>
      </c>
      <c r="AF20" s="44">
        <f t="shared" si="16"/>
        <v>51</v>
      </c>
      <c r="AG20" s="63">
        <v>3100</v>
      </c>
      <c r="AH20" s="74">
        <v>0</v>
      </c>
      <c r="AI20" s="53">
        <f t="shared" si="4"/>
        <v>0</v>
      </c>
      <c r="AJ20" s="13">
        <v>171</v>
      </c>
      <c r="AK20" s="23">
        <v>324</v>
      </c>
    </row>
    <row r="21" spans="1:37" x14ac:dyDescent="0.2">
      <c r="A21" s="25">
        <v>45555</v>
      </c>
      <c r="B21" s="10">
        <v>32051476</v>
      </c>
      <c r="C21" s="67">
        <f t="shared" si="5"/>
        <v>6032</v>
      </c>
      <c r="D21" s="11">
        <v>913620</v>
      </c>
      <c r="E21" s="17">
        <f t="shared" si="6"/>
        <v>1869</v>
      </c>
      <c r="F21" s="35">
        <v>110454</v>
      </c>
      <c r="G21" s="100">
        <f t="shared" si="7"/>
        <v>0</v>
      </c>
      <c r="H21" s="104">
        <f t="shared" si="1"/>
        <v>7901</v>
      </c>
      <c r="I21" s="110">
        <f t="shared" si="2"/>
        <v>6830.9333333340182</v>
      </c>
      <c r="J21" s="97">
        <v>4667254.4000000004</v>
      </c>
      <c r="K21" s="44">
        <f t="shared" si="8"/>
        <v>876</v>
      </c>
      <c r="L21" s="15">
        <v>465932</v>
      </c>
      <c r="M21" s="44">
        <f t="shared" si="9"/>
        <v>47</v>
      </c>
      <c r="N21" s="15">
        <v>123043.24</v>
      </c>
      <c r="O21" s="44">
        <f t="shared" si="10"/>
        <v>70.459999999991851</v>
      </c>
      <c r="P21" s="97">
        <v>175136.226666667</v>
      </c>
      <c r="Q21" s="66">
        <f t="shared" si="11"/>
        <v>76.606666665989906</v>
      </c>
      <c r="R21" s="25">
        <f t="shared" si="12"/>
        <v>45555</v>
      </c>
      <c r="S21" s="42">
        <v>3196</v>
      </c>
      <c r="T21" s="43">
        <v>8000</v>
      </c>
      <c r="U21" s="44">
        <f t="shared" si="13"/>
        <v>196</v>
      </c>
      <c r="V21" s="20">
        <v>0.72</v>
      </c>
      <c r="W21" s="51">
        <v>0.69</v>
      </c>
      <c r="X21" s="52">
        <f t="shared" si="0"/>
        <v>3525</v>
      </c>
      <c r="Y21" s="49"/>
      <c r="Z21" s="53">
        <f t="shared" si="3"/>
        <v>300</v>
      </c>
      <c r="AA21" s="57">
        <v>103762</v>
      </c>
      <c r="AB21" s="44">
        <f t="shared" si="14"/>
        <v>104</v>
      </c>
      <c r="AC21" s="57">
        <v>419.8</v>
      </c>
      <c r="AD21" s="44">
        <f t="shared" si="15"/>
        <v>5.3999999999999773</v>
      </c>
      <c r="AE21" s="60">
        <v>70871</v>
      </c>
      <c r="AF21" s="44">
        <f t="shared" si="16"/>
        <v>31</v>
      </c>
      <c r="AG21" s="63">
        <v>3100</v>
      </c>
      <c r="AH21" s="74">
        <v>0</v>
      </c>
      <c r="AI21" s="53">
        <f t="shared" si="4"/>
        <v>0</v>
      </c>
      <c r="AJ21" s="13">
        <v>178</v>
      </c>
      <c r="AK21" s="23">
        <v>350</v>
      </c>
    </row>
    <row r="22" spans="1:37" x14ac:dyDescent="0.2">
      <c r="A22" s="25">
        <v>45556</v>
      </c>
      <c r="B22" s="10">
        <v>32057508</v>
      </c>
      <c r="C22" s="67">
        <f t="shared" si="5"/>
        <v>5974</v>
      </c>
      <c r="D22" s="11">
        <v>915489</v>
      </c>
      <c r="E22" s="17">
        <f t="shared" si="6"/>
        <v>2078</v>
      </c>
      <c r="F22" s="35">
        <v>110454</v>
      </c>
      <c r="G22" s="100">
        <f t="shared" si="7"/>
        <v>0</v>
      </c>
      <c r="H22" s="104">
        <f t="shared" si="1"/>
        <v>8052</v>
      </c>
      <c r="I22" s="110">
        <f t="shared" si="2"/>
        <v>6877.9333333329851</v>
      </c>
      <c r="J22" s="97">
        <v>4668130.4000000004</v>
      </c>
      <c r="K22" s="44">
        <f t="shared" si="8"/>
        <v>980</v>
      </c>
      <c r="L22" s="15">
        <v>465979</v>
      </c>
      <c r="M22" s="44">
        <f t="shared" si="9"/>
        <v>47</v>
      </c>
      <c r="N22" s="15">
        <v>123113.7</v>
      </c>
      <c r="O22" s="44">
        <f t="shared" si="10"/>
        <v>70.460000000006403</v>
      </c>
      <c r="P22" s="97">
        <v>175212.83333333299</v>
      </c>
      <c r="Q22" s="66">
        <f t="shared" si="11"/>
        <v>76.60666666700854</v>
      </c>
      <c r="R22" s="25">
        <f t="shared" si="12"/>
        <v>45556</v>
      </c>
      <c r="S22" s="42">
        <v>11000</v>
      </c>
      <c r="T22" s="43">
        <v>0</v>
      </c>
      <c r="U22" s="44">
        <f t="shared" si="13"/>
        <v>186</v>
      </c>
      <c r="V22" s="20">
        <v>0.65</v>
      </c>
      <c r="W22" s="51">
        <v>0.64</v>
      </c>
      <c r="X22" s="52">
        <f t="shared" si="0"/>
        <v>3225</v>
      </c>
      <c r="Y22" s="49"/>
      <c r="Z22" s="53">
        <f t="shared" si="3"/>
        <v>225</v>
      </c>
      <c r="AA22" s="57">
        <v>103866</v>
      </c>
      <c r="AB22" s="44">
        <f t="shared" si="14"/>
        <v>119</v>
      </c>
      <c r="AC22" s="57">
        <v>425.2</v>
      </c>
      <c r="AD22" s="44">
        <f t="shared" si="15"/>
        <v>19.100000000000023</v>
      </c>
      <c r="AE22" s="60">
        <v>70902</v>
      </c>
      <c r="AF22" s="44">
        <f t="shared" si="16"/>
        <v>18</v>
      </c>
      <c r="AG22" s="63">
        <v>3100</v>
      </c>
      <c r="AH22" s="74">
        <v>0</v>
      </c>
      <c r="AI22" s="53">
        <f t="shared" si="4"/>
        <v>0</v>
      </c>
      <c r="AJ22" s="13">
        <v>181</v>
      </c>
      <c r="AK22" s="23">
        <v>351</v>
      </c>
    </row>
    <row r="23" spans="1:37" x14ac:dyDescent="0.2">
      <c r="A23" s="25">
        <v>45557</v>
      </c>
      <c r="B23" s="10">
        <v>32063482</v>
      </c>
      <c r="C23" s="67">
        <f t="shared" si="5"/>
        <v>5811</v>
      </c>
      <c r="D23" s="11">
        <v>917567</v>
      </c>
      <c r="E23" s="17">
        <f t="shared" si="6"/>
        <v>1732</v>
      </c>
      <c r="F23" s="35">
        <v>110454</v>
      </c>
      <c r="G23" s="100">
        <f t="shared" si="7"/>
        <v>1</v>
      </c>
      <c r="H23" s="104">
        <f t="shared" si="1"/>
        <v>7542</v>
      </c>
      <c r="I23" s="110">
        <f t="shared" si="2"/>
        <v>6509.1333333331859</v>
      </c>
      <c r="J23" s="97">
        <v>4669110.4000000004</v>
      </c>
      <c r="K23" s="44">
        <f t="shared" si="8"/>
        <v>838.79999999981374</v>
      </c>
      <c r="L23" s="15">
        <v>466026</v>
      </c>
      <c r="M23" s="44">
        <f t="shared" si="9"/>
        <v>47</v>
      </c>
      <c r="N23" s="15">
        <v>123184.16</v>
      </c>
      <c r="O23" s="44">
        <f t="shared" si="10"/>
        <v>70.459999999991851</v>
      </c>
      <c r="P23" s="97">
        <v>175289.44</v>
      </c>
      <c r="Q23" s="66">
        <f t="shared" si="11"/>
        <v>76.60666666700854</v>
      </c>
      <c r="R23" s="25">
        <f t="shared" si="12"/>
        <v>45557</v>
      </c>
      <c r="S23" s="42">
        <v>10814</v>
      </c>
      <c r="T23" s="43">
        <v>0</v>
      </c>
      <c r="U23" s="44">
        <f t="shared" si="13"/>
        <v>74</v>
      </c>
      <c r="V23" s="20">
        <v>0.6</v>
      </c>
      <c r="W23" s="51">
        <v>0.6</v>
      </c>
      <c r="X23" s="52">
        <f t="shared" si="0"/>
        <v>3000</v>
      </c>
      <c r="Y23" s="49"/>
      <c r="Z23" s="53">
        <f t="shared" si="3"/>
        <v>50</v>
      </c>
      <c r="AA23" s="57">
        <v>103985</v>
      </c>
      <c r="AB23" s="44">
        <f t="shared" si="14"/>
        <v>101</v>
      </c>
      <c r="AC23" s="57">
        <v>444.3</v>
      </c>
      <c r="AD23" s="44">
        <f t="shared" si="15"/>
        <v>7</v>
      </c>
      <c r="AE23" s="60">
        <v>70920</v>
      </c>
      <c r="AF23" s="44">
        <f t="shared" si="16"/>
        <v>55</v>
      </c>
      <c r="AG23" s="63">
        <v>3100</v>
      </c>
      <c r="AH23" s="74">
        <v>0</v>
      </c>
      <c r="AI23" s="53">
        <f t="shared" si="4"/>
        <v>0</v>
      </c>
      <c r="AJ23" s="13">
        <v>174</v>
      </c>
      <c r="AK23" s="23">
        <v>334</v>
      </c>
    </row>
    <row r="24" spans="1:37" x14ac:dyDescent="0.2">
      <c r="A24" s="25">
        <v>45558</v>
      </c>
      <c r="B24" s="10">
        <v>32069293</v>
      </c>
      <c r="C24" s="67">
        <f t="shared" si="5"/>
        <v>5304</v>
      </c>
      <c r="D24" s="11">
        <v>919299</v>
      </c>
      <c r="E24" s="17">
        <f t="shared" si="6"/>
        <v>2095</v>
      </c>
      <c r="F24" s="35">
        <v>110455</v>
      </c>
      <c r="G24" s="100">
        <f t="shared" si="7"/>
        <v>0</v>
      </c>
      <c r="H24" s="104">
        <f t="shared" si="1"/>
        <v>7399</v>
      </c>
      <c r="I24" s="110">
        <f t="shared" si="2"/>
        <v>6296.9333333340037</v>
      </c>
      <c r="J24" s="97">
        <v>4669949.2</v>
      </c>
      <c r="K24" s="44">
        <f t="shared" si="8"/>
        <v>908</v>
      </c>
      <c r="L24" s="15">
        <v>466073</v>
      </c>
      <c r="M24" s="44">
        <f t="shared" si="9"/>
        <v>47</v>
      </c>
      <c r="N24" s="15">
        <v>123254.62</v>
      </c>
      <c r="O24" s="44">
        <f t="shared" si="10"/>
        <v>70.460000000006403</v>
      </c>
      <c r="P24" s="97">
        <v>175366.04666666701</v>
      </c>
      <c r="Q24" s="66">
        <f t="shared" si="11"/>
        <v>76.606666665989906</v>
      </c>
      <c r="R24" s="25">
        <f t="shared" si="12"/>
        <v>45558</v>
      </c>
      <c r="S24" s="42">
        <v>10740</v>
      </c>
      <c r="T24" s="43">
        <v>0</v>
      </c>
      <c r="U24" s="44">
        <f t="shared" si="13"/>
        <v>113</v>
      </c>
      <c r="V24" s="20">
        <v>0.6</v>
      </c>
      <c r="W24" s="51">
        <v>0.57999999999999996</v>
      </c>
      <c r="X24" s="52">
        <f t="shared" si="0"/>
        <v>2950</v>
      </c>
      <c r="Y24" s="49">
        <v>1181.31</v>
      </c>
      <c r="Z24" s="53">
        <f t="shared" si="3"/>
        <v>181.30999999999949</v>
      </c>
      <c r="AA24" s="57">
        <v>104086</v>
      </c>
      <c r="AB24" s="44">
        <f t="shared" si="14"/>
        <v>113</v>
      </c>
      <c r="AC24" s="57">
        <v>451.3</v>
      </c>
      <c r="AD24" s="44">
        <f t="shared" si="15"/>
        <v>11.899999999999977</v>
      </c>
      <c r="AE24" s="60">
        <v>70975</v>
      </c>
      <c r="AF24" s="44">
        <f t="shared" si="16"/>
        <v>33</v>
      </c>
      <c r="AG24" s="63">
        <v>3100</v>
      </c>
      <c r="AH24" s="74">
        <v>0</v>
      </c>
      <c r="AI24" s="53">
        <f t="shared" si="4"/>
        <v>0</v>
      </c>
      <c r="AJ24" s="13">
        <v>170</v>
      </c>
      <c r="AK24" s="23">
        <v>322</v>
      </c>
    </row>
    <row r="25" spans="1:37" x14ac:dyDescent="0.2">
      <c r="A25" s="25">
        <v>45559</v>
      </c>
      <c r="B25" s="10">
        <v>32074597</v>
      </c>
      <c r="C25" s="67">
        <f t="shared" si="5"/>
        <v>6021</v>
      </c>
      <c r="D25" s="11">
        <v>921394</v>
      </c>
      <c r="E25" s="17">
        <f t="shared" si="6"/>
        <v>2041</v>
      </c>
      <c r="F25" s="35">
        <v>110455</v>
      </c>
      <c r="G25" s="100">
        <f t="shared" si="7"/>
        <v>0</v>
      </c>
      <c r="H25" s="104">
        <f t="shared" si="1"/>
        <v>8062</v>
      </c>
      <c r="I25" s="110">
        <f t="shared" si="2"/>
        <v>6911.9333333329996</v>
      </c>
      <c r="J25" s="97">
        <v>4670857.2</v>
      </c>
      <c r="K25" s="44">
        <f t="shared" si="8"/>
        <v>956</v>
      </c>
      <c r="L25" s="15">
        <v>466120</v>
      </c>
      <c r="M25" s="44">
        <f t="shared" si="9"/>
        <v>47</v>
      </c>
      <c r="N25" s="15">
        <v>123325.08</v>
      </c>
      <c r="O25" s="44">
        <f t="shared" si="10"/>
        <v>70.459999999991851</v>
      </c>
      <c r="P25" s="97">
        <v>175442.653333333</v>
      </c>
      <c r="Q25" s="66">
        <f t="shared" si="11"/>
        <v>76.60666666700854</v>
      </c>
      <c r="R25" s="25">
        <f t="shared" si="12"/>
        <v>45559</v>
      </c>
      <c r="S25" s="42">
        <v>10627</v>
      </c>
      <c r="T25" s="43">
        <v>0</v>
      </c>
      <c r="U25" s="44">
        <f t="shared" si="13"/>
        <v>97</v>
      </c>
      <c r="V25" s="20">
        <v>0.79</v>
      </c>
      <c r="W25" s="51">
        <v>0.79</v>
      </c>
      <c r="X25" s="52">
        <f t="shared" si="0"/>
        <v>3950</v>
      </c>
      <c r="Y25" s="49"/>
      <c r="Z25" s="53">
        <f t="shared" si="3"/>
        <v>225</v>
      </c>
      <c r="AA25" s="57">
        <v>104199</v>
      </c>
      <c r="AB25" s="44">
        <f t="shared" si="14"/>
        <v>101</v>
      </c>
      <c r="AC25" s="57">
        <v>463.2</v>
      </c>
      <c r="AD25" s="44">
        <f t="shared" si="15"/>
        <v>6.3000000000000114</v>
      </c>
      <c r="AE25" s="60">
        <v>71008</v>
      </c>
      <c r="AF25" s="44">
        <f t="shared" si="16"/>
        <v>49</v>
      </c>
      <c r="AG25" s="63">
        <v>3100</v>
      </c>
      <c r="AH25" s="74">
        <v>0</v>
      </c>
      <c r="AI25" s="53">
        <f t="shared" si="4"/>
        <v>0</v>
      </c>
      <c r="AJ25" s="13">
        <v>178</v>
      </c>
      <c r="AK25" s="23">
        <v>322</v>
      </c>
    </row>
    <row r="26" spans="1:37" x14ac:dyDescent="0.2">
      <c r="A26" s="25">
        <v>45560</v>
      </c>
      <c r="B26" s="10">
        <v>32080618</v>
      </c>
      <c r="C26" s="67">
        <f t="shared" si="5"/>
        <v>5718</v>
      </c>
      <c r="D26" s="11">
        <v>923435</v>
      </c>
      <c r="E26" s="17">
        <f t="shared" si="6"/>
        <v>2111</v>
      </c>
      <c r="F26" s="35">
        <v>110455</v>
      </c>
      <c r="G26" s="100">
        <f t="shared" si="7"/>
        <v>0</v>
      </c>
      <c r="H26" s="104">
        <f t="shared" si="1"/>
        <v>7829</v>
      </c>
      <c r="I26" s="110">
        <f t="shared" si="2"/>
        <v>6779.7333333338174</v>
      </c>
      <c r="J26" s="97">
        <v>4671813.2</v>
      </c>
      <c r="K26" s="44">
        <f t="shared" si="8"/>
        <v>855.20000000018626</v>
      </c>
      <c r="L26" s="15">
        <v>466167</v>
      </c>
      <c r="M26" s="44">
        <f t="shared" si="9"/>
        <v>47</v>
      </c>
      <c r="N26" s="15">
        <v>123395.54</v>
      </c>
      <c r="O26" s="44">
        <f t="shared" si="10"/>
        <v>70.460000000006403</v>
      </c>
      <c r="P26" s="97">
        <v>175519.26</v>
      </c>
      <c r="Q26" s="66">
        <f t="shared" si="11"/>
        <v>76.606666665989906</v>
      </c>
      <c r="R26" s="25">
        <f t="shared" si="12"/>
        <v>45560</v>
      </c>
      <c r="S26" s="42">
        <v>10530</v>
      </c>
      <c r="T26" s="43">
        <v>0</v>
      </c>
      <c r="U26" s="44">
        <f t="shared" si="13"/>
        <v>92</v>
      </c>
      <c r="V26" s="20">
        <v>0.75</v>
      </c>
      <c r="W26" s="51">
        <v>0.74</v>
      </c>
      <c r="X26" s="52">
        <f t="shared" si="0"/>
        <v>3725</v>
      </c>
      <c r="Y26" s="49"/>
      <c r="Z26" s="53">
        <f t="shared" si="3"/>
        <v>225</v>
      </c>
      <c r="AA26" s="57">
        <v>104300</v>
      </c>
      <c r="AB26" s="44">
        <f t="shared" si="14"/>
        <v>110</v>
      </c>
      <c r="AC26" s="57">
        <v>469.5</v>
      </c>
      <c r="AD26" s="44">
        <f t="shared" si="15"/>
        <v>18.800000000000011</v>
      </c>
      <c r="AE26" s="60">
        <v>71057</v>
      </c>
      <c r="AF26" s="44">
        <f t="shared" si="16"/>
        <v>39</v>
      </c>
      <c r="AG26" s="63">
        <v>3100</v>
      </c>
      <c r="AH26" s="74">
        <v>0</v>
      </c>
      <c r="AI26" s="53">
        <f t="shared" si="4"/>
        <v>0</v>
      </c>
      <c r="AJ26" s="13">
        <v>184</v>
      </c>
      <c r="AK26" s="23">
        <v>317</v>
      </c>
    </row>
    <row r="27" spans="1:37" x14ac:dyDescent="0.2">
      <c r="A27" s="25">
        <v>45561</v>
      </c>
      <c r="B27" s="10">
        <v>32086336</v>
      </c>
      <c r="C27" s="67">
        <f t="shared" si="5"/>
        <v>6067</v>
      </c>
      <c r="D27" s="11">
        <v>925546</v>
      </c>
      <c r="E27" s="17">
        <f t="shared" si="6"/>
        <v>2085</v>
      </c>
      <c r="F27" s="35">
        <v>110455</v>
      </c>
      <c r="G27" s="100">
        <f t="shared" si="7"/>
        <v>0</v>
      </c>
      <c r="H27" s="104">
        <f t="shared" si="1"/>
        <v>8152</v>
      </c>
      <c r="I27" s="110">
        <f t="shared" si="2"/>
        <v>7024.1333333331713</v>
      </c>
      <c r="J27" s="97">
        <v>4672668.4000000004</v>
      </c>
      <c r="K27" s="44">
        <f t="shared" si="8"/>
        <v>933.79999999981374</v>
      </c>
      <c r="L27" s="15">
        <v>466214</v>
      </c>
      <c r="M27" s="44">
        <f t="shared" si="9"/>
        <v>47</v>
      </c>
      <c r="N27" s="15">
        <v>123466</v>
      </c>
      <c r="O27" s="44">
        <f t="shared" si="10"/>
        <v>70.460000000006403</v>
      </c>
      <c r="P27" s="97">
        <v>175595.866666666</v>
      </c>
      <c r="Q27" s="66">
        <f t="shared" si="11"/>
        <v>76.60666666700854</v>
      </c>
      <c r="R27" s="25">
        <f t="shared" si="12"/>
        <v>45561</v>
      </c>
      <c r="S27" s="42">
        <v>10438</v>
      </c>
      <c r="T27" s="43">
        <v>0</v>
      </c>
      <c r="U27" s="44">
        <f t="shared" si="13"/>
        <v>95</v>
      </c>
      <c r="V27" s="20">
        <v>0.7</v>
      </c>
      <c r="W27" s="51">
        <v>0.7</v>
      </c>
      <c r="X27" s="52">
        <f t="shared" si="0"/>
        <v>3500</v>
      </c>
      <c r="Y27" s="49"/>
      <c r="Z27" s="53">
        <f t="shared" si="3"/>
        <v>50</v>
      </c>
      <c r="AA27" s="57">
        <v>104410</v>
      </c>
      <c r="AB27" s="44">
        <f t="shared" si="14"/>
        <v>114</v>
      </c>
      <c r="AC27" s="57">
        <v>488.3</v>
      </c>
      <c r="AD27" s="44">
        <f t="shared" si="15"/>
        <v>12.199999999999989</v>
      </c>
      <c r="AE27" s="60">
        <v>71096</v>
      </c>
      <c r="AF27" s="44">
        <f t="shared" si="16"/>
        <v>41</v>
      </c>
      <c r="AG27" s="63">
        <v>3100</v>
      </c>
      <c r="AH27" s="74">
        <v>0</v>
      </c>
      <c r="AI27" s="53">
        <f t="shared" si="4"/>
        <v>0</v>
      </c>
      <c r="AJ27" s="13">
        <v>178</v>
      </c>
      <c r="AK27" s="23">
        <v>301</v>
      </c>
    </row>
    <row r="28" spans="1:37" x14ac:dyDescent="0.2">
      <c r="A28" s="25">
        <v>45562</v>
      </c>
      <c r="B28" s="10">
        <v>32092403</v>
      </c>
      <c r="C28" s="67">
        <f t="shared" si="5"/>
        <v>6270</v>
      </c>
      <c r="D28" s="11">
        <v>927631</v>
      </c>
      <c r="E28" s="17">
        <f t="shared" si="6"/>
        <v>2074</v>
      </c>
      <c r="F28" s="35">
        <v>110455</v>
      </c>
      <c r="G28" s="100">
        <f t="shared" si="7"/>
        <v>0</v>
      </c>
      <c r="H28" s="104">
        <f t="shared" si="1"/>
        <v>8344</v>
      </c>
      <c r="I28" s="110">
        <f t="shared" si="2"/>
        <v>7172.5333333335875</v>
      </c>
      <c r="J28" s="97">
        <v>4673602.2</v>
      </c>
      <c r="K28" s="44">
        <f t="shared" si="8"/>
        <v>977.39999999944121</v>
      </c>
      <c r="L28" s="15">
        <v>466261</v>
      </c>
      <c r="M28" s="44">
        <f t="shared" si="9"/>
        <v>47</v>
      </c>
      <c r="N28" s="15">
        <v>123536.46</v>
      </c>
      <c r="O28" s="44">
        <f t="shared" si="10"/>
        <v>70.459999999991851</v>
      </c>
      <c r="P28" s="97">
        <v>175672.47333333301</v>
      </c>
      <c r="Q28" s="66">
        <f t="shared" si="11"/>
        <v>76.606666666979436</v>
      </c>
      <c r="R28" s="25">
        <f t="shared" si="12"/>
        <v>45562</v>
      </c>
      <c r="S28" s="42">
        <v>10343</v>
      </c>
      <c r="T28" s="43">
        <v>0</v>
      </c>
      <c r="U28" s="44">
        <f t="shared" si="13"/>
        <v>163</v>
      </c>
      <c r="V28" s="20">
        <v>0.68</v>
      </c>
      <c r="W28" s="51">
        <v>0.7</v>
      </c>
      <c r="X28" s="52">
        <f t="shared" si="0"/>
        <v>3450</v>
      </c>
      <c r="Y28" s="49"/>
      <c r="Z28" s="53">
        <f t="shared" si="3"/>
        <v>175</v>
      </c>
      <c r="AA28" s="57">
        <v>104524</v>
      </c>
      <c r="AB28" s="44">
        <f t="shared" si="14"/>
        <v>114</v>
      </c>
      <c r="AC28" s="57">
        <v>500.5</v>
      </c>
      <c r="AD28" s="44">
        <f t="shared" si="15"/>
        <v>18.799999999999955</v>
      </c>
      <c r="AE28" s="60">
        <v>71137</v>
      </c>
      <c r="AF28" s="44">
        <f t="shared" si="16"/>
        <v>26</v>
      </c>
      <c r="AG28" s="63">
        <v>3100</v>
      </c>
      <c r="AH28" s="74">
        <v>0</v>
      </c>
      <c r="AI28" s="53">
        <f t="shared" si="4"/>
        <v>0</v>
      </c>
      <c r="AJ28" s="13">
        <v>181</v>
      </c>
      <c r="AK28" s="23">
        <v>313</v>
      </c>
    </row>
    <row r="29" spans="1:37" x14ac:dyDescent="0.2">
      <c r="A29" s="25">
        <v>45563</v>
      </c>
      <c r="B29" s="10">
        <v>32098673</v>
      </c>
      <c r="C29" s="67">
        <f t="shared" si="5"/>
        <v>6278</v>
      </c>
      <c r="D29" s="11">
        <v>929705</v>
      </c>
      <c r="E29" s="17">
        <f t="shared" si="6"/>
        <v>2045</v>
      </c>
      <c r="F29" s="35">
        <v>110455</v>
      </c>
      <c r="G29" s="100">
        <f t="shared" si="7"/>
        <v>0</v>
      </c>
      <c r="H29" s="104">
        <f t="shared" si="1"/>
        <v>8323</v>
      </c>
      <c r="I29" s="110">
        <f t="shared" si="2"/>
        <v>7140.9333333339746</v>
      </c>
      <c r="J29" s="97">
        <v>4674579.5999999996</v>
      </c>
      <c r="K29" s="44">
        <f t="shared" si="8"/>
        <v>988</v>
      </c>
      <c r="L29" s="15">
        <v>466308</v>
      </c>
      <c r="M29" s="44">
        <f t="shared" si="9"/>
        <v>47</v>
      </c>
      <c r="N29" s="15">
        <v>123606.92</v>
      </c>
      <c r="O29" s="44">
        <f t="shared" si="10"/>
        <v>70.460000000006403</v>
      </c>
      <c r="P29" s="97">
        <v>175749.08</v>
      </c>
      <c r="Q29" s="66">
        <f t="shared" si="11"/>
        <v>76.606666666019009</v>
      </c>
      <c r="R29" s="25">
        <f t="shared" si="12"/>
        <v>45563</v>
      </c>
      <c r="S29" s="42">
        <v>10180</v>
      </c>
      <c r="T29" s="43">
        <v>0</v>
      </c>
      <c r="U29" s="44">
        <f t="shared" si="13"/>
        <v>124</v>
      </c>
      <c r="V29" s="20">
        <v>0.64</v>
      </c>
      <c r="W29" s="51">
        <v>0.67</v>
      </c>
      <c r="X29" s="52">
        <f t="shared" si="0"/>
        <v>3275</v>
      </c>
      <c r="Y29" s="49"/>
      <c r="Z29" s="53">
        <f t="shared" si="3"/>
        <v>150</v>
      </c>
      <c r="AA29" s="57">
        <v>104638</v>
      </c>
      <c r="AB29" s="44">
        <f t="shared" si="14"/>
        <v>94</v>
      </c>
      <c r="AC29" s="57">
        <v>519.29999999999995</v>
      </c>
      <c r="AD29" s="44">
        <f t="shared" si="15"/>
        <v>11.600000000000023</v>
      </c>
      <c r="AE29" s="60">
        <v>71163</v>
      </c>
      <c r="AF29" s="44">
        <f t="shared" si="16"/>
        <v>15</v>
      </c>
      <c r="AG29" s="63">
        <v>3100</v>
      </c>
      <c r="AH29" s="74">
        <v>0</v>
      </c>
      <c r="AI29" s="53">
        <f t="shared" si="4"/>
        <v>0</v>
      </c>
      <c r="AJ29" s="13">
        <v>179</v>
      </c>
      <c r="AK29" s="23">
        <v>329</v>
      </c>
    </row>
    <row r="30" spans="1:37" x14ac:dyDescent="0.2">
      <c r="A30" s="25">
        <v>45564</v>
      </c>
      <c r="B30" s="10">
        <v>32104951</v>
      </c>
      <c r="C30" s="67">
        <f t="shared" si="5"/>
        <v>5589</v>
      </c>
      <c r="D30" s="11">
        <v>931750</v>
      </c>
      <c r="E30" s="17">
        <f t="shared" si="6"/>
        <v>2023</v>
      </c>
      <c r="F30" s="35">
        <v>110455</v>
      </c>
      <c r="G30" s="100">
        <f t="shared" si="7"/>
        <v>0</v>
      </c>
      <c r="H30" s="104">
        <f t="shared" si="1"/>
        <v>7612</v>
      </c>
      <c r="I30" s="110">
        <f t="shared" si="2"/>
        <v>6473.9333333330287</v>
      </c>
      <c r="J30" s="97">
        <v>4675567.5999999996</v>
      </c>
      <c r="K30" s="44">
        <f t="shared" si="8"/>
        <v>944</v>
      </c>
      <c r="L30" s="15">
        <v>466355</v>
      </c>
      <c r="M30" s="44">
        <f t="shared" si="9"/>
        <v>47</v>
      </c>
      <c r="N30" s="15">
        <v>123677.38</v>
      </c>
      <c r="O30" s="44">
        <f t="shared" si="10"/>
        <v>70.459999999991851</v>
      </c>
      <c r="P30" s="97">
        <v>175825.68666666601</v>
      </c>
      <c r="Q30" s="66">
        <f t="shared" si="11"/>
        <v>76.606666666979436</v>
      </c>
      <c r="R30" s="25">
        <f t="shared" si="12"/>
        <v>45564</v>
      </c>
      <c r="S30" s="42">
        <v>10056</v>
      </c>
      <c r="T30" s="43">
        <v>0</v>
      </c>
      <c r="U30" s="44">
        <f t="shared" si="13"/>
        <v>96</v>
      </c>
      <c r="V30" s="20">
        <v>0.6</v>
      </c>
      <c r="W30" s="51">
        <v>0.65</v>
      </c>
      <c r="X30" s="52">
        <f t="shared" si="0"/>
        <v>3125</v>
      </c>
      <c r="Y30" s="49"/>
      <c r="Z30" s="53">
        <f t="shared" si="3"/>
        <v>150</v>
      </c>
      <c r="AA30" s="57">
        <v>104732</v>
      </c>
      <c r="AB30" s="44">
        <f t="shared" si="14"/>
        <v>104</v>
      </c>
      <c r="AC30" s="57">
        <v>530.9</v>
      </c>
      <c r="AD30" s="44">
        <f t="shared" si="15"/>
        <v>10.700000000000045</v>
      </c>
      <c r="AE30" s="60">
        <v>71178</v>
      </c>
      <c r="AF30" s="44">
        <f t="shared" si="16"/>
        <v>41</v>
      </c>
      <c r="AG30" s="63">
        <v>3100</v>
      </c>
      <c r="AH30" s="74">
        <v>0</v>
      </c>
      <c r="AI30" s="53">
        <f t="shared" si="4"/>
        <v>0</v>
      </c>
      <c r="AJ30" s="13">
        <v>156</v>
      </c>
      <c r="AK30" s="23">
        <v>305</v>
      </c>
    </row>
    <row r="31" spans="1:37" x14ac:dyDescent="0.2">
      <c r="A31" s="25">
        <v>45565</v>
      </c>
      <c r="B31" s="10">
        <v>32110540</v>
      </c>
      <c r="C31" s="67">
        <f t="shared" si="5"/>
        <v>5221</v>
      </c>
      <c r="D31" s="11">
        <v>933773</v>
      </c>
      <c r="E31" s="17">
        <f t="shared" si="6"/>
        <v>1858</v>
      </c>
      <c r="F31" s="36">
        <v>110455</v>
      </c>
      <c r="G31" s="100">
        <f t="shared" si="7"/>
        <v>4</v>
      </c>
      <c r="H31" s="104">
        <f t="shared" si="1"/>
        <v>7075</v>
      </c>
      <c r="I31" s="110">
        <f t="shared" si="2"/>
        <v>5916.3333333324263</v>
      </c>
      <c r="J31" s="101">
        <v>4676511.5999999996</v>
      </c>
      <c r="K31" s="44">
        <f t="shared" si="8"/>
        <v>965.60000000055879</v>
      </c>
      <c r="L31" s="15">
        <v>466402</v>
      </c>
      <c r="M31" s="44">
        <f t="shared" si="9"/>
        <v>46</v>
      </c>
      <c r="N31" s="15">
        <v>123747.84</v>
      </c>
      <c r="O31" s="44">
        <f t="shared" si="10"/>
        <v>70.460000000006403</v>
      </c>
      <c r="P31" s="97">
        <v>175902.29333333299</v>
      </c>
      <c r="Q31" s="66">
        <f t="shared" si="11"/>
        <v>76.60666666700854</v>
      </c>
      <c r="R31" s="25">
        <f t="shared" si="12"/>
        <v>45565</v>
      </c>
      <c r="S31" s="42">
        <v>9960</v>
      </c>
      <c r="T31" s="43">
        <v>0</v>
      </c>
      <c r="U31" s="44">
        <f t="shared" si="13"/>
        <v>97</v>
      </c>
      <c r="V31" s="20">
        <v>0.59</v>
      </c>
      <c r="W31" s="51">
        <v>0.6</v>
      </c>
      <c r="X31" s="52">
        <f t="shared" si="0"/>
        <v>2975</v>
      </c>
      <c r="Y31" s="49">
        <v>1309.5999999999999</v>
      </c>
      <c r="Z31" s="53">
        <f t="shared" si="3"/>
        <v>234.59999999999991</v>
      </c>
      <c r="AA31" s="57">
        <v>104836</v>
      </c>
      <c r="AB31" s="44">
        <f t="shared" si="14"/>
        <v>96</v>
      </c>
      <c r="AC31" s="68">
        <v>541.6</v>
      </c>
      <c r="AD31" s="44">
        <f t="shared" si="15"/>
        <v>8.6999999999999318</v>
      </c>
      <c r="AE31" s="60">
        <v>71219</v>
      </c>
      <c r="AF31" s="44">
        <f t="shared" si="16"/>
        <v>45</v>
      </c>
      <c r="AG31" s="63">
        <v>3100</v>
      </c>
      <c r="AH31" s="74">
        <v>0</v>
      </c>
      <c r="AI31" s="53">
        <f t="shared" si="4"/>
        <v>0</v>
      </c>
      <c r="AJ31" s="13">
        <v>153</v>
      </c>
      <c r="AK31" s="23">
        <v>302</v>
      </c>
    </row>
    <row r="32" spans="1:37" ht="13.5" thickBot="1" x14ac:dyDescent="0.25">
      <c r="A32" s="25">
        <v>45566</v>
      </c>
      <c r="B32" s="10">
        <v>32115761</v>
      </c>
      <c r="C32" s="17"/>
      <c r="D32" s="11">
        <v>935631</v>
      </c>
      <c r="E32" s="17"/>
      <c r="F32" s="36">
        <v>110459</v>
      </c>
      <c r="G32" s="100"/>
      <c r="H32" s="105">
        <f t="shared" si="1"/>
        <v>0</v>
      </c>
      <c r="I32" s="111">
        <f t="shared" si="2"/>
        <v>0</v>
      </c>
      <c r="J32" s="101">
        <v>4677477.2</v>
      </c>
      <c r="K32" s="44"/>
      <c r="L32" s="15">
        <v>466448</v>
      </c>
      <c r="M32" s="44"/>
      <c r="N32" s="15">
        <v>123818.3</v>
      </c>
      <c r="O32" s="44"/>
      <c r="P32" s="97">
        <v>175978.9</v>
      </c>
      <c r="Q32" s="66"/>
      <c r="R32" s="25">
        <f t="shared" si="12"/>
        <v>45566</v>
      </c>
      <c r="S32" s="42">
        <v>9863</v>
      </c>
      <c r="T32" s="43">
        <v>0</v>
      </c>
      <c r="U32" s="44"/>
      <c r="V32" s="20">
        <v>0.81</v>
      </c>
      <c r="W32" s="51">
        <v>0.81</v>
      </c>
      <c r="X32" s="52">
        <f t="shared" si="0"/>
        <v>4050.0000000000005</v>
      </c>
      <c r="Y32" s="49"/>
      <c r="Z32" s="53"/>
      <c r="AA32" s="57">
        <v>104932</v>
      </c>
      <c r="AB32" s="44"/>
      <c r="AC32" s="68">
        <v>550.29999999999995</v>
      </c>
      <c r="AD32" s="44"/>
      <c r="AE32" s="60">
        <v>71264</v>
      </c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45567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45567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19" customFormat="1" ht="12" thickTop="1" x14ac:dyDescent="0.2">
      <c r="A34" s="115"/>
      <c r="B34" s="115"/>
      <c r="C34" s="149">
        <f>SUM(C2:C33)</f>
        <v>185710</v>
      </c>
      <c r="D34" s="117"/>
      <c r="E34" s="149">
        <f>SUM(E2:E33)</f>
        <v>62949</v>
      </c>
      <c r="F34" s="118"/>
      <c r="G34" s="149">
        <f>SUM(G2:G33)</f>
        <v>11</v>
      </c>
      <c r="H34" s="148">
        <f>SUM(H2:H33)</f>
        <v>248648</v>
      </c>
      <c r="I34" s="149">
        <f>SUM(I2:I32)</f>
        <v>213188.59999999957</v>
      </c>
      <c r="J34" s="118"/>
      <c r="K34" s="149">
        <f>SUM(K2:K33)</f>
        <v>29638.400000000373</v>
      </c>
      <c r="L34" s="118"/>
      <c r="M34" s="149">
        <f>SUM(M2:M33)</f>
        <v>1409</v>
      </c>
      <c r="N34" s="118"/>
      <c r="O34" s="149">
        <f>SUM(O2:O33)</f>
        <v>2113.8000000000029</v>
      </c>
      <c r="P34" s="118"/>
      <c r="Q34" s="149">
        <f>SUM(Q2:Q33)</f>
        <v>2298.1999999999825</v>
      </c>
      <c r="R34" s="115"/>
      <c r="S34" s="117"/>
      <c r="T34" s="117"/>
      <c r="U34" s="116">
        <f>SUM(U2:U33)</f>
        <v>3137</v>
      </c>
      <c r="V34" s="115"/>
      <c r="W34" s="115"/>
      <c r="X34" s="115"/>
      <c r="Y34" s="148">
        <f>SUM(Y2:Y33)</f>
        <v>5896.33</v>
      </c>
      <c r="Z34" s="149">
        <f>SUM(Z2:Z33)</f>
        <v>4996.33</v>
      </c>
      <c r="AA34" s="115"/>
      <c r="AB34" s="149">
        <f>SUM(AB2:AB33)</f>
        <v>2804</v>
      </c>
      <c r="AC34" s="118"/>
      <c r="AD34" s="149">
        <f>SUM(AD2:AD33)</f>
        <v>312.69999999999993</v>
      </c>
      <c r="AE34" s="115"/>
      <c r="AF34" s="116">
        <f>SUM(AF2:AF33)</f>
        <v>1299</v>
      </c>
      <c r="AG34" s="115"/>
      <c r="AH34" s="148">
        <f>SUM(AH2:AH33)</f>
        <v>0</v>
      </c>
      <c r="AI34" s="149">
        <f>SUM(AI2:AI33)</f>
        <v>0</v>
      </c>
      <c r="AJ34" s="150">
        <f>SUM(AJ2:AJ33)</f>
        <v>4769</v>
      </c>
      <c r="AK34" s="149">
        <f>SUM(AK2:AK32)</f>
        <v>9101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2024-10-02T06:52:58Z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