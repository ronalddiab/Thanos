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14685" yWindow="60" windowWidth="14415" windowHeight="14625" tabRatio="620"/>
  </bookViews>
  <sheets>
    <sheet name="TOTAL" sheetId="117" r:id="rId1"/>
    <sheet name="Shenzhen Daily" sheetId="119" r:id="rId2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7" l="1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H34" i="119"/>
  <c r="I31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F16" i="119"/>
  <c r="F22" i="119"/>
  <c r="F24" i="119"/>
  <c r="D18" i="119"/>
  <c r="D26" i="119"/>
  <c r="D33" i="119"/>
  <c r="D34" i="119"/>
  <c r="F34" i="119"/>
  <c r="H33" i="119"/>
  <c r="I30" i="117"/>
  <c r="F33" i="119"/>
  <c r="H32" i="119"/>
  <c r="I29" i="117"/>
  <c r="F32" i="119"/>
  <c r="D32" i="119"/>
  <c r="H31" i="119"/>
  <c r="I28" i="117"/>
  <c r="F31" i="119"/>
  <c r="D31" i="119"/>
  <c r="H30" i="119"/>
  <c r="I27" i="117"/>
  <c r="F30" i="119"/>
  <c r="D30" i="119"/>
  <c r="H29" i="119"/>
  <c r="I26" i="117"/>
  <c r="F29" i="119"/>
  <c r="D29" i="119"/>
  <c r="H28" i="119"/>
  <c r="I25" i="117"/>
  <c r="F28" i="119"/>
  <c r="D28" i="119"/>
  <c r="H27" i="119"/>
  <c r="I24" i="117"/>
  <c r="F27" i="119"/>
  <c r="D27" i="119"/>
  <c r="H26" i="119"/>
  <c r="I23" i="117"/>
  <c r="F26" i="119"/>
  <c r="H25" i="119"/>
  <c r="I22" i="117"/>
  <c r="F25" i="119"/>
  <c r="D25" i="119"/>
  <c r="H24" i="119"/>
  <c r="I21" i="117"/>
  <c r="D24" i="119"/>
  <c r="H23" i="119"/>
  <c r="I20" i="117"/>
  <c r="F23" i="119"/>
  <c r="D23" i="119"/>
  <c r="H22" i="119"/>
  <c r="I19" i="117"/>
  <c r="D22" i="119"/>
  <c r="H21" i="119"/>
  <c r="I18" i="117"/>
  <c r="F21" i="119"/>
  <c r="D21" i="119"/>
  <c r="H20" i="119"/>
  <c r="I17" i="117"/>
  <c r="F20" i="119"/>
  <c r="D20" i="119"/>
  <c r="H19" i="119"/>
  <c r="I16" i="117"/>
  <c r="F19" i="119"/>
  <c r="D19" i="119"/>
  <c r="H18" i="119"/>
  <c r="I15" i="117"/>
  <c r="F18" i="119"/>
  <c r="H17" i="119"/>
  <c r="I14" i="117"/>
  <c r="F17" i="119"/>
  <c r="D17" i="119"/>
  <c r="H16" i="119"/>
  <c r="I13" i="117"/>
  <c r="D16" i="119"/>
  <c r="H15" i="119"/>
  <c r="I12" i="117"/>
  <c r="F15" i="119"/>
  <c r="D15" i="119"/>
  <c r="H14" i="119"/>
  <c r="I11" i="117"/>
  <c r="D14" i="119"/>
  <c r="H13" i="119"/>
  <c r="I10" i="117"/>
  <c r="F13" i="119"/>
  <c r="D13" i="119"/>
  <c r="H12" i="119"/>
  <c r="I9" i="117"/>
  <c r="F12" i="119"/>
  <c r="D12" i="119"/>
  <c r="H11" i="119"/>
  <c r="I8" i="117"/>
  <c r="F11" i="119"/>
  <c r="D11" i="119"/>
  <c r="H10" i="119"/>
  <c r="I7" i="117"/>
  <c r="F10" i="119"/>
  <c r="D10" i="119"/>
  <c r="H9" i="119"/>
  <c r="I6" i="117"/>
  <c r="F9" i="119"/>
  <c r="D9" i="119"/>
  <c r="H8" i="119"/>
  <c r="I5" i="117"/>
  <c r="F8" i="119"/>
  <c r="D8" i="119"/>
  <c r="H7" i="119"/>
  <c r="I4" i="117"/>
  <c r="F7" i="119"/>
  <c r="D7" i="119"/>
  <c r="H6" i="119"/>
  <c r="I3" i="117"/>
  <c r="F6" i="119"/>
  <c r="D6" i="119"/>
  <c r="F5" i="119"/>
  <c r="D5" i="119"/>
</calcChain>
</file>

<file path=xl/sharedStrings.xml><?xml version="1.0" encoding="utf-8"?>
<sst xmlns="http://schemas.openxmlformats.org/spreadsheetml/2006/main" count="55" uniqueCount="25">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</sst>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8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N7" sqref="N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4</v>
      </c>
      <c r="D2" s="7">
        <v>2021</v>
      </c>
      <c r="E2" s="9">
        <v>28447.999999999971</v>
      </c>
      <c r="F2" s="30">
        <v>0.7</v>
      </c>
      <c r="G2" s="9">
        <v>1593</v>
      </c>
      <c r="H2" s="30">
        <v>4.3899999999999997</v>
      </c>
      <c r="I2" s="9">
        <f>'Shenzhen Daily'!H5</f>
        <v>409</v>
      </c>
      <c r="J2" s="30">
        <v>5.09</v>
      </c>
      <c r="K2" s="9">
        <f>'Shenzhen Daily'!I5</f>
        <v>179</v>
      </c>
      <c r="L2" s="9">
        <f>'Shenzhen Daily'!J5</f>
        <v>379</v>
      </c>
    </row>
    <row r="3" spans="1:12" ht="15" x14ac:dyDescent="0.25">
      <c r="A3" s="6" t="s">
        <v>22</v>
      </c>
      <c r="B3" s="7">
        <f>B2+1</f>
        <v>2</v>
      </c>
      <c r="C3" s="8">
        <v>4</v>
      </c>
      <c r="D3" s="7">
        <v>2021</v>
      </c>
      <c r="E3" s="9">
        <v>33173.000000001128</v>
      </c>
      <c r="F3" s="30">
        <v>0.7</v>
      </c>
      <c r="G3" s="9">
        <v>1526</v>
      </c>
      <c r="H3" s="30">
        <v>4.3899999999999997</v>
      </c>
      <c r="I3" s="9">
        <f>'Shenzhen Daily'!H6</f>
        <v>405</v>
      </c>
      <c r="J3" s="30">
        <v>5.09</v>
      </c>
      <c r="K3" s="9">
        <f>'Shenzhen Daily'!I6</f>
        <v>151</v>
      </c>
      <c r="L3" s="9">
        <f>'Shenzhen Daily'!J6</f>
        <v>336</v>
      </c>
    </row>
    <row r="4" spans="1:12" ht="15" x14ac:dyDescent="0.25">
      <c r="A4" s="6" t="s">
        <v>22</v>
      </c>
      <c r="B4" s="7">
        <f t="shared" ref="B4:B31" si="0">B3+1</f>
        <v>3</v>
      </c>
      <c r="C4" s="8">
        <v>4</v>
      </c>
      <c r="D4" s="7">
        <v>2021</v>
      </c>
      <c r="E4" s="9">
        <v>29376.999999998781</v>
      </c>
      <c r="F4" s="30">
        <v>0.7</v>
      </c>
      <c r="G4" s="9">
        <v>1574</v>
      </c>
      <c r="H4" s="30">
        <v>4.3899999999999997</v>
      </c>
      <c r="I4" s="9">
        <f>'Shenzhen Daily'!H7</f>
        <v>397</v>
      </c>
      <c r="J4" s="30">
        <v>5.09</v>
      </c>
      <c r="K4" s="9">
        <f>'Shenzhen Daily'!I7</f>
        <v>215</v>
      </c>
      <c r="L4" s="9">
        <f>'Shenzhen Daily'!J7</f>
        <v>307</v>
      </c>
    </row>
    <row r="5" spans="1:12" ht="15" x14ac:dyDescent="0.25">
      <c r="A5" s="6" t="s">
        <v>22</v>
      </c>
      <c r="B5" s="7">
        <f t="shared" si="0"/>
        <v>4</v>
      </c>
      <c r="C5" s="8">
        <v>4</v>
      </c>
      <c r="D5" s="7">
        <v>2021</v>
      </c>
      <c r="E5" s="9">
        <v>31628.000000000291</v>
      </c>
      <c r="F5" s="30">
        <v>0.7</v>
      </c>
      <c r="G5" s="9">
        <v>1600</v>
      </c>
      <c r="H5" s="30">
        <v>4.3899999999999997</v>
      </c>
      <c r="I5" s="9">
        <f>'Shenzhen Daily'!H8</f>
        <v>425</v>
      </c>
      <c r="J5" s="30">
        <v>5.09</v>
      </c>
      <c r="K5" s="9">
        <f>'Shenzhen Daily'!I8</f>
        <v>185</v>
      </c>
      <c r="L5" s="9">
        <f>'Shenzhen Daily'!J8</f>
        <v>384</v>
      </c>
    </row>
    <row r="6" spans="1:12" ht="15" x14ac:dyDescent="0.25">
      <c r="A6" s="6" t="s">
        <v>22</v>
      </c>
      <c r="B6" s="7">
        <f t="shared" si="0"/>
        <v>5</v>
      </c>
      <c r="C6" s="8">
        <v>4</v>
      </c>
      <c r="D6" s="7">
        <v>2021</v>
      </c>
      <c r="E6" s="9">
        <v>27057.000000000291</v>
      </c>
      <c r="F6" s="30">
        <v>0.7</v>
      </c>
      <c r="G6" s="9">
        <v>1465</v>
      </c>
      <c r="H6" s="30">
        <v>4.3899999999999997</v>
      </c>
      <c r="I6" s="9">
        <f>'Shenzhen Daily'!H9</f>
        <v>310</v>
      </c>
      <c r="J6" s="30">
        <v>5.09</v>
      </c>
      <c r="K6" s="9">
        <f>'Shenzhen Daily'!I9</f>
        <v>103</v>
      </c>
      <c r="L6" s="9">
        <f>'Shenzhen Daily'!J9</f>
        <v>300</v>
      </c>
    </row>
    <row r="7" spans="1:12" ht="15" x14ac:dyDescent="0.25">
      <c r="A7" s="6" t="s">
        <v>22</v>
      </c>
      <c r="B7" s="7">
        <f t="shared" si="0"/>
        <v>6</v>
      </c>
      <c r="C7" s="8">
        <v>4</v>
      </c>
      <c r="D7" s="7">
        <v>2021</v>
      </c>
      <c r="E7" s="9">
        <v>27737.999999999956</v>
      </c>
      <c r="F7" s="30">
        <v>0.7</v>
      </c>
      <c r="G7" s="9">
        <v>1491</v>
      </c>
      <c r="H7" s="30">
        <v>4.3899999999999997</v>
      </c>
      <c r="I7" s="9">
        <f>'Shenzhen Daily'!H10</f>
        <v>355</v>
      </c>
      <c r="J7" s="30">
        <v>5.09</v>
      </c>
      <c r="K7" s="9">
        <f>'Shenzhen Daily'!I10</f>
        <v>138</v>
      </c>
      <c r="L7" s="9">
        <f>'Shenzhen Daily'!J10</f>
        <v>199</v>
      </c>
    </row>
    <row r="8" spans="1:12" ht="15" x14ac:dyDescent="0.25">
      <c r="A8" s="6" t="s">
        <v>22</v>
      </c>
      <c r="B8" s="7">
        <f t="shared" si="0"/>
        <v>7</v>
      </c>
      <c r="C8" s="8">
        <v>4</v>
      </c>
      <c r="D8" s="7">
        <v>2021</v>
      </c>
      <c r="E8" s="9">
        <v>29641.000000000113</v>
      </c>
      <c r="F8" s="30">
        <v>0.7</v>
      </c>
      <c r="G8" s="9">
        <v>1668</v>
      </c>
      <c r="H8" s="30">
        <v>4.3899999999999997</v>
      </c>
      <c r="I8" s="9">
        <f>'Shenzhen Daily'!H11</f>
        <v>421</v>
      </c>
      <c r="J8" s="30">
        <v>5.09</v>
      </c>
      <c r="K8" s="9">
        <f>'Shenzhen Daily'!I11</f>
        <v>264</v>
      </c>
      <c r="L8" s="9">
        <f>'Shenzhen Daily'!J11</f>
        <v>291</v>
      </c>
    </row>
    <row r="9" spans="1:12" ht="15" x14ac:dyDescent="0.25">
      <c r="A9" s="6" t="s">
        <v>22</v>
      </c>
      <c r="B9" s="7">
        <f t="shared" si="0"/>
        <v>8</v>
      </c>
      <c r="C9" s="8">
        <v>4</v>
      </c>
      <c r="D9" s="7">
        <v>2021</v>
      </c>
      <c r="E9" s="9">
        <v>29260.9999999996</v>
      </c>
      <c r="F9" s="30">
        <v>0.7</v>
      </c>
      <c r="G9" s="9">
        <v>1730</v>
      </c>
      <c r="H9" s="30">
        <v>4.3899999999999997</v>
      </c>
      <c r="I9" s="9">
        <f>'Shenzhen Daily'!H12</f>
        <v>394</v>
      </c>
      <c r="J9" s="30">
        <v>5.09</v>
      </c>
      <c r="K9" s="9">
        <f>'Shenzhen Daily'!I12</f>
        <v>266</v>
      </c>
      <c r="L9" s="9">
        <f>'Shenzhen Daily'!J12</f>
        <v>239</v>
      </c>
    </row>
    <row r="10" spans="1:12" ht="15" x14ac:dyDescent="0.25">
      <c r="A10" s="6" t="s">
        <v>22</v>
      </c>
      <c r="B10" s="7">
        <f t="shared" si="0"/>
        <v>9</v>
      </c>
      <c r="C10" s="8">
        <v>4</v>
      </c>
      <c r="D10" s="7">
        <v>2021</v>
      </c>
      <c r="E10" s="9">
        <v>29265.999999999964</v>
      </c>
      <c r="F10" s="30">
        <v>0.7</v>
      </c>
      <c r="G10" s="9">
        <v>1958</v>
      </c>
      <c r="H10" s="30">
        <v>4.3899999999999997</v>
      </c>
      <c r="I10" s="9">
        <f>'Shenzhen Daily'!H13</f>
        <v>439</v>
      </c>
      <c r="J10" s="30">
        <v>5.09</v>
      </c>
      <c r="K10" s="9">
        <f>'Shenzhen Daily'!I13</f>
        <v>235</v>
      </c>
      <c r="L10" s="9">
        <f>'Shenzhen Daily'!J13</f>
        <v>384</v>
      </c>
    </row>
    <row r="11" spans="1:12" ht="15" x14ac:dyDescent="0.25">
      <c r="A11" s="6" t="s">
        <v>22</v>
      </c>
      <c r="B11" s="7">
        <f t="shared" si="0"/>
        <v>10</v>
      </c>
      <c r="C11" s="8">
        <v>4</v>
      </c>
      <c r="D11" s="7">
        <v>2021</v>
      </c>
      <c r="E11" s="9">
        <v>30091.000000000437</v>
      </c>
      <c r="F11" s="30">
        <v>0.7</v>
      </c>
      <c r="G11" s="9">
        <v>1939</v>
      </c>
      <c r="H11" s="30">
        <v>4.3899999999999997</v>
      </c>
      <c r="I11" s="9">
        <f>'Shenzhen Daily'!H14</f>
        <v>477</v>
      </c>
      <c r="J11" s="30">
        <v>5.09</v>
      </c>
      <c r="K11" s="9">
        <f>'Shenzhen Daily'!I14</f>
        <v>262</v>
      </c>
      <c r="L11" s="9">
        <f>'Shenzhen Daily'!J14</f>
        <v>432</v>
      </c>
    </row>
    <row r="12" spans="1:12" ht="15" x14ac:dyDescent="0.25">
      <c r="A12" s="6" t="s">
        <v>22</v>
      </c>
      <c r="B12" s="7">
        <f t="shared" si="0"/>
        <v>11</v>
      </c>
      <c r="C12" s="8">
        <v>4</v>
      </c>
      <c r="D12" s="7">
        <v>2021</v>
      </c>
      <c r="E12" s="9">
        <v>30211.999999999593</v>
      </c>
      <c r="F12" s="30">
        <v>0.7</v>
      </c>
      <c r="G12" s="9">
        <v>1869</v>
      </c>
      <c r="H12" s="30">
        <v>4.3899999999999997</v>
      </c>
      <c r="I12" s="9">
        <f>'Shenzhen Daily'!H15</f>
        <v>403</v>
      </c>
      <c r="J12" s="30">
        <v>5.09</v>
      </c>
      <c r="K12" s="9">
        <f>'Shenzhen Daily'!I15</f>
        <v>207</v>
      </c>
      <c r="L12" s="9">
        <f>'Shenzhen Daily'!J15</f>
        <v>458</v>
      </c>
    </row>
    <row r="13" spans="1:12" ht="15" x14ac:dyDescent="0.25">
      <c r="A13" s="6" t="s">
        <v>22</v>
      </c>
      <c r="B13" s="7">
        <f t="shared" si="0"/>
        <v>12</v>
      </c>
      <c r="C13" s="8">
        <v>4</v>
      </c>
      <c r="D13" s="7">
        <v>2021</v>
      </c>
      <c r="E13" s="9">
        <v>32096.000000000349</v>
      </c>
      <c r="F13" s="30">
        <v>0.7</v>
      </c>
      <c r="G13" s="9">
        <v>1785</v>
      </c>
      <c r="H13" s="30">
        <v>4.3899999999999997</v>
      </c>
      <c r="I13" s="9">
        <f>'Shenzhen Daily'!H16</f>
        <v>454</v>
      </c>
      <c r="J13" s="30">
        <v>5.09</v>
      </c>
      <c r="K13" s="9">
        <f>'Shenzhen Daily'!I16</f>
        <v>249</v>
      </c>
      <c r="L13" s="9">
        <f>'Shenzhen Daily'!J16</f>
        <v>470</v>
      </c>
    </row>
    <row r="14" spans="1:12" ht="15" x14ac:dyDescent="0.25">
      <c r="A14" s="6" t="s">
        <v>22</v>
      </c>
      <c r="B14" s="7">
        <f t="shared" si="0"/>
        <v>13</v>
      </c>
      <c r="C14" s="8">
        <v>4</v>
      </c>
      <c r="D14" s="7">
        <v>2021</v>
      </c>
      <c r="E14" s="9">
        <v>30865.999999999302</v>
      </c>
      <c r="F14" s="30">
        <v>0.7</v>
      </c>
      <c r="G14" s="9">
        <v>1703</v>
      </c>
      <c r="H14" s="30">
        <v>4.3899999999999997</v>
      </c>
      <c r="I14" s="9">
        <f>'Shenzhen Daily'!H17</f>
        <v>423</v>
      </c>
      <c r="J14" s="30">
        <v>5.09</v>
      </c>
      <c r="K14" s="9">
        <f>'Shenzhen Daily'!I17</f>
        <v>266</v>
      </c>
      <c r="L14" s="9">
        <f>'Shenzhen Daily'!J17</f>
        <v>419</v>
      </c>
    </row>
    <row r="15" spans="1:12" ht="15" x14ac:dyDescent="0.25">
      <c r="A15" s="6" t="s">
        <v>22</v>
      </c>
      <c r="B15" s="7">
        <f t="shared" si="0"/>
        <v>14</v>
      </c>
      <c r="C15" s="8">
        <v>4</v>
      </c>
      <c r="D15" s="7">
        <v>2021</v>
      </c>
      <c r="E15" s="9">
        <v>33351.000000000036</v>
      </c>
      <c r="F15" s="30">
        <v>0.7</v>
      </c>
      <c r="G15" s="9">
        <v>1675</v>
      </c>
      <c r="H15" s="30">
        <v>4.3899999999999997</v>
      </c>
      <c r="I15" s="9">
        <f>'Shenzhen Daily'!H18</f>
        <v>429</v>
      </c>
      <c r="J15" s="30">
        <v>5.09</v>
      </c>
      <c r="K15" s="9">
        <f>'Shenzhen Daily'!I18</f>
        <v>266</v>
      </c>
      <c r="L15" s="9">
        <f>'Shenzhen Daily'!J18</f>
        <v>459</v>
      </c>
    </row>
    <row r="16" spans="1:12" ht="15" x14ac:dyDescent="0.25">
      <c r="A16" s="6" t="s">
        <v>22</v>
      </c>
      <c r="B16" s="7">
        <f t="shared" si="0"/>
        <v>15</v>
      </c>
      <c r="C16" s="8">
        <v>4</v>
      </c>
      <c r="D16" s="7">
        <v>2021</v>
      </c>
      <c r="E16" s="9">
        <v>27529.000000000749</v>
      </c>
      <c r="F16" s="30">
        <v>0.7</v>
      </c>
      <c r="G16" s="9">
        <v>1639</v>
      </c>
      <c r="H16" s="30">
        <v>4.3899999999999997</v>
      </c>
      <c r="I16" s="9">
        <f>'Shenzhen Daily'!H19</f>
        <v>430</v>
      </c>
      <c r="J16" s="30">
        <v>5.09</v>
      </c>
      <c r="K16" s="9">
        <f>'Shenzhen Daily'!I19</f>
        <v>266</v>
      </c>
      <c r="L16" s="9">
        <f>'Shenzhen Daily'!J19</f>
        <v>501</v>
      </c>
    </row>
    <row r="17" spans="1:12" ht="15" x14ac:dyDescent="0.25">
      <c r="A17" s="6" t="s">
        <v>22</v>
      </c>
      <c r="B17" s="7">
        <f t="shared" si="0"/>
        <v>16</v>
      </c>
      <c r="C17" s="8">
        <v>4</v>
      </c>
      <c r="D17" s="7">
        <v>2021</v>
      </c>
      <c r="E17" s="9">
        <v>28756.999999999291</v>
      </c>
      <c r="F17" s="30">
        <v>0.7</v>
      </c>
      <c r="G17" s="9">
        <v>1690</v>
      </c>
      <c r="H17" s="30">
        <v>4.3899999999999997</v>
      </c>
      <c r="I17" s="9">
        <f>'Shenzhen Daily'!H20</f>
        <v>405</v>
      </c>
      <c r="J17" s="30">
        <v>5.09</v>
      </c>
      <c r="K17" s="9">
        <f>'Shenzhen Daily'!I20</f>
        <v>260</v>
      </c>
      <c r="L17" s="9">
        <f>'Shenzhen Daily'!J20</f>
        <v>362</v>
      </c>
    </row>
    <row r="18" spans="1:12" ht="15" x14ac:dyDescent="0.25">
      <c r="A18" s="6" t="s">
        <v>22</v>
      </c>
      <c r="B18" s="7">
        <f t="shared" si="0"/>
        <v>17</v>
      </c>
      <c r="C18" s="8">
        <v>4</v>
      </c>
      <c r="D18" s="7">
        <v>2021</v>
      </c>
      <c r="E18" s="9">
        <v>29313.00000000032</v>
      </c>
      <c r="F18" s="30">
        <v>0.7</v>
      </c>
      <c r="G18" s="9">
        <v>1790</v>
      </c>
      <c r="H18" s="30">
        <v>4.3899999999999997</v>
      </c>
      <c r="I18" s="9">
        <f>'Shenzhen Daily'!H21</f>
        <v>395</v>
      </c>
      <c r="J18" s="30">
        <v>5.09</v>
      </c>
      <c r="K18" s="9">
        <f>'Shenzhen Daily'!I21</f>
        <v>258</v>
      </c>
      <c r="L18" s="9">
        <f>'Shenzhen Daily'!J21</f>
        <v>436</v>
      </c>
    </row>
    <row r="19" spans="1:12" ht="15" x14ac:dyDescent="0.25">
      <c r="A19" s="6" t="s">
        <v>22</v>
      </c>
      <c r="B19" s="7">
        <f t="shared" si="0"/>
        <v>18</v>
      </c>
      <c r="C19" s="8">
        <v>4</v>
      </c>
      <c r="D19" s="7">
        <v>2021</v>
      </c>
      <c r="E19" s="9">
        <v>28058.000000000357</v>
      </c>
      <c r="F19" s="30">
        <v>0.7</v>
      </c>
      <c r="G19" s="9">
        <v>1689</v>
      </c>
      <c r="H19" s="30">
        <v>4.3899999999999997</v>
      </c>
      <c r="I19" s="9">
        <f>'Shenzhen Daily'!H22</f>
        <v>371</v>
      </c>
      <c r="J19" s="30">
        <v>5.09</v>
      </c>
      <c r="K19" s="9">
        <f>'Shenzhen Daily'!I22</f>
        <v>158</v>
      </c>
      <c r="L19" s="9">
        <f>'Shenzhen Daily'!J22</f>
        <v>420</v>
      </c>
    </row>
    <row r="20" spans="1:12" ht="15" x14ac:dyDescent="0.25">
      <c r="A20" s="6" t="s">
        <v>22</v>
      </c>
      <c r="B20" s="7">
        <f t="shared" si="0"/>
        <v>19</v>
      </c>
      <c r="C20" s="8">
        <v>4</v>
      </c>
      <c r="D20" s="7">
        <v>2021</v>
      </c>
      <c r="E20" s="9">
        <v>28813.999999999691</v>
      </c>
      <c r="F20" s="30">
        <v>0.7</v>
      </c>
      <c r="G20" s="9">
        <v>1763</v>
      </c>
      <c r="H20" s="30">
        <v>4.3899999999999997</v>
      </c>
      <c r="I20" s="9">
        <f>'Shenzhen Daily'!H23</f>
        <v>400</v>
      </c>
      <c r="J20" s="30">
        <v>5.09</v>
      </c>
      <c r="K20" s="9">
        <f>'Shenzhen Daily'!I23</f>
        <v>262</v>
      </c>
      <c r="L20" s="9">
        <f>'Shenzhen Daily'!J23</f>
        <v>480</v>
      </c>
    </row>
    <row r="21" spans="1:12" ht="15" x14ac:dyDescent="0.25">
      <c r="A21" s="6" t="s">
        <v>22</v>
      </c>
      <c r="B21" s="7">
        <f t="shared" si="0"/>
        <v>20</v>
      </c>
      <c r="C21" s="8">
        <v>4</v>
      </c>
      <c r="D21" s="7">
        <v>2021</v>
      </c>
      <c r="E21" s="9">
        <v>32080.9999999996</v>
      </c>
      <c r="F21" s="30">
        <v>0.7</v>
      </c>
      <c r="G21" s="9">
        <v>1850</v>
      </c>
      <c r="H21" s="30">
        <v>4.3899999999999997</v>
      </c>
      <c r="I21" s="9">
        <f>'Shenzhen Daily'!H24</f>
        <v>405</v>
      </c>
      <c r="J21" s="30">
        <v>5.09</v>
      </c>
      <c r="K21" s="9">
        <f>'Shenzhen Daily'!I24</f>
        <v>266</v>
      </c>
      <c r="L21" s="9">
        <f>'Shenzhen Daily'!J24</f>
        <v>818</v>
      </c>
    </row>
    <row r="22" spans="1:12" ht="15" x14ac:dyDescent="0.25">
      <c r="A22" s="6" t="s">
        <v>22</v>
      </c>
      <c r="B22" s="7">
        <f t="shared" si="0"/>
        <v>21</v>
      </c>
      <c r="C22" s="8">
        <v>4</v>
      </c>
      <c r="D22" s="7">
        <v>2021</v>
      </c>
      <c r="E22" s="9">
        <v>31273.000000000426</v>
      </c>
      <c r="F22" s="30">
        <v>0.7</v>
      </c>
      <c r="G22" s="9">
        <v>1765</v>
      </c>
      <c r="H22" s="30">
        <v>4.3899999999999997</v>
      </c>
      <c r="I22" s="9">
        <f>'Shenzhen Daily'!H25</f>
        <v>505</v>
      </c>
      <c r="J22" s="30">
        <v>5.09</v>
      </c>
      <c r="K22" s="9">
        <f>'Shenzhen Daily'!I25</f>
        <v>262</v>
      </c>
      <c r="L22" s="9">
        <f>'Shenzhen Daily'!J25</f>
        <v>699</v>
      </c>
    </row>
    <row r="23" spans="1:12" ht="15" x14ac:dyDescent="0.25">
      <c r="A23" s="6" t="s">
        <v>22</v>
      </c>
      <c r="B23" s="7">
        <f t="shared" si="0"/>
        <v>22</v>
      </c>
      <c r="C23" s="8">
        <v>4</v>
      </c>
      <c r="D23" s="7">
        <v>2021</v>
      </c>
      <c r="E23" s="9">
        <v>33214.999999999483</v>
      </c>
      <c r="F23" s="30">
        <v>0.7</v>
      </c>
      <c r="G23" s="9">
        <v>1827</v>
      </c>
      <c r="H23" s="30">
        <v>4.3899999999999997</v>
      </c>
      <c r="I23" s="9">
        <f>'Shenzhen Daily'!H26</f>
        <v>460</v>
      </c>
      <c r="J23" s="30">
        <v>5.09</v>
      </c>
      <c r="K23" s="9">
        <f>'Shenzhen Daily'!I26</f>
        <v>266</v>
      </c>
      <c r="L23" s="9">
        <f>'Shenzhen Daily'!J26</f>
        <v>489</v>
      </c>
    </row>
    <row r="24" spans="1:12" ht="15" x14ac:dyDescent="0.25">
      <c r="A24" s="6" t="s">
        <v>22</v>
      </c>
      <c r="B24" s="7">
        <f t="shared" si="0"/>
        <v>23</v>
      </c>
      <c r="C24" s="8">
        <v>4</v>
      </c>
      <c r="D24" s="7">
        <v>2021</v>
      </c>
      <c r="E24" s="9">
        <v>34418.000000000473</v>
      </c>
      <c r="F24" s="30">
        <v>0.7</v>
      </c>
      <c r="G24" s="9">
        <v>1803</v>
      </c>
      <c r="H24" s="30">
        <v>4.3899999999999997</v>
      </c>
      <c r="I24" s="9">
        <f>'Shenzhen Daily'!H27</f>
        <v>453</v>
      </c>
      <c r="J24" s="30">
        <v>5.09</v>
      </c>
      <c r="K24" s="9">
        <f>'Shenzhen Daily'!I27</f>
        <v>264</v>
      </c>
      <c r="L24" s="9">
        <f>'Shenzhen Daily'!J27</f>
        <v>416</v>
      </c>
    </row>
    <row r="25" spans="1:12" ht="15" x14ac:dyDescent="0.25">
      <c r="A25" s="6" t="s">
        <v>22</v>
      </c>
      <c r="B25" s="7">
        <f t="shared" si="0"/>
        <v>24</v>
      </c>
      <c r="C25" s="8">
        <v>4</v>
      </c>
      <c r="D25" s="7">
        <v>2021</v>
      </c>
      <c r="E25" s="9">
        <v>31618.000000000044</v>
      </c>
      <c r="F25" s="30">
        <v>0.7</v>
      </c>
      <c r="G25" s="9">
        <v>1705</v>
      </c>
      <c r="H25" s="30">
        <v>4.3899999999999997</v>
      </c>
      <c r="I25" s="9">
        <f>'Shenzhen Daily'!H28</f>
        <v>455</v>
      </c>
      <c r="J25" s="30">
        <v>5.09</v>
      </c>
      <c r="K25" s="9">
        <f>'Shenzhen Daily'!I28</f>
        <v>252</v>
      </c>
      <c r="L25" s="9">
        <f>'Shenzhen Daily'!J28</f>
        <v>364</v>
      </c>
    </row>
    <row r="26" spans="1:12" ht="15" x14ac:dyDescent="0.25">
      <c r="A26" s="6" t="s">
        <v>22</v>
      </c>
      <c r="B26" s="7">
        <f>B25+1</f>
        <v>25</v>
      </c>
      <c r="C26" s="8">
        <v>4</v>
      </c>
      <c r="D26" s="7">
        <v>2021</v>
      </c>
      <c r="E26" s="9">
        <v>31865.999999999905</v>
      </c>
      <c r="F26" s="30">
        <v>0.7</v>
      </c>
      <c r="G26" s="9">
        <v>1705</v>
      </c>
      <c r="H26" s="30">
        <v>4.3899999999999997</v>
      </c>
      <c r="I26" s="9">
        <f>'Shenzhen Daily'!H29</f>
        <v>435</v>
      </c>
      <c r="J26" s="30">
        <v>5.09</v>
      </c>
      <c r="K26" s="9">
        <f>'Shenzhen Daily'!I29</f>
        <v>233</v>
      </c>
      <c r="L26" s="9">
        <f>'Shenzhen Daily'!J29</f>
        <v>327</v>
      </c>
    </row>
    <row r="27" spans="1:12" ht="15" x14ac:dyDescent="0.25">
      <c r="A27" s="6" t="s">
        <v>22</v>
      </c>
      <c r="B27" s="7">
        <f t="shared" si="0"/>
        <v>26</v>
      </c>
      <c r="C27" s="8">
        <v>4</v>
      </c>
      <c r="D27" s="7">
        <v>2021</v>
      </c>
      <c r="E27" s="9">
        <v>27806.000000000036</v>
      </c>
      <c r="F27" s="30">
        <v>0.7</v>
      </c>
      <c r="G27" s="9">
        <v>1671</v>
      </c>
      <c r="H27" s="30">
        <v>4.3899999999999997</v>
      </c>
      <c r="I27" s="9">
        <f>'Shenzhen Daily'!H30</f>
        <v>434</v>
      </c>
      <c r="J27" s="30">
        <v>5.09</v>
      </c>
      <c r="K27" s="9">
        <f>'Shenzhen Daily'!I30</f>
        <v>230</v>
      </c>
      <c r="L27" s="9">
        <f>'Shenzhen Daily'!J30</f>
        <v>334</v>
      </c>
    </row>
    <row r="28" spans="1:12" ht="15" x14ac:dyDescent="0.25">
      <c r="A28" s="6" t="s">
        <v>22</v>
      </c>
      <c r="B28" s="7">
        <f t="shared" si="0"/>
        <v>27</v>
      </c>
      <c r="C28" s="8">
        <v>4</v>
      </c>
      <c r="D28" s="7">
        <v>2021</v>
      </c>
      <c r="E28" s="9">
        <v>30556.00000000024</v>
      </c>
      <c r="F28" s="30">
        <v>0.7</v>
      </c>
      <c r="G28" s="9">
        <v>1748</v>
      </c>
      <c r="H28" s="30">
        <v>4.3899999999999997</v>
      </c>
      <c r="I28" s="9">
        <f>'Shenzhen Daily'!H31</f>
        <v>430</v>
      </c>
      <c r="J28" s="30">
        <v>5.09</v>
      </c>
      <c r="K28" s="9">
        <f>'Shenzhen Daily'!I31</f>
        <v>266</v>
      </c>
      <c r="L28" s="9">
        <f>'Shenzhen Daily'!J31</f>
        <v>495</v>
      </c>
    </row>
    <row r="29" spans="1:12" ht="15" x14ac:dyDescent="0.25">
      <c r="A29" s="6" t="s">
        <v>22</v>
      </c>
      <c r="B29" s="7">
        <f t="shared" si="0"/>
        <v>28</v>
      </c>
      <c r="C29" s="8">
        <v>4</v>
      </c>
      <c r="D29" s="7">
        <v>2021</v>
      </c>
      <c r="E29" s="9">
        <v>30435.00000000024</v>
      </c>
      <c r="F29" s="30">
        <v>0.7</v>
      </c>
      <c r="G29" s="9">
        <v>1613</v>
      </c>
      <c r="H29" s="30">
        <v>4.3899999999999997</v>
      </c>
      <c r="I29" s="9">
        <f>'Shenzhen Daily'!H32</f>
        <v>389</v>
      </c>
      <c r="J29" s="30">
        <v>5.09</v>
      </c>
      <c r="K29" s="9">
        <f>'Shenzhen Daily'!I32</f>
        <v>266</v>
      </c>
      <c r="L29" s="9">
        <f>'Shenzhen Daily'!J32</f>
        <v>451</v>
      </c>
    </row>
    <row r="30" spans="1:12" ht="15" x14ac:dyDescent="0.25">
      <c r="A30" s="6" t="s">
        <v>22</v>
      </c>
      <c r="B30" s="7">
        <f t="shared" si="0"/>
        <v>29</v>
      </c>
      <c r="C30" s="8">
        <v>4</v>
      </c>
      <c r="D30" s="7">
        <v>2021</v>
      </c>
      <c r="E30" s="9">
        <v>27810.999999999432</v>
      </c>
      <c r="F30" s="30">
        <v>0.7</v>
      </c>
      <c r="G30" s="9">
        <v>1564</v>
      </c>
      <c r="H30" s="30">
        <v>4.3899999999999997</v>
      </c>
      <c r="I30" s="9">
        <f>'Shenzhen Daily'!H33</f>
        <v>382</v>
      </c>
      <c r="J30" s="30">
        <v>5.09</v>
      </c>
      <c r="K30" s="9">
        <f>'Shenzhen Daily'!I33</f>
        <v>170</v>
      </c>
      <c r="L30" s="9">
        <f>'Shenzhen Daily'!J33</f>
        <v>476</v>
      </c>
    </row>
    <row r="31" spans="1:12" ht="15" x14ac:dyDescent="0.25">
      <c r="A31" s="6" t="s">
        <v>22</v>
      </c>
      <c r="B31" s="7">
        <f t="shared" si="0"/>
        <v>30</v>
      </c>
      <c r="C31" s="8">
        <v>4</v>
      </c>
      <c r="D31" s="7">
        <v>2021</v>
      </c>
      <c r="E31" s="9">
        <v>29873.00000000032</v>
      </c>
      <c r="F31" s="30">
        <v>0.7</v>
      </c>
      <c r="G31" s="9">
        <v>1443</v>
      </c>
      <c r="H31" s="30">
        <v>4.3899999999999997</v>
      </c>
      <c r="I31" s="9">
        <f>'Shenzhen Daily'!H34</f>
        <v>435</v>
      </c>
      <c r="J31" s="30">
        <v>5.09</v>
      </c>
      <c r="K31" s="9">
        <f>'Shenzhen Daily'!I34</f>
        <v>210</v>
      </c>
      <c r="L31" s="9">
        <f>'Shenzhen Daily'!J34</f>
        <v>340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4"/>
  <sheetViews>
    <sheetView zoomScale="85" zoomScaleNormal="85" workbookViewId="0">
      <pane xSplit="1" topLeftCell="B1" activePane="topRight" state="frozen"/>
      <selection pane="topRight" activeCell="E32" sqref="E32:E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0"/>
      <c r="C1" s="10"/>
      <c r="D1" s="11"/>
      <c r="E1" s="10"/>
      <c r="F1" s="10"/>
      <c r="G1" s="52"/>
      <c r="H1" s="52"/>
      <c r="I1" s="12"/>
      <c r="J1" s="12"/>
    </row>
    <row r="2" spans="1:10" ht="35.25" customHeight="1" thickBot="1" x14ac:dyDescent="0.2">
      <c r="A2" s="14" t="s">
        <v>9</v>
      </c>
      <c r="B2" s="50"/>
      <c r="C2" s="53" t="s">
        <v>19</v>
      </c>
      <c r="D2" s="54"/>
      <c r="E2" s="55" t="s">
        <v>20</v>
      </c>
      <c r="F2" s="55"/>
      <c r="G2" s="56" t="s">
        <v>10</v>
      </c>
      <c r="H2" s="57"/>
      <c r="I2" s="15"/>
      <c r="J2" s="15"/>
    </row>
    <row r="3" spans="1:10" ht="44.25" customHeight="1" x14ac:dyDescent="0.15">
      <c r="A3" s="16" t="s">
        <v>11</v>
      </c>
      <c r="B3" s="50"/>
      <c r="C3" s="39" t="s">
        <v>12</v>
      </c>
      <c r="D3" s="17" t="s">
        <v>13</v>
      </c>
      <c r="E3" s="43" t="s">
        <v>14</v>
      </c>
      <c r="F3" s="18" t="s">
        <v>13</v>
      </c>
      <c r="G3" s="43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44286</v>
      </c>
      <c r="B4" s="51"/>
      <c r="C4" s="40">
        <v>28462.480000000003</v>
      </c>
      <c r="D4" s="41"/>
      <c r="E4" s="40">
        <v>2613718</v>
      </c>
      <c r="F4" s="44"/>
      <c r="G4" s="40">
        <v>431611</v>
      </c>
      <c r="H4" s="46"/>
      <c r="I4" s="23">
        <v>198</v>
      </c>
      <c r="J4" s="23">
        <v>563</v>
      </c>
    </row>
    <row r="5" spans="1:10" ht="33" customHeight="1" x14ac:dyDescent="0.2">
      <c r="A5" s="24">
        <v>44287</v>
      </c>
      <c r="B5" s="51"/>
      <c r="C5" s="40">
        <v>28475.4</v>
      </c>
      <c r="D5" s="42">
        <f t="shared" ref="D5:D22" si="0">IF((C5-C4&lt;0), "0",C5-C4)</f>
        <v>12.919999999998254</v>
      </c>
      <c r="E5" s="40">
        <v>2615311</v>
      </c>
      <c r="F5" s="42">
        <f>IF((E5-E4&lt;0), "0",E5-E4)</f>
        <v>1593</v>
      </c>
      <c r="G5" s="40">
        <v>432020</v>
      </c>
      <c r="H5" s="38">
        <f>IF((G5-G4&lt;0), "0",G5-G4)</f>
        <v>409</v>
      </c>
      <c r="I5" s="26">
        <v>179</v>
      </c>
      <c r="J5" s="26">
        <v>379</v>
      </c>
    </row>
    <row r="6" spans="1:10" ht="45" customHeight="1" x14ac:dyDescent="0.2">
      <c r="A6" s="24">
        <v>44288</v>
      </c>
      <c r="B6" s="51"/>
      <c r="C6" s="40">
        <v>28489.550000000003</v>
      </c>
      <c r="D6" s="42">
        <f t="shared" si="0"/>
        <v>14.150000000001455</v>
      </c>
      <c r="E6" s="40">
        <v>2616838</v>
      </c>
      <c r="F6" s="42">
        <f t="shared" ref="F6:F34" si="1">IF((E6-E5&lt;0), "0",E6-E5)</f>
        <v>1527</v>
      </c>
      <c r="G6" s="40">
        <v>432425</v>
      </c>
      <c r="H6" s="47">
        <f t="shared" ref="H6:H34" si="2">IF((G6-G5&lt;0), "0",G6-G5)</f>
        <v>405</v>
      </c>
      <c r="I6" s="12">
        <v>151</v>
      </c>
      <c r="J6" s="37">
        <v>336</v>
      </c>
    </row>
    <row r="7" spans="1:10" ht="45" customHeight="1" x14ac:dyDescent="0.2">
      <c r="A7" s="24">
        <v>44289</v>
      </c>
      <c r="B7" s="51"/>
      <c r="C7" s="40">
        <v>28504.87</v>
      </c>
      <c r="D7" s="42">
        <f t="shared" si="0"/>
        <v>15.319999999996071</v>
      </c>
      <c r="E7" s="40">
        <v>2618413</v>
      </c>
      <c r="F7" s="42">
        <f t="shared" si="1"/>
        <v>1575</v>
      </c>
      <c r="G7" s="40">
        <v>432822</v>
      </c>
      <c r="H7" s="38">
        <f t="shared" si="2"/>
        <v>397</v>
      </c>
      <c r="I7" s="12">
        <v>215</v>
      </c>
      <c r="J7" s="12">
        <v>307</v>
      </c>
    </row>
    <row r="8" spans="1:10" ht="45" customHeight="1" x14ac:dyDescent="0.2">
      <c r="A8" s="24">
        <v>44290</v>
      </c>
      <c r="B8" s="50"/>
      <c r="C8" s="31">
        <v>28520.94</v>
      </c>
      <c r="D8" s="36">
        <f t="shared" si="0"/>
        <v>16.069999999999709</v>
      </c>
      <c r="E8" s="31">
        <v>2620014</v>
      </c>
      <c r="F8" s="45">
        <f t="shared" si="1"/>
        <v>1601</v>
      </c>
      <c r="G8" s="40">
        <v>433247</v>
      </c>
      <c r="H8" s="38">
        <f t="shared" si="2"/>
        <v>425</v>
      </c>
      <c r="I8" s="12">
        <v>185</v>
      </c>
      <c r="J8" s="12">
        <v>384</v>
      </c>
    </row>
    <row r="9" spans="1:10" ht="45" customHeight="1" x14ac:dyDescent="0.2">
      <c r="A9" s="24">
        <v>44291</v>
      </c>
      <c r="B9" s="50"/>
      <c r="C9" s="31">
        <v>28537.35</v>
      </c>
      <c r="D9" s="25">
        <f t="shared" si="0"/>
        <v>16.409999999999854</v>
      </c>
      <c r="E9" s="31">
        <v>2621479</v>
      </c>
      <c r="F9" s="25">
        <f t="shared" si="1"/>
        <v>1465</v>
      </c>
      <c r="G9" s="31">
        <v>433557</v>
      </c>
      <c r="H9" s="25">
        <f t="shared" si="2"/>
        <v>310</v>
      </c>
      <c r="I9" s="12">
        <v>103</v>
      </c>
      <c r="J9" s="12">
        <v>300</v>
      </c>
    </row>
    <row r="10" spans="1:10" ht="45" customHeight="1" x14ac:dyDescent="0.2">
      <c r="A10" s="24">
        <v>44292</v>
      </c>
      <c r="B10" s="50"/>
      <c r="C10" s="31">
        <v>28555.050000000003</v>
      </c>
      <c r="D10" s="25">
        <f t="shared" si="0"/>
        <v>17.700000000004366</v>
      </c>
      <c r="E10" s="31">
        <v>2622971</v>
      </c>
      <c r="F10" s="25">
        <f t="shared" si="1"/>
        <v>1492</v>
      </c>
      <c r="G10" s="31">
        <v>433912</v>
      </c>
      <c r="H10" s="25">
        <f t="shared" si="2"/>
        <v>355</v>
      </c>
      <c r="I10" s="12">
        <v>138</v>
      </c>
      <c r="J10" s="12">
        <v>199</v>
      </c>
    </row>
    <row r="11" spans="1:10" ht="45" customHeight="1" x14ac:dyDescent="0.2">
      <c r="A11" s="24">
        <v>44293</v>
      </c>
      <c r="B11" s="50"/>
      <c r="C11" s="31">
        <v>28573.960000000003</v>
      </c>
      <c r="D11" s="25">
        <f t="shared" si="0"/>
        <v>18.909999999999854</v>
      </c>
      <c r="E11" s="31">
        <v>2624640</v>
      </c>
      <c r="F11" s="25">
        <f t="shared" si="1"/>
        <v>1669</v>
      </c>
      <c r="G11" s="31">
        <v>434333</v>
      </c>
      <c r="H11" s="25">
        <f t="shared" si="2"/>
        <v>421</v>
      </c>
      <c r="I11" s="12">
        <v>264</v>
      </c>
      <c r="J11" s="12">
        <v>291</v>
      </c>
    </row>
    <row r="12" spans="1:10" ht="45" customHeight="1" x14ac:dyDescent="0.2">
      <c r="A12" s="24">
        <v>44294</v>
      </c>
      <c r="B12" s="50"/>
      <c r="C12" s="31">
        <v>28592.729999999996</v>
      </c>
      <c r="D12" s="25">
        <f t="shared" si="0"/>
        <v>18.769999999993161</v>
      </c>
      <c r="E12" s="31">
        <v>2626371</v>
      </c>
      <c r="F12" s="25">
        <f t="shared" si="1"/>
        <v>1731</v>
      </c>
      <c r="G12" s="31">
        <v>434727</v>
      </c>
      <c r="H12" s="25">
        <f t="shared" si="2"/>
        <v>394</v>
      </c>
      <c r="I12" s="12">
        <v>266</v>
      </c>
      <c r="J12" s="12">
        <v>239</v>
      </c>
    </row>
    <row r="13" spans="1:10" ht="45" customHeight="1" x14ac:dyDescent="0.2">
      <c r="A13" s="24">
        <v>44295</v>
      </c>
      <c r="B13" s="50"/>
      <c r="C13" s="31">
        <v>28614.030000000002</v>
      </c>
      <c r="D13" s="25">
        <f t="shared" si="0"/>
        <v>21.300000000006548</v>
      </c>
      <c r="E13" s="31">
        <v>2628331</v>
      </c>
      <c r="F13" s="25">
        <f t="shared" si="1"/>
        <v>1960</v>
      </c>
      <c r="G13" s="31">
        <v>435166</v>
      </c>
      <c r="H13" s="25">
        <f t="shared" si="2"/>
        <v>439</v>
      </c>
      <c r="I13" s="12">
        <v>235</v>
      </c>
      <c r="J13" s="12">
        <v>384</v>
      </c>
    </row>
    <row r="14" spans="1:10" ht="45" customHeight="1" x14ac:dyDescent="0.2">
      <c r="A14" s="24">
        <v>44296</v>
      </c>
      <c r="B14" s="50"/>
      <c r="C14" s="31">
        <v>28634.18</v>
      </c>
      <c r="D14" s="25">
        <f t="shared" si="0"/>
        <v>20.149999999997817</v>
      </c>
      <c r="E14" s="31">
        <v>2630272</v>
      </c>
      <c r="F14" s="25">
        <f t="shared" si="1"/>
        <v>1941</v>
      </c>
      <c r="G14" s="31">
        <v>435643</v>
      </c>
      <c r="H14" s="25">
        <f t="shared" si="2"/>
        <v>477</v>
      </c>
      <c r="I14" s="12">
        <v>262</v>
      </c>
      <c r="J14" s="12">
        <v>432</v>
      </c>
    </row>
    <row r="15" spans="1:10" ht="45" customHeight="1" x14ac:dyDescent="0.2">
      <c r="A15" s="24">
        <v>44297</v>
      </c>
      <c r="B15" s="50"/>
      <c r="C15" s="31">
        <v>28655.379999999997</v>
      </c>
      <c r="D15" s="25">
        <f t="shared" si="0"/>
        <v>21.19999999999709</v>
      </c>
      <c r="E15" s="31">
        <v>2632142</v>
      </c>
      <c r="F15" s="25">
        <f t="shared" si="1"/>
        <v>1870</v>
      </c>
      <c r="G15" s="31">
        <v>436046</v>
      </c>
      <c r="H15" s="25">
        <f t="shared" si="2"/>
        <v>403</v>
      </c>
      <c r="I15" s="12">
        <v>207</v>
      </c>
      <c r="J15" s="12">
        <v>458</v>
      </c>
    </row>
    <row r="16" spans="1:10" ht="45" customHeight="1" x14ac:dyDescent="0.2">
      <c r="A16" s="24">
        <v>44298</v>
      </c>
      <c r="B16" s="50"/>
      <c r="C16" s="31">
        <v>28678.029999999995</v>
      </c>
      <c r="D16" s="25">
        <f t="shared" si="0"/>
        <v>22.649999999997817</v>
      </c>
      <c r="E16" s="31">
        <v>2633928</v>
      </c>
      <c r="F16" s="25">
        <f t="shared" si="1"/>
        <v>1786</v>
      </c>
      <c r="G16" s="31">
        <v>436500</v>
      </c>
      <c r="H16" s="25">
        <f t="shared" si="2"/>
        <v>454</v>
      </c>
      <c r="I16" s="12">
        <v>249</v>
      </c>
      <c r="J16" s="12">
        <v>470</v>
      </c>
    </row>
    <row r="17" spans="1:15" ht="45" customHeight="1" x14ac:dyDescent="0.2">
      <c r="A17" s="24">
        <v>44299</v>
      </c>
      <c r="B17" s="50"/>
      <c r="C17" s="31">
        <v>28699.159999999996</v>
      </c>
      <c r="D17" s="25">
        <f t="shared" si="0"/>
        <v>21.130000000001019</v>
      </c>
      <c r="E17" s="31">
        <v>2635632</v>
      </c>
      <c r="F17" s="25">
        <f t="shared" si="1"/>
        <v>1704</v>
      </c>
      <c r="G17" s="31">
        <v>436923</v>
      </c>
      <c r="H17" s="25">
        <f t="shared" si="2"/>
        <v>423</v>
      </c>
      <c r="I17" s="12">
        <v>266</v>
      </c>
      <c r="J17" s="12">
        <v>419</v>
      </c>
    </row>
    <row r="18" spans="1:15" ht="45" customHeight="1" x14ac:dyDescent="0.2">
      <c r="A18" s="24">
        <v>44300</v>
      </c>
      <c r="B18" s="50"/>
      <c r="C18" s="31">
        <v>28719.769999999997</v>
      </c>
      <c r="D18" s="25">
        <f t="shared" si="0"/>
        <v>20.610000000000582</v>
      </c>
      <c r="E18" s="31">
        <v>2637308</v>
      </c>
      <c r="F18" s="25">
        <f t="shared" si="1"/>
        <v>1676</v>
      </c>
      <c r="G18" s="31">
        <v>437352</v>
      </c>
      <c r="H18" s="25">
        <f t="shared" si="2"/>
        <v>429</v>
      </c>
      <c r="I18" s="12">
        <v>266</v>
      </c>
      <c r="J18" s="12">
        <v>459</v>
      </c>
    </row>
    <row r="19" spans="1:15" ht="45" customHeight="1" x14ac:dyDescent="0.2">
      <c r="A19" s="24">
        <v>44301</v>
      </c>
      <c r="B19" s="50"/>
      <c r="C19" s="31">
        <v>28742.44</v>
      </c>
      <c r="D19" s="25">
        <f t="shared" si="0"/>
        <v>22.670000000001892</v>
      </c>
      <c r="E19" s="31">
        <v>2638948</v>
      </c>
      <c r="F19" s="25">
        <f t="shared" si="1"/>
        <v>1640</v>
      </c>
      <c r="G19" s="31">
        <v>437782</v>
      </c>
      <c r="H19" s="25">
        <f t="shared" si="2"/>
        <v>430</v>
      </c>
      <c r="I19" s="12">
        <v>266</v>
      </c>
      <c r="J19" s="12">
        <v>501</v>
      </c>
    </row>
    <row r="20" spans="1:15" ht="45" customHeight="1" x14ac:dyDescent="0.2">
      <c r="A20" s="24">
        <v>44302</v>
      </c>
      <c r="B20" s="50"/>
      <c r="C20" s="31">
        <v>28764.259999999995</v>
      </c>
      <c r="D20" s="25">
        <f t="shared" si="0"/>
        <v>21.819999999996071</v>
      </c>
      <c r="E20" s="31">
        <v>2640639</v>
      </c>
      <c r="F20" s="25">
        <f t="shared" si="1"/>
        <v>1691</v>
      </c>
      <c r="G20" s="31">
        <v>438187</v>
      </c>
      <c r="H20" s="25">
        <f t="shared" si="2"/>
        <v>405</v>
      </c>
      <c r="I20" s="12">
        <v>260</v>
      </c>
      <c r="J20" s="12">
        <v>362</v>
      </c>
    </row>
    <row r="21" spans="1:15" ht="45" customHeight="1" x14ac:dyDescent="0.2">
      <c r="A21" s="24">
        <v>44303</v>
      </c>
      <c r="B21" s="50"/>
      <c r="C21" s="31">
        <v>28785.519999999997</v>
      </c>
      <c r="D21" s="25">
        <f t="shared" si="0"/>
        <v>21.260000000002037</v>
      </c>
      <c r="E21" s="31">
        <v>2642430</v>
      </c>
      <c r="F21" s="25">
        <f t="shared" si="1"/>
        <v>1791</v>
      </c>
      <c r="G21" s="31">
        <v>438582</v>
      </c>
      <c r="H21" s="25">
        <f t="shared" si="2"/>
        <v>395</v>
      </c>
      <c r="I21" s="12">
        <v>258</v>
      </c>
      <c r="J21" s="12">
        <v>436</v>
      </c>
    </row>
    <row r="22" spans="1:15" ht="45" customHeight="1" x14ac:dyDescent="0.2">
      <c r="A22" s="24">
        <v>44304</v>
      </c>
      <c r="B22" s="50"/>
      <c r="C22" s="31">
        <v>28806.800000000007</v>
      </c>
      <c r="D22" s="25">
        <f t="shared" si="0"/>
        <v>21.28000000000975</v>
      </c>
      <c r="E22" s="31">
        <v>2644121</v>
      </c>
      <c r="F22" s="25">
        <f t="shared" si="1"/>
        <v>1691</v>
      </c>
      <c r="G22" s="31">
        <v>438953</v>
      </c>
      <c r="H22" s="25">
        <f t="shared" si="2"/>
        <v>371</v>
      </c>
      <c r="I22" s="12">
        <v>158</v>
      </c>
      <c r="J22" s="12">
        <v>420</v>
      </c>
    </row>
    <row r="23" spans="1:15" ht="45" customHeight="1" x14ac:dyDescent="0.2">
      <c r="A23" s="24">
        <v>44305</v>
      </c>
      <c r="B23" s="50"/>
      <c r="C23" s="31">
        <v>28826.210000000003</v>
      </c>
      <c r="D23" s="25">
        <f>IF((C23-C22&lt;0), "0",C23-C22)</f>
        <v>19.409999999996217</v>
      </c>
      <c r="E23" s="31">
        <v>2645885</v>
      </c>
      <c r="F23" s="25">
        <f t="shared" si="1"/>
        <v>1764</v>
      </c>
      <c r="G23" s="31">
        <v>439353</v>
      </c>
      <c r="H23" s="25">
        <f t="shared" si="2"/>
        <v>400</v>
      </c>
      <c r="I23" s="12">
        <v>262</v>
      </c>
      <c r="J23" s="12">
        <v>480</v>
      </c>
    </row>
    <row r="24" spans="1:15" ht="45" customHeight="1" x14ac:dyDescent="0.2">
      <c r="A24" s="24">
        <v>44306</v>
      </c>
      <c r="B24" s="50"/>
      <c r="C24" s="31">
        <v>28845.589999999997</v>
      </c>
      <c r="D24" s="25">
        <f t="shared" ref="D24:D34" si="3">IF((C24-C23&lt;0), "0",C24-C23)</f>
        <v>19.379999999993743</v>
      </c>
      <c r="E24" s="31">
        <v>2647736</v>
      </c>
      <c r="F24" s="25">
        <f t="shared" si="1"/>
        <v>1851</v>
      </c>
      <c r="G24" s="31">
        <v>439758</v>
      </c>
      <c r="H24" s="25">
        <f t="shared" si="2"/>
        <v>405</v>
      </c>
      <c r="I24" s="12">
        <v>266</v>
      </c>
      <c r="J24" s="12">
        <v>818</v>
      </c>
    </row>
    <row r="25" spans="1:15" ht="45" customHeight="1" x14ac:dyDescent="0.2">
      <c r="A25" s="24">
        <v>44307</v>
      </c>
      <c r="B25" s="50"/>
      <c r="C25" s="31">
        <v>28865.190000000002</v>
      </c>
      <c r="D25" s="25">
        <f t="shared" si="3"/>
        <v>19.600000000005821</v>
      </c>
      <c r="E25" s="31">
        <v>2649503</v>
      </c>
      <c r="F25" s="25">
        <f t="shared" si="1"/>
        <v>1767</v>
      </c>
      <c r="G25" s="31">
        <v>440263</v>
      </c>
      <c r="H25" s="25">
        <f t="shared" si="2"/>
        <v>505</v>
      </c>
      <c r="I25" s="12">
        <v>262</v>
      </c>
      <c r="J25" s="12">
        <v>699</v>
      </c>
    </row>
    <row r="26" spans="1:15" ht="45" customHeight="1" x14ac:dyDescent="0.2">
      <c r="A26" s="24">
        <v>44308</v>
      </c>
      <c r="B26" s="50"/>
      <c r="C26" s="31">
        <v>28887.06</v>
      </c>
      <c r="D26" s="25">
        <f t="shared" si="3"/>
        <v>21.869999999998981</v>
      </c>
      <c r="E26" s="31">
        <v>2651333</v>
      </c>
      <c r="F26" s="25">
        <f t="shared" si="1"/>
        <v>1830</v>
      </c>
      <c r="G26" s="31">
        <v>440723</v>
      </c>
      <c r="H26" s="25">
        <f t="shared" si="2"/>
        <v>460</v>
      </c>
      <c r="I26" s="12">
        <v>266</v>
      </c>
      <c r="J26" s="12">
        <v>489</v>
      </c>
    </row>
    <row r="27" spans="1:15" ht="45" customHeight="1" x14ac:dyDescent="0.2">
      <c r="A27" s="24">
        <v>44309</v>
      </c>
      <c r="B27" s="50"/>
      <c r="C27" s="31">
        <v>28911.5</v>
      </c>
      <c r="D27" s="25">
        <f t="shared" si="3"/>
        <v>24.43999999999869</v>
      </c>
      <c r="E27" s="31">
        <v>2653137</v>
      </c>
      <c r="F27" s="25">
        <f t="shared" si="1"/>
        <v>1804</v>
      </c>
      <c r="G27" s="31">
        <v>441176</v>
      </c>
      <c r="H27" s="25">
        <f t="shared" si="2"/>
        <v>453</v>
      </c>
      <c r="I27" s="12">
        <v>264</v>
      </c>
      <c r="J27" s="12">
        <v>416</v>
      </c>
    </row>
    <row r="28" spans="1:15" ht="45" customHeight="1" x14ac:dyDescent="0.2">
      <c r="A28" s="24">
        <v>44310</v>
      </c>
      <c r="B28" s="50"/>
      <c r="C28" s="31">
        <v>28933.589999999997</v>
      </c>
      <c r="D28" s="25">
        <f t="shared" si="3"/>
        <v>22.089999999996508</v>
      </c>
      <c r="E28" s="31">
        <v>2654842</v>
      </c>
      <c r="F28" s="25">
        <f t="shared" si="1"/>
        <v>1705</v>
      </c>
      <c r="G28" s="31">
        <v>441631</v>
      </c>
      <c r="H28" s="25">
        <f t="shared" si="2"/>
        <v>455</v>
      </c>
      <c r="I28" s="12">
        <v>252</v>
      </c>
      <c r="J28" s="12">
        <v>364</v>
      </c>
    </row>
    <row r="29" spans="1:15" ht="45" customHeight="1" x14ac:dyDescent="0.2">
      <c r="A29" s="24">
        <v>44311</v>
      </c>
      <c r="B29" s="50"/>
      <c r="C29" s="31">
        <v>28959.179999999997</v>
      </c>
      <c r="D29" s="25">
        <f t="shared" si="3"/>
        <v>25.590000000000146</v>
      </c>
      <c r="E29" s="31">
        <v>2656549</v>
      </c>
      <c r="F29" s="25">
        <f t="shared" si="1"/>
        <v>1707</v>
      </c>
      <c r="G29" s="31">
        <v>442066</v>
      </c>
      <c r="H29" s="25">
        <f t="shared" si="2"/>
        <v>435</v>
      </c>
      <c r="I29" s="12">
        <v>233</v>
      </c>
      <c r="J29" s="12">
        <v>327</v>
      </c>
    </row>
    <row r="30" spans="1:15" ht="45" customHeight="1" x14ac:dyDescent="0.2">
      <c r="A30" s="24">
        <v>44312</v>
      </c>
      <c r="B30" s="50"/>
      <c r="C30" s="31">
        <v>28987.260000000006</v>
      </c>
      <c r="D30" s="25">
        <f t="shared" si="3"/>
        <v>28.080000000009022</v>
      </c>
      <c r="E30" s="31">
        <v>2658221</v>
      </c>
      <c r="F30" s="25">
        <f t="shared" si="1"/>
        <v>1672</v>
      </c>
      <c r="G30" s="31">
        <v>442500</v>
      </c>
      <c r="H30" s="25">
        <f t="shared" si="2"/>
        <v>434</v>
      </c>
      <c r="I30" s="12">
        <v>230</v>
      </c>
      <c r="J30" s="12">
        <v>334</v>
      </c>
      <c r="O30" s="34"/>
    </row>
    <row r="31" spans="1:15" ht="45" customHeight="1" x14ac:dyDescent="0.2">
      <c r="A31" s="24">
        <v>44313</v>
      </c>
      <c r="B31" s="50"/>
      <c r="C31" s="31">
        <v>29011.879999999997</v>
      </c>
      <c r="D31" s="25">
        <f t="shared" si="3"/>
        <v>24.619999999991705</v>
      </c>
      <c r="E31" s="31">
        <v>2659970</v>
      </c>
      <c r="F31" s="25">
        <f t="shared" si="1"/>
        <v>1749</v>
      </c>
      <c r="G31" s="31">
        <v>442930</v>
      </c>
      <c r="H31" s="25">
        <f t="shared" si="2"/>
        <v>430</v>
      </c>
      <c r="I31" s="12">
        <v>266</v>
      </c>
      <c r="J31" s="12">
        <v>495</v>
      </c>
    </row>
    <row r="32" spans="1:15" ht="45" customHeight="1" x14ac:dyDescent="0.2">
      <c r="A32" s="24">
        <v>44314</v>
      </c>
      <c r="B32" s="50"/>
      <c r="C32" s="31">
        <v>29038.300000000003</v>
      </c>
      <c r="D32" s="25">
        <f t="shared" si="3"/>
        <v>26.42000000000553</v>
      </c>
      <c r="E32" s="31">
        <v>2661585</v>
      </c>
      <c r="F32" s="25">
        <f t="shared" si="1"/>
        <v>1615</v>
      </c>
      <c r="G32" s="31">
        <v>443319</v>
      </c>
      <c r="H32" s="25">
        <f t="shared" si="2"/>
        <v>389</v>
      </c>
      <c r="I32" s="12">
        <v>266</v>
      </c>
      <c r="J32" s="12">
        <v>451</v>
      </c>
    </row>
    <row r="33" spans="1:10" ht="36" customHeight="1" x14ac:dyDescent="0.2">
      <c r="A33" s="24">
        <v>44315</v>
      </c>
      <c r="B33" s="35"/>
      <c r="C33" s="31">
        <v>29066.600000000002</v>
      </c>
      <c r="D33" s="25">
        <f t="shared" si="3"/>
        <v>28.299999999999272</v>
      </c>
      <c r="E33" s="31">
        <v>2663150</v>
      </c>
      <c r="F33" s="25">
        <f t="shared" si="1"/>
        <v>1565</v>
      </c>
      <c r="G33" s="31">
        <v>443701</v>
      </c>
      <c r="H33" s="25">
        <f t="shared" si="2"/>
        <v>382</v>
      </c>
      <c r="I33" s="12">
        <v>170</v>
      </c>
      <c r="J33" s="12">
        <v>476</v>
      </c>
    </row>
    <row r="34" spans="1:10" ht="45.6" customHeight="1" x14ac:dyDescent="0.2">
      <c r="A34" s="24">
        <v>44316</v>
      </c>
      <c r="B34" s="48"/>
      <c r="C34" s="40">
        <v>29091.640000000003</v>
      </c>
      <c r="D34" s="49">
        <f t="shared" si="3"/>
        <v>25.040000000000873</v>
      </c>
      <c r="E34" s="31">
        <v>2664593</v>
      </c>
      <c r="F34" s="32">
        <f t="shared" si="1"/>
        <v>1443</v>
      </c>
      <c r="G34" s="31">
        <v>444136</v>
      </c>
      <c r="H34" s="25">
        <f t="shared" si="2"/>
        <v>435</v>
      </c>
      <c r="I34" s="12">
        <v>210</v>
      </c>
      <c r="J34" s="33">
        <v>340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2023-03-24T04:01:22Z</dcterms:modified>
</cp:coreProperties>
</file>