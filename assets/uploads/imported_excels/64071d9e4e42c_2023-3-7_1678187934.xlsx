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zan.abousleiman\Desktop\"/>
    </mc:Choice>
  </mc:AlternateContent>
  <bookViews>
    <workbookView xWindow="1350" yWindow="170" windowWidth="12920" windowHeight="8910" tabRatio="579" activeTab="2"/>
  </bookViews>
  <sheets>
    <sheet name="Submetering" sheetId="82" r:id="rId1"/>
    <sheet name="Total" sheetId="81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3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4">'Degree Days 2023'!$A$41:$AJ$92</definedName>
    <definedName name="_xlnm.Print_Area" localSheetId="5">WATER!$A$3:$C$37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7" i="7" l="1"/>
  <c r="G3" i="81" s="1"/>
  <c r="AW8" i="7"/>
  <c r="G4" i="81" s="1"/>
  <c r="AW9" i="7"/>
  <c r="AW10" i="7"/>
  <c r="AW11" i="7"/>
  <c r="G7" i="81" s="1"/>
  <c r="AW12" i="7"/>
  <c r="G8" i="81" s="1"/>
  <c r="AW13" i="7"/>
  <c r="AW14" i="7"/>
  <c r="G10" i="81" s="1"/>
  <c r="AW15" i="7"/>
  <c r="G11" i="81" s="1"/>
  <c r="AW16" i="7"/>
  <c r="G12" i="81" s="1"/>
  <c r="AW17" i="7"/>
  <c r="AW18" i="7"/>
  <c r="AW19" i="7"/>
  <c r="G15" i="81" s="1"/>
  <c r="AW20" i="7"/>
  <c r="G16" i="81" s="1"/>
  <c r="AW21" i="7"/>
  <c r="AW22" i="7"/>
  <c r="G18" i="81" s="1"/>
  <c r="AW23" i="7"/>
  <c r="G19" i="81" s="1"/>
  <c r="AW24" i="7"/>
  <c r="G20" i="81" s="1"/>
  <c r="AW25" i="7"/>
  <c r="AW26" i="7"/>
  <c r="AW27" i="7"/>
  <c r="G23" i="81" s="1"/>
  <c r="AW28" i="7"/>
  <c r="G24" i="81" s="1"/>
  <c r="AW29" i="7"/>
  <c r="AW30" i="7"/>
  <c r="G26" i="81" s="1"/>
  <c r="AW31" i="7"/>
  <c r="G27" i="81" s="1"/>
  <c r="AW6" i="7"/>
  <c r="AX6" i="7" s="1"/>
  <c r="G5" i="81"/>
  <c r="G6" i="81"/>
  <c r="G9" i="81"/>
  <c r="G13" i="81"/>
  <c r="G14" i="81"/>
  <c r="G17" i="81"/>
  <c r="G21" i="81"/>
  <c r="G22" i="81"/>
  <c r="G25" i="8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6" i="7"/>
  <c r="C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6" i="7"/>
  <c r="Z28" i="1" l="1"/>
  <c r="C24" i="3" l="1"/>
  <c r="D25" i="73" l="1"/>
  <c r="D26" i="73"/>
  <c r="B20" i="3" l="1"/>
  <c r="D24" i="73"/>
  <c r="B13" i="3" l="1"/>
  <c r="X15" i="76" l="1"/>
  <c r="Y15" i="76"/>
  <c r="W15" i="76"/>
  <c r="W13" i="76"/>
  <c r="AA16" i="76"/>
  <c r="Y10" i="76"/>
  <c r="Z10" i="76"/>
  <c r="AA10" i="76"/>
  <c r="Y11" i="76"/>
  <c r="Z11" i="76"/>
  <c r="AA11" i="76"/>
  <c r="AA12" i="76"/>
  <c r="AB10" i="76"/>
  <c r="AC10" i="76"/>
  <c r="AB11" i="76"/>
  <c r="AC11" i="76"/>
  <c r="AB12" i="76"/>
  <c r="AC12" i="76"/>
  <c r="AB13" i="76"/>
  <c r="AC13" i="76"/>
  <c r="AB14" i="76"/>
  <c r="AC14" i="76"/>
  <c r="AB15" i="76"/>
  <c r="AC15" i="76"/>
  <c r="AB16" i="76"/>
  <c r="AC16" i="76"/>
  <c r="AB17" i="76"/>
  <c r="AC17" i="76"/>
  <c r="AB18" i="76"/>
  <c r="AC18" i="76"/>
  <c r="AB19" i="76"/>
  <c r="AC19" i="76"/>
  <c r="V10" i="76"/>
  <c r="W10" i="76"/>
  <c r="X10" i="76"/>
  <c r="AD10" i="76"/>
  <c r="V11" i="76"/>
  <c r="W11" i="76"/>
  <c r="X11" i="76"/>
  <c r="AD11" i="76"/>
  <c r="W9" i="76"/>
  <c r="X9" i="76"/>
  <c r="Y9" i="76"/>
  <c r="Z9" i="76"/>
  <c r="AA9" i="76"/>
  <c r="AB9" i="76"/>
  <c r="AC9" i="76"/>
  <c r="AD9" i="76"/>
  <c r="V9" i="76"/>
  <c r="C3" i="76"/>
  <c r="D3" i="76"/>
  <c r="E3" i="76"/>
  <c r="F3" i="76"/>
  <c r="F5" i="76" s="1"/>
  <c r="G3" i="76"/>
  <c r="H3" i="76"/>
  <c r="H5" i="76" s="1"/>
  <c r="I3" i="76"/>
  <c r="J3" i="76"/>
  <c r="J4" i="76" s="1"/>
  <c r="J5" i="76" s="1"/>
  <c r="J6" i="76" s="1"/>
  <c r="J7" i="76" s="1"/>
  <c r="J8" i="76" s="1"/>
  <c r="J9" i="76" s="1"/>
  <c r="J10" i="76" s="1"/>
  <c r="J12" i="76" s="1"/>
  <c r="J13" i="76" s="1"/>
  <c r="J14" i="76" s="1"/>
  <c r="J15" i="76" s="1"/>
  <c r="J16" i="76" s="1"/>
  <c r="J20" i="76" s="1"/>
  <c r="J21" i="76" s="1"/>
  <c r="J22" i="76" s="1"/>
  <c r="J23" i="76" s="1"/>
  <c r="J24" i="76" s="1"/>
  <c r="J26" i="76" s="1"/>
  <c r="J27" i="76" s="1"/>
  <c r="J28" i="76" s="1"/>
  <c r="J31" i="76" s="1"/>
  <c r="J32" i="76" s="1"/>
  <c r="K3" i="76"/>
  <c r="K4" i="76" s="1"/>
  <c r="L3" i="76"/>
  <c r="M3" i="76"/>
  <c r="N3" i="76"/>
  <c r="O3" i="76"/>
  <c r="P3" i="76"/>
  <c r="Q3" i="76"/>
  <c r="R3" i="76"/>
  <c r="S3" i="76"/>
  <c r="T3" i="76"/>
  <c r="B3" i="76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6" i="3"/>
  <c r="B11" i="3" s="1"/>
  <c r="B12" i="3" s="1"/>
  <c r="B19" i="3" s="1"/>
  <c r="B25" i="3" s="1"/>
  <c r="B27" i="3" s="1"/>
  <c r="B30" i="3" s="1"/>
  <c r="B31" i="3" s="1"/>
  <c r="AT5" i="5"/>
  <c r="AU5" i="5"/>
  <c r="AV5" i="5"/>
  <c r="AV6" i="5" s="1"/>
  <c r="AV9" i="5" s="1"/>
  <c r="AV11" i="5" s="1"/>
  <c r="AV14" i="5" s="1"/>
  <c r="AV15" i="5" s="1"/>
  <c r="AV16" i="5" s="1"/>
  <c r="AV22" i="5" s="1"/>
  <c r="AV23" i="5" s="1"/>
  <c r="AV29" i="5" s="1"/>
  <c r="AV30" i="5" s="1"/>
  <c r="AV33" i="5" s="1"/>
  <c r="AV34" i="5" s="1"/>
  <c r="AW5" i="5"/>
  <c r="AX5" i="5"/>
  <c r="AX6" i="5" s="1"/>
  <c r="AX9" i="5" s="1"/>
  <c r="AX14" i="5" s="1"/>
  <c r="AX15" i="5" s="1"/>
  <c r="AX16" i="5" s="1"/>
  <c r="AX22" i="5" s="1"/>
  <c r="AX23" i="5" s="1"/>
  <c r="AX29" i="5" s="1"/>
  <c r="AX30" i="5" s="1"/>
  <c r="AX33" i="5" s="1"/>
  <c r="AX34" i="5" s="1"/>
  <c r="AY5" i="5"/>
  <c r="AZ5" i="5"/>
  <c r="BA5" i="5"/>
  <c r="BB5" i="5"/>
  <c r="BC5" i="5"/>
  <c r="BD5" i="5"/>
  <c r="BE5" i="5"/>
  <c r="BF5" i="5"/>
  <c r="BG5" i="5"/>
  <c r="AS5" i="5"/>
  <c r="C5" i="5"/>
  <c r="D5" i="5"/>
  <c r="E5" i="5"/>
  <c r="F5" i="5"/>
  <c r="G5" i="5"/>
  <c r="G6" i="5" s="1"/>
  <c r="G7" i="5" s="1"/>
  <c r="G8" i="5" s="1"/>
  <c r="G9" i="5" s="1"/>
  <c r="G10" i="5" s="1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2" i="5" s="1"/>
  <c r="G33" i="5" s="1"/>
  <c r="G34" i="5" s="1"/>
  <c r="H5" i="5"/>
  <c r="I5" i="5"/>
  <c r="J5" i="5"/>
  <c r="K5" i="5"/>
  <c r="L5" i="5"/>
  <c r="M5" i="5"/>
  <c r="N5" i="5"/>
  <c r="O5" i="5"/>
  <c r="P5" i="5"/>
  <c r="Q5" i="5"/>
  <c r="R5" i="5"/>
  <c r="S5" i="5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U5" i="5"/>
  <c r="V5" i="5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A5" i="7"/>
  <c r="B5" i="7"/>
  <c r="C4" i="1"/>
  <c r="C8" i="1" s="1"/>
  <c r="C13" i="1" s="1"/>
  <c r="C14" i="1" s="1"/>
  <c r="C15" i="1" s="1"/>
  <c r="C21" i="1" s="1"/>
  <c r="C22" i="1" s="1"/>
  <c r="C28" i="1" s="1"/>
  <c r="C29" i="1" s="1"/>
  <c r="C32" i="1" s="1"/>
  <c r="D4" i="1"/>
  <c r="E4" i="1"/>
  <c r="F4" i="1"/>
  <c r="F5" i="1" s="1"/>
  <c r="F8" i="1" s="1"/>
  <c r="F9" i="1" s="1"/>
  <c r="F10" i="1" s="1"/>
  <c r="F11" i="1" s="1"/>
  <c r="F12" i="1" s="1"/>
  <c r="F13" i="1" s="1"/>
  <c r="F14" i="1" s="1"/>
  <c r="F15" i="1" s="1"/>
  <c r="F16" i="1" s="1"/>
  <c r="F21" i="1" s="1"/>
  <c r="F22" i="1" s="1"/>
  <c r="F28" i="1" s="1"/>
  <c r="F29" i="1" s="1"/>
  <c r="F32" i="1" s="1"/>
  <c r="F33" i="1" s="1"/>
  <c r="G4" i="1"/>
  <c r="H4" i="1"/>
  <c r="H5" i="1" s="1"/>
  <c r="H8" i="1" s="1"/>
  <c r="H9" i="1" s="1"/>
  <c r="H10" i="1" s="1"/>
  <c r="H11" i="1" s="1"/>
  <c r="H12" i="1" s="1"/>
  <c r="H13" i="1" s="1"/>
  <c r="H14" i="1" s="1"/>
  <c r="H15" i="1" s="1"/>
  <c r="H16" i="1" s="1"/>
  <c r="H21" i="1" s="1"/>
  <c r="H22" i="1" s="1"/>
  <c r="H28" i="1" s="1"/>
  <c r="H29" i="1" s="1"/>
  <c r="H32" i="1" s="1"/>
  <c r="H33" i="1" s="1"/>
  <c r="I4" i="1"/>
  <c r="J4" i="1"/>
  <c r="K4" i="1"/>
  <c r="K5" i="1" s="1"/>
  <c r="K6" i="1" s="1"/>
  <c r="K8" i="1" s="1"/>
  <c r="K9" i="1" s="1"/>
  <c r="K11" i="1" s="1"/>
  <c r="K12" i="1" s="1"/>
  <c r="K13" i="1" s="1"/>
  <c r="K14" i="1" s="1"/>
  <c r="K15" i="1" s="1"/>
  <c r="K16" i="1" s="1"/>
  <c r="K18" i="1" s="1"/>
  <c r="K19" i="1" s="1"/>
  <c r="K20" i="1" s="1"/>
  <c r="K21" i="1" s="1"/>
  <c r="K22" i="1" s="1"/>
  <c r="K26" i="1" s="1"/>
  <c r="K28" i="1" s="1"/>
  <c r="K29" i="1" s="1"/>
  <c r="K32" i="1" s="1"/>
  <c r="K33" i="1" s="1"/>
  <c r="L4" i="1"/>
  <c r="M8" i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5" i="1" s="1"/>
  <c r="M26" i="1" s="1"/>
  <c r="M27" i="1" s="1"/>
  <c r="M28" i="1" s="1"/>
  <c r="M29" i="1" s="1"/>
  <c r="M30" i="1" s="1"/>
  <c r="M32" i="1" s="1"/>
  <c r="M33" i="1" s="1"/>
  <c r="N4" i="1"/>
  <c r="O4" i="1"/>
  <c r="P4" i="1"/>
  <c r="P5" i="1" s="1"/>
  <c r="P8" i="1" s="1"/>
  <c r="P13" i="1" s="1"/>
  <c r="P14" i="1" s="1"/>
  <c r="P15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Q4" i="1"/>
  <c r="Q5" i="1" s="1"/>
  <c r="Q8" i="1" s="1"/>
  <c r="Q13" i="1" s="1"/>
  <c r="Q14" i="1" s="1"/>
  <c r="Q15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4" i="1"/>
  <c r="S4" i="1"/>
  <c r="T4" i="1"/>
  <c r="U4" i="1"/>
  <c r="V4" i="1"/>
  <c r="W4" i="1"/>
  <c r="X4" i="1"/>
  <c r="X5" i="1" s="1"/>
  <c r="Y4" i="1"/>
  <c r="Z4" i="1"/>
  <c r="Z5" i="1" s="1"/>
  <c r="AA4" i="1"/>
  <c r="AB4" i="1"/>
  <c r="AC7" i="1"/>
  <c r="AC8" i="1" s="1"/>
  <c r="AC9" i="1" s="1"/>
  <c r="AC11" i="1" s="1"/>
  <c r="AC12" i="1" s="1"/>
  <c r="AC13" i="1" s="1"/>
  <c r="AC14" i="1" s="1"/>
  <c r="AC15" i="1" s="1"/>
  <c r="AC17" i="1" s="1"/>
  <c r="AC18" i="1" s="1"/>
  <c r="AC19" i="1" s="1"/>
  <c r="AC21" i="1" s="1"/>
  <c r="AC22" i="1" s="1"/>
  <c r="AC23" i="1" s="1"/>
  <c r="AC24" i="1" s="1"/>
  <c r="AC25" i="1" s="1"/>
  <c r="AC26" i="1" s="1"/>
  <c r="AC28" i="1" s="1"/>
  <c r="AC29" i="1" s="1"/>
  <c r="AC30" i="1" s="1"/>
  <c r="AC32" i="1" s="1"/>
  <c r="AC33" i="1" s="1"/>
  <c r="AD4" i="1"/>
  <c r="AE8" i="1"/>
  <c r="AE9" i="1" s="1"/>
  <c r="AE11" i="1" s="1"/>
  <c r="AE12" i="1" s="1"/>
  <c r="AE13" i="1" s="1"/>
  <c r="AE14" i="1" s="1"/>
  <c r="AE15" i="1" s="1"/>
  <c r="AE17" i="1" s="1"/>
  <c r="AE18" i="1" s="1"/>
  <c r="AE19" i="1" s="1"/>
  <c r="AE21" i="1" s="1"/>
  <c r="AE22" i="1" s="1"/>
  <c r="AE23" i="1" s="1"/>
  <c r="AE24" i="1" s="1"/>
  <c r="AE25" i="1" s="1"/>
  <c r="AE26" i="1" s="1"/>
  <c r="AE28" i="1" s="1"/>
  <c r="AE29" i="1" s="1"/>
  <c r="AE30" i="1" s="1"/>
  <c r="AE31" i="1" s="1"/>
  <c r="AE32" i="1" s="1"/>
  <c r="AE33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8" i="1"/>
  <c r="B13" i="1" s="1"/>
  <c r="B14" i="1" s="1"/>
  <c r="B15" i="1" s="1"/>
  <c r="B21" i="1" s="1"/>
  <c r="B22" i="1" s="1"/>
  <c r="B28" i="1" s="1"/>
  <c r="B29" i="1" s="1"/>
  <c r="B32" i="1" s="1"/>
  <c r="E3" i="2"/>
  <c r="F7" i="2"/>
  <c r="F12" i="2" s="1"/>
  <c r="F13" i="2" s="1"/>
  <c r="F14" i="2" s="1"/>
  <c r="F27" i="2" s="1"/>
  <c r="F28" i="2" s="1"/>
  <c r="F31" i="2" s="1"/>
  <c r="F32" i="2" s="1"/>
  <c r="G3" i="2"/>
  <c r="H7" i="2"/>
  <c r="H12" i="2" s="1"/>
  <c r="H13" i="2" s="1"/>
  <c r="H14" i="2" s="1"/>
  <c r="H21" i="2" s="1"/>
  <c r="H27" i="2" s="1"/>
  <c r="H28" i="2" s="1"/>
  <c r="H31" i="2" s="1"/>
  <c r="H32" i="2" s="1"/>
  <c r="I3" i="2"/>
  <c r="J7" i="2"/>
  <c r="J12" i="2" s="1"/>
  <c r="J13" i="2" s="1"/>
  <c r="J14" i="2" s="1"/>
  <c r="J21" i="2" s="1"/>
  <c r="J27" i="2" s="1"/>
  <c r="J28" i="2" s="1"/>
  <c r="J31" i="2" s="1"/>
  <c r="J32" i="2" s="1"/>
  <c r="K3" i="2"/>
  <c r="L7" i="2"/>
  <c r="L12" i="2" s="1"/>
  <c r="L13" i="2" s="1"/>
  <c r="L14" i="2" s="1"/>
  <c r="L27" i="2" s="1"/>
  <c r="L28" i="2" s="1"/>
  <c r="L31" i="2" s="1"/>
  <c r="L32" i="2" s="1"/>
  <c r="M3" i="2"/>
  <c r="N3" i="2"/>
  <c r="O3" i="2"/>
  <c r="P7" i="2"/>
  <c r="P12" i="2" s="1"/>
  <c r="P13" i="2" s="1"/>
  <c r="P14" i="2" s="1"/>
  <c r="P21" i="2" s="1"/>
  <c r="P27" i="2" s="1"/>
  <c r="P28" i="2" s="1"/>
  <c r="P31" i="2" s="1"/>
  <c r="P32" i="2" s="1"/>
  <c r="Q3" i="2"/>
  <c r="R3" i="2"/>
  <c r="S3" i="2"/>
  <c r="T3" i="2"/>
  <c r="U3" i="2"/>
  <c r="V3" i="2"/>
  <c r="W3" i="2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X3" i="2"/>
  <c r="Y3" i="2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Z3" i="2"/>
  <c r="AA3" i="2"/>
  <c r="AB3" i="2"/>
  <c r="AC3" i="2"/>
  <c r="AD3" i="2"/>
  <c r="AE3" i="2"/>
  <c r="AF3" i="2"/>
  <c r="AG3" i="2"/>
  <c r="D7" i="2"/>
  <c r="D12" i="2" s="1"/>
  <c r="D13" i="2" s="1"/>
  <c r="D14" i="2" s="1"/>
  <c r="D27" i="2" s="1"/>
  <c r="D28" i="2" s="1"/>
  <c r="D31" i="2" s="1"/>
  <c r="D32" i="2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4" i="1"/>
  <c r="C33" i="1" l="1"/>
  <c r="Z34" i="7" s="1"/>
  <c r="Z33" i="7"/>
  <c r="B33" i="1"/>
  <c r="B34" i="7" s="1"/>
  <c r="B33" i="7"/>
  <c r="D12" i="1"/>
  <c r="D11" i="1"/>
  <c r="X8" i="2"/>
  <c r="X10" i="2"/>
  <c r="X7" i="2"/>
  <c r="X6" i="2"/>
  <c r="X5" i="2"/>
  <c r="X9" i="2"/>
  <c r="Z6" i="2"/>
  <c r="Z9" i="2"/>
  <c r="Z5" i="2"/>
  <c r="Z8" i="2"/>
  <c r="Z7" i="2"/>
  <c r="Z10" i="2"/>
  <c r="C13" i="3"/>
  <c r="I5" i="76"/>
  <c r="H6" i="76"/>
  <c r="G5" i="76"/>
  <c r="F6" i="76"/>
  <c r="D12" i="73"/>
  <c r="G6" i="76" l="1"/>
  <c r="F7" i="76"/>
  <c r="I6" i="76"/>
  <c r="H7" i="76"/>
  <c r="A6" i="73"/>
  <c r="AT6" i="5"/>
  <c r="AT9" i="5" s="1"/>
  <c r="AT10" i="5" s="1"/>
  <c r="AT12" i="5" s="1"/>
  <c r="AT13" i="5" s="1"/>
  <c r="AT14" i="5" s="1"/>
  <c r="AT15" i="5" s="1"/>
  <c r="AT16" i="5" s="1"/>
  <c r="AT18" i="5" s="1"/>
  <c r="AT19" i="5" s="1"/>
  <c r="AT21" i="5" s="1"/>
  <c r="AT22" i="5" s="1"/>
  <c r="AT23" i="5" s="1"/>
  <c r="AT27" i="5" s="1"/>
  <c r="AT29" i="5" s="1"/>
  <c r="AT30" i="5" s="1"/>
  <c r="AT33" i="5" s="1"/>
  <c r="AT34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I7" i="76" l="1"/>
  <c r="H8" i="76"/>
  <c r="G7" i="76"/>
  <c r="F8" i="76"/>
  <c r="D13" i="1"/>
  <c r="G8" i="76" l="1"/>
  <c r="F9" i="76"/>
  <c r="I8" i="76"/>
  <c r="H9" i="76"/>
  <c r="C23" i="3"/>
  <c r="H24" i="5"/>
  <c r="E15" i="2"/>
  <c r="E16" i="2"/>
  <c r="D14" i="73"/>
  <c r="D15" i="73"/>
  <c r="D16" i="73"/>
  <c r="D17" i="73"/>
  <c r="D18" i="73"/>
  <c r="D19" i="73"/>
  <c r="D20" i="73"/>
  <c r="I9" i="76" l="1"/>
  <c r="H10" i="76"/>
  <c r="G9" i="76"/>
  <c r="F10" i="76"/>
  <c r="AU6" i="5"/>
  <c r="G10" i="76" l="1"/>
  <c r="F11" i="76"/>
  <c r="I10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AA19" i="76"/>
  <c r="AE9" i="76"/>
  <c r="AF9" i="76"/>
  <c r="AE10" i="76"/>
  <c r="AF10" i="76"/>
  <c r="AE11" i="76"/>
  <c r="AF11" i="76"/>
  <c r="I11" i="76" l="1"/>
  <c r="H12" i="76"/>
  <c r="G11" i="76"/>
  <c r="F12" i="76"/>
  <c r="G17" i="1"/>
  <c r="E17" i="2"/>
  <c r="C25" i="3"/>
  <c r="G12" i="76" l="1"/>
  <c r="F13" i="76"/>
  <c r="I12" i="76"/>
  <c r="H13" i="76"/>
  <c r="E18" i="2"/>
  <c r="C26" i="3"/>
  <c r="D13" i="73"/>
  <c r="D11" i="73"/>
  <c r="I13" i="76" l="1"/>
  <c r="H14" i="76"/>
  <c r="G13" i="76"/>
  <c r="F14" i="76"/>
  <c r="E19" i="2"/>
  <c r="C27" i="3"/>
  <c r="G14" i="76" l="1"/>
  <c r="F15" i="76"/>
  <c r="I14" i="76"/>
  <c r="H15" i="76"/>
  <c r="E20" i="2"/>
  <c r="D5" i="73"/>
  <c r="AM6" i="5" s="1"/>
  <c r="D6" i="73"/>
  <c r="D7" i="73"/>
  <c r="D8" i="73"/>
  <c r="D9" i="73"/>
  <c r="D10" i="73"/>
  <c r="D21" i="73"/>
  <c r="D22" i="73"/>
  <c r="D23" i="73"/>
  <c r="D27" i="73"/>
  <c r="D28" i="73"/>
  <c r="D29" i="73"/>
  <c r="D30" i="73"/>
  <c r="D31" i="73"/>
  <c r="D32" i="73"/>
  <c r="D33" i="73"/>
  <c r="C22" i="3"/>
  <c r="X6" i="1"/>
  <c r="X7" i="1" s="1"/>
  <c r="X8" i="1" s="1"/>
  <c r="X9" i="1" s="1"/>
  <c r="X10" i="1" s="1"/>
  <c r="X11" i="1" s="1"/>
  <c r="X12" i="1" s="1"/>
  <c r="X13" i="1" s="1"/>
  <c r="X14" i="1" s="1"/>
  <c r="X15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8" i="1" s="1"/>
  <c r="Z19" i="1" s="1"/>
  <c r="Z20" i="1" s="1"/>
  <c r="Z21" i="1" s="1"/>
  <c r="Z22" i="1" s="1"/>
  <c r="Z23" i="1" s="1"/>
  <c r="Z25" i="1" s="1"/>
  <c r="Z26" i="1" s="1"/>
  <c r="Z27" i="1" s="1"/>
  <c r="Z29" i="1" s="1"/>
  <c r="Z30" i="1" s="1"/>
  <c r="Z32" i="1" s="1"/>
  <c r="Z33" i="1" s="1"/>
  <c r="AA4" i="2"/>
  <c r="AC4" i="2"/>
  <c r="I15" i="76" l="1"/>
  <c r="H16" i="76"/>
  <c r="G15" i="76"/>
  <c r="F16" i="76"/>
  <c r="AC5" i="2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A5" i="2"/>
  <c r="C28" i="3"/>
  <c r="E21" i="2"/>
  <c r="I29" i="1"/>
  <c r="G16" i="76" l="1"/>
  <c r="I16" i="76"/>
  <c r="AB5" i="2"/>
  <c r="AA6" i="2"/>
  <c r="C29" i="3"/>
  <c r="E22" i="2"/>
  <c r="AM18" i="5"/>
  <c r="I17" i="76" l="1"/>
  <c r="G17" i="76"/>
  <c r="AB6" i="2"/>
  <c r="AA7" i="2"/>
  <c r="C30" i="3"/>
  <c r="E23" i="2"/>
  <c r="G18" i="76" l="1"/>
  <c r="I18" i="76"/>
  <c r="AB7" i="2"/>
  <c r="AA8" i="2"/>
  <c r="C31" i="3"/>
  <c r="E29" i="2"/>
  <c r="AF13" i="1"/>
  <c r="AF14" i="1"/>
  <c r="AF15" i="1"/>
  <c r="AF16" i="1"/>
  <c r="I19" i="76" l="1"/>
  <c r="H20" i="76"/>
  <c r="G19" i="76"/>
  <c r="F20" i="76"/>
  <c r="AB8" i="2"/>
  <c r="AA9" i="2"/>
  <c r="E30" i="2"/>
  <c r="B5" i="76"/>
  <c r="C5" i="76" l="1"/>
  <c r="B6" i="76"/>
  <c r="G20" i="76"/>
  <c r="F21" i="76"/>
  <c r="I20" i="76"/>
  <c r="H21" i="76"/>
  <c r="AB9" i="2"/>
  <c r="AA10" i="2"/>
  <c r="V28" i="76"/>
  <c r="V27" i="76"/>
  <c r="V26" i="76"/>
  <c r="I21" i="76" l="1"/>
  <c r="H22" i="76"/>
  <c r="G21" i="76"/>
  <c r="F22" i="76"/>
  <c r="C6" i="76"/>
  <c r="B7" i="76"/>
  <c r="AB10" i="2"/>
  <c r="AA11" i="2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C7" i="76" l="1"/>
  <c r="B8" i="76"/>
  <c r="G22" i="76"/>
  <c r="F23" i="76"/>
  <c r="I22" i="76"/>
  <c r="H23" i="76"/>
  <c r="E15" i="77"/>
  <c r="E16" i="77"/>
  <c r="E17" i="77"/>
  <c r="E18" i="77"/>
  <c r="E14" i="77"/>
  <c r="I23" i="76" l="1"/>
  <c r="G23" i="76"/>
  <c r="F24" i="76"/>
  <c r="C8" i="76"/>
  <c r="B9" i="76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AR5" i="1"/>
  <c r="AR6" i="1" s="1"/>
  <c r="AR7" i="1" s="1"/>
  <c r="AR8" i="1" s="1"/>
  <c r="AR9" i="1" s="1"/>
  <c r="AN5" i="1"/>
  <c r="AN6" i="1" s="1"/>
  <c r="AN7" i="1" s="1"/>
  <c r="AN8" i="1" s="1"/>
  <c r="AN9" i="1" s="1"/>
  <c r="AP5" i="1"/>
  <c r="AP6" i="1" s="1"/>
  <c r="AP7" i="1" s="1"/>
  <c r="AP8" i="1" s="1"/>
  <c r="AP9" i="1" s="1"/>
  <c r="AN10" i="1" l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R10" i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P10" i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C9" i="76"/>
  <c r="B10" i="76"/>
  <c r="G24" i="76"/>
  <c r="F25" i="76"/>
  <c r="I24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5" i="76" l="1"/>
  <c r="H26" i="76"/>
  <c r="G25" i="76"/>
  <c r="F26" i="76"/>
  <c r="C10" i="76"/>
  <c r="I22" i="2"/>
  <c r="C5" i="3"/>
  <c r="C4" i="3"/>
  <c r="C11" i="76" l="1"/>
  <c r="B12" i="76"/>
  <c r="G26" i="76"/>
  <c r="F27" i="76"/>
  <c r="I26" i="76"/>
  <c r="H27" i="76"/>
  <c r="C6" i="3"/>
  <c r="C7" i="3"/>
  <c r="I27" i="76" l="1"/>
  <c r="H28" i="76"/>
  <c r="G27" i="76"/>
  <c r="F28" i="76"/>
  <c r="C12" i="76"/>
  <c r="B13" i="76"/>
  <c r="K13" i="3"/>
  <c r="C13" i="76" l="1"/>
  <c r="B14" i="76"/>
  <c r="G28" i="76"/>
  <c r="F29" i="76"/>
  <c r="I28" i="76"/>
  <c r="K14" i="3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I29" i="76" l="1"/>
  <c r="G29" i="76"/>
  <c r="C14" i="76"/>
  <c r="B15" i="76"/>
  <c r="AT37" i="7"/>
  <c r="AJ31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C15" i="76" l="1"/>
  <c r="B16" i="76"/>
  <c r="G30" i="76"/>
  <c r="F31" i="76"/>
  <c r="I30" i="76"/>
  <c r="H31" i="76"/>
  <c r="AJ32" i="5"/>
  <c r="Q7" i="2"/>
  <c r="M7" i="2"/>
  <c r="K7" i="2"/>
  <c r="I7" i="2"/>
  <c r="G7" i="2"/>
  <c r="E7" i="2"/>
  <c r="W26" i="76"/>
  <c r="AA26" i="76" s="1"/>
  <c r="AB26" i="76" s="1"/>
  <c r="E6" i="2"/>
  <c r="Q6" i="2"/>
  <c r="K6" i="2"/>
  <c r="I6" i="2"/>
  <c r="M6" i="2"/>
  <c r="G6" i="2"/>
  <c r="I31" i="76" l="1"/>
  <c r="H32" i="76"/>
  <c r="I32" i="76" s="1"/>
  <c r="G31" i="76"/>
  <c r="F32" i="76"/>
  <c r="G32" i="76" s="1"/>
  <c r="C16" i="76"/>
  <c r="N7" i="2"/>
  <c r="R7" i="2" s="1"/>
  <c r="N6" i="2"/>
  <c r="R6" i="2" s="1"/>
  <c r="D22" i="1"/>
  <c r="K25" i="3"/>
  <c r="C17" i="76" l="1"/>
  <c r="AS37" i="7"/>
  <c r="AU37" i="7" s="1"/>
  <c r="A34" i="79"/>
  <c r="L34" i="79" s="1"/>
  <c r="F36" i="73"/>
  <c r="B17" i="77" s="1"/>
  <c r="A33" i="73"/>
  <c r="BA34" i="7"/>
  <c r="G33" i="73"/>
  <c r="K33" i="73"/>
  <c r="A32" i="76"/>
  <c r="A34" i="7"/>
  <c r="BB34" i="7"/>
  <c r="BE34" i="7"/>
  <c r="BG34" i="7" s="1"/>
  <c r="A31" i="3"/>
  <c r="AN34" i="5"/>
  <c r="AP34" i="5"/>
  <c r="A34" i="5"/>
  <c r="AR34" i="5" s="1"/>
  <c r="A32" i="2"/>
  <c r="B32" i="2" s="1"/>
  <c r="A33" i="2"/>
  <c r="B33" i="2" s="1"/>
  <c r="A34" i="2"/>
  <c r="B34" i="2" s="1"/>
  <c r="C18" i="76" l="1"/>
  <c r="AM34" i="5"/>
  <c r="S31" i="3"/>
  <c r="U31" i="3" s="1"/>
  <c r="Q32" i="2"/>
  <c r="AD31" i="3" s="1"/>
  <c r="M32" i="2"/>
  <c r="K32" i="2"/>
  <c r="I32" i="2"/>
  <c r="G32" i="2"/>
  <c r="E32" i="2"/>
  <c r="AZ34" i="7"/>
  <c r="O32" i="2"/>
  <c r="W28" i="76"/>
  <c r="L32" i="76"/>
  <c r="M32" i="76"/>
  <c r="K32" i="76"/>
  <c r="BA34" i="5"/>
  <c r="Y34" i="5"/>
  <c r="H34" i="5"/>
  <c r="N32" i="1"/>
  <c r="L32" i="1"/>
  <c r="I32" i="1"/>
  <c r="G32" i="1"/>
  <c r="C19" i="76" l="1"/>
  <c r="B20" i="76"/>
  <c r="N32" i="76"/>
  <c r="D32" i="76"/>
  <c r="J32" i="1"/>
  <c r="AI31" i="3"/>
  <c r="AB34" i="7"/>
  <c r="D34" i="7"/>
  <c r="N32" i="2"/>
  <c r="N33" i="1"/>
  <c r="L33" i="1"/>
  <c r="I33" i="1"/>
  <c r="G33" i="1"/>
  <c r="D32" i="1"/>
  <c r="E32" i="1" s="1"/>
  <c r="C20" i="76" l="1"/>
  <c r="B21" i="76"/>
  <c r="M35" i="76"/>
  <c r="W27" i="76"/>
  <c r="N35" i="76"/>
  <c r="I34" i="79"/>
  <c r="AD34" i="7"/>
  <c r="D33" i="1"/>
  <c r="E33" i="1" s="1"/>
  <c r="F34" i="7"/>
  <c r="S32" i="76"/>
  <c r="R32" i="2"/>
  <c r="J33" i="1"/>
  <c r="C21" i="76" l="1"/>
  <c r="B22" i="76"/>
  <c r="AF34" i="7"/>
  <c r="H34" i="7"/>
  <c r="L35" i="76"/>
  <c r="C22" i="76" l="1"/>
  <c r="B23" i="76"/>
  <c r="AH34" i="7"/>
  <c r="J34" i="7"/>
  <c r="C23" i="76" l="1"/>
  <c r="AJ34" i="7"/>
  <c r="L34" i="7"/>
  <c r="C24" i="76" l="1"/>
  <c r="AL34" i="7"/>
  <c r="N34" i="7"/>
  <c r="C25" i="76" l="1"/>
  <c r="B26" i="76"/>
  <c r="P34" i="7"/>
  <c r="C26" i="76" l="1"/>
  <c r="B27" i="76"/>
  <c r="R34" i="7"/>
  <c r="C27" i="76" l="1"/>
  <c r="B28" i="76"/>
  <c r="T34" i="7"/>
  <c r="C28" i="76" l="1"/>
  <c r="V34" i="7"/>
  <c r="C29" i="76" l="1"/>
  <c r="Y29" i="5"/>
  <c r="Y30" i="5"/>
  <c r="C30" i="76" l="1"/>
  <c r="B31" i="76"/>
  <c r="Y31" i="5"/>
  <c r="C31" i="76" l="1"/>
  <c r="B32" i="76"/>
  <c r="C32" i="76" s="1"/>
  <c r="E32" i="76"/>
  <c r="Y33" i="5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0" i="1" l="1"/>
  <c r="S32" i="1"/>
  <c r="Q9" i="2"/>
  <c r="C10" i="74"/>
  <c r="R32" i="1" l="1"/>
  <c r="V32" i="1" s="1"/>
  <c r="S33" i="1"/>
  <c r="T32" i="1"/>
  <c r="U32" i="1"/>
  <c r="AL32" i="1"/>
  <c r="R33" i="1" l="1"/>
  <c r="V33" i="1" s="1"/>
  <c r="T33" i="1"/>
  <c r="U33" i="1"/>
  <c r="AL33" i="1"/>
  <c r="D10" i="74"/>
  <c r="E12" i="2" l="1"/>
  <c r="E9" i="2"/>
  <c r="E10" i="2"/>
  <c r="E11" i="2"/>
  <c r="AF34" i="3" l="1"/>
  <c r="F37" i="5"/>
  <c r="AT38" i="7" l="1"/>
  <c r="Y22" i="1" l="1"/>
  <c r="AA32" i="1"/>
  <c r="L24" i="1"/>
  <c r="Y32" i="1" l="1"/>
  <c r="AB32" i="1" s="1"/>
  <c r="Y33" i="1"/>
  <c r="AB33" i="1" s="1"/>
  <c r="AA33" i="1"/>
  <c r="E8" i="2"/>
  <c r="Q20" i="2"/>
  <c r="Q19" i="2"/>
  <c r="E13" i="2" l="1"/>
  <c r="E14" i="2"/>
  <c r="H12" i="77"/>
  <c r="BA7" i="5" l="1"/>
  <c r="I8" i="77" l="1"/>
  <c r="AC34" i="76" l="1"/>
  <c r="U34" i="5" l="1"/>
  <c r="AA28" i="76"/>
  <c r="AB28" i="76" s="1"/>
  <c r="AE28" i="76" s="1"/>
  <c r="AF28" i="76" s="1"/>
  <c r="E5" i="2" l="1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6" i="1" l="1"/>
  <c r="AH35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29" i="1"/>
  <c r="T29" i="1" s="1"/>
  <c r="R29" i="1"/>
  <c r="N29" i="1"/>
  <c r="L29" i="1"/>
  <c r="G29" i="1"/>
  <c r="D29" i="1"/>
  <c r="E29" i="1" s="1"/>
  <c r="J29" i="1" l="1"/>
  <c r="V29" i="1"/>
  <c r="E26" i="2"/>
  <c r="Y25" i="5"/>
  <c r="G17" i="2"/>
  <c r="I17" i="2"/>
  <c r="Q17" i="2"/>
  <c r="N16" i="2"/>
  <c r="R16" i="2" s="1"/>
  <c r="K17" i="2"/>
  <c r="M17" i="2"/>
  <c r="U29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29" i="1"/>
  <c r="G25" i="2"/>
  <c r="K25" i="2"/>
  <c r="Q25" i="2"/>
  <c r="N24" i="2"/>
  <c r="R24" i="2" s="1"/>
  <c r="M25" i="2"/>
  <c r="I25" i="2"/>
  <c r="Y29" i="1"/>
  <c r="AB29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Q29" i="2" l="1"/>
  <c r="G29" i="2"/>
  <c r="K29" i="2"/>
  <c r="M29" i="2"/>
  <c r="I29" i="2"/>
  <c r="N28" i="2"/>
  <c r="R28" i="2" s="1"/>
  <c r="AV36" i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Q31" i="2"/>
  <c r="M31" i="2"/>
  <c r="G31" i="2"/>
  <c r="K31" i="2"/>
  <c r="I31" i="2"/>
  <c r="I4" i="2"/>
  <c r="G4" i="2"/>
  <c r="N31" i="2" l="1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1" i="1" l="1"/>
  <c r="Y31" i="1"/>
  <c r="AB31" i="1" s="1"/>
  <c r="R31" i="1"/>
  <c r="S31" i="1"/>
  <c r="T31" i="1" s="1"/>
  <c r="N31" i="1"/>
  <c r="L31" i="1"/>
  <c r="I31" i="1"/>
  <c r="G31" i="1"/>
  <c r="D31" i="1"/>
  <c r="E31" i="1" s="1"/>
  <c r="V31" i="1" l="1"/>
  <c r="J31" i="1"/>
  <c r="U31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6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D29" i="76" s="1"/>
  <c r="E29" i="76" s="1"/>
  <c r="K31" i="76" l="1"/>
  <c r="S25" i="3"/>
  <c r="M31" i="76"/>
  <c r="L31" i="76"/>
  <c r="D31" i="7"/>
  <c r="N31" i="76" l="1"/>
  <c r="D31" i="76"/>
  <c r="E31" i="76" s="1"/>
  <c r="U25" i="3"/>
  <c r="Z25" i="3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BA24" i="5"/>
  <c r="N22" i="1"/>
  <c r="L22" i="1"/>
  <c r="I22" i="1"/>
  <c r="G22" i="1"/>
  <c r="R31" i="7" l="1"/>
  <c r="J22" i="1"/>
  <c r="P32" i="7"/>
  <c r="N33" i="7"/>
  <c r="E22" i="1"/>
  <c r="I21" i="1"/>
  <c r="R32" i="7" l="1"/>
  <c r="P33" i="7"/>
  <c r="R33" i="7" l="1"/>
  <c r="U24" i="5"/>
  <c r="R22" i="1"/>
  <c r="V22" i="1" s="1"/>
  <c r="S22" i="1"/>
  <c r="AL22" i="1" s="1"/>
  <c r="AA22" i="1"/>
  <c r="I23" i="1"/>
  <c r="AB22" i="1" l="1"/>
  <c r="T22" i="1"/>
  <c r="U22" i="1"/>
  <c r="I24" i="1"/>
  <c r="I25" i="1" l="1"/>
  <c r="I26" i="1" l="1"/>
  <c r="I27" i="1" l="1"/>
  <c r="I28" i="1" l="1"/>
  <c r="I30" i="1" l="1"/>
  <c r="K18" i="73" l="1"/>
  <c r="G18" i="73"/>
  <c r="K15" i="76"/>
  <c r="D15" i="76" s="1"/>
  <c r="E15" i="76" s="1"/>
  <c r="X78" i="74" l="1"/>
  <c r="BA19" i="5" l="1"/>
  <c r="N5" i="1"/>
  <c r="BA20" i="5" l="1"/>
  <c r="BD20" i="5" s="1"/>
  <c r="N6" i="1"/>
  <c r="L5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L6" i="1" l="1"/>
  <c r="BA21" i="5"/>
  <c r="N7" i="1"/>
  <c r="L7" i="1" l="1"/>
  <c r="N8" i="1"/>
  <c r="N9" i="1" l="1"/>
  <c r="L8" i="1"/>
  <c r="N10" i="1" l="1"/>
  <c r="L9" i="1"/>
  <c r="N11" i="1" l="1"/>
  <c r="L10" i="1"/>
  <c r="L11" i="1" l="1"/>
  <c r="N12" i="1"/>
  <c r="N13" i="1" l="1"/>
  <c r="L12" i="1"/>
  <c r="S5" i="3"/>
  <c r="U5" i="3" s="1"/>
  <c r="S6" i="3"/>
  <c r="U6" i="3" s="1"/>
  <c r="K10" i="73"/>
  <c r="Y7" i="5"/>
  <c r="Y8" i="5"/>
  <c r="N14" i="1" l="1"/>
  <c r="L13" i="1"/>
  <c r="N15" i="1" l="1"/>
  <c r="L14" i="1"/>
  <c r="A6" i="2"/>
  <c r="A7" i="2"/>
  <c r="A8" i="2"/>
  <c r="A9" i="2"/>
  <c r="A10" i="2"/>
  <c r="A11" i="2"/>
  <c r="A12" i="2"/>
  <c r="A13" i="2"/>
  <c r="A14" i="2"/>
  <c r="A15" i="2"/>
  <c r="A4" i="2"/>
  <c r="B4" i="2" s="1"/>
  <c r="N16" i="1" l="1"/>
  <c r="L15" i="1"/>
  <c r="Y6" i="5"/>
  <c r="S7" i="3"/>
  <c r="U7" i="3" s="1"/>
  <c r="N17" i="1" l="1"/>
  <c r="S8" i="3"/>
  <c r="U8" i="3" s="1"/>
  <c r="D8" i="1"/>
  <c r="E8" i="1" s="1"/>
  <c r="L17" i="1" l="1"/>
  <c r="N18" i="1"/>
  <c r="S9" i="3"/>
  <c r="L18" i="1" l="1"/>
  <c r="N19" i="1"/>
  <c r="S16" i="3"/>
  <c r="U16" i="3" s="1"/>
  <c r="L19" i="1" l="1"/>
  <c r="N20" i="1"/>
  <c r="L20" i="1" l="1"/>
  <c r="N21" i="1"/>
  <c r="L21" i="1" l="1"/>
  <c r="N23" i="1" l="1"/>
  <c r="N24" i="1" l="1"/>
  <c r="L23" i="1"/>
  <c r="AD23" i="3"/>
  <c r="AI23" i="3" l="1"/>
  <c r="N25" i="1"/>
  <c r="N26" i="1" l="1"/>
  <c r="L25" i="1"/>
  <c r="AD25" i="3"/>
  <c r="AI25" i="3" l="1"/>
  <c r="N27" i="1"/>
  <c r="L26" i="1"/>
  <c r="N28" i="1" l="1"/>
  <c r="L27" i="1"/>
  <c r="L28" i="1" l="1"/>
  <c r="N30" i="1" l="1"/>
  <c r="C4" i="76"/>
  <c r="A35" i="76" s="1"/>
  <c r="L14" i="76" l="1"/>
  <c r="L30" i="1"/>
  <c r="K14" i="76"/>
  <c r="D14" i="76" s="1"/>
  <c r="E14" i="76" s="1"/>
  <c r="K16" i="76"/>
  <c r="D16" i="76" s="1"/>
  <c r="E16" i="76" s="1"/>
  <c r="K17" i="76"/>
  <c r="D17" i="76" s="1"/>
  <c r="E17" i="76" s="1"/>
  <c r="N15" i="76"/>
  <c r="M15" i="76"/>
  <c r="N17" i="76" l="1"/>
  <c r="N16" i="76"/>
  <c r="N14" i="76"/>
  <c r="M14" i="76"/>
  <c r="L15" i="76"/>
  <c r="M16" i="76"/>
  <c r="L16" i="76" l="1"/>
  <c r="M17" i="76"/>
  <c r="L17" i="76" l="1"/>
  <c r="S12" i="3"/>
  <c r="U12" i="3" s="1"/>
  <c r="L19" i="76" l="1"/>
  <c r="M19" i="76"/>
  <c r="K18" i="76"/>
  <c r="D18" i="76" s="1"/>
  <c r="E18" i="76" s="1"/>
  <c r="N18" i="76" l="1"/>
  <c r="M18" i="76"/>
  <c r="L18" i="76"/>
  <c r="K19" i="76"/>
  <c r="N19" i="76" l="1"/>
  <c r="D19" i="76"/>
  <c r="E19" i="76" s="1"/>
  <c r="K20" i="76"/>
  <c r="N20" i="76" l="1"/>
  <c r="D20" i="76"/>
  <c r="E20" i="76" s="1"/>
  <c r="M20" i="76"/>
  <c r="L20" i="76"/>
  <c r="K21" i="76"/>
  <c r="N21" i="76" l="1"/>
  <c r="D21" i="76"/>
  <c r="E21" i="76" s="1"/>
  <c r="M21" i="76"/>
  <c r="K22" i="76"/>
  <c r="D22" i="76" s="1"/>
  <c r="E22" i="76" s="1"/>
  <c r="L21" i="76"/>
  <c r="N22" i="76" l="1"/>
  <c r="M22" i="76"/>
  <c r="K23" i="76"/>
  <c r="L22" i="76"/>
  <c r="G29" i="73"/>
  <c r="N23" i="76" l="1"/>
  <c r="D23" i="76"/>
  <c r="E23" i="76" s="1"/>
  <c r="M23" i="76"/>
  <c r="L23" i="76"/>
  <c r="K24" i="76"/>
  <c r="N24" i="76" l="1"/>
  <c r="D24" i="76"/>
  <c r="E24" i="76" s="1"/>
  <c r="M24" i="76"/>
  <c r="L24" i="76"/>
  <c r="K25" i="76"/>
  <c r="AA7" i="1"/>
  <c r="U8" i="5"/>
  <c r="N25" i="76" l="1"/>
  <c r="D25" i="76"/>
  <c r="E25" i="76" s="1"/>
  <c r="M25" i="76"/>
  <c r="K26" i="76"/>
  <c r="L25" i="76"/>
  <c r="U9" i="5"/>
  <c r="N26" i="76" l="1"/>
  <c r="D26" i="76"/>
  <c r="E26" i="76" s="1"/>
  <c r="M26" i="76"/>
  <c r="K27" i="76"/>
  <c r="L26" i="76"/>
  <c r="U10" i="5"/>
  <c r="N27" i="76" l="1"/>
  <c r="D27" i="76"/>
  <c r="E27" i="76" s="1"/>
  <c r="M27" i="76"/>
  <c r="K28" i="76"/>
  <c r="L27" i="76"/>
  <c r="N28" i="76" l="1"/>
  <c r="D28" i="76"/>
  <c r="E28" i="76" s="1"/>
  <c r="M28" i="76"/>
  <c r="L28" i="76"/>
  <c r="N29" i="76"/>
  <c r="I6" i="79"/>
  <c r="M29" i="76" l="1"/>
  <c r="K30" i="76"/>
  <c r="L29" i="76"/>
  <c r="R28" i="1"/>
  <c r="V28" i="1" s="1"/>
  <c r="AA6" i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1" i="1"/>
  <c r="E21" i="1" s="1"/>
  <c r="N30" i="76" l="1"/>
  <c r="D30" i="76"/>
  <c r="E30" i="76" s="1"/>
  <c r="M30" i="76"/>
  <c r="L30" i="76"/>
  <c r="O7" i="79"/>
  <c r="O8" i="79" l="1"/>
  <c r="D20" i="1"/>
  <c r="E20" i="1" s="1"/>
  <c r="O9" i="79" l="1"/>
  <c r="I8" i="79"/>
  <c r="Q4" i="2"/>
  <c r="O10" i="79" l="1"/>
  <c r="I9" i="79"/>
  <c r="I10" i="79" l="1"/>
  <c r="O11" i="79"/>
  <c r="K12" i="73"/>
  <c r="O12" i="79" l="1"/>
  <c r="I11" i="79"/>
  <c r="D30" i="1"/>
  <c r="E30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K4" i="2"/>
  <c r="I2" i="82"/>
  <c r="M13" i="76"/>
  <c r="H8" i="5"/>
  <c r="H10" i="5"/>
  <c r="AA5" i="1"/>
  <c r="Y5" i="1"/>
  <c r="Y14" i="1"/>
  <c r="AB14" i="1" s="1"/>
  <c r="R12" i="1"/>
  <c r="S9" i="1"/>
  <c r="J9" i="63"/>
  <c r="K8" i="73"/>
  <c r="G8" i="73"/>
  <c r="AW36" i="1"/>
  <c r="S5" i="1"/>
  <c r="T5" i="1" s="1"/>
  <c r="D7" i="7"/>
  <c r="K24" i="73"/>
  <c r="M4" i="2"/>
  <c r="G2" i="82"/>
  <c r="J30" i="63"/>
  <c r="AP31" i="5"/>
  <c r="B8" i="77"/>
  <c r="J11" i="63"/>
  <c r="D7" i="77"/>
  <c r="E7" i="77" s="1"/>
  <c r="F7" i="77" s="1"/>
  <c r="AV37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M6" i="76"/>
  <c r="G4" i="76"/>
  <c r="S4" i="3"/>
  <c r="J4" i="82"/>
  <c r="J3" i="82"/>
  <c r="U7" i="5"/>
  <c r="R6" i="1"/>
  <c r="R5" i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D6" i="76" s="1"/>
  <c r="E6" i="76" s="1"/>
  <c r="K5" i="76"/>
  <c r="D5" i="76" s="1"/>
  <c r="E5" i="76" s="1"/>
  <c r="E4" i="82"/>
  <c r="K7" i="76"/>
  <c r="D7" i="76" s="1"/>
  <c r="E7" i="76" s="1"/>
  <c r="M7" i="76"/>
  <c r="Y9" i="5"/>
  <c r="H9" i="5"/>
  <c r="R7" i="1"/>
  <c r="S6" i="1"/>
  <c r="T6" i="1" s="1"/>
  <c r="F4" i="82"/>
  <c r="G5" i="82"/>
  <c r="G5" i="1"/>
  <c r="I5" i="1"/>
  <c r="G6" i="1"/>
  <c r="K8" i="76"/>
  <c r="D8" i="76" s="1"/>
  <c r="E8" i="76" s="1"/>
  <c r="Y10" i="5"/>
  <c r="R8" i="1"/>
  <c r="S7" i="1"/>
  <c r="AB9" i="7"/>
  <c r="D7" i="1"/>
  <c r="E7" i="1" s="1"/>
  <c r="E5" i="82"/>
  <c r="F5" i="82"/>
  <c r="I8" i="2"/>
  <c r="G6" i="82" s="1"/>
  <c r="G8" i="2"/>
  <c r="I6" i="1"/>
  <c r="G7" i="1"/>
  <c r="R9" i="1"/>
  <c r="M8" i="2"/>
  <c r="E6" i="82" s="1"/>
  <c r="I7" i="1"/>
  <c r="G8" i="1"/>
  <c r="R10" i="1"/>
  <c r="M9" i="2"/>
  <c r="E7" i="82" s="1"/>
  <c r="I8" i="1"/>
  <c r="G9" i="1"/>
  <c r="E11" i="1"/>
  <c r="D12" i="7"/>
  <c r="I10" i="1"/>
  <c r="I9" i="1"/>
  <c r="E12" i="1"/>
  <c r="M11" i="2"/>
  <c r="Y13" i="1"/>
  <c r="AB13" i="1" s="1"/>
  <c r="M12" i="2"/>
  <c r="E10" i="82" s="1"/>
  <c r="U13" i="5"/>
  <c r="Y13" i="5"/>
  <c r="Y12" i="5"/>
  <c r="K10" i="76"/>
  <c r="D10" i="76" s="1"/>
  <c r="E10" i="76" s="1"/>
  <c r="G13" i="1"/>
  <c r="G12" i="1"/>
  <c r="G11" i="1"/>
  <c r="G10" i="1"/>
  <c r="D10" i="1"/>
  <c r="E10" i="1" s="1"/>
  <c r="AB14" i="7"/>
  <c r="M10" i="2"/>
  <c r="E8" i="82" s="1"/>
  <c r="K12" i="76"/>
  <c r="D12" i="76" s="1"/>
  <c r="E12" i="76" s="1"/>
  <c r="K11" i="76"/>
  <c r="D11" i="76" s="1"/>
  <c r="E11" i="76" s="1"/>
  <c r="K9" i="76"/>
  <c r="D9" i="76" s="1"/>
  <c r="E9" i="76" s="1"/>
  <c r="M10" i="76"/>
  <c r="M9" i="76"/>
  <c r="M12" i="76"/>
  <c r="U9" i="3"/>
  <c r="BA11" i="5"/>
  <c r="BA12" i="5"/>
  <c r="Y15" i="5"/>
  <c r="Y14" i="5"/>
  <c r="U15" i="5"/>
  <c r="U14" i="5"/>
  <c r="U12" i="5"/>
  <c r="U11" i="5"/>
  <c r="S8" i="1"/>
  <c r="D9" i="1"/>
  <c r="E9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3" i="1"/>
  <c r="R11" i="1"/>
  <c r="AM25" i="5"/>
  <c r="A30" i="65"/>
  <c r="I11" i="1"/>
  <c r="A24" i="65"/>
  <c r="J22" i="63"/>
  <c r="BA6" i="7"/>
  <c r="H11" i="5"/>
  <c r="S10" i="1"/>
  <c r="K10" i="2"/>
  <c r="F8" i="82" s="1"/>
  <c r="I10" i="2"/>
  <c r="G8" i="82" s="1"/>
  <c r="G10" i="2"/>
  <c r="I13" i="1"/>
  <c r="I12" i="1"/>
  <c r="S10" i="3"/>
  <c r="U10" i="3" s="1"/>
  <c r="H12" i="5"/>
  <c r="S11" i="1"/>
  <c r="K11" i="2"/>
  <c r="F9" i="82" s="1"/>
  <c r="I11" i="2"/>
  <c r="G9" i="82" s="1"/>
  <c r="G11" i="2"/>
  <c r="S11" i="3"/>
  <c r="U11" i="3" s="1"/>
  <c r="H13" i="5"/>
  <c r="S13" i="1"/>
  <c r="S12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U4" i="3" l="1"/>
  <c r="N9" i="76"/>
  <c r="N11" i="76"/>
  <c r="N12" i="76"/>
  <c r="N10" i="76"/>
  <c r="N8" i="76"/>
  <c r="N7" i="76"/>
  <c r="N5" i="76"/>
  <c r="N6" i="76"/>
  <c r="AA6" i="7"/>
  <c r="I6" i="82"/>
  <c r="N8" i="2"/>
  <c r="R8" i="2" s="1"/>
  <c r="C14" i="7"/>
  <c r="E9" i="82"/>
  <c r="N11" i="2"/>
  <c r="D37" i="73"/>
  <c r="V7" i="1"/>
  <c r="C9" i="7"/>
  <c r="C34" i="7"/>
  <c r="E34" i="7"/>
  <c r="G34" i="7"/>
  <c r="I34" i="7"/>
  <c r="K34" i="7"/>
  <c r="M34" i="7"/>
  <c r="O34" i="7"/>
  <c r="Q34" i="7"/>
  <c r="S34" i="7"/>
  <c r="U34" i="7"/>
  <c r="W34" i="7"/>
  <c r="AA34" i="7"/>
  <c r="AC34" i="7"/>
  <c r="AE34" i="7"/>
  <c r="AG34" i="7"/>
  <c r="AI34" i="7"/>
  <c r="AK34" i="7"/>
  <c r="AM34" i="7"/>
  <c r="V12" i="1"/>
  <c r="V6" i="1"/>
  <c r="V11" i="1"/>
  <c r="V13" i="1"/>
  <c r="V10" i="1"/>
  <c r="S81" i="74"/>
  <c r="R81" i="74"/>
  <c r="V9" i="1"/>
  <c r="V8" i="1"/>
  <c r="V5" i="1"/>
  <c r="D4" i="76"/>
  <c r="E4" i="76" s="1"/>
  <c r="U12" i="1"/>
  <c r="G36" i="73"/>
  <c r="F3" i="82"/>
  <c r="N4" i="2"/>
  <c r="R4" i="2" s="1"/>
  <c r="I11" i="82"/>
  <c r="C15" i="7"/>
  <c r="U7" i="1"/>
  <c r="T11" i="1"/>
  <c r="U11" i="1"/>
  <c r="T8" i="1"/>
  <c r="U8" i="1"/>
  <c r="T13" i="1"/>
  <c r="U13" i="1"/>
  <c r="T10" i="1"/>
  <c r="U10" i="1"/>
  <c r="T9" i="1"/>
  <c r="U9" i="1"/>
  <c r="T7" i="1"/>
  <c r="E2" i="82"/>
  <c r="AA11" i="7"/>
  <c r="AA7" i="7"/>
  <c r="M5" i="76"/>
  <c r="L11" i="76"/>
  <c r="L12" i="76"/>
  <c r="L7" i="76"/>
  <c r="L9" i="76"/>
  <c r="L8" i="76"/>
  <c r="L6" i="76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0" i="1"/>
  <c r="J9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5" i="1"/>
  <c r="P77" i="74"/>
  <c r="P68" i="74"/>
  <c r="J11" i="1"/>
  <c r="H48" i="74"/>
  <c r="H56" i="74"/>
  <c r="H64" i="74"/>
  <c r="H72" i="74"/>
  <c r="L58" i="74"/>
  <c r="L66" i="74"/>
  <c r="L53" i="74"/>
  <c r="L61" i="74"/>
  <c r="L69" i="74"/>
  <c r="L77" i="74"/>
  <c r="J6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8" i="1"/>
  <c r="BD11" i="5"/>
  <c r="J7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5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X66" i="74"/>
  <c r="AM23" i="5"/>
  <c r="P64" i="74"/>
  <c r="X63" i="74"/>
  <c r="P62" i="74"/>
  <c r="X62" i="74"/>
  <c r="P61" i="74"/>
  <c r="X61" i="74"/>
  <c r="F2" i="82"/>
  <c r="AK6" i="5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3" i="1"/>
  <c r="AA14" i="1"/>
  <c r="S14" i="1"/>
  <c r="T12" i="1"/>
  <c r="J12" i="1"/>
  <c r="K13" i="73"/>
  <c r="P56" i="74"/>
  <c r="X56" i="74"/>
  <c r="K13" i="76"/>
  <c r="D13" i="76" s="1"/>
  <c r="E13" i="76" s="1"/>
  <c r="M11" i="76"/>
  <c r="BA15" i="5"/>
  <c r="BA14" i="5"/>
  <c r="BD14" i="5" s="1"/>
  <c r="I15" i="1"/>
  <c r="I14" i="1"/>
  <c r="AL13" i="1"/>
  <c r="D15" i="75" s="1"/>
  <c r="E15" i="75" s="1"/>
  <c r="J13" i="1"/>
  <c r="AC14" i="7"/>
  <c r="AD14" i="7"/>
  <c r="E13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N13" i="76" l="1"/>
  <c r="O12" i="81"/>
  <c r="O14" i="2"/>
  <c r="O4" i="81"/>
  <c r="O6" i="2"/>
  <c r="O5" i="81"/>
  <c r="O7" i="2"/>
  <c r="AO34" i="7"/>
  <c r="AN34" i="7" s="1"/>
  <c r="Y34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4" i="1"/>
  <c r="D6" i="75"/>
  <c r="E6" i="75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5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6" i="1"/>
  <c r="AI8" i="3"/>
  <c r="AI7" i="3"/>
  <c r="AI6" i="3"/>
  <c r="O24" i="81"/>
  <c r="L12" i="82"/>
  <c r="L4" i="82"/>
  <c r="AL5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5" i="1"/>
  <c r="Y15" i="1"/>
  <c r="AB15" i="1" s="1"/>
  <c r="G14" i="2"/>
  <c r="I12" i="82" s="1"/>
  <c r="L13" i="76"/>
  <c r="S15" i="3"/>
  <c r="BA16" i="5"/>
  <c r="BD16" i="5" s="1"/>
  <c r="U16" i="5"/>
  <c r="R14" i="1"/>
  <c r="V14" i="1" s="1"/>
  <c r="S15" i="1"/>
  <c r="I16" i="1"/>
  <c r="G14" i="1"/>
  <c r="U14" i="1" s="1"/>
  <c r="D15" i="1"/>
  <c r="E15" i="1" s="1"/>
  <c r="AE14" i="7"/>
  <c r="AF14" i="7"/>
  <c r="D14" i="1"/>
  <c r="E14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42" i="7"/>
  <c r="AR34" i="7"/>
  <c r="G36" i="76"/>
  <c r="AD28" i="76" s="1"/>
  <c r="B14" i="77"/>
  <c r="X34" i="7"/>
  <c r="U15" i="3"/>
  <c r="T15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6" i="1"/>
  <c r="Y7" i="1"/>
  <c r="AE10" i="7"/>
  <c r="D10" i="65"/>
  <c r="D9" i="65"/>
  <c r="D8" i="65"/>
  <c r="AL6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5" i="1"/>
  <c r="B6" i="65"/>
  <c r="AG10" i="7"/>
  <c r="AH10" i="7"/>
  <c r="H18" i="5"/>
  <c r="Y17" i="5"/>
  <c r="Y16" i="1"/>
  <c r="AB16" i="1" s="1"/>
  <c r="BA17" i="5"/>
  <c r="BD17" i="5" s="1"/>
  <c r="U17" i="5"/>
  <c r="R15" i="1"/>
  <c r="V15" i="1" s="1"/>
  <c r="S16" i="1"/>
  <c r="I17" i="1"/>
  <c r="J14" i="1"/>
  <c r="AL14" i="1"/>
  <c r="D16" i="75" s="1"/>
  <c r="E16" i="75" s="1"/>
  <c r="G15" i="1"/>
  <c r="U15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Q34" i="7" l="1"/>
  <c r="T16" i="1"/>
  <c r="D14" i="65"/>
  <c r="J13" i="82"/>
  <c r="O29" i="79"/>
  <c r="I28" i="79"/>
  <c r="AH7" i="7"/>
  <c r="AI7" i="7" s="1"/>
  <c r="AG13" i="7"/>
  <c r="AZ13" i="5"/>
  <c r="BC13" i="5" s="1"/>
  <c r="AU14" i="5"/>
  <c r="AA8" i="1"/>
  <c r="AB7" i="1"/>
  <c r="Y8" i="1"/>
  <c r="U6" i="1"/>
  <c r="AG11" i="7"/>
  <c r="AH11" i="7"/>
  <c r="AG12" i="7"/>
  <c r="D13" i="65"/>
  <c r="AL7" i="1"/>
  <c r="B7" i="65"/>
  <c r="AI13" i="7"/>
  <c r="AJ13" i="7"/>
  <c r="AJ10" i="7"/>
  <c r="AI10" i="7"/>
  <c r="H19" i="5"/>
  <c r="Y18" i="5"/>
  <c r="Y17" i="1"/>
  <c r="AB17" i="1" s="1"/>
  <c r="S17" i="3"/>
  <c r="BA18" i="5"/>
  <c r="BD19" i="5" s="1"/>
  <c r="U18" i="5"/>
  <c r="R16" i="1"/>
  <c r="V16" i="1" s="1"/>
  <c r="S17" i="1"/>
  <c r="I18" i="1"/>
  <c r="J15" i="1"/>
  <c r="AL15" i="1"/>
  <c r="D17" i="75" s="1"/>
  <c r="E17" i="75" s="1"/>
  <c r="G16" i="1"/>
  <c r="U16" i="1" s="1"/>
  <c r="AJ14" i="7"/>
  <c r="AI14" i="7"/>
  <c r="AE15" i="7"/>
  <c r="AF15" i="7"/>
  <c r="AD16" i="7"/>
  <c r="AC16" i="7"/>
  <c r="D16" i="1"/>
  <c r="E16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6" i="1"/>
  <c r="I16" i="82"/>
  <c r="T17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9" i="1"/>
  <c r="AB8" i="1"/>
  <c r="Y9" i="1"/>
  <c r="AI11" i="7"/>
  <c r="AJ11" i="7"/>
  <c r="W7" i="1"/>
  <c r="B8" i="65"/>
  <c r="AL8" i="1"/>
  <c r="AK13" i="7"/>
  <c r="AL13" i="7"/>
  <c r="AM13" i="7" s="1"/>
  <c r="AL10" i="7"/>
  <c r="AM10" i="7" s="1"/>
  <c r="AK10" i="7"/>
  <c r="H20" i="5"/>
  <c r="Y19" i="5"/>
  <c r="Y18" i="1"/>
  <c r="AB18" i="1" s="1"/>
  <c r="S18" i="3"/>
  <c r="U18" i="3" s="1"/>
  <c r="U19" i="5"/>
  <c r="R17" i="1"/>
  <c r="V17" i="1" s="1"/>
  <c r="S18" i="1"/>
  <c r="I19" i="1"/>
  <c r="J16" i="1"/>
  <c r="AL16" i="1"/>
  <c r="D18" i="75" s="1"/>
  <c r="E18" i="75" s="1"/>
  <c r="U17" i="1"/>
  <c r="AG15" i="7"/>
  <c r="AH15" i="7"/>
  <c r="AF16" i="7"/>
  <c r="AE16" i="7"/>
  <c r="AD17" i="7"/>
  <c r="AC17" i="7"/>
  <c r="AB18" i="7"/>
  <c r="AA18" i="7"/>
  <c r="AK14" i="7"/>
  <c r="AL14" i="7"/>
  <c r="AM14" i="7" s="1"/>
  <c r="D17" i="1"/>
  <c r="E17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Z15" i="5"/>
  <c r="BC15" i="5" s="1"/>
  <c r="I17" i="82"/>
  <c r="T18" i="1"/>
  <c r="AL17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0" i="1"/>
  <c r="Y10" i="1"/>
  <c r="AB9" i="1"/>
  <c r="AL11" i="7"/>
  <c r="AM11" i="7" s="1"/>
  <c r="AK11" i="7"/>
  <c r="AO10" i="7"/>
  <c r="AL9" i="1"/>
  <c r="B9" i="65"/>
  <c r="W8" i="1"/>
  <c r="AO12" i="7"/>
  <c r="AO13" i="7"/>
  <c r="H21" i="5"/>
  <c r="Y20" i="5"/>
  <c r="Y19" i="1"/>
  <c r="AB19" i="1" s="1"/>
  <c r="S19" i="3"/>
  <c r="U20" i="5"/>
  <c r="R18" i="1"/>
  <c r="V18" i="1" s="1"/>
  <c r="S19" i="1"/>
  <c r="I20" i="1"/>
  <c r="G18" i="1"/>
  <c r="U18" i="1" s="1"/>
  <c r="J17" i="1"/>
  <c r="AA19" i="7"/>
  <c r="AB19" i="7"/>
  <c r="AC18" i="7"/>
  <c r="AD18" i="7"/>
  <c r="AI15" i="7"/>
  <c r="AJ15" i="7"/>
  <c r="AG16" i="7"/>
  <c r="AH16" i="7"/>
  <c r="AO14" i="7"/>
  <c r="AE17" i="7"/>
  <c r="AF17" i="7"/>
  <c r="D19" i="1"/>
  <c r="E19" i="1" s="1"/>
  <c r="D18" i="1"/>
  <c r="E18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8" i="1"/>
  <c r="D20" i="75" s="1"/>
  <c r="E20" i="75" s="1"/>
  <c r="D11" i="75"/>
  <c r="E11" i="75" s="1"/>
  <c r="D17" i="65"/>
  <c r="U19" i="3"/>
  <c r="T19" i="1"/>
  <c r="J16" i="82"/>
  <c r="S16" i="76"/>
  <c r="I31" i="79"/>
  <c r="AN14" i="7"/>
  <c r="AN12" i="7"/>
  <c r="AN13" i="7"/>
  <c r="AN10" i="7"/>
  <c r="AN9" i="7"/>
  <c r="AO8" i="7"/>
  <c r="AZ16" i="5"/>
  <c r="BC16" i="5" s="1"/>
  <c r="AA11" i="1"/>
  <c r="AA12" i="1"/>
  <c r="Y11" i="1"/>
  <c r="Y12" i="1"/>
  <c r="AB10" i="1"/>
  <c r="AO11" i="7"/>
  <c r="AL10" i="1"/>
  <c r="D12" i="75" s="1"/>
  <c r="E12" i="75" s="1"/>
  <c r="W9" i="1"/>
  <c r="B10" i="65"/>
  <c r="H22" i="5"/>
  <c r="Y21" i="5"/>
  <c r="Y20" i="1"/>
  <c r="AB20" i="1" s="1"/>
  <c r="S20" i="3"/>
  <c r="U20" i="3" s="1"/>
  <c r="BD21" i="5"/>
  <c r="U21" i="5"/>
  <c r="R19" i="1"/>
  <c r="V19" i="1" s="1"/>
  <c r="S20" i="1"/>
  <c r="J18" i="1"/>
  <c r="G19" i="1"/>
  <c r="U19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19" i="1"/>
  <c r="D21" i="75" s="1"/>
  <c r="E21" i="75" s="1"/>
  <c r="D18" i="65"/>
  <c r="T20" i="1"/>
  <c r="J17" i="82"/>
  <c r="S17" i="76"/>
  <c r="O33" i="79"/>
  <c r="I32" i="79"/>
  <c r="AN11" i="7"/>
  <c r="AN8" i="7"/>
  <c r="AZ17" i="5"/>
  <c r="BC17" i="5" s="1"/>
  <c r="AB12" i="1"/>
  <c r="AB11" i="1"/>
  <c r="AO15" i="7"/>
  <c r="B11" i="65"/>
  <c r="W10" i="1"/>
  <c r="AL11" i="1"/>
  <c r="AL12" i="1"/>
  <c r="D14" i="75" s="1"/>
  <c r="E14" i="75" s="1"/>
  <c r="H23" i="5"/>
  <c r="Y22" i="5"/>
  <c r="Y21" i="1"/>
  <c r="AB21" i="1" s="1"/>
  <c r="S21" i="3"/>
  <c r="BA22" i="5"/>
  <c r="BD22" i="5" s="1"/>
  <c r="U22" i="5"/>
  <c r="V20" i="1"/>
  <c r="S21" i="1"/>
  <c r="G20" i="1"/>
  <c r="AL20" i="1" s="1"/>
  <c r="J19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1" i="1"/>
  <c r="J18" i="82"/>
  <c r="D13" i="75"/>
  <c r="E13" i="75" s="1"/>
  <c r="I33" i="79"/>
  <c r="AN15" i="7"/>
  <c r="AZ19" i="5"/>
  <c r="AZ18" i="5"/>
  <c r="W11" i="1"/>
  <c r="B12" i="65"/>
  <c r="Y23" i="5"/>
  <c r="Y14" i="7"/>
  <c r="AR14" i="7" s="1"/>
  <c r="S22" i="3"/>
  <c r="U22" i="3" s="1"/>
  <c r="BA23" i="5"/>
  <c r="BD23" i="5" s="1"/>
  <c r="U23" i="5"/>
  <c r="R21" i="1"/>
  <c r="V21" i="1" s="1"/>
  <c r="G21" i="1"/>
  <c r="AL21" i="1" s="1"/>
  <c r="J20" i="1"/>
  <c r="U20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2" i="1"/>
  <c r="Y7" i="7"/>
  <c r="Y23" i="1"/>
  <c r="AB23" i="1" s="1"/>
  <c r="BD24" i="5"/>
  <c r="S23" i="1"/>
  <c r="D23" i="75"/>
  <c r="E23" i="75" s="1"/>
  <c r="J21" i="1"/>
  <c r="U21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C15" i="3"/>
  <c r="AR7" i="7"/>
  <c r="AQ7" i="7" s="1"/>
  <c r="I22" i="82"/>
  <c r="D21" i="65"/>
  <c r="T23" i="1"/>
  <c r="J20" i="82"/>
  <c r="S20" i="76"/>
  <c r="AN17" i="7"/>
  <c r="Y9" i="7"/>
  <c r="AR9" i="7" s="1"/>
  <c r="Y11" i="7"/>
  <c r="B14" i="65"/>
  <c r="W13" i="1"/>
  <c r="Y8" i="7"/>
  <c r="AR8" i="7" s="1"/>
  <c r="X7" i="7"/>
  <c r="Y13" i="7"/>
  <c r="Y10" i="7"/>
  <c r="AR10" i="7" s="1"/>
  <c r="H26" i="5"/>
  <c r="Y24" i="1"/>
  <c r="AB24" i="1" s="1"/>
  <c r="AO18" i="7"/>
  <c r="Y15" i="7"/>
  <c r="AR15" i="7" s="1"/>
  <c r="S24" i="3"/>
  <c r="U24" i="3" s="1"/>
  <c r="BA25" i="5"/>
  <c r="BD25" i="5" s="1"/>
  <c r="U25" i="5"/>
  <c r="R23" i="1"/>
  <c r="V23" i="1" s="1"/>
  <c r="S24" i="1"/>
  <c r="G23" i="1"/>
  <c r="AL23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R6" i="7" l="1"/>
  <c r="AS6" i="7" s="1"/>
  <c r="AZ21" i="5"/>
  <c r="BC21" i="5" s="1"/>
  <c r="AR11" i="7"/>
  <c r="AS11" i="7" s="1"/>
  <c r="AR13" i="7"/>
  <c r="AS14" i="7" s="1"/>
  <c r="C16" i="3"/>
  <c r="AS10" i="7"/>
  <c r="AS9" i="7"/>
  <c r="BC15" i="7"/>
  <c r="E21" i="82"/>
  <c r="D22" i="65"/>
  <c r="T24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4" i="1"/>
  <c r="X8" i="7"/>
  <c r="AO19" i="7"/>
  <c r="H27" i="5"/>
  <c r="Y25" i="1"/>
  <c r="AB25" i="1" s="1"/>
  <c r="BA26" i="5"/>
  <c r="BD26" i="5" s="1"/>
  <c r="U26" i="5"/>
  <c r="R24" i="1"/>
  <c r="V24" i="1" s="1"/>
  <c r="S25" i="1"/>
  <c r="J23" i="1"/>
  <c r="D25" i="75"/>
  <c r="E25" i="75" s="1"/>
  <c r="U23" i="1"/>
  <c r="G24" i="1"/>
  <c r="AL24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5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5" i="1"/>
  <c r="H28" i="5"/>
  <c r="AO20" i="7"/>
  <c r="Y16" i="7"/>
  <c r="AR16" i="7" s="1"/>
  <c r="AS16" i="7" s="1"/>
  <c r="Y26" i="1"/>
  <c r="AB26" i="1" s="1"/>
  <c r="U26" i="3"/>
  <c r="BA27" i="5"/>
  <c r="BD27" i="5" s="1"/>
  <c r="U27" i="5"/>
  <c r="R25" i="1"/>
  <c r="V25" i="1" s="1"/>
  <c r="S26" i="1"/>
  <c r="G25" i="1"/>
  <c r="AL25" i="1" s="1"/>
  <c r="J24" i="1"/>
  <c r="D26" i="75"/>
  <c r="E26" i="75" s="1"/>
  <c r="U24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6" i="1"/>
  <c r="J23" i="82"/>
  <c r="S23" i="76"/>
  <c r="AN20" i="7"/>
  <c r="X16" i="7"/>
  <c r="AZ23" i="5"/>
  <c r="BC23" i="5" s="1"/>
  <c r="B17" i="65"/>
  <c r="AO21" i="7"/>
  <c r="Y17" i="7"/>
  <c r="AR17" i="7" s="1"/>
  <c r="H29" i="5"/>
  <c r="Y27" i="1"/>
  <c r="AB27" i="1" s="1"/>
  <c r="S27" i="3"/>
  <c r="U27" i="3" s="1"/>
  <c r="BA28" i="5"/>
  <c r="BD28" i="5" s="1"/>
  <c r="U28" i="5"/>
  <c r="R26" i="1"/>
  <c r="V26" i="1" s="1"/>
  <c r="S27" i="1"/>
  <c r="U25" i="1"/>
  <c r="J25" i="1"/>
  <c r="G26" i="1"/>
  <c r="AL26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7" i="1"/>
  <c r="J24" i="82"/>
  <c r="D27" i="75"/>
  <c r="E27" i="75" s="1"/>
  <c r="S24" i="76"/>
  <c r="AN21" i="7"/>
  <c r="BC24" i="5"/>
  <c r="X17" i="7"/>
  <c r="B18" i="65"/>
  <c r="H30" i="5"/>
  <c r="AO22" i="7"/>
  <c r="AR22" i="7" s="1"/>
  <c r="Y28" i="1"/>
  <c r="AB28" i="1" s="1"/>
  <c r="Y18" i="7"/>
  <c r="AR18" i="7" s="1"/>
  <c r="S28" i="3"/>
  <c r="U28" i="3" s="1"/>
  <c r="BA29" i="5"/>
  <c r="BD29" i="5" s="1"/>
  <c r="U29" i="5"/>
  <c r="R27" i="1"/>
  <c r="V27" i="1" s="1"/>
  <c r="S28" i="1"/>
  <c r="D28" i="75"/>
  <c r="E28" i="75" s="1"/>
  <c r="U26" i="1"/>
  <c r="J26" i="1"/>
  <c r="G27" i="1"/>
  <c r="AL27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8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8" i="1"/>
  <c r="AL28" i="1" s="1"/>
  <c r="U27" i="1"/>
  <c r="J27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C35" i="3" s="1"/>
  <c r="I28" i="82"/>
  <c r="J26" i="82"/>
  <c r="S26" i="76"/>
  <c r="AN23" i="7"/>
  <c r="AZ26" i="5"/>
  <c r="BC26" i="5" s="1"/>
  <c r="B20" i="65"/>
  <c r="AO24" i="7"/>
  <c r="H32" i="5"/>
  <c r="Y30" i="1"/>
  <c r="AB30" i="1" s="1"/>
  <c r="S30" i="3"/>
  <c r="S35" i="3" s="1"/>
  <c r="BA31" i="5"/>
  <c r="BD31" i="5" s="1"/>
  <c r="U31" i="5"/>
  <c r="S30" i="1"/>
  <c r="AL29" i="1"/>
  <c r="D30" i="75"/>
  <c r="E30" i="75" s="1"/>
  <c r="U28" i="1"/>
  <c r="J28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0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0" i="1"/>
  <c r="V30" i="1" s="1"/>
  <c r="G30" i="1"/>
  <c r="AL30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AS21" i="7" l="1"/>
  <c r="AS22" i="7"/>
  <c r="D29" i="65"/>
  <c r="S28" i="76"/>
  <c r="J28" i="82"/>
  <c r="AN25" i="7"/>
  <c r="AZ28" i="5"/>
  <c r="BC28" i="5" s="1"/>
  <c r="B22" i="65"/>
  <c r="Y22" i="7"/>
  <c r="Y37" i="5"/>
  <c r="X21" i="7"/>
  <c r="BA33" i="5"/>
  <c r="BD34" i="5" s="1"/>
  <c r="U33" i="5"/>
  <c r="U37" i="5" s="1"/>
  <c r="J30" i="1"/>
  <c r="U30" i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D30" i="65"/>
  <c r="BD33" i="5"/>
  <c r="AL31" i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AS28" i="7" l="1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V35" i="1" l="1"/>
  <c r="AA16" i="1" l="1"/>
  <c r="B5" i="65"/>
  <c r="AA17" i="1" l="1"/>
  <c r="AA18" i="1" l="1"/>
  <c r="AA19" i="1" l="1"/>
  <c r="AA20" i="1" l="1"/>
  <c r="AA21" i="1" l="1"/>
  <c r="AA23" i="1" l="1"/>
  <c r="AA24" i="1" l="1"/>
  <c r="AA25" i="1" l="1"/>
  <c r="AA26" i="1" l="1"/>
  <c r="AA27" i="1" l="1"/>
  <c r="AA28" i="1" l="1"/>
  <c r="AA30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l="1"/>
  <c r="O13" i="1" s="1"/>
  <c r="O14" i="1" s="1"/>
  <c r="O15" i="1" s="1"/>
  <c r="O18" i="1" l="1"/>
  <c r="O19" i="1" s="1"/>
  <c r="O20" i="1" s="1"/>
  <c r="O21" i="1" s="1"/>
  <c r="O16" i="1"/>
  <c r="O22" i="1" l="1"/>
  <c r="O23" i="1" s="1"/>
  <c r="O24" i="1" l="1"/>
  <c r="O26" i="1" s="1"/>
  <c r="O27" i="1" s="1"/>
  <c r="O28" i="1" s="1"/>
  <c r="O29" i="1" l="1"/>
  <c r="O30" i="1" s="1"/>
  <c r="O31" i="1" s="1"/>
  <c r="O32" i="1" s="1"/>
  <c r="O33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K28" i="81"/>
  <c r="J32" i="5"/>
  <c r="L28" i="81" s="1"/>
  <c r="I33" i="5"/>
  <c r="E33" i="5"/>
  <c r="E38" i="5" s="1"/>
  <c r="G30" i="63"/>
  <c r="I30" i="63" s="1"/>
  <c r="D33" i="5"/>
  <c r="J34" i="5" l="1"/>
  <c r="J33" i="5"/>
  <c r="L29" i="81" s="1"/>
  <c r="K29" i="81"/>
  <c r="C37" i="5" l="1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AA33" i="5"/>
  <c r="AJ33" i="5"/>
  <c r="K29" i="82" l="1"/>
  <c r="AJ37" i="5" l="1"/>
  <c r="Z38" i="5" s="1"/>
  <c r="F5" i="75" l="1"/>
  <c r="G5" i="75" s="1"/>
  <c r="C5" i="65" l="1"/>
  <c r="E5" i="65" s="1"/>
  <c r="AF5" i="1"/>
  <c r="AH5" i="1" s="1"/>
  <c r="AF6" i="1" l="1"/>
  <c r="AH6" i="1" s="1"/>
  <c r="C6" i="65"/>
  <c r="E6" i="65" s="1"/>
  <c r="AI5" i="1"/>
  <c r="AF7" i="1" l="1"/>
  <c r="AH7" i="1" s="1"/>
  <c r="AI6" i="1"/>
  <c r="C7" i="65"/>
  <c r="E7" i="65" s="1"/>
  <c r="AJ5" i="1"/>
  <c r="AK5" i="1" s="1"/>
  <c r="AX7" i="7"/>
  <c r="Q4" i="76"/>
  <c r="G2" i="81"/>
  <c r="AF8" i="1" l="1"/>
  <c r="AH8" i="1" s="1"/>
  <c r="C8" i="65"/>
  <c r="E8" i="65" s="1"/>
  <c r="AI7" i="1"/>
  <c r="BJ7" i="7"/>
  <c r="AY7" i="7"/>
  <c r="Q5" i="76"/>
  <c r="AJ6" i="1"/>
  <c r="AK6" i="1" s="1"/>
  <c r="AX8" i="7"/>
  <c r="BJ6" i="7"/>
  <c r="AY6" i="7"/>
  <c r="C9" i="65" l="1"/>
  <c r="E9" i="65" s="1"/>
  <c r="AI8" i="1"/>
  <c r="AF9" i="1"/>
  <c r="AH9" i="1" s="1"/>
  <c r="Q6" i="76"/>
  <c r="BJ8" i="7"/>
  <c r="AY8" i="7"/>
  <c r="AI9" i="1" l="1"/>
  <c r="C10" i="65"/>
  <c r="E10" i="65" s="1"/>
  <c r="AJ8" i="1"/>
  <c r="AK8" i="1" s="1"/>
  <c r="AX10" i="7"/>
  <c r="AF10" i="1"/>
  <c r="AH10" i="1" s="1"/>
  <c r="AJ7" i="1"/>
  <c r="AK7" i="1" s="1"/>
  <c r="AX9" i="7"/>
  <c r="AI10" i="1" l="1"/>
  <c r="C11" i="65"/>
  <c r="E11" i="65" s="1"/>
  <c r="AF11" i="1"/>
  <c r="AH11" i="1" s="1"/>
  <c r="Q8" i="76"/>
  <c r="BJ10" i="7"/>
  <c r="AY10" i="7"/>
  <c r="AY9" i="7"/>
  <c r="Q7" i="76"/>
  <c r="BJ9" i="7"/>
  <c r="AX11" i="7" l="1"/>
  <c r="AJ9" i="1"/>
  <c r="AK9" i="1" s="1"/>
  <c r="AJ10" i="1"/>
  <c r="AK10" i="1" s="1"/>
  <c r="AX12" i="7"/>
  <c r="AF12" i="1"/>
  <c r="AH12" i="1" s="1"/>
  <c r="AI11" i="1"/>
  <c r="C12" i="65"/>
  <c r="E12" i="65" s="1"/>
  <c r="AH13" i="1" l="1"/>
  <c r="C13" i="65"/>
  <c r="E13" i="65" s="1"/>
  <c r="AI12" i="1"/>
  <c r="Q9" i="76"/>
  <c r="AY11" i="7"/>
  <c r="BJ11" i="7"/>
  <c r="BJ12" i="7"/>
  <c r="Q10" i="76"/>
  <c r="AY12" i="7"/>
  <c r="AI13" i="1" l="1"/>
  <c r="C14" i="65"/>
  <c r="E14" i="65" s="1"/>
  <c r="AX14" i="7"/>
  <c r="AJ12" i="1"/>
  <c r="AK12" i="1" s="1"/>
  <c r="AH14" i="1"/>
  <c r="AX13" i="7"/>
  <c r="Q11" i="76" s="1"/>
  <c r="AJ11" i="1"/>
  <c r="AK11" i="1" s="1"/>
  <c r="Q12" i="76" l="1"/>
  <c r="AY14" i="7"/>
  <c r="BJ14" i="7"/>
  <c r="C15" i="65"/>
  <c r="E15" i="65" s="1"/>
  <c r="AI14" i="1"/>
  <c r="AJ13" i="1"/>
  <c r="AK13" i="1" s="1"/>
  <c r="AX15" i="7"/>
  <c r="Q13" i="76" s="1"/>
  <c r="BJ13" i="7"/>
  <c r="AY13" i="7"/>
  <c r="AH15" i="1"/>
  <c r="C16" i="65" l="1"/>
  <c r="E16" i="65" s="1"/>
  <c r="AI15" i="1"/>
  <c r="AH16" i="1"/>
  <c r="BJ15" i="7"/>
  <c r="AY15" i="7"/>
  <c r="AX16" i="7"/>
  <c r="AJ14" i="1"/>
  <c r="AK14" i="1" s="1"/>
  <c r="AY16" i="7" l="1"/>
  <c r="BJ16" i="7"/>
  <c r="Q14" i="76"/>
  <c r="AX17" i="7"/>
  <c r="AJ15" i="1"/>
  <c r="AK15" i="1" s="1"/>
  <c r="AI16" i="1"/>
  <c r="C17" i="65"/>
  <c r="E17" i="65" s="1"/>
  <c r="AF17" i="1"/>
  <c r="AH17" i="1" s="1"/>
  <c r="AJ16" i="1" l="1"/>
  <c r="AK16" i="1" s="1"/>
  <c r="AX18" i="7"/>
  <c r="BJ17" i="7"/>
  <c r="Q15" i="76"/>
  <c r="AY17" i="7"/>
  <c r="AF18" i="1"/>
  <c r="AH18" i="1" s="1"/>
  <c r="AI17" i="1"/>
  <c r="C18" i="65"/>
  <c r="E18" i="65" s="1"/>
  <c r="AX19" i="7" l="1"/>
  <c r="AJ17" i="1"/>
  <c r="AK17" i="1" s="1"/>
  <c r="AF19" i="1"/>
  <c r="AH19" i="1" s="1"/>
  <c r="BJ18" i="7"/>
  <c r="Q16" i="76"/>
  <c r="AY18" i="7"/>
  <c r="C19" i="65"/>
  <c r="E19" i="65" s="1"/>
  <c r="AI18" i="1"/>
  <c r="AX20" i="7" s="1"/>
  <c r="AF20" i="1" l="1"/>
  <c r="AH20" i="1" s="1"/>
  <c r="AY19" i="7"/>
  <c r="BJ19" i="7"/>
  <c r="Q17" i="76"/>
  <c r="C20" i="65"/>
  <c r="E20" i="65" s="1"/>
  <c r="AI19" i="1"/>
  <c r="AJ18" i="1"/>
  <c r="AK18" i="1" s="1"/>
  <c r="AX21" i="7" l="1"/>
  <c r="AJ19" i="1"/>
  <c r="AK19" i="1" s="1"/>
  <c r="AF21" i="1"/>
  <c r="AH21" i="1" s="1"/>
  <c r="AI20" i="1"/>
  <c r="AX22" i="7" s="1"/>
  <c r="C21" i="65"/>
  <c r="E21" i="65" s="1"/>
  <c r="AY20" i="7"/>
  <c r="Q18" i="76"/>
  <c r="BJ20" i="7"/>
  <c r="C22" i="65" l="1"/>
  <c r="E22" i="65" s="1"/>
  <c r="AI21" i="1"/>
  <c r="Q19" i="76"/>
  <c r="AY21" i="7"/>
  <c r="BJ21" i="7"/>
  <c r="AF22" i="1"/>
  <c r="AH22" i="1" s="1"/>
  <c r="AJ20" i="1"/>
  <c r="AK20" i="1" s="1"/>
  <c r="AF23" i="1" l="1"/>
  <c r="AH23" i="1" s="1"/>
  <c r="AY22" i="7"/>
  <c r="Q20" i="76"/>
  <c r="BJ22" i="7"/>
  <c r="AX23" i="7"/>
  <c r="AJ21" i="1"/>
  <c r="AK21" i="1" s="1"/>
  <c r="AI22" i="1"/>
  <c r="C23" i="65"/>
  <c r="E23" i="65" s="1"/>
  <c r="AF24" i="1" l="1"/>
  <c r="AH24" i="1" s="1"/>
  <c r="AI23" i="1"/>
  <c r="C24" i="65"/>
  <c r="E24" i="65" s="1"/>
  <c r="AY23" i="7"/>
  <c r="Q21" i="76"/>
  <c r="BJ23" i="7"/>
  <c r="AX24" i="7"/>
  <c r="AJ22" i="1"/>
  <c r="AK22" i="1" s="1"/>
  <c r="AF25" i="1" l="1"/>
  <c r="AH25" i="1" s="1"/>
  <c r="AX25" i="7"/>
  <c r="AJ23" i="1"/>
  <c r="AK23" i="1" s="1"/>
  <c r="AI24" i="1"/>
  <c r="C25" i="65"/>
  <c r="E25" i="65" s="1"/>
  <c r="AY24" i="7"/>
  <c r="Q22" i="76"/>
  <c r="BJ24" i="7"/>
  <c r="AF26" i="1" l="1"/>
  <c r="AH26" i="1" s="1"/>
  <c r="C26" i="65"/>
  <c r="E26" i="65" s="1"/>
  <c r="AI25" i="1"/>
  <c r="AX26" i="7"/>
  <c r="AJ24" i="1"/>
  <c r="AK24" i="1" s="1"/>
  <c r="AY25" i="7"/>
  <c r="BJ25" i="7"/>
  <c r="Q23" i="76"/>
  <c r="BJ26" i="7" l="1"/>
  <c r="Q24" i="76"/>
  <c r="AY26" i="7"/>
  <c r="AX27" i="7"/>
  <c r="AJ25" i="1"/>
  <c r="AK25" i="1" s="1"/>
  <c r="AI26" i="1"/>
  <c r="C27" i="65"/>
  <c r="E27" i="65" s="1"/>
  <c r="AF27" i="1"/>
  <c r="AH27" i="1" s="1"/>
  <c r="W6" i="5"/>
  <c r="AL6" i="5" s="1"/>
  <c r="AX28" i="7" l="1"/>
  <c r="AJ26" i="1"/>
  <c r="AK26" i="1" s="1"/>
  <c r="AY27" i="7"/>
  <c r="Q25" i="76"/>
  <c r="BJ27" i="7"/>
  <c r="AI27" i="1"/>
  <c r="C28" i="65"/>
  <c r="E28" i="65" s="1"/>
  <c r="W7" i="5"/>
  <c r="AL7" i="5" s="1"/>
  <c r="AF28" i="1"/>
  <c r="AH28" i="1" s="1"/>
  <c r="AF29" i="1" l="1"/>
  <c r="AH29" i="1" s="1"/>
  <c r="Q26" i="76"/>
  <c r="AY28" i="7"/>
  <c r="BJ28" i="7"/>
  <c r="AI28" i="1"/>
  <c r="C29" i="65"/>
  <c r="E29" i="65" s="1"/>
  <c r="W8" i="5"/>
  <c r="AL8" i="5" s="1"/>
  <c r="AJ27" i="1"/>
  <c r="AK27" i="1" s="1"/>
  <c r="AX29" i="7"/>
  <c r="AI29" i="1" l="1"/>
  <c r="C30" i="65"/>
  <c r="E30" i="65" s="1"/>
  <c r="AF30" i="1"/>
  <c r="AH30" i="1" s="1"/>
  <c r="AJ28" i="1"/>
  <c r="AK28" i="1" s="1"/>
  <c r="AX30" i="7"/>
  <c r="W9" i="5"/>
  <c r="AL9" i="5" s="1"/>
  <c r="BJ29" i="7"/>
  <c r="AY29" i="7"/>
  <c r="Q27" i="76"/>
  <c r="AF31" i="1" l="1"/>
  <c r="AH31" i="1" s="1"/>
  <c r="C32" i="65" s="1"/>
  <c r="E32" i="65" s="1"/>
  <c r="AX31" i="7"/>
  <c r="AJ29" i="1"/>
  <c r="AK29" i="1" s="1"/>
  <c r="W10" i="5"/>
  <c r="AL10" i="5" s="1"/>
  <c r="BJ30" i="7"/>
  <c r="Q28" i="76"/>
  <c r="AY30" i="7"/>
  <c r="AI30" i="1"/>
  <c r="C31" i="65"/>
  <c r="E31" i="65" s="1"/>
  <c r="AI31" i="1" l="1"/>
  <c r="AW32" i="7" s="1"/>
  <c r="AJ30" i="1" s="1"/>
  <c r="AK30" i="1" s="1"/>
  <c r="AF32" i="1"/>
  <c r="AH32" i="1" s="1"/>
  <c r="AI32" i="1" s="1"/>
  <c r="AW33" i="7" s="1"/>
  <c r="G29" i="81" s="1"/>
  <c r="AY31" i="7"/>
  <c r="Q29" i="76"/>
  <c r="BJ31" i="7"/>
  <c r="W11" i="5"/>
  <c r="AL11" i="5" s="1"/>
  <c r="G28" i="81" l="1"/>
  <c r="AX32" i="7"/>
  <c r="AY32" i="7" s="1"/>
  <c r="AF33" i="1"/>
  <c r="AH33" i="1" s="1"/>
  <c r="W12" i="5"/>
  <c r="AL12" i="5" s="1"/>
  <c r="AX33" i="7"/>
  <c r="AJ31" i="1"/>
  <c r="AK31" i="1" s="1"/>
  <c r="BJ32" i="7"/>
  <c r="Q30" i="76"/>
  <c r="AI33" i="1" l="1"/>
  <c r="AW34" i="7" s="1"/>
  <c r="AJ32" i="1" s="1"/>
  <c r="AK32" i="1" s="1"/>
  <c r="W13" i="5"/>
  <c r="AL13" i="5" s="1"/>
  <c r="BJ33" i="7"/>
  <c r="AY33" i="7"/>
  <c r="Q31" i="76"/>
  <c r="AX34" i="7" l="1"/>
  <c r="AJ33" i="1"/>
  <c r="AK33" i="1" s="1"/>
  <c r="AY34" i="7"/>
  <c r="BJ34" i="7"/>
  <c r="Q32" i="76"/>
  <c r="AI35" i="1"/>
  <c r="W14" i="5"/>
  <c r="AL14" i="5" s="1"/>
  <c r="AX37" i="7" l="1"/>
  <c r="AX42" i="7" s="1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8" i="3" s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Z20" i="3" l="1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K30" i="3"/>
  <c r="Z30" i="3" s="1"/>
  <c r="BK30" i="7"/>
  <c r="AG27" i="3"/>
  <c r="AK28" i="3"/>
  <c r="F28" i="63"/>
  <c r="AE28" i="3"/>
  <c r="AF28" i="3" s="1"/>
  <c r="AL28" i="3"/>
  <c r="Z31" i="3" l="1"/>
  <c r="Z34" i="3" s="1"/>
  <c r="K35" i="3"/>
  <c r="F29" i="63"/>
  <c r="AE29" i="3"/>
  <c r="AF29" i="3" s="1"/>
  <c r="AL29" i="3"/>
  <c r="AK29" i="3"/>
  <c r="BK31" i="7"/>
  <c r="AG28" i="3"/>
  <c r="AL31" i="3" l="1"/>
  <c r="AE31" i="3"/>
  <c r="AF31" i="3" s="1"/>
  <c r="AK31" i="3"/>
  <c r="BK32" i="7"/>
  <c r="AG29" i="3"/>
  <c r="AL30" i="3"/>
  <c r="F30" i="63"/>
  <c r="AK30" i="3"/>
  <c r="AE30" i="3"/>
  <c r="AF30" i="3" s="1"/>
  <c r="BK33" i="7" s="1"/>
  <c r="U34" i="3" l="1"/>
  <c r="AG31" i="3"/>
  <c r="BK34" i="7"/>
  <c r="AG30" i="3"/>
  <c r="B18" i="77" l="1"/>
  <c r="AL34" i="3"/>
  <c r="B19" i="77" s="1"/>
  <c r="W32" i="76" l="1"/>
  <c r="X32" i="76" s="1"/>
  <c r="Y32" i="76" s="1"/>
  <c r="B20" i="77"/>
  <c r="F18" i="77"/>
  <c r="AB4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I2" i="81" l="1"/>
  <c r="AO5" i="1"/>
  <c r="AQ5" i="1"/>
  <c r="AS5" i="1"/>
  <c r="AT5" i="1" l="1"/>
  <c r="AU5" i="1" s="1"/>
  <c r="I3" i="81" s="1"/>
  <c r="AS6" i="1"/>
  <c r="AO6" i="1"/>
  <c r="AQ6" i="1"/>
  <c r="AT6" i="1" l="1"/>
  <c r="AU6" i="1" s="1"/>
  <c r="I4" i="81" s="1"/>
  <c r="AO7" i="1"/>
  <c r="AS7" i="1"/>
  <c r="AQ7" i="1"/>
  <c r="AQ8" i="1" l="1"/>
  <c r="AO8" i="1"/>
  <c r="AS8" i="1"/>
  <c r="AT7" i="1"/>
  <c r="AU7" i="1" s="1"/>
  <c r="I5" i="81" s="1"/>
  <c r="AT8" i="1" l="1"/>
  <c r="AU8" i="1" s="1"/>
  <c r="I6" i="81" s="1"/>
  <c r="AO9" i="1"/>
  <c r="AQ9" i="1"/>
  <c r="AS9" i="1"/>
  <c r="AT9" i="1" l="1"/>
  <c r="AU9" i="1" s="1"/>
  <c r="I7" i="81" s="1"/>
  <c r="AO10" i="1"/>
  <c r="AS10" i="1"/>
  <c r="AQ10" i="1"/>
  <c r="AT10" i="1" l="1"/>
  <c r="AU10" i="1" s="1"/>
  <c r="I8" i="81" s="1"/>
  <c r="AO11" i="1"/>
  <c r="AQ11" i="1"/>
  <c r="AS11" i="1"/>
  <c r="AQ12" i="1" l="1"/>
  <c r="AS12" i="1"/>
  <c r="AO12" i="1"/>
  <c r="AT11" i="1"/>
  <c r="AU11" i="1" s="1"/>
  <c r="I9" i="81" s="1"/>
  <c r="AO13" i="1" l="1"/>
  <c r="AS13" i="1"/>
  <c r="AQ13" i="1"/>
  <c r="AT12" i="1"/>
  <c r="AU12" i="1" s="1"/>
  <c r="I10" i="81" s="1"/>
  <c r="AS14" i="1" l="1"/>
  <c r="AO14" i="1"/>
  <c r="AQ14" i="1"/>
  <c r="AT13" i="1"/>
  <c r="AU13" i="1" s="1"/>
  <c r="I11" i="81" s="1"/>
  <c r="AS15" i="1" l="1"/>
  <c r="AQ15" i="1"/>
  <c r="AO15" i="1"/>
  <c r="AT14" i="1"/>
  <c r="AU14" i="1" s="1"/>
  <c r="I12" i="81" s="1"/>
  <c r="AQ16" i="1" l="1"/>
  <c r="AO16" i="1"/>
  <c r="AS16" i="1"/>
  <c r="AT15" i="1"/>
  <c r="AU15" i="1" s="1"/>
  <c r="I13" i="81" s="1"/>
  <c r="AQ17" i="1" l="1"/>
  <c r="AS17" i="1"/>
  <c r="AO17" i="1"/>
  <c r="AT16" i="1"/>
  <c r="AU16" i="1" s="1"/>
  <c r="I14" i="81" s="1"/>
  <c r="AQ18" i="1" l="1"/>
  <c r="AO18" i="1"/>
  <c r="AS18" i="1"/>
  <c r="AT17" i="1"/>
  <c r="AQ19" i="1" l="1"/>
  <c r="AU17" i="1"/>
  <c r="I15" i="81" s="1"/>
  <c r="AS19" i="1"/>
  <c r="AO19" i="1"/>
  <c r="AT18" i="1"/>
  <c r="AU18" i="1" s="1"/>
  <c r="I16" i="81" s="1"/>
  <c r="AT19" i="1" l="1"/>
  <c r="AU19" i="1" s="1"/>
  <c r="I17" i="81" s="1"/>
  <c r="AO20" i="1"/>
  <c r="AQ20" i="1"/>
  <c r="AS20" i="1"/>
  <c r="AO21" i="1" l="1"/>
  <c r="AT20" i="1"/>
  <c r="AU20" i="1" s="1"/>
  <c r="I18" i="81" s="1"/>
  <c r="AS21" i="1"/>
  <c r="AQ21" i="1"/>
  <c r="AT21" i="1" l="1"/>
  <c r="AS22" i="1"/>
  <c r="AO22" i="1"/>
  <c r="AQ22" i="1"/>
  <c r="AT22" i="1" l="1"/>
  <c r="AU22" i="1" s="1"/>
  <c r="I20" i="81" s="1"/>
  <c r="AU21" i="1"/>
  <c r="I19" i="81" s="1"/>
  <c r="AS23" i="1"/>
  <c r="AQ23" i="1"/>
  <c r="AO23" i="1"/>
  <c r="AS25" i="1" l="1"/>
  <c r="AO25" i="1"/>
  <c r="AT23" i="1"/>
  <c r="AO24" i="1"/>
  <c r="AS24" i="1"/>
  <c r="AQ24" i="1"/>
  <c r="AO26" i="1" l="1"/>
  <c r="AU23" i="1"/>
  <c r="I21" i="81" s="1"/>
  <c r="AS26" i="1"/>
  <c r="AT24" i="1"/>
  <c r="AQ25" i="1"/>
  <c r="AT25" i="1" s="1"/>
  <c r="AO27" i="1" l="1"/>
  <c r="AS27" i="1"/>
  <c r="AU24" i="1"/>
  <c r="I22" i="81" s="1"/>
  <c r="AU25" i="1"/>
  <c r="I23" i="81" s="1"/>
  <c r="AQ26" i="1"/>
  <c r="AT26" i="1" s="1"/>
  <c r="AU26" i="1" s="1"/>
  <c r="AS28" i="1" l="1"/>
  <c r="AO28" i="1"/>
  <c r="AQ27" i="1"/>
  <c r="AT27" i="1" s="1"/>
  <c r="AU27" i="1" s="1"/>
  <c r="I24" i="81"/>
  <c r="AO29" i="1" l="1"/>
  <c r="AS29" i="1"/>
  <c r="AQ28" i="1"/>
  <c r="AT28" i="1" s="1"/>
  <c r="AU28" i="1" s="1"/>
  <c r="I25" i="81"/>
  <c r="AO30" i="1" l="1"/>
  <c r="AS30" i="1"/>
  <c r="I26" i="81"/>
  <c r="AQ29" i="1"/>
  <c r="AT29" i="1" s="1"/>
  <c r="AU29" i="1" s="1"/>
  <c r="AS31" i="1" l="1"/>
  <c r="AO31" i="1"/>
  <c r="I27" i="81"/>
  <c r="AQ30" i="1"/>
  <c r="AT30" i="1" s="1"/>
  <c r="AU30" i="1" s="1"/>
  <c r="AO32" i="1" l="1"/>
  <c r="AS32" i="1"/>
  <c r="AQ31" i="1"/>
  <c r="AT31" i="1" s="1"/>
  <c r="AS33" i="1" l="1"/>
  <c r="AO33" i="1"/>
  <c r="AU31" i="1"/>
  <c r="I29" i="81" s="1"/>
  <c r="I28" i="81"/>
  <c r="AQ32" i="1"/>
  <c r="AT32" i="1" s="1"/>
  <c r="AU32" i="1" s="1"/>
  <c r="AQ33" i="1" l="1"/>
  <c r="AT33" i="1" s="1"/>
  <c r="AU33" i="1" s="1"/>
  <c r="AU36" i="1" l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L34" i="5"/>
  <c r="AK34" i="5" s="1"/>
  <c r="X3" i="3" l="1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I31" i="3" l="1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H34" i="5" l="1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Z4" i="2" l="1"/>
  <c r="X4" i="2"/>
  <c r="AC27" i="76" l="1"/>
  <c r="AC28" i="76"/>
  <c r="AC26" i="76"/>
  <c r="AC29" i="76" l="1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O35" i="76" l="1"/>
  <c r="AB33" i="76"/>
  <c r="AB34" i="76" s="1"/>
  <c r="AB36" i="76"/>
  <c r="AB38" i="76" s="1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AD25" i="5" l="1"/>
  <c r="AD26" i="5" l="1"/>
  <c r="AD27" i="5" l="1"/>
  <c r="AD28" i="5" l="1"/>
  <c r="AD29" i="5" l="1"/>
  <c r="AD30" i="5" l="1"/>
  <c r="AD31" i="5" l="1"/>
  <c r="AD32" i="5" l="1"/>
  <c r="AD33" i="5" l="1"/>
  <c r="AD34" i="5" l="1"/>
  <c r="S4" i="2" l="1"/>
  <c r="S5" i="2" s="1"/>
  <c r="U4" i="2"/>
  <c r="U5" i="2" s="1"/>
  <c r="V5" i="2" l="1"/>
  <c r="U6" i="2"/>
  <c r="T5" i="2"/>
  <c r="S6" i="2"/>
  <c r="V4" i="2"/>
  <c r="AF4" i="2" s="1"/>
  <c r="T4" i="2"/>
  <c r="V6" i="2" l="1"/>
  <c r="U7" i="2"/>
  <c r="S7" i="2"/>
  <c r="T6" i="2"/>
  <c r="AF5" i="2"/>
  <c r="B2" i="63"/>
  <c r="H5" i="65"/>
  <c r="A2" i="63"/>
  <c r="AE4" i="2"/>
  <c r="AG4" i="2" s="1"/>
  <c r="V7" i="2" l="1"/>
  <c r="U8" i="2"/>
  <c r="T7" i="2"/>
  <c r="S8" i="2"/>
  <c r="AF6" i="2"/>
  <c r="H6" i="65"/>
  <c r="B3" i="63"/>
  <c r="A3" i="63"/>
  <c r="AE5" i="2"/>
  <c r="AG5" i="2" s="1"/>
  <c r="V8" i="2" l="1"/>
  <c r="U9" i="2"/>
  <c r="T8" i="2"/>
  <c r="S9" i="2"/>
  <c r="B4" i="63"/>
  <c r="H7" i="65"/>
  <c r="A4" i="63"/>
  <c r="AE6" i="2"/>
  <c r="AG6" i="2" s="1"/>
  <c r="AF7" i="2"/>
  <c r="T9" i="2" l="1"/>
  <c r="S10" i="2"/>
  <c r="T10" i="2" s="1"/>
  <c r="V9" i="2"/>
  <c r="U10" i="2"/>
  <c r="V10" i="2" s="1"/>
  <c r="AF8" i="2"/>
  <c r="A5" i="63"/>
  <c r="AE7" i="2"/>
  <c r="AG7" i="2" s="1"/>
  <c r="B5" i="63"/>
  <c r="H8" i="65"/>
  <c r="A6" i="63" l="1"/>
  <c r="AE8" i="2"/>
  <c r="AG8" i="2" s="1"/>
  <c r="AF9" i="2"/>
  <c r="H9" i="65"/>
  <c r="B6" i="63"/>
  <c r="S11" i="2" l="1"/>
  <c r="A7" i="63"/>
  <c r="AE9" i="2"/>
  <c r="AG9" i="2" s="1"/>
  <c r="B7" i="63"/>
  <c r="H10" i="65"/>
  <c r="U11" i="2"/>
  <c r="AF10" i="2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Q11" i="5"/>
  <c r="BB16" i="5" l="1"/>
  <c r="BE16" i="5" s="1"/>
  <c r="M7" i="81"/>
  <c r="N13" i="5"/>
  <c r="M14" i="5"/>
  <c r="BF15" i="5"/>
  <c r="BG15" i="5" s="1"/>
  <c r="G15" i="65" s="1"/>
  <c r="I11" i="63"/>
  <c r="AS17" i="5"/>
  <c r="P13" i="5"/>
  <c r="O14" i="5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Q31" i="5"/>
  <c r="M27" i="81" s="1"/>
  <c r="M34" i="5" l="1"/>
  <c r="N33" i="5"/>
  <c r="O34" i="5"/>
  <c r="P33" i="5"/>
  <c r="Q32" i="5"/>
  <c r="M28" i="81" s="1"/>
  <c r="N34" i="5" l="1"/>
  <c r="P34" i="5"/>
  <c r="Q33" i="5"/>
  <c r="M29" i="81" s="1"/>
  <c r="Q34" i="5" l="1"/>
  <c r="Q37" i="5" l="1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J2" i="81" l="1"/>
  <c r="AX5" i="1"/>
  <c r="J3" i="81" l="1"/>
  <c r="AX6" i="1"/>
  <c r="J4" i="81" l="1"/>
  <c r="AX7" i="1"/>
  <c r="J5" i="81" l="1"/>
  <c r="AX8" i="1"/>
  <c r="J6" i="81" l="1"/>
  <c r="AX9" i="1"/>
  <c r="J7" i="81" l="1"/>
  <c r="AX10" i="1"/>
  <c r="AX11" i="1" l="1"/>
  <c r="J8" i="81"/>
  <c r="J9" i="81" l="1"/>
  <c r="AX12" i="1"/>
  <c r="AX13" i="1" l="1"/>
  <c r="J10" i="81"/>
  <c r="AX14" i="1" l="1"/>
  <c r="J11" i="81"/>
  <c r="J12" i="81" l="1"/>
  <c r="AX15" i="1"/>
  <c r="AX16" i="1" l="1"/>
  <c r="J13" i="81"/>
  <c r="J14" i="81" l="1"/>
  <c r="AX17" i="1"/>
  <c r="J15" i="81" l="1"/>
  <c r="AX18" i="1"/>
  <c r="J16" i="81" l="1"/>
  <c r="AX19" i="1"/>
  <c r="AX20" i="1" l="1"/>
  <c r="J17" i="81"/>
  <c r="J18" i="81" l="1"/>
  <c r="AX21" i="1"/>
  <c r="J19" i="81" l="1"/>
  <c r="AX22" i="1"/>
  <c r="AX23" i="1" l="1"/>
  <c r="J20" i="81"/>
  <c r="AX24" i="1" l="1"/>
  <c r="J21" i="81"/>
  <c r="J22" i="81" l="1"/>
  <c r="AX25" i="1"/>
  <c r="J23" i="81" l="1"/>
  <c r="AX26" i="1"/>
  <c r="AX27" i="1" l="1"/>
  <c r="J24" i="81"/>
  <c r="AX28" i="1" l="1"/>
  <c r="J25" i="81"/>
  <c r="AX29" i="1" l="1"/>
  <c r="J26" i="81"/>
  <c r="J27" i="81" l="1"/>
  <c r="AX30" i="1"/>
  <c r="AX31" i="1" l="1"/>
  <c r="J28" i="81"/>
  <c r="J29" i="81" l="1"/>
  <c r="AX32" i="1"/>
  <c r="AX33" i="1" l="1"/>
  <c r="BC6" i="5" l="1"/>
  <c r="I3" i="63" l="1"/>
  <c r="BE6" i="5"/>
  <c r="BF6" i="5" s="1"/>
  <c r="BG6" i="5" s="1"/>
  <c r="G6" i="65" s="1"/>
  <c r="I2" i="63" l="1"/>
  <c r="G5" i="65" l="1"/>
  <c r="AD5" i="1" l="1"/>
  <c r="F6" i="75" l="1"/>
  <c r="G6" i="75" s="1"/>
  <c r="AG5" i="1"/>
  <c r="AM5" i="1"/>
  <c r="F7" i="75" s="1"/>
  <c r="G7" i="75" s="1"/>
  <c r="AD6" i="1"/>
  <c r="AD7" i="1" l="1"/>
  <c r="AG6" i="1"/>
  <c r="AM6" i="1"/>
  <c r="F8" i="75" s="1"/>
  <c r="G8" i="75" s="1"/>
  <c r="AG7" i="1" l="1"/>
  <c r="AM7" i="1"/>
  <c r="AD8" i="1"/>
  <c r="AG8" i="1" l="1"/>
  <c r="AM8" i="1"/>
  <c r="F10" i="75" s="1"/>
  <c r="G10" i="75" s="1"/>
  <c r="AD9" i="1"/>
  <c r="F9" i="75"/>
  <c r="G9" i="75" s="1"/>
  <c r="AG9" i="1" l="1"/>
  <c r="AM9" i="1"/>
  <c r="AD10" i="1"/>
  <c r="AM10" i="1" l="1"/>
  <c r="F12" i="75" s="1"/>
  <c r="G12" i="75" s="1"/>
  <c r="AG10" i="1"/>
  <c r="AD11" i="1"/>
  <c r="F11" i="75"/>
  <c r="G11" i="75" s="1"/>
  <c r="AG11" i="1" l="1"/>
  <c r="AM11" i="1"/>
  <c r="AD12" i="1"/>
  <c r="F13" i="75" l="1"/>
  <c r="G13" i="75" s="1"/>
  <c r="AG12" i="1"/>
  <c r="AM12" i="1"/>
  <c r="F14" i="75" s="1"/>
  <c r="G14" i="75" s="1"/>
  <c r="AD13" i="1"/>
  <c r="AG13" i="1" l="1"/>
  <c r="AM13" i="1"/>
  <c r="F15" i="75" s="1"/>
  <c r="G15" i="75" s="1"/>
  <c r="AD14" i="1"/>
  <c r="AG14" i="1" l="1"/>
  <c r="AM14" i="1"/>
  <c r="F16" i="75" s="1"/>
  <c r="G16" i="75" s="1"/>
  <c r="AD15" i="1"/>
  <c r="AM15" i="1" l="1"/>
  <c r="F17" i="75" s="1"/>
  <c r="G17" i="75" s="1"/>
  <c r="AG15" i="1"/>
  <c r="AD16" i="1"/>
  <c r="AM16" i="1" l="1"/>
  <c r="F18" i="75" s="1"/>
  <c r="G18" i="75" s="1"/>
  <c r="AG16" i="1"/>
  <c r="AD17" i="1"/>
  <c r="AM17" i="1" l="1"/>
  <c r="F19" i="75" s="1"/>
  <c r="G19" i="75" s="1"/>
  <c r="AG17" i="1"/>
  <c r="AD18" i="1"/>
  <c r="AD19" i="1" l="1"/>
  <c r="AG18" i="1"/>
  <c r="AM18" i="1"/>
  <c r="F20" i="75" s="1"/>
  <c r="G20" i="75" s="1"/>
  <c r="AM19" i="1" l="1"/>
  <c r="F21" i="75" s="1"/>
  <c r="G21" i="75" s="1"/>
  <c r="AG19" i="1"/>
  <c r="AD20" i="1"/>
  <c r="AD21" i="1" l="1"/>
  <c r="AM20" i="1"/>
  <c r="F22" i="75" s="1"/>
  <c r="G22" i="75" s="1"/>
  <c r="AG20" i="1"/>
  <c r="AG21" i="1" l="1"/>
  <c r="AM21" i="1"/>
  <c r="F23" i="75" s="1"/>
  <c r="G23" i="75" s="1"/>
  <c r="AD22" i="1"/>
  <c r="AM22" i="1" l="1"/>
  <c r="F24" i="75" s="1"/>
  <c r="G24" i="75" s="1"/>
  <c r="AG22" i="1"/>
  <c r="AD23" i="1"/>
  <c r="AD24" i="1" l="1"/>
  <c r="AM23" i="1"/>
  <c r="F25" i="75" s="1"/>
  <c r="G25" i="75" s="1"/>
  <c r="AG23" i="1"/>
  <c r="AM24" i="1" l="1"/>
  <c r="F26" i="75" s="1"/>
  <c r="G26" i="75" s="1"/>
  <c r="AG24" i="1"/>
  <c r="AD25" i="1"/>
  <c r="AG25" i="1" l="1"/>
  <c r="AM25" i="1"/>
  <c r="F27" i="75" s="1"/>
  <c r="G27" i="75" s="1"/>
  <c r="AD26" i="1"/>
  <c r="AM26" i="1" l="1"/>
  <c r="F28" i="75" s="1"/>
  <c r="G28" i="75" s="1"/>
  <c r="AG26" i="1"/>
  <c r="AD27" i="1"/>
  <c r="AD28" i="1" l="1"/>
  <c r="AG27" i="1"/>
  <c r="AM27" i="1"/>
  <c r="F29" i="75" s="1"/>
  <c r="G29" i="75" s="1"/>
  <c r="AM28" i="1" l="1"/>
  <c r="F30" i="75" s="1"/>
  <c r="G30" i="75" s="1"/>
  <c r="AG28" i="1"/>
  <c r="AD29" i="1"/>
  <c r="AD30" i="1" l="1"/>
  <c r="AM29" i="1"/>
  <c r="F31" i="75" s="1"/>
  <c r="G31" i="75" s="1"/>
  <c r="AG29" i="1"/>
  <c r="AG30" i="1" l="1"/>
  <c r="AM30" i="1"/>
  <c r="F32" i="75" s="1"/>
  <c r="G32" i="75" s="1"/>
  <c r="AD31" i="1"/>
  <c r="AD32" i="1" l="1"/>
  <c r="AG31" i="1"/>
  <c r="AM31" i="1"/>
  <c r="F33" i="75" s="1"/>
  <c r="G33" i="75" s="1"/>
  <c r="AG32" i="1" l="1"/>
  <c r="AM32" i="1"/>
  <c r="AD33" i="1"/>
  <c r="AM33" i="1" l="1"/>
  <c r="AG33" i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F31" i="3" l="1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Amjad Abou Hassan</author>
  </authors>
  <commentList>
    <comment ref="N10" authorId="0" shapeId="0">
      <text>
        <r>
          <rPr>
            <b/>
            <sz val="9"/>
            <color indexed="81"/>
            <rFont val="Tahoma"/>
            <charset val="1"/>
          </rPr>
          <t>Amjad Abou Hassan:</t>
        </r>
        <r>
          <rPr>
            <sz val="9"/>
            <color indexed="81"/>
            <rFont val="Tahoma"/>
            <charset val="1"/>
          </rPr>
          <t xml:space="preserve">
Testing HVAC Room 601-603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<sst xmlns="http://schemas.openxmlformats.org/spreadsheetml/2006/main" count="664" uniqueCount="417">
  <si>
    <t>Site Name</t>
  </si>
  <si>
    <t>Day</t>
  </si>
  <si>
    <t>Month</t>
  </si>
  <si>
    <t>Year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</si>
  <si>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</si>
  <si>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</si>
  <si>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</si>
  <si>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</si>
  <si>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</si>
  <si>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</si>
  <si>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</si>
  <si>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 xml:space="preserve">Room Nights </t>
  </si>
  <si>
    <t>Beirut</t>
  </si>
  <si>
    <t>.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</si>
  <si>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</si>
  <si>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</si>
  <si>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</si>
  <si>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</si>
  <si>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</si>
  <si>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</si>
  <si>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</si>
  <si>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</si>
  <si>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</si>
  <si>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</si>
  <si>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</si>
  <si>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</si>
  <si>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</si>
  <si>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</si>
  <si>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</si>
  <si>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</si>
  <si>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</si>
  <si>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</si>
  <si>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</si>
  <si>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</si>
  <si>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</si>
  <si>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</si>
  <si>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</si>
  <si>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</si>
  <si>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</si>
  <si>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</si>
  <si>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</si>
  <si>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</si>
  <si>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</si>
  <si>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</si>
  <si>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</si>
  <si>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</si>
  <si>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</si>
  <si>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</si>
  <si>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</si>
  <si>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</si>
  <si>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</si>
  <si>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</si>
  <si>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</si>
  <si>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</si>
  <si>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</si>
  <si>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</si>
  <si>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</si>
  <si>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</si>
  <si>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</si>
  <si>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</si>
  <si>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</si>
  <si>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</si>
  <si>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</si>
  <si>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</si>
  <si>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</si>
  <si>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</si>
  <si>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</si>
  <si>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</si>
  <si>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</si>
  <si>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</si>
  <si>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</si>
  <si>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</si>
  <si>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</si>
  <si>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</si>
  <si>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</si>
  <si>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</si>
  <si>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</si>
  <si>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</si>
  <si>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</si>
  <si>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</si>
  <si>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</si>
  <si>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</si>
  <si>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</si>
  <si>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</si>
  <si>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</si>
  <si>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</si>
  <si>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</si>
  <si>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</si>
  <si>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</si>
  <si>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</si>
  <si>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</si>
  <si>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</si>
  <si>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</si>
  <si>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</si>
  <si>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</si>
  <si>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</si>
  <si>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</si>
  <si>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</si>
  <si>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</si>
  <si>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</si>
  <si>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</si>
  <si>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</si>
  <si>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</si>
  <si>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</si>
  <si>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</si>
  <si>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</si>
  <si>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</si>
  <si>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</si>
  <si>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</si>
  <si>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</si>
  <si>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</si>
  <si>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</si>
  <si>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</si>
  <si>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</si>
  <si>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</si>
  <si>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</si>
  <si>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</si>
  <si>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</si>
  <si>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</si>
  <si>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</si>
  <si>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</si>
  <si>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</si>
  <si>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</si>
  <si>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</si>
  <si>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</si>
  <si>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</si>
  <si>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</si>
  <si>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</si>
  <si>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</si>
  <si>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</si>
  <si>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</si>
  <si>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</si>
  <si>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</si>
  <si>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</si>
  <si>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</si>
  <si>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</si>
  <si>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</si>
  <si>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</si>
  <si>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</si>
  <si>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</si>
  <si>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</si>
  <si>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</si>
  <si>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</si>
  <si>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</si>
  <si>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</si>
  <si>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</si>
  <si>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</si>
  <si>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</si>
  <si>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</si>
  <si>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</si>
  <si>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</si>
  <si>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</si>
  <si>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</si>
  <si>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</si>
  <si>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</si>
  <si>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</si>
  <si>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</si>
  <si>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</si>
  <si>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</si>
  <si>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</si>
  <si>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</si>
  <si>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</si>
  <si>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</si>
  <si>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</si>
  <si>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</si>
  <si>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</si>
  <si>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</si>
  <si>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</si>
  <si>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</si>
  <si>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</si>
  <si>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</si>
  <si>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</si>
  <si>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</si>
  <si>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</si>
  <si>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</si>
  <si>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</si>
  <si>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</si>
  <si>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</si>
  <si>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</si>
  <si>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</si>
  <si>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</si>
  <si>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</si>
  <si>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</si>
  <si>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</si>
  <si>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</si>
  <si>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</si>
  <si>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</si>
  <si>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</si>
  <si>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</si>
  <si>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</si>
  <si>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</si>
  <si>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</si>
  <si>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</si>
  <si>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</si>
  <si>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</si>
  <si>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</si>
  <si>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</si>
  <si>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</si>
  <si>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</si>
  <si>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</si>
  <si>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</si>
  <si>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</si>
  <si>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</si>
  <si>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</si>
  <si>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</si>
  <si>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</si>
  <si>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</si>
  <si>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</si>
  <si>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</si>
  <si>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</si>
  <si>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</si>
  <si>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</si>
  <si>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</si>
  <si>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</si>
  <si>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</si>
  <si>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</si>
  <si>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</si>
  <si>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</si>
  <si>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</si>
  <si>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</si>
  <si>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</si>
  <si>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</si>
  <si>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</si>
  <si>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</si>
  <si>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</si>
  <si>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</si>
  <si>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</si>
  <si>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</si>
  <si>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</si>
  <si>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</si>
  <si>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</si>
  <si>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</si>
  <si>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</si>
  <si>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</si>
  <si>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</si>
  <si>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</si>
  <si>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</si>
  <si>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</si>
  <si>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</si>
  <si>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</si>
  <si>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</si>
  <si>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</si>
  <si>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</si>
  <si>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</si>
  <si>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</si>
  <si>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</si>
  <si>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</si>
  <si>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</si>
  <si>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</si>
  <si>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</si>
  <si>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</si>
  <si>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</si>
  <si>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</si>
  <si>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</si>
  <si>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</si>
  <si>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</si>
  <si>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</si>
  <si>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</si>
  <si>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</si>
  <si>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</si>
  <si>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</si>
  <si>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</si>
  <si>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</si>
  <si>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</si>
  <si>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</si>
  <si>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</si>
  <si>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</si>
  <si>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</si>
  <si>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</si>
  <si>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</si>
  <si>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</si>
  <si>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</si>
  <si>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</si>
  <si>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</si>
  <si>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</si>
  <si>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</si>
  <si>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</si>
  <si>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</si>
  <si>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</si>
  <si>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</si>
  <si>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</si>
  <si>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</si>
  <si>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</si>
  <si>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</si>
  <si>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</si>
  <si>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</si>
  <si>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</si>
  <si>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</si>
  <si>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</si>
  <si>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</si>
  <si>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2023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</si>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</sst>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FBFBF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4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3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166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9" fontId="16" fillId="0" borderId="7" xfId="4" applyFont="1" applyBorder="1"/>
    <xf numFmtId="10" fontId="16" fillId="0" borderId="1" xfId="4" applyNumberFormat="1" applyFont="1" applyBorder="1"/>
    <xf numFmtId="166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0" xfId="0" applyNumberFormat="1"/>
    <xf numFmtId="179" fontId="0" fillId="22" borderId="1" xfId="0" applyNumberFormat="1" applyFill="1" applyBorder="1"/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167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/>
    <xf numFmtId="10" fontId="16" fillId="0" borderId="0" xfId="4" applyNumberFormat="1" applyFont="1"/>
    <xf numFmtId="172" fontId="0" fillId="0" borderId="0" xfId="0" applyNumberFormat="1"/>
    <xf numFmtId="175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166" fontId="22" fillId="0" borderId="0" xfId="0" applyNumberFormat="1" applyFont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/>
    <xf numFmtId="183" fontId="0" fillId="0" borderId="34" xfId="0" applyNumberFormat="1" applyBorder="1"/>
    <xf numFmtId="0" fontId="0" fillId="0" borderId="7" xfId="0" applyBorder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164" fontId="0" fillId="8" borderId="1" xfId="0" applyNumberFormat="1" applyFill="1" applyBorder="1"/>
    <xf numFmtId="166" fontId="0" fillId="0" borderId="0" xfId="1" applyFont="1"/>
    <xf numFmtId="166" fontId="0" fillId="0" borderId="43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79" fontId="0" fillId="0" borderId="0" xfId="0" applyNumberFormat="1" applyAlignment="1">
      <alignment horizontal="right"/>
    </xf>
    <xf numFmtId="0" fontId="21" fillId="30" borderId="1" xfId="0" applyFont="1" applyFill="1" applyBorder="1" applyAlignment="1">
      <alignment horizontal="right"/>
    </xf>
    <xf numFmtId="179" fontId="0" fillId="2" borderId="7" xfId="0" applyNumberForma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42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tyles" Target="styles.xml"/><Relationship Id="rId44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43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5006</c:v>
                </c:pt>
                <c:pt idx="1">
                  <c:v>3464</c:v>
                </c:pt>
                <c:pt idx="2">
                  <c:v>3065</c:v>
                </c:pt>
                <c:pt idx="3">
                  <c:v>0</c:v>
                </c:pt>
                <c:pt idx="4">
                  <c:v>0</c:v>
                </c:pt>
                <c:pt idx="5">
                  <c:v>3261</c:v>
                </c:pt>
                <c:pt idx="6">
                  <c:v>3298</c:v>
                </c:pt>
                <c:pt idx="7">
                  <c:v>3712</c:v>
                </c:pt>
                <c:pt idx="8">
                  <c:v>3438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3003</c:v>
                </c:pt>
                <c:pt idx="13">
                  <c:v>3225</c:v>
                </c:pt>
                <c:pt idx="14">
                  <c:v>2788</c:v>
                </c:pt>
                <c:pt idx="15">
                  <c:v>2305</c:v>
                </c:pt>
                <c:pt idx="16">
                  <c:v>2789</c:v>
                </c:pt>
                <c:pt idx="17">
                  <c:v>0</c:v>
                </c:pt>
                <c:pt idx="18">
                  <c:v>0</c:v>
                </c:pt>
                <c:pt idx="19">
                  <c:v>2799</c:v>
                </c:pt>
                <c:pt idx="20">
                  <c:v>2768</c:v>
                </c:pt>
                <c:pt idx="21">
                  <c:v>2682</c:v>
                </c:pt>
                <c:pt idx="22">
                  <c:v>2521</c:v>
                </c:pt>
                <c:pt idx="23">
                  <c:v>2894</c:v>
                </c:pt>
                <c:pt idx="24">
                  <c:v>0</c:v>
                </c:pt>
                <c:pt idx="25">
                  <c:v>0</c:v>
                </c:pt>
                <c:pt idx="26">
                  <c:v>2880</c:v>
                </c:pt>
                <c:pt idx="27">
                  <c:v>2938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8288"/>
        <c:axId val="-1466102304"/>
      </c:lineChart>
      <c:catAx>
        <c:axId val="-146610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2304"/>
        <c:crosses val="autoZero"/>
        <c:auto val="1"/>
        <c:lblAlgn val="ctr"/>
        <c:lblOffset val="100"/>
        <c:noMultiLvlLbl val="0"/>
      </c:catAx>
      <c:valAx>
        <c:axId val="-1466102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1002</c:v>
                </c:pt>
                <c:pt idx="15">
                  <c:v>169</c:v>
                </c:pt>
                <c:pt idx="16">
                  <c:v>203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403</c:v>
                </c:pt>
                <c:pt idx="22">
                  <c:v>269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334</c:v>
                </c:pt>
                <c:pt idx="27">
                  <c:v>356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8832"/>
        <c:axId val="-1466100672"/>
      </c:lineChart>
      <c:catAx>
        <c:axId val="-146610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0672"/>
        <c:crosses val="autoZero"/>
        <c:auto val="1"/>
        <c:lblAlgn val="ctr"/>
        <c:lblOffset val="100"/>
        <c:noMultiLvlLbl val="0"/>
      </c:catAx>
      <c:valAx>
        <c:axId val="-1466100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11552"/>
        <c:axId val="-1466100128"/>
      </c:lineChart>
      <c:catAx>
        <c:axId val="-146611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0128"/>
        <c:crosses val="autoZero"/>
        <c:auto val="1"/>
        <c:lblAlgn val="ctr"/>
        <c:lblOffset val="100"/>
        <c:noMultiLvlLbl val="0"/>
      </c:catAx>
      <c:valAx>
        <c:axId val="-14661001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7744"/>
        <c:axId val="-1466103392"/>
      </c:lineChart>
      <c:catAx>
        <c:axId val="-14661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3392"/>
        <c:crosses val="autoZero"/>
        <c:auto val="1"/>
        <c:lblAlgn val="ctr"/>
        <c:lblOffset val="100"/>
        <c:noMultiLvlLbl val="0"/>
      </c:catAx>
      <c:valAx>
        <c:axId val="-14661033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1216"/>
        <c:axId val="-1466101760"/>
      </c:lineChart>
      <c:catAx>
        <c:axId val="-146610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1760"/>
        <c:crosses val="autoZero"/>
        <c:auto val="1"/>
        <c:lblAlgn val="ctr"/>
        <c:lblOffset val="100"/>
        <c:noMultiLvlLbl val="0"/>
      </c:catAx>
      <c:valAx>
        <c:axId val="-14661017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11008"/>
        <c:axId val="-1466102848"/>
      </c:lineChart>
      <c:catAx>
        <c:axId val="-146611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2848"/>
        <c:crosses val="autoZero"/>
        <c:auto val="1"/>
        <c:lblAlgn val="ctr"/>
        <c:lblOffset val="100"/>
        <c:noMultiLvlLbl val="0"/>
      </c:catAx>
      <c:valAx>
        <c:axId val="-146610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12640"/>
        <c:axId val="-1466098496"/>
      </c:lineChart>
      <c:catAx>
        <c:axId val="-146611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098496"/>
        <c:crosses val="autoZero"/>
        <c:auto val="1"/>
        <c:lblAlgn val="ctr"/>
        <c:lblOffset val="100"/>
        <c:noMultiLvlLbl val="0"/>
      </c:catAx>
      <c:valAx>
        <c:axId val="-146609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1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6112"/>
        <c:axId val="-1466106656"/>
      </c:lineChart>
      <c:catAx>
        <c:axId val="-146610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6656"/>
        <c:crosses val="autoZero"/>
        <c:auto val="1"/>
        <c:lblAlgn val="ctr"/>
        <c:lblOffset val="100"/>
        <c:noMultiLvlLbl val="0"/>
      </c:catAx>
      <c:valAx>
        <c:axId val="-1466106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13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11.5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15.5</c:v>
                </c:pt>
                <c:pt idx="19">
                  <c:v>15</c:v>
                </c:pt>
                <c:pt idx="20">
                  <c:v>15</c:v>
                </c:pt>
                <c:pt idx="21">
                  <c:v>14.5</c:v>
                </c:pt>
                <c:pt idx="22">
                  <c:v>14.5</c:v>
                </c:pt>
                <c:pt idx="23">
                  <c:v>14.5</c:v>
                </c:pt>
                <c:pt idx="24">
                  <c:v>17</c:v>
                </c:pt>
                <c:pt idx="25">
                  <c:v>18.5</c:v>
                </c:pt>
                <c:pt idx="26">
                  <c:v>20.5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7200"/>
        <c:axId val="-1466097952"/>
      </c:lineChart>
      <c:catAx>
        <c:axId val="-146610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097952"/>
        <c:crosses val="autoZero"/>
        <c:auto val="1"/>
        <c:lblAlgn val="ctr"/>
        <c:lblOffset val="100"/>
        <c:noMultiLvlLbl val="0"/>
      </c:catAx>
      <c:valAx>
        <c:axId val="-14660979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5568"/>
        <c:axId val="-1466112096"/>
      </c:lineChart>
      <c:catAx>
        <c:axId val="-146610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12096"/>
        <c:crosses val="autoZero"/>
        <c:auto val="1"/>
        <c:lblAlgn val="ctr"/>
        <c:lblOffset val="100"/>
        <c:noMultiLvlLbl val="0"/>
      </c:catAx>
      <c:valAx>
        <c:axId val="-146611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13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11.5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15.5</c:v>
                </c:pt>
                <c:pt idx="19">
                  <c:v>15</c:v>
                </c:pt>
                <c:pt idx="20">
                  <c:v>15</c:v>
                </c:pt>
                <c:pt idx="21">
                  <c:v>14.5</c:v>
                </c:pt>
                <c:pt idx="22">
                  <c:v>14.5</c:v>
                </c:pt>
                <c:pt idx="23">
                  <c:v>14.5</c:v>
                </c:pt>
                <c:pt idx="24">
                  <c:v>17</c:v>
                </c:pt>
                <c:pt idx="25">
                  <c:v>18.5</c:v>
                </c:pt>
                <c:pt idx="26">
                  <c:v>20.5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5024"/>
        <c:axId val="-1466110464"/>
      </c:lineChart>
      <c:catAx>
        <c:axId val="-146610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10464"/>
        <c:crosses val="autoZero"/>
        <c:auto val="1"/>
        <c:lblAlgn val="ctr"/>
        <c:lblOffset val="100"/>
        <c:noMultiLvlLbl val="0"/>
      </c:catAx>
      <c:valAx>
        <c:axId val="-146611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12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8</c:v>
                </c:pt>
                <c:pt idx="22">
                  <c:v>0</c:v>
                </c:pt>
                <c:pt idx="23">
                  <c:v>12</c:v>
                </c:pt>
                <c:pt idx="24">
                  <c:v>0</c:v>
                </c:pt>
                <c:pt idx="25">
                  <c:v>10</c:v>
                </c:pt>
                <c:pt idx="26">
                  <c:v>9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66109920"/>
        <c:axId val="-1466109376"/>
      </c:lineChart>
      <c:catAx>
        <c:axId val="-146610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9376"/>
        <c:crosses val="autoZero"/>
        <c:auto val="1"/>
        <c:lblAlgn val="ctr"/>
        <c:lblOffset val="100"/>
        <c:noMultiLvlLbl val="0"/>
      </c:catAx>
      <c:valAx>
        <c:axId val="-14661093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46610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327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1002</c:v>
                </c:pt>
                <c:pt idx="14">
                  <c:v>169</c:v>
                </c:pt>
                <c:pt idx="15">
                  <c:v>203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403</c:v>
                </c:pt>
                <c:pt idx="21">
                  <c:v>269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334</c:v>
                </c:pt>
                <c:pt idx="26">
                  <c:v>356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2112"/>
        <c:axId val="-1652287008"/>
      </c:lineChart>
      <c:catAx>
        <c:axId val="-165228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7008"/>
        <c:crosses val="autoZero"/>
        <c:auto val="1"/>
        <c:lblAlgn val="ctr"/>
        <c:lblOffset val="100"/>
        <c:noMultiLvlLbl val="0"/>
      </c:catAx>
      <c:valAx>
        <c:axId val="-165228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'B5'!$AI$4:$AI$31</c:f>
              <c:numCache>
                <c:formatCode>0</c:formatCode>
                <c:ptCount val="28"/>
                <c:pt idx="0" formatCode="General">
                  <c:v>244</c:v>
                </c:pt>
                <c:pt idx="1">
                  <c:v>49</c:v>
                </c:pt>
                <c:pt idx="2">
                  <c:v>548</c:v>
                </c:pt>
                <c:pt idx="3">
                  <c:v>0.59999999997671694</c:v>
                </c:pt>
                <c:pt idx="4">
                  <c:v>0</c:v>
                </c:pt>
                <c:pt idx="5">
                  <c:v>203</c:v>
                </c:pt>
                <c:pt idx="6">
                  <c:v>280.40000000002328</c:v>
                </c:pt>
                <c:pt idx="7">
                  <c:v>191</c:v>
                </c:pt>
                <c:pt idx="8">
                  <c:v>321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636</c:v>
                </c:pt>
                <c:pt idx="13">
                  <c:v>124</c:v>
                </c:pt>
                <c:pt idx="14">
                  <c:v>300</c:v>
                </c:pt>
                <c:pt idx="15">
                  <c:v>310</c:v>
                </c:pt>
                <c:pt idx="16">
                  <c:v>263</c:v>
                </c:pt>
                <c:pt idx="17">
                  <c:v>0</c:v>
                </c:pt>
                <c:pt idx="18">
                  <c:v>0</c:v>
                </c:pt>
                <c:pt idx="19">
                  <c:v>180</c:v>
                </c:pt>
                <c:pt idx="20">
                  <c:v>474</c:v>
                </c:pt>
                <c:pt idx="21">
                  <c:v>236</c:v>
                </c:pt>
                <c:pt idx="22">
                  <c:v>283</c:v>
                </c:pt>
                <c:pt idx="23">
                  <c:v>306</c:v>
                </c:pt>
                <c:pt idx="24">
                  <c:v>0</c:v>
                </c:pt>
                <c:pt idx="25">
                  <c:v>0</c:v>
                </c:pt>
                <c:pt idx="26">
                  <c:v>242</c:v>
                </c:pt>
                <c:pt idx="27">
                  <c:v>385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79936"/>
        <c:axId val="-1652284288"/>
      </c:lineChart>
      <c:catAx>
        <c:axId val="-165227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4288"/>
        <c:crosses val="autoZero"/>
        <c:auto val="1"/>
        <c:lblAlgn val="ctr"/>
        <c:lblOffset val="100"/>
        <c:noMultiLvlLbl val="0"/>
      </c:catAx>
      <c:valAx>
        <c:axId val="-165228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'B5'!$AU$4:$AU$31</c:f>
              <c:numCache>
                <c:formatCode>0</c:formatCode>
                <c:ptCount val="2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5920"/>
        <c:axId val="-1652289184"/>
      </c:lineChart>
      <c:catAx>
        <c:axId val="-165228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9184"/>
        <c:crosses val="autoZero"/>
        <c:auto val="1"/>
        <c:lblAlgn val="ctr"/>
        <c:lblOffset val="100"/>
        <c:noMultiLvlLbl val="0"/>
      </c:catAx>
      <c:valAx>
        <c:axId val="-165228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5006</c:v>
                </c:pt>
                <c:pt idx="1">
                  <c:v>3464</c:v>
                </c:pt>
                <c:pt idx="2">
                  <c:v>3065</c:v>
                </c:pt>
                <c:pt idx="3">
                  <c:v>0</c:v>
                </c:pt>
                <c:pt idx="4">
                  <c:v>0</c:v>
                </c:pt>
                <c:pt idx="5">
                  <c:v>3261</c:v>
                </c:pt>
                <c:pt idx="6">
                  <c:v>3298</c:v>
                </c:pt>
                <c:pt idx="7">
                  <c:v>3712</c:v>
                </c:pt>
                <c:pt idx="8">
                  <c:v>3438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3003</c:v>
                </c:pt>
                <c:pt idx="13">
                  <c:v>3225</c:v>
                </c:pt>
                <c:pt idx="14">
                  <c:v>2788</c:v>
                </c:pt>
                <c:pt idx="15">
                  <c:v>2305</c:v>
                </c:pt>
                <c:pt idx="16">
                  <c:v>2789</c:v>
                </c:pt>
                <c:pt idx="17">
                  <c:v>0</c:v>
                </c:pt>
                <c:pt idx="18">
                  <c:v>0</c:v>
                </c:pt>
                <c:pt idx="19">
                  <c:v>2799</c:v>
                </c:pt>
                <c:pt idx="20">
                  <c:v>2768</c:v>
                </c:pt>
                <c:pt idx="21">
                  <c:v>2682</c:v>
                </c:pt>
                <c:pt idx="22">
                  <c:v>2521</c:v>
                </c:pt>
                <c:pt idx="23">
                  <c:v>2894</c:v>
                </c:pt>
                <c:pt idx="24">
                  <c:v>0</c:v>
                </c:pt>
                <c:pt idx="25">
                  <c:v>0</c:v>
                </c:pt>
                <c:pt idx="26">
                  <c:v>2880</c:v>
                </c:pt>
                <c:pt idx="27">
                  <c:v>2938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3200"/>
        <c:axId val="-1652277216"/>
      </c:lineChart>
      <c:catAx>
        <c:axId val="-165228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77216"/>
        <c:crosses val="autoZero"/>
        <c:auto val="1"/>
        <c:lblAlgn val="ctr"/>
        <c:lblOffset val="100"/>
        <c:noMultiLvlLbl val="0"/>
      </c:catAx>
      <c:valAx>
        <c:axId val="-16522772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1002</c:v>
                </c:pt>
                <c:pt idx="15">
                  <c:v>169</c:v>
                </c:pt>
                <c:pt idx="16">
                  <c:v>203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403</c:v>
                </c:pt>
                <c:pt idx="22">
                  <c:v>269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334</c:v>
                </c:pt>
                <c:pt idx="27">
                  <c:v>356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79392"/>
        <c:axId val="-1652281568"/>
      </c:lineChart>
      <c:catAx>
        <c:axId val="-165227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1568"/>
        <c:crosses val="autoZero"/>
        <c:auto val="1"/>
        <c:lblAlgn val="ctr"/>
        <c:lblOffset val="100"/>
        <c:noMultiLvlLbl val="0"/>
      </c:catAx>
      <c:valAx>
        <c:axId val="-1652281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7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12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8</c:v>
                </c:pt>
                <c:pt idx="22">
                  <c:v>0</c:v>
                </c:pt>
                <c:pt idx="23">
                  <c:v>12</c:v>
                </c:pt>
                <c:pt idx="24">
                  <c:v>0</c:v>
                </c:pt>
                <c:pt idx="25">
                  <c:v>10</c:v>
                </c:pt>
                <c:pt idx="26">
                  <c:v>9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92448"/>
        <c:axId val="-1652290816"/>
      </c:lineChart>
      <c:catAx>
        <c:axId val="-165229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90816"/>
        <c:crosses val="autoZero"/>
        <c:auto val="1"/>
        <c:lblAlgn val="ctr"/>
        <c:lblOffset val="100"/>
        <c:noMultiLvlLbl val="0"/>
      </c:catAx>
      <c:valAx>
        <c:axId val="-16522908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9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-1770.0645161290158</c:v>
                </c:pt>
                <c:pt idx="1">
                  <c:v>-1226.7096774193487</c:v>
                </c:pt>
                <c:pt idx="2">
                  <c:v>0</c:v>
                </c:pt>
                <c:pt idx="3">
                  <c:v>0</c:v>
                </c:pt>
                <c:pt idx="4">
                  <c:v>-1226.7096774193778</c:v>
                </c:pt>
                <c:pt idx="5">
                  <c:v>-1533.3870967741823</c:v>
                </c:pt>
                <c:pt idx="6">
                  <c:v>-1463.3870967741896</c:v>
                </c:pt>
                <c:pt idx="7">
                  <c:v>-186.4193548387193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-1533.3870967741823</c:v>
                </c:pt>
                <c:pt idx="12">
                  <c:v>-920.03225806451519</c:v>
                </c:pt>
                <c:pt idx="13">
                  <c:v>-1156.7096774193633</c:v>
                </c:pt>
                <c:pt idx="14">
                  <c:v>-990.03225806451519</c:v>
                </c:pt>
                <c:pt idx="15">
                  <c:v>5213.516129032243</c:v>
                </c:pt>
                <c:pt idx="16">
                  <c:v>0</c:v>
                </c:pt>
                <c:pt idx="17">
                  <c:v>0</c:v>
                </c:pt>
                <c:pt idx="18">
                  <c:v>-6450.0322580645006</c:v>
                </c:pt>
                <c:pt idx="19">
                  <c:v>-1345.0483870967728</c:v>
                </c:pt>
                <c:pt idx="20">
                  <c:v>-1581.7258064516209</c:v>
                </c:pt>
                <c:pt idx="21">
                  <c:v>-683.35483870968164</c:v>
                </c:pt>
                <c:pt idx="22">
                  <c:v>-1226.7096774193487</c:v>
                </c:pt>
                <c:pt idx="23">
                  <c:v>0</c:v>
                </c:pt>
                <c:pt idx="24">
                  <c:v>0</c:v>
                </c:pt>
                <c:pt idx="25">
                  <c:v>-386.4838709677424</c:v>
                </c:pt>
                <c:pt idx="26">
                  <c:v>-1156.7096774193487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4832"/>
        <c:axId val="-1652288096"/>
      </c:lineChart>
      <c:catAx>
        <c:axId val="-165228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8096"/>
        <c:crosses val="autoZero"/>
        <c:auto val="1"/>
        <c:lblAlgn val="ctr"/>
        <c:lblOffset val="100"/>
        <c:noMultiLvlLbl val="0"/>
      </c:catAx>
      <c:valAx>
        <c:axId val="-16522880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3744"/>
        <c:axId val="-1652291904"/>
      </c:lineChart>
      <c:catAx>
        <c:axId val="-165228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91904"/>
        <c:crosses val="autoZero"/>
        <c:auto val="1"/>
        <c:lblAlgn val="ctr"/>
        <c:lblOffset val="100"/>
        <c:noMultiLvlLbl val="0"/>
      </c:catAx>
      <c:valAx>
        <c:axId val="-16522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1024"/>
        <c:axId val="-1652285376"/>
      </c:lineChart>
      <c:catAx>
        <c:axId val="-165228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5376"/>
        <c:crosses val="autoZero"/>
        <c:auto val="1"/>
        <c:lblAlgn val="ctr"/>
        <c:lblOffset val="100"/>
        <c:noMultiLvlLbl val="0"/>
      </c:catAx>
      <c:valAx>
        <c:axId val="-16522853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78848"/>
        <c:axId val="-1652278304"/>
      </c:lineChart>
      <c:catAx>
        <c:axId val="-165227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78304"/>
        <c:crosses val="autoZero"/>
        <c:auto val="1"/>
        <c:lblAlgn val="ctr"/>
        <c:lblOffset val="100"/>
        <c:noMultiLvlLbl val="0"/>
      </c:catAx>
      <c:valAx>
        <c:axId val="-1652278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2656"/>
        <c:axId val="-1652277760"/>
      </c:lineChart>
      <c:catAx>
        <c:axId val="-165228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77760"/>
        <c:crosses val="autoZero"/>
        <c:auto val="1"/>
        <c:lblAlgn val="ctr"/>
        <c:lblOffset val="100"/>
        <c:noMultiLvlLbl val="0"/>
      </c:catAx>
      <c:valAx>
        <c:axId val="-165227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9728"/>
        <c:axId val="-1652287552"/>
      </c:lineChart>
      <c:catAx>
        <c:axId val="-165228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7552"/>
        <c:crosses val="autoZero"/>
        <c:auto val="1"/>
        <c:lblAlgn val="ctr"/>
        <c:lblOffset val="100"/>
        <c:noMultiLvlLbl val="0"/>
      </c:catAx>
      <c:valAx>
        <c:axId val="-165228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13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11.5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15.5</c:v>
                </c:pt>
                <c:pt idx="19">
                  <c:v>15</c:v>
                </c:pt>
                <c:pt idx="20">
                  <c:v>15</c:v>
                </c:pt>
                <c:pt idx="21">
                  <c:v>14.5</c:v>
                </c:pt>
                <c:pt idx="22">
                  <c:v>14.5</c:v>
                </c:pt>
                <c:pt idx="23">
                  <c:v>14.5</c:v>
                </c:pt>
                <c:pt idx="24">
                  <c:v>17</c:v>
                </c:pt>
                <c:pt idx="25">
                  <c:v>18.5</c:v>
                </c:pt>
                <c:pt idx="26">
                  <c:v>20.5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91360"/>
        <c:axId val="-1652280480"/>
      </c:lineChart>
      <c:catAx>
        <c:axId val="-165229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0480"/>
        <c:crosses val="autoZero"/>
        <c:auto val="1"/>
        <c:lblAlgn val="ctr"/>
        <c:lblOffset val="100"/>
        <c:noMultiLvlLbl val="0"/>
      </c:catAx>
      <c:valAx>
        <c:axId val="-165228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2023'!$AA$9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2023'!$AB$9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90272"/>
        <c:axId val="-1652288640"/>
      </c:lineChart>
      <c:catAx>
        <c:axId val="-165229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8640"/>
        <c:crosses val="autoZero"/>
        <c:auto val="1"/>
        <c:lblAlgn val="ctr"/>
        <c:lblOffset val="100"/>
        <c:noMultiLvlLbl val="0"/>
      </c:catAx>
      <c:valAx>
        <c:axId val="-165228864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9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2286464"/>
        <c:axId val="-1650347632"/>
      </c:lineChart>
      <c:catAx>
        <c:axId val="-165228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0347632"/>
        <c:crosses val="autoZero"/>
        <c:auto val="1"/>
        <c:lblAlgn val="ctr"/>
        <c:lblOffset val="100"/>
        <c:noMultiLvlLbl val="0"/>
      </c:catAx>
      <c:valAx>
        <c:axId val="-16503476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228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2023'!$AA$9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2023'!$AB$9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50347088"/>
        <c:axId val="-1650349264"/>
      </c:lineChart>
      <c:catAx>
        <c:axId val="-1650347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0349264"/>
        <c:crosses val="autoZero"/>
        <c:auto val="1"/>
        <c:lblAlgn val="ctr"/>
        <c:lblOffset val="100"/>
        <c:noMultiLvlLbl val="0"/>
      </c:catAx>
      <c:valAx>
        <c:axId val="-165034926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65034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  <a:ext uri="{147F2762-F138-4A5C-976F-8EAC2B608ADB}">
              <a16:predDERef xmlns:a16="http://schemas.microsoft.com/office/drawing/2014/main" xmlns="" pre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  <a:ext uri="{147F2762-F138-4A5C-976F-8EAC2B608ADB}">
              <a16:predDERef xmlns:a16="http://schemas.microsoft.com/office/drawing/2014/main" xmlns="" pre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  <a:ext uri="{147F2762-F138-4A5C-976F-8EAC2B608ADB}">
              <a16:predDERef xmlns:a16="http://schemas.microsoft.com/office/drawing/2014/main" xmlns="" pre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  <a:ext uri="{147F2762-F138-4A5C-976F-8EAC2B608ADB}">
              <a16:predDERef xmlns:a16="http://schemas.microsoft.com/office/drawing/2014/main" xmlns="" pre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  <a:ext uri="{147F2762-F138-4A5C-976F-8EAC2B608ADB}">
              <a16:predDERef xmlns:a16="http://schemas.microsoft.com/office/drawing/2014/main" xmlns="" pre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  <a:ext uri="{147F2762-F138-4A5C-976F-8EAC2B608ADB}">
              <a16:predDERef xmlns:a16="http://schemas.microsoft.com/office/drawing/2014/main" xmlns="" pre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  <a:ext uri="{147F2762-F138-4A5C-976F-8EAC2B608ADB}">
              <a16:predDERef xmlns:a16="http://schemas.microsoft.com/office/drawing/2014/main" xmlns="" pre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  <a:ext uri="{147F2762-F138-4A5C-976F-8EAC2B608ADB}">
              <a16:predDERef xmlns:a16="http://schemas.microsoft.com/office/drawing/2014/main" xmlns="" pre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  <a:ext uri="{147F2762-F138-4A5C-976F-8EAC2B608ADB}">
              <a16:predDERef xmlns:a16="http://schemas.microsoft.com/office/drawing/2014/main" xmlns="" pre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  <a:ext uri="{147F2762-F138-4A5C-976F-8EAC2B608ADB}">
              <a16:predDERef xmlns:a16="http://schemas.microsoft.com/office/drawing/2014/main" xmlns="" pre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  <a:ext uri="{147F2762-F138-4A5C-976F-8EAC2B608ADB}">
              <a16:predDERef xmlns:a16="http://schemas.microsoft.com/office/drawing/2014/main" xmlns="" pre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  <a:ext uri="{147F2762-F138-4A5C-976F-8EAC2B608ADB}">
              <a16:predDERef xmlns:a16="http://schemas.microsoft.com/office/drawing/2014/main" xmlns="" pre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  <a:ext uri="{147F2762-F138-4A5C-976F-8EAC2B608ADB}">
              <a16:predDERef xmlns:a16="http://schemas.microsoft.com/office/drawing/2014/main" xmlns="" pre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  <a:ext uri="{147F2762-F138-4A5C-976F-8EAC2B608ADB}">
              <a16:predDERef xmlns:a16="http://schemas.microsoft.com/office/drawing/2014/main" xmlns="" pre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  <a:ext uri="{147F2762-F138-4A5C-976F-8EAC2B608ADB}">
              <a16:predDERef xmlns:a16="http://schemas.microsoft.com/office/drawing/2014/main" xmlns="" pre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  <a:ext uri="{147F2762-F138-4A5C-976F-8EAC2B608ADB}">
              <a16:predDERef xmlns:a16="http://schemas.microsoft.com/office/drawing/2014/main" xmlns="" pre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  <a:ext uri="{147F2762-F138-4A5C-976F-8EAC2B608ADB}">
              <a16:predDERef xmlns:a16="http://schemas.microsoft.com/office/drawing/2014/main" xmlns="" pre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  <a:ext uri="{147F2762-F138-4A5C-976F-8EAC2B608ADB}">
              <a16:predDERef xmlns:a16="http://schemas.microsoft.com/office/drawing/2014/main" xmlns="" pre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  <a:ext uri="{147F2762-F138-4A5C-976F-8EAC2B608ADB}">
              <a16:predDERef xmlns:a16="http://schemas.microsoft.com/office/drawing/2014/main" xmlns="" pre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  <a:ext uri="{147F2762-F138-4A5C-976F-8EAC2B608ADB}">
              <a16:predDERef xmlns:a16="http://schemas.microsoft.com/office/drawing/2014/main" xmlns="" pre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  <a:ext uri="{147F2762-F138-4A5C-976F-8EAC2B608ADB}">
              <a16:predDERef xmlns:a16="http://schemas.microsoft.com/office/drawing/2014/main" xmlns="" pre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2023\JAN%202023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2022\NOV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Utility%20Budget%202021%20Zero%20Occupanc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2021\JULY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tanks"/>
      <sheetName val="WATER"/>
      <sheetName val="General information "/>
      <sheetName val="GEN"/>
      <sheetName val="EDl log"/>
      <sheetName val="graphic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2020</v>
          </cell>
          <cell r="G34">
            <v>292</v>
          </cell>
          <cell r="I34">
            <v>540</v>
          </cell>
          <cell r="K34">
            <v>1060</v>
          </cell>
          <cell r="M34">
            <v>1094</v>
          </cell>
          <cell r="N34">
            <v>5006</v>
          </cell>
          <cell r="O34">
            <v>0</v>
          </cell>
          <cell r="Q34">
            <v>5065.9999999988941</v>
          </cell>
          <cell r="R34">
            <v>-59.999999998894054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33502</v>
          </cell>
          <cell r="X34">
            <v>0</v>
          </cell>
          <cell r="Y34">
            <v>1001284</v>
          </cell>
          <cell r="Z34">
            <v>0</v>
          </cell>
          <cell r="AA34">
            <v>36804</v>
          </cell>
          <cell r="AB34">
            <v>0</v>
          </cell>
          <cell r="AC34">
            <v>1173391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C35">
            <v>241</v>
          </cell>
          <cell r="D35">
            <v>5.5</v>
          </cell>
          <cell r="E35">
            <v>46.09</v>
          </cell>
          <cell r="F35">
            <v>2382</v>
          </cell>
          <cell r="G35">
            <v>1</v>
          </cell>
          <cell r="H35">
            <v>54048</v>
          </cell>
          <cell r="I35">
            <v>53</v>
          </cell>
          <cell r="J35">
            <v>53</v>
          </cell>
          <cell r="K35">
            <v>2490</v>
          </cell>
          <cell r="L35">
            <v>0</v>
          </cell>
          <cell r="N35">
            <v>63</v>
          </cell>
          <cell r="O35">
            <v>2251</v>
          </cell>
          <cell r="P35">
            <v>2254</v>
          </cell>
          <cell r="Q35">
            <v>188186</v>
          </cell>
          <cell r="R35">
            <v>128</v>
          </cell>
          <cell r="S35">
            <v>2</v>
          </cell>
          <cell r="T35">
            <v>0</v>
          </cell>
          <cell r="U35">
            <v>3</v>
          </cell>
          <cell r="V35">
            <v>244</v>
          </cell>
          <cell r="W35">
            <v>0</v>
          </cell>
          <cell r="X35">
            <v>2498</v>
          </cell>
          <cell r="Y35">
            <v>0</v>
          </cell>
          <cell r="Z35">
            <v>141480</v>
          </cell>
          <cell r="AA35">
            <v>0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244</v>
          </cell>
          <cell r="AJ35">
            <v>244</v>
          </cell>
          <cell r="AK35">
            <v>0</v>
          </cell>
          <cell r="AL35">
            <v>3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44957</v>
          </cell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241</v>
          </cell>
          <cell r="AA36">
            <v>2410</v>
          </cell>
          <cell r="AB36">
            <v>241</v>
          </cell>
          <cell r="AC36">
            <v>2410</v>
          </cell>
          <cell r="AD36">
            <v>241</v>
          </cell>
          <cell r="AE36">
            <v>2410</v>
          </cell>
          <cell r="AF36">
            <v>241</v>
          </cell>
          <cell r="AG36">
            <v>2410</v>
          </cell>
          <cell r="AH36">
            <v>241</v>
          </cell>
          <cell r="AI36">
            <v>2410</v>
          </cell>
          <cell r="AJ36">
            <v>241</v>
          </cell>
          <cell r="AK36">
            <v>2410</v>
          </cell>
          <cell r="AL36">
            <v>241</v>
          </cell>
          <cell r="AM36">
            <v>2410</v>
          </cell>
          <cell r="AN36">
            <v>0.86071428571428577</v>
          </cell>
          <cell r="AO36">
            <v>16870</v>
          </cell>
          <cell r="AQ36">
            <v>0.78225095157300129</v>
          </cell>
          <cell r="AR36">
            <v>72725.870967741925</v>
          </cell>
          <cell r="AS36">
            <v>-1450.0483870967728</v>
          </cell>
          <cell r="AT36">
            <v>0</v>
          </cell>
          <cell r="AU36">
            <v>0</v>
          </cell>
          <cell r="AV36">
            <v>0.91500000000000004</v>
          </cell>
          <cell r="AW36">
            <v>-244</v>
          </cell>
          <cell r="AX36">
            <v>-1206.0483870967728</v>
          </cell>
          <cell r="AY36">
            <v>-1450.0483870967728</v>
          </cell>
          <cell r="AZ36">
            <v>0</v>
          </cell>
          <cell r="BA36">
            <v>13.5</v>
          </cell>
          <cell r="BB36">
            <v>0.73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  <cell r="BJ36">
            <v>-52.436886395511863</v>
          </cell>
          <cell r="BK36">
            <v>0.18624999999995936</v>
          </cell>
        </row>
      </sheetData>
      <sheetData sheetId="5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632735</v>
          </cell>
          <cell r="H36">
            <v>73</v>
          </cell>
          <cell r="I36">
            <v>73</v>
          </cell>
          <cell r="J36">
            <v>3.3141847105612019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5202</v>
          </cell>
          <cell r="U36">
            <v>1</v>
          </cell>
          <cell r="V36">
            <v>518</v>
          </cell>
          <cell r="W36">
            <v>0</v>
          </cell>
          <cell r="X36">
            <v>156588</v>
          </cell>
          <cell r="Y36">
            <v>0</v>
          </cell>
          <cell r="Z36">
            <v>99955</v>
          </cell>
          <cell r="AA36">
            <v>57</v>
          </cell>
          <cell r="AB36">
            <v>242</v>
          </cell>
          <cell r="AC36">
            <v>855</v>
          </cell>
          <cell r="AD36">
            <v>0</v>
          </cell>
          <cell r="AE36">
            <v>262.47000000000003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57</v>
          </cell>
          <cell r="AK36">
            <v>0</v>
          </cell>
          <cell r="AL36">
            <v>57</v>
          </cell>
          <cell r="AM36">
            <v>13.5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114</v>
          </cell>
          <cell r="AU36">
            <v>1.1000000000000001</v>
          </cell>
          <cell r="AV36">
            <v>101</v>
          </cell>
          <cell r="AW36">
            <v>2.9</v>
          </cell>
          <cell r="AX36">
            <v>98</v>
          </cell>
          <cell r="AY36">
            <v>102.60000000000001</v>
          </cell>
          <cell r="AZ36">
            <v>111.10000000000001</v>
          </cell>
          <cell r="BA36">
            <v>284.2</v>
          </cell>
          <cell r="BB36">
            <v>-15.299999999999997</v>
          </cell>
          <cell r="BC36">
            <v>42.900000000000006</v>
          </cell>
          <cell r="BD36">
            <v>0</v>
          </cell>
          <cell r="BE36">
            <v>27.600000000000009</v>
          </cell>
          <cell r="BF36">
            <v>45.399999999999991</v>
          </cell>
          <cell r="BG36">
            <v>27.600000000000009</v>
          </cell>
        </row>
      </sheetData>
      <sheetData sheetId="6"/>
      <sheetData sheetId="7">
        <row r="33">
          <cell r="C33">
            <v>17</v>
          </cell>
          <cell r="D33">
            <v>826846</v>
          </cell>
          <cell r="E33">
            <v>1445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148</v>
          </cell>
          <cell r="K33">
            <v>0</v>
          </cell>
          <cell r="L33">
            <v>392441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13920</v>
          </cell>
          <cell r="S33">
            <v>0</v>
          </cell>
          <cell r="T33">
            <v>419262</v>
          </cell>
          <cell r="U33">
            <v>0</v>
          </cell>
          <cell r="V33">
            <v>250</v>
          </cell>
          <cell r="W33">
            <v>0</v>
          </cell>
          <cell r="X33">
            <v>14773</v>
          </cell>
          <cell r="Y33" t="str">
            <v>ok</v>
          </cell>
          <cell r="Z33">
            <v>17</v>
          </cell>
          <cell r="AA33">
            <v>1445</v>
          </cell>
          <cell r="AB33">
            <v>585</v>
          </cell>
          <cell r="AC33">
            <v>85</v>
          </cell>
          <cell r="AD33">
            <v>5065.9999999988941</v>
          </cell>
          <cell r="AE33">
            <v>297.99999999993497</v>
          </cell>
          <cell r="AF33">
            <v>0.18624999999995936</v>
          </cell>
          <cell r="AG33">
            <v>1.164062499999746E-4</v>
          </cell>
          <cell r="AH33">
            <v>84.999883593749999</v>
          </cell>
          <cell r="AI33">
            <v>1303.907172995496</v>
          </cell>
          <cell r="AJ33">
            <v>0.25738396624472576</v>
          </cell>
          <cell r="AK33">
            <v>76.700421940911525</v>
          </cell>
          <cell r="AL33">
            <v>1</v>
          </cell>
        </row>
      </sheetData>
      <sheetData sheetId="8">
        <row r="26">
          <cell r="V26">
            <v>401934</v>
          </cell>
          <cell r="W26">
            <v>401939</v>
          </cell>
          <cell r="X26" t="str">
            <v>Night</v>
          </cell>
          <cell r="Y26">
            <v>80</v>
          </cell>
          <cell r="Z26">
            <v>1</v>
          </cell>
          <cell r="AA26">
            <v>5</v>
          </cell>
          <cell r="AB26">
            <v>400</v>
          </cell>
          <cell r="AC26">
            <v>1033333</v>
          </cell>
          <cell r="AD26">
            <v>0</v>
          </cell>
        </row>
        <row r="27">
          <cell r="V27">
            <v>563190</v>
          </cell>
          <cell r="W27">
            <v>564388</v>
          </cell>
          <cell r="X27" t="str">
            <v>day</v>
          </cell>
          <cell r="Y27">
            <v>112</v>
          </cell>
          <cell r="Z27">
            <v>1</v>
          </cell>
          <cell r="AA27">
            <v>1198</v>
          </cell>
          <cell r="AB27">
            <v>134176</v>
          </cell>
          <cell r="AC27">
            <v>6200000</v>
          </cell>
          <cell r="AD27">
            <v>0.99831081081081086</v>
          </cell>
        </row>
        <row r="28">
          <cell r="V28">
            <v>161640</v>
          </cell>
          <cell r="W28">
            <v>161786</v>
          </cell>
          <cell r="X28" t="str">
            <v>Peak</v>
          </cell>
          <cell r="Y28">
            <v>320</v>
          </cell>
          <cell r="Z28">
            <v>1</v>
          </cell>
          <cell r="AA28">
            <v>146</v>
          </cell>
          <cell r="AB28">
            <v>46720</v>
          </cell>
          <cell r="AC28">
            <v>1000</v>
          </cell>
          <cell r="AD28">
            <v>0</v>
          </cell>
        </row>
        <row r="29">
          <cell r="AA29">
            <v>1349</v>
          </cell>
          <cell r="AB29">
            <v>181296</v>
          </cell>
          <cell r="AC29">
            <v>7234333</v>
          </cell>
        </row>
        <row r="30">
          <cell r="W30">
            <v>0</v>
          </cell>
          <cell r="AB30">
            <v>7415629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253</v>
          </cell>
          <cell r="X32">
            <v>63.25</v>
          </cell>
          <cell r="Y32">
            <v>63.25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815719.19000000006</v>
          </cell>
          <cell r="AC33">
            <v>7234333</v>
          </cell>
        </row>
        <row r="34">
          <cell r="B34">
            <v>1128115</v>
          </cell>
          <cell r="C34">
            <v>0</v>
          </cell>
          <cell r="D34">
            <v>0</v>
          </cell>
          <cell r="E34">
            <v>1128115</v>
          </cell>
          <cell r="F34">
            <v>161786</v>
          </cell>
          <cell r="G34">
            <v>0</v>
          </cell>
          <cell r="H34">
            <v>564388</v>
          </cell>
          <cell r="I34">
            <v>0</v>
          </cell>
          <cell r="J34">
            <v>401939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1072.177016129031</v>
          </cell>
          <cell r="R34">
            <v>1226.9800546996189</v>
          </cell>
          <cell r="S34">
            <v>5006</v>
          </cell>
          <cell r="T34">
            <v>0.24510188867351557</v>
          </cell>
          <cell r="AB34">
            <v>8231348.1900000004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4919.15688225539</v>
          </cell>
          <cell r="AC3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8">
          <cell r="AE28">
            <v>2896</v>
          </cell>
          <cell r="AF28">
            <v>12825.142857142857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8" zoomScale="80" zoomScaleNormal="80" workbookViewId="0">
      <selection activeCell="E36" sqref="E36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0</v>
      </c>
      <c r="B1" t="s">
        <v>1</v>
      </c>
      <c r="C1" t="s">
        <v>2</v>
      </c>
      <c r="D1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3">
      <c r="A2" t="s">
        <v>12</v>
      </c>
      <c r="B2">
        <v>1</v>
      </c>
      <c r="C2">
        <v>2</v>
      </c>
      <c r="D2">
        <v>2023</v>
      </c>
      <c r="E2" s="192">
        <f>ELEC!M4</f>
        <v>978</v>
      </c>
      <c r="F2" s="192">
        <f>ELEC!K4</f>
        <v>708</v>
      </c>
      <c r="G2" s="192">
        <f>ELEC!I4</f>
        <v>444</v>
      </c>
      <c r="H2" s="192">
        <f>ELEC!E4</f>
        <v>1020</v>
      </c>
      <c r="I2" s="192">
        <f>ELEC!G4</f>
        <v>314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12</v>
      </c>
      <c r="B3">
        <f>B2+1</f>
        <v>2</v>
      </c>
      <c r="C3">
        <v>2</v>
      </c>
      <c r="D3">
        <v>2023</v>
      </c>
      <c r="E3" s="192">
        <f>ELEC!M5</f>
        <v>852</v>
      </c>
      <c r="F3" s="192">
        <f>ELEC!K5</f>
        <v>898</v>
      </c>
      <c r="G3" s="192">
        <f>ELEC!I5</f>
        <v>410</v>
      </c>
      <c r="H3" s="192">
        <f>ELEC!E5</f>
        <v>640</v>
      </c>
      <c r="I3" s="192">
        <f>ELEC!G5</f>
        <v>265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12</v>
      </c>
      <c r="B4">
        <f t="shared" ref="B4:B29" si="0">B3+1</f>
        <v>3</v>
      </c>
      <c r="C4">
        <v>2</v>
      </c>
      <c r="D4">
        <v>2023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12</v>
      </c>
      <c r="B5">
        <f t="shared" si="0"/>
        <v>4</v>
      </c>
      <c r="C5">
        <v>2</v>
      </c>
      <c r="D5">
        <v>2023</v>
      </c>
      <c r="E5" s="192">
        <f>ELEC!M7</f>
        <v>0</v>
      </c>
      <c r="F5" s="192">
        <f>ELEC!K7</f>
        <v>0</v>
      </c>
      <c r="G5" s="192">
        <f>ELEC!I7</f>
        <v>0</v>
      </c>
      <c r="H5" s="192">
        <f>ELEC!E7</f>
        <v>0</v>
      </c>
      <c r="I5" s="192">
        <f>ELEC!G7</f>
        <v>0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12</v>
      </c>
      <c r="B6">
        <f t="shared" si="0"/>
        <v>5</v>
      </c>
      <c r="C6">
        <v>2</v>
      </c>
      <c r="D6">
        <v>2023</v>
      </c>
      <c r="E6" s="192">
        <f>ELEC!M8</f>
        <v>890</v>
      </c>
      <c r="F6" s="192">
        <f>ELEC!K8</f>
        <v>806</v>
      </c>
      <c r="G6" s="192">
        <f>ELEC!I8</f>
        <v>470</v>
      </c>
      <c r="H6" s="192">
        <f>ELEC!E8</f>
        <v>760</v>
      </c>
      <c r="I6" s="192">
        <f>ELEC!G8</f>
        <v>335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12</v>
      </c>
      <c r="B7">
        <f t="shared" si="0"/>
        <v>6</v>
      </c>
      <c r="C7">
        <v>2</v>
      </c>
      <c r="D7">
        <v>2023</v>
      </c>
      <c r="E7" s="192">
        <f>ELEC!M9</f>
        <v>890</v>
      </c>
      <c r="F7" s="192">
        <f>ELEC!K9</f>
        <v>810</v>
      </c>
      <c r="G7" s="192">
        <f>ELEC!I9</f>
        <v>462</v>
      </c>
      <c r="H7" s="192">
        <f>ELEC!E9</f>
        <v>780</v>
      </c>
      <c r="I7" s="192">
        <f>ELEC!G9</f>
        <v>356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12</v>
      </c>
      <c r="B8">
        <f t="shared" si="0"/>
        <v>7</v>
      </c>
      <c r="C8">
        <v>2</v>
      </c>
      <c r="D8">
        <v>2023</v>
      </c>
      <c r="E8" s="192">
        <f>ELEC!M10</f>
        <v>1112</v>
      </c>
      <c r="F8" s="192">
        <f>ELEC!K10</f>
        <v>1048</v>
      </c>
      <c r="G8" s="192">
        <f>ELEC!I10</f>
        <v>450</v>
      </c>
      <c r="H8" s="192">
        <f>ELEC!E10</f>
        <v>750</v>
      </c>
      <c r="I8" s="192">
        <f>ELEC!G10</f>
        <v>352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12</v>
      </c>
      <c r="B9">
        <f t="shared" si="0"/>
        <v>8</v>
      </c>
      <c r="C9">
        <v>2</v>
      </c>
      <c r="D9">
        <v>2023</v>
      </c>
      <c r="E9" s="192">
        <f>ELEC!M11</f>
        <v>872</v>
      </c>
      <c r="F9" s="192">
        <f>ELEC!K11</f>
        <v>874</v>
      </c>
      <c r="G9" s="192">
        <f>ELEC!I11</f>
        <v>384</v>
      </c>
      <c r="H9" s="192">
        <f>ELEC!E11</f>
        <v>1010</v>
      </c>
      <c r="I9" s="192">
        <f>ELEC!G11</f>
        <v>298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12</v>
      </c>
      <c r="B10">
        <f t="shared" si="0"/>
        <v>9</v>
      </c>
      <c r="C10">
        <v>2</v>
      </c>
      <c r="D10">
        <v>2023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12</v>
      </c>
      <c r="B11">
        <f t="shared" si="0"/>
        <v>10</v>
      </c>
      <c r="C11">
        <v>2</v>
      </c>
      <c r="D11">
        <v>2023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12</v>
      </c>
      <c r="B12">
        <f t="shared" si="0"/>
        <v>11</v>
      </c>
      <c r="C12">
        <v>2</v>
      </c>
      <c r="D12">
        <v>2023</v>
      </c>
      <c r="E12" s="192">
        <f>ELEC!M14</f>
        <v>0</v>
      </c>
      <c r="F12" s="192">
        <f>ELEC!K14</f>
        <v>0</v>
      </c>
      <c r="G12" s="192">
        <f>ELEC!I14</f>
        <v>0</v>
      </c>
      <c r="H12" s="192">
        <f>ELEC!E14</f>
        <v>0</v>
      </c>
      <c r="I12" s="192">
        <f>ELEC!G14</f>
        <v>0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12</v>
      </c>
      <c r="B13">
        <f t="shared" si="0"/>
        <v>12</v>
      </c>
      <c r="C13">
        <v>2</v>
      </c>
      <c r="D13">
        <v>2023</v>
      </c>
      <c r="E13" s="192">
        <f>ELEC!M15</f>
        <v>820</v>
      </c>
      <c r="F13" s="192">
        <f>ELEC!K15</f>
        <v>680</v>
      </c>
      <c r="G13" s="192">
        <f>ELEC!I15</f>
        <v>408</v>
      </c>
      <c r="H13" s="192">
        <f>ELEC!E15</f>
        <v>800</v>
      </c>
      <c r="I13" s="192">
        <f>ELEC!G15</f>
        <v>295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12</v>
      </c>
      <c r="B14">
        <f t="shared" si="0"/>
        <v>13</v>
      </c>
      <c r="C14">
        <v>2</v>
      </c>
      <c r="D14">
        <v>2023</v>
      </c>
      <c r="E14" s="192">
        <f>ELEC!M16</f>
        <v>866</v>
      </c>
      <c r="F14" s="192">
        <f>ELEC!K16</f>
        <v>780</v>
      </c>
      <c r="G14" s="192">
        <f>ELEC!I16</f>
        <v>464</v>
      </c>
      <c r="H14" s="192">
        <f>ELEC!E16</f>
        <v>710</v>
      </c>
      <c r="I14" s="192">
        <f>ELEC!G16</f>
        <v>405</v>
      </c>
      <c r="J14" s="192">
        <f>WATER!Y18</f>
        <v>0</v>
      </c>
      <c r="K14" s="192">
        <f>WATER!AJ18</f>
        <v>-57</v>
      </c>
      <c r="L14" s="10">
        <f>ELEC!B16</f>
        <v>0</v>
      </c>
      <c r="M14" s="10"/>
    </row>
    <row r="15" spans="1:13">
      <c r="A15" t="s">
        <v>12</v>
      </c>
      <c r="B15">
        <f t="shared" si="0"/>
        <v>14</v>
      </c>
      <c r="C15">
        <v>2</v>
      </c>
      <c r="D15">
        <v>2023</v>
      </c>
      <c r="E15" s="192">
        <f>ELEC!M17</f>
        <v>686</v>
      </c>
      <c r="F15" s="192">
        <f>ELEC!K17</f>
        <v>694</v>
      </c>
      <c r="G15" s="192">
        <f>ELEC!I17</f>
        <v>384</v>
      </c>
      <c r="H15" s="192">
        <f>ELEC!E17</f>
        <v>660</v>
      </c>
      <c r="I15" s="192">
        <f>ELEC!G17</f>
        <v>364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12</v>
      </c>
      <c r="B16">
        <f t="shared" si="0"/>
        <v>15</v>
      </c>
      <c r="C16">
        <v>2</v>
      </c>
      <c r="D16">
        <v>2023</v>
      </c>
      <c r="E16" s="192">
        <f>ELEC!M18</f>
        <v>516</v>
      </c>
      <c r="F16" s="192">
        <f>ELEC!K18</f>
        <v>550</v>
      </c>
      <c r="G16" s="192">
        <f>ELEC!I18</f>
        <v>332</v>
      </c>
      <c r="H16" s="192">
        <f>ELEC!E18</f>
        <v>600</v>
      </c>
      <c r="I16" s="192">
        <f>ELEC!G18</f>
        <v>307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12</v>
      </c>
      <c r="B17">
        <f t="shared" si="0"/>
        <v>16</v>
      </c>
      <c r="C17">
        <v>2</v>
      </c>
      <c r="D17">
        <v>2023</v>
      </c>
      <c r="E17" s="192">
        <f>ELEC!M19</f>
        <v>680</v>
      </c>
      <c r="F17" s="192">
        <f>ELEC!K19</f>
        <v>696</v>
      </c>
      <c r="G17" s="192">
        <f>ELEC!I19</f>
        <v>408</v>
      </c>
      <c r="H17" s="192">
        <f>ELEC!E19</f>
        <v>660</v>
      </c>
      <c r="I17" s="192">
        <f>ELEC!G19</f>
        <v>345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12</v>
      </c>
      <c r="B18">
        <f t="shared" si="0"/>
        <v>17</v>
      </c>
      <c r="C18">
        <v>2</v>
      </c>
      <c r="D18">
        <v>2023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12</v>
      </c>
      <c r="B19">
        <f t="shared" si="0"/>
        <v>18</v>
      </c>
      <c r="C19">
        <v>2</v>
      </c>
      <c r="D19">
        <v>2023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12</v>
      </c>
      <c r="B20">
        <f t="shared" si="0"/>
        <v>19</v>
      </c>
      <c r="C20">
        <v>2</v>
      </c>
      <c r="D20">
        <v>2023</v>
      </c>
      <c r="E20" s="192">
        <f>ELEC!M22</f>
        <v>774</v>
      </c>
      <c r="F20" s="192">
        <f>ELEC!K22</f>
        <v>674</v>
      </c>
      <c r="G20" s="192">
        <f>ELEC!I22</f>
        <v>430</v>
      </c>
      <c r="H20" s="192">
        <f>ELEC!E22</f>
        <v>590</v>
      </c>
      <c r="I20" s="192">
        <f>ELEC!G22</f>
        <v>331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12</v>
      </c>
      <c r="B21">
        <f t="shared" si="0"/>
        <v>20</v>
      </c>
      <c r="C21">
        <v>2</v>
      </c>
      <c r="D21">
        <v>2023</v>
      </c>
      <c r="E21" s="192">
        <f>ELEC!M23</f>
        <v>794</v>
      </c>
      <c r="F21" s="192">
        <f>ELEC!K23</f>
        <v>738</v>
      </c>
      <c r="G21" s="192">
        <f>ELEC!I23</f>
        <v>408</v>
      </c>
      <c r="H21" s="192">
        <f>ELEC!E23</f>
        <v>520</v>
      </c>
      <c r="I21" s="192">
        <f>ELEC!G23</f>
        <v>308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12</v>
      </c>
      <c r="B22">
        <f t="shared" si="0"/>
        <v>21</v>
      </c>
      <c r="C22">
        <v>2</v>
      </c>
      <c r="D22">
        <v>2023</v>
      </c>
      <c r="E22" s="192">
        <f>ELEC!M24</f>
        <v>684</v>
      </c>
      <c r="F22" s="192">
        <f>ELEC!K24</f>
        <v>704</v>
      </c>
      <c r="G22" s="192">
        <f>ELEC!I24</f>
        <v>394</v>
      </c>
      <c r="H22" s="192">
        <f>ELEC!E24</f>
        <v>590</v>
      </c>
      <c r="I22" s="192">
        <f>ELEC!G24</f>
        <v>310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12</v>
      </c>
      <c r="B23">
        <f t="shared" si="0"/>
        <v>22</v>
      </c>
      <c r="C23">
        <v>2</v>
      </c>
      <c r="D23">
        <v>2023</v>
      </c>
      <c r="E23" s="192">
        <f>ELEC!M25</f>
        <v>660</v>
      </c>
      <c r="F23" s="192">
        <f>ELEC!K25</f>
        <v>662</v>
      </c>
      <c r="G23" s="192">
        <f>ELEC!I25</f>
        <v>394</v>
      </c>
      <c r="H23" s="192">
        <f>ELEC!E25</f>
        <v>500</v>
      </c>
      <c r="I23" s="192">
        <f>ELEC!G25</f>
        <v>305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12</v>
      </c>
      <c r="B24">
        <f t="shared" si="0"/>
        <v>23</v>
      </c>
      <c r="C24">
        <v>2</v>
      </c>
      <c r="D24">
        <v>2023</v>
      </c>
      <c r="E24" s="192">
        <f>ELEC!M26</f>
        <v>756</v>
      </c>
      <c r="F24" s="192">
        <f>ELEC!K26</f>
        <v>794</v>
      </c>
      <c r="G24" s="192">
        <f>ELEC!I26</f>
        <v>442</v>
      </c>
      <c r="H24" s="192">
        <f>ELEC!E26</f>
        <v>560</v>
      </c>
      <c r="I24" s="192">
        <f>ELEC!G26</f>
        <v>342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12</v>
      </c>
      <c r="B25">
        <f t="shared" si="0"/>
        <v>24</v>
      </c>
      <c r="C25">
        <v>2</v>
      </c>
      <c r="D25">
        <v>2023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12</v>
      </c>
      <c r="B26">
        <f>B25+1</f>
        <v>25</v>
      </c>
      <c r="C26">
        <v>2</v>
      </c>
      <c r="D26">
        <v>2023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12</v>
      </c>
      <c r="B27">
        <f t="shared" si="0"/>
        <v>26</v>
      </c>
      <c r="C27">
        <v>2</v>
      </c>
      <c r="D27">
        <v>2023</v>
      </c>
      <c r="E27" s="192">
        <f>ELEC!M29</f>
        <v>804</v>
      </c>
      <c r="F27" s="192">
        <f>ELEC!K29</f>
        <v>756</v>
      </c>
      <c r="G27" s="192">
        <f>ELEC!I29</f>
        <v>444</v>
      </c>
      <c r="H27" s="192">
        <f>ELEC!E29</f>
        <v>520</v>
      </c>
      <c r="I27" s="192">
        <f>ELEC!G29</f>
        <v>356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12</v>
      </c>
      <c r="B28">
        <f t="shared" si="0"/>
        <v>27</v>
      </c>
      <c r="C28">
        <v>2</v>
      </c>
      <c r="D28">
        <v>2023</v>
      </c>
      <c r="E28" s="192">
        <f>ELEC!M30</f>
        <v>752</v>
      </c>
      <c r="F28" s="192">
        <f>ELEC!K30</f>
        <v>646</v>
      </c>
      <c r="G28" s="192">
        <f>ELEC!I30</f>
        <v>428</v>
      </c>
      <c r="H28" s="192">
        <f>ELEC!E30</f>
        <v>770</v>
      </c>
      <c r="I28" s="192">
        <f>ELEC!G30</f>
        <v>342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12</v>
      </c>
      <c r="B29">
        <f t="shared" si="0"/>
        <v>28</v>
      </c>
      <c r="C29">
        <v>2</v>
      </c>
      <c r="D29">
        <v>2023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12</v>
      </c>
      <c r="E30" s="192"/>
      <c r="F30" s="192"/>
      <c r="G30" s="192"/>
      <c r="H30" s="192"/>
      <c r="I30" s="192"/>
      <c r="J30" s="192"/>
      <c r="K30" s="192"/>
      <c r="L30" s="10"/>
    </row>
    <row r="31" spans="1:13">
      <c r="A31" t="s">
        <v>12</v>
      </c>
      <c r="E31" s="192"/>
      <c r="F31" s="192"/>
      <c r="G31" s="192"/>
      <c r="H31" s="192"/>
      <c r="I31" s="192"/>
      <c r="J31" s="192"/>
      <c r="K31" s="192"/>
      <c r="L31" s="10"/>
    </row>
    <row r="32" spans="1:13">
      <c r="A32" t="s">
        <v>12</v>
      </c>
      <c r="E32" s="192"/>
      <c r="F32" s="192"/>
      <c r="G32" s="192"/>
      <c r="H32" s="192"/>
      <c r="I32" s="192"/>
      <c r="J32" s="192"/>
      <c r="K32" s="192"/>
      <c r="L32" s="10"/>
    </row>
    <row r="45" spans="4:4">
      <c r="D45" t="s">
        <v>13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2" zoomScale="70" zoomScaleNormal="70" workbookViewId="0">
      <selection activeCell="G2" sqref="G2:G29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97" bestFit="1" customWidth="1"/>
    <col min="13" max="13" width="12.26953125" style="97" customWidth="1"/>
    <col min="14" max="14" width="12.26953125" style="417" customWidth="1"/>
    <col min="15" max="15" width="11.7265625" bestFit="1" customWidth="1"/>
  </cols>
  <sheetData>
    <row r="1" spans="1:15" ht="43.5">
      <c r="A1" s="491" t="s">
        <v>0</v>
      </c>
      <c r="B1" s="491" t="s">
        <v>1</v>
      </c>
      <c r="C1" s="491" t="s">
        <v>2</v>
      </c>
      <c r="D1" s="491" t="s">
        <v>3</v>
      </c>
      <c r="E1" s="492" t="s">
        <v>14</v>
      </c>
      <c r="F1" s="492" t="s">
        <v>15</v>
      </c>
      <c r="G1" s="492" t="s">
        <v>16</v>
      </c>
      <c r="H1" s="492" t="s">
        <v>17</v>
      </c>
      <c r="I1" s="492" t="s">
        <v>18</v>
      </c>
      <c r="J1" s="492" t="s">
        <v>19</v>
      </c>
      <c r="K1" s="492" t="s">
        <v>20</v>
      </c>
      <c r="L1" s="492" t="s">
        <v>21</v>
      </c>
      <c r="M1" s="493" t="s">
        <v>22</v>
      </c>
      <c r="N1" s="415" t="s">
        <v>23</v>
      </c>
      <c r="O1" s="492" t="s">
        <v>11</v>
      </c>
    </row>
    <row r="2" spans="1:15">
      <c r="A2" t="s">
        <v>12</v>
      </c>
      <c r="B2">
        <v>1</v>
      </c>
      <c r="C2">
        <v>2</v>
      </c>
      <c r="D2">
        <v>2023</v>
      </c>
      <c r="E2" s="192">
        <f>ELEC!N4</f>
        <v>3464</v>
      </c>
      <c r="F2" s="281">
        <f>SUM('EDl log'!T4)</f>
        <v>0.48931279560776031</v>
      </c>
      <c r="G2" s="192">
        <f>-tanks!AW6</f>
        <v>49</v>
      </c>
      <c r="H2" s="524">
        <f>tanks!AV6</f>
        <v>0.91500000000000004</v>
      </c>
      <c r="I2" s="10">
        <f>('B5'!AU4)*0.51</f>
        <v>0</v>
      </c>
      <c r="J2" s="264">
        <f>'B5'!AX4/0.51</f>
        <v>1.5686274509803921</v>
      </c>
      <c r="K2" s="192">
        <f>WATER!I6</f>
        <v>0</v>
      </c>
      <c r="L2" s="282">
        <f>SUM(WATER!J6)</f>
        <v>0</v>
      </c>
      <c r="M2" s="282">
        <f>WATER!Q6</f>
        <v>0</v>
      </c>
      <c r="N2" s="416">
        <v>0.6</v>
      </c>
      <c r="O2" s="10">
        <f>ELEC!B4</f>
        <v>0</v>
      </c>
    </row>
    <row r="3" spans="1:15">
      <c r="A3" t="s">
        <v>12</v>
      </c>
      <c r="B3">
        <f>B2+1</f>
        <v>2</v>
      </c>
      <c r="C3">
        <v>2</v>
      </c>
      <c r="D3">
        <v>2023</v>
      </c>
      <c r="E3" s="192">
        <f>ELEC!N5</f>
        <v>3065</v>
      </c>
      <c r="F3" s="281">
        <f>SUM('EDl log'!T5)</f>
        <v>0.2465768713460019</v>
      </c>
      <c r="G3" s="192">
        <f>-tanks!AW7</f>
        <v>548</v>
      </c>
      <c r="H3" s="524">
        <f>tanks!AV7</f>
        <v>0.91500000000000004</v>
      </c>
      <c r="I3" s="10">
        <f>('B5'!AU5)*0.51</f>
        <v>0</v>
      </c>
      <c r="J3" s="264">
        <f>'B5'!AX5/0.51</f>
        <v>1.5686274509803921</v>
      </c>
      <c r="K3" s="192">
        <f>WATER!I7</f>
        <v>0</v>
      </c>
      <c r="L3" s="282">
        <f>SUM(WATER!J7)</f>
        <v>0</v>
      </c>
      <c r="M3" s="282">
        <f>WATER!Q7</f>
        <v>0</v>
      </c>
      <c r="N3" s="416">
        <v>0.6</v>
      </c>
      <c r="O3" s="10">
        <f>ELEC!B5</f>
        <v>0</v>
      </c>
    </row>
    <row r="4" spans="1:15">
      <c r="A4" t="s">
        <v>12</v>
      </c>
      <c r="B4">
        <f t="shared" ref="B4:B29" si="0">B3+1</f>
        <v>3</v>
      </c>
      <c r="C4">
        <v>2</v>
      </c>
      <c r="D4">
        <v>2023</v>
      </c>
      <c r="E4" s="192">
        <f>ELEC!N6</f>
        <v>0</v>
      </c>
      <c r="F4" s="281">
        <f>SUM('EDl log'!T6)</f>
        <v>0</v>
      </c>
      <c r="G4" s="192">
        <f>-tanks!AW8</f>
        <v>0.59999999997671694</v>
      </c>
      <c r="H4" s="524">
        <f>tanks!AV8</f>
        <v>0.91500000000000004</v>
      </c>
      <c r="I4" s="10">
        <f>('B5'!AU6)*0.51</f>
        <v>0</v>
      </c>
      <c r="J4" s="264">
        <f>'B5'!AX6/0.51</f>
        <v>1.5686274509803921</v>
      </c>
      <c r="K4" s="192">
        <f>WATER!I8</f>
        <v>0</v>
      </c>
      <c r="L4" s="282">
        <f>SUM(WATER!J8)</f>
        <v>0</v>
      </c>
      <c r="M4" s="282">
        <f>WATER!Q8</f>
        <v>0</v>
      </c>
      <c r="N4" s="416">
        <v>0.6</v>
      </c>
      <c r="O4" s="10">
        <f>ELEC!B6</f>
        <v>0</v>
      </c>
    </row>
    <row r="5" spans="1:15">
      <c r="A5" t="s">
        <v>12</v>
      </c>
      <c r="B5">
        <f t="shared" si="0"/>
        <v>4</v>
      </c>
      <c r="C5">
        <v>2</v>
      </c>
      <c r="D5">
        <v>2023</v>
      </c>
      <c r="E5" s="192">
        <f>ELEC!N7</f>
        <v>0</v>
      </c>
      <c r="F5" s="281">
        <f>SUM('EDl log'!T7)</f>
        <v>0</v>
      </c>
      <c r="G5" s="192">
        <f>-tanks!AW9</f>
        <v>0</v>
      </c>
      <c r="H5" s="524">
        <f>tanks!AV9</f>
        <v>0.91500000000000004</v>
      </c>
      <c r="I5" s="10">
        <f>('B5'!AU7)*0.51</f>
        <v>0</v>
      </c>
      <c r="J5" s="264">
        <f>'B5'!AX7/0.51</f>
        <v>1.5686274509803921</v>
      </c>
      <c r="K5" s="192">
        <f>WATER!I9</f>
        <v>0</v>
      </c>
      <c r="L5" s="282">
        <f>SUM(WATER!J9)</f>
        <v>0</v>
      </c>
      <c r="M5" s="282">
        <f>WATER!Q9</f>
        <v>0</v>
      </c>
      <c r="N5" s="416">
        <v>0.6</v>
      </c>
      <c r="O5" s="10">
        <f>ELEC!B7</f>
        <v>0</v>
      </c>
    </row>
    <row r="6" spans="1:15">
      <c r="A6" t="s">
        <v>12</v>
      </c>
      <c r="B6">
        <f t="shared" si="0"/>
        <v>5</v>
      </c>
      <c r="C6">
        <v>2</v>
      </c>
      <c r="D6">
        <v>2023</v>
      </c>
      <c r="E6" s="192">
        <f>ELEC!N8</f>
        <v>3261</v>
      </c>
      <c r="F6" s="281">
        <f>SUM('EDl log'!T8)</f>
        <v>0.3228467067388901</v>
      </c>
      <c r="G6" s="192">
        <f>-tanks!AW10</f>
        <v>203</v>
      </c>
      <c r="H6" s="524">
        <f>tanks!AV10</f>
        <v>0.91500000000000004</v>
      </c>
      <c r="I6" s="10">
        <f>('B5'!AU8)*0.51</f>
        <v>0</v>
      </c>
      <c r="J6" s="264">
        <f>'B5'!AX8/0.51</f>
        <v>1.5686274509803921</v>
      </c>
      <c r="K6" s="192">
        <f>WATER!I10</f>
        <v>0</v>
      </c>
      <c r="L6" s="282">
        <f>SUM(WATER!J10)</f>
        <v>0</v>
      </c>
      <c r="M6" s="282">
        <f>WATER!Q10</f>
        <v>0</v>
      </c>
      <c r="N6" s="416">
        <v>0.6</v>
      </c>
      <c r="O6" s="10">
        <f>ELEC!B8</f>
        <v>0</v>
      </c>
    </row>
    <row r="7" spans="1:15">
      <c r="A7" t="s">
        <v>12</v>
      </c>
      <c r="B7">
        <f t="shared" si="0"/>
        <v>6</v>
      </c>
      <c r="C7">
        <v>2</v>
      </c>
      <c r="D7">
        <v>2023</v>
      </c>
      <c r="E7" s="192">
        <f>ELEC!N9</f>
        <v>3298</v>
      </c>
      <c r="F7" s="281">
        <f>SUM('EDl log'!T9)</f>
        <v>0.37908155510612107</v>
      </c>
      <c r="G7" s="192">
        <f>-tanks!AW11</f>
        <v>280.40000000002328</v>
      </c>
      <c r="H7" s="524">
        <f>tanks!AV11</f>
        <v>0.91500000000000004</v>
      </c>
      <c r="I7" s="10">
        <f>('B5'!AU9)*0.51</f>
        <v>0</v>
      </c>
      <c r="J7" s="264">
        <f>'B5'!AX9/0.51</f>
        <v>1.5686274509803921</v>
      </c>
      <c r="K7" s="192">
        <f>WATER!I11</f>
        <v>0</v>
      </c>
      <c r="L7" s="282">
        <f>SUM(WATER!J11)</f>
        <v>0</v>
      </c>
      <c r="M7" s="282">
        <f>WATER!Q11</f>
        <v>0</v>
      </c>
      <c r="N7" s="416">
        <v>0.6</v>
      </c>
      <c r="O7" s="10">
        <f>ELEC!B9</f>
        <v>0</v>
      </c>
    </row>
    <row r="8" spans="1:15">
      <c r="A8" t="s">
        <v>12</v>
      </c>
      <c r="B8">
        <f t="shared" si="0"/>
        <v>7</v>
      </c>
      <c r="C8">
        <v>2</v>
      </c>
      <c r="D8">
        <v>2023</v>
      </c>
      <c r="E8" s="192">
        <f>ELEC!N10</f>
        <v>3712</v>
      </c>
      <c r="F8" s="281">
        <f>SUM('EDl log'!T10)</f>
        <v>0.34130236226832267</v>
      </c>
      <c r="G8" s="192">
        <f>-tanks!AW12</f>
        <v>191</v>
      </c>
      <c r="H8" s="524">
        <f>tanks!AV12</f>
        <v>0.91500000000000004</v>
      </c>
      <c r="I8" s="10">
        <f>('B5'!AU10)*0.51</f>
        <v>0</v>
      </c>
      <c r="J8" s="264">
        <f>'B5'!AX10/0.51</f>
        <v>1.5686274509803921</v>
      </c>
      <c r="K8" s="192">
        <f>WATER!I12</f>
        <v>0</v>
      </c>
      <c r="L8" s="282">
        <f>SUM(WATER!J12)</f>
        <v>0</v>
      </c>
      <c r="M8" s="282">
        <f>WATER!Q12</f>
        <v>0</v>
      </c>
      <c r="N8" s="416">
        <v>0.6</v>
      </c>
      <c r="O8" s="10">
        <f>ELEC!B10</f>
        <v>0</v>
      </c>
    </row>
    <row r="9" spans="1:15">
      <c r="A9" t="s">
        <v>12</v>
      </c>
      <c r="B9">
        <f t="shared" si="0"/>
        <v>8</v>
      </c>
      <c r="C9">
        <v>2</v>
      </c>
      <c r="D9">
        <v>2023</v>
      </c>
      <c r="E9" s="192">
        <f>ELEC!N11</f>
        <v>3438</v>
      </c>
      <c r="F9" s="281">
        <f>SUM('EDl log'!T11)</f>
        <v>2.6149855333061803E-2</v>
      </c>
      <c r="G9" s="192">
        <f>-tanks!AW13</f>
        <v>321</v>
      </c>
      <c r="H9" s="524">
        <f>tanks!AV13</f>
        <v>0.86799999999999999</v>
      </c>
      <c r="I9" s="10">
        <f>('B5'!AU11)*0.51</f>
        <v>0</v>
      </c>
      <c r="J9" s="264">
        <f>'B5'!AX11/0.51</f>
        <v>1.5686274509803921</v>
      </c>
      <c r="K9" s="192">
        <f>WATER!I13</f>
        <v>7</v>
      </c>
      <c r="L9" s="282">
        <f>SUM(WATER!J13)</f>
        <v>38.265306122448976</v>
      </c>
      <c r="M9" s="282">
        <f>WATER!Q13</f>
        <v>0</v>
      </c>
      <c r="N9" s="416">
        <v>0.6</v>
      </c>
      <c r="O9" s="10">
        <f>ELEC!B11</f>
        <v>0</v>
      </c>
    </row>
    <row r="10" spans="1:15">
      <c r="A10" t="s">
        <v>12</v>
      </c>
      <c r="B10">
        <f t="shared" si="0"/>
        <v>9</v>
      </c>
      <c r="C10">
        <v>2</v>
      </c>
      <c r="D10">
        <v>2023</v>
      </c>
      <c r="E10" s="192">
        <f>ELEC!N12</f>
        <v>0</v>
      </c>
      <c r="F10" s="281">
        <f>SUM('EDl log'!T12)</f>
        <v>0</v>
      </c>
      <c r="G10" s="192">
        <f>-tanks!AW14</f>
        <v>0</v>
      </c>
      <c r="H10" s="524">
        <f>tanks!AV14</f>
        <v>0.86799999999999999</v>
      </c>
      <c r="I10" s="10">
        <f>('B5'!AU12)*0.51</f>
        <v>0</v>
      </c>
      <c r="J10" s="264">
        <f>'B5'!AX12/0.51</f>
        <v>1.5686274509803921</v>
      </c>
      <c r="K10" s="192">
        <f>WATER!I14</f>
        <v>0</v>
      </c>
      <c r="L10" s="282">
        <f>SUM(WATER!J14)</f>
        <v>0</v>
      </c>
      <c r="M10" s="282">
        <f>WATER!Q14</f>
        <v>0</v>
      </c>
      <c r="N10" s="416">
        <v>0.6</v>
      </c>
      <c r="O10" s="10">
        <f>ELEC!B12</f>
        <v>0</v>
      </c>
    </row>
    <row r="11" spans="1:15">
      <c r="A11" t="s">
        <v>12</v>
      </c>
      <c r="B11">
        <f t="shared" si="0"/>
        <v>10</v>
      </c>
      <c r="C11">
        <v>2</v>
      </c>
      <c r="D11">
        <v>2023</v>
      </c>
      <c r="E11" s="192">
        <f>ELEC!N13</f>
        <v>0</v>
      </c>
      <c r="F11" s="281">
        <f>SUM('EDl log'!T13)</f>
        <v>0</v>
      </c>
      <c r="G11" s="192">
        <f>-tanks!AW15</f>
        <v>0</v>
      </c>
      <c r="H11" s="524">
        <f>tanks!AV15</f>
        <v>0.86799999999999999</v>
      </c>
      <c r="I11" s="10">
        <f>('B5'!AU13)*0.51</f>
        <v>0</v>
      </c>
      <c r="J11" s="264">
        <f>'B5'!AX13/0.51</f>
        <v>1.5686274509803921</v>
      </c>
      <c r="K11" s="192">
        <f>WATER!I15</f>
        <v>0</v>
      </c>
      <c r="L11" s="282">
        <f>SUM(WATER!J15)</f>
        <v>0</v>
      </c>
      <c r="M11" s="282">
        <f>WATER!Q15</f>
        <v>0</v>
      </c>
      <c r="N11" s="416">
        <v>0.6</v>
      </c>
      <c r="O11" s="10">
        <f>ELEC!B13</f>
        <v>0</v>
      </c>
    </row>
    <row r="12" spans="1:15">
      <c r="A12" t="s">
        <v>12</v>
      </c>
      <c r="B12">
        <f t="shared" si="0"/>
        <v>11</v>
      </c>
      <c r="C12">
        <v>2</v>
      </c>
      <c r="D12">
        <v>2023</v>
      </c>
      <c r="E12" s="192">
        <f>ELEC!N14</f>
        <v>0</v>
      </c>
      <c r="F12" s="281">
        <f>SUM('EDl log'!T14)</f>
        <v>0</v>
      </c>
      <c r="G12" s="192">
        <f>-tanks!AW16</f>
        <v>0</v>
      </c>
      <c r="H12" s="524">
        <f>tanks!AV16</f>
        <v>0.86799999999999999</v>
      </c>
      <c r="I12" s="10">
        <f>('B5'!AU14)*0.51</f>
        <v>0</v>
      </c>
      <c r="J12" s="264">
        <f>'B5'!AX14/0.51</f>
        <v>1.5686274509803921</v>
      </c>
      <c r="K12" s="192">
        <f>WATER!I16</f>
        <v>0</v>
      </c>
      <c r="L12" s="282">
        <f>SUM(WATER!J16)</f>
        <v>0</v>
      </c>
      <c r="M12" s="282">
        <f>WATER!Q16</f>
        <v>0</v>
      </c>
      <c r="N12" s="416">
        <v>0.6</v>
      </c>
      <c r="O12" s="10">
        <f>ELEC!B14</f>
        <v>0</v>
      </c>
    </row>
    <row r="13" spans="1:15">
      <c r="A13" t="s">
        <v>12</v>
      </c>
      <c r="B13">
        <f t="shared" si="0"/>
        <v>12</v>
      </c>
      <c r="C13">
        <v>2</v>
      </c>
      <c r="D13">
        <v>2023</v>
      </c>
      <c r="E13" s="192">
        <f>ELEC!N15</f>
        <v>3003</v>
      </c>
      <c r="F13" s="281">
        <f>SUM('EDl log'!T15)</f>
        <v>0.31436542415584667</v>
      </c>
      <c r="G13" s="192">
        <f>-tanks!AW17</f>
        <v>636</v>
      </c>
      <c r="H13" s="524">
        <f>tanks!AV17</f>
        <v>0.86799999999999999</v>
      </c>
      <c r="I13" s="10">
        <f>('B5'!AU15)*0.51</f>
        <v>0</v>
      </c>
      <c r="J13" s="264">
        <f>'B5'!AX15/0.51</f>
        <v>1.5686274509803921</v>
      </c>
      <c r="K13" s="192">
        <f>WATER!I17</f>
        <v>368</v>
      </c>
      <c r="L13" s="282">
        <f>SUM(WATER!J17)</f>
        <v>0.72787267080745333</v>
      </c>
      <c r="M13" s="282">
        <f>WATER!Q17</f>
        <v>0</v>
      </c>
      <c r="N13" s="416">
        <v>0.6</v>
      </c>
      <c r="O13" s="10">
        <f>ELEC!B15</f>
        <v>0</v>
      </c>
    </row>
    <row r="14" spans="1:15">
      <c r="A14" t="s">
        <v>12</v>
      </c>
      <c r="B14">
        <f t="shared" si="0"/>
        <v>13</v>
      </c>
      <c r="C14">
        <v>2</v>
      </c>
      <c r="D14">
        <v>2023</v>
      </c>
      <c r="E14" s="192">
        <f>ELEC!N16</f>
        <v>3225</v>
      </c>
      <c r="F14" s="281">
        <f>SUM('EDl log'!T16)</f>
        <v>0.26566600080960745</v>
      </c>
      <c r="G14" s="192">
        <f>-tanks!AW18</f>
        <v>124</v>
      </c>
      <c r="H14" s="524">
        <f>tanks!AV18</f>
        <v>0.86799999999999999</v>
      </c>
      <c r="I14" s="10">
        <f>('B5'!AU16)*0.51</f>
        <v>0</v>
      </c>
      <c r="J14" s="264">
        <f>'B5'!AX16/0.51</f>
        <v>1.5686274509803921</v>
      </c>
      <c r="K14" s="192">
        <f>WATER!I18</f>
        <v>0</v>
      </c>
      <c r="L14" s="282">
        <f>SUM(WATER!J18)</f>
        <v>0</v>
      </c>
      <c r="M14" s="282">
        <f>WATER!Q18</f>
        <v>0</v>
      </c>
      <c r="N14" s="416">
        <v>0.6</v>
      </c>
      <c r="O14" s="10">
        <f>ELEC!B16</f>
        <v>0</v>
      </c>
    </row>
    <row r="15" spans="1:15">
      <c r="A15" t="s">
        <v>12</v>
      </c>
      <c r="B15">
        <f t="shared" si="0"/>
        <v>14</v>
      </c>
      <c r="C15">
        <v>2</v>
      </c>
      <c r="D15">
        <v>2023</v>
      </c>
      <c r="E15" s="192">
        <f>ELEC!N17</f>
        <v>2788</v>
      </c>
      <c r="F15" s="281">
        <f>SUM('EDl log'!T17)</f>
        <v>0.35312052526543014</v>
      </c>
      <c r="G15" s="192">
        <f>-tanks!AW19</f>
        <v>300</v>
      </c>
      <c r="H15" s="524">
        <f>tanks!AV19</f>
        <v>0.86799999999999999</v>
      </c>
      <c r="I15" s="10">
        <f>('B5'!AU17)*0.51</f>
        <v>0</v>
      </c>
      <c r="J15" s="264">
        <f>'B5'!AX17/0.51</f>
        <v>1.5686274509803921</v>
      </c>
      <c r="K15" s="192">
        <f>WATER!I19</f>
        <v>0</v>
      </c>
      <c r="L15" s="282">
        <f>SUM(WATER!J19)</f>
        <v>0</v>
      </c>
      <c r="M15" s="282">
        <f>WATER!Q19</f>
        <v>0</v>
      </c>
      <c r="N15" s="416">
        <v>0.6</v>
      </c>
      <c r="O15" s="10">
        <f>ELEC!B17</f>
        <v>0</v>
      </c>
    </row>
    <row r="16" spans="1:15">
      <c r="A16" t="s">
        <v>12</v>
      </c>
      <c r="B16">
        <f t="shared" si="0"/>
        <v>15</v>
      </c>
      <c r="C16">
        <v>2</v>
      </c>
      <c r="D16">
        <v>2023</v>
      </c>
      <c r="E16" s="192">
        <f>ELEC!N18</f>
        <v>2305</v>
      </c>
      <c r="F16" s="281">
        <f>SUM('EDl log'!T18)</f>
        <v>0.33380976687381847</v>
      </c>
      <c r="G16" s="192">
        <f>-tanks!AW20</f>
        <v>310</v>
      </c>
      <c r="H16" s="524">
        <f>tanks!AV20</f>
        <v>0.86799999999999999</v>
      </c>
      <c r="I16" s="10">
        <f>('B5'!AU18)*0.51</f>
        <v>0</v>
      </c>
      <c r="J16" s="264">
        <f>'B5'!AX18/0.51</f>
        <v>1.5686274509803921</v>
      </c>
      <c r="K16" s="192">
        <f>WATER!I20</f>
        <v>0</v>
      </c>
      <c r="L16" s="282">
        <f>SUM(WATER!J20)</f>
        <v>0</v>
      </c>
      <c r="M16" s="282">
        <f>WATER!Q20</f>
        <v>0</v>
      </c>
      <c r="N16" s="416">
        <v>0.6</v>
      </c>
      <c r="O16" s="10">
        <f>ELEC!B18</f>
        <v>0</v>
      </c>
    </row>
    <row r="17" spans="1:15">
      <c r="A17" t="s">
        <v>12</v>
      </c>
      <c r="B17">
        <f t="shared" si="0"/>
        <v>16</v>
      </c>
      <c r="C17">
        <v>2</v>
      </c>
      <c r="D17">
        <v>2023</v>
      </c>
      <c r="E17" s="192">
        <f>ELEC!N19</f>
        <v>2789</v>
      </c>
      <c r="F17" s="281">
        <f>SUM('EDl log'!T19)</f>
        <v>-1.6238378200628463</v>
      </c>
      <c r="G17" s="192">
        <f>-tanks!AW21</f>
        <v>263</v>
      </c>
      <c r="H17" s="524">
        <f>tanks!AV21</f>
        <v>0.86799999999999999</v>
      </c>
      <c r="I17" s="10">
        <f>('B5'!AU19)*0.51</f>
        <v>0</v>
      </c>
      <c r="J17" s="264">
        <f>'B5'!AX19/0.51</f>
        <v>1.5686274509803921</v>
      </c>
      <c r="K17" s="192">
        <f>WATER!I21</f>
        <v>0</v>
      </c>
      <c r="L17" s="282">
        <f>SUM(WATER!J21)</f>
        <v>0</v>
      </c>
      <c r="M17" s="282">
        <f>WATER!Q21</f>
        <v>0</v>
      </c>
      <c r="N17" s="416">
        <v>0.6</v>
      </c>
      <c r="O17" s="10">
        <f>ELEC!B19</f>
        <v>0</v>
      </c>
    </row>
    <row r="18" spans="1:15">
      <c r="A18" t="s">
        <v>12</v>
      </c>
      <c r="B18">
        <f t="shared" si="0"/>
        <v>17</v>
      </c>
      <c r="C18">
        <v>2</v>
      </c>
      <c r="D18">
        <v>2023</v>
      </c>
      <c r="E18" s="192">
        <f>ELEC!N20</f>
        <v>0</v>
      </c>
      <c r="F18" s="281">
        <f>SUM('EDl log'!T20)</f>
        <v>0</v>
      </c>
      <c r="G18" s="192">
        <f>-tanks!AW22</f>
        <v>0</v>
      </c>
      <c r="H18" s="524">
        <f>tanks!AV22</f>
        <v>0.86799999999999999</v>
      </c>
      <c r="I18" s="10">
        <f>('B5'!AU20)*0.51</f>
        <v>0</v>
      </c>
      <c r="J18" s="264">
        <f>'B5'!AX20/0.51</f>
        <v>1.5686274509803921</v>
      </c>
      <c r="K18" s="192">
        <f>WATER!I22</f>
        <v>0</v>
      </c>
      <c r="L18" s="282">
        <f>SUM(WATER!J22)</f>
        <v>0</v>
      </c>
      <c r="M18" s="282">
        <f>WATER!Q22</f>
        <v>0</v>
      </c>
      <c r="N18" s="416">
        <v>0.6</v>
      </c>
      <c r="O18" s="10">
        <f>ELEC!B20</f>
        <v>0</v>
      </c>
    </row>
    <row r="19" spans="1:15">
      <c r="A19" t="s">
        <v>12</v>
      </c>
      <c r="B19">
        <f t="shared" si="0"/>
        <v>18</v>
      </c>
      <c r="C19">
        <v>2</v>
      </c>
      <c r="D19">
        <v>2023</v>
      </c>
      <c r="E19" s="192">
        <f>ELEC!N21</f>
        <v>0</v>
      </c>
      <c r="F19" s="281">
        <f>SUM('EDl log'!T21)</f>
        <v>0</v>
      </c>
      <c r="G19" s="192">
        <f>-tanks!AW23</f>
        <v>0</v>
      </c>
      <c r="H19" s="524">
        <f>tanks!AV23</f>
        <v>0.86799999999999999</v>
      </c>
      <c r="I19" s="10">
        <f>('B5'!AU21)*0.51</f>
        <v>0</v>
      </c>
      <c r="J19" s="264">
        <f>'B5'!AX21/0.51</f>
        <v>1.5686274509803921</v>
      </c>
      <c r="K19" s="192">
        <f>WATER!I23</f>
        <v>0</v>
      </c>
      <c r="L19" s="282">
        <f>SUM(WATER!J23)</f>
        <v>0</v>
      </c>
      <c r="M19" s="282">
        <f>WATER!Q23</f>
        <v>0</v>
      </c>
      <c r="N19" s="416">
        <v>0.6</v>
      </c>
      <c r="O19" s="10">
        <f>ELEC!B21</f>
        <v>0</v>
      </c>
    </row>
    <row r="20" spans="1:15">
      <c r="A20" t="s">
        <v>12</v>
      </c>
      <c r="B20">
        <f t="shared" si="0"/>
        <v>19</v>
      </c>
      <c r="C20">
        <v>2</v>
      </c>
      <c r="D20">
        <v>2023</v>
      </c>
      <c r="E20" s="192">
        <f>ELEC!N22</f>
        <v>2799</v>
      </c>
      <c r="F20" s="281">
        <f>SUM('EDl log'!T22)</f>
        <v>1.9899560030764454</v>
      </c>
      <c r="G20" s="192">
        <f>-tanks!AW24</f>
        <v>180</v>
      </c>
      <c r="H20" s="524">
        <f>tanks!AV24</f>
        <v>0.83499999999999996</v>
      </c>
      <c r="I20" s="10">
        <f>('B5'!AU22)*0.51</f>
        <v>0</v>
      </c>
      <c r="J20" s="264">
        <f>'B5'!AX22/0.51</f>
        <v>1.5686274509803921</v>
      </c>
      <c r="K20" s="192">
        <f>WATER!I24</f>
        <v>0</v>
      </c>
      <c r="L20" s="282">
        <f>SUM(WATER!J24)</f>
        <v>0</v>
      </c>
      <c r="M20" s="282">
        <f>WATER!Q24</f>
        <v>0</v>
      </c>
      <c r="N20" s="416">
        <v>0.6</v>
      </c>
      <c r="O20" s="10">
        <f>ELEC!B22</f>
        <v>0</v>
      </c>
    </row>
    <row r="21" spans="1:15">
      <c r="A21" t="s">
        <v>12</v>
      </c>
      <c r="B21">
        <f t="shared" si="0"/>
        <v>20</v>
      </c>
      <c r="C21">
        <v>2</v>
      </c>
      <c r="D21">
        <v>2023</v>
      </c>
      <c r="E21" s="192">
        <f>ELEC!N23</f>
        <v>2768</v>
      </c>
      <c r="F21" s="281">
        <f>SUM('EDl log'!T23)</f>
        <v>0.33286190018343853</v>
      </c>
      <c r="G21" s="192">
        <f>-tanks!AW25</f>
        <v>474</v>
      </c>
      <c r="H21" s="524">
        <f>tanks!AV25</f>
        <v>0.83499999999999996</v>
      </c>
      <c r="I21" s="10">
        <f>('B5'!AU23)*0.51</f>
        <v>0</v>
      </c>
      <c r="J21" s="264">
        <f>'B5'!AX23/0.51</f>
        <v>1.5686274509803921</v>
      </c>
      <c r="K21" s="192">
        <f>WATER!I25</f>
        <v>0</v>
      </c>
      <c r="L21" s="282">
        <f>SUM(WATER!J25)</f>
        <v>0</v>
      </c>
      <c r="M21" s="282">
        <f>WATER!Q25</f>
        <v>0</v>
      </c>
      <c r="N21" s="416">
        <v>0.6</v>
      </c>
      <c r="O21" s="10">
        <f>ELEC!B23</f>
        <v>0</v>
      </c>
    </row>
    <row r="22" spans="1:15">
      <c r="A22" t="s">
        <v>12</v>
      </c>
      <c r="B22">
        <f t="shared" si="0"/>
        <v>21</v>
      </c>
      <c r="C22">
        <v>2</v>
      </c>
      <c r="D22">
        <v>2023</v>
      </c>
      <c r="E22" s="192">
        <f>ELEC!N24</f>
        <v>2682</v>
      </c>
      <c r="F22" s="281">
        <f>SUM('EDl log'!T24)</f>
        <v>0.50708425042120131</v>
      </c>
      <c r="G22" s="192">
        <f>-tanks!AW26</f>
        <v>236</v>
      </c>
      <c r="H22" s="524">
        <f>tanks!AV26</f>
        <v>0.83499999999999996</v>
      </c>
      <c r="I22" s="10">
        <f>('B5'!AU24)*0.51</f>
        <v>0</v>
      </c>
      <c r="J22" s="264">
        <f>'B5'!AX24/0.51</f>
        <v>1.5686274509803921</v>
      </c>
      <c r="K22" s="192">
        <f>WATER!I26</f>
        <v>0</v>
      </c>
      <c r="L22" s="282">
        <f>SUM(WATER!J26)</f>
        <v>0</v>
      </c>
      <c r="M22" s="282">
        <f>WATER!Q26</f>
        <v>0</v>
      </c>
      <c r="N22" s="416">
        <v>0.6</v>
      </c>
      <c r="O22" s="10">
        <f>ELEC!B24</f>
        <v>0</v>
      </c>
    </row>
    <row r="23" spans="1:15">
      <c r="A23" t="s">
        <v>12</v>
      </c>
      <c r="B23">
        <f t="shared" si="0"/>
        <v>22</v>
      </c>
      <c r="C23">
        <v>2</v>
      </c>
      <c r="D23">
        <v>2023</v>
      </c>
      <c r="E23" s="192">
        <f>ELEC!N25</f>
        <v>2521</v>
      </c>
      <c r="F23" s="281">
        <f>SUM('EDl log'!T25)</f>
        <v>0.21259525492432252</v>
      </c>
      <c r="G23" s="192">
        <f>-tanks!AW27</f>
        <v>283</v>
      </c>
      <c r="H23" s="524">
        <f>tanks!AV27</f>
        <v>0.83499999999999996</v>
      </c>
      <c r="I23" s="10">
        <f>('B5'!AU25)*0.51</f>
        <v>0</v>
      </c>
      <c r="J23" s="264">
        <f>'B5'!AX25/0.51</f>
        <v>1.5686274509803921</v>
      </c>
      <c r="K23" s="192">
        <f>WATER!I27</f>
        <v>0</v>
      </c>
      <c r="L23" s="282">
        <f>SUM(WATER!J27)</f>
        <v>0</v>
      </c>
      <c r="M23" s="282">
        <f>WATER!Q27</f>
        <v>0</v>
      </c>
      <c r="N23" s="416">
        <v>0.6</v>
      </c>
      <c r="O23" s="10">
        <f>ELEC!B25</f>
        <v>0</v>
      </c>
    </row>
    <row r="24" spans="1:15">
      <c r="A24" t="s">
        <v>12</v>
      </c>
      <c r="B24">
        <f t="shared" si="0"/>
        <v>23</v>
      </c>
      <c r="C24">
        <v>2</v>
      </c>
      <c r="D24">
        <v>2023</v>
      </c>
      <c r="E24" s="192">
        <f>ELEC!N26</f>
        <v>2894</v>
      </c>
      <c r="F24" s="281">
        <f>SUM('EDl log'!T26)</f>
        <v>0.33314447500880989</v>
      </c>
      <c r="G24" s="192">
        <f>-tanks!AW28</f>
        <v>306</v>
      </c>
      <c r="H24" s="524">
        <f>tanks!AV28</f>
        <v>0.83499999999999996</v>
      </c>
      <c r="I24" s="10">
        <f>('B5'!AU26)*0.51</f>
        <v>0</v>
      </c>
      <c r="J24" s="264">
        <f>'B5'!AX26/0.51</f>
        <v>1.5686274509803921</v>
      </c>
      <c r="K24" s="192">
        <f>WATER!I28</f>
        <v>0</v>
      </c>
      <c r="L24" s="282">
        <f>SUM(WATER!J28)</f>
        <v>0</v>
      </c>
      <c r="M24" s="282">
        <f>WATER!Q28</f>
        <v>0</v>
      </c>
      <c r="N24" s="416">
        <v>0.6</v>
      </c>
      <c r="O24" s="10">
        <f>ELEC!B26</f>
        <v>0</v>
      </c>
    </row>
    <row r="25" spans="1:15">
      <c r="A25" t="s">
        <v>12</v>
      </c>
      <c r="B25">
        <f t="shared" si="0"/>
        <v>24</v>
      </c>
      <c r="C25">
        <v>2</v>
      </c>
      <c r="D25">
        <v>2023</v>
      </c>
      <c r="E25" s="192">
        <f>ELEC!N27</f>
        <v>0</v>
      </c>
      <c r="F25" s="281">
        <f>SUM('EDl log'!T27)</f>
        <v>0</v>
      </c>
      <c r="G25" s="192">
        <f>-tanks!AW29</f>
        <v>0</v>
      </c>
      <c r="H25" s="524">
        <f>tanks!AV29</f>
        <v>0.83499999999999996</v>
      </c>
      <c r="I25" s="10">
        <f>('B5'!AU27)*0.51</f>
        <v>0</v>
      </c>
      <c r="J25" s="264">
        <f>'B5'!AX27/0.51</f>
        <v>1.5686274509803921</v>
      </c>
      <c r="K25" s="192">
        <f>WATER!I29</f>
        <v>0</v>
      </c>
      <c r="L25" s="282">
        <f>SUM(WATER!J29)</f>
        <v>0</v>
      </c>
      <c r="M25" s="282">
        <f>WATER!Q29</f>
        <v>0</v>
      </c>
      <c r="N25" s="416">
        <v>0.6</v>
      </c>
      <c r="O25" s="10">
        <f>ELEC!B27</f>
        <v>0</v>
      </c>
    </row>
    <row r="26" spans="1:15">
      <c r="A26" t="s">
        <v>12</v>
      </c>
      <c r="B26">
        <f>B25+1</f>
        <v>25</v>
      </c>
      <c r="C26">
        <v>2</v>
      </c>
      <c r="D26">
        <v>2023</v>
      </c>
      <c r="E26" s="192">
        <f>ELEC!N28</f>
        <v>0</v>
      </c>
      <c r="F26" s="281">
        <f>SUM('EDl log'!T28)</f>
        <v>0</v>
      </c>
      <c r="G26" s="192">
        <f>-tanks!AW30</f>
        <v>0</v>
      </c>
      <c r="H26" s="524">
        <f>tanks!AV30</f>
        <v>0.83499999999999996</v>
      </c>
      <c r="I26" s="10">
        <f>('B5'!AU28)*0.51</f>
        <v>0</v>
      </c>
      <c r="J26" s="264">
        <f>'B5'!AX28/0.51</f>
        <v>1.5686274509803921</v>
      </c>
      <c r="K26" s="192">
        <f>WATER!I30</f>
        <v>0</v>
      </c>
      <c r="L26" s="282">
        <f>SUM(WATER!J30)</f>
        <v>0</v>
      </c>
      <c r="M26" s="282">
        <f>WATER!Q30</f>
        <v>0</v>
      </c>
      <c r="N26" s="416">
        <v>0.6</v>
      </c>
      <c r="O26" s="10">
        <f>ELEC!B28</f>
        <v>0</v>
      </c>
    </row>
    <row r="27" spans="1:15">
      <c r="A27" t="s">
        <v>12</v>
      </c>
      <c r="B27">
        <f t="shared" si="0"/>
        <v>26</v>
      </c>
      <c r="C27">
        <v>2</v>
      </c>
      <c r="D27">
        <v>2023</v>
      </c>
      <c r="E27" s="192">
        <f>ELEC!N29</f>
        <v>2880</v>
      </c>
      <c r="F27" s="281">
        <f>SUM('EDl log'!T29)</f>
        <v>0.11132093229820784</v>
      </c>
      <c r="G27" s="192">
        <f>-tanks!AW31</f>
        <v>242</v>
      </c>
      <c r="H27" s="524">
        <f>tanks!AV31</f>
        <v>0.88</v>
      </c>
      <c r="I27" s="10">
        <f>('B5'!AU29)*0.51</f>
        <v>0</v>
      </c>
      <c r="J27" s="264">
        <f>'B5'!AX29/0.51</f>
        <v>1.5686274509803921</v>
      </c>
      <c r="K27" s="192">
        <f>WATER!I31</f>
        <v>5</v>
      </c>
      <c r="L27" s="282">
        <f>SUM(WATER!J31)</f>
        <v>53.571428571428569</v>
      </c>
      <c r="M27" s="282">
        <f>WATER!Q31</f>
        <v>0</v>
      </c>
      <c r="N27" s="416">
        <v>0.6</v>
      </c>
      <c r="O27" s="10">
        <f>ELEC!B29</f>
        <v>0</v>
      </c>
    </row>
    <row r="28" spans="1:15">
      <c r="A28" t="s">
        <v>12</v>
      </c>
      <c r="B28">
        <f t="shared" si="0"/>
        <v>27</v>
      </c>
      <c r="C28">
        <v>2</v>
      </c>
      <c r="D28">
        <v>2023</v>
      </c>
      <c r="E28" s="192">
        <f>ELEC!N30</f>
        <v>2938</v>
      </c>
      <c r="F28" s="281">
        <f>SUM('EDl log'!T30)</f>
        <v>0.29990447114175206</v>
      </c>
      <c r="G28" s="192">
        <f>-tanks!AW32</f>
        <v>385</v>
      </c>
      <c r="H28" s="524">
        <f>tanks!AV32</f>
        <v>0.88</v>
      </c>
      <c r="I28" s="10">
        <f>('B5'!AU30)*0.51</f>
        <v>0</v>
      </c>
      <c r="J28" s="264">
        <f>'B5'!AX30/0.51</f>
        <v>1.5686274509803921</v>
      </c>
      <c r="K28" s="192">
        <f>WATER!I32</f>
        <v>0</v>
      </c>
      <c r="L28" s="282">
        <f>SUM(WATER!J32)</f>
        <v>0</v>
      </c>
      <c r="M28" s="282">
        <f>WATER!Q32</f>
        <v>0</v>
      </c>
      <c r="N28" s="416">
        <v>0.6</v>
      </c>
      <c r="O28" s="10">
        <f>ELEC!B30</f>
        <v>0</v>
      </c>
    </row>
    <row r="29" spans="1:15">
      <c r="A29" t="s">
        <v>12</v>
      </c>
      <c r="B29">
        <f t="shared" si="0"/>
        <v>28</v>
      </c>
      <c r="C29">
        <v>2</v>
      </c>
      <c r="D29">
        <v>2023</v>
      </c>
      <c r="E29" s="192">
        <f>ELEC!N31</f>
        <v>0</v>
      </c>
      <c r="F29" s="281">
        <f>SUM('EDl log'!T31)</f>
        <v>0</v>
      </c>
      <c r="G29" s="192">
        <f>-tanks!AW33</f>
        <v>0</v>
      </c>
      <c r="H29" s="524">
        <f>tanks!AV33</f>
        <v>0.88</v>
      </c>
      <c r="I29" s="10">
        <f>('B5'!AU31)*0.51</f>
        <v>0</v>
      </c>
      <c r="J29" s="264">
        <f>'B5'!AX31/0.51</f>
        <v>1.5686274509803921</v>
      </c>
      <c r="K29" s="192">
        <f>WATER!I33</f>
        <v>0</v>
      </c>
      <c r="L29" s="282">
        <f>SUM(WATER!J33)</f>
        <v>0</v>
      </c>
      <c r="M29" s="282">
        <f>WATER!Q33</f>
        <v>0</v>
      </c>
      <c r="N29" s="416">
        <v>0.6</v>
      </c>
      <c r="O29" s="10">
        <f>ELEC!B31</f>
        <v>0</v>
      </c>
    </row>
    <row r="30" spans="1:15">
      <c r="A30" t="s">
        <v>12</v>
      </c>
      <c r="E30" s="192"/>
      <c r="F30" s="281"/>
      <c r="G30" s="192"/>
      <c r="H30" s="524"/>
      <c r="I30" s="10"/>
      <c r="J30" s="264"/>
      <c r="K30" s="192"/>
      <c r="L30" s="282"/>
      <c r="M30" s="282"/>
      <c r="N30" s="416"/>
      <c r="O30" s="10"/>
    </row>
    <row r="31" spans="1:15">
      <c r="A31" t="s">
        <v>12</v>
      </c>
      <c r="E31" s="192"/>
      <c r="F31" s="281"/>
      <c r="G31" s="192"/>
      <c r="H31" s="524"/>
      <c r="I31" s="10"/>
      <c r="J31" s="264"/>
      <c r="K31" s="192"/>
      <c r="L31" s="282"/>
      <c r="M31" s="282"/>
      <c r="N31" s="416"/>
      <c r="O31" s="10"/>
    </row>
    <row r="32" spans="1:15">
      <c r="A32" t="s">
        <v>12</v>
      </c>
      <c r="E32" s="192"/>
      <c r="F32" s="281"/>
      <c r="G32" s="192"/>
      <c r="H32" s="524"/>
      <c r="I32" s="10"/>
      <c r="J32" s="264"/>
      <c r="K32" s="192"/>
      <c r="L32" s="282"/>
      <c r="M32" s="282"/>
      <c r="N32" s="416"/>
      <c r="O32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5"/>
  <sheetViews>
    <sheetView tabSelected="1" zoomScale="60" zoomScaleNormal="60" zoomScaleSheetLayoutView="100" workbookViewId="0">
      <pane ySplit="2" topLeftCell="A3" activePane="bottomLeft" state="frozen"/>
      <selection activeCell="C1" sqref="C1"/>
      <selection pane="bottomLeft" activeCell="S30" sqref="S30"/>
    </sheetView>
  </sheetViews>
  <sheetFormatPr defaultColWidth="9.26953125" defaultRowHeight="14.5"/>
  <cols>
    <col min="1" max="1" width="7.7265625" style="395" bestFit="1" customWidth="1"/>
    <col min="2" max="2" width="10.26953125" style="402" bestFit="1" customWidth="1"/>
    <col min="3" max="3" width="11.54296875" style="395" customWidth="1"/>
    <col min="4" max="4" width="18" style="403" bestFit="1" customWidth="1"/>
    <col min="5" max="5" width="14.81640625" style="403" bestFit="1" customWidth="1"/>
    <col min="6" max="6" width="15.26953125" style="403" bestFit="1" customWidth="1"/>
    <col min="7" max="7" width="24" style="403" customWidth="1"/>
    <col min="8" max="8" width="18" style="403" bestFit="1" customWidth="1"/>
    <col min="9" max="9" width="13.1796875" style="403" bestFit="1" customWidth="1"/>
    <col min="10" max="10" width="18" style="403" bestFit="1" customWidth="1"/>
    <col min="11" max="11" width="11.7265625" style="403" customWidth="1"/>
    <col min="12" max="12" width="18" style="403" bestFit="1" customWidth="1"/>
    <col min="13" max="13" width="13.1796875" style="403" bestFit="1" customWidth="1"/>
    <col min="14" max="14" width="15.453125" style="395" bestFit="1" customWidth="1"/>
    <col min="15" max="15" width="13.26953125" style="404" bestFit="1" customWidth="1"/>
    <col min="16" max="16" width="31.7265625" style="395" customWidth="1"/>
    <col min="17" max="17" width="13.7265625" style="395" bestFit="1" customWidth="1"/>
    <col min="18" max="18" width="15.54296875" style="395" bestFit="1" customWidth="1"/>
    <col min="19" max="21" width="11.54296875" style="395" bestFit="1" customWidth="1"/>
    <col min="22" max="22" width="13.26953125" style="395" bestFit="1" customWidth="1"/>
    <col min="23" max="25" width="11.54296875" style="395" bestFit="1" customWidth="1"/>
    <col min="26" max="26" width="13.26953125" style="395" bestFit="1" customWidth="1"/>
    <col min="27" max="29" width="11.54296875" style="395" bestFit="1" customWidth="1"/>
    <col min="30" max="30" width="13.26953125" style="395" bestFit="1" customWidth="1"/>
    <col min="31" max="32" width="11.54296875" style="395" bestFit="1" customWidth="1"/>
    <col min="33" max="33" width="15.7265625" style="395" customWidth="1"/>
    <col min="34" max="34" width="9.26953125" style="395"/>
    <col min="35" max="35" width="9.7265625" style="395" bestFit="1" customWidth="1"/>
    <col min="36" max="36" width="11.54296875" style="395" bestFit="1" customWidth="1"/>
    <col min="37" max="37" width="12.453125" style="395" customWidth="1"/>
    <col min="38" max="38" width="11.453125" style="395" customWidth="1"/>
    <col min="39" max="39" width="10" style="395" bestFit="1" customWidth="1"/>
    <col min="40" max="40" width="10.7265625" style="395" bestFit="1" customWidth="1"/>
    <col min="41" max="16384" width="9.26953125" style="395"/>
  </cols>
  <sheetData>
    <row r="2" spans="1:36" s="380" customFormat="1" ht="18.75" customHeight="1">
      <c r="A2" s="380" t="s">
        <v>24</v>
      </c>
      <c r="B2" s="381" t="s">
        <v>25</v>
      </c>
      <c r="C2" s="382"/>
      <c r="D2" s="383" t="s">
        <v>26</v>
      </c>
      <c r="E2" s="383" t="s">
        <v>27</v>
      </c>
      <c r="F2" s="383" t="s">
        <v>28</v>
      </c>
      <c r="G2" s="383" t="s">
        <v>29</v>
      </c>
      <c r="H2" s="383" t="s">
        <v>30</v>
      </c>
      <c r="I2" s="383" t="s">
        <v>31</v>
      </c>
      <c r="J2" s="383" t="s">
        <v>32</v>
      </c>
      <c r="K2" s="383" t="s">
        <v>33</v>
      </c>
      <c r="L2" s="383" t="s">
        <v>34</v>
      </c>
      <c r="M2" s="383" t="s">
        <v>35</v>
      </c>
      <c r="N2" s="384" t="s">
        <v>36</v>
      </c>
      <c r="O2" s="385" t="s">
        <v>37</v>
      </c>
      <c r="P2" s="386" t="s">
        <v>38</v>
      </c>
      <c r="Q2" s="384" t="s">
        <v>39</v>
      </c>
      <c r="R2" s="384" t="s">
        <v>40</v>
      </c>
      <c r="S2" s="384" t="s">
        <v>41</v>
      </c>
      <c r="T2" s="384" t="s">
        <v>42</v>
      </c>
      <c r="U2" s="384" t="s">
        <v>43</v>
      </c>
      <c r="V2" s="384" t="s">
        <v>44</v>
      </c>
      <c r="W2" s="384" t="s">
        <v>45</v>
      </c>
      <c r="X2" s="384" t="s">
        <v>42</v>
      </c>
      <c r="Y2" s="384" t="s">
        <v>46</v>
      </c>
      <c r="Z2" s="384" t="s">
        <v>47</v>
      </c>
      <c r="AA2" s="384" t="s">
        <v>48</v>
      </c>
      <c r="AB2" s="384" t="s">
        <v>42</v>
      </c>
      <c r="AC2" s="384" t="s">
        <v>49</v>
      </c>
      <c r="AD2" s="384" t="s">
        <v>50</v>
      </c>
      <c r="AE2" s="384" t="s">
        <v>51</v>
      </c>
      <c r="AF2" s="384" t="s">
        <v>52</v>
      </c>
      <c r="AG2" s="380" t="s">
        <v>53</v>
      </c>
    </row>
    <row r="3" spans="1:36">
      <c r="A3" s="387">
        <f>[1]ELEC!$A$34</f>
        <v>0</v>
      </c>
      <c r="B3" s="381">
        <f>[1]ELEC!$B$34</f>
        <v>0</v>
      </c>
      <c r="C3" s="388">
        <v>44957</v>
      </c>
      <c r="D3" s="377">
        <v>436570</v>
      </c>
      <c r="E3" s="377">
        <f>[2]ELEC!E34</f>
        <v>2020</v>
      </c>
      <c r="F3" s="377">
        <v>4195798</v>
      </c>
      <c r="G3" s="377">
        <f>[2]ELEC!G34</f>
        <v>292</v>
      </c>
      <c r="H3" s="377">
        <v>18114990</v>
      </c>
      <c r="I3" s="377">
        <f>[2]ELEC!I34</f>
        <v>540</v>
      </c>
      <c r="J3" s="377">
        <v>29912234</v>
      </c>
      <c r="K3" s="377">
        <f>[2]ELEC!K34</f>
        <v>1060</v>
      </c>
      <c r="L3" s="377">
        <v>24731876</v>
      </c>
      <c r="M3" s="377">
        <f>[2]ELEC!M34</f>
        <v>1094</v>
      </c>
      <c r="N3" s="377">
        <f>[2]ELEC!N34</f>
        <v>5006</v>
      </c>
      <c r="O3" s="377">
        <f>[2]ELEC!O34</f>
        <v>0</v>
      </c>
      <c r="P3" s="526">
        <v>19768.966</v>
      </c>
      <c r="Q3" s="377">
        <f>[2]ELEC!Q34</f>
        <v>5065.9999999988941</v>
      </c>
      <c r="R3" s="377">
        <f>[2]ELEC!R34</f>
        <v>-59.999999998894054</v>
      </c>
      <c r="S3" s="377">
        <f>[2]ELEC!S34</f>
        <v>10175</v>
      </c>
      <c r="T3" s="377">
        <f>[2]ELEC!T34</f>
        <v>0</v>
      </c>
      <c r="U3" s="377">
        <f>[2]ELEC!U34</f>
        <v>429166</v>
      </c>
      <c r="V3" s="377">
        <f>[2]ELEC!V34</f>
        <v>0</v>
      </c>
      <c r="W3" s="377">
        <f>[2]ELEC!W34</f>
        <v>33502</v>
      </c>
      <c r="X3" s="377">
        <f>[2]ELEC!X34</f>
        <v>0</v>
      </c>
      <c r="Y3" s="377">
        <f>[2]ELEC!Y34</f>
        <v>1001284</v>
      </c>
      <c r="Z3" s="377">
        <f>[2]ELEC!Z34</f>
        <v>0</v>
      </c>
      <c r="AA3" s="377">
        <f>[2]ELEC!AA34</f>
        <v>36804</v>
      </c>
      <c r="AB3" s="377">
        <f>[2]ELEC!AB34</f>
        <v>0</v>
      </c>
      <c r="AC3" s="377">
        <f>[2]ELEC!AC34</f>
        <v>1173391</v>
      </c>
      <c r="AD3" s="377">
        <f>[2]ELEC!AD34</f>
        <v>0</v>
      </c>
      <c r="AE3" s="377">
        <f>[2]ELEC!AE34</f>
        <v>0</v>
      </c>
      <c r="AF3" s="377">
        <f>[2]ELEC!AF34</f>
        <v>0</v>
      </c>
      <c r="AG3" s="377">
        <f>[2]ELEC!AG34</f>
        <v>0</v>
      </c>
      <c r="AJ3" s="470"/>
    </row>
    <row r="4" spans="1:36">
      <c r="A4" s="387">
        <f>'General information '!F5</f>
        <v>0</v>
      </c>
      <c r="B4" s="381">
        <f>SUM(230*A4)</f>
        <v>0</v>
      </c>
      <c r="C4" s="388">
        <f>C3+1</f>
        <v>44958</v>
      </c>
      <c r="D4" s="377">
        <v>437590</v>
      </c>
      <c r="E4" s="494">
        <f>D4-D3</f>
        <v>1020</v>
      </c>
      <c r="F4" s="377">
        <v>4196112</v>
      </c>
      <c r="G4" s="495">
        <f>F4-F3</f>
        <v>314</v>
      </c>
      <c r="H4" s="377">
        <v>18115434</v>
      </c>
      <c r="I4" s="495">
        <f>H4-H3</f>
        <v>444</v>
      </c>
      <c r="J4" s="377">
        <v>29912942</v>
      </c>
      <c r="K4" s="495">
        <f>J4-J3</f>
        <v>708</v>
      </c>
      <c r="L4" s="377">
        <v>24732854</v>
      </c>
      <c r="M4" s="495">
        <f>L4-L3</f>
        <v>978</v>
      </c>
      <c r="N4" s="378">
        <f>M4+K4+I4+G4+E4</f>
        <v>3464</v>
      </c>
      <c r="O4" s="389">
        <f t="shared" ref="O4:O10" si="0">IF(B4&gt;0,N4/B4,0)</f>
        <v>0</v>
      </c>
      <c r="P4" s="526">
        <v>19772.488000000001</v>
      </c>
      <c r="Q4" s="379">
        <f t="shared" ref="Q4:Q31" si="1">(P4-P3)*1000</f>
        <v>3522.000000000844</v>
      </c>
      <c r="R4" s="471">
        <f>+N4-Q4</f>
        <v>-58.000000000844011</v>
      </c>
      <c r="S4" s="377">
        <f>S3</f>
        <v>10175</v>
      </c>
      <c r="T4" s="391">
        <f t="shared" ref="T4:T32" si="2">S4-S3</f>
        <v>0</v>
      </c>
      <c r="U4" s="377">
        <f>U3</f>
        <v>429166</v>
      </c>
      <c r="V4" s="390">
        <f>U4-U3</f>
        <v>0</v>
      </c>
      <c r="W4" s="377">
        <f>W3</f>
        <v>33502</v>
      </c>
      <c r="X4" s="390">
        <f t="shared" ref="X4" si="3">W4-W3</f>
        <v>0</v>
      </c>
      <c r="Y4" s="377">
        <f>Y3</f>
        <v>1001284</v>
      </c>
      <c r="Z4" s="390">
        <f>Y4-Y3</f>
        <v>0</v>
      </c>
      <c r="AA4" s="377">
        <f>AA3</f>
        <v>36804</v>
      </c>
      <c r="AB4" s="390">
        <f>AA4-AA3</f>
        <v>0</v>
      </c>
      <c r="AC4" s="377">
        <f>AC3</f>
        <v>1173391</v>
      </c>
      <c r="AD4" s="392">
        <f>AC4-AC3</f>
        <v>0</v>
      </c>
      <c r="AE4" s="393">
        <f>AB4+X4+T4</f>
        <v>0</v>
      </c>
      <c r="AF4" s="401">
        <f t="shared" ref="AF4:AF31" si="4">V4+Z4+AD4</f>
        <v>0</v>
      </c>
      <c r="AG4" s="394">
        <f t="shared" ref="AG4:AG10" si="5">IF(AE4&gt;0,AF4/AE4,0)</f>
        <v>0</v>
      </c>
      <c r="AJ4" s="470"/>
    </row>
    <row r="5" spans="1:36">
      <c r="A5" s="387">
        <f>'General information '!F6</f>
        <v>0</v>
      </c>
      <c r="B5" s="381">
        <f t="shared" ref="B5:B31" si="6">SUM(230*A5)</f>
        <v>0</v>
      </c>
      <c r="C5" s="388">
        <f t="shared" ref="C5:C32" si="7">C4+1</f>
        <v>44959</v>
      </c>
      <c r="D5" s="377">
        <v>438230</v>
      </c>
      <c r="E5" s="494">
        <f t="shared" ref="E5:E32" si="8">D5-D4</f>
        <v>640</v>
      </c>
      <c r="F5" s="377">
        <v>4196377</v>
      </c>
      <c r="G5" s="399">
        <f>F5-F4</f>
        <v>265</v>
      </c>
      <c r="H5" s="377">
        <v>18115844</v>
      </c>
      <c r="I5" s="399">
        <f>H5-H4</f>
        <v>410</v>
      </c>
      <c r="J5" s="377">
        <v>29913840</v>
      </c>
      <c r="K5" s="399">
        <f>J5-J4</f>
        <v>898</v>
      </c>
      <c r="L5" s="377">
        <v>24733706</v>
      </c>
      <c r="M5" s="399">
        <f>L5-L4</f>
        <v>852</v>
      </c>
      <c r="N5" s="265">
        <f>M5+K5+I5+G5+E5</f>
        <v>3065</v>
      </c>
      <c r="O5" s="396">
        <f t="shared" si="0"/>
        <v>0</v>
      </c>
      <c r="P5" s="526">
        <v>19775.337</v>
      </c>
      <c r="Q5" s="379">
        <f t="shared" si="1"/>
        <v>2848.9999999983411</v>
      </c>
      <c r="R5" s="471">
        <f t="shared" ref="R5:R10" si="9">+N5-Q5</f>
        <v>216.00000000165892</v>
      </c>
      <c r="S5" s="377">
        <f t="shared" ref="S5:S10" si="10">S4</f>
        <v>10175</v>
      </c>
      <c r="T5" s="391">
        <f t="shared" ref="T5:T10" si="11">S5-S4</f>
        <v>0</v>
      </c>
      <c r="U5" s="377">
        <f t="shared" ref="U5:U10" si="12">U4</f>
        <v>429166</v>
      </c>
      <c r="V5" s="390">
        <f t="shared" ref="V5:V10" si="13">U5-U4</f>
        <v>0</v>
      </c>
      <c r="W5" s="377">
        <f t="shared" ref="W5:W32" si="14">W4</f>
        <v>33502</v>
      </c>
      <c r="X5" s="390">
        <f t="shared" ref="X5:X10" si="15">W5-W4</f>
        <v>0</v>
      </c>
      <c r="Y5" s="377">
        <f t="shared" ref="Y5:Y32" si="16">Y4</f>
        <v>1001284</v>
      </c>
      <c r="Z5" s="390">
        <f t="shared" ref="Z5:Z10" si="17">Y5-Y4</f>
        <v>0</v>
      </c>
      <c r="AA5" s="377">
        <f t="shared" ref="AA5:AA10" si="18">AA4</f>
        <v>36804</v>
      </c>
      <c r="AB5" s="390">
        <f t="shared" ref="AB5:AB10" si="19">AA5-AA4</f>
        <v>0</v>
      </c>
      <c r="AC5" s="377">
        <f t="shared" ref="AC5:AC10" si="20">AC4</f>
        <v>1173391</v>
      </c>
      <c r="AD5" s="399">
        <f>AC5-AC4</f>
        <v>0</v>
      </c>
      <c r="AE5" s="400">
        <f t="shared" ref="AE5:AE31" si="21">AB5+X5+T5</f>
        <v>0</v>
      </c>
      <c r="AF5" s="401">
        <f t="shared" si="4"/>
        <v>0</v>
      </c>
      <c r="AG5" s="394">
        <f t="shared" si="5"/>
        <v>0</v>
      </c>
      <c r="AJ5" s="470"/>
    </row>
    <row r="6" spans="1:36">
      <c r="A6" s="387">
        <f>'General information '!F7</f>
        <v>0</v>
      </c>
      <c r="B6" s="381">
        <f>SUM(230*A6)</f>
        <v>0</v>
      </c>
      <c r="C6" s="388">
        <f t="shared" si="7"/>
        <v>44960</v>
      </c>
      <c r="D6" s="377">
        <v>438230</v>
      </c>
      <c r="E6" s="494">
        <f t="shared" ref="E6:E7" si="22">D6-D5</f>
        <v>0</v>
      </c>
      <c r="F6" s="377">
        <v>4196377</v>
      </c>
      <c r="G6" s="399">
        <f t="shared" ref="G6:G7" si="23">F6-F5</f>
        <v>0</v>
      </c>
      <c r="H6" s="377">
        <v>18115844</v>
      </c>
      <c r="I6" s="399">
        <f t="shared" ref="I6:I7" si="24">H6-H5</f>
        <v>0</v>
      </c>
      <c r="J6" s="377">
        <v>29913840</v>
      </c>
      <c r="K6" s="399">
        <f t="shared" ref="K6:K7" si="25">J6-J5</f>
        <v>0</v>
      </c>
      <c r="L6" s="377">
        <v>24733706</v>
      </c>
      <c r="M6" s="399">
        <f t="shared" ref="M6:M7" si="26">L6-L5</f>
        <v>0</v>
      </c>
      <c r="N6" s="265">
        <f t="shared" ref="N6:N7" si="27">M6+K6+I6+G6+E6</f>
        <v>0</v>
      </c>
      <c r="O6" s="396">
        <f t="shared" ref="O6:O7" si="28">IF(B6&gt;0,N6/B6,0)</f>
        <v>0</v>
      </c>
      <c r="P6" s="526">
        <v>19775.337</v>
      </c>
      <c r="Q6" s="379">
        <f t="shared" ref="Q6:Q7" si="29">(P6-P5)*1000</f>
        <v>0</v>
      </c>
      <c r="R6" s="471">
        <f t="shared" si="9"/>
        <v>0</v>
      </c>
      <c r="S6" s="377">
        <f t="shared" si="10"/>
        <v>10175</v>
      </c>
      <c r="T6" s="391">
        <f t="shared" si="11"/>
        <v>0</v>
      </c>
      <c r="U6" s="377">
        <f t="shared" si="12"/>
        <v>429166</v>
      </c>
      <c r="V6" s="390">
        <f t="shared" si="13"/>
        <v>0</v>
      </c>
      <c r="W6" s="377">
        <f t="shared" si="14"/>
        <v>33502</v>
      </c>
      <c r="X6" s="390">
        <f t="shared" si="15"/>
        <v>0</v>
      </c>
      <c r="Y6" s="377">
        <f t="shared" si="16"/>
        <v>1001284</v>
      </c>
      <c r="Z6" s="390">
        <f t="shared" si="17"/>
        <v>0</v>
      </c>
      <c r="AA6" s="377">
        <f t="shared" si="18"/>
        <v>36804</v>
      </c>
      <c r="AB6" s="390">
        <f t="shared" si="19"/>
        <v>0</v>
      </c>
      <c r="AC6" s="377">
        <f t="shared" si="20"/>
        <v>1173391</v>
      </c>
      <c r="AD6" s="379">
        <f t="shared" ref="AD6:AD17" si="30">AC6-AC5</f>
        <v>0</v>
      </c>
      <c r="AE6" s="400">
        <f t="shared" si="21"/>
        <v>0</v>
      </c>
      <c r="AF6" s="401">
        <f t="shared" si="4"/>
        <v>0</v>
      </c>
      <c r="AG6" s="394">
        <f t="shared" si="5"/>
        <v>0</v>
      </c>
      <c r="AJ6" s="470"/>
    </row>
    <row r="7" spans="1:36">
      <c r="A7" s="387">
        <f>'General information '!F8</f>
        <v>0</v>
      </c>
      <c r="B7" s="381">
        <f t="shared" si="6"/>
        <v>0</v>
      </c>
      <c r="C7" s="388">
        <f t="shared" si="7"/>
        <v>44961</v>
      </c>
      <c r="D7" s="377">
        <f t="shared" ref="D7:D32" si="31">D6</f>
        <v>438230</v>
      </c>
      <c r="E7" s="494">
        <f t="shared" si="22"/>
        <v>0</v>
      </c>
      <c r="F7" s="377">
        <f t="shared" ref="F7:F32" si="32">F6</f>
        <v>4196377</v>
      </c>
      <c r="G7" s="399">
        <f t="shared" si="23"/>
        <v>0</v>
      </c>
      <c r="H7" s="377">
        <f t="shared" ref="H7:H32" si="33">H6</f>
        <v>18115844</v>
      </c>
      <c r="I7" s="399">
        <f t="shared" si="24"/>
        <v>0</v>
      </c>
      <c r="J7" s="377">
        <f t="shared" ref="J7:J32" si="34">J6</f>
        <v>29913840</v>
      </c>
      <c r="K7" s="399">
        <f t="shared" si="25"/>
        <v>0</v>
      </c>
      <c r="L7" s="377">
        <f t="shared" ref="L7:L32" si="35">L6</f>
        <v>24733706</v>
      </c>
      <c r="M7" s="399">
        <f t="shared" si="26"/>
        <v>0</v>
      </c>
      <c r="N7" s="265">
        <f t="shared" si="27"/>
        <v>0</v>
      </c>
      <c r="O7" s="396">
        <f t="shared" si="28"/>
        <v>0</v>
      </c>
      <c r="P7" s="526">
        <f t="shared" ref="P7:P32" si="36">P6</f>
        <v>19775.337</v>
      </c>
      <c r="Q7" s="379">
        <f t="shared" si="29"/>
        <v>0</v>
      </c>
      <c r="R7" s="471">
        <f>+N7-Q7</f>
        <v>0</v>
      </c>
      <c r="S7" s="377">
        <f t="shared" si="10"/>
        <v>10175</v>
      </c>
      <c r="T7" s="391">
        <f t="shared" si="11"/>
        <v>0</v>
      </c>
      <c r="U7" s="377">
        <f t="shared" si="12"/>
        <v>429166</v>
      </c>
      <c r="V7" s="390">
        <f t="shared" si="13"/>
        <v>0</v>
      </c>
      <c r="W7" s="377">
        <f t="shared" si="14"/>
        <v>33502</v>
      </c>
      <c r="X7" s="390">
        <f t="shared" si="15"/>
        <v>0</v>
      </c>
      <c r="Y7" s="377">
        <f t="shared" si="16"/>
        <v>1001284</v>
      </c>
      <c r="Z7" s="390">
        <f t="shared" si="17"/>
        <v>0</v>
      </c>
      <c r="AA7" s="377">
        <f t="shared" si="18"/>
        <v>36804</v>
      </c>
      <c r="AB7" s="390">
        <f t="shared" si="19"/>
        <v>0</v>
      </c>
      <c r="AC7" s="377">
        <f t="shared" si="20"/>
        <v>1173391</v>
      </c>
      <c r="AD7" s="379">
        <f t="shared" si="30"/>
        <v>0</v>
      </c>
      <c r="AE7" s="400">
        <f t="shared" si="21"/>
        <v>0</v>
      </c>
      <c r="AF7" s="401">
        <f t="shared" si="4"/>
        <v>0</v>
      </c>
      <c r="AG7" s="394">
        <f t="shared" si="5"/>
        <v>0</v>
      </c>
      <c r="AJ7" s="470"/>
    </row>
    <row r="8" spans="1:36">
      <c r="A8" s="387">
        <f>'General information '!F9</f>
        <v>0</v>
      </c>
      <c r="B8" s="381">
        <f t="shared" si="6"/>
        <v>0</v>
      </c>
      <c r="C8" s="388">
        <f t="shared" si="7"/>
        <v>44962</v>
      </c>
      <c r="D8" s="377">
        <v>438990</v>
      </c>
      <c r="E8" s="494">
        <f t="shared" si="8"/>
        <v>760</v>
      </c>
      <c r="F8" s="377">
        <v>4196712</v>
      </c>
      <c r="G8" s="399">
        <f t="shared" ref="G8:G32" si="37">F8-F7</f>
        <v>335</v>
      </c>
      <c r="H8" s="377">
        <v>18116314</v>
      </c>
      <c r="I8" s="399">
        <f t="shared" ref="I8:I32" si="38">H8-H7</f>
        <v>470</v>
      </c>
      <c r="J8" s="377">
        <v>29914646</v>
      </c>
      <c r="K8" s="399">
        <f t="shared" ref="K8:K32" si="39">J8-J7</f>
        <v>806</v>
      </c>
      <c r="L8" s="377">
        <v>24734596</v>
      </c>
      <c r="M8" s="399">
        <f t="shared" ref="M8:M31" si="40">L8-L7</f>
        <v>890</v>
      </c>
      <c r="N8" s="265">
        <f>M8+K8+I8+G8+E8</f>
        <v>3261</v>
      </c>
      <c r="O8" s="396">
        <f t="shared" si="0"/>
        <v>0</v>
      </c>
      <c r="P8" s="526">
        <v>19778.14</v>
      </c>
      <c r="Q8" s="379">
        <f t="shared" si="1"/>
        <v>2802.9999999998836</v>
      </c>
      <c r="R8" s="471">
        <f>+N8-Q8</f>
        <v>458.00000000011642</v>
      </c>
      <c r="S8" s="377">
        <f t="shared" si="10"/>
        <v>10175</v>
      </c>
      <c r="T8" s="391">
        <f t="shared" si="11"/>
        <v>0</v>
      </c>
      <c r="U8" s="377">
        <f t="shared" si="12"/>
        <v>429166</v>
      </c>
      <c r="V8" s="390">
        <f t="shared" si="13"/>
        <v>0</v>
      </c>
      <c r="W8" s="377">
        <f t="shared" si="14"/>
        <v>33502</v>
      </c>
      <c r="X8" s="390">
        <f t="shared" si="15"/>
        <v>0</v>
      </c>
      <c r="Y8" s="377">
        <f t="shared" si="16"/>
        <v>1001284</v>
      </c>
      <c r="Z8" s="390">
        <f t="shared" si="17"/>
        <v>0</v>
      </c>
      <c r="AA8" s="377">
        <f t="shared" si="18"/>
        <v>36804</v>
      </c>
      <c r="AB8" s="390">
        <f t="shared" si="19"/>
        <v>0</v>
      </c>
      <c r="AC8" s="377">
        <f t="shared" si="20"/>
        <v>1173391</v>
      </c>
      <c r="AD8" s="379">
        <f t="shared" si="30"/>
        <v>0</v>
      </c>
      <c r="AE8" s="400">
        <f t="shared" si="21"/>
        <v>0</v>
      </c>
      <c r="AF8" s="401">
        <f t="shared" si="4"/>
        <v>0</v>
      </c>
      <c r="AG8" s="394">
        <f t="shared" si="5"/>
        <v>0</v>
      </c>
      <c r="AJ8" s="470"/>
    </row>
    <row r="9" spans="1:36">
      <c r="A9" s="387">
        <f>'General information '!F10</f>
        <v>0</v>
      </c>
      <c r="B9" s="381">
        <f t="shared" si="6"/>
        <v>0</v>
      </c>
      <c r="C9" s="388">
        <f t="shared" si="7"/>
        <v>44963</v>
      </c>
      <c r="D9" s="377">
        <v>439770</v>
      </c>
      <c r="E9" s="494">
        <f t="shared" si="8"/>
        <v>780</v>
      </c>
      <c r="F9" s="377">
        <v>4197068</v>
      </c>
      <c r="G9" s="399">
        <f t="shared" si="37"/>
        <v>356</v>
      </c>
      <c r="H9" s="377">
        <v>18116776</v>
      </c>
      <c r="I9" s="399">
        <f t="shared" si="38"/>
        <v>462</v>
      </c>
      <c r="J9" s="377">
        <v>29915456</v>
      </c>
      <c r="K9" s="399">
        <f t="shared" si="39"/>
        <v>810</v>
      </c>
      <c r="L9" s="377">
        <v>24735486</v>
      </c>
      <c r="M9" s="399">
        <f t="shared" si="40"/>
        <v>890</v>
      </c>
      <c r="N9" s="265">
        <f t="shared" ref="N9:N31" si="41">M9+K9+I9+G9+E9</f>
        <v>3298</v>
      </c>
      <c r="O9" s="396">
        <f t="shared" si="0"/>
        <v>0</v>
      </c>
      <c r="P9" s="526">
        <v>19781.484</v>
      </c>
      <c r="Q9" s="379">
        <f t="shared" si="1"/>
        <v>3344.0000000009604</v>
      </c>
      <c r="R9" s="471">
        <f t="shared" si="9"/>
        <v>-46.000000000960426</v>
      </c>
      <c r="S9" s="377">
        <f t="shared" si="10"/>
        <v>10175</v>
      </c>
      <c r="T9" s="391">
        <f t="shared" si="11"/>
        <v>0</v>
      </c>
      <c r="U9" s="377">
        <f t="shared" si="12"/>
        <v>429166</v>
      </c>
      <c r="V9" s="390">
        <f t="shared" si="13"/>
        <v>0</v>
      </c>
      <c r="W9" s="377">
        <f t="shared" si="14"/>
        <v>33502</v>
      </c>
      <c r="X9" s="390">
        <f t="shared" si="15"/>
        <v>0</v>
      </c>
      <c r="Y9" s="377">
        <f t="shared" si="16"/>
        <v>1001284</v>
      </c>
      <c r="Z9" s="390">
        <f t="shared" si="17"/>
        <v>0</v>
      </c>
      <c r="AA9" s="377">
        <f t="shared" si="18"/>
        <v>36804</v>
      </c>
      <c r="AB9" s="390">
        <f t="shared" si="19"/>
        <v>0</v>
      </c>
      <c r="AC9" s="377">
        <f t="shared" si="20"/>
        <v>1173391</v>
      </c>
      <c r="AD9" s="379">
        <f t="shared" si="30"/>
        <v>0</v>
      </c>
      <c r="AE9" s="400">
        <f t="shared" si="21"/>
        <v>0</v>
      </c>
      <c r="AF9" s="401">
        <f t="shared" si="4"/>
        <v>0</v>
      </c>
      <c r="AG9" s="394">
        <f>IF(AE9&gt;0,AF9/AE9,0)</f>
        <v>0</v>
      </c>
      <c r="AJ9" s="470"/>
    </row>
    <row r="10" spans="1:36">
      <c r="A10" s="387">
        <f>'General information '!F11</f>
        <v>0</v>
      </c>
      <c r="B10" s="381">
        <f t="shared" si="6"/>
        <v>0</v>
      </c>
      <c r="C10" s="388">
        <f t="shared" si="7"/>
        <v>44964</v>
      </c>
      <c r="D10" s="377">
        <v>440520</v>
      </c>
      <c r="E10" s="494">
        <f t="shared" si="8"/>
        <v>750</v>
      </c>
      <c r="F10" s="377">
        <v>4197420</v>
      </c>
      <c r="G10" s="399">
        <f t="shared" si="37"/>
        <v>352</v>
      </c>
      <c r="H10" s="377">
        <v>18117226</v>
      </c>
      <c r="I10" s="399">
        <f t="shared" si="38"/>
        <v>450</v>
      </c>
      <c r="J10" s="377">
        <v>29916504</v>
      </c>
      <c r="K10" s="399">
        <f t="shared" si="39"/>
        <v>1048</v>
      </c>
      <c r="L10" s="377">
        <v>24736598</v>
      </c>
      <c r="M10" s="399">
        <f t="shared" si="40"/>
        <v>1112</v>
      </c>
      <c r="N10" s="265">
        <f t="shared" si="41"/>
        <v>3712</v>
      </c>
      <c r="O10" s="396">
        <f t="shared" si="0"/>
        <v>0</v>
      </c>
      <c r="P10" s="526">
        <v>19785.276000000002</v>
      </c>
      <c r="Q10" s="379">
        <f t="shared" si="1"/>
        <v>3792.0000000012806</v>
      </c>
      <c r="R10" s="471">
        <f t="shared" si="9"/>
        <v>-80.000000001280569</v>
      </c>
      <c r="S10" s="377">
        <f t="shared" si="10"/>
        <v>10175</v>
      </c>
      <c r="T10" s="391">
        <f t="shared" si="11"/>
        <v>0</v>
      </c>
      <c r="U10" s="377">
        <f t="shared" si="12"/>
        <v>429166</v>
      </c>
      <c r="V10" s="390">
        <f t="shared" si="13"/>
        <v>0</v>
      </c>
      <c r="W10" s="377">
        <f t="shared" si="14"/>
        <v>33502</v>
      </c>
      <c r="X10" s="390">
        <f t="shared" si="15"/>
        <v>0</v>
      </c>
      <c r="Y10" s="377">
        <f t="shared" si="16"/>
        <v>1001284</v>
      </c>
      <c r="Z10" s="390">
        <f t="shared" si="17"/>
        <v>0</v>
      </c>
      <c r="AA10" s="377">
        <f t="shared" si="18"/>
        <v>36804</v>
      </c>
      <c r="AB10" s="390">
        <f t="shared" si="19"/>
        <v>0</v>
      </c>
      <c r="AC10" s="377">
        <f t="shared" si="20"/>
        <v>1173391</v>
      </c>
      <c r="AD10" s="379">
        <f t="shared" si="30"/>
        <v>0</v>
      </c>
      <c r="AE10" s="400">
        <f t="shared" si="21"/>
        <v>0</v>
      </c>
      <c r="AF10" s="401">
        <f t="shared" si="4"/>
        <v>0</v>
      </c>
      <c r="AG10" s="394">
        <f t="shared" si="5"/>
        <v>0</v>
      </c>
      <c r="AJ10" s="470"/>
    </row>
    <row r="11" spans="1:36">
      <c r="A11" s="387">
        <f>'General information '!F12</f>
        <v>0</v>
      </c>
      <c r="B11" s="381">
        <f t="shared" si="6"/>
        <v>0</v>
      </c>
      <c r="C11" s="388">
        <f t="shared" si="7"/>
        <v>44965</v>
      </c>
      <c r="D11" s="377">
        <v>441530</v>
      </c>
      <c r="E11" s="494">
        <f t="shared" si="8"/>
        <v>1010</v>
      </c>
      <c r="F11" s="377">
        <v>4197718</v>
      </c>
      <c r="G11" s="399">
        <f t="shared" si="37"/>
        <v>298</v>
      </c>
      <c r="H11" s="377">
        <v>18117610</v>
      </c>
      <c r="I11" s="399">
        <f t="shared" si="38"/>
        <v>384</v>
      </c>
      <c r="J11" s="377">
        <v>29917378</v>
      </c>
      <c r="K11" s="399">
        <f t="shared" si="39"/>
        <v>874</v>
      </c>
      <c r="L11" s="377">
        <v>24737470</v>
      </c>
      <c r="M11" s="399">
        <f t="shared" si="40"/>
        <v>872</v>
      </c>
      <c r="N11" s="265">
        <f t="shared" si="41"/>
        <v>3438</v>
      </c>
      <c r="O11" s="396">
        <f t="shared" ref="O11:O31" si="42">IF(B11&gt;0,N11/B11,0)</f>
        <v>0</v>
      </c>
      <c r="P11" s="526">
        <v>19788.774000000001</v>
      </c>
      <c r="Q11" s="379">
        <f t="shared" si="1"/>
        <v>3497.9999999995925</v>
      </c>
      <c r="R11" s="379">
        <f t="shared" ref="R11:R18" si="43">N11-Q11</f>
        <v>-59.999999999592546</v>
      </c>
      <c r="S11" s="377">
        <f t="shared" ref="S11:S32" si="44">S10</f>
        <v>10175</v>
      </c>
      <c r="T11" s="397">
        <f t="shared" si="2"/>
        <v>0</v>
      </c>
      <c r="U11" s="377">
        <f t="shared" ref="U11:U32" si="45">U10</f>
        <v>429166</v>
      </c>
      <c r="V11" s="379">
        <f t="shared" ref="V11:V30" si="46">U11-U10</f>
        <v>0</v>
      </c>
      <c r="W11" s="377">
        <f t="shared" si="14"/>
        <v>33502</v>
      </c>
      <c r="X11" s="379">
        <f t="shared" ref="X11:X31" si="47">W11-W10</f>
        <v>0</v>
      </c>
      <c r="Y11" s="377">
        <f t="shared" si="16"/>
        <v>1001284</v>
      </c>
      <c r="Z11" s="379">
        <f t="shared" ref="Z11:Z31" si="48">Y11-Y10</f>
        <v>0</v>
      </c>
      <c r="AA11" s="377">
        <f t="shared" ref="AA11:AA32" si="49">AA10</f>
        <v>36804</v>
      </c>
      <c r="AB11" s="379">
        <f t="shared" ref="AB11:AB31" si="50">AA11-AA10</f>
        <v>0</v>
      </c>
      <c r="AC11" s="377">
        <f t="shared" ref="AC11:AC32" si="51">AC10</f>
        <v>1173391</v>
      </c>
      <c r="AD11" s="379">
        <f t="shared" si="30"/>
        <v>0</v>
      </c>
      <c r="AE11" s="400">
        <f t="shared" si="21"/>
        <v>0</v>
      </c>
      <c r="AF11" s="401">
        <f t="shared" si="4"/>
        <v>0</v>
      </c>
      <c r="AG11" s="394">
        <f t="shared" ref="AG11:AG32" si="52">IF(AE11&gt;0,AF11/AE11,0)</f>
        <v>0</v>
      </c>
      <c r="AJ11" s="470"/>
    </row>
    <row r="12" spans="1:36">
      <c r="A12" s="387">
        <f>'General information '!F13</f>
        <v>0</v>
      </c>
      <c r="B12" s="381">
        <f>SUM(230*A12)</f>
        <v>0</v>
      </c>
      <c r="C12" s="388">
        <f t="shared" si="7"/>
        <v>44966</v>
      </c>
      <c r="D12" s="377">
        <f t="shared" si="31"/>
        <v>441530</v>
      </c>
      <c r="E12" s="494">
        <f>D12-D11</f>
        <v>0</v>
      </c>
      <c r="F12" s="377">
        <f t="shared" si="32"/>
        <v>4197718</v>
      </c>
      <c r="G12" s="399">
        <f t="shared" si="37"/>
        <v>0</v>
      </c>
      <c r="H12" s="377">
        <f t="shared" si="33"/>
        <v>18117610</v>
      </c>
      <c r="I12" s="399">
        <f t="shared" si="38"/>
        <v>0</v>
      </c>
      <c r="J12" s="377">
        <f t="shared" si="34"/>
        <v>29917378</v>
      </c>
      <c r="K12" s="399">
        <f t="shared" si="39"/>
        <v>0</v>
      </c>
      <c r="L12" s="377">
        <f t="shared" si="35"/>
        <v>24737470</v>
      </c>
      <c r="M12" s="399">
        <f t="shared" si="40"/>
        <v>0</v>
      </c>
      <c r="N12" s="265">
        <f>M12+K12+I12+G12+E12</f>
        <v>0</v>
      </c>
      <c r="O12" s="396">
        <f t="shared" si="42"/>
        <v>0</v>
      </c>
      <c r="P12" s="526">
        <f t="shared" si="36"/>
        <v>19788.774000000001</v>
      </c>
      <c r="Q12" s="379">
        <f t="shared" si="1"/>
        <v>0</v>
      </c>
      <c r="R12" s="503">
        <f>N12-Q12</f>
        <v>0</v>
      </c>
      <c r="S12" s="377">
        <f t="shared" si="44"/>
        <v>10175</v>
      </c>
      <c r="T12" s="397">
        <f t="shared" si="2"/>
        <v>0</v>
      </c>
      <c r="U12" s="377">
        <f t="shared" si="45"/>
        <v>429166</v>
      </c>
      <c r="V12" s="379">
        <f t="shared" si="46"/>
        <v>0</v>
      </c>
      <c r="W12" s="377">
        <f t="shared" si="14"/>
        <v>33502</v>
      </c>
      <c r="X12" s="379">
        <f t="shared" si="47"/>
        <v>0</v>
      </c>
      <c r="Y12" s="377">
        <f t="shared" si="16"/>
        <v>1001284</v>
      </c>
      <c r="Z12" s="379">
        <f t="shared" si="48"/>
        <v>0</v>
      </c>
      <c r="AA12" s="377">
        <f t="shared" si="49"/>
        <v>36804</v>
      </c>
      <c r="AB12" s="379">
        <f t="shared" si="50"/>
        <v>0</v>
      </c>
      <c r="AC12" s="377">
        <f t="shared" si="51"/>
        <v>1173391</v>
      </c>
      <c r="AD12" s="379">
        <f t="shared" si="30"/>
        <v>0</v>
      </c>
      <c r="AE12" s="400">
        <f t="shared" si="21"/>
        <v>0</v>
      </c>
      <c r="AF12" s="401">
        <f t="shared" si="4"/>
        <v>0</v>
      </c>
      <c r="AG12" s="394">
        <f t="shared" si="52"/>
        <v>0</v>
      </c>
      <c r="AJ12" s="470"/>
    </row>
    <row r="13" spans="1:36">
      <c r="A13" s="387">
        <f>'General information '!F14</f>
        <v>0</v>
      </c>
      <c r="B13" s="381">
        <f t="shared" si="6"/>
        <v>0</v>
      </c>
      <c r="C13" s="388">
        <f t="shared" si="7"/>
        <v>44967</v>
      </c>
      <c r="D13" s="377">
        <f t="shared" si="31"/>
        <v>441530</v>
      </c>
      <c r="E13" s="494">
        <f t="shared" si="8"/>
        <v>0</v>
      </c>
      <c r="F13" s="377">
        <f t="shared" si="32"/>
        <v>4197718</v>
      </c>
      <c r="G13" s="399">
        <f t="shared" si="37"/>
        <v>0</v>
      </c>
      <c r="H13" s="377">
        <f t="shared" si="33"/>
        <v>18117610</v>
      </c>
      <c r="I13" s="399">
        <f t="shared" si="38"/>
        <v>0</v>
      </c>
      <c r="J13" s="377">
        <f t="shared" si="34"/>
        <v>29917378</v>
      </c>
      <c r="K13" s="399">
        <f t="shared" si="39"/>
        <v>0</v>
      </c>
      <c r="L13" s="377">
        <f t="shared" si="35"/>
        <v>24737470</v>
      </c>
      <c r="M13" s="399">
        <f t="shared" si="40"/>
        <v>0</v>
      </c>
      <c r="N13" s="265">
        <f>M13+K13+I13+G13+E13</f>
        <v>0</v>
      </c>
      <c r="O13" s="396">
        <f t="shared" si="42"/>
        <v>0</v>
      </c>
      <c r="P13" s="526">
        <f t="shared" si="36"/>
        <v>19788.774000000001</v>
      </c>
      <c r="Q13" s="379">
        <f t="shared" si="1"/>
        <v>0</v>
      </c>
      <c r="R13" s="379">
        <f t="shared" si="43"/>
        <v>0</v>
      </c>
      <c r="S13" s="377">
        <f t="shared" si="44"/>
        <v>10175</v>
      </c>
      <c r="T13" s="397">
        <f t="shared" si="2"/>
        <v>0</v>
      </c>
      <c r="U13" s="377">
        <f t="shared" si="45"/>
        <v>429166</v>
      </c>
      <c r="V13" s="379">
        <f t="shared" si="46"/>
        <v>0</v>
      </c>
      <c r="W13" s="377">
        <f t="shared" si="14"/>
        <v>33502</v>
      </c>
      <c r="X13" s="379">
        <f t="shared" si="47"/>
        <v>0</v>
      </c>
      <c r="Y13" s="377">
        <f t="shared" si="16"/>
        <v>1001284</v>
      </c>
      <c r="Z13" s="379">
        <f t="shared" si="48"/>
        <v>0</v>
      </c>
      <c r="AA13" s="377">
        <f t="shared" si="49"/>
        <v>36804</v>
      </c>
      <c r="AB13" s="379">
        <f t="shared" si="50"/>
        <v>0</v>
      </c>
      <c r="AC13" s="377">
        <f t="shared" si="51"/>
        <v>1173391</v>
      </c>
      <c r="AD13" s="379">
        <f t="shared" si="30"/>
        <v>0</v>
      </c>
      <c r="AE13" s="400">
        <f t="shared" si="21"/>
        <v>0</v>
      </c>
      <c r="AF13" s="401">
        <f t="shared" si="4"/>
        <v>0</v>
      </c>
      <c r="AG13" s="394">
        <f t="shared" si="52"/>
        <v>0</v>
      </c>
      <c r="AJ13" s="470"/>
    </row>
    <row r="14" spans="1:36">
      <c r="A14" s="387">
        <f>'General information '!F15</f>
        <v>0</v>
      </c>
      <c r="B14" s="381">
        <f t="shared" si="6"/>
        <v>0</v>
      </c>
      <c r="C14" s="388">
        <f t="shared" si="7"/>
        <v>44968</v>
      </c>
      <c r="D14" s="377">
        <f t="shared" si="31"/>
        <v>441530</v>
      </c>
      <c r="E14" s="494">
        <f t="shared" si="8"/>
        <v>0</v>
      </c>
      <c r="F14" s="377">
        <f t="shared" si="32"/>
        <v>4197718</v>
      </c>
      <c r="G14" s="399">
        <f t="shared" si="37"/>
        <v>0</v>
      </c>
      <c r="H14" s="377">
        <f t="shared" si="33"/>
        <v>18117610</v>
      </c>
      <c r="I14" s="399">
        <f t="shared" si="38"/>
        <v>0</v>
      </c>
      <c r="J14" s="377">
        <f t="shared" si="34"/>
        <v>29917378</v>
      </c>
      <c r="K14" s="399">
        <f t="shared" si="39"/>
        <v>0</v>
      </c>
      <c r="L14" s="377">
        <f t="shared" si="35"/>
        <v>24737470</v>
      </c>
      <c r="M14" s="399">
        <f t="shared" si="40"/>
        <v>0</v>
      </c>
      <c r="N14" s="265">
        <f>M14+K14+I14+G14+E14</f>
        <v>0</v>
      </c>
      <c r="O14" s="396">
        <f t="shared" si="42"/>
        <v>0</v>
      </c>
      <c r="P14" s="526">
        <f t="shared" si="36"/>
        <v>19788.774000000001</v>
      </c>
      <c r="Q14" s="379">
        <f t="shared" si="1"/>
        <v>0</v>
      </c>
      <c r="R14" s="379">
        <f t="shared" si="43"/>
        <v>0</v>
      </c>
      <c r="S14" s="377">
        <f t="shared" si="44"/>
        <v>10175</v>
      </c>
      <c r="T14" s="397">
        <f t="shared" si="2"/>
        <v>0</v>
      </c>
      <c r="U14" s="377">
        <f t="shared" si="45"/>
        <v>429166</v>
      </c>
      <c r="V14" s="379">
        <f t="shared" si="46"/>
        <v>0</v>
      </c>
      <c r="W14" s="377">
        <f t="shared" si="14"/>
        <v>33502</v>
      </c>
      <c r="X14" s="379">
        <f t="shared" si="47"/>
        <v>0</v>
      </c>
      <c r="Y14" s="377">
        <f t="shared" si="16"/>
        <v>1001284</v>
      </c>
      <c r="Z14" s="379">
        <f t="shared" si="48"/>
        <v>0</v>
      </c>
      <c r="AA14" s="377">
        <f t="shared" si="49"/>
        <v>36804</v>
      </c>
      <c r="AB14" s="379">
        <f t="shared" si="50"/>
        <v>0</v>
      </c>
      <c r="AC14" s="377">
        <f t="shared" si="51"/>
        <v>1173391</v>
      </c>
      <c r="AD14" s="379">
        <f t="shared" si="30"/>
        <v>0</v>
      </c>
      <c r="AE14" s="400">
        <f t="shared" si="21"/>
        <v>0</v>
      </c>
      <c r="AF14" s="401">
        <f t="shared" si="4"/>
        <v>0</v>
      </c>
      <c r="AG14" s="394">
        <f t="shared" si="52"/>
        <v>0</v>
      </c>
      <c r="AJ14" s="470"/>
    </row>
    <row r="15" spans="1:36">
      <c r="A15" s="387">
        <f>'General information '!F16</f>
        <v>0</v>
      </c>
      <c r="B15" s="381">
        <f t="shared" si="6"/>
        <v>0</v>
      </c>
      <c r="C15" s="388">
        <f t="shared" si="7"/>
        <v>44969</v>
      </c>
      <c r="D15" s="377">
        <v>442330</v>
      </c>
      <c r="E15" s="494">
        <f t="shared" si="8"/>
        <v>800</v>
      </c>
      <c r="F15" s="377">
        <v>4198013</v>
      </c>
      <c r="G15" s="399">
        <f t="shared" si="37"/>
        <v>295</v>
      </c>
      <c r="H15" s="377">
        <v>18118018</v>
      </c>
      <c r="I15" s="399">
        <f t="shared" si="38"/>
        <v>408</v>
      </c>
      <c r="J15" s="377">
        <v>29918058</v>
      </c>
      <c r="K15" s="399">
        <f t="shared" si="39"/>
        <v>680</v>
      </c>
      <c r="L15" s="377">
        <v>24738290</v>
      </c>
      <c r="M15" s="399">
        <f t="shared" si="40"/>
        <v>820</v>
      </c>
      <c r="N15" s="265">
        <f t="shared" si="41"/>
        <v>3003</v>
      </c>
      <c r="O15" s="396">
        <f t="shared" si="42"/>
        <v>0</v>
      </c>
      <c r="P15" s="526">
        <v>19791.026000000002</v>
      </c>
      <c r="Q15" s="379">
        <f t="shared" si="1"/>
        <v>2252.0000000004075</v>
      </c>
      <c r="R15" s="503">
        <f>N15-Q15</f>
        <v>750.99999999959255</v>
      </c>
      <c r="S15" s="377">
        <f t="shared" si="44"/>
        <v>10175</v>
      </c>
      <c r="T15" s="397">
        <f t="shared" si="2"/>
        <v>0</v>
      </c>
      <c r="U15" s="377">
        <f t="shared" si="45"/>
        <v>429166</v>
      </c>
      <c r="V15" s="379">
        <f t="shared" si="46"/>
        <v>0</v>
      </c>
      <c r="W15" s="377">
        <f t="shared" si="14"/>
        <v>33502</v>
      </c>
      <c r="X15" s="379">
        <f t="shared" si="47"/>
        <v>0</v>
      </c>
      <c r="Y15" s="377">
        <f t="shared" si="16"/>
        <v>1001284</v>
      </c>
      <c r="Z15" s="379">
        <f t="shared" si="48"/>
        <v>0</v>
      </c>
      <c r="AA15" s="377">
        <f t="shared" si="49"/>
        <v>36804</v>
      </c>
      <c r="AB15" s="379">
        <f t="shared" si="50"/>
        <v>0</v>
      </c>
      <c r="AC15" s="377">
        <f t="shared" si="51"/>
        <v>1173391</v>
      </c>
      <c r="AD15" s="379">
        <f t="shared" si="30"/>
        <v>0</v>
      </c>
      <c r="AE15" s="400">
        <f t="shared" si="21"/>
        <v>0</v>
      </c>
      <c r="AF15" s="401">
        <f t="shared" si="4"/>
        <v>0</v>
      </c>
      <c r="AG15" s="394">
        <f t="shared" si="52"/>
        <v>0</v>
      </c>
      <c r="AJ15" s="470"/>
    </row>
    <row r="16" spans="1:36">
      <c r="A16" s="387">
        <f>'General information '!F17</f>
        <v>0</v>
      </c>
      <c r="B16" s="381">
        <f t="shared" si="6"/>
        <v>0</v>
      </c>
      <c r="C16" s="388">
        <f t="shared" si="7"/>
        <v>44970</v>
      </c>
      <c r="D16" s="377">
        <v>443040</v>
      </c>
      <c r="E16" s="494">
        <f t="shared" si="8"/>
        <v>710</v>
      </c>
      <c r="F16" s="377">
        <v>4198418</v>
      </c>
      <c r="G16" s="399">
        <f t="shared" si="37"/>
        <v>405</v>
      </c>
      <c r="H16" s="377">
        <v>18118482</v>
      </c>
      <c r="I16" s="399">
        <f t="shared" si="38"/>
        <v>464</v>
      </c>
      <c r="J16" s="377">
        <v>29918838</v>
      </c>
      <c r="K16" s="399">
        <f t="shared" si="39"/>
        <v>780</v>
      </c>
      <c r="L16" s="377">
        <v>24739156</v>
      </c>
      <c r="M16" s="399">
        <f t="shared" si="40"/>
        <v>866</v>
      </c>
      <c r="N16" s="265">
        <f t="shared" si="41"/>
        <v>3225</v>
      </c>
      <c r="O16" s="396">
        <f t="shared" si="42"/>
        <v>0</v>
      </c>
      <c r="P16" s="526">
        <v>19793.797999999999</v>
      </c>
      <c r="Q16" s="379">
        <f t="shared" si="1"/>
        <v>2771.999999997206</v>
      </c>
      <c r="R16" s="379">
        <f t="shared" si="43"/>
        <v>453.00000000279397</v>
      </c>
      <c r="S16" s="377">
        <f t="shared" si="44"/>
        <v>10175</v>
      </c>
      <c r="T16" s="397">
        <f t="shared" si="2"/>
        <v>0</v>
      </c>
      <c r="U16" s="377">
        <f t="shared" si="45"/>
        <v>429166</v>
      </c>
      <c r="V16" s="379">
        <f t="shared" si="46"/>
        <v>0</v>
      </c>
      <c r="W16" s="377">
        <f t="shared" si="14"/>
        <v>33502</v>
      </c>
      <c r="X16" s="379">
        <f t="shared" si="47"/>
        <v>0</v>
      </c>
      <c r="Y16" s="377">
        <f t="shared" si="16"/>
        <v>1001284</v>
      </c>
      <c r="Z16" s="379">
        <f t="shared" si="48"/>
        <v>0</v>
      </c>
      <c r="AA16" s="377">
        <f t="shared" si="49"/>
        <v>36804</v>
      </c>
      <c r="AB16" s="379">
        <f t="shared" si="50"/>
        <v>0</v>
      </c>
      <c r="AC16" s="377">
        <f t="shared" si="51"/>
        <v>1173391</v>
      </c>
      <c r="AD16" s="379">
        <f t="shared" si="30"/>
        <v>0</v>
      </c>
      <c r="AE16" s="400">
        <f t="shared" si="21"/>
        <v>0</v>
      </c>
      <c r="AF16" s="401">
        <f t="shared" si="4"/>
        <v>0</v>
      </c>
      <c r="AG16" s="394">
        <f t="shared" si="52"/>
        <v>0</v>
      </c>
      <c r="AJ16" s="470"/>
    </row>
    <row r="17" spans="1:36">
      <c r="A17" s="387">
        <f>'General information '!F18</f>
        <v>0</v>
      </c>
      <c r="B17" s="381">
        <f t="shared" si="6"/>
        <v>0</v>
      </c>
      <c r="C17" s="388">
        <f t="shared" si="7"/>
        <v>44971</v>
      </c>
      <c r="D17" s="377">
        <v>443700</v>
      </c>
      <c r="E17" s="494">
        <f t="shared" si="8"/>
        <v>660</v>
      </c>
      <c r="F17" s="377">
        <v>4198782</v>
      </c>
      <c r="G17" s="399">
        <f t="shared" si="37"/>
        <v>364</v>
      </c>
      <c r="H17" s="377">
        <v>18118866</v>
      </c>
      <c r="I17" s="399">
        <f t="shared" si="38"/>
        <v>384</v>
      </c>
      <c r="J17" s="377">
        <v>29919532</v>
      </c>
      <c r="K17" s="399">
        <f t="shared" si="39"/>
        <v>694</v>
      </c>
      <c r="L17" s="377">
        <v>24739842</v>
      </c>
      <c r="M17" s="399">
        <f t="shared" si="40"/>
        <v>686</v>
      </c>
      <c r="N17" s="265">
        <f t="shared" si="41"/>
        <v>2788</v>
      </c>
      <c r="O17" s="396">
        <f t="shared" si="42"/>
        <v>0</v>
      </c>
      <c r="P17" s="526">
        <v>19796.116999999998</v>
      </c>
      <c r="Q17" s="379">
        <f t="shared" si="1"/>
        <v>2318.9999999995052</v>
      </c>
      <c r="R17" s="379">
        <f t="shared" si="43"/>
        <v>469.00000000049477</v>
      </c>
      <c r="S17" s="377">
        <f t="shared" si="44"/>
        <v>10175</v>
      </c>
      <c r="T17" s="397">
        <f t="shared" si="2"/>
        <v>0</v>
      </c>
      <c r="U17" s="377">
        <f t="shared" si="45"/>
        <v>429166</v>
      </c>
      <c r="V17" s="379">
        <f t="shared" si="46"/>
        <v>0</v>
      </c>
      <c r="W17" s="377">
        <v>33503</v>
      </c>
      <c r="X17" s="379">
        <f>W17-W16</f>
        <v>1</v>
      </c>
      <c r="Y17" s="377">
        <v>1001544</v>
      </c>
      <c r="Z17" s="379">
        <f>Y17-Y16</f>
        <v>260</v>
      </c>
      <c r="AA17" s="377">
        <f t="shared" si="49"/>
        <v>36804</v>
      </c>
      <c r="AB17" s="379">
        <f>AA17-AA16</f>
        <v>0</v>
      </c>
      <c r="AC17" s="377">
        <f t="shared" si="51"/>
        <v>1173391</v>
      </c>
      <c r="AD17" s="379">
        <f t="shared" si="30"/>
        <v>0</v>
      </c>
      <c r="AE17" s="400">
        <f t="shared" si="21"/>
        <v>1</v>
      </c>
      <c r="AF17" s="401">
        <f t="shared" si="4"/>
        <v>260</v>
      </c>
      <c r="AG17" s="394">
        <f t="shared" si="52"/>
        <v>260</v>
      </c>
      <c r="AJ17" s="470"/>
    </row>
    <row r="18" spans="1:36">
      <c r="A18" s="387">
        <f>'General information '!F19</f>
        <v>0</v>
      </c>
      <c r="B18" s="381">
        <f t="shared" si="6"/>
        <v>0</v>
      </c>
      <c r="C18" s="388">
        <f t="shared" si="7"/>
        <v>44972</v>
      </c>
      <c r="D18" s="377">
        <v>444300</v>
      </c>
      <c r="E18" s="494">
        <f t="shared" si="8"/>
        <v>600</v>
      </c>
      <c r="F18" s="377">
        <v>4199089</v>
      </c>
      <c r="G18" s="399">
        <f t="shared" si="37"/>
        <v>307</v>
      </c>
      <c r="H18" s="377">
        <v>18119198</v>
      </c>
      <c r="I18" s="399">
        <f t="shared" si="38"/>
        <v>332</v>
      </c>
      <c r="J18" s="377">
        <v>29920082</v>
      </c>
      <c r="K18" s="399">
        <f t="shared" si="39"/>
        <v>550</v>
      </c>
      <c r="L18" s="377">
        <v>24740358</v>
      </c>
      <c r="M18" s="399">
        <f t="shared" si="40"/>
        <v>516</v>
      </c>
      <c r="N18" s="265">
        <f>M18+K18+I18+G18+E18</f>
        <v>2305</v>
      </c>
      <c r="O18" s="396">
        <f t="shared" si="42"/>
        <v>0</v>
      </c>
      <c r="P18" s="526">
        <v>19797.964</v>
      </c>
      <c r="Q18" s="379">
        <f t="shared" si="1"/>
        <v>1847.0000000015716</v>
      </c>
      <c r="R18" s="379">
        <f t="shared" si="43"/>
        <v>457.99999999842839</v>
      </c>
      <c r="S18" s="377">
        <f t="shared" si="44"/>
        <v>10175</v>
      </c>
      <c r="T18" s="397">
        <f t="shared" si="2"/>
        <v>0</v>
      </c>
      <c r="U18" s="377">
        <f t="shared" si="45"/>
        <v>429166</v>
      </c>
      <c r="V18" s="379">
        <f t="shared" si="46"/>
        <v>0</v>
      </c>
      <c r="W18" s="377">
        <f t="shared" si="14"/>
        <v>33503</v>
      </c>
      <c r="X18" s="379">
        <f t="shared" si="47"/>
        <v>0</v>
      </c>
      <c r="Y18" s="377">
        <f t="shared" si="16"/>
        <v>1001544</v>
      </c>
      <c r="Z18" s="379">
        <f t="shared" si="48"/>
        <v>0</v>
      </c>
      <c r="AA18" s="377">
        <f t="shared" si="49"/>
        <v>36804</v>
      </c>
      <c r="AB18" s="379">
        <f t="shared" si="50"/>
        <v>0</v>
      </c>
      <c r="AC18" s="377">
        <f t="shared" si="51"/>
        <v>1173391</v>
      </c>
      <c r="AD18" s="379">
        <f t="shared" ref="AD18:AD31" si="53">AC18-AC17</f>
        <v>0</v>
      </c>
      <c r="AE18" s="400">
        <f t="shared" si="21"/>
        <v>0</v>
      </c>
      <c r="AF18" s="401">
        <f t="shared" si="4"/>
        <v>0</v>
      </c>
      <c r="AG18" s="394">
        <f t="shared" si="52"/>
        <v>0</v>
      </c>
      <c r="AJ18" s="470"/>
    </row>
    <row r="19" spans="1:36">
      <c r="A19" s="387">
        <f>'General information '!F20</f>
        <v>0</v>
      </c>
      <c r="B19" s="381">
        <f t="shared" si="6"/>
        <v>0</v>
      </c>
      <c r="C19" s="388">
        <f t="shared" si="7"/>
        <v>44973</v>
      </c>
      <c r="D19" s="377">
        <v>444960</v>
      </c>
      <c r="E19" s="494">
        <f t="shared" si="8"/>
        <v>660</v>
      </c>
      <c r="F19" s="377">
        <v>4199434</v>
      </c>
      <c r="G19" s="399">
        <f t="shared" si="37"/>
        <v>345</v>
      </c>
      <c r="H19" s="377">
        <v>18119606</v>
      </c>
      <c r="I19" s="399">
        <f t="shared" si="38"/>
        <v>408</v>
      </c>
      <c r="J19" s="377">
        <v>29920778</v>
      </c>
      <c r="K19" s="399">
        <f t="shared" si="39"/>
        <v>696</v>
      </c>
      <c r="L19" s="377">
        <v>24741038</v>
      </c>
      <c r="M19" s="399">
        <f t="shared" si="40"/>
        <v>680</v>
      </c>
      <c r="N19" s="265">
        <f t="shared" si="41"/>
        <v>2789</v>
      </c>
      <c r="O19" s="396">
        <f t="shared" si="42"/>
        <v>0</v>
      </c>
      <c r="P19" s="526">
        <v>19800.593000000001</v>
      </c>
      <c r="Q19" s="379">
        <f>(P19-P18)*1000</f>
        <v>2629.0000000008149</v>
      </c>
      <c r="R19" s="503">
        <f>N19-Q19</f>
        <v>159.99999999918509</v>
      </c>
      <c r="S19" s="377">
        <f t="shared" si="44"/>
        <v>10175</v>
      </c>
      <c r="T19" s="397">
        <f t="shared" si="2"/>
        <v>0</v>
      </c>
      <c r="U19" s="377">
        <f t="shared" si="45"/>
        <v>429166</v>
      </c>
      <c r="V19" s="379">
        <f t="shared" si="46"/>
        <v>0</v>
      </c>
      <c r="W19" s="377">
        <f t="shared" si="14"/>
        <v>33503</v>
      </c>
      <c r="X19" s="379">
        <f t="shared" si="47"/>
        <v>0</v>
      </c>
      <c r="Y19" s="377">
        <f t="shared" si="16"/>
        <v>1001544</v>
      </c>
      <c r="Z19" s="379">
        <f t="shared" si="48"/>
        <v>0</v>
      </c>
      <c r="AA19" s="377">
        <f t="shared" si="49"/>
        <v>36804</v>
      </c>
      <c r="AB19" s="379">
        <f t="shared" si="50"/>
        <v>0</v>
      </c>
      <c r="AC19" s="377">
        <f t="shared" si="51"/>
        <v>1173391</v>
      </c>
      <c r="AD19" s="379">
        <f t="shared" si="53"/>
        <v>0</v>
      </c>
      <c r="AE19" s="400">
        <f t="shared" si="21"/>
        <v>0</v>
      </c>
      <c r="AF19" s="401">
        <f t="shared" si="4"/>
        <v>0</v>
      </c>
      <c r="AG19" s="394">
        <f t="shared" si="52"/>
        <v>0</v>
      </c>
      <c r="AJ19" s="470"/>
    </row>
    <row r="20" spans="1:36">
      <c r="A20" s="387">
        <f>'General information '!F21</f>
        <v>0</v>
      </c>
      <c r="B20" s="381">
        <f t="shared" si="6"/>
        <v>0</v>
      </c>
      <c r="C20" s="388">
        <f t="shared" si="7"/>
        <v>44974</v>
      </c>
      <c r="D20" s="377">
        <v>444960</v>
      </c>
      <c r="E20" s="494">
        <f t="shared" si="8"/>
        <v>0</v>
      </c>
      <c r="F20" s="377">
        <v>4199434</v>
      </c>
      <c r="G20" s="399">
        <f t="shared" si="37"/>
        <v>0</v>
      </c>
      <c r="H20" s="377">
        <v>18119606</v>
      </c>
      <c r="I20" s="399">
        <f t="shared" si="38"/>
        <v>0</v>
      </c>
      <c r="J20" s="377">
        <v>29920778</v>
      </c>
      <c r="K20" s="399">
        <f t="shared" si="39"/>
        <v>0</v>
      </c>
      <c r="L20" s="377">
        <v>24741038</v>
      </c>
      <c r="M20" s="399">
        <f t="shared" si="40"/>
        <v>0</v>
      </c>
      <c r="N20" s="265">
        <f t="shared" si="41"/>
        <v>0</v>
      </c>
      <c r="O20" s="396">
        <f t="shared" si="42"/>
        <v>0</v>
      </c>
      <c r="P20" s="526">
        <v>19800.593000000001</v>
      </c>
      <c r="Q20" s="379">
        <f>(P20-P19)*1000</f>
        <v>0</v>
      </c>
      <c r="R20" s="503">
        <f>N20-Q20</f>
        <v>0</v>
      </c>
      <c r="S20" s="377">
        <f t="shared" si="44"/>
        <v>10175</v>
      </c>
      <c r="T20" s="397">
        <f t="shared" si="2"/>
        <v>0</v>
      </c>
      <c r="U20" s="377">
        <f t="shared" si="45"/>
        <v>429166</v>
      </c>
      <c r="V20" s="379">
        <f t="shared" si="46"/>
        <v>0</v>
      </c>
      <c r="W20" s="377">
        <f t="shared" si="14"/>
        <v>33503</v>
      </c>
      <c r="X20" s="379">
        <f t="shared" si="47"/>
        <v>0</v>
      </c>
      <c r="Y20" s="377">
        <f t="shared" si="16"/>
        <v>1001544</v>
      </c>
      <c r="Z20" s="379">
        <f t="shared" si="48"/>
        <v>0</v>
      </c>
      <c r="AA20" s="377">
        <f t="shared" si="49"/>
        <v>36804</v>
      </c>
      <c r="AB20" s="379">
        <f t="shared" si="50"/>
        <v>0</v>
      </c>
      <c r="AC20" s="377">
        <f t="shared" si="51"/>
        <v>1173391</v>
      </c>
      <c r="AD20" s="379">
        <f t="shared" si="53"/>
        <v>0</v>
      </c>
      <c r="AE20" s="400">
        <f t="shared" si="21"/>
        <v>0</v>
      </c>
      <c r="AF20" s="401">
        <f t="shared" si="4"/>
        <v>0</v>
      </c>
      <c r="AG20" s="394">
        <f t="shared" si="52"/>
        <v>0</v>
      </c>
      <c r="AJ20" s="470"/>
    </row>
    <row r="21" spans="1:36">
      <c r="A21" s="387">
        <f>'General information '!F22</f>
        <v>0</v>
      </c>
      <c r="B21" s="381">
        <f t="shared" si="6"/>
        <v>0</v>
      </c>
      <c r="C21" s="388">
        <f t="shared" si="7"/>
        <v>44975</v>
      </c>
      <c r="D21" s="377">
        <v>444960</v>
      </c>
      <c r="E21" s="494">
        <f t="shared" si="8"/>
        <v>0</v>
      </c>
      <c r="F21" s="377">
        <v>4199434</v>
      </c>
      <c r="G21" s="399">
        <f t="shared" si="37"/>
        <v>0</v>
      </c>
      <c r="H21" s="377">
        <f t="shared" si="33"/>
        <v>18119606</v>
      </c>
      <c r="I21" s="399">
        <f t="shared" si="38"/>
        <v>0</v>
      </c>
      <c r="J21" s="377">
        <f t="shared" si="34"/>
        <v>29920778</v>
      </c>
      <c r="K21" s="399">
        <f t="shared" si="39"/>
        <v>0</v>
      </c>
      <c r="L21" s="377">
        <v>24741038</v>
      </c>
      <c r="M21" s="399">
        <f t="shared" si="40"/>
        <v>0</v>
      </c>
      <c r="N21" s="265">
        <f t="shared" si="41"/>
        <v>0</v>
      </c>
      <c r="O21" s="396">
        <f t="shared" si="42"/>
        <v>0</v>
      </c>
      <c r="P21" s="526">
        <f t="shared" si="36"/>
        <v>19800.593000000001</v>
      </c>
      <c r="Q21" s="379">
        <f t="shared" si="1"/>
        <v>0</v>
      </c>
      <c r="R21" s="503">
        <f t="shared" ref="R21:R31" si="54">N21-Q21</f>
        <v>0</v>
      </c>
      <c r="S21" s="377">
        <f t="shared" si="44"/>
        <v>10175</v>
      </c>
      <c r="T21" s="397">
        <f t="shared" si="2"/>
        <v>0</v>
      </c>
      <c r="U21" s="377">
        <f t="shared" si="45"/>
        <v>429166</v>
      </c>
      <c r="V21" s="379">
        <f t="shared" si="46"/>
        <v>0</v>
      </c>
      <c r="W21" s="377">
        <f t="shared" si="14"/>
        <v>33503</v>
      </c>
      <c r="X21" s="379">
        <f t="shared" si="47"/>
        <v>0</v>
      </c>
      <c r="Y21" s="377">
        <f t="shared" si="16"/>
        <v>1001544</v>
      </c>
      <c r="Z21" s="379">
        <f t="shared" si="48"/>
        <v>0</v>
      </c>
      <c r="AA21" s="377">
        <f t="shared" si="49"/>
        <v>36804</v>
      </c>
      <c r="AB21" s="379">
        <f t="shared" si="50"/>
        <v>0</v>
      </c>
      <c r="AC21" s="377">
        <f t="shared" si="51"/>
        <v>1173391</v>
      </c>
      <c r="AD21" s="379">
        <f t="shared" si="53"/>
        <v>0</v>
      </c>
      <c r="AE21" s="400">
        <f t="shared" si="21"/>
        <v>0</v>
      </c>
      <c r="AF21" s="401">
        <f t="shared" si="4"/>
        <v>0</v>
      </c>
      <c r="AG21" s="394">
        <f t="shared" si="52"/>
        <v>0</v>
      </c>
      <c r="AJ21" s="470"/>
    </row>
    <row r="22" spans="1:36">
      <c r="A22" s="387">
        <f>'General information '!F23</f>
        <v>0</v>
      </c>
      <c r="B22" s="381">
        <f t="shared" si="6"/>
        <v>0</v>
      </c>
      <c r="C22" s="388">
        <f t="shared" si="7"/>
        <v>44976</v>
      </c>
      <c r="D22" s="377">
        <v>445550</v>
      </c>
      <c r="E22" s="494">
        <f t="shared" si="8"/>
        <v>590</v>
      </c>
      <c r="F22" s="377">
        <v>4199765</v>
      </c>
      <c r="G22" s="399">
        <f t="shared" ref="G22" si="55">F22-F21</f>
        <v>331</v>
      </c>
      <c r="H22" s="377">
        <v>18120036</v>
      </c>
      <c r="I22" s="399">
        <f t="shared" si="38"/>
        <v>430</v>
      </c>
      <c r="J22" s="377">
        <v>29921452</v>
      </c>
      <c r="K22" s="399">
        <f t="shared" ref="K22" si="56">J22-J21</f>
        <v>674</v>
      </c>
      <c r="L22" s="377">
        <v>24741812</v>
      </c>
      <c r="M22" s="399">
        <f t="shared" ref="M22" si="57">L22-L21</f>
        <v>774</v>
      </c>
      <c r="N22" s="265">
        <f t="shared" ref="N22" si="58">M22+K22+I22+G22+E22</f>
        <v>2799</v>
      </c>
      <c r="O22" s="396">
        <f t="shared" ref="O22" si="59">IF(B22&gt;0,N22/B22,0)</f>
        <v>0</v>
      </c>
      <c r="P22" s="526">
        <v>19802.984</v>
      </c>
      <c r="Q22" s="379">
        <f t="shared" ref="Q22" si="60">(P22-P21)*1000</f>
        <v>2390.9999999996217</v>
      </c>
      <c r="R22" s="503">
        <f t="shared" ref="R22" si="61">N22-Q22</f>
        <v>408.00000000037835</v>
      </c>
      <c r="S22" s="377">
        <f t="shared" si="44"/>
        <v>10175</v>
      </c>
      <c r="T22" s="397">
        <f t="shared" si="2"/>
        <v>0</v>
      </c>
      <c r="U22" s="377">
        <f t="shared" si="45"/>
        <v>429166</v>
      </c>
      <c r="V22" s="379">
        <f t="shared" si="46"/>
        <v>0</v>
      </c>
      <c r="W22" s="377">
        <f t="shared" si="14"/>
        <v>33503</v>
      </c>
      <c r="X22" s="379">
        <f t="shared" si="47"/>
        <v>0</v>
      </c>
      <c r="Y22" s="377">
        <f t="shared" si="16"/>
        <v>1001544</v>
      </c>
      <c r="Z22" s="379">
        <f t="shared" si="48"/>
        <v>0</v>
      </c>
      <c r="AA22" s="377">
        <f t="shared" si="49"/>
        <v>36804</v>
      </c>
      <c r="AB22" s="379">
        <f t="shared" si="50"/>
        <v>0</v>
      </c>
      <c r="AC22" s="377">
        <f t="shared" si="51"/>
        <v>1173391</v>
      </c>
      <c r="AD22" s="399">
        <f>AC22-AC21</f>
        <v>0</v>
      </c>
      <c r="AE22" s="400">
        <f t="shared" si="21"/>
        <v>0</v>
      </c>
      <c r="AF22" s="401">
        <f t="shared" si="4"/>
        <v>0</v>
      </c>
      <c r="AG22" s="394">
        <f t="shared" si="52"/>
        <v>0</v>
      </c>
      <c r="AJ22" s="470"/>
    </row>
    <row r="23" spans="1:36">
      <c r="A23" s="387">
        <f>'General information '!F24</f>
        <v>0</v>
      </c>
      <c r="B23" s="381">
        <f t="shared" si="6"/>
        <v>0</v>
      </c>
      <c r="C23" s="388">
        <f t="shared" si="7"/>
        <v>44977</v>
      </c>
      <c r="D23" s="377">
        <v>446070</v>
      </c>
      <c r="E23" s="494">
        <f t="shared" si="8"/>
        <v>520</v>
      </c>
      <c r="F23" s="377">
        <v>4200073</v>
      </c>
      <c r="G23" s="399">
        <f t="shared" si="37"/>
        <v>308</v>
      </c>
      <c r="H23" s="377">
        <v>18120444</v>
      </c>
      <c r="I23" s="399">
        <f t="shared" si="38"/>
        <v>408</v>
      </c>
      <c r="J23" s="377">
        <v>29922190</v>
      </c>
      <c r="K23" s="399">
        <f t="shared" si="39"/>
        <v>738</v>
      </c>
      <c r="L23" s="377">
        <v>24742606</v>
      </c>
      <c r="M23" s="399">
        <f t="shared" si="40"/>
        <v>794</v>
      </c>
      <c r="N23" s="265">
        <f t="shared" si="41"/>
        <v>2768</v>
      </c>
      <c r="O23" s="396">
        <f t="shared" si="42"/>
        <v>0</v>
      </c>
      <c r="P23" s="526">
        <v>19805.325000000001</v>
      </c>
      <c r="Q23" s="379">
        <f t="shared" si="1"/>
        <v>2341.0000000003492</v>
      </c>
      <c r="R23" s="503">
        <f t="shared" si="54"/>
        <v>426.99999999965075</v>
      </c>
      <c r="S23" s="377">
        <f t="shared" si="44"/>
        <v>10175</v>
      </c>
      <c r="T23" s="397">
        <f t="shared" si="2"/>
        <v>0</v>
      </c>
      <c r="U23" s="377">
        <f t="shared" si="45"/>
        <v>429166</v>
      </c>
      <c r="V23" s="379">
        <f t="shared" si="46"/>
        <v>0</v>
      </c>
      <c r="W23" s="377">
        <f t="shared" si="14"/>
        <v>33503</v>
      </c>
      <c r="X23" s="379">
        <f t="shared" si="47"/>
        <v>0</v>
      </c>
      <c r="Y23" s="377">
        <f t="shared" si="16"/>
        <v>1001544</v>
      </c>
      <c r="Z23" s="379">
        <f t="shared" si="48"/>
        <v>0</v>
      </c>
      <c r="AA23" s="377">
        <f t="shared" si="49"/>
        <v>36804</v>
      </c>
      <c r="AB23" s="379">
        <f t="shared" si="50"/>
        <v>0</v>
      </c>
      <c r="AC23" s="377">
        <f t="shared" si="51"/>
        <v>1173391</v>
      </c>
      <c r="AD23" s="379">
        <f t="shared" si="53"/>
        <v>0</v>
      </c>
      <c r="AE23" s="400">
        <f t="shared" si="21"/>
        <v>0</v>
      </c>
      <c r="AF23" s="401">
        <f t="shared" si="4"/>
        <v>0</v>
      </c>
      <c r="AG23" s="394">
        <f t="shared" si="52"/>
        <v>0</v>
      </c>
      <c r="AJ23" s="470"/>
    </row>
    <row r="24" spans="1:36">
      <c r="A24" s="387">
        <f>'General information '!F25</f>
        <v>0</v>
      </c>
      <c r="B24" s="381">
        <f t="shared" si="6"/>
        <v>0</v>
      </c>
      <c r="C24" s="388">
        <f t="shared" si="7"/>
        <v>44978</v>
      </c>
      <c r="D24" s="377">
        <v>446660</v>
      </c>
      <c r="E24" s="494">
        <f t="shared" si="8"/>
        <v>590</v>
      </c>
      <c r="F24" s="377">
        <v>4200383</v>
      </c>
      <c r="G24" s="399">
        <f t="shared" si="37"/>
        <v>310</v>
      </c>
      <c r="H24" s="377">
        <v>18120838</v>
      </c>
      <c r="I24" s="506">
        <f t="shared" si="38"/>
        <v>394</v>
      </c>
      <c r="J24" s="377">
        <v>29922894</v>
      </c>
      <c r="K24" s="399">
        <f t="shared" si="39"/>
        <v>704</v>
      </c>
      <c r="L24" s="377">
        <v>24743290</v>
      </c>
      <c r="M24" s="399">
        <f t="shared" si="40"/>
        <v>684</v>
      </c>
      <c r="N24" s="265">
        <f t="shared" si="41"/>
        <v>2682</v>
      </c>
      <c r="O24" s="396">
        <f t="shared" si="42"/>
        <v>0</v>
      </c>
      <c r="P24" s="526">
        <v>19808</v>
      </c>
      <c r="Q24" s="379">
        <f t="shared" si="1"/>
        <v>2674.9999999992724</v>
      </c>
      <c r="R24" s="503">
        <f t="shared" si="54"/>
        <v>7.0000000007275958</v>
      </c>
      <c r="S24" s="377">
        <f t="shared" si="44"/>
        <v>10175</v>
      </c>
      <c r="T24" s="397">
        <f t="shared" si="2"/>
        <v>0</v>
      </c>
      <c r="U24" s="377">
        <f t="shared" si="45"/>
        <v>429166</v>
      </c>
      <c r="V24" s="379">
        <f t="shared" si="46"/>
        <v>0</v>
      </c>
      <c r="W24" s="377">
        <f t="shared" si="14"/>
        <v>33503</v>
      </c>
      <c r="X24" s="379">
        <f t="shared" si="47"/>
        <v>0</v>
      </c>
      <c r="Y24" s="377">
        <f t="shared" si="16"/>
        <v>1001544</v>
      </c>
      <c r="Z24" s="379">
        <f t="shared" si="48"/>
        <v>0</v>
      </c>
      <c r="AA24" s="377">
        <f t="shared" si="49"/>
        <v>36804</v>
      </c>
      <c r="AB24" s="379">
        <f t="shared" si="50"/>
        <v>0</v>
      </c>
      <c r="AC24" s="377">
        <f t="shared" si="51"/>
        <v>1173391</v>
      </c>
      <c r="AD24" s="379">
        <f t="shared" si="53"/>
        <v>0</v>
      </c>
      <c r="AE24" s="400">
        <f t="shared" si="21"/>
        <v>0</v>
      </c>
      <c r="AF24" s="401">
        <f t="shared" si="4"/>
        <v>0</v>
      </c>
      <c r="AG24" s="394">
        <f t="shared" si="52"/>
        <v>0</v>
      </c>
      <c r="AJ24" s="470"/>
    </row>
    <row r="25" spans="1:36">
      <c r="A25" s="387">
        <f>'General information '!F26</f>
        <v>0</v>
      </c>
      <c r="B25" s="381">
        <f t="shared" si="6"/>
        <v>0</v>
      </c>
      <c r="C25" s="388">
        <f t="shared" si="7"/>
        <v>44979</v>
      </c>
      <c r="D25" s="377">
        <v>447160</v>
      </c>
      <c r="E25" s="494">
        <f t="shared" si="8"/>
        <v>500</v>
      </c>
      <c r="F25" s="377">
        <v>4200688</v>
      </c>
      <c r="G25" s="399">
        <f t="shared" si="37"/>
        <v>305</v>
      </c>
      <c r="H25" s="377">
        <v>18121232</v>
      </c>
      <c r="I25" s="399">
        <f t="shared" si="38"/>
        <v>394</v>
      </c>
      <c r="J25" s="377">
        <v>29923556</v>
      </c>
      <c r="K25" s="399">
        <f t="shared" si="39"/>
        <v>662</v>
      </c>
      <c r="L25" s="377">
        <v>24743950</v>
      </c>
      <c r="M25" s="399">
        <f t="shared" si="40"/>
        <v>660</v>
      </c>
      <c r="N25" s="265">
        <f t="shared" si="41"/>
        <v>2521</v>
      </c>
      <c r="O25" s="396">
        <f t="shared" si="42"/>
        <v>0</v>
      </c>
      <c r="P25" s="526">
        <v>19810.14</v>
      </c>
      <c r="Q25" s="379">
        <f t="shared" si="1"/>
        <v>2139.9999999994179</v>
      </c>
      <c r="R25" s="503">
        <f t="shared" si="54"/>
        <v>381.00000000058208</v>
      </c>
      <c r="S25" s="377">
        <f t="shared" si="44"/>
        <v>10175</v>
      </c>
      <c r="T25" s="397">
        <f t="shared" si="2"/>
        <v>0</v>
      </c>
      <c r="U25" s="377">
        <f t="shared" si="45"/>
        <v>429166</v>
      </c>
      <c r="V25" s="379">
        <f t="shared" si="46"/>
        <v>0</v>
      </c>
      <c r="W25" s="377">
        <f t="shared" si="14"/>
        <v>33503</v>
      </c>
      <c r="X25" s="379">
        <f t="shared" si="47"/>
        <v>0</v>
      </c>
      <c r="Y25" s="377">
        <f t="shared" si="16"/>
        <v>1001544</v>
      </c>
      <c r="Z25" s="379">
        <f t="shared" si="48"/>
        <v>0</v>
      </c>
      <c r="AA25" s="377">
        <f t="shared" si="49"/>
        <v>36804</v>
      </c>
      <c r="AB25" s="379">
        <f t="shared" si="50"/>
        <v>0</v>
      </c>
      <c r="AC25" s="377">
        <f t="shared" si="51"/>
        <v>1173391</v>
      </c>
      <c r="AD25" s="379">
        <f t="shared" si="53"/>
        <v>0</v>
      </c>
      <c r="AE25" s="400">
        <f t="shared" si="21"/>
        <v>0</v>
      </c>
      <c r="AF25" s="401">
        <f t="shared" si="4"/>
        <v>0</v>
      </c>
      <c r="AG25" s="394">
        <f t="shared" si="52"/>
        <v>0</v>
      </c>
      <c r="AJ25" s="470"/>
    </row>
    <row r="26" spans="1:36">
      <c r="A26" s="387">
        <f>'General information '!F27</f>
        <v>0</v>
      </c>
      <c r="B26" s="381">
        <f t="shared" si="6"/>
        <v>0</v>
      </c>
      <c r="C26" s="388">
        <f t="shared" si="7"/>
        <v>44980</v>
      </c>
      <c r="D26" s="377">
        <v>447720</v>
      </c>
      <c r="E26" s="494">
        <f t="shared" si="8"/>
        <v>560</v>
      </c>
      <c r="F26" s="377">
        <v>4201030</v>
      </c>
      <c r="G26" s="399">
        <f t="shared" si="37"/>
        <v>342</v>
      </c>
      <c r="H26" s="377">
        <v>18121674</v>
      </c>
      <c r="I26" s="399">
        <f t="shared" si="38"/>
        <v>442</v>
      </c>
      <c r="J26" s="377">
        <v>29924350</v>
      </c>
      <c r="K26" s="399">
        <f t="shared" si="39"/>
        <v>794</v>
      </c>
      <c r="L26" s="377">
        <v>24744706</v>
      </c>
      <c r="M26" s="399">
        <f t="shared" si="40"/>
        <v>756</v>
      </c>
      <c r="N26" s="265">
        <f t="shared" si="41"/>
        <v>2894</v>
      </c>
      <c r="O26" s="396">
        <f t="shared" si="42"/>
        <v>0</v>
      </c>
      <c r="P26" s="526">
        <v>19812.964</v>
      </c>
      <c r="Q26" s="379">
        <f t="shared" si="1"/>
        <v>2824.0000000005239</v>
      </c>
      <c r="R26" s="503">
        <f t="shared" si="54"/>
        <v>69.999999999476131</v>
      </c>
      <c r="S26" s="377">
        <f t="shared" si="44"/>
        <v>10175</v>
      </c>
      <c r="T26" s="397">
        <f t="shared" si="2"/>
        <v>0</v>
      </c>
      <c r="U26" s="377">
        <f t="shared" si="45"/>
        <v>429166</v>
      </c>
      <c r="V26" s="379">
        <f t="shared" si="46"/>
        <v>0</v>
      </c>
      <c r="W26" s="377">
        <f t="shared" si="14"/>
        <v>33503</v>
      </c>
      <c r="X26" s="379">
        <f t="shared" si="47"/>
        <v>0</v>
      </c>
      <c r="Y26" s="377">
        <f t="shared" si="16"/>
        <v>1001544</v>
      </c>
      <c r="Z26" s="379">
        <f t="shared" si="48"/>
        <v>0</v>
      </c>
      <c r="AA26" s="377">
        <f t="shared" si="49"/>
        <v>36804</v>
      </c>
      <c r="AB26" s="379">
        <f t="shared" si="50"/>
        <v>0</v>
      </c>
      <c r="AC26" s="377">
        <f t="shared" si="51"/>
        <v>1173391</v>
      </c>
      <c r="AD26" s="379">
        <f t="shared" si="53"/>
        <v>0</v>
      </c>
      <c r="AE26" s="400">
        <f t="shared" si="21"/>
        <v>0</v>
      </c>
      <c r="AF26" s="401">
        <f t="shared" si="4"/>
        <v>0</v>
      </c>
      <c r="AG26" s="394">
        <f t="shared" si="52"/>
        <v>0</v>
      </c>
      <c r="AJ26" s="470"/>
    </row>
    <row r="27" spans="1:36">
      <c r="A27" s="387">
        <f>'General information '!F28</f>
        <v>0</v>
      </c>
      <c r="B27" s="381">
        <f t="shared" si="6"/>
        <v>0</v>
      </c>
      <c r="C27" s="388">
        <f t="shared" si="7"/>
        <v>44981</v>
      </c>
      <c r="D27" s="377">
        <f t="shared" si="31"/>
        <v>447720</v>
      </c>
      <c r="E27" s="494">
        <f t="shared" si="8"/>
        <v>0</v>
      </c>
      <c r="F27" s="377">
        <f t="shared" si="32"/>
        <v>4201030</v>
      </c>
      <c r="G27" s="399">
        <f t="shared" si="37"/>
        <v>0</v>
      </c>
      <c r="H27" s="377">
        <f t="shared" si="33"/>
        <v>18121674</v>
      </c>
      <c r="I27" s="399">
        <f t="shared" si="38"/>
        <v>0</v>
      </c>
      <c r="J27" s="377">
        <f t="shared" si="34"/>
        <v>29924350</v>
      </c>
      <c r="K27" s="399">
        <f t="shared" si="39"/>
        <v>0</v>
      </c>
      <c r="L27" s="377">
        <f t="shared" si="35"/>
        <v>24744706</v>
      </c>
      <c r="M27" s="399">
        <f t="shared" si="40"/>
        <v>0</v>
      </c>
      <c r="N27" s="265">
        <f t="shared" si="41"/>
        <v>0</v>
      </c>
      <c r="O27" s="396">
        <f t="shared" si="42"/>
        <v>0</v>
      </c>
      <c r="P27" s="526">
        <f t="shared" si="36"/>
        <v>19812.964</v>
      </c>
      <c r="Q27" s="379">
        <f t="shared" si="1"/>
        <v>0</v>
      </c>
      <c r="R27" s="503">
        <f t="shared" si="54"/>
        <v>0</v>
      </c>
      <c r="S27" s="377">
        <f t="shared" si="44"/>
        <v>10175</v>
      </c>
      <c r="T27" s="397">
        <f t="shared" si="2"/>
        <v>0</v>
      </c>
      <c r="U27" s="377">
        <f t="shared" si="45"/>
        <v>429166</v>
      </c>
      <c r="V27" s="379">
        <f t="shared" si="46"/>
        <v>0</v>
      </c>
      <c r="W27" s="377">
        <f t="shared" si="14"/>
        <v>33503</v>
      </c>
      <c r="X27" s="379">
        <f t="shared" si="47"/>
        <v>0</v>
      </c>
      <c r="Y27" s="377">
        <f t="shared" si="16"/>
        <v>1001544</v>
      </c>
      <c r="Z27" s="379">
        <f t="shared" si="48"/>
        <v>0</v>
      </c>
      <c r="AA27" s="377">
        <f t="shared" si="49"/>
        <v>36804</v>
      </c>
      <c r="AB27" s="379">
        <f t="shared" si="50"/>
        <v>0</v>
      </c>
      <c r="AC27" s="377">
        <f t="shared" si="51"/>
        <v>1173391</v>
      </c>
      <c r="AD27" s="379">
        <f t="shared" si="53"/>
        <v>0</v>
      </c>
      <c r="AE27" s="400">
        <f t="shared" si="21"/>
        <v>0</v>
      </c>
      <c r="AF27" s="401">
        <f t="shared" si="4"/>
        <v>0</v>
      </c>
      <c r="AG27" s="394">
        <f t="shared" si="52"/>
        <v>0</v>
      </c>
      <c r="AJ27" s="470"/>
    </row>
    <row r="28" spans="1:36">
      <c r="A28" s="387">
        <f>'General information '!F29</f>
        <v>0</v>
      </c>
      <c r="B28" s="381">
        <f t="shared" si="6"/>
        <v>0</v>
      </c>
      <c r="C28" s="388">
        <f t="shared" si="7"/>
        <v>44982</v>
      </c>
      <c r="D28" s="377">
        <f t="shared" si="31"/>
        <v>447720</v>
      </c>
      <c r="E28" s="494">
        <f t="shared" si="8"/>
        <v>0</v>
      </c>
      <c r="F28" s="377">
        <f t="shared" si="32"/>
        <v>4201030</v>
      </c>
      <c r="G28" s="399">
        <f>F28-F27</f>
        <v>0</v>
      </c>
      <c r="H28" s="377">
        <f t="shared" si="33"/>
        <v>18121674</v>
      </c>
      <c r="I28" s="399">
        <f t="shared" si="38"/>
        <v>0</v>
      </c>
      <c r="J28" s="377">
        <f t="shared" si="34"/>
        <v>29924350</v>
      </c>
      <c r="K28" s="399">
        <f t="shared" si="39"/>
        <v>0</v>
      </c>
      <c r="L28" s="377">
        <f t="shared" si="35"/>
        <v>24744706</v>
      </c>
      <c r="M28" s="399">
        <f t="shared" si="40"/>
        <v>0</v>
      </c>
      <c r="N28" s="265">
        <f t="shared" si="41"/>
        <v>0</v>
      </c>
      <c r="O28" s="396">
        <f t="shared" si="42"/>
        <v>0</v>
      </c>
      <c r="P28" s="526">
        <f t="shared" si="36"/>
        <v>19812.964</v>
      </c>
      <c r="Q28" s="379">
        <f t="shared" si="1"/>
        <v>0</v>
      </c>
      <c r="R28" s="503">
        <f>N28-Q28</f>
        <v>0</v>
      </c>
      <c r="S28" s="377">
        <f t="shared" si="44"/>
        <v>10175</v>
      </c>
      <c r="T28" s="397">
        <f t="shared" si="2"/>
        <v>0</v>
      </c>
      <c r="U28" s="377">
        <f t="shared" si="45"/>
        <v>429166</v>
      </c>
      <c r="V28" s="379">
        <f t="shared" si="46"/>
        <v>0</v>
      </c>
      <c r="W28" s="377">
        <f t="shared" si="14"/>
        <v>33503</v>
      </c>
      <c r="X28" s="379">
        <f t="shared" si="47"/>
        <v>0</v>
      </c>
      <c r="Y28" s="377">
        <f t="shared" si="16"/>
        <v>1001544</v>
      </c>
      <c r="Z28" s="379">
        <f t="shared" si="48"/>
        <v>0</v>
      </c>
      <c r="AA28" s="377">
        <f t="shared" si="49"/>
        <v>36804</v>
      </c>
      <c r="AB28" s="379">
        <f t="shared" si="50"/>
        <v>0</v>
      </c>
      <c r="AC28" s="377">
        <f t="shared" si="51"/>
        <v>1173391</v>
      </c>
      <c r="AD28" s="379">
        <f t="shared" si="53"/>
        <v>0</v>
      </c>
      <c r="AE28" s="400">
        <f t="shared" si="21"/>
        <v>0</v>
      </c>
      <c r="AF28" s="401">
        <f t="shared" si="4"/>
        <v>0</v>
      </c>
      <c r="AG28" s="394">
        <f t="shared" si="52"/>
        <v>0</v>
      </c>
      <c r="AJ28" s="470"/>
    </row>
    <row r="29" spans="1:36">
      <c r="A29" s="387">
        <f>'General information '!F30</f>
        <v>0</v>
      </c>
      <c r="B29" s="381">
        <f t="shared" si="6"/>
        <v>0</v>
      </c>
      <c r="C29" s="388">
        <f t="shared" si="7"/>
        <v>44983</v>
      </c>
      <c r="D29" s="377">
        <v>448240</v>
      </c>
      <c r="E29" s="494">
        <f t="shared" si="8"/>
        <v>520</v>
      </c>
      <c r="F29" s="377">
        <v>4201386</v>
      </c>
      <c r="G29" s="399">
        <f>F29-F28</f>
        <v>356</v>
      </c>
      <c r="H29" s="377">
        <v>18122118</v>
      </c>
      <c r="I29" s="399">
        <f>H29-H28</f>
        <v>444</v>
      </c>
      <c r="J29" s="377">
        <v>29925106</v>
      </c>
      <c r="K29" s="399">
        <f>J29-J28</f>
        <v>756</v>
      </c>
      <c r="L29" s="377">
        <v>24745510</v>
      </c>
      <c r="M29" s="399">
        <f>L29-L28</f>
        <v>804</v>
      </c>
      <c r="N29" s="265">
        <f>M29+K29+I29+G29+E29</f>
        <v>2880</v>
      </c>
      <c r="O29" s="396">
        <f>IF(B29&gt;0,N29/B29,0)</f>
        <v>0</v>
      </c>
      <c r="P29" s="526">
        <v>19815.370999999999</v>
      </c>
      <c r="Q29" s="379">
        <f>(P29-P28)*1000</f>
        <v>2406.9999999992433</v>
      </c>
      <c r="R29" s="503">
        <f t="shared" si="54"/>
        <v>473.0000000007567</v>
      </c>
      <c r="S29" s="377">
        <f t="shared" si="44"/>
        <v>10175</v>
      </c>
      <c r="T29" s="397">
        <f>S29-S28</f>
        <v>0</v>
      </c>
      <c r="U29" s="377">
        <f t="shared" si="45"/>
        <v>429166</v>
      </c>
      <c r="V29" s="379">
        <f>U29-U28</f>
        <v>0</v>
      </c>
      <c r="W29" s="377">
        <f t="shared" si="14"/>
        <v>33503</v>
      </c>
      <c r="X29" s="379">
        <f>W29-W28</f>
        <v>0</v>
      </c>
      <c r="Y29" s="377">
        <f t="shared" si="16"/>
        <v>1001544</v>
      </c>
      <c r="Z29" s="379">
        <f>Y29-Y28</f>
        <v>0</v>
      </c>
      <c r="AA29" s="377">
        <f t="shared" si="49"/>
        <v>36804</v>
      </c>
      <c r="AB29" s="379">
        <f>AA29-AA28</f>
        <v>0</v>
      </c>
      <c r="AC29" s="377">
        <f t="shared" si="51"/>
        <v>1173391</v>
      </c>
      <c r="AD29" s="379">
        <f>AC29-AC28</f>
        <v>0</v>
      </c>
      <c r="AE29" s="400">
        <f>AB29+X29+T29</f>
        <v>0</v>
      </c>
      <c r="AF29" s="401">
        <f>V29+Z29+AD29</f>
        <v>0</v>
      </c>
      <c r="AG29" s="394">
        <f t="shared" si="52"/>
        <v>0</v>
      </c>
      <c r="AJ29" s="470"/>
    </row>
    <row r="30" spans="1:36">
      <c r="A30" s="387">
        <f>'General information '!F31</f>
        <v>0</v>
      </c>
      <c r="B30" s="381">
        <f>SUM(230*A30)</f>
        <v>0</v>
      </c>
      <c r="C30" s="388">
        <f t="shared" si="7"/>
        <v>44984</v>
      </c>
      <c r="D30" s="377">
        <v>449010</v>
      </c>
      <c r="E30" s="494">
        <f t="shared" si="8"/>
        <v>770</v>
      </c>
      <c r="F30" s="377">
        <v>4201728</v>
      </c>
      <c r="G30" s="399">
        <f t="shared" si="37"/>
        <v>342</v>
      </c>
      <c r="H30" s="377">
        <v>18122546</v>
      </c>
      <c r="I30" s="399">
        <f t="shared" si="38"/>
        <v>428</v>
      </c>
      <c r="J30" s="377">
        <v>29925752</v>
      </c>
      <c r="K30" s="399">
        <f t="shared" si="39"/>
        <v>646</v>
      </c>
      <c r="L30" s="377">
        <v>24746262</v>
      </c>
      <c r="M30" s="399">
        <f t="shared" si="40"/>
        <v>752</v>
      </c>
      <c r="N30" s="265">
        <f>M30+K30+I30+G30+E30</f>
        <v>2938</v>
      </c>
      <c r="O30" s="396">
        <f t="shared" si="42"/>
        <v>0</v>
      </c>
      <c r="P30" s="526">
        <v>19817.695</v>
      </c>
      <c r="Q30" s="379">
        <f t="shared" si="1"/>
        <v>2324.0000000005239</v>
      </c>
      <c r="R30" s="503">
        <f>N30-Q30</f>
        <v>613.99999999947613</v>
      </c>
      <c r="S30" s="377">
        <f t="shared" si="44"/>
        <v>10175</v>
      </c>
      <c r="T30" s="397">
        <f t="shared" si="2"/>
        <v>0</v>
      </c>
      <c r="U30" s="377">
        <f t="shared" si="45"/>
        <v>429166</v>
      </c>
      <c r="V30" s="379">
        <f t="shared" si="46"/>
        <v>0</v>
      </c>
      <c r="W30" s="377">
        <f t="shared" si="14"/>
        <v>33503</v>
      </c>
      <c r="X30" s="379">
        <f t="shared" si="47"/>
        <v>0</v>
      </c>
      <c r="Y30" s="377">
        <f t="shared" si="16"/>
        <v>1001544</v>
      </c>
      <c r="Z30" s="379">
        <f t="shared" si="48"/>
        <v>0</v>
      </c>
      <c r="AA30" s="377">
        <f t="shared" si="49"/>
        <v>36804</v>
      </c>
      <c r="AB30" s="379">
        <f t="shared" si="50"/>
        <v>0</v>
      </c>
      <c r="AC30" s="377">
        <f t="shared" si="51"/>
        <v>1173391</v>
      </c>
      <c r="AD30" s="379">
        <f t="shared" si="53"/>
        <v>0</v>
      </c>
      <c r="AE30" s="400">
        <f t="shared" si="21"/>
        <v>0</v>
      </c>
      <c r="AF30" s="401">
        <f t="shared" si="4"/>
        <v>0</v>
      </c>
      <c r="AG30" s="394">
        <f t="shared" si="52"/>
        <v>0</v>
      </c>
      <c r="AJ30" s="470"/>
    </row>
    <row r="31" spans="1:36">
      <c r="A31" s="387">
        <f>'General information '!F32</f>
        <v>0</v>
      </c>
      <c r="B31" s="381">
        <f t="shared" si="6"/>
        <v>0</v>
      </c>
      <c r="C31" s="388">
        <f t="shared" si="7"/>
        <v>44985</v>
      </c>
      <c r="D31" s="377">
        <f t="shared" si="31"/>
        <v>449010</v>
      </c>
      <c r="E31" s="494">
        <f t="shared" si="8"/>
        <v>0</v>
      </c>
      <c r="F31" s="377">
        <f t="shared" si="32"/>
        <v>4201728</v>
      </c>
      <c r="G31" s="399">
        <f t="shared" si="37"/>
        <v>0</v>
      </c>
      <c r="H31" s="377">
        <f t="shared" si="33"/>
        <v>18122546</v>
      </c>
      <c r="I31" s="399">
        <f t="shared" si="38"/>
        <v>0</v>
      </c>
      <c r="J31" s="377">
        <f t="shared" si="34"/>
        <v>29925752</v>
      </c>
      <c r="K31" s="399">
        <f t="shared" si="39"/>
        <v>0</v>
      </c>
      <c r="L31" s="377">
        <f t="shared" si="35"/>
        <v>24746262</v>
      </c>
      <c r="M31" s="399">
        <f t="shared" si="40"/>
        <v>0</v>
      </c>
      <c r="N31" s="265">
        <f t="shared" si="41"/>
        <v>0</v>
      </c>
      <c r="O31" s="396">
        <f t="shared" si="42"/>
        <v>0</v>
      </c>
      <c r="P31" s="526">
        <f t="shared" si="36"/>
        <v>19817.695</v>
      </c>
      <c r="Q31" s="379">
        <f t="shared" si="1"/>
        <v>0</v>
      </c>
      <c r="R31" s="503">
        <f t="shared" si="54"/>
        <v>0</v>
      </c>
      <c r="S31" s="377">
        <f t="shared" si="44"/>
        <v>10175</v>
      </c>
      <c r="T31" s="397">
        <f t="shared" si="2"/>
        <v>0</v>
      </c>
      <c r="U31" s="377">
        <f t="shared" si="45"/>
        <v>429166</v>
      </c>
      <c r="V31" s="399">
        <f>U31-U30</f>
        <v>0</v>
      </c>
      <c r="W31" s="377">
        <f t="shared" si="14"/>
        <v>33503</v>
      </c>
      <c r="X31" s="398">
        <f t="shared" si="47"/>
        <v>0</v>
      </c>
      <c r="Y31" s="377">
        <f t="shared" si="16"/>
        <v>1001544</v>
      </c>
      <c r="Z31" s="379">
        <f t="shared" si="48"/>
        <v>0</v>
      </c>
      <c r="AA31" s="377">
        <f t="shared" si="49"/>
        <v>36804</v>
      </c>
      <c r="AB31" s="379">
        <f t="shared" si="50"/>
        <v>0</v>
      </c>
      <c r="AC31" s="377">
        <f t="shared" si="51"/>
        <v>1173391</v>
      </c>
      <c r="AD31" s="379">
        <f t="shared" si="53"/>
        <v>0</v>
      </c>
      <c r="AE31" s="400">
        <f t="shared" si="21"/>
        <v>0</v>
      </c>
      <c r="AF31" s="401">
        <f t="shared" si="4"/>
        <v>0</v>
      </c>
      <c r="AG31" s="394">
        <f t="shared" si="52"/>
        <v>0</v>
      </c>
      <c r="AJ31" s="470"/>
    </row>
    <row r="32" spans="1:36">
      <c r="A32" s="387">
        <f>'General information '!F33</f>
        <v>0</v>
      </c>
      <c r="B32" s="381">
        <f t="shared" ref="B32:B34" si="62">SUM(230*A32)</f>
        <v>0</v>
      </c>
      <c r="C32" s="388">
        <f t="shared" si="7"/>
        <v>44986</v>
      </c>
      <c r="D32" s="377">
        <f t="shared" si="31"/>
        <v>449010</v>
      </c>
      <c r="E32" s="494">
        <f t="shared" si="8"/>
        <v>0</v>
      </c>
      <c r="F32" s="377">
        <f t="shared" si="32"/>
        <v>4201728</v>
      </c>
      <c r="G32" s="399">
        <f t="shared" si="37"/>
        <v>0</v>
      </c>
      <c r="H32" s="377">
        <f t="shared" si="33"/>
        <v>18122546</v>
      </c>
      <c r="I32" s="399">
        <f t="shared" si="38"/>
        <v>0</v>
      </c>
      <c r="J32" s="377">
        <f t="shared" si="34"/>
        <v>29925752</v>
      </c>
      <c r="K32" s="399">
        <f t="shared" si="39"/>
        <v>0</v>
      </c>
      <c r="L32" s="377">
        <f t="shared" si="35"/>
        <v>24746262</v>
      </c>
      <c r="M32" s="399">
        <f t="shared" ref="M32" si="63">L32-L31</f>
        <v>0</v>
      </c>
      <c r="N32" s="265">
        <f t="shared" ref="N32" si="64">M32+K32+I32+G32+E32</f>
        <v>0</v>
      </c>
      <c r="O32" s="396">
        <f t="shared" ref="O32" si="65">IF(B32&gt;0,N32/B32,0)</f>
        <v>0</v>
      </c>
      <c r="P32" s="526">
        <f t="shared" si="36"/>
        <v>19817.695</v>
      </c>
      <c r="Q32" s="379">
        <f t="shared" ref="Q32" si="66">(P32-P31)*1000</f>
        <v>0</v>
      </c>
      <c r="R32" s="503">
        <f t="shared" ref="R32" si="67">N32-Q32</f>
        <v>0</v>
      </c>
      <c r="S32" s="377">
        <f t="shared" si="44"/>
        <v>10175</v>
      </c>
      <c r="T32" s="397">
        <f t="shared" si="2"/>
        <v>0</v>
      </c>
      <c r="U32" s="377">
        <f t="shared" si="45"/>
        <v>429166</v>
      </c>
      <c r="V32" s="399">
        <f>U32-U31</f>
        <v>0</v>
      </c>
      <c r="W32" s="377">
        <f t="shared" si="14"/>
        <v>33503</v>
      </c>
      <c r="X32" s="398">
        <f t="shared" ref="X32" si="68">W32-W31</f>
        <v>0</v>
      </c>
      <c r="Y32" s="377">
        <f t="shared" si="16"/>
        <v>1001544</v>
      </c>
      <c r="Z32" s="379">
        <f t="shared" ref="Z32" si="69">Y32-Y31</f>
        <v>0</v>
      </c>
      <c r="AA32" s="377">
        <f t="shared" si="49"/>
        <v>36804</v>
      </c>
      <c r="AB32" s="379">
        <f t="shared" ref="AB32" si="70">AA32-AA31</f>
        <v>0</v>
      </c>
      <c r="AC32" s="377">
        <f t="shared" si="51"/>
        <v>1173391</v>
      </c>
      <c r="AD32" s="379">
        <f t="shared" ref="AD32" si="71">AC32-AC31</f>
        <v>0</v>
      </c>
      <c r="AE32" s="400">
        <f t="shared" ref="AE32" si="72">AB32+X32+T32</f>
        <v>0</v>
      </c>
      <c r="AF32" s="401">
        <f t="shared" ref="AF32" si="73">V32+Z32+AD32</f>
        <v>0</v>
      </c>
      <c r="AG32" s="394">
        <f t="shared" si="52"/>
        <v>0</v>
      </c>
      <c r="AJ32" s="470"/>
    </row>
    <row r="33" spans="1:36">
      <c r="A33" s="387">
        <f>'General information '!F34</f>
        <v>0</v>
      </c>
      <c r="B33" s="381">
        <f t="shared" si="62"/>
        <v>0</v>
      </c>
      <c r="C33" s="388"/>
      <c r="D33" s="377"/>
      <c r="E33" s="494"/>
      <c r="F33" s="377"/>
      <c r="G33" s="399"/>
      <c r="H33" s="377"/>
      <c r="I33" s="399"/>
      <c r="J33" s="377"/>
      <c r="K33" s="399"/>
      <c r="L33" s="377"/>
      <c r="M33" s="399"/>
      <c r="N33" s="265"/>
      <c r="O33" s="396"/>
      <c r="P33" s="526"/>
      <c r="Q33" s="379"/>
      <c r="R33" s="503"/>
      <c r="S33" s="377"/>
      <c r="T33" s="397"/>
      <c r="U33" s="377"/>
      <c r="V33" s="379"/>
      <c r="W33" s="377"/>
      <c r="X33" s="398"/>
      <c r="Y33" s="377"/>
      <c r="Z33" s="379"/>
      <c r="AA33" s="377"/>
      <c r="AB33" s="379"/>
      <c r="AC33" s="377"/>
      <c r="AD33" s="379"/>
      <c r="AE33" s="400"/>
      <c r="AF33" s="401"/>
      <c r="AG33" s="394"/>
      <c r="AJ33" s="470"/>
    </row>
    <row r="34" spans="1:36">
      <c r="A34" s="387">
        <f>'General information '!F35</f>
        <v>0</v>
      </c>
      <c r="B34" s="381">
        <f t="shared" si="62"/>
        <v>0</v>
      </c>
      <c r="C34" s="388"/>
      <c r="D34" s="377"/>
      <c r="E34" s="494"/>
      <c r="F34" s="377"/>
      <c r="G34" s="399"/>
      <c r="H34" s="377"/>
      <c r="I34" s="399"/>
      <c r="J34" s="377"/>
      <c r="K34" s="399"/>
      <c r="L34" s="377"/>
      <c r="M34" s="399"/>
      <c r="N34" s="265"/>
      <c r="O34" s="396"/>
      <c r="P34" s="526"/>
      <c r="Q34" s="379"/>
      <c r="R34" s="503"/>
      <c r="S34" s="377"/>
      <c r="T34" s="397"/>
      <c r="U34" s="377"/>
      <c r="V34" s="399"/>
      <c r="W34" s="377"/>
      <c r="X34" s="398"/>
      <c r="Y34" s="377"/>
      <c r="Z34" s="379"/>
      <c r="AA34" s="377"/>
      <c r="AB34" s="379"/>
      <c r="AC34" s="377"/>
      <c r="AD34" s="379"/>
      <c r="AE34" s="400"/>
      <c r="AF34" s="401"/>
      <c r="AG34" s="394"/>
      <c r="AJ34" s="470"/>
    </row>
    <row r="35" spans="1:36" s="473" customFormat="1">
      <c r="A35" s="474"/>
      <c r="B35" s="475"/>
      <c r="C35" s="476"/>
      <c r="D35" s="477"/>
      <c r="E35" s="477"/>
      <c r="F35" s="477"/>
      <c r="G35" s="478"/>
      <c r="H35" s="477"/>
      <c r="I35" s="478"/>
      <c r="J35" s="477"/>
      <c r="K35" s="478"/>
      <c r="L35" s="477"/>
      <c r="M35" s="478"/>
      <c r="N35" s="479"/>
      <c r="O35" s="480"/>
      <c r="P35" s="481"/>
      <c r="S35" s="477"/>
      <c r="T35" s="482"/>
      <c r="U35" s="477"/>
      <c r="W35" s="477"/>
      <c r="Y35" s="477"/>
      <c r="AA35" s="477"/>
      <c r="AC35" s="477"/>
      <c r="AG35" s="48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41"/>
  <sheetViews>
    <sheetView zoomScale="60" zoomScaleNormal="60" workbookViewId="0">
      <pane ySplit="1" topLeftCell="A2" activePane="bottomLeft" state="frozen"/>
      <selection activeCell="K1" sqref="K1"/>
      <selection pane="bottomLeft" activeCell="AM31" sqref="AM31"/>
    </sheetView>
  </sheetViews>
  <sheetFormatPr defaultColWidth="9.26953125" defaultRowHeight="14.5"/>
  <cols>
    <col min="1" max="1" width="12" style="40" bestFit="1" customWidth="1"/>
    <col min="2" max="2" width="14.26953125" style="41" bestFit="1" customWidth="1"/>
    <col min="3" max="3" width="15.7265625" style="41" customWidth="1"/>
    <col min="4" max="4" width="15.26953125" style="41" bestFit="1" customWidth="1"/>
    <col min="5" max="5" width="12.453125" style="41" bestFit="1" customWidth="1"/>
    <col min="6" max="6" width="8.453125" style="41" bestFit="1" customWidth="1"/>
    <col min="7" max="7" width="8.7265625" style="41" bestFit="1" customWidth="1"/>
    <col min="8" max="8" width="12.54296875" style="41" bestFit="1" customWidth="1"/>
    <col min="9" max="9" width="18.26953125" style="41" customWidth="1"/>
    <col min="10" max="10" width="5.54296875" style="41" hidden="1" customWidth="1"/>
    <col min="11" max="11" width="11.54296875" style="41" bestFit="1" customWidth="1"/>
    <col min="12" max="12" width="8" style="41" bestFit="1" customWidth="1"/>
    <col min="13" max="13" width="18.453125" style="41" customWidth="1"/>
    <col min="14" max="14" width="8" style="41" customWidth="1"/>
    <col min="15" max="15" width="0.26953125" style="67" customWidth="1"/>
    <col min="16" max="16" width="8.26953125" style="41" bestFit="1" customWidth="1"/>
    <col min="17" max="17" width="13.81640625" style="41" customWidth="1"/>
    <col min="18" max="18" width="14.1796875" style="41" customWidth="1"/>
    <col min="19" max="19" width="6.453125" style="41" customWidth="1"/>
    <col min="20" max="20" width="13" style="68" hidden="1" customWidth="1"/>
    <col min="21" max="21" width="13" style="68" customWidth="1"/>
    <col min="22" max="22" width="12.7265625" style="68" customWidth="1"/>
    <col min="23" max="23" width="13" style="68" hidden="1" customWidth="1"/>
    <col min="24" max="24" width="8" style="41" bestFit="1" customWidth="1"/>
    <col min="25" max="25" width="10.26953125" style="41" customWidth="1"/>
    <col min="26" max="26" width="15.26953125" style="41" bestFit="1" customWidth="1"/>
    <col min="27" max="27" width="13.26953125" style="41" customWidth="1"/>
    <col min="28" max="28" width="8.54296875" style="41" hidden="1" customWidth="1"/>
    <col min="29" max="29" width="8.26953125" style="41" customWidth="1"/>
    <col min="30" max="30" width="11.453125" style="41" customWidth="1"/>
    <col min="31" max="31" width="14.7265625" style="69" bestFit="1" customWidth="1"/>
    <col min="32" max="32" width="10" style="41" customWidth="1"/>
    <col min="33" max="33" width="11.7265625" style="67" hidden="1" customWidth="1"/>
    <col min="34" max="34" width="12.54296875" style="68" customWidth="1"/>
    <col min="35" max="37" width="12.7265625" style="69" customWidth="1"/>
    <col min="38" max="38" width="11.26953125" style="69" bestFit="1" customWidth="1"/>
    <col min="39" max="39" width="11.453125" style="69" bestFit="1" customWidth="1"/>
    <col min="40" max="40" width="8.453125" style="69" customWidth="1"/>
    <col min="41" max="41" width="8.26953125" style="69" customWidth="1"/>
    <col min="42" max="45" width="9.26953125" style="69"/>
    <col min="46" max="46" width="10.26953125" style="69" customWidth="1"/>
    <col min="47" max="47" width="10.26953125" style="69" bestFit="1" customWidth="1"/>
    <col min="48" max="49" width="9.26953125" style="41"/>
    <col min="50" max="50" width="9.26953125" style="266"/>
    <col min="51" max="16384" width="9.26953125" style="41"/>
  </cols>
  <sheetData>
    <row r="1" spans="1:52" ht="29.5" thickBot="1">
      <c r="F1" s="535" t="s">
        <v>54</v>
      </c>
      <c r="G1" s="536"/>
      <c r="H1" s="536"/>
      <c r="I1" s="537"/>
      <c r="J1" s="244" t="e">
        <f>#REF!</f>
        <v>#REF!</v>
      </c>
      <c r="K1" s="538" t="s">
        <v>55</v>
      </c>
      <c r="L1" s="539"/>
      <c r="M1" s="539"/>
      <c r="N1" s="539"/>
      <c r="O1" s="540"/>
      <c r="P1" s="529" t="s">
        <v>56</v>
      </c>
      <c r="Q1" s="530"/>
      <c r="R1" s="530"/>
      <c r="S1" s="530"/>
      <c r="T1" s="531"/>
      <c r="U1" s="336"/>
      <c r="V1" s="26" t="s">
        <v>57</v>
      </c>
      <c r="W1" s="337"/>
      <c r="X1" s="529" t="s">
        <v>58</v>
      </c>
      <c r="Y1" s="530"/>
      <c r="Z1" s="530"/>
      <c r="AA1" s="530"/>
      <c r="AB1" s="530"/>
      <c r="AC1" s="532" t="s">
        <v>59</v>
      </c>
      <c r="AD1" s="533"/>
      <c r="AE1" s="533"/>
      <c r="AF1" s="534"/>
      <c r="AG1" s="194"/>
      <c r="AH1" s="82" t="s">
        <v>60</v>
      </c>
      <c r="AI1" s="267" t="s">
        <v>61</v>
      </c>
      <c r="AJ1" s="267"/>
      <c r="AK1" s="267"/>
      <c r="AL1" s="267" t="s">
        <v>62</v>
      </c>
      <c r="AM1" s="267" t="s">
        <v>63</v>
      </c>
      <c r="AN1" s="268" t="s">
        <v>64</v>
      </c>
      <c r="AO1" s="268" t="s">
        <v>65</v>
      </c>
      <c r="AP1" s="268" t="s">
        <v>66</v>
      </c>
      <c r="AQ1" s="268" t="s">
        <v>67</v>
      </c>
      <c r="AR1" s="268" t="s">
        <v>68</v>
      </c>
      <c r="AS1" s="268" t="s">
        <v>69</v>
      </c>
      <c r="AT1" s="268"/>
      <c r="AU1" s="269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27"/>
      <c r="R2" s="528"/>
      <c r="S2" s="51" t="s">
        <v>84</v>
      </c>
      <c r="T2" s="52"/>
      <c r="U2" s="340" t="s">
        <v>85</v>
      </c>
      <c r="V2" s="53" t="s">
        <v>86</v>
      </c>
      <c r="W2" s="338"/>
      <c r="X2" s="54" t="s">
        <v>58</v>
      </c>
      <c r="Y2" s="45" t="s">
        <v>87</v>
      </c>
      <c r="Z2" s="331" t="s">
        <v>88</v>
      </c>
      <c r="AA2" s="332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2"/>
      <c r="AK2" s="272"/>
      <c r="AL2" s="272"/>
      <c r="AM2" s="272"/>
      <c r="AN2" s="333"/>
      <c r="AO2" s="333"/>
      <c r="AP2" s="333"/>
      <c r="AQ2" s="333"/>
      <c r="AR2" s="333"/>
      <c r="AS2" s="333"/>
      <c r="AT2" s="333"/>
      <c r="AU2" s="333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0"/>
      <c r="V3" s="58"/>
      <c r="W3" s="338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0"/>
      <c r="AJ3" s="271"/>
      <c r="AK3" s="271"/>
      <c r="AL3" s="271"/>
      <c r="AM3" s="271"/>
    </row>
    <row r="4" spans="1:52">
      <c r="A4" s="62">
        <f>ELEC!C3</f>
        <v>44957</v>
      </c>
      <c r="B4" s="63">
        <v>236</v>
      </c>
      <c r="C4" s="63">
        <f>[2]B5!C35</f>
        <v>241</v>
      </c>
      <c r="D4" s="63">
        <f>[2]B5!D35</f>
        <v>5.5</v>
      </c>
      <c r="E4" s="63">
        <f>[2]B5!E35</f>
        <v>46.09</v>
      </c>
      <c r="F4" s="63">
        <f>[2]B5!F35</f>
        <v>2382</v>
      </c>
      <c r="G4" s="63">
        <f>[2]B5!G35</f>
        <v>1</v>
      </c>
      <c r="H4" s="63">
        <f>[2]B5!H35</f>
        <v>54048</v>
      </c>
      <c r="I4" s="63">
        <f>[2]B5!I35</f>
        <v>53</v>
      </c>
      <c r="J4" s="63">
        <f>[2]B5!J35</f>
        <v>53</v>
      </c>
      <c r="K4" s="63">
        <f>[2]B5!K35</f>
        <v>2490</v>
      </c>
      <c r="L4" s="63">
        <f>[2]B5!L35</f>
        <v>0</v>
      </c>
      <c r="M4" s="63">
        <v>185690</v>
      </c>
      <c r="N4" s="63">
        <f>[2]B5!N35</f>
        <v>63</v>
      </c>
      <c r="O4" s="63">
        <f>[2]B5!O35</f>
        <v>2251</v>
      </c>
      <c r="P4" s="63">
        <f>[2]B5!P35</f>
        <v>2254</v>
      </c>
      <c r="Q4" s="63">
        <f>[2]B5!Q35</f>
        <v>188186</v>
      </c>
      <c r="R4" s="63">
        <f>[2]B5!R35</f>
        <v>128</v>
      </c>
      <c r="S4" s="63">
        <f>[2]B5!S35</f>
        <v>2</v>
      </c>
      <c r="T4" s="63">
        <f>[2]B5!T35</f>
        <v>0</v>
      </c>
      <c r="U4" s="63">
        <f>[2]B5!U35</f>
        <v>3</v>
      </c>
      <c r="V4" s="63">
        <f>[2]B5!V35</f>
        <v>244</v>
      </c>
      <c r="W4" s="63">
        <f>[2]B5!W35</f>
        <v>0</v>
      </c>
      <c r="X4" s="63">
        <f>[2]B5!X35</f>
        <v>2498</v>
      </c>
      <c r="Y4" s="63">
        <f>[2]B5!Y35</f>
        <v>0</v>
      </c>
      <c r="Z4" s="63">
        <f>[2]B5!Z35</f>
        <v>141480</v>
      </c>
      <c r="AA4" s="63">
        <f>[2]B5!AA35</f>
        <v>0</v>
      </c>
      <c r="AB4" s="63">
        <f>[2]B5!AB35</f>
        <v>0</v>
      </c>
      <c r="AC4" s="63">
        <v>1966</v>
      </c>
      <c r="AD4" s="63">
        <f>[2]B5!AD35</f>
        <v>0</v>
      </c>
      <c r="AE4" s="63">
        <v>368122</v>
      </c>
      <c r="AF4" s="63">
        <f>[2]B5!AF35</f>
        <v>0</v>
      </c>
      <c r="AG4" s="63">
        <f>[2]B5!AG35</f>
        <v>0</v>
      </c>
      <c r="AH4" s="63">
        <f>[2]B5!AH35</f>
        <v>0</v>
      </c>
      <c r="AI4" s="63">
        <f>[2]B5!AI35</f>
        <v>244</v>
      </c>
      <c r="AJ4" s="63">
        <f>[2]B5!AJ35</f>
        <v>244</v>
      </c>
      <c r="AK4" s="63">
        <f>[2]B5!AK35</f>
        <v>0</v>
      </c>
      <c r="AL4" s="63">
        <f>[2]B5!AL35</f>
        <v>3</v>
      </c>
      <c r="AM4" s="63">
        <f>[2]B5!AM35</f>
        <v>0</v>
      </c>
      <c r="AN4" s="63">
        <f>[2]B5!AN35</f>
        <v>65</v>
      </c>
      <c r="AO4" s="63">
        <f>[2]B5!AO35</f>
        <v>1950</v>
      </c>
      <c r="AP4" s="63">
        <f>[2]B5!AP35</f>
        <v>35</v>
      </c>
      <c r="AQ4" s="63">
        <f>[2]B5!AQ35</f>
        <v>1050</v>
      </c>
      <c r="AR4" s="63">
        <f>[2]B5!AR35</f>
        <v>73</v>
      </c>
      <c r="AS4" s="63">
        <f>[2]B5!AS35</f>
        <v>2190</v>
      </c>
      <c r="AT4" s="63">
        <f>[2]B5!AT35</f>
        <v>5190</v>
      </c>
      <c r="AU4" s="63">
        <f>[2]B5!AU35</f>
        <v>0</v>
      </c>
      <c r="AV4" s="63">
        <f>[2]B5!AV35</f>
        <v>0</v>
      </c>
      <c r="AW4" s="63">
        <f>[2]B5!AW35</f>
        <v>0</v>
      </c>
      <c r="AX4" s="63">
        <f>[2]B5!AX35</f>
        <v>0.8</v>
      </c>
    </row>
    <row r="5" spans="1:52">
      <c r="A5" s="62">
        <f>ELEC!C4</f>
        <v>44958</v>
      </c>
      <c r="B5" s="63">
        <v>230</v>
      </c>
      <c r="C5" s="63">
        <v>236</v>
      </c>
      <c r="D5" s="44">
        <f>C4-C5</f>
        <v>5</v>
      </c>
      <c r="E5" s="44">
        <f t="shared" ref="E5:E31" si="0">D5*8.38</f>
        <v>41.900000000000006</v>
      </c>
      <c r="F5" s="465">
        <f>F4</f>
        <v>2382</v>
      </c>
      <c r="G5" s="51">
        <f t="shared" ref="G5:G31" si="1">F5-F4</f>
        <v>0</v>
      </c>
      <c r="H5" s="465">
        <f>H4</f>
        <v>54048</v>
      </c>
      <c r="I5" s="335">
        <f t="shared" ref="I5:I31" si="2">SUM(H5-H4)</f>
        <v>0</v>
      </c>
      <c r="J5" s="65">
        <f t="shared" ref="J5:J31" si="3">IF(G5&gt;0,I5/G5,0)</f>
        <v>0</v>
      </c>
      <c r="K5" s="525">
        <f>K4</f>
        <v>2490</v>
      </c>
      <c r="L5" s="51">
        <f t="shared" ref="L5:L31" si="4">K5-K4</f>
        <v>0</v>
      </c>
      <c r="M5" s="63">
        <v>185739</v>
      </c>
      <c r="N5" s="335">
        <f t="shared" ref="N5:N31" si="5">M5-M4</f>
        <v>49</v>
      </c>
      <c r="O5" s="63">
        <f t="shared" ref="O5:Q16" si="6">O4</f>
        <v>2251</v>
      </c>
      <c r="P5" s="465">
        <f>P4</f>
        <v>2254</v>
      </c>
      <c r="Q5" s="465">
        <f>Q4</f>
        <v>188186</v>
      </c>
      <c r="R5" s="334">
        <f t="shared" ref="R5:R9" si="7">Q5-Q4</f>
        <v>0</v>
      </c>
      <c r="S5" s="51">
        <f t="shared" ref="S5:S31" si="8">SUM(P5-P4)</f>
        <v>0</v>
      </c>
      <c r="T5" s="66">
        <f>SUM(S5*$T$2)</f>
        <v>0</v>
      </c>
      <c r="U5" s="341">
        <f t="shared" ref="U5:U31" si="9">SUM(G5+L5+S5)</f>
        <v>0</v>
      </c>
      <c r="V5" s="61">
        <f t="shared" ref="V5:V31" si="10">R5+N5+I5:I5</f>
        <v>49</v>
      </c>
      <c r="W5" s="339" t="e">
        <f t="shared" ref="W5:W15" si="11">SUM(V5/U5)</f>
        <v>#DIV/0!</v>
      </c>
      <c r="X5" s="465">
        <f>X4</f>
        <v>2498</v>
      </c>
      <c r="Y5" s="51">
        <f t="shared" ref="Y5:Y31" si="12">X5-X4</f>
        <v>0</v>
      </c>
      <c r="Z5" s="465">
        <f>Z4</f>
        <v>141480</v>
      </c>
      <c r="AA5" s="64">
        <f t="shared" ref="AA5:AA31" si="13">Z5-Z4</f>
        <v>0</v>
      </c>
      <c r="AB5" s="245">
        <f>SUM(Y5*$AB$2)</f>
        <v>0</v>
      </c>
      <c r="AC5" s="525">
        <v>1966</v>
      </c>
      <c r="AD5" s="44">
        <f t="shared" ref="AD5:AD31" si="14">AC5-AC4</f>
        <v>0</v>
      </c>
      <c r="AE5" s="465">
        <v>368122</v>
      </c>
      <c r="AF5" s="262">
        <f t="shared" ref="AF5:AF31" si="15">AE5-AE4</f>
        <v>0</v>
      </c>
      <c r="AG5" s="196">
        <f>IF(AD5&gt;0,AF5/AD5,0)</f>
        <v>0</v>
      </c>
      <c r="AH5" s="61">
        <f>AF5+AA5</f>
        <v>0</v>
      </c>
      <c r="AI5" s="270">
        <f t="shared" ref="AI5:AI31" si="16">SUM(AH5+V5)</f>
        <v>49</v>
      </c>
      <c r="AJ5" s="270">
        <f>-tanks!AW7</f>
        <v>548</v>
      </c>
      <c r="AK5" s="270">
        <f t="shared" ref="AK5:AK31" si="17">SUM(AJ5-AI5)</f>
        <v>499</v>
      </c>
      <c r="AL5" s="270">
        <f t="shared" ref="AL5:AL31" si="18">S5+L5+G5</f>
        <v>0</v>
      </c>
      <c r="AM5" s="270">
        <f t="shared" ref="AM5:AM31" si="19">Y5+AD5</f>
        <v>0</v>
      </c>
      <c r="AN5" s="465">
        <f t="shared" ref="AN5:AN33" si="20">AN4</f>
        <v>65</v>
      </c>
      <c r="AO5" s="272">
        <f t="shared" ref="AO5:AO33" si="21">(AN5/100)*3000</f>
        <v>1950</v>
      </c>
      <c r="AP5" s="465">
        <f t="shared" ref="AP5:AP33" si="22">AP4</f>
        <v>35</v>
      </c>
      <c r="AQ5" s="272">
        <f t="shared" ref="AQ5:AQ23" si="23">(AP5/100)*3000</f>
        <v>1050</v>
      </c>
      <c r="AR5" s="465">
        <f t="shared" ref="AR5:AR33" si="24">AR4</f>
        <v>73</v>
      </c>
      <c r="AS5" s="272">
        <f>(AR5/100)*3000</f>
        <v>2190</v>
      </c>
      <c r="AT5" s="272">
        <f>SUM(AO5+AQ5+AS5)</f>
        <v>5190</v>
      </c>
      <c r="AU5" s="272">
        <f>AT4-AT5+AV5</f>
        <v>0</v>
      </c>
      <c r="AV5" s="237"/>
      <c r="AW5" s="237"/>
      <c r="AX5" s="266">
        <f t="shared" ref="AX5:AX31" si="25">IF(AV5&gt;0,AW5,AX4)</f>
        <v>0.8</v>
      </c>
    </row>
    <row r="6" spans="1:52">
      <c r="A6" s="62">
        <f>ELEC!C5</f>
        <v>44959</v>
      </c>
      <c r="B6" s="63">
        <v>226</v>
      </c>
      <c r="C6" s="63">
        <v>232</v>
      </c>
      <c r="D6" s="44">
        <f t="shared" ref="D6:D18" si="26">C5-C6</f>
        <v>4</v>
      </c>
      <c r="E6" s="44">
        <f t="shared" si="0"/>
        <v>33.520000000000003</v>
      </c>
      <c r="F6" s="465">
        <v>2382</v>
      </c>
      <c r="G6" s="51">
        <f t="shared" si="1"/>
        <v>0</v>
      </c>
      <c r="H6" s="465">
        <v>54054</v>
      </c>
      <c r="I6" s="335">
        <f t="shared" si="2"/>
        <v>6</v>
      </c>
      <c r="J6" s="65">
        <f t="shared" si="3"/>
        <v>0</v>
      </c>
      <c r="K6" s="525">
        <f t="shared" ref="K6:K33" si="27">K5</f>
        <v>2490</v>
      </c>
      <c r="L6" s="51">
        <f t="shared" si="4"/>
        <v>0</v>
      </c>
      <c r="M6" s="63">
        <v>185739</v>
      </c>
      <c r="N6" s="335">
        <f t="shared" si="5"/>
        <v>0</v>
      </c>
      <c r="O6" s="63">
        <f t="shared" si="6"/>
        <v>2251</v>
      </c>
      <c r="P6" s="465">
        <v>2258</v>
      </c>
      <c r="Q6" s="465">
        <v>188538</v>
      </c>
      <c r="R6" s="334">
        <f t="shared" si="7"/>
        <v>352</v>
      </c>
      <c r="S6" s="51">
        <f t="shared" si="8"/>
        <v>4</v>
      </c>
      <c r="T6" s="66">
        <f t="shared" ref="T6:T31" si="28">SUM(S6*$T$2)</f>
        <v>0</v>
      </c>
      <c r="U6" s="341">
        <f t="shared" si="9"/>
        <v>4</v>
      </c>
      <c r="V6" s="61">
        <f>R6+N6+I6:I6</f>
        <v>358</v>
      </c>
      <c r="W6" s="339">
        <f t="shared" si="11"/>
        <v>89.5</v>
      </c>
      <c r="X6" s="465">
        <f t="shared" ref="X6:X33" si="29">X5</f>
        <v>2498</v>
      </c>
      <c r="Y6" s="51">
        <f t="shared" si="12"/>
        <v>0</v>
      </c>
      <c r="Z6" s="465">
        <f t="shared" ref="Z6:Z33" si="30">Z5</f>
        <v>141480</v>
      </c>
      <c r="AA6" s="64">
        <f t="shared" si="13"/>
        <v>0</v>
      </c>
      <c r="AB6" s="245">
        <f t="shared" ref="AB6:AB16" si="31">SUM(Y6*$AB$2)</f>
        <v>0</v>
      </c>
      <c r="AC6" s="525">
        <v>1968</v>
      </c>
      <c r="AD6" s="44">
        <f t="shared" si="14"/>
        <v>2</v>
      </c>
      <c r="AE6" s="465">
        <v>368312</v>
      </c>
      <c r="AF6" s="262">
        <f t="shared" si="15"/>
        <v>190</v>
      </c>
      <c r="AG6" s="196">
        <f t="shared" ref="AG6:AG31" si="32">IF(AD6&gt;0,AF6/AD6,0)</f>
        <v>95</v>
      </c>
      <c r="AH6" s="61">
        <f t="shared" ref="AH6:AH31" si="33">AF6+AA6</f>
        <v>190</v>
      </c>
      <c r="AI6" s="270">
        <f t="shared" si="16"/>
        <v>548</v>
      </c>
      <c r="AJ6" s="270">
        <f>-tanks!AW8</f>
        <v>0.59999999997671694</v>
      </c>
      <c r="AK6" s="270">
        <f t="shared" si="17"/>
        <v>-547.40000000002328</v>
      </c>
      <c r="AL6" s="270">
        <f t="shared" si="18"/>
        <v>4</v>
      </c>
      <c r="AM6" s="270">
        <f t="shared" si="19"/>
        <v>2</v>
      </c>
      <c r="AN6" s="465">
        <f t="shared" si="20"/>
        <v>65</v>
      </c>
      <c r="AO6" s="272">
        <f t="shared" si="21"/>
        <v>1950</v>
      </c>
      <c r="AP6" s="465">
        <f t="shared" si="22"/>
        <v>35</v>
      </c>
      <c r="AQ6" s="272">
        <f t="shared" si="23"/>
        <v>1050</v>
      </c>
      <c r="AR6" s="465">
        <f t="shared" si="24"/>
        <v>73</v>
      </c>
      <c r="AS6" s="272">
        <f t="shared" ref="AS6:AS33" si="34">(AR6/100)*3000</f>
        <v>2190</v>
      </c>
      <c r="AT6" s="272">
        <f t="shared" ref="AT6:AT22" si="35">SUM(AO6+AQ6+AS6)</f>
        <v>5190</v>
      </c>
      <c r="AU6" s="272">
        <f t="shared" ref="AU6:AU33" si="36">AT5-AT6+AV6</f>
        <v>0</v>
      </c>
      <c r="AV6" s="237"/>
      <c r="AW6" s="237"/>
      <c r="AX6" s="266">
        <f t="shared" si="25"/>
        <v>0.8</v>
      </c>
      <c r="AZ6" s="41" t="s">
        <v>94</v>
      </c>
    </row>
    <row r="7" spans="1:52">
      <c r="A7" s="62">
        <f>ELEC!C6</f>
        <v>44960</v>
      </c>
      <c r="B7" s="63">
        <v>226</v>
      </c>
      <c r="C7" s="63">
        <v>232</v>
      </c>
      <c r="D7" s="44">
        <f t="shared" si="26"/>
        <v>0</v>
      </c>
      <c r="E7" s="44">
        <f t="shared" si="0"/>
        <v>0</v>
      </c>
      <c r="F7" s="465">
        <v>2382</v>
      </c>
      <c r="G7" s="51">
        <f t="shared" si="1"/>
        <v>0</v>
      </c>
      <c r="H7" s="465">
        <v>54054</v>
      </c>
      <c r="I7" s="335">
        <f t="shared" si="2"/>
        <v>0</v>
      </c>
      <c r="J7" s="65">
        <f t="shared" si="3"/>
        <v>0</v>
      </c>
      <c r="K7" s="525">
        <v>2490</v>
      </c>
      <c r="L7" s="51">
        <f t="shared" si="4"/>
        <v>0</v>
      </c>
      <c r="M7" s="63">
        <v>185739</v>
      </c>
      <c r="N7" s="335">
        <f t="shared" si="5"/>
        <v>0</v>
      </c>
      <c r="O7" s="63">
        <f t="shared" si="6"/>
        <v>2251</v>
      </c>
      <c r="P7" s="465">
        <v>2258</v>
      </c>
      <c r="Q7" s="465">
        <v>188538</v>
      </c>
      <c r="R7" s="334">
        <f t="shared" si="7"/>
        <v>0</v>
      </c>
      <c r="S7" s="51">
        <f t="shared" si="8"/>
        <v>0</v>
      </c>
      <c r="T7" s="66">
        <f t="shared" si="28"/>
        <v>0</v>
      </c>
      <c r="U7" s="341">
        <f t="shared" si="9"/>
        <v>0</v>
      </c>
      <c r="V7" s="61">
        <f>R7+N7+I7:I7</f>
        <v>0</v>
      </c>
      <c r="W7" s="339" t="e">
        <f t="shared" si="11"/>
        <v>#DIV/0!</v>
      </c>
      <c r="X7" s="465">
        <f t="shared" si="29"/>
        <v>2498</v>
      </c>
      <c r="Y7" s="51">
        <f t="shared" si="12"/>
        <v>0</v>
      </c>
      <c r="Z7" s="465">
        <f t="shared" si="30"/>
        <v>141480</v>
      </c>
      <c r="AA7" s="64">
        <f t="shared" si="13"/>
        <v>0</v>
      </c>
      <c r="AB7" s="245">
        <f t="shared" si="31"/>
        <v>0</v>
      </c>
      <c r="AC7" s="525">
        <f t="shared" ref="AC7:AC33" si="37">AC6</f>
        <v>1968</v>
      </c>
      <c r="AD7" s="44">
        <f t="shared" si="14"/>
        <v>0</v>
      </c>
      <c r="AE7" s="465">
        <v>368312.6</v>
      </c>
      <c r="AF7" s="262">
        <f t="shared" si="15"/>
        <v>0.59999999997671694</v>
      </c>
      <c r="AG7" s="196">
        <f t="shared" si="32"/>
        <v>0</v>
      </c>
      <c r="AH7" s="61">
        <f t="shared" si="33"/>
        <v>0.59999999997671694</v>
      </c>
      <c r="AI7" s="270">
        <f t="shared" si="16"/>
        <v>0.59999999997671694</v>
      </c>
      <c r="AJ7" s="270">
        <f>-tanks!AW9</f>
        <v>0</v>
      </c>
      <c r="AK7" s="270">
        <f t="shared" si="17"/>
        <v>-0.59999999997671694</v>
      </c>
      <c r="AL7" s="270">
        <f t="shared" si="18"/>
        <v>0</v>
      </c>
      <c r="AM7" s="270">
        <f t="shared" si="19"/>
        <v>0</v>
      </c>
      <c r="AN7" s="465">
        <f t="shared" si="20"/>
        <v>65</v>
      </c>
      <c r="AO7" s="272">
        <f t="shared" si="21"/>
        <v>1950</v>
      </c>
      <c r="AP7" s="465">
        <f t="shared" si="22"/>
        <v>35</v>
      </c>
      <c r="AQ7" s="272">
        <f t="shared" si="23"/>
        <v>1050</v>
      </c>
      <c r="AR7" s="465">
        <f t="shared" si="24"/>
        <v>73</v>
      </c>
      <c r="AS7" s="272">
        <f t="shared" si="34"/>
        <v>2190</v>
      </c>
      <c r="AT7" s="272">
        <f t="shared" si="35"/>
        <v>5190</v>
      </c>
      <c r="AU7" s="272">
        <f t="shared" si="36"/>
        <v>0</v>
      </c>
      <c r="AV7" s="237"/>
      <c r="AW7" s="237"/>
      <c r="AX7" s="266">
        <f t="shared" si="25"/>
        <v>0.8</v>
      </c>
    </row>
    <row r="8" spans="1:52" ht="15.75" customHeight="1">
      <c r="A8" s="62">
        <f>ELEC!C7</f>
        <v>44961</v>
      </c>
      <c r="B8" s="63">
        <f t="shared" ref="B8:B33" si="38">B7</f>
        <v>226</v>
      </c>
      <c r="C8" s="63">
        <f t="shared" ref="C8:C33" si="39">C7</f>
        <v>232</v>
      </c>
      <c r="D8" s="44">
        <f t="shared" si="26"/>
        <v>0</v>
      </c>
      <c r="E8" s="44">
        <f t="shared" si="0"/>
        <v>0</v>
      </c>
      <c r="F8" s="465">
        <f t="shared" ref="F8:F33" si="40">F7</f>
        <v>2382</v>
      </c>
      <c r="G8" s="51">
        <f t="shared" si="1"/>
        <v>0</v>
      </c>
      <c r="H8" s="465">
        <f t="shared" ref="H8:H33" si="41">H7</f>
        <v>54054</v>
      </c>
      <c r="I8" s="335">
        <f t="shared" si="2"/>
        <v>0</v>
      </c>
      <c r="J8" s="65">
        <f t="shared" si="3"/>
        <v>0</v>
      </c>
      <c r="K8" s="525">
        <f t="shared" si="27"/>
        <v>2490</v>
      </c>
      <c r="L8" s="51">
        <f t="shared" si="4"/>
        <v>0</v>
      </c>
      <c r="M8" s="63">
        <f t="shared" ref="M8:M33" si="42">M7</f>
        <v>185739</v>
      </c>
      <c r="N8" s="335">
        <f t="shared" si="5"/>
        <v>0</v>
      </c>
      <c r="O8" s="63">
        <f t="shared" si="6"/>
        <v>2251</v>
      </c>
      <c r="P8" s="465">
        <f t="shared" si="6"/>
        <v>2258</v>
      </c>
      <c r="Q8" s="465">
        <f t="shared" si="6"/>
        <v>188538</v>
      </c>
      <c r="R8" s="334">
        <f t="shared" si="7"/>
        <v>0</v>
      </c>
      <c r="S8" s="51">
        <f t="shared" si="8"/>
        <v>0</v>
      </c>
      <c r="T8" s="66">
        <f t="shared" si="28"/>
        <v>0</v>
      </c>
      <c r="U8" s="341">
        <f t="shared" si="9"/>
        <v>0</v>
      </c>
      <c r="V8" s="61">
        <f t="shared" si="10"/>
        <v>0</v>
      </c>
      <c r="W8" s="339" t="e">
        <f t="shared" si="11"/>
        <v>#DIV/0!</v>
      </c>
      <c r="X8" s="465">
        <f t="shared" si="29"/>
        <v>2498</v>
      </c>
      <c r="Y8" s="51">
        <f t="shared" si="12"/>
        <v>0</v>
      </c>
      <c r="Z8" s="465">
        <f t="shared" si="30"/>
        <v>141480</v>
      </c>
      <c r="AA8" s="64">
        <f t="shared" si="13"/>
        <v>0</v>
      </c>
      <c r="AB8" s="245">
        <f t="shared" si="31"/>
        <v>0</v>
      </c>
      <c r="AC8" s="525">
        <f t="shared" si="37"/>
        <v>1968</v>
      </c>
      <c r="AD8" s="44">
        <f t="shared" si="14"/>
        <v>0</v>
      </c>
      <c r="AE8" s="465">
        <f t="shared" ref="AE8:AE33" si="43">AE7</f>
        <v>368312.6</v>
      </c>
      <c r="AF8" s="262">
        <f t="shared" si="15"/>
        <v>0</v>
      </c>
      <c r="AG8" s="196">
        <f t="shared" si="32"/>
        <v>0</v>
      </c>
      <c r="AH8" s="61">
        <f t="shared" si="33"/>
        <v>0</v>
      </c>
      <c r="AI8" s="270">
        <f t="shared" si="16"/>
        <v>0</v>
      </c>
      <c r="AJ8" s="270">
        <f>-tanks!AW10</f>
        <v>203</v>
      </c>
      <c r="AK8" s="270">
        <f t="shared" si="17"/>
        <v>203</v>
      </c>
      <c r="AL8" s="270">
        <f t="shared" si="18"/>
        <v>0</v>
      </c>
      <c r="AM8" s="270">
        <f t="shared" si="19"/>
        <v>0</v>
      </c>
      <c r="AN8" s="465">
        <f t="shared" si="20"/>
        <v>65</v>
      </c>
      <c r="AO8" s="272">
        <f t="shared" si="21"/>
        <v>1950</v>
      </c>
      <c r="AP8" s="465">
        <f t="shared" si="22"/>
        <v>35</v>
      </c>
      <c r="AQ8" s="272">
        <f t="shared" si="23"/>
        <v>1050</v>
      </c>
      <c r="AR8" s="465">
        <f t="shared" si="24"/>
        <v>73</v>
      </c>
      <c r="AS8" s="272">
        <f>(AR8/100)*3000</f>
        <v>2190</v>
      </c>
      <c r="AT8" s="272">
        <f t="shared" si="35"/>
        <v>5190</v>
      </c>
      <c r="AU8" s="272">
        <f t="shared" si="36"/>
        <v>0</v>
      </c>
      <c r="AV8" s="237"/>
      <c r="AW8" s="237"/>
      <c r="AX8" s="266">
        <f t="shared" si="25"/>
        <v>0.8</v>
      </c>
    </row>
    <row r="9" spans="1:52">
      <c r="A9" s="62">
        <f>ELEC!C8</f>
        <v>44962</v>
      </c>
      <c r="B9" s="63">
        <v>222</v>
      </c>
      <c r="C9" s="63">
        <v>228</v>
      </c>
      <c r="D9" s="44">
        <f t="shared" si="26"/>
        <v>4</v>
      </c>
      <c r="E9" s="44">
        <f t="shared" si="0"/>
        <v>33.520000000000003</v>
      </c>
      <c r="F9" s="465">
        <f t="shared" si="40"/>
        <v>2382</v>
      </c>
      <c r="G9" s="51">
        <f t="shared" si="1"/>
        <v>0</v>
      </c>
      <c r="H9" s="465">
        <f t="shared" si="41"/>
        <v>54054</v>
      </c>
      <c r="I9" s="335">
        <f t="shared" si="2"/>
        <v>0</v>
      </c>
      <c r="J9" s="65">
        <f t="shared" si="3"/>
        <v>0</v>
      </c>
      <c r="K9" s="525">
        <f t="shared" si="27"/>
        <v>2490</v>
      </c>
      <c r="L9" s="51">
        <f t="shared" si="4"/>
        <v>0</v>
      </c>
      <c r="M9" s="63">
        <v>185760</v>
      </c>
      <c r="N9" s="335">
        <f t="shared" si="5"/>
        <v>21</v>
      </c>
      <c r="O9" s="63">
        <f t="shared" si="6"/>
        <v>2251</v>
      </c>
      <c r="P9" s="465">
        <v>2261</v>
      </c>
      <c r="Q9" s="465">
        <v>188720</v>
      </c>
      <c r="R9" s="334">
        <f t="shared" si="7"/>
        <v>182</v>
      </c>
      <c r="S9" s="51">
        <f t="shared" si="8"/>
        <v>3</v>
      </c>
      <c r="T9" s="66">
        <f t="shared" si="28"/>
        <v>0</v>
      </c>
      <c r="U9" s="341">
        <f t="shared" si="9"/>
        <v>3</v>
      </c>
      <c r="V9" s="61">
        <f t="shared" si="10"/>
        <v>203</v>
      </c>
      <c r="W9" s="339">
        <f t="shared" si="11"/>
        <v>67.666666666666671</v>
      </c>
      <c r="X9" s="465">
        <f t="shared" si="29"/>
        <v>2498</v>
      </c>
      <c r="Y9" s="51">
        <f t="shared" si="12"/>
        <v>0</v>
      </c>
      <c r="Z9" s="465">
        <f t="shared" si="30"/>
        <v>141480</v>
      </c>
      <c r="AA9" s="64">
        <f t="shared" si="13"/>
        <v>0</v>
      </c>
      <c r="AB9" s="245">
        <f t="shared" si="31"/>
        <v>0</v>
      </c>
      <c r="AC9" s="525">
        <f t="shared" si="37"/>
        <v>1968</v>
      </c>
      <c r="AD9" s="44">
        <f t="shared" si="14"/>
        <v>0</v>
      </c>
      <c r="AE9" s="465">
        <f t="shared" si="43"/>
        <v>368312.6</v>
      </c>
      <c r="AF9" s="262">
        <f t="shared" si="15"/>
        <v>0</v>
      </c>
      <c r="AG9" s="196">
        <f t="shared" si="32"/>
        <v>0</v>
      </c>
      <c r="AH9" s="61">
        <f t="shared" si="33"/>
        <v>0</v>
      </c>
      <c r="AI9" s="270">
        <f>SUM(AH9+V9)</f>
        <v>203</v>
      </c>
      <c r="AJ9" s="270">
        <f>-tanks!AW11</f>
        <v>280.40000000002328</v>
      </c>
      <c r="AK9" s="270">
        <f t="shared" si="17"/>
        <v>77.400000000023283</v>
      </c>
      <c r="AL9" s="270">
        <f t="shared" si="18"/>
        <v>3</v>
      </c>
      <c r="AM9" s="270">
        <f t="shared" si="19"/>
        <v>0</v>
      </c>
      <c r="AN9" s="465">
        <f t="shared" si="20"/>
        <v>65</v>
      </c>
      <c r="AO9" s="272">
        <f t="shared" si="21"/>
        <v>1950</v>
      </c>
      <c r="AP9" s="465">
        <f t="shared" si="22"/>
        <v>35</v>
      </c>
      <c r="AQ9" s="272">
        <f t="shared" si="23"/>
        <v>1050</v>
      </c>
      <c r="AR9" s="465">
        <f t="shared" si="24"/>
        <v>73</v>
      </c>
      <c r="AS9" s="272">
        <f t="shared" si="34"/>
        <v>2190</v>
      </c>
      <c r="AT9" s="272">
        <f t="shared" si="35"/>
        <v>5190</v>
      </c>
      <c r="AU9" s="272">
        <f t="shared" si="36"/>
        <v>0</v>
      </c>
      <c r="AV9" s="237"/>
      <c r="AW9" s="237"/>
      <c r="AX9" s="266">
        <f t="shared" si="25"/>
        <v>0.8</v>
      </c>
    </row>
    <row r="10" spans="1:52">
      <c r="A10" s="62">
        <f>ELEC!C9</f>
        <v>44963</v>
      </c>
      <c r="B10" s="63">
        <v>217</v>
      </c>
      <c r="C10" s="63">
        <v>223</v>
      </c>
      <c r="D10" s="44">
        <f t="shared" si="26"/>
        <v>5</v>
      </c>
      <c r="E10" s="44">
        <f t="shared" si="0"/>
        <v>41.900000000000006</v>
      </c>
      <c r="F10" s="465">
        <f t="shared" si="40"/>
        <v>2382</v>
      </c>
      <c r="G10" s="51">
        <f t="shared" si="1"/>
        <v>0</v>
      </c>
      <c r="H10" s="465">
        <f t="shared" si="41"/>
        <v>54054</v>
      </c>
      <c r="I10" s="335">
        <f t="shared" si="2"/>
        <v>0</v>
      </c>
      <c r="J10" s="65">
        <f t="shared" si="3"/>
        <v>0</v>
      </c>
      <c r="K10" s="525">
        <v>2492</v>
      </c>
      <c r="L10" s="51">
        <f t="shared" si="4"/>
        <v>2</v>
      </c>
      <c r="M10" s="63">
        <v>185870</v>
      </c>
      <c r="N10" s="335">
        <f t="shared" si="5"/>
        <v>110</v>
      </c>
      <c r="O10" s="63">
        <f t="shared" si="6"/>
        <v>2251</v>
      </c>
      <c r="P10" s="465">
        <v>2262</v>
      </c>
      <c r="Q10" s="465">
        <v>188821</v>
      </c>
      <c r="R10" s="334">
        <f t="shared" ref="R10:R31" si="44">Q10-Q9</f>
        <v>101</v>
      </c>
      <c r="S10" s="51">
        <f t="shared" si="8"/>
        <v>1</v>
      </c>
      <c r="T10" s="66">
        <f t="shared" si="28"/>
        <v>0</v>
      </c>
      <c r="U10" s="341">
        <f t="shared" si="9"/>
        <v>3</v>
      </c>
      <c r="V10" s="61">
        <f t="shared" si="10"/>
        <v>211</v>
      </c>
      <c r="W10" s="339">
        <f t="shared" si="11"/>
        <v>70.333333333333329</v>
      </c>
      <c r="X10" s="465">
        <f t="shared" si="29"/>
        <v>2498</v>
      </c>
      <c r="Y10" s="51">
        <f t="shared" si="12"/>
        <v>0</v>
      </c>
      <c r="Z10" s="465">
        <f t="shared" si="30"/>
        <v>141480</v>
      </c>
      <c r="AA10" s="64">
        <f t="shared" si="13"/>
        <v>0</v>
      </c>
      <c r="AB10" s="245">
        <f t="shared" si="31"/>
        <v>0</v>
      </c>
      <c r="AC10" s="525">
        <v>1969</v>
      </c>
      <c r="AD10" s="44">
        <f t="shared" si="14"/>
        <v>1</v>
      </c>
      <c r="AE10" s="465">
        <v>368382</v>
      </c>
      <c r="AF10" s="262">
        <f t="shared" si="15"/>
        <v>69.400000000023283</v>
      </c>
      <c r="AG10" s="196">
        <f t="shared" si="32"/>
        <v>69.400000000023283</v>
      </c>
      <c r="AH10" s="61">
        <f>AF10+AA10</f>
        <v>69.400000000023283</v>
      </c>
      <c r="AI10" s="270">
        <f>SUM(AH10+V10)</f>
        <v>280.40000000002328</v>
      </c>
      <c r="AJ10" s="270">
        <f>-tanks!AW12</f>
        <v>191</v>
      </c>
      <c r="AK10" s="270">
        <f t="shared" si="17"/>
        <v>-89.400000000023283</v>
      </c>
      <c r="AL10" s="270">
        <f t="shared" si="18"/>
        <v>3</v>
      </c>
      <c r="AM10" s="270">
        <f t="shared" si="19"/>
        <v>1</v>
      </c>
      <c r="AN10" s="465">
        <f t="shared" si="20"/>
        <v>65</v>
      </c>
      <c r="AO10" s="272">
        <f t="shared" si="21"/>
        <v>1950</v>
      </c>
      <c r="AP10" s="465">
        <f t="shared" si="22"/>
        <v>35</v>
      </c>
      <c r="AQ10" s="272">
        <f t="shared" si="23"/>
        <v>1050</v>
      </c>
      <c r="AR10" s="465">
        <f t="shared" si="24"/>
        <v>73</v>
      </c>
      <c r="AS10" s="272">
        <f t="shared" si="34"/>
        <v>2190</v>
      </c>
      <c r="AT10" s="272">
        <f t="shared" si="35"/>
        <v>5190</v>
      </c>
      <c r="AU10" s="272">
        <f t="shared" si="36"/>
        <v>0</v>
      </c>
      <c r="AV10" s="237"/>
      <c r="AW10" s="237"/>
      <c r="AX10" s="266">
        <f t="shared" si="25"/>
        <v>0.8</v>
      </c>
    </row>
    <row r="11" spans="1:52">
      <c r="A11" s="62">
        <f>ELEC!C10</f>
        <v>44964</v>
      </c>
      <c r="B11" s="63">
        <v>212</v>
      </c>
      <c r="C11" s="63">
        <v>219</v>
      </c>
      <c r="D11" s="44">
        <f t="shared" si="26"/>
        <v>4</v>
      </c>
      <c r="E11" s="44">
        <f t="shared" si="0"/>
        <v>33.520000000000003</v>
      </c>
      <c r="F11" s="465">
        <f t="shared" si="40"/>
        <v>2382</v>
      </c>
      <c r="G11" s="51">
        <f t="shared" si="1"/>
        <v>0</v>
      </c>
      <c r="H11" s="465">
        <f t="shared" si="41"/>
        <v>54054</v>
      </c>
      <c r="I11" s="335">
        <f t="shared" si="2"/>
        <v>0</v>
      </c>
      <c r="J11" s="65">
        <f t="shared" si="3"/>
        <v>0</v>
      </c>
      <c r="K11" s="525">
        <f t="shared" si="27"/>
        <v>2492</v>
      </c>
      <c r="L11" s="51">
        <f t="shared" si="4"/>
        <v>0</v>
      </c>
      <c r="M11" s="63">
        <v>185894</v>
      </c>
      <c r="N11" s="335">
        <f t="shared" si="5"/>
        <v>24</v>
      </c>
      <c r="O11" s="63">
        <f t="shared" si="6"/>
        <v>2251</v>
      </c>
      <c r="P11" s="465">
        <v>2264</v>
      </c>
      <c r="Q11" s="465">
        <v>188988</v>
      </c>
      <c r="R11" s="334">
        <f t="shared" si="44"/>
        <v>167</v>
      </c>
      <c r="S11" s="51">
        <f t="shared" si="8"/>
        <v>2</v>
      </c>
      <c r="T11" s="66">
        <f t="shared" si="28"/>
        <v>0</v>
      </c>
      <c r="U11" s="341">
        <f t="shared" si="9"/>
        <v>2</v>
      </c>
      <c r="V11" s="61">
        <f t="shared" si="10"/>
        <v>191</v>
      </c>
      <c r="W11" s="339">
        <f t="shared" si="11"/>
        <v>95.5</v>
      </c>
      <c r="X11" s="465">
        <f t="shared" si="29"/>
        <v>2498</v>
      </c>
      <c r="Y11" s="51">
        <f t="shared" si="12"/>
        <v>0</v>
      </c>
      <c r="Z11" s="465">
        <f t="shared" si="30"/>
        <v>141480</v>
      </c>
      <c r="AA11" s="64">
        <f t="shared" si="13"/>
        <v>0</v>
      </c>
      <c r="AB11" s="245">
        <f t="shared" si="31"/>
        <v>0</v>
      </c>
      <c r="AC11" s="525">
        <f t="shared" si="37"/>
        <v>1969</v>
      </c>
      <c r="AD11" s="44">
        <f t="shared" si="14"/>
        <v>0</v>
      </c>
      <c r="AE11" s="465">
        <f t="shared" si="43"/>
        <v>368382</v>
      </c>
      <c r="AF11" s="262">
        <f t="shared" si="15"/>
        <v>0</v>
      </c>
      <c r="AG11" s="196">
        <f t="shared" si="32"/>
        <v>0</v>
      </c>
      <c r="AH11" s="61">
        <f t="shared" si="33"/>
        <v>0</v>
      </c>
      <c r="AI11" s="270">
        <f t="shared" si="16"/>
        <v>191</v>
      </c>
      <c r="AJ11" s="270">
        <f>-tanks!AW13</f>
        <v>321</v>
      </c>
      <c r="AK11" s="270">
        <f t="shared" si="17"/>
        <v>130</v>
      </c>
      <c r="AL11" s="270">
        <f t="shared" si="18"/>
        <v>2</v>
      </c>
      <c r="AM11" s="270">
        <f t="shared" si="19"/>
        <v>0</v>
      </c>
      <c r="AN11" s="465">
        <f t="shared" si="20"/>
        <v>65</v>
      </c>
      <c r="AO11" s="272">
        <f t="shared" si="21"/>
        <v>1950</v>
      </c>
      <c r="AP11" s="465">
        <f t="shared" si="22"/>
        <v>35</v>
      </c>
      <c r="AQ11" s="272">
        <f t="shared" si="23"/>
        <v>1050</v>
      </c>
      <c r="AR11" s="465">
        <f t="shared" si="24"/>
        <v>73</v>
      </c>
      <c r="AS11" s="272">
        <f t="shared" si="34"/>
        <v>2190</v>
      </c>
      <c r="AT11" s="272">
        <f t="shared" si="35"/>
        <v>5190</v>
      </c>
      <c r="AU11" s="272">
        <f t="shared" si="36"/>
        <v>0</v>
      </c>
      <c r="AV11" s="237"/>
      <c r="AW11" s="237"/>
      <c r="AX11" s="266">
        <f t="shared" si="25"/>
        <v>0.8</v>
      </c>
    </row>
    <row r="12" spans="1:52">
      <c r="A12" s="62">
        <f>ELEC!C11</f>
        <v>44965</v>
      </c>
      <c r="B12" s="63">
        <v>235</v>
      </c>
      <c r="C12" s="63">
        <v>241</v>
      </c>
      <c r="D12" s="44">
        <f t="shared" si="26"/>
        <v>-22</v>
      </c>
      <c r="E12" s="44">
        <f t="shared" si="0"/>
        <v>-184.36</v>
      </c>
      <c r="F12" s="465">
        <f t="shared" si="40"/>
        <v>2382</v>
      </c>
      <c r="G12" s="51">
        <f t="shared" si="1"/>
        <v>0</v>
      </c>
      <c r="H12" s="465">
        <f t="shared" si="41"/>
        <v>54054</v>
      </c>
      <c r="I12" s="335">
        <f t="shared" si="2"/>
        <v>0</v>
      </c>
      <c r="J12" s="65">
        <f t="shared" si="3"/>
        <v>0</v>
      </c>
      <c r="K12" s="525">
        <f t="shared" si="27"/>
        <v>2492</v>
      </c>
      <c r="L12" s="51">
        <f t="shared" si="4"/>
        <v>0</v>
      </c>
      <c r="M12" s="63">
        <f t="shared" si="42"/>
        <v>185894</v>
      </c>
      <c r="N12" s="335">
        <f t="shared" si="5"/>
        <v>0</v>
      </c>
      <c r="O12" s="63">
        <f t="shared" si="6"/>
        <v>2251</v>
      </c>
      <c r="P12" s="465">
        <v>2268</v>
      </c>
      <c r="Q12" s="465">
        <v>189309</v>
      </c>
      <c r="R12" s="334">
        <f t="shared" si="44"/>
        <v>321</v>
      </c>
      <c r="S12" s="51">
        <f t="shared" si="8"/>
        <v>4</v>
      </c>
      <c r="T12" s="66">
        <f t="shared" si="28"/>
        <v>0</v>
      </c>
      <c r="U12" s="341">
        <f t="shared" si="9"/>
        <v>4</v>
      </c>
      <c r="V12" s="61">
        <f t="shared" si="10"/>
        <v>321</v>
      </c>
      <c r="W12" s="339">
        <f t="shared" si="11"/>
        <v>80.25</v>
      </c>
      <c r="X12" s="465">
        <f t="shared" si="29"/>
        <v>2498</v>
      </c>
      <c r="Y12" s="51">
        <f t="shared" si="12"/>
        <v>0</v>
      </c>
      <c r="Z12" s="465">
        <f t="shared" si="30"/>
        <v>141480</v>
      </c>
      <c r="AA12" s="245">
        <f t="shared" si="13"/>
        <v>0</v>
      </c>
      <c r="AB12" s="245">
        <f t="shared" si="31"/>
        <v>0</v>
      </c>
      <c r="AC12" s="525">
        <f t="shared" si="37"/>
        <v>1969</v>
      </c>
      <c r="AD12" s="44">
        <f t="shared" si="14"/>
        <v>0</v>
      </c>
      <c r="AE12" s="465">
        <f t="shared" si="43"/>
        <v>368382</v>
      </c>
      <c r="AF12" s="262">
        <f t="shared" si="15"/>
        <v>0</v>
      </c>
      <c r="AG12" s="196">
        <f t="shared" si="32"/>
        <v>0</v>
      </c>
      <c r="AH12" s="61">
        <f t="shared" si="33"/>
        <v>0</v>
      </c>
      <c r="AI12" s="270">
        <f t="shared" si="16"/>
        <v>321</v>
      </c>
      <c r="AJ12" s="270">
        <f>-tanks!AW14</f>
        <v>0</v>
      </c>
      <c r="AK12" s="270">
        <f t="shared" si="17"/>
        <v>-321</v>
      </c>
      <c r="AL12" s="270">
        <f t="shared" si="18"/>
        <v>4</v>
      </c>
      <c r="AM12" s="270">
        <f t="shared" si="19"/>
        <v>0</v>
      </c>
      <c r="AN12" s="465">
        <f t="shared" si="20"/>
        <v>65</v>
      </c>
      <c r="AO12" s="272">
        <f t="shared" si="21"/>
        <v>1950</v>
      </c>
      <c r="AP12" s="465">
        <f t="shared" si="22"/>
        <v>35</v>
      </c>
      <c r="AQ12" s="272">
        <f t="shared" si="23"/>
        <v>1050</v>
      </c>
      <c r="AR12" s="465">
        <f t="shared" si="24"/>
        <v>73</v>
      </c>
      <c r="AS12" s="272">
        <f t="shared" si="34"/>
        <v>2190</v>
      </c>
      <c r="AT12" s="272">
        <f t="shared" si="35"/>
        <v>5190</v>
      </c>
      <c r="AU12" s="272">
        <f t="shared" si="36"/>
        <v>0</v>
      </c>
      <c r="AV12" s="237"/>
      <c r="AW12" s="237"/>
      <c r="AX12" s="266">
        <f t="shared" si="25"/>
        <v>0.8</v>
      </c>
    </row>
    <row r="13" spans="1:52">
      <c r="A13" s="62">
        <f>ELEC!C12</f>
        <v>44966</v>
      </c>
      <c r="B13" s="63">
        <f t="shared" si="38"/>
        <v>235</v>
      </c>
      <c r="C13" s="63">
        <f t="shared" si="39"/>
        <v>241</v>
      </c>
      <c r="D13" s="44">
        <f t="shared" si="26"/>
        <v>0</v>
      </c>
      <c r="E13" s="44">
        <f t="shared" si="0"/>
        <v>0</v>
      </c>
      <c r="F13" s="465">
        <f t="shared" si="40"/>
        <v>2382</v>
      </c>
      <c r="G13" s="51">
        <f t="shared" si="1"/>
        <v>0</v>
      </c>
      <c r="H13" s="465">
        <f t="shared" si="41"/>
        <v>54054</v>
      </c>
      <c r="I13" s="335">
        <f t="shared" si="2"/>
        <v>0</v>
      </c>
      <c r="J13" s="65">
        <f t="shared" si="3"/>
        <v>0</v>
      </c>
      <c r="K13" s="525">
        <f t="shared" si="27"/>
        <v>2492</v>
      </c>
      <c r="L13" s="51">
        <f t="shared" si="4"/>
        <v>0</v>
      </c>
      <c r="M13" s="63">
        <f t="shared" si="42"/>
        <v>185894</v>
      </c>
      <c r="N13" s="335">
        <f t="shared" si="5"/>
        <v>0</v>
      </c>
      <c r="O13" s="63">
        <f t="shared" si="6"/>
        <v>2251</v>
      </c>
      <c r="P13" s="465">
        <f t="shared" si="6"/>
        <v>2268</v>
      </c>
      <c r="Q13" s="465">
        <f t="shared" si="6"/>
        <v>189309</v>
      </c>
      <c r="R13" s="334">
        <f t="shared" si="44"/>
        <v>0</v>
      </c>
      <c r="S13" s="51">
        <f t="shared" si="8"/>
        <v>0</v>
      </c>
      <c r="T13" s="66">
        <f t="shared" si="28"/>
        <v>0</v>
      </c>
      <c r="U13" s="341">
        <f t="shared" si="9"/>
        <v>0</v>
      </c>
      <c r="V13" s="61">
        <f t="shared" si="10"/>
        <v>0</v>
      </c>
      <c r="W13" s="339" t="e">
        <f t="shared" si="11"/>
        <v>#DIV/0!</v>
      </c>
      <c r="X13" s="465">
        <f t="shared" si="29"/>
        <v>2498</v>
      </c>
      <c r="Y13" s="51">
        <f t="shared" si="12"/>
        <v>0</v>
      </c>
      <c r="Z13" s="465">
        <f t="shared" si="30"/>
        <v>141480</v>
      </c>
      <c r="AA13" s="64">
        <f t="shared" si="13"/>
        <v>0</v>
      </c>
      <c r="AB13" s="245">
        <f t="shared" si="31"/>
        <v>0</v>
      </c>
      <c r="AC13" s="525">
        <f t="shared" si="37"/>
        <v>1969</v>
      </c>
      <c r="AD13" s="44">
        <f t="shared" si="14"/>
        <v>0</v>
      </c>
      <c r="AE13" s="465">
        <f t="shared" si="43"/>
        <v>368382</v>
      </c>
      <c r="AF13" s="262">
        <f t="shared" si="15"/>
        <v>0</v>
      </c>
      <c r="AG13" s="196">
        <f t="shared" si="32"/>
        <v>0</v>
      </c>
      <c r="AH13" s="61">
        <f>AF13+AA13</f>
        <v>0</v>
      </c>
      <c r="AI13" s="270">
        <f>SUM(AH13+V13)</f>
        <v>0</v>
      </c>
      <c r="AJ13" s="270">
        <f>-tanks!AW15</f>
        <v>0</v>
      </c>
      <c r="AK13" s="270">
        <f t="shared" si="17"/>
        <v>0</v>
      </c>
      <c r="AL13" s="270">
        <f t="shared" si="18"/>
        <v>0</v>
      </c>
      <c r="AM13" s="270">
        <f t="shared" si="19"/>
        <v>0</v>
      </c>
      <c r="AN13" s="465">
        <f t="shared" si="20"/>
        <v>65</v>
      </c>
      <c r="AO13" s="272">
        <f t="shared" si="21"/>
        <v>1950</v>
      </c>
      <c r="AP13" s="465">
        <f t="shared" si="22"/>
        <v>35</v>
      </c>
      <c r="AQ13" s="272">
        <f t="shared" si="23"/>
        <v>1050</v>
      </c>
      <c r="AR13" s="465">
        <f t="shared" si="24"/>
        <v>73</v>
      </c>
      <c r="AS13" s="272">
        <f t="shared" si="34"/>
        <v>2190</v>
      </c>
      <c r="AT13" s="272">
        <f t="shared" si="35"/>
        <v>5190</v>
      </c>
      <c r="AU13" s="272">
        <f t="shared" si="36"/>
        <v>0</v>
      </c>
      <c r="AV13" s="237"/>
      <c r="AW13" s="237"/>
      <c r="AX13" s="266">
        <f t="shared" si="25"/>
        <v>0.8</v>
      </c>
    </row>
    <row r="14" spans="1:52" ht="15" customHeight="1">
      <c r="A14" s="62">
        <f>ELEC!C13</f>
        <v>44967</v>
      </c>
      <c r="B14" s="63">
        <f t="shared" si="38"/>
        <v>235</v>
      </c>
      <c r="C14" s="63">
        <f t="shared" si="39"/>
        <v>241</v>
      </c>
      <c r="D14" s="44">
        <f t="shared" si="26"/>
        <v>0</v>
      </c>
      <c r="E14" s="44">
        <f t="shared" si="0"/>
        <v>0</v>
      </c>
      <c r="F14" s="465">
        <f t="shared" si="40"/>
        <v>2382</v>
      </c>
      <c r="G14" s="51">
        <f t="shared" si="1"/>
        <v>0</v>
      </c>
      <c r="H14" s="465">
        <f t="shared" si="41"/>
        <v>54054</v>
      </c>
      <c r="I14" s="335">
        <f t="shared" si="2"/>
        <v>0</v>
      </c>
      <c r="J14" s="65">
        <f t="shared" si="3"/>
        <v>0</v>
      </c>
      <c r="K14" s="525">
        <f t="shared" si="27"/>
        <v>2492</v>
      </c>
      <c r="L14" s="51">
        <f t="shared" si="4"/>
        <v>0</v>
      </c>
      <c r="M14" s="63">
        <f t="shared" si="42"/>
        <v>185894</v>
      </c>
      <c r="N14" s="335">
        <f t="shared" si="5"/>
        <v>0</v>
      </c>
      <c r="O14" s="63">
        <f t="shared" si="6"/>
        <v>2251</v>
      </c>
      <c r="P14" s="465">
        <f t="shared" si="6"/>
        <v>2268</v>
      </c>
      <c r="Q14" s="465">
        <f t="shared" si="6"/>
        <v>189309</v>
      </c>
      <c r="R14" s="334">
        <f t="shared" si="44"/>
        <v>0</v>
      </c>
      <c r="S14" s="51">
        <f t="shared" si="8"/>
        <v>0</v>
      </c>
      <c r="T14" s="66">
        <f t="shared" si="28"/>
        <v>0</v>
      </c>
      <c r="U14" s="341">
        <f t="shared" si="9"/>
        <v>0</v>
      </c>
      <c r="V14" s="61">
        <f t="shared" si="10"/>
        <v>0</v>
      </c>
      <c r="W14" s="339" t="e">
        <f t="shared" si="11"/>
        <v>#DIV/0!</v>
      </c>
      <c r="X14" s="465">
        <f t="shared" si="29"/>
        <v>2498</v>
      </c>
      <c r="Y14" s="51">
        <f t="shared" si="12"/>
        <v>0</v>
      </c>
      <c r="Z14" s="465">
        <f t="shared" si="30"/>
        <v>141480</v>
      </c>
      <c r="AA14" s="64">
        <f t="shared" si="13"/>
        <v>0</v>
      </c>
      <c r="AB14" s="245">
        <f t="shared" si="31"/>
        <v>0</v>
      </c>
      <c r="AC14" s="525">
        <f t="shared" si="37"/>
        <v>1969</v>
      </c>
      <c r="AD14" s="44">
        <f t="shared" si="14"/>
        <v>0</v>
      </c>
      <c r="AE14" s="465">
        <f t="shared" si="43"/>
        <v>368382</v>
      </c>
      <c r="AF14" s="262">
        <f t="shared" si="15"/>
        <v>0</v>
      </c>
      <c r="AG14" s="196">
        <f t="shared" si="32"/>
        <v>0</v>
      </c>
      <c r="AH14" s="61">
        <f t="shared" si="33"/>
        <v>0</v>
      </c>
      <c r="AI14" s="270">
        <f t="shared" si="16"/>
        <v>0</v>
      </c>
      <c r="AJ14" s="270">
        <f>-tanks!AW16</f>
        <v>0</v>
      </c>
      <c r="AK14" s="270">
        <f t="shared" si="17"/>
        <v>0</v>
      </c>
      <c r="AL14" s="270">
        <f t="shared" si="18"/>
        <v>0</v>
      </c>
      <c r="AM14" s="270">
        <f t="shared" si="19"/>
        <v>0</v>
      </c>
      <c r="AN14" s="465">
        <f t="shared" si="20"/>
        <v>65</v>
      </c>
      <c r="AO14" s="272">
        <f t="shared" si="21"/>
        <v>1950</v>
      </c>
      <c r="AP14" s="465">
        <f t="shared" si="22"/>
        <v>35</v>
      </c>
      <c r="AQ14" s="272">
        <f t="shared" si="23"/>
        <v>1050</v>
      </c>
      <c r="AR14" s="465">
        <f t="shared" si="24"/>
        <v>73</v>
      </c>
      <c r="AS14" s="272">
        <f t="shared" si="34"/>
        <v>2190</v>
      </c>
      <c r="AT14" s="272">
        <f t="shared" si="35"/>
        <v>5190</v>
      </c>
      <c r="AU14" s="272">
        <f t="shared" si="36"/>
        <v>0</v>
      </c>
      <c r="AV14" s="237"/>
      <c r="AW14" s="237"/>
      <c r="AX14" s="266">
        <f t="shared" si="25"/>
        <v>0.8</v>
      </c>
    </row>
    <row r="15" spans="1:52">
      <c r="A15" s="62">
        <f>ELEC!C14</f>
        <v>44968</v>
      </c>
      <c r="B15" s="63">
        <f t="shared" si="38"/>
        <v>235</v>
      </c>
      <c r="C15" s="63">
        <f t="shared" si="39"/>
        <v>241</v>
      </c>
      <c r="D15" s="44">
        <f t="shared" si="26"/>
        <v>0</v>
      </c>
      <c r="E15" s="44">
        <f t="shared" si="0"/>
        <v>0</v>
      </c>
      <c r="F15" s="465">
        <f t="shared" si="40"/>
        <v>2382</v>
      </c>
      <c r="G15" s="51">
        <f t="shared" si="1"/>
        <v>0</v>
      </c>
      <c r="H15" s="465">
        <f t="shared" si="41"/>
        <v>54054</v>
      </c>
      <c r="I15" s="335">
        <f t="shared" si="2"/>
        <v>0</v>
      </c>
      <c r="J15" s="65">
        <f t="shared" si="3"/>
        <v>0</v>
      </c>
      <c r="K15" s="525">
        <f t="shared" si="27"/>
        <v>2492</v>
      </c>
      <c r="L15" s="51">
        <f t="shared" si="4"/>
        <v>0</v>
      </c>
      <c r="M15" s="63">
        <f t="shared" si="42"/>
        <v>185894</v>
      </c>
      <c r="N15" s="335">
        <f t="shared" si="5"/>
        <v>0</v>
      </c>
      <c r="O15" s="63">
        <f t="shared" si="6"/>
        <v>2251</v>
      </c>
      <c r="P15" s="465">
        <f t="shared" si="6"/>
        <v>2268</v>
      </c>
      <c r="Q15" s="465">
        <f t="shared" si="6"/>
        <v>189309</v>
      </c>
      <c r="R15" s="334">
        <f t="shared" si="44"/>
        <v>0</v>
      </c>
      <c r="S15" s="51">
        <f t="shared" si="8"/>
        <v>0</v>
      </c>
      <c r="T15" s="66">
        <f t="shared" si="28"/>
        <v>0</v>
      </c>
      <c r="U15" s="341">
        <f t="shared" si="9"/>
        <v>0</v>
      </c>
      <c r="V15" s="61">
        <f t="shared" si="10"/>
        <v>0</v>
      </c>
      <c r="W15" s="339" t="e">
        <f t="shared" si="11"/>
        <v>#DIV/0!</v>
      </c>
      <c r="X15" s="465">
        <f t="shared" si="29"/>
        <v>2498</v>
      </c>
      <c r="Y15" s="51">
        <f t="shared" si="12"/>
        <v>0</v>
      </c>
      <c r="Z15" s="465">
        <f t="shared" si="30"/>
        <v>141480</v>
      </c>
      <c r="AA15" s="64">
        <f t="shared" si="13"/>
        <v>0</v>
      </c>
      <c r="AB15" s="245">
        <f t="shared" si="31"/>
        <v>0</v>
      </c>
      <c r="AC15" s="525">
        <f t="shared" si="37"/>
        <v>1969</v>
      </c>
      <c r="AD15" s="44">
        <f t="shared" si="14"/>
        <v>0</v>
      </c>
      <c r="AE15" s="465">
        <f t="shared" si="43"/>
        <v>368382</v>
      </c>
      <c r="AF15" s="262">
        <f t="shared" si="15"/>
        <v>0</v>
      </c>
      <c r="AG15" s="196">
        <f t="shared" si="32"/>
        <v>0</v>
      </c>
      <c r="AH15" s="61">
        <f t="shared" si="33"/>
        <v>0</v>
      </c>
      <c r="AI15" s="270">
        <f t="shared" si="16"/>
        <v>0</v>
      </c>
      <c r="AJ15" s="270">
        <f>-tanks!AW17</f>
        <v>636</v>
      </c>
      <c r="AK15" s="270">
        <f t="shared" si="17"/>
        <v>636</v>
      </c>
      <c r="AL15" s="270">
        <f t="shared" si="18"/>
        <v>0</v>
      </c>
      <c r="AM15" s="270">
        <f t="shared" si="19"/>
        <v>0</v>
      </c>
      <c r="AN15" s="465">
        <f t="shared" si="20"/>
        <v>65</v>
      </c>
      <c r="AO15" s="272">
        <f t="shared" si="21"/>
        <v>1950</v>
      </c>
      <c r="AP15" s="465">
        <f t="shared" si="22"/>
        <v>35</v>
      </c>
      <c r="AQ15" s="272">
        <f t="shared" si="23"/>
        <v>1050</v>
      </c>
      <c r="AR15" s="465">
        <f t="shared" si="24"/>
        <v>73</v>
      </c>
      <c r="AS15" s="272">
        <f t="shared" si="34"/>
        <v>2190</v>
      </c>
      <c r="AT15" s="272">
        <f t="shared" si="35"/>
        <v>5190</v>
      </c>
      <c r="AU15" s="272">
        <f t="shared" si="36"/>
        <v>0</v>
      </c>
      <c r="AV15" s="237"/>
      <c r="AW15" s="237"/>
      <c r="AX15" s="266">
        <f t="shared" si="25"/>
        <v>0.8</v>
      </c>
    </row>
    <row r="16" spans="1:52">
      <c r="A16" s="62">
        <f>ELEC!C15</f>
        <v>44969</v>
      </c>
      <c r="B16" s="63">
        <v>230</v>
      </c>
      <c r="C16" s="63">
        <v>236</v>
      </c>
      <c r="D16" s="44">
        <f t="shared" si="26"/>
        <v>5</v>
      </c>
      <c r="E16" s="44">
        <f t="shared" si="0"/>
        <v>41.900000000000006</v>
      </c>
      <c r="F16" s="465">
        <f t="shared" si="40"/>
        <v>2382</v>
      </c>
      <c r="G16" s="51">
        <f t="shared" si="1"/>
        <v>0</v>
      </c>
      <c r="H16" s="465">
        <f t="shared" si="41"/>
        <v>54054</v>
      </c>
      <c r="I16" s="335">
        <f t="shared" si="2"/>
        <v>0</v>
      </c>
      <c r="J16" s="65">
        <f t="shared" si="3"/>
        <v>0</v>
      </c>
      <c r="K16" s="525">
        <f t="shared" si="27"/>
        <v>2492</v>
      </c>
      <c r="L16" s="51">
        <f t="shared" si="4"/>
        <v>0</v>
      </c>
      <c r="M16" s="63">
        <f t="shared" si="42"/>
        <v>185894</v>
      </c>
      <c r="N16" s="335">
        <f t="shared" si="5"/>
        <v>0</v>
      </c>
      <c r="O16" s="63">
        <f t="shared" si="6"/>
        <v>2251</v>
      </c>
      <c r="P16" s="465">
        <v>2275</v>
      </c>
      <c r="Q16" s="465">
        <v>189801</v>
      </c>
      <c r="R16" s="334">
        <f t="shared" si="44"/>
        <v>492</v>
      </c>
      <c r="S16" s="51">
        <f t="shared" si="8"/>
        <v>7</v>
      </c>
      <c r="T16" s="66">
        <f t="shared" si="28"/>
        <v>0</v>
      </c>
      <c r="U16" s="341">
        <f t="shared" si="9"/>
        <v>7</v>
      </c>
      <c r="V16" s="61">
        <f t="shared" si="10"/>
        <v>492</v>
      </c>
      <c r="W16" s="339"/>
      <c r="X16" s="465">
        <v>2499</v>
      </c>
      <c r="Y16" s="51">
        <f t="shared" si="12"/>
        <v>1</v>
      </c>
      <c r="Z16" s="465">
        <v>141557</v>
      </c>
      <c r="AA16" s="64">
        <f t="shared" si="13"/>
        <v>77</v>
      </c>
      <c r="AB16" s="245">
        <f t="shared" si="31"/>
        <v>0</v>
      </c>
      <c r="AC16" s="525">
        <v>1970</v>
      </c>
      <c r="AD16" s="44">
        <f t="shared" si="14"/>
        <v>1</v>
      </c>
      <c r="AE16" s="465">
        <v>368449</v>
      </c>
      <c r="AF16" s="262">
        <f t="shared" si="15"/>
        <v>67</v>
      </c>
      <c r="AG16" s="196">
        <f t="shared" si="32"/>
        <v>67</v>
      </c>
      <c r="AH16" s="61">
        <f t="shared" si="33"/>
        <v>144</v>
      </c>
      <c r="AI16" s="270">
        <f t="shared" si="16"/>
        <v>636</v>
      </c>
      <c r="AJ16" s="270">
        <f>-tanks!AW18</f>
        <v>124</v>
      </c>
      <c r="AK16" s="270">
        <f t="shared" si="17"/>
        <v>-512</v>
      </c>
      <c r="AL16" s="270">
        <f t="shared" si="18"/>
        <v>7</v>
      </c>
      <c r="AM16" s="270">
        <f t="shared" si="19"/>
        <v>2</v>
      </c>
      <c r="AN16" s="465">
        <f t="shared" si="20"/>
        <v>65</v>
      </c>
      <c r="AO16" s="272">
        <f t="shared" si="21"/>
        <v>1950</v>
      </c>
      <c r="AP16" s="465">
        <f t="shared" si="22"/>
        <v>35</v>
      </c>
      <c r="AQ16" s="272">
        <f t="shared" si="23"/>
        <v>1050</v>
      </c>
      <c r="AR16" s="465">
        <f t="shared" si="24"/>
        <v>73</v>
      </c>
      <c r="AS16" s="272">
        <f t="shared" si="34"/>
        <v>2190</v>
      </c>
      <c r="AT16" s="272">
        <f t="shared" si="35"/>
        <v>5190</v>
      </c>
      <c r="AU16" s="272">
        <f t="shared" si="36"/>
        <v>0</v>
      </c>
      <c r="AV16" s="237"/>
      <c r="AW16" s="237"/>
      <c r="AX16" s="266">
        <f t="shared" si="25"/>
        <v>0.8</v>
      </c>
    </row>
    <row r="17" spans="1:50">
      <c r="A17" s="62">
        <f>ELEC!C16</f>
        <v>44970</v>
      </c>
      <c r="B17" s="63">
        <v>227</v>
      </c>
      <c r="C17" s="63">
        <v>233</v>
      </c>
      <c r="D17" s="44">
        <f t="shared" si="26"/>
        <v>3</v>
      </c>
      <c r="E17" s="44">
        <f t="shared" si="0"/>
        <v>25.14</v>
      </c>
      <c r="F17" s="465">
        <v>2383</v>
      </c>
      <c r="G17" s="51">
        <f>F17-F16</f>
        <v>1</v>
      </c>
      <c r="H17" s="465">
        <v>54097</v>
      </c>
      <c r="I17" s="335">
        <f t="shared" si="2"/>
        <v>43</v>
      </c>
      <c r="J17" s="65">
        <f t="shared" si="3"/>
        <v>43</v>
      </c>
      <c r="K17" s="525">
        <v>2492</v>
      </c>
      <c r="L17" s="51">
        <f t="shared" si="4"/>
        <v>0</v>
      </c>
      <c r="M17" s="63">
        <f t="shared" si="42"/>
        <v>185894</v>
      </c>
      <c r="N17" s="335">
        <f t="shared" si="5"/>
        <v>0</v>
      </c>
      <c r="O17" s="63">
        <v>1869</v>
      </c>
      <c r="P17" s="465">
        <f t="shared" ref="P17:P33" si="45">P16</f>
        <v>2275</v>
      </c>
      <c r="Q17" s="465">
        <v>189842</v>
      </c>
      <c r="R17" s="334">
        <f t="shared" si="44"/>
        <v>41</v>
      </c>
      <c r="S17" s="51">
        <f t="shared" si="8"/>
        <v>0</v>
      </c>
      <c r="T17" s="66">
        <f t="shared" si="28"/>
        <v>0</v>
      </c>
      <c r="U17" s="341">
        <f t="shared" si="9"/>
        <v>1</v>
      </c>
      <c r="V17" s="61">
        <f t="shared" si="10"/>
        <v>84</v>
      </c>
      <c r="W17" s="339"/>
      <c r="X17" s="465">
        <f t="shared" si="29"/>
        <v>2499</v>
      </c>
      <c r="Y17" s="51">
        <f t="shared" si="12"/>
        <v>0</v>
      </c>
      <c r="Z17" s="465">
        <v>141597</v>
      </c>
      <c r="AA17" s="64">
        <f t="shared" si="13"/>
        <v>40</v>
      </c>
      <c r="AB17" s="245">
        <f t="shared" ref="AB17:AB22" si="46">SUM(Y17*$AB$2)</f>
        <v>0</v>
      </c>
      <c r="AC17" s="525">
        <f t="shared" si="37"/>
        <v>1970</v>
      </c>
      <c r="AD17" s="44">
        <f t="shared" si="14"/>
        <v>0</v>
      </c>
      <c r="AE17" s="465">
        <f t="shared" si="43"/>
        <v>368449</v>
      </c>
      <c r="AF17" s="262">
        <f t="shared" si="15"/>
        <v>0</v>
      </c>
      <c r="AG17" s="196">
        <f t="shared" si="32"/>
        <v>0</v>
      </c>
      <c r="AH17" s="61">
        <f t="shared" si="33"/>
        <v>40</v>
      </c>
      <c r="AI17" s="270">
        <f t="shared" si="16"/>
        <v>124</v>
      </c>
      <c r="AJ17" s="270">
        <f>-tanks!AW19</f>
        <v>300</v>
      </c>
      <c r="AK17" s="270">
        <f t="shared" si="17"/>
        <v>176</v>
      </c>
      <c r="AL17" s="270">
        <f t="shared" si="18"/>
        <v>1</v>
      </c>
      <c r="AM17" s="270">
        <f t="shared" si="19"/>
        <v>0</v>
      </c>
      <c r="AN17" s="465">
        <f t="shared" si="20"/>
        <v>65</v>
      </c>
      <c r="AO17" s="272">
        <f t="shared" si="21"/>
        <v>1950</v>
      </c>
      <c r="AP17" s="465">
        <f t="shared" si="22"/>
        <v>35</v>
      </c>
      <c r="AQ17" s="272">
        <f t="shared" si="23"/>
        <v>1050</v>
      </c>
      <c r="AR17" s="465">
        <f t="shared" si="24"/>
        <v>73</v>
      </c>
      <c r="AS17" s="272">
        <f t="shared" si="34"/>
        <v>2190</v>
      </c>
      <c r="AT17" s="272">
        <f t="shared" si="35"/>
        <v>5190</v>
      </c>
      <c r="AU17" s="272">
        <f t="shared" si="36"/>
        <v>0</v>
      </c>
      <c r="AV17" s="237"/>
      <c r="AW17" s="237"/>
      <c r="AX17" s="266">
        <f t="shared" si="25"/>
        <v>0.8</v>
      </c>
    </row>
    <row r="18" spans="1:50">
      <c r="A18" s="62">
        <f>ELEC!C17</f>
        <v>44971</v>
      </c>
      <c r="B18" s="63">
        <v>223</v>
      </c>
      <c r="C18" s="63">
        <v>230</v>
      </c>
      <c r="D18" s="44">
        <f t="shared" si="26"/>
        <v>3</v>
      </c>
      <c r="E18" s="44">
        <f t="shared" si="0"/>
        <v>25.14</v>
      </c>
      <c r="F18" s="465">
        <v>2387</v>
      </c>
      <c r="G18" s="51">
        <f t="shared" si="1"/>
        <v>4</v>
      </c>
      <c r="H18" s="465">
        <v>54397</v>
      </c>
      <c r="I18" s="335">
        <f t="shared" si="2"/>
        <v>300</v>
      </c>
      <c r="J18" s="65">
        <f t="shared" si="3"/>
        <v>75</v>
      </c>
      <c r="K18" s="525">
        <f t="shared" si="27"/>
        <v>2492</v>
      </c>
      <c r="L18" s="51">
        <f t="shared" si="4"/>
        <v>0</v>
      </c>
      <c r="M18" s="63">
        <f t="shared" si="42"/>
        <v>185894</v>
      </c>
      <c r="N18" s="335">
        <f t="shared" si="5"/>
        <v>0</v>
      </c>
      <c r="O18" s="63">
        <f t="shared" ref="O18:O33" si="47">O17</f>
        <v>1869</v>
      </c>
      <c r="P18" s="465">
        <f t="shared" si="45"/>
        <v>2275</v>
      </c>
      <c r="Q18" s="465">
        <f t="shared" ref="Q18:Q33" si="48">Q17</f>
        <v>189842</v>
      </c>
      <c r="R18" s="334">
        <f t="shared" si="44"/>
        <v>0</v>
      </c>
      <c r="S18" s="51">
        <f t="shared" si="8"/>
        <v>0</v>
      </c>
      <c r="T18" s="66">
        <f t="shared" si="28"/>
        <v>0</v>
      </c>
      <c r="U18" s="341">
        <f t="shared" si="9"/>
        <v>4</v>
      </c>
      <c r="V18" s="61">
        <f t="shared" si="10"/>
        <v>300</v>
      </c>
      <c r="W18" s="339"/>
      <c r="X18" s="465">
        <f t="shared" si="29"/>
        <v>2499</v>
      </c>
      <c r="Y18" s="51">
        <f t="shared" si="12"/>
        <v>0</v>
      </c>
      <c r="Z18" s="465">
        <f t="shared" si="30"/>
        <v>141597</v>
      </c>
      <c r="AA18" s="64">
        <f t="shared" si="13"/>
        <v>0</v>
      </c>
      <c r="AB18" s="245">
        <f t="shared" si="46"/>
        <v>0</v>
      </c>
      <c r="AC18" s="525">
        <f t="shared" si="37"/>
        <v>1970</v>
      </c>
      <c r="AD18" s="44">
        <f t="shared" si="14"/>
        <v>0</v>
      </c>
      <c r="AE18" s="465">
        <f t="shared" si="43"/>
        <v>368449</v>
      </c>
      <c r="AF18" s="262">
        <f t="shared" si="15"/>
        <v>0</v>
      </c>
      <c r="AG18" s="196">
        <f t="shared" si="32"/>
        <v>0</v>
      </c>
      <c r="AH18" s="61">
        <f t="shared" si="33"/>
        <v>0</v>
      </c>
      <c r="AI18" s="270">
        <f t="shared" si="16"/>
        <v>300</v>
      </c>
      <c r="AJ18" s="270">
        <f>-tanks!AW20</f>
        <v>310</v>
      </c>
      <c r="AK18" s="270">
        <f t="shared" si="17"/>
        <v>10</v>
      </c>
      <c r="AL18" s="270">
        <f t="shared" si="18"/>
        <v>4</v>
      </c>
      <c r="AM18" s="270">
        <f t="shared" si="19"/>
        <v>0</v>
      </c>
      <c r="AN18" s="465">
        <f t="shared" si="20"/>
        <v>65</v>
      </c>
      <c r="AO18" s="272">
        <f t="shared" si="21"/>
        <v>1950</v>
      </c>
      <c r="AP18" s="465">
        <f t="shared" si="22"/>
        <v>35</v>
      </c>
      <c r="AQ18" s="272">
        <f t="shared" si="23"/>
        <v>1050</v>
      </c>
      <c r="AR18" s="465">
        <f t="shared" si="24"/>
        <v>73</v>
      </c>
      <c r="AS18" s="272">
        <f t="shared" si="34"/>
        <v>2190</v>
      </c>
      <c r="AT18" s="272">
        <f t="shared" si="35"/>
        <v>5190</v>
      </c>
      <c r="AU18" s="272">
        <f t="shared" si="36"/>
        <v>0</v>
      </c>
      <c r="AV18" s="237"/>
      <c r="AW18" s="237"/>
      <c r="AX18" s="266">
        <f t="shared" si="25"/>
        <v>0.8</v>
      </c>
    </row>
    <row r="19" spans="1:50">
      <c r="A19" s="62">
        <f>ELEC!C18</f>
        <v>44972</v>
      </c>
      <c r="B19" s="63">
        <v>220</v>
      </c>
      <c r="C19" s="63">
        <v>226</v>
      </c>
      <c r="D19" s="44">
        <f>C18-C19</f>
        <v>4</v>
      </c>
      <c r="E19" s="44">
        <f t="shared" si="0"/>
        <v>33.520000000000003</v>
      </c>
      <c r="F19" s="465">
        <v>2391</v>
      </c>
      <c r="G19" s="51">
        <f t="shared" si="1"/>
        <v>4</v>
      </c>
      <c r="H19" s="465">
        <v>54707</v>
      </c>
      <c r="I19" s="335">
        <f t="shared" si="2"/>
        <v>310</v>
      </c>
      <c r="J19" s="65">
        <f t="shared" si="3"/>
        <v>77.5</v>
      </c>
      <c r="K19" s="525">
        <f t="shared" si="27"/>
        <v>2492</v>
      </c>
      <c r="L19" s="51">
        <f t="shared" si="4"/>
        <v>0</v>
      </c>
      <c r="M19" s="63">
        <f t="shared" si="42"/>
        <v>185894</v>
      </c>
      <c r="N19" s="335">
        <f t="shared" si="5"/>
        <v>0</v>
      </c>
      <c r="O19" s="63">
        <f t="shared" si="47"/>
        <v>1869</v>
      </c>
      <c r="P19" s="465">
        <f t="shared" si="45"/>
        <v>2275</v>
      </c>
      <c r="Q19" s="465">
        <f t="shared" si="48"/>
        <v>189842</v>
      </c>
      <c r="R19" s="334">
        <f t="shared" si="44"/>
        <v>0</v>
      </c>
      <c r="S19" s="51">
        <f t="shared" si="8"/>
        <v>0</v>
      </c>
      <c r="T19" s="66">
        <f t="shared" si="28"/>
        <v>0</v>
      </c>
      <c r="U19" s="341">
        <f t="shared" si="9"/>
        <v>4</v>
      </c>
      <c r="V19" s="61">
        <f t="shared" si="10"/>
        <v>310</v>
      </c>
      <c r="W19" s="339"/>
      <c r="X19" s="465">
        <f t="shared" si="29"/>
        <v>2499</v>
      </c>
      <c r="Y19" s="51">
        <f t="shared" si="12"/>
        <v>0</v>
      </c>
      <c r="Z19" s="465">
        <f t="shared" si="30"/>
        <v>141597</v>
      </c>
      <c r="AA19" s="64">
        <f t="shared" si="13"/>
        <v>0</v>
      </c>
      <c r="AB19" s="245">
        <f t="shared" si="46"/>
        <v>0</v>
      </c>
      <c r="AC19" s="525">
        <f t="shared" si="37"/>
        <v>1970</v>
      </c>
      <c r="AD19" s="44">
        <f t="shared" si="14"/>
        <v>0</v>
      </c>
      <c r="AE19" s="465">
        <f t="shared" si="43"/>
        <v>368449</v>
      </c>
      <c r="AF19" s="262">
        <f t="shared" si="15"/>
        <v>0</v>
      </c>
      <c r="AG19" s="196">
        <f t="shared" si="32"/>
        <v>0</v>
      </c>
      <c r="AH19" s="61">
        <f t="shared" si="33"/>
        <v>0</v>
      </c>
      <c r="AI19" s="270">
        <f t="shared" si="16"/>
        <v>310</v>
      </c>
      <c r="AJ19" s="270">
        <f>-tanks!AW21</f>
        <v>263</v>
      </c>
      <c r="AK19" s="270">
        <f t="shared" si="17"/>
        <v>-47</v>
      </c>
      <c r="AL19" s="270">
        <f t="shared" si="18"/>
        <v>4</v>
      </c>
      <c r="AM19" s="270">
        <f t="shared" si="19"/>
        <v>0</v>
      </c>
      <c r="AN19" s="465">
        <f t="shared" si="20"/>
        <v>65</v>
      </c>
      <c r="AO19" s="272">
        <f t="shared" si="21"/>
        <v>1950</v>
      </c>
      <c r="AP19" s="465">
        <f t="shared" si="22"/>
        <v>35</v>
      </c>
      <c r="AQ19" s="272">
        <f t="shared" si="23"/>
        <v>1050</v>
      </c>
      <c r="AR19" s="465">
        <f t="shared" si="24"/>
        <v>73</v>
      </c>
      <c r="AS19" s="272">
        <f t="shared" si="34"/>
        <v>2190</v>
      </c>
      <c r="AT19" s="272">
        <f t="shared" si="35"/>
        <v>5190</v>
      </c>
      <c r="AU19" s="272">
        <f t="shared" si="36"/>
        <v>0</v>
      </c>
      <c r="AV19" s="237"/>
      <c r="AW19" s="237"/>
      <c r="AX19" s="266">
        <f t="shared" si="25"/>
        <v>0.8</v>
      </c>
    </row>
    <row r="20" spans="1:50">
      <c r="A20" s="62">
        <f>ELEC!C19</f>
        <v>44973</v>
      </c>
      <c r="B20" s="63">
        <v>237</v>
      </c>
      <c r="C20" s="63">
        <v>243</v>
      </c>
      <c r="D20" s="44">
        <f t="shared" ref="D20:D31" si="49">C19-C20</f>
        <v>-17</v>
      </c>
      <c r="E20" s="44">
        <f t="shared" si="0"/>
        <v>-142.46</v>
      </c>
      <c r="F20" s="465">
        <v>2393</v>
      </c>
      <c r="G20" s="51">
        <f t="shared" si="1"/>
        <v>2</v>
      </c>
      <c r="H20" s="465">
        <v>54894</v>
      </c>
      <c r="I20" s="335">
        <f t="shared" si="2"/>
        <v>187</v>
      </c>
      <c r="J20" s="65">
        <f t="shared" si="3"/>
        <v>93.5</v>
      </c>
      <c r="K20" s="525">
        <f t="shared" si="27"/>
        <v>2492</v>
      </c>
      <c r="L20" s="51">
        <f t="shared" si="4"/>
        <v>0</v>
      </c>
      <c r="M20" s="63">
        <f t="shared" si="42"/>
        <v>185894</v>
      </c>
      <c r="N20" s="335">
        <f t="shared" si="5"/>
        <v>0</v>
      </c>
      <c r="O20" s="63">
        <f t="shared" si="47"/>
        <v>1869</v>
      </c>
      <c r="P20" s="465">
        <f t="shared" si="45"/>
        <v>2275</v>
      </c>
      <c r="Q20" s="465">
        <f t="shared" si="48"/>
        <v>189842</v>
      </c>
      <c r="R20" s="334">
        <f t="shared" si="44"/>
        <v>0</v>
      </c>
      <c r="S20" s="51">
        <f t="shared" si="8"/>
        <v>0</v>
      </c>
      <c r="T20" s="66">
        <f t="shared" si="28"/>
        <v>0</v>
      </c>
      <c r="U20" s="341">
        <f t="shared" si="9"/>
        <v>2</v>
      </c>
      <c r="V20" s="61">
        <f t="shared" si="10"/>
        <v>187</v>
      </c>
      <c r="W20" s="339"/>
      <c r="X20" s="465">
        <f t="shared" si="29"/>
        <v>2499</v>
      </c>
      <c r="Y20" s="51">
        <f t="shared" si="12"/>
        <v>0</v>
      </c>
      <c r="Z20" s="465">
        <f t="shared" si="30"/>
        <v>141597</v>
      </c>
      <c r="AA20" s="64">
        <f t="shared" si="13"/>
        <v>0</v>
      </c>
      <c r="AB20" s="245">
        <f t="shared" si="46"/>
        <v>0</v>
      </c>
      <c r="AC20" s="525">
        <v>1972</v>
      </c>
      <c r="AD20" s="44">
        <f t="shared" si="14"/>
        <v>2</v>
      </c>
      <c r="AE20" s="465">
        <v>368525</v>
      </c>
      <c r="AF20" s="262">
        <f t="shared" si="15"/>
        <v>76</v>
      </c>
      <c r="AG20" s="196">
        <f t="shared" si="32"/>
        <v>38</v>
      </c>
      <c r="AH20" s="61">
        <f t="shared" si="33"/>
        <v>76</v>
      </c>
      <c r="AI20" s="270">
        <f t="shared" si="16"/>
        <v>263</v>
      </c>
      <c r="AJ20" s="270">
        <f>-tanks!AW22</f>
        <v>0</v>
      </c>
      <c r="AK20" s="270">
        <f t="shared" si="17"/>
        <v>-263</v>
      </c>
      <c r="AL20" s="270">
        <f t="shared" si="18"/>
        <v>2</v>
      </c>
      <c r="AM20" s="270">
        <f t="shared" si="19"/>
        <v>2</v>
      </c>
      <c r="AN20" s="465">
        <f t="shared" si="20"/>
        <v>65</v>
      </c>
      <c r="AO20" s="272">
        <f t="shared" si="21"/>
        <v>1950</v>
      </c>
      <c r="AP20" s="465">
        <f t="shared" si="22"/>
        <v>35</v>
      </c>
      <c r="AQ20" s="272">
        <f t="shared" si="23"/>
        <v>1050</v>
      </c>
      <c r="AR20" s="465">
        <f t="shared" si="24"/>
        <v>73</v>
      </c>
      <c r="AS20" s="272">
        <f t="shared" si="34"/>
        <v>2190</v>
      </c>
      <c r="AT20" s="272">
        <f t="shared" si="35"/>
        <v>5190</v>
      </c>
      <c r="AU20" s="272">
        <f t="shared" si="36"/>
        <v>0</v>
      </c>
      <c r="AV20" s="237"/>
      <c r="AW20" s="237"/>
      <c r="AX20" s="266">
        <f t="shared" si="25"/>
        <v>0.8</v>
      </c>
    </row>
    <row r="21" spans="1:50" ht="16.5" customHeight="1">
      <c r="A21" s="62">
        <f>ELEC!C20</f>
        <v>44974</v>
      </c>
      <c r="B21" s="63">
        <f t="shared" si="38"/>
        <v>237</v>
      </c>
      <c r="C21" s="63">
        <f t="shared" si="39"/>
        <v>243</v>
      </c>
      <c r="D21" s="44">
        <f t="shared" si="49"/>
        <v>0</v>
      </c>
      <c r="E21" s="44">
        <f t="shared" si="0"/>
        <v>0</v>
      </c>
      <c r="F21" s="465">
        <f t="shared" si="40"/>
        <v>2393</v>
      </c>
      <c r="G21" s="51">
        <f t="shared" si="1"/>
        <v>0</v>
      </c>
      <c r="H21" s="465">
        <f t="shared" si="41"/>
        <v>54894</v>
      </c>
      <c r="I21" s="335">
        <f t="shared" si="2"/>
        <v>0</v>
      </c>
      <c r="J21" s="65">
        <f t="shared" si="3"/>
        <v>0</v>
      </c>
      <c r="K21" s="525">
        <f t="shared" si="27"/>
        <v>2492</v>
      </c>
      <c r="L21" s="51">
        <f t="shared" si="4"/>
        <v>0</v>
      </c>
      <c r="M21" s="63">
        <f t="shared" si="42"/>
        <v>185894</v>
      </c>
      <c r="N21" s="335">
        <f t="shared" si="5"/>
        <v>0</v>
      </c>
      <c r="O21" s="63">
        <f t="shared" si="47"/>
        <v>1869</v>
      </c>
      <c r="P21" s="465">
        <f t="shared" si="45"/>
        <v>2275</v>
      </c>
      <c r="Q21" s="465">
        <f t="shared" si="48"/>
        <v>189842</v>
      </c>
      <c r="R21" s="334">
        <f t="shared" si="44"/>
        <v>0</v>
      </c>
      <c r="S21" s="51">
        <f t="shared" si="8"/>
        <v>0</v>
      </c>
      <c r="T21" s="66">
        <f t="shared" si="28"/>
        <v>0</v>
      </c>
      <c r="U21" s="341">
        <f t="shared" si="9"/>
        <v>0</v>
      </c>
      <c r="V21" s="61">
        <f t="shared" si="10"/>
        <v>0</v>
      </c>
      <c r="W21" s="339"/>
      <c r="X21" s="465">
        <f t="shared" si="29"/>
        <v>2499</v>
      </c>
      <c r="Y21" s="51">
        <f t="shared" si="12"/>
        <v>0</v>
      </c>
      <c r="Z21" s="465">
        <f t="shared" si="30"/>
        <v>141597</v>
      </c>
      <c r="AA21" s="64">
        <f t="shared" si="13"/>
        <v>0</v>
      </c>
      <c r="AB21" s="245">
        <f t="shared" si="46"/>
        <v>0</v>
      </c>
      <c r="AC21" s="525">
        <f t="shared" si="37"/>
        <v>1972</v>
      </c>
      <c r="AD21" s="44">
        <f t="shared" si="14"/>
        <v>0</v>
      </c>
      <c r="AE21" s="465">
        <f t="shared" si="43"/>
        <v>368525</v>
      </c>
      <c r="AF21" s="262">
        <f t="shared" si="15"/>
        <v>0</v>
      </c>
      <c r="AG21" s="196">
        <f t="shared" si="32"/>
        <v>0</v>
      </c>
      <c r="AH21" s="61">
        <f t="shared" si="33"/>
        <v>0</v>
      </c>
      <c r="AI21" s="270">
        <f t="shared" si="16"/>
        <v>0</v>
      </c>
      <c r="AJ21" s="270">
        <f>-tanks!AW23</f>
        <v>0</v>
      </c>
      <c r="AK21" s="270">
        <f t="shared" si="17"/>
        <v>0</v>
      </c>
      <c r="AL21" s="270">
        <f t="shared" si="18"/>
        <v>0</v>
      </c>
      <c r="AM21" s="270">
        <f t="shared" si="19"/>
        <v>0</v>
      </c>
      <c r="AN21" s="465">
        <f t="shared" si="20"/>
        <v>65</v>
      </c>
      <c r="AO21" s="272">
        <f t="shared" si="21"/>
        <v>1950</v>
      </c>
      <c r="AP21" s="465">
        <f t="shared" si="22"/>
        <v>35</v>
      </c>
      <c r="AQ21" s="272">
        <f t="shared" si="23"/>
        <v>1050</v>
      </c>
      <c r="AR21" s="465">
        <f t="shared" si="24"/>
        <v>73</v>
      </c>
      <c r="AS21" s="272">
        <f t="shared" si="34"/>
        <v>2190</v>
      </c>
      <c r="AT21" s="272">
        <f t="shared" si="35"/>
        <v>5190</v>
      </c>
      <c r="AU21" s="272">
        <f t="shared" si="36"/>
        <v>0</v>
      </c>
      <c r="AV21" s="237"/>
      <c r="AW21" s="237"/>
      <c r="AX21" s="266">
        <f t="shared" si="25"/>
        <v>0.8</v>
      </c>
    </row>
    <row r="22" spans="1:50">
      <c r="A22" s="62">
        <f>ELEC!C21</f>
        <v>44975</v>
      </c>
      <c r="B22" s="63">
        <f t="shared" si="38"/>
        <v>237</v>
      </c>
      <c r="C22" s="63">
        <f t="shared" si="39"/>
        <v>243</v>
      </c>
      <c r="D22" s="44">
        <f t="shared" si="49"/>
        <v>0</v>
      </c>
      <c r="E22" s="44">
        <f t="shared" si="0"/>
        <v>0</v>
      </c>
      <c r="F22" s="465">
        <f t="shared" si="40"/>
        <v>2393</v>
      </c>
      <c r="G22" s="51">
        <f t="shared" si="1"/>
        <v>0</v>
      </c>
      <c r="H22" s="465">
        <f t="shared" si="41"/>
        <v>54894</v>
      </c>
      <c r="I22" s="335">
        <f t="shared" si="2"/>
        <v>0</v>
      </c>
      <c r="J22" s="65">
        <f t="shared" si="3"/>
        <v>0</v>
      </c>
      <c r="K22" s="525">
        <f t="shared" si="27"/>
        <v>2492</v>
      </c>
      <c r="L22" s="51">
        <f t="shared" si="4"/>
        <v>0</v>
      </c>
      <c r="M22" s="63">
        <f t="shared" si="42"/>
        <v>185894</v>
      </c>
      <c r="N22" s="335">
        <f t="shared" si="5"/>
        <v>0</v>
      </c>
      <c r="O22" s="63">
        <f t="shared" si="47"/>
        <v>1869</v>
      </c>
      <c r="P22" s="465">
        <f t="shared" si="45"/>
        <v>2275</v>
      </c>
      <c r="Q22" s="465">
        <f t="shared" si="48"/>
        <v>189842</v>
      </c>
      <c r="R22" s="334">
        <f t="shared" si="44"/>
        <v>0</v>
      </c>
      <c r="S22" s="51">
        <f t="shared" si="8"/>
        <v>0</v>
      </c>
      <c r="T22" s="66">
        <f t="shared" si="28"/>
        <v>0</v>
      </c>
      <c r="U22" s="341">
        <f t="shared" si="9"/>
        <v>0</v>
      </c>
      <c r="V22" s="61">
        <f t="shared" si="10"/>
        <v>0</v>
      </c>
      <c r="W22" s="339"/>
      <c r="X22" s="465">
        <f t="shared" si="29"/>
        <v>2499</v>
      </c>
      <c r="Y22" s="51">
        <f t="shared" si="12"/>
        <v>0</v>
      </c>
      <c r="Z22" s="465">
        <f t="shared" si="30"/>
        <v>141597</v>
      </c>
      <c r="AA22" s="64">
        <f t="shared" si="13"/>
        <v>0</v>
      </c>
      <c r="AB22" s="245">
        <f t="shared" si="46"/>
        <v>0</v>
      </c>
      <c r="AC22" s="525">
        <f t="shared" si="37"/>
        <v>1972</v>
      </c>
      <c r="AD22" s="44">
        <f t="shared" si="14"/>
        <v>0</v>
      </c>
      <c r="AE22" s="465">
        <f t="shared" si="43"/>
        <v>368525</v>
      </c>
      <c r="AF22" s="262">
        <f t="shared" si="15"/>
        <v>0</v>
      </c>
      <c r="AG22" s="196">
        <f t="shared" si="32"/>
        <v>0</v>
      </c>
      <c r="AH22" s="61">
        <f t="shared" si="33"/>
        <v>0</v>
      </c>
      <c r="AI22" s="270">
        <f>SUM(AH22+V22)</f>
        <v>0</v>
      </c>
      <c r="AJ22" s="270">
        <f>-tanks!AW24</f>
        <v>180</v>
      </c>
      <c r="AK22" s="270">
        <f>SUM(AJ22-AI22)</f>
        <v>180</v>
      </c>
      <c r="AL22" s="270">
        <f>S22+L22+G22</f>
        <v>0</v>
      </c>
      <c r="AM22" s="270">
        <f>Y22+AD22</f>
        <v>0</v>
      </c>
      <c r="AN22" s="465">
        <f t="shared" si="20"/>
        <v>65</v>
      </c>
      <c r="AO22" s="272">
        <f t="shared" si="21"/>
        <v>1950</v>
      </c>
      <c r="AP22" s="465">
        <f t="shared" si="22"/>
        <v>35</v>
      </c>
      <c r="AQ22" s="272">
        <f t="shared" si="23"/>
        <v>1050</v>
      </c>
      <c r="AR22" s="465">
        <f t="shared" si="24"/>
        <v>73</v>
      </c>
      <c r="AS22" s="272">
        <f t="shared" si="34"/>
        <v>2190</v>
      </c>
      <c r="AT22" s="272">
        <f t="shared" si="35"/>
        <v>5190</v>
      </c>
      <c r="AU22" s="272">
        <f t="shared" si="36"/>
        <v>0</v>
      </c>
      <c r="AV22" s="237"/>
      <c r="AW22" s="237"/>
      <c r="AX22" s="266">
        <f t="shared" si="25"/>
        <v>0.8</v>
      </c>
    </row>
    <row r="23" spans="1:50">
      <c r="A23" s="62">
        <f>ELEC!C22</f>
        <v>44976</v>
      </c>
      <c r="B23" s="63">
        <v>234</v>
      </c>
      <c r="C23" s="63">
        <v>240</v>
      </c>
      <c r="D23" s="44">
        <f t="shared" si="49"/>
        <v>3</v>
      </c>
      <c r="E23" s="44">
        <f t="shared" si="0"/>
        <v>25.14</v>
      </c>
      <c r="F23" s="465">
        <v>2396</v>
      </c>
      <c r="G23" s="51">
        <f t="shared" si="1"/>
        <v>3</v>
      </c>
      <c r="H23" s="465">
        <v>55074</v>
      </c>
      <c r="I23" s="335">
        <f t="shared" si="2"/>
        <v>180</v>
      </c>
      <c r="J23" s="65">
        <f t="shared" si="3"/>
        <v>60</v>
      </c>
      <c r="K23" s="525">
        <v>2492</v>
      </c>
      <c r="L23" s="51">
        <f t="shared" si="4"/>
        <v>0</v>
      </c>
      <c r="M23" s="63">
        <f t="shared" si="42"/>
        <v>185894</v>
      </c>
      <c r="N23" s="335">
        <f t="shared" si="5"/>
        <v>0</v>
      </c>
      <c r="O23" s="63">
        <f t="shared" si="47"/>
        <v>1869</v>
      </c>
      <c r="P23" s="465">
        <f t="shared" si="45"/>
        <v>2275</v>
      </c>
      <c r="Q23" s="465">
        <f t="shared" si="48"/>
        <v>189842</v>
      </c>
      <c r="R23" s="334">
        <f t="shared" si="44"/>
        <v>0</v>
      </c>
      <c r="S23" s="51">
        <f t="shared" si="8"/>
        <v>0</v>
      </c>
      <c r="T23" s="66">
        <f t="shared" si="28"/>
        <v>0</v>
      </c>
      <c r="U23" s="341">
        <f t="shared" si="9"/>
        <v>3</v>
      </c>
      <c r="V23" s="61">
        <f t="shared" si="10"/>
        <v>180</v>
      </c>
      <c r="W23" s="339"/>
      <c r="X23" s="465">
        <f t="shared" si="29"/>
        <v>2499</v>
      </c>
      <c r="Y23" s="51">
        <f t="shared" si="12"/>
        <v>0</v>
      </c>
      <c r="Z23" s="465">
        <f t="shared" si="30"/>
        <v>141597</v>
      </c>
      <c r="AA23" s="64">
        <f t="shared" si="13"/>
        <v>0</v>
      </c>
      <c r="AB23" s="245">
        <f t="shared" ref="AB23:AB31" si="50">SUM(Y23*$AB$2)</f>
        <v>0</v>
      </c>
      <c r="AC23" s="525">
        <f t="shared" si="37"/>
        <v>1972</v>
      </c>
      <c r="AD23" s="44">
        <f t="shared" si="14"/>
        <v>0</v>
      </c>
      <c r="AE23" s="465">
        <f t="shared" si="43"/>
        <v>368525</v>
      </c>
      <c r="AF23" s="262">
        <f t="shared" si="15"/>
        <v>0</v>
      </c>
      <c r="AG23" s="196">
        <f t="shared" si="32"/>
        <v>0</v>
      </c>
      <c r="AH23" s="61">
        <f t="shared" si="33"/>
        <v>0</v>
      </c>
      <c r="AI23" s="270">
        <f t="shared" si="16"/>
        <v>180</v>
      </c>
      <c r="AJ23" s="270">
        <f>-tanks!AW25</f>
        <v>474</v>
      </c>
      <c r="AK23" s="270">
        <f t="shared" si="17"/>
        <v>294</v>
      </c>
      <c r="AL23" s="270">
        <f t="shared" si="18"/>
        <v>3</v>
      </c>
      <c r="AM23" s="270">
        <f t="shared" si="19"/>
        <v>0</v>
      </c>
      <c r="AN23" s="465">
        <f t="shared" si="20"/>
        <v>65</v>
      </c>
      <c r="AO23" s="272">
        <f t="shared" si="21"/>
        <v>1950</v>
      </c>
      <c r="AP23" s="465">
        <f t="shared" si="22"/>
        <v>35</v>
      </c>
      <c r="AQ23" s="272">
        <f t="shared" si="23"/>
        <v>1050</v>
      </c>
      <c r="AR23" s="465">
        <f t="shared" si="24"/>
        <v>73</v>
      </c>
      <c r="AS23" s="272">
        <f t="shared" si="34"/>
        <v>2190</v>
      </c>
      <c r="AT23" s="272">
        <f t="shared" ref="AT23:AT33" si="51">SUM(AO23+AQ23+AS23)</f>
        <v>5190</v>
      </c>
      <c r="AU23" s="272">
        <f t="shared" si="36"/>
        <v>0</v>
      </c>
      <c r="AV23" s="237"/>
      <c r="AW23" s="237"/>
      <c r="AX23" s="266">
        <f t="shared" si="25"/>
        <v>0.8</v>
      </c>
    </row>
    <row r="24" spans="1:50" ht="13.5" customHeight="1">
      <c r="A24" s="62">
        <f>ELEC!C23</f>
        <v>44977</v>
      </c>
      <c r="B24" s="63">
        <v>229.5</v>
      </c>
      <c r="C24" s="63">
        <v>236</v>
      </c>
      <c r="D24" s="44">
        <f t="shared" si="49"/>
        <v>4</v>
      </c>
      <c r="E24" s="44">
        <f t="shared" si="0"/>
        <v>33.520000000000003</v>
      </c>
      <c r="F24" s="465">
        <v>2401</v>
      </c>
      <c r="G24" s="51">
        <f t="shared" si="1"/>
        <v>5</v>
      </c>
      <c r="H24" s="465">
        <v>55465</v>
      </c>
      <c r="I24" s="335">
        <f t="shared" si="2"/>
        <v>391</v>
      </c>
      <c r="J24" s="65">
        <f t="shared" si="3"/>
        <v>78.2</v>
      </c>
      <c r="K24" s="525">
        <v>2492</v>
      </c>
      <c r="L24" s="51">
        <f t="shared" si="4"/>
        <v>0</v>
      </c>
      <c r="M24" s="63">
        <v>185894</v>
      </c>
      <c r="N24" s="335">
        <f t="shared" si="5"/>
        <v>0</v>
      </c>
      <c r="O24" s="63">
        <f t="shared" si="47"/>
        <v>1869</v>
      </c>
      <c r="P24" s="465">
        <f t="shared" si="45"/>
        <v>2275</v>
      </c>
      <c r="Q24" s="465">
        <f t="shared" si="48"/>
        <v>189842</v>
      </c>
      <c r="R24" s="334">
        <f t="shared" si="44"/>
        <v>0</v>
      </c>
      <c r="S24" s="51">
        <f t="shared" si="8"/>
        <v>0</v>
      </c>
      <c r="T24" s="66">
        <f t="shared" si="28"/>
        <v>0</v>
      </c>
      <c r="U24" s="341">
        <f t="shared" si="9"/>
        <v>5</v>
      </c>
      <c r="V24" s="61">
        <f t="shared" si="10"/>
        <v>391</v>
      </c>
      <c r="W24" s="339"/>
      <c r="X24" s="465">
        <f t="shared" si="29"/>
        <v>2499</v>
      </c>
      <c r="Y24" s="51">
        <f t="shared" si="12"/>
        <v>0</v>
      </c>
      <c r="Z24" s="465">
        <v>141680</v>
      </c>
      <c r="AA24" s="64">
        <f t="shared" si="13"/>
        <v>83</v>
      </c>
      <c r="AB24" s="245">
        <f t="shared" si="50"/>
        <v>0</v>
      </c>
      <c r="AC24" s="525">
        <f t="shared" si="37"/>
        <v>1972</v>
      </c>
      <c r="AD24" s="44">
        <f t="shared" si="14"/>
        <v>0</v>
      </c>
      <c r="AE24" s="465">
        <f t="shared" si="43"/>
        <v>368525</v>
      </c>
      <c r="AF24" s="262">
        <f t="shared" si="15"/>
        <v>0</v>
      </c>
      <c r="AG24" s="196">
        <f t="shared" si="32"/>
        <v>0</v>
      </c>
      <c r="AH24" s="61">
        <f t="shared" si="33"/>
        <v>83</v>
      </c>
      <c r="AI24" s="270">
        <f t="shared" si="16"/>
        <v>474</v>
      </c>
      <c r="AJ24" s="270">
        <f>-tanks!AW26</f>
        <v>236</v>
      </c>
      <c r="AK24" s="270">
        <f t="shared" si="17"/>
        <v>-238</v>
      </c>
      <c r="AL24" s="270">
        <f t="shared" si="18"/>
        <v>5</v>
      </c>
      <c r="AM24" s="270">
        <f>Y24+AD24</f>
        <v>0</v>
      </c>
      <c r="AN24" s="465">
        <f t="shared" si="20"/>
        <v>65</v>
      </c>
      <c r="AO24" s="272">
        <f t="shared" si="21"/>
        <v>1950</v>
      </c>
      <c r="AP24" s="465">
        <f t="shared" si="22"/>
        <v>35</v>
      </c>
      <c r="AQ24" s="272">
        <f t="shared" ref="AQ24:AQ31" si="52">(AP24/100)*3000</f>
        <v>1050</v>
      </c>
      <c r="AR24" s="465">
        <f t="shared" si="24"/>
        <v>73</v>
      </c>
      <c r="AS24" s="272">
        <f t="shared" si="34"/>
        <v>2190</v>
      </c>
      <c r="AT24" s="272">
        <f t="shared" si="51"/>
        <v>5190</v>
      </c>
      <c r="AU24" s="272">
        <f t="shared" si="36"/>
        <v>0</v>
      </c>
      <c r="AV24" s="237"/>
      <c r="AW24" s="237"/>
      <c r="AX24" s="266">
        <f t="shared" si="25"/>
        <v>0.8</v>
      </c>
    </row>
    <row r="25" spans="1:50" ht="14.25" customHeight="1">
      <c r="A25" s="62">
        <f>ELEC!C24</f>
        <v>44978</v>
      </c>
      <c r="B25" s="63">
        <v>224</v>
      </c>
      <c r="C25" s="63">
        <v>232</v>
      </c>
      <c r="D25" s="44">
        <f t="shared" si="49"/>
        <v>4</v>
      </c>
      <c r="E25" s="44">
        <f t="shared" si="0"/>
        <v>33.520000000000003</v>
      </c>
      <c r="F25" s="465">
        <v>2404</v>
      </c>
      <c r="G25" s="51">
        <f t="shared" si="1"/>
        <v>3</v>
      </c>
      <c r="H25" s="465">
        <v>55701</v>
      </c>
      <c r="I25" s="335">
        <f t="shared" si="2"/>
        <v>236</v>
      </c>
      <c r="J25" s="65">
        <f t="shared" si="3"/>
        <v>78.666666666666671</v>
      </c>
      <c r="K25" s="525">
        <v>2492</v>
      </c>
      <c r="L25" s="51">
        <f t="shared" si="4"/>
        <v>0</v>
      </c>
      <c r="M25" s="63">
        <f t="shared" si="42"/>
        <v>185894</v>
      </c>
      <c r="N25" s="335">
        <f t="shared" si="5"/>
        <v>0</v>
      </c>
      <c r="O25" s="63">
        <v>2251</v>
      </c>
      <c r="P25" s="465">
        <f t="shared" si="45"/>
        <v>2275</v>
      </c>
      <c r="Q25" s="465">
        <f t="shared" si="48"/>
        <v>189842</v>
      </c>
      <c r="R25" s="334">
        <f t="shared" si="44"/>
        <v>0</v>
      </c>
      <c r="S25" s="51">
        <f t="shared" si="8"/>
        <v>0</v>
      </c>
      <c r="T25" s="66">
        <f t="shared" si="28"/>
        <v>0</v>
      </c>
      <c r="U25" s="341">
        <f t="shared" si="9"/>
        <v>3</v>
      </c>
      <c r="V25" s="61">
        <f t="shared" si="10"/>
        <v>236</v>
      </c>
      <c r="W25" s="339"/>
      <c r="X25" s="465">
        <f t="shared" si="29"/>
        <v>2499</v>
      </c>
      <c r="Y25" s="51">
        <f t="shared" si="12"/>
        <v>0</v>
      </c>
      <c r="Z25" s="465">
        <f t="shared" si="30"/>
        <v>141680</v>
      </c>
      <c r="AA25" s="64">
        <f t="shared" si="13"/>
        <v>0</v>
      </c>
      <c r="AB25" s="245">
        <f t="shared" si="50"/>
        <v>0</v>
      </c>
      <c r="AC25" s="525">
        <f t="shared" si="37"/>
        <v>1972</v>
      </c>
      <c r="AD25" s="44">
        <f t="shared" si="14"/>
        <v>0</v>
      </c>
      <c r="AE25" s="465">
        <f t="shared" si="43"/>
        <v>368525</v>
      </c>
      <c r="AF25" s="262">
        <f t="shared" si="15"/>
        <v>0</v>
      </c>
      <c r="AG25" s="196">
        <f t="shared" si="32"/>
        <v>0</v>
      </c>
      <c r="AH25" s="61">
        <f t="shared" si="33"/>
        <v>0</v>
      </c>
      <c r="AI25" s="270">
        <f t="shared" si="16"/>
        <v>236</v>
      </c>
      <c r="AJ25" s="270">
        <f>-tanks!AW27</f>
        <v>283</v>
      </c>
      <c r="AK25" s="270">
        <f t="shared" si="17"/>
        <v>47</v>
      </c>
      <c r="AL25" s="270">
        <f t="shared" si="18"/>
        <v>3</v>
      </c>
      <c r="AM25" s="270">
        <f t="shared" si="19"/>
        <v>0</v>
      </c>
      <c r="AN25" s="465">
        <f t="shared" si="20"/>
        <v>65</v>
      </c>
      <c r="AO25" s="272">
        <f>(AN25/100)*3000</f>
        <v>1950</v>
      </c>
      <c r="AP25" s="465">
        <f t="shared" si="22"/>
        <v>35</v>
      </c>
      <c r="AQ25" s="272">
        <f t="shared" si="52"/>
        <v>1050</v>
      </c>
      <c r="AR25" s="465">
        <f t="shared" si="24"/>
        <v>73</v>
      </c>
      <c r="AS25" s="272">
        <f t="shared" si="34"/>
        <v>2190</v>
      </c>
      <c r="AT25" s="272">
        <f>SUM(AO25+AQ25+AS25)</f>
        <v>5190</v>
      </c>
      <c r="AU25" s="272">
        <f>AT24-AT25+AV25</f>
        <v>0</v>
      </c>
      <c r="AV25" s="237"/>
      <c r="AW25" s="237"/>
      <c r="AX25" s="266">
        <f t="shared" si="25"/>
        <v>0.8</v>
      </c>
    </row>
    <row r="26" spans="1:50">
      <c r="A26" s="62">
        <f>ELEC!C25</f>
        <v>44979</v>
      </c>
      <c r="B26" s="63">
        <v>222</v>
      </c>
      <c r="C26" s="63">
        <v>229</v>
      </c>
      <c r="D26" s="44">
        <f t="shared" si="49"/>
        <v>3</v>
      </c>
      <c r="E26" s="44">
        <f t="shared" si="0"/>
        <v>25.14</v>
      </c>
      <c r="F26" s="465">
        <v>2408</v>
      </c>
      <c r="G26" s="51">
        <f t="shared" si="1"/>
        <v>4</v>
      </c>
      <c r="H26" s="465">
        <v>55984</v>
      </c>
      <c r="I26" s="335">
        <f t="shared" si="2"/>
        <v>283</v>
      </c>
      <c r="J26" s="65">
        <f t="shared" si="3"/>
        <v>70.75</v>
      </c>
      <c r="K26" s="525">
        <f t="shared" si="27"/>
        <v>2492</v>
      </c>
      <c r="L26" s="51">
        <f t="shared" si="4"/>
        <v>0</v>
      </c>
      <c r="M26" s="63">
        <f t="shared" si="42"/>
        <v>185894</v>
      </c>
      <c r="N26" s="335">
        <f t="shared" si="5"/>
        <v>0</v>
      </c>
      <c r="O26" s="63">
        <f t="shared" si="47"/>
        <v>2251</v>
      </c>
      <c r="P26" s="465">
        <f t="shared" si="45"/>
        <v>2275</v>
      </c>
      <c r="Q26" s="465">
        <f t="shared" si="48"/>
        <v>189842</v>
      </c>
      <c r="R26" s="334">
        <f t="shared" si="44"/>
        <v>0</v>
      </c>
      <c r="S26" s="51">
        <f t="shared" si="8"/>
        <v>0</v>
      </c>
      <c r="T26" s="66">
        <f t="shared" si="28"/>
        <v>0</v>
      </c>
      <c r="U26" s="341">
        <f t="shared" si="9"/>
        <v>4</v>
      </c>
      <c r="V26" s="61">
        <f t="shared" si="10"/>
        <v>283</v>
      </c>
      <c r="W26" s="339"/>
      <c r="X26" s="465">
        <f t="shared" si="29"/>
        <v>2499</v>
      </c>
      <c r="Y26" s="51">
        <f t="shared" si="12"/>
        <v>0</v>
      </c>
      <c r="Z26" s="465">
        <f t="shared" si="30"/>
        <v>141680</v>
      </c>
      <c r="AA26" s="64">
        <f t="shared" si="13"/>
        <v>0</v>
      </c>
      <c r="AB26" s="245">
        <f t="shared" si="50"/>
        <v>0</v>
      </c>
      <c r="AC26" s="525">
        <f t="shared" si="37"/>
        <v>1972</v>
      </c>
      <c r="AD26" s="44">
        <f t="shared" si="14"/>
        <v>0</v>
      </c>
      <c r="AE26" s="465">
        <f t="shared" si="43"/>
        <v>368525</v>
      </c>
      <c r="AF26" s="262">
        <f t="shared" si="15"/>
        <v>0</v>
      </c>
      <c r="AG26" s="196">
        <f t="shared" si="32"/>
        <v>0</v>
      </c>
      <c r="AH26" s="61">
        <f t="shared" si="33"/>
        <v>0</v>
      </c>
      <c r="AI26" s="270">
        <f t="shared" si="16"/>
        <v>283</v>
      </c>
      <c r="AJ26" s="270">
        <f>-tanks!AW28</f>
        <v>306</v>
      </c>
      <c r="AK26" s="270">
        <f t="shared" si="17"/>
        <v>23</v>
      </c>
      <c r="AL26" s="270">
        <f t="shared" si="18"/>
        <v>4</v>
      </c>
      <c r="AM26" s="270">
        <f t="shared" si="19"/>
        <v>0</v>
      </c>
      <c r="AN26" s="465">
        <f t="shared" si="20"/>
        <v>65</v>
      </c>
      <c r="AO26" s="272">
        <f t="shared" si="21"/>
        <v>1950</v>
      </c>
      <c r="AP26" s="465">
        <f t="shared" si="22"/>
        <v>35</v>
      </c>
      <c r="AQ26" s="272">
        <f t="shared" si="52"/>
        <v>1050</v>
      </c>
      <c r="AR26" s="465">
        <f t="shared" si="24"/>
        <v>73</v>
      </c>
      <c r="AS26" s="272">
        <f t="shared" si="34"/>
        <v>2190</v>
      </c>
      <c r="AT26" s="272">
        <f t="shared" si="51"/>
        <v>5190</v>
      </c>
      <c r="AU26" s="272">
        <f t="shared" si="36"/>
        <v>0</v>
      </c>
      <c r="AV26" s="237"/>
      <c r="AW26" s="419"/>
      <c r="AX26" s="266">
        <f t="shared" si="25"/>
        <v>0.8</v>
      </c>
    </row>
    <row r="27" spans="1:50">
      <c r="A27" s="62">
        <f>ELEC!C26</f>
        <v>44980</v>
      </c>
      <c r="B27" s="63">
        <v>218</v>
      </c>
      <c r="C27" s="63">
        <v>225</v>
      </c>
      <c r="D27" s="44">
        <f t="shared" si="49"/>
        <v>4</v>
      </c>
      <c r="E27" s="44">
        <f t="shared" si="0"/>
        <v>33.520000000000003</v>
      </c>
      <c r="F27" s="465">
        <v>2410</v>
      </c>
      <c r="G27" s="51">
        <f t="shared" si="1"/>
        <v>2</v>
      </c>
      <c r="H27" s="465">
        <v>56188</v>
      </c>
      <c r="I27" s="335">
        <f t="shared" si="2"/>
        <v>204</v>
      </c>
      <c r="J27" s="65">
        <f t="shared" si="3"/>
        <v>102</v>
      </c>
      <c r="K27" s="525">
        <v>2492</v>
      </c>
      <c r="L27" s="51">
        <f t="shared" si="4"/>
        <v>0</v>
      </c>
      <c r="M27" s="63">
        <f t="shared" si="42"/>
        <v>185894</v>
      </c>
      <c r="N27" s="335">
        <f t="shared" si="5"/>
        <v>0</v>
      </c>
      <c r="O27" s="63">
        <f t="shared" si="47"/>
        <v>2251</v>
      </c>
      <c r="P27" s="465">
        <f t="shared" si="45"/>
        <v>2275</v>
      </c>
      <c r="Q27" s="465">
        <f t="shared" si="48"/>
        <v>189842</v>
      </c>
      <c r="R27" s="334">
        <f t="shared" si="44"/>
        <v>0</v>
      </c>
      <c r="S27" s="51">
        <f t="shared" si="8"/>
        <v>0</v>
      </c>
      <c r="T27" s="66">
        <f t="shared" si="28"/>
        <v>0</v>
      </c>
      <c r="U27" s="341">
        <f t="shared" si="9"/>
        <v>2</v>
      </c>
      <c r="V27" s="61">
        <f t="shared" si="10"/>
        <v>204</v>
      </c>
      <c r="W27" s="339"/>
      <c r="X27" s="465">
        <f t="shared" si="29"/>
        <v>2499</v>
      </c>
      <c r="Y27" s="51">
        <f t="shared" si="12"/>
        <v>0</v>
      </c>
      <c r="Z27" s="465">
        <f t="shared" si="30"/>
        <v>141680</v>
      </c>
      <c r="AA27" s="64">
        <f t="shared" si="13"/>
        <v>0</v>
      </c>
      <c r="AB27" s="245">
        <f t="shared" si="50"/>
        <v>0</v>
      </c>
      <c r="AC27" s="525">
        <v>1973</v>
      </c>
      <c r="AD27" s="44">
        <f t="shared" si="14"/>
        <v>1</v>
      </c>
      <c r="AE27" s="465">
        <v>368627</v>
      </c>
      <c r="AF27" s="262">
        <f t="shared" si="15"/>
        <v>102</v>
      </c>
      <c r="AG27" s="196">
        <f t="shared" si="32"/>
        <v>102</v>
      </c>
      <c r="AH27" s="61">
        <f t="shared" si="33"/>
        <v>102</v>
      </c>
      <c r="AI27" s="270">
        <f t="shared" si="16"/>
        <v>306</v>
      </c>
      <c r="AJ27" s="270">
        <f>-tanks!AW29</f>
        <v>0</v>
      </c>
      <c r="AK27" s="270">
        <f t="shared" si="17"/>
        <v>-306</v>
      </c>
      <c r="AL27" s="270">
        <f t="shared" si="18"/>
        <v>2</v>
      </c>
      <c r="AM27" s="270">
        <f t="shared" si="19"/>
        <v>1</v>
      </c>
      <c r="AN27" s="465">
        <f t="shared" si="20"/>
        <v>65</v>
      </c>
      <c r="AO27" s="272">
        <f t="shared" si="21"/>
        <v>1950</v>
      </c>
      <c r="AP27" s="465">
        <f t="shared" si="22"/>
        <v>35</v>
      </c>
      <c r="AQ27" s="272">
        <f t="shared" si="52"/>
        <v>1050</v>
      </c>
      <c r="AR27" s="465">
        <f t="shared" si="24"/>
        <v>73</v>
      </c>
      <c r="AS27" s="272">
        <f t="shared" si="34"/>
        <v>2190</v>
      </c>
      <c r="AT27" s="272">
        <f t="shared" si="51"/>
        <v>5190</v>
      </c>
      <c r="AU27" s="272">
        <f t="shared" si="36"/>
        <v>0</v>
      </c>
      <c r="AV27" s="237"/>
      <c r="AW27" s="237"/>
      <c r="AX27" s="266">
        <f t="shared" si="25"/>
        <v>0.8</v>
      </c>
    </row>
    <row r="28" spans="1:50">
      <c r="A28" s="62">
        <f>ELEC!C27</f>
        <v>44981</v>
      </c>
      <c r="B28" s="63">
        <f t="shared" si="38"/>
        <v>218</v>
      </c>
      <c r="C28" s="63">
        <f t="shared" si="39"/>
        <v>225</v>
      </c>
      <c r="D28" s="44">
        <f t="shared" si="49"/>
        <v>0</v>
      </c>
      <c r="E28" s="44">
        <f t="shared" si="0"/>
        <v>0</v>
      </c>
      <c r="F28" s="465">
        <f t="shared" si="40"/>
        <v>2410</v>
      </c>
      <c r="G28" s="51">
        <f t="shared" si="1"/>
        <v>0</v>
      </c>
      <c r="H28" s="465">
        <f t="shared" si="41"/>
        <v>56188</v>
      </c>
      <c r="I28" s="335">
        <f t="shared" si="2"/>
        <v>0</v>
      </c>
      <c r="J28" s="65">
        <f t="shared" si="3"/>
        <v>0</v>
      </c>
      <c r="K28" s="525">
        <f t="shared" si="27"/>
        <v>2492</v>
      </c>
      <c r="L28" s="51">
        <f t="shared" si="4"/>
        <v>0</v>
      </c>
      <c r="M28" s="63">
        <f t="shared" si="42"/>
        <v>185894</v>
      </c>
      <c r="N28" s="335">
        <f t="shared" si="5"/>
        <v>0</v>
      </c>
      <c r="O28" s="63">
        <f t="shared" si="47"/>
        <v>2251</v>
      </c>
      <c r="P28" s="465">
        <f t="shared" si="45"/>
        <v>2275</v>
      </c>
      <c r="Q28" s="465">
        <f t="shared" si="48"/>
        <v>189842</v>
      </c>
      <c r="R28" s="334">
        <f t="shared" si="44"/>
        <v>0</v>
      </c>
      <c r="S28" s="51">
        <f t="shared" si="8"/>
        <v>0</v>
      </c>
      <c r="T28" s="66">
        <f t="shared" si="28"/>
        <v>0</v>
      </c>
      <c r="U28" s="341">
        <f t="shared" si="9"/>
        <v>0</v>
      </c>
      <c r="V28" s="61">
        <f t="shared" si="10"/>
        <v>0</v>
      </c>
      <c r="W28" s="339"/>
      <c r="X28" s="465">
        <f t="shared" si="29"/>
        <v>2499</v>
      </c>
      <c r="Y28" s="51">
        <f t="shared" si="12"/>
        <v>0</v>
      </c>
      <c r="Z28" s="465">
        <f t="shared" si="30"/>
        <v>141680</v>
      </c>
      <c r="AA28" s="64">
        <f t="shared" si="13"/>
        <v>0</v>
      </c>
      <c r="AB28" s="245">
        <f t="shared" si="50"/>
        <v>0</v>
      </c>
      <c r="AC28" s="525">
        <f t="shared" si="37"/>
        <v>1973</v>
      </c>
      <c r="AD28" s="44">
        <f t="shared" si="14"/>
        <v>0</v>
      </c>
      <c r="AE28" s="465">
        <f t="shared" si="43"/>
        <v>368627</v>
      </c>
      <c r="AF28" s="262">
        <f t="shared" si="15"/>
        <v>0</v>
      </c>
      <c r="AG28" s="196">
        <f t="shared" si="32"/>
        <v>0</v>
      </c>
      <c r="AH28" s="61">
        <f t="shared" si="33"/>
        <v>0</v>
      </c>
      <c r="AI28" s="270">
        <f t="shared" si="16"/>
        <v>0</v>
      </c>
      <c r="AJ28" s="270">
        <f>-tanks!AW30</f>
        <v>0</v>
      </c>
      <c r="AK28" s="270">
        <f t="shared" si="17"/>
        <v>0</v>
      </c>
      <c r="AL28" s="270">
        <f t="shared" si="18"/>
        <v>0</v>
      </c>
      <c r="AM28" s="270">
        <f t="shared" si="19"/>
        <v>0</v>
      </c>
      <c r="AN28" s="465">
        <f t="shared" si="20"/>
        <v>65</v>
      </c>
      <c r="AO28" s="272">
        <f t="shared" si="21"/>
        <v>1950</v>
      </c>
      <c r="AP28" s="465">
        <f t="shared" si="22"/>
        <v>35</v>
      </c>
      <c r="AQ28" s="272">
        <f t="shared" si="52"/>
        <v>1050</v>
      </c>
      <c r="AR28" s="465">
        <f t="shared" si="24"/>
        <v>73</v>
      </c>
      <c r="AS28" s="272">
        <f t="shared" si="34"/>
        <v>2190</v>
      </c>
      <c r="AT28" s="272">
        <f t="shared" si="51"/>
        <v>5190</v>
      </c>
      <c r="AU28" s="272">
        <f t="shared" si="36"/>
        <v>0</v>
      </c>
      <c r="AV28" s="237"/>
      <c r="AW28" s="237"/>
      <c r="AX28" s="266">
        <f t="shared" si="25"/>
        <v>0.8</v>
      </c>
    </row>
    <row r="29" spans="1:50">
      <c r="A29" s="62">
        <f>ELEC!C28</f>
        <v>44982</v>
      </c>
      <c r="B29" s="63">
        <f t="shared" si="38"/>
        <v>218</v>
      </c>
      <c r="C29" s="63">
        <f t="shared" si="39"/>
        <v>225</v>
      </c>
      <c r="D29" s="44">
        <f>C28-C29</f>
        <v>0</v>
      </c>
      <c r="E29" s="44">
        <f>D29*8.38</f>
        <v>0</v>
      </c>
      <c r="F29" s="465">
        <f t="shared" si="40"/>
        <v>2410</v>
      </c>
      <c r="G29" s="51">
        <f>F29-F28</f>
        <v>0</v>
      </c>
      <c r="H29" s="465">
        <f t="shared" si="41"/>
        <v>56188</v>
      </c>
      <c r="I29" s="335">
        <f t="shared" si="2"/>
        <v>0</v>
      </c>
      <c r="J29" s="65">
        <f>IF(G29&gt;0,I29/G29,0)</f>
        <v>0</v>
      </c>
      <c r="K29" s="525">
        <f t="shared" si="27"/>
        <v>2492</v>
      </c>
      <c r="L29" s="51">
        <f>K29-K28</f>
        <v>0</v>
      </c>
      <c r="M29" s="63">
        <f t="shared" si="42"/>
        <v>185894</v>
      </c>
      <c r="N29" s="335">
        <f>M29-M28</f>
        <v>0</v>
      </c>
      <c r="O29" s="63">
        <f t="shared" si="47"/>
        <v>2251</v>
      </c>
      <c r="P29" s="465">
        <f t="shared" si="45"/>
        <v>2275</v>
      </c>
      <c r="Q29" s="465">
        <f t="shared" si="48"/>
        <v>189842</v>
      </c>
      <c r="R29" s="334">
        <f>Q29-Q28</f>
        <v>0</v>
      </c>
      <c r="S29" s="51">
        <f>SUM(P29-P28)</f>
        <v>0</v>
      </c>
      <c r="T29" s="66">
        <f>SUM(S29*$T$2)</f>
        <v>0</v>
      </c>
      <c r="U29" s="341">
        <f>SUM(G29+L29+S29)</f>
        <v>0</v>
      </c>
      <c r="V29" s="61">
        <f t="shared" si="10"/>
        <v>0</v>
      </c>
      <c r="W29" s="339"/>
      <c r="X29" s="465">
        <f t="shared" si="29"/>
        <v>2499</v>
      </c>
      <c r="Y29" s="51">
        <f>X29-X28</f>
        <v>0</v>
      </c>
      <c r="Z29" s="465">
        <f t="shared" si="30"/>
        <v>141680</v>
      </c>
      <c r="AA29" s="64">
        <f>Z29-Z28</f>
        <v>0</v>
      </c>
      <c r="AB29" s="245">
        <f>SUM(Y29*$AB$2)</f>
        <v>0</v>
      </c>
      <c r="AC29" s="525">
        <f t="shared" si="37"/>
        <v>1973</v>
      </c>
      <c r="AD29" s="237">
        <f>AC29-AC28</f>
        <v>0</v>
      </c>
      <c r="AE29" s="465">
        <f t="shared" si="43"/>
        <v>368627</v>
      </c>
      <c r="AF29" s="262">
        <f>AE29-AE28</f>
        <v>0</v>
      </c>
      <c r="AG29" s="196">
        <f t="shared" si="32"/>
        <v>0</v>
      </c>
      <c r="AH29" s="61">
        <f t="shared" si="33"/>
        <v>0</v>
      </c>
      <c r="AI29" s="270">
        <f t="shared" si="16"/>
        <v>0</v>
      </c>
      <c r="AJ29" s="270">
        <f>-tanks!AW31</f>
        <v>242</v>
      </c>
      <c r="AK29" s="270">
        <f t="shared" si="17"/>
        <v>242</v>
      </c>
      <c r="AL29" s="270">
        <f t="shared" si="18"/>
        <v>0</v>
      </c>
      <c r="AM29" s="270">
        <f t="shared" si="19"/>
        <v>0</v>
      </c>
      <c r="AN29" s="465">
        <f t="shared" si="20"/>
        <v>65</v>
      </c>
      <c r="AO29" s="272">
        <f t="shared" si="21"/>
        <v>1950</v>
      </c>
      <c r="AP29" s="465">
        <f t="shared" si="22"/>
        <v>35</v>
      </c>
      <c r="AQ29" s="272">
        <f t="shared" si="52"/>
        <v>1050</v>
      </c>
      <c r="AR29" s="465">
        <f t="shared" si="24"/>
        <v>73</v>
      </c>
      <c r="AS29" s="272">
        <f t="shared" si="34"/>
        <v>2190</v>
      </c>
      <c r="AT29" s="272">
        <f t="shared" si="51"/>
        <v>5190</v>
      </c>
      <c r="AU29" s="272">
        <f t="shared" si="36"/>
        <v>0</v>
      </c>
      <c r="AV29" s="237"/>
      <c r="AW29" s="237"/>
      <c r="AX29" s="266">
        <f t="shared" si="25"/>
        <v>0.8</v>
      </c>
    </row>
    <row r="30" spans="1:50">
      <c r="A30" s="62">
        <f>ELEC!C29</f>
        <v>44983</v>
      </c>
      <c r="B30" s="63">
        <v>235</v>
      </c>
      <c r="C30" s="63">
        <v>241</v>
      </c>
      <c r="D30" s="44">
        <f t="shared" si="49"/>
        <v>-16</v>
      </c>
      <c r="E30" s="44">
        <f t="shared" si="0"/>
        <v>-134.08000000000001</v>
      </c>
      <c r="F30" s="465">
        <v>2414</v>
      </c>
      <c r="G30" s="51">
        <f t="shared" si="1"/>
        <v>4</v>
      </c>
      <c r="H30" s="465">
        <v>56430</v>
      </c>
      <c r="I30" s="335">
        <f t="shared" si="2"/>
        <v>242</v>
      </c>
      <c r="J30" s="65">
        <f t="shared" si="3"/>
        <v>60.5</v>
      </c>
      <c r="K30" s="525">
        <v>2492</v>
      </c>
      <c r="L30" s="51">
        <f t="shared" si="4"/>
        <v>0</v>
      </c>
      <c r="M30" s="63">
        <f t="shared" si="42"/>
        <v>185894</v>
      </c>
      <c r="N30" s="335">
        <f t="shared" si="5"/>
        <v>0</v>
      </c>
      <c r="O30" s="63">
        <f t="shared" si="47"/>
        <v>2251</v>
      </c>
      <c r="P30" s="465">
        <f t="shared" si="45"/>
        <v>2275</v>
      </c>
      <c r="Q30" s="465">
        <f t="shared" si="48"/>
        <v>189842</v>
      </c>
      <c r="R30" s="334">
        <f t="shared" si="44"/>
        <v>0</v>
      </c>
      <c r="S30" s="51">
        <f t="shared" si="8"/>
        <v>0</v>
      </c>
      <c r="T30" s="66">
        <f t="shared" si="28"/>
        <v>0</v>
      </c>
      <c r="U30" s="341">
        <f t="shared" si="9"/>
        <v>4</v>
      </c>
      <c r="V30" s="61">
        <f t="shared" si="10"/>
        <v>242</v>
      </c>
      <c r="W30" s="339"/>
      <c r="X30" s="465">
        <f t="shared" si="29"/>
        <v>2499</v>
      </c>
      <c r="Y30" s="51">
        <f t="shared" si="12"/>
        <v>0</v>
      </c>
      <c r="Z30" s="465">
        <f t="shared" si="30"/>
        <v>141680</v>
      </c>
      <c r="AA30" s="64">
        <f t="shared" si="13"/>
        <v>0</v>
      </c>
      <c r="AB30" s="245">
        <f t="shared" si="50"/>
        <v>0</v>
      </c>
      <c r="AC30" s="525">
        <f t="shared" si="37"/>
        <v>1973</v>
      </c>
      <c r="AD30" s="237">
        <f t="shared" si="14"/>
        <v>0</v>
      </c>
      <c r="AE30" s="465">
        <f t="shared" si="43"/>
        <v>368627</v>
      </c>
      <c r="AF30" s="262">
        <f t="shared" si="15"/>
        <v>0</v>
      </c>
      <c r="AG30" s="196">
        <f t="shared" si="32"/>
        <v>0</v>
      </c>
      <c r="AH30" s="61">
        <f t="shared" si="33"/>
        <v>0</v>
      </c>
      <c r="AI30" s="270">
        <f t="shared" si="16"/>
        <v>242</v>
      </c>
      <c r="AJ30" s="270">
        <f>-tanks!AW32</f>
        <v>385</v>
      </c>
      <c r="AK30" s="270">
        <f t="shared" si="17"/>
        <v>143</v>
      </c>
      <c r="AL30" s="270">
        <f t="shared" si="18"/>
        <v>4</v>
      </c>
      <c r="AM30" s="270">
        <f t="shared" si="19"/>
        <v>0</v>
      </c>
      <c r="AN30" s="465">
        <f t="shared" si="20"/>
        <v>65</v>
      </c>
      <c r="AO30" s="272">
        <f t="shared" si="21"/>
        <v>1950</v>
      </c>
      <c r="AP30" s="465">
        <f t="shared" si="22"/>
        <v>35</v>
      </c>
      <c r="AQ30" s="272">
        <f t="shared" si="52"/>
        <v>1050</v>
      </c>
      <c r="AR30" s="465">
        <f t="shared" si="24"/>
        <v>73</v>
      </c>
      <c r="AS30" s="272">
        <f t="shared" si="34"/>
        <v>2190</v>
      </c>
      <c r="AT30" s="272">
        <f t="shared" si="51"/>
        <v>5190</v>
      </c>
      <c r="AU30" s="272">
        <f t="shared" si="36"/>
        <v>0</v>
      </c>
      <c r="AV30" s="237"/>
      <c r="AW30" s="237"/>
      <c r="AX30" s="266">
        <f t="shared" si="25"/>
        <v>0.8</v>
      </c>
    </row>
    <row r="31" spans="1:50">
      <c r="A31" s="62">
        <f>ELEC!C30</f>
        <v>44984</v>
      </c>
      <c r="B31" s="63">
        <v>231</v>
      </c>
      <c r="C31" s="63">
        <v>238</v>
      </c>
      <c r="D31" s="44">
        <f t="shared" si="49"/>
        <v>3</v>
      </c>
      <c r="E31" s="44">
        <f t="shared" si="0"/>
        <v>25.14</v>
      </c>
      <c r="F31" s="465">
        <v>2417</v>
      </c>
      <c r="G31" s="51">
        <f t="shared" si="1"/>
        <v>3</v>
      </c>
      <c r="H31" s="465">
        <v>56668</v>
      </c>
      <c r="I31" s="335">
        <f t="shared" si="2"/>
        <v>238</v>
      </c>
      <c r="J31" s="65">
        <f t="shared" si="3"/>
        <v>79.333333333333329</v>
      </c>
      <c r="K31" s="525">
        <v>2493</v>
      </c>
      <c r="L31" s="51">
        <f t="shared" si="4"/>
        <v>1</v>
      </c>
      <c r="M31" s="63">
        <v>185960</v>
      </c>
      <c r="N31" s="335">
        <f t="shared" si="5"/>
        <v>66</v>
      </c>
      <c r="O31" s="63">
        <f t="shared" si="47"/>
        <v>2251</v>
      </c>
      <c r="P31" s="465">
        <f t="shared" si="45"/>
        <v>2275</v>
      </c>
      <c r="Q31" s="465">
        <f t="shared" si="48"/>
        <v>189842</v>
      </c>
      <c r="R31" s="334">
        <f t="shared" si="44"/>
        <v>0</v>
      </c>
      <c r="S31" s="51">
        <f t="shared" si="8"/>
        <v>0</v>
      </c>
      <c r="T31" s="66">
        <f t="shared" si="28"/>
        <v>0</v>
      </c>
      <c r="U31" s="341">
        <f t="shared" si="9"/>
        <v>4</v>
      </c>
      <c r="V31" s="61">
        <f t="shared" si="10"/>
        <v>304</v>
      </c>
      <c r="W31" s="339"/>
      <c r="X31" s="465">
        <f t="shared" si="29"/>
        <v>2499</v>
      </c>
      <c r="Y31" s="51">
        <f t="shared" si="12"/>
        <v>0</v>
      </c>
      <c r="Z31" s="465">
        <v>141761</v>
      </c>
      <c r="AA31" s="64">
        <f t="shared" si="13"/>
        <v>81</v>
      </c>
      <c r="AB31" s="245">
        <f t="shared" si="50"/>
        <v>0</v>
      </c>
      <c r="AC31" s="525">
        <v>1973</v>
      </c>
      <c r="AD31" s="237">
        <f t="shared" si="14"/>
        <v>0</v>
      </c>
      <c r="AE31" s="465">
        <f t="shared" si="43"/>
        <v>368627</v>
      </c>
      <c r="AF31" s="262">
        <f t="shared" si="15"/>
        <v>0</v>
      </c>
      <c r="AG31" s="196">
        <f t="shared" si="32"/>
        <v>0</v>
      </c>
      <c r="AH31" s="61">
        <f t="shared" si="33"/>
        <v>81</v>
      </c>
      <c r="AI31" s="270">
        <f t="shared" si="16"/>
        <v>385</v>
      </c>
      <c r="AJ31" s="270">
        <f>-tanks!AW33</f>
        <v>0</v>
      </c>
      <c r="AK31" s="270">
        <f t="shared" si="17"/>
        <v>-385</v>
      </c>
      <c r="AL31" s="270">
        <f t="shared" si="18"/>
        <v>4</v>
      </c>
      <c r="AM31" s="270">
        <f t="shared" si="19"/>
        <v>0</v>
      </c>
      <c r="AN31" s="465">
        <f t="shared" si="20"/>
        <v>65</v>
      </c>
      <c r="AO31" s="272">
        <f t="shared" si="21"/>
        <v>1950</v>
      </c>
      <c r="AP31" s="465">
        <f t="shared" si="22"/>
        <v>35</v>
      </c>
      <c r="AQ31" s="272">
        <f t="shared" si="52"/>
        <v>1050</v>
      </c>
      <c r="AR31" s="465">
        <f t="shared" si="24"/>
        <v>73</v>
      </c>
      <c r="AS31" s="272">
        <f t="shared" si="34"/>
        <v>2190</v>
      </c>
      <c r="AT31" s="272">
        <f t="shared" si="51"/>
        <v>5190</v>
      </c>
      <c r="AU31" s="272">
        <f t="shared" si="36"/>
        <v>0</v>
      </c>
      <c r="AV31" s="237"/>
      <c r="AW31" s="237"/>
      <c r="AX31" s="266">
        <f t="shared" si="25"/>
        <v>0.8</v>
      </c>
    </row>
    <row r="32" spans="1:50">
      <c r="A32" s="62">
        <f>ELEC!C31</f>
        <v>44985</v>
      </c>
      <c r="B32" s="63">
        <f t="shared" si="38"/>
        <v>231</v>
      </c>
      <c r="C32" s="63">
        <f t="shared" si="39"/>
        <v>238</v>
      </c>
      <c r="D32" s="44">
        <f t="shared" ref="D32:D33" si="53">C31-C32</f>
        <v>0</v>
      </c>
      <c r="E32" s="44">
        <f t="shared" ref="E32:E33" si="54">D32*8.38</f>
        <v>0</v>
      </c>
      <c r="F32" s="465">
        <f t="shared" si="40"/>
        <v>2417</v>
      </c>
      <c r="G32" s="51">
        <f t="shared" ref="G32:G33" si="55">F32-F31</f>
        <v>0</v>
      </c>
      <c r="H32" s="465">
        <f t="shared" si="41"/>
        <v>56668</v>
      </c>
      <c r="I32" s="335">
        <f t="shared" ref="I32:I33" si="56">SUM(H32-H31)</f>
        <v>0</v>
      </c>
      <c r="J32" s="65">
        <f t="shared" ref="J32:J33" si="57">IF(G32&gt;0,I32/G32,0)</f>
        <v>0</v>
      </c>
      <c r="K32" s="525">
        <f t="shared" si="27"/>
        <v>2493</v>
      </c>
      <c r="L32" s="51">
        <f t="shared" ref="L32:L33" si="58">K32-K31</f>
        <v>0</v>
      </c>
      <c r="M32" s="63">
        <f t="shared" si="42"/>
        <v>185960</v>
      </c>
      <c r="N32" s="335">
        <f t="shared" ref="N32:N33" si="59">M32-M31</f>
        <v>0</v>
      </c>
      <c r="O32" s="63">
        <f t="shared" si="47"/>
        <v>2251</v>
      </c>
      <c r="P32" s="465">
        <f t="shared" si="45"/>
        <v>2275</v>
      </c>
      <c r="Q32" s="465">
        <f t="shared" si="48"/>
        <v>189842</v>
      </c>
      <c r="R32" s="334">
        <f t="shared" ref="R32:R33" si="60">Q32-Q31</f>
        <v>0</v>
      </c>
      <c r="S32" s="51">
        <f t="shared" ref="S32:S33" si="61">SUM(P32-P31)</f>
        <v>0</v>
      </c>
      <c r="T32" s="66">
        <f t="shared" ref="T32:T33" si="62">SUM(S32*$T$2)</f>
        <v>0</v>
      </c>
      <c r="U32" s="341">
        <f t="shared" ref="U32:U33" si="63">SUM(G32+L32+S32)</f>
        <v>0</v>
      </c>
      <c r="V32" s="61">
        <f t="shared" ref="V32:V33" si="64">R32+N32+I32:I32</f>
        <v>0</v>
      </c>
      <c r="W32" s="339"/>
      <c r="X32" s="465">
        <f t="shared" si="29"/>
        <v>2499</v>
      </c>
      <c r="Y32" s="51">
        <f t="shared" ref="Y32:Y33" si="65">X32-X31</f>
        <v>0</v>
      </c>
      <c r="Z32" s="465">
        <f t="shared" si="30"/>
        <v>141761</v>
      </c>
      <c r="AA32" s="64">
        <f t="shared" ref="AA32:AA33" si="66">Z32-Z31</f>
        <v>0</v>
      </c>
      <c r="AB32" s="245">
        <f t="shared" ref="AB32:AB33" si="67">SUM(Y32*$AB$2)</f>
        <v>0</v>
      </c>
      <c r="AC32" s="525">
        <f t="shared" si="37"/>
        <v>1973</v>
      </c>
      <c r="AD32" s="237">
        <f t="shared" ref="AD32:AD33" si="68">AC32-AC31</f>
        <v>0</v>
      </c>
      <c r="AE32" s="465">
        <f t="shared" si="43"/>
        <v>368627</v>
      </c>
      <c r="AF32" s="262">
        <f t="shared" ref="AF32:AF33" si="69">AE32-AE31</f>
        <v>0</v>
      </c>
      <c r="AG32" s="196">
        <f t="shared" ref="AG32:AG33" si="70">IF(AD32&gt;0,AF32/AD32,0)</f>
        <v>0</v>
      </c>
      <c r="AH32" s="61">
        <f t="shared" ref="AH32:AH33" si="71">AF32+AA32</f>
        <v>0</v>
      </c>
      <c r="AI32" s="270">
        <f t="shared" ref="AI32:AI33" si="72">SUM(AH32+V32)</f>
        <v>0</v>
      </c>
      <c r="AJ32" s="270">
        <f>-tanks!AW34</f>
        <v>0</v>
      </c>
      <c r="AK32" s="270">
        <f t="shared" ref="AK32:AK33" si="73">SUM(AJ32-AI32)</f>
        <v>0</v>
      </c>
      <c r="AL32" s="270">
        <f t="shared" ref="AL32:AL33" si="74">S32+L32+G32</f>
        <v>0</v>
      </c>
      <c r="AM32" s="270">
        <f t="shared" ref="AM32:AM33" si="75">Y32+AD32</f>
        <v>0</v>
      </c>
      <c r="AN32" s="465">
        <f t="shared" si="20"/>
        <v>65</v>
      </c>
      <c r="AO32" s="272">
        <f t="shared" si="21"/>
        <v>1950</v>
      </c>
      <c r="AP32" s="465">
        <f t="shared" si="22"/>
        <v>35</v>
      </c>
      <c r="AQ32" s="272">
        <f t="shared" ref="AQ32:AQ33" si="76">(AP32/100)*3000</f>
        <v>1050</v>
      </c>
      <c r="AR32" s="465">
        <f t="shared" si="24"/>
        <v>73</v>
      </c>
      <c r="AS32" s="272">
        <f t="shared" si="34"/>
        <v>2190</v>
      </c>
      <c r="AT32" s="272">
        <f t="shared" si="51"/>
        <v>5190</v>
      </c>
      <c r="AU32" s="272">
        <f t="shared" si="36"/>
        <v>0</v>
      </c>
      <c r="AV32" s="237"/>
      <c r="AW32" s="237"/>
      <c r="AX32" s="266">
        <f t="shared" ref="AX32:AX33" si="77">IF(AV32&gt;0,AW32,AX31)</f>
        <v>0.8</v>
      </c>
    </row>
    <row r="33" spans="1:50">
      <c r="A33" s="62">
        <f>ELEC!C32</f>
        <v>44986</v>
      </c>
      <c r="B33" s="63">
        <f t="shared" si="38"/>
        <v>231</v>
      </c>
      <c r="C33" s="63">
        <f t="shared" si="39"/>
        <v>238</v>
      </c>
      <c r="D33" s="44">
        <f t="shared" si="53"/>
        <v>0</v>
      </c>
      <c r="E33" s="44">
        <f t="shared" si="54"/>
        <v>0</v>
      </c>
      <c r="F33" s="465">
        <f t="shared" si="40"/>
        <v>2417</v>
      </c>
      <c r="G33" s="51">
        <f t="shared" si="55"/>
        <v>0</v>
      </c>
      <c r="H33" s="465">
        <f t="shared" si="41"/>
        <v>56668</v>
      </c>
      <c r="I33" s="335">
        <f t="shared" si="56"/>
        <v>0</v>
      </c>
      <c r="J33" s="65">
        <f t="shared" si="57"/>
        <v>0</v>
      </c>
      <c r="K33" s="525">
        <f t="shared" si="27"/>
        <v>2493</v>
      </c>
      <c r="L33" s="51">
        <f t="shared" si="58"/>
        <v>0</v>
      </c>
      <c r="M33" s="63">
        <f t="shared" si="42"/>
        <v>185960</v>
      </c>
      <c r="N33" s="335">
        <f t="shared" si="59"/>
        <v>0</v>
      </c>
      <c r="O33" s="63">
        <f t="shared" si="47"/>
        <v>2251</v>
      </c>
      <c r="P33" s="465">
        <f t="shared" si="45"/>
        <v>2275</v>
      </c>
      <c r="Q33" s="465">
        <f t="shared" si="48"/>
        <v>189842</v>
      </c>
      <c r="R33" s="334">
        <f t="shared" si="60"/>
        <v>0</v>
      </c>
      <c r="S33" s="51">
        <f t="shared" si="61"/>
        <v>0</v>
      </c>
      <c r="T33" s="66">
        <f t="shared" si="62"/>
        <v>0</v>
      </c>
      <c r="U33" s="341">
        <f t="shared" si="63"/>
        <v>0</v>
      </c>
      <c r="V33" s="61">
        <f t="shared" si="64"/>
        <v>0</v>
      </c>
      <c r="W33" s="339"/>
      <c r="X33" s="465">
        <f t="shared" si="29"/>
        <v>2499</v>
      </c>
      <c r="Y33" s="51">
        <f t="shared" si="65"/>
        <v>0</v>
      </c>
      <c r="Z33" s="465">
        <f t="shared" si="30"/>
        <v>141761</v>
      </c>
      <c r="AA33" s="64">
        <f t="shared" si="66"/>
        <v>0</v>
      </c>
      <c r="AB33" s="245">
        <f t="shared" si="67"/>
        <v>0</v>
      </c>
      <c r="AC33" s="525">
        <f t="shared" si="37"/>
        <v>1973</v>
      </c>
      <c r="AD33" s="237">
        <f t="shared" si="68"/>
        <v>0</v>
      </c>
      <c r="AE33" s="465">
        <f t="shared" si="43"/>
        <v>368627</v>
      </c>
      <c r="AF33" s="262">
        <f t="shared" si="69"/>
        <v>0</v>
      </c>
      <c r="AG33" s="196">
        <f t="shared" si="70"/>
        <v>0</v>
      </c>
      <c r="AH33" s="61">
        <f t="shared" si="71"/>
        <v>0</v>
      </c>
      <c r="AI33" s="270">
        <f t="shared" si="72"/>
        <v>0</v>
      </c>
      <c r="AJ33" s="270">
        <f>-tanks!AW35</f>
        <v>0</v>
      </c>
      <c r="AK33" s="270">
        <f t="shared" si="73"/>
        <v>0</v>
      </c>
      <c r="AL33" s="270">
        <f t="shared" si="74"/>
        <v>0</v>
      </c>
      <c r="AM33" s="270">
        <f t="shared" si="75"/>
        <v>0</v>
      </c>
      <c r="AN33" s="465">
        <f t="shared" si="20"/>
        <v>65</v>
      </c>
      <c r="AO33" s="272">
        <f t="shared" si="21"/>
        <v>1950</v>
      </c>
      <c r="AP33" s="465">
        <f t="shared" si="22"/>
        <v>35</v>
      </c>
      <c r="AQ33" s="272">
        <f t="shared" si="76"/>
        <v>1050</v>
      </c>
      <c r="AR33" s="465">
        <f t="shared" si="24"/>
        <v>73</v>
      </c>
      <c r="AS33" s="272">
        <f t="shared" si="34"/>
        <v>2190</v>
      </c>
      <c r="AT33" s="272">
        <f t="shared" si="51"/>
        <v>5190</v>
      </c>
      <c r="AU33" s="272">
        <f t="shared" si="36"/>
        <v>0</v>
      </c>
      <c r="AV33" s="237"/>
      <c r="AW33" s="237"/>
      <c r="AX33" s="266">
        <f t="shared" si="77"/>
        <v>0.8</v>
      </c>
    </row>
    <row r="34" spans="1:50">
      <c r="A34" s="62"/>
      <c r="B34" s="63"/>
      <c r="C34" s="63"/>
      <c r="D34" s="44"/>
      <c r="E34" s="44"/>
      <c r="F34" s="465"/>
      <c r="G34" s="51"/>
      <c r="H34" s="465"/>
      <c r="I34" s="335"/>
      <c r="J34" s="65"/>
      <c r="K34" s="465"/>
      <c r="L34" s="51"/>
      <c r="M34" s="63"/>
      <c r="N34" s="335"/>
      <c r="O34" s="63"/>
      <c r="P34" s="465"/>
      <c r="Q34" s="465"/>
      <c r="R34" s="334"/>
      <c r="S34" s="51"/>
      <c r="T34" s="66"/>
      <c r="U34" s="341"/>
      <c r="V34" s="61"/>
      <c r="W34" s="339"/>
      <c r="X34" s="465"/>
      <c r="Y34" s="51"/>
      <c r="Z34" s="465"/>
      <c r="AA34" s="64"/>
      <c r="AB34" s="245"/>
      <c r="AC34" s="465"/>
      <c r="AD34" s="237"/>
      <c r="AE34" s="465"/>
      <c r="AF34" s="262"/>
      <c r="AG34" s="196"/>
      <c r="AH34" s="61"/>
      <c r="AI34" s="270"/>
      <c r="AJ34" s="270"/>
      <c r="AK34" s="270"/>
      <c r="AL34" s="270"/>
      <c r="AM34" s="270"/>
      <c r="AN34" s="465"/>
      <c r="AO34" s="272"/>
      <c r="AP34" s="465"/>
      <c r="AQ34" s="272"/>
      <c r="AR34" s="465"/>
      <c r="AS34" s="272"/>
      <c r="AT34" s="272"/>
      <c r="AU34" s="272"/>
      <c r="AV34" s="237"/>
      <c r="AW34" s="237"/>
    </row>
    <row r="35" spans="1:50">
      <c r="V35" s="68" t="e">
        <f>#REF!/#REF!</f>
        <v>#REF!</v>
      </c>
      <c r="AH35" s="61">
        <f>AF35+AA35</f>
        <v>0</v>
      </c>
      <c r="AI35" s="69">
        <f>SUM(AI4:AI34)</f>
        <v>5576</v>
      </c>
      <c r="AP35" s="266"/>
      <c r="AQ35" s="266"/>
      <c r="AR35" s="266"/>
      <c r="AS35" s="266"/>
      <c r="AT35" s="266"/>
      <c r="AU35" s="266"/>
      <c r="AV35" s="266"/>
      <c r="AW35" s="266"/>
    </row>
    <row r="36" spans="1:50">
      <c r="AH36" s="61">
        <f>AF36+AA36</f>
        <v>0</v>
      </c>
      <c r="AP36" s="266"/>
      <c r="AQ36" s="266"/>
      <c r="AR36" s="266"/>
      <c r="AS36" s="266"/>
      <c r="AT36" s="266"/>
      <c r="AU36" s="266" t="e">
        <f>#REF!*0.51</f>
        <v>#REF!</v>
      </c>
      <c r="AV36" s="266" t="e">
        <f>#REF!/0.51</f>
        <v>#REF!</v>
      </c>
      <c r="AW36" s="266" t="e">
        <f>SUM(AW4:AW31)/#REF!</f>
        <v>#REF!</v>
      </c>
    </row>
    <row r="37" spans="1:50">
      <c r="AP37" s="266"/>
      <c r="AQ37" s="266"/>
      <c r="AR37" s="266"/>
      <c r="AS37" s="266"/>
      <c r="AT37" s="266"/>
      <c r="AU37" s="266"/>
      <c r="AV37" s="266" t="e">
        <f>#REF!*0.51</f>
        <v>#REF!</v>
      </c>
      <c r="AW37" s="266"/>
    </row>
    <row r="38" spans="1:50">
      <c r="AP38" s="266"/>
      <c r="AQ38" s="266"/>
      <c r="AR38" s="266"/>
      <c r="AS38" s="266"/>
      <c r="AT38" s="266"/>
      <c r="AU38" s="266"/>
      <c r="AV38" s="266"/>
      <c r="AW38" s="266"/>
    </row>
    <row r="39" spans="1:50">
      <c r="AP39" s="266"/>
      <c r="AQ39" s="266"/>
      <c r="AR39" s="266"/>
      <c r="AS39" s="266"/>
      <c r="AT39" s="266"/>
      <c r="AU39" s="266"/>
      <c r="AV39" s="266"/>
      <c r="AW39" s="266"/>
    </row>
    <row r="41" spans="1:50">
      <c r="AG41" s="67" t="s">
        <v>95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AB1" activePane="topRight" state="frozen"/>
      <selection pane="topRight" activeCell="AW6" sqref="AW6:AW34"/>
    </sheetView>
  </sheetViews>
  <sheetFormatPr defaultRowHeight="14.5"/>
  <cols>
    <col min="1" max="1" width="35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6.81640625" style="198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10.81640625" customWidth="1"/>
    <col min="36" max="36" width="7" bestFit="1" customWidth="1"/>
    <col min="37" max="37" width="8" bestFit="1" customWidth="1"/>
    <col min="38" max="38" width="7" bestFit="1" customWidth="1"/>
    <col min="39" max="39" width="8.7265625" customWidth="1"/>
    <col min="40" max="40" width="8.54296875" style="198" customWidth="1"/>
    <col min="41" max="41" width="11.453125" customWidth="1"/>
    <col min="42" max="42" width="7" style="21" customWidth="1"/>
    <col min="43" max="43" width="10.7265625" bestFit="1" customWidth="1"/>
    <col min="44" max="44" width="11.54296875" bestFit="1" customWidth="1"/>
    <col min="45" max="45" width="12.453125" style="1" customWidth="1"/>
    <col min="46" max="46" width="12.26953125" bestFit="1" customWidth="1"/>
    <col min="47" max="47" width="11.26953125" bestFit="1" customWidth="1"/>
    <col min="48" max="48" width="9.26953125" style="259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18"/>
      <c r="AO1" s="8"/>
      <c r="AP1" s="28"/>
    </row>
    <row r="2" spans="1:63">
      <c r="B2" s="7" t="s">
        <v>96</v>
      </c>
      <c r="C2" s="7"/>
      <c r="D2" s="7" t="s">
        <v>97</v>
      </c>
      <c r="E2" s="7"/>
      <c r="F2" s="7" t="s">
        <v>98</v>
      </c>
      <c r="G2" s="7"/>
      <c r="H2" s="7" t="s">
        <v>99</v>
      </c>
      <c r="I2" s="7"/>
      <c r="J2" s="7" t="s">
        <v>100</v>
      </c>
      <c r="K2" s="7"/>
      <c r="L2" s="7" t="s">
        <v>101</v>
      </c>
      <c r="M2" s="7"/>
      <c r="N2" s="7" t="s">
        <v>102</v>
      </c>
      <c r="O2" s="7"/>
      <c r="P2" s="7" t="s">
        <v>103</v>
      </c>
      <c r="Q2" s="7"/>
      <c r="R2" s="7" t="s">
        <v>104</v>
      </c>
      <c r="T2" s="7" t="s">
        <v>105</v>
      </c>
      <c r="V2" s="7" t="s">
        <v>106</v>
      </c>
      <c r="W2" s="7"/>
      <c r="X2" s="209"/>
      <c r="Y2" s="7"/>
      <c r="Z2" s="8" t="s">
        <v>96</v>
      </c>
      <c r="AA2" s="8"/>
      <c r="AB2" s="8" t="s">
        <v>97</v>
      </c>
      <c r="AC2" s="8"/>
      <c r="AD2" s="8" t="s">
        <v>98</v>
      </c>
      <c r="AE2" s="8"/>
      <c r="AF2" s="8" t="s">
        <v>99</v>
      </c>
      <c r="AG2" s="8"/>
      <c r="AH2" s="8" t="s">
        <v>100</v>
      </c>
      <c r="AI2" s="8"/>
      <c r="AJ2" s="8" t="s">
        <v>101</v>
      </c>
      <c r="AK2" s="8"/>
      <c r="AL2" s="8" t="s">
        <v>102</v>
      </c>
      <c r="AM2" s="8"/>
      <c r="AN2" s="418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3" t="s">
        <v>107</v>
      </c>
      <c r="AS3" s="543" t="s">
        <v>108</v>
      </c>
      <c r="AT3" s="541" t="s">
        <v>109</v>
      </c>
      <c r="AU3" s="542"/>
      <c r="AV3" s="260"/>
      <c r="AW3" s="3"/>
      <c r="AX3" s="3"/>
      <c r="AY3" s="3"/>
      <c r="AZ3" s="3"/>
      <c r="BA3" s="3"/>
      <c r="BB3" s="3"/>
      <c r="BC3" s="3"/>
      <c r="BD3" s="3"/>
      <c r="BE3" s="13" t="s">
        <v>110</v>
      </c>
      <c r="BF3" s="13" t="s">
        <v>111</v>
      </c>
      <c r="BG3" s="13" t="s">
        <v>112</v>
      </c>
      <c r="BH3" s="12" t="s">
        <v>113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4"/>
      <c r="AS4" s="544"/>
      <c r="AT4" s="3" t="s">
        <v>71</v>
      </c>
      <c r="AU4" s="3" t="s">
        <v>114</v>
      </c>
      <c r="AV4" s="261"/>
      <c r="AW4" s="3" t="s">
        <v>115</v>
      </c>
      <c r="AX4" s="3" t="s">
        <v>116</v>
      </c>
      <c r="AY4" s="3"/>
      <c r="AZ4" s="93" t="s">
        <v>117</v>
      </c>
      <c r="BA4" s="93" t="s">
        <v>118</v>
      </c>
      <c r="BB4" s="93" t="s">
        <v>119</v>
      </c>
      <c r="BC4" s="3"/>
      <c r="BD4" s="3"/>
      <c r="BE4" s="13"/>
      <c r="BF4" s="13"/>
      <c r="BG4" s="13"/>
      <c r="BH4" s="11"/>
    </row>
    <row r="5" spans="1:63">
      <c r="A5" s="376">
        <f>[2]tanks!$A$36</f>
        <v>44957</v>
      </c>
      <c r="B5" s="437">
        <f>[2]tanks!B36</f>
        <v>236</v>
      </c>
      <c r="C5" s="437">
        <f>[2]tanks!C36</f>
        <v>5077.8064516129034</v>
      </c>
      <c r="D5" s="437">
        <f>[2]tanks!D36</f>
        <v>236</v>
      </c>
      <c r="E5" s="437">
        <f>[2]tanks!E36</f>
        <v>5077.8064516129034</v>
      </c>
      <c r="F5" s="437">
        <f>[2]tanks!F36</f>
        <v>236</v>
      </c>
      <c r="G5" s="437">
        <f>[2]tanks!G36</f>
        <v>5077.8064516129034</v>
      </c>
      <c r="H5" s="437">
        <f>[2]tanks!H36</f>
        <v>236</v>
      </c>
      <c r="I5" s="437">
        <f>[2]tanks!I36</f>
        <v>5077.8064516129034</v>
      </c>
      <c r="J5" s="437">
        <f>[2]tanks!J36</f>
        <v>236</v>
      </c>
      <c r="K5" s="437">
        <f>[2]tanks!K36</f>
        <v>5077.8064516129034</v>
      </c>
      <c r="L5" s="437">
        <f>[2]tanks!L36</f>
        <v>236</v>
      </c>
      <c r="M5" s="437">
        <f>[2]tanks!M36</f>
        <v>5077.8064516129034</v>
      </c>
      <c r="N5" s="437">
        <f>[2]tanks!N36</f>
        <v>236</v>
      </c>
      <c r="O5" s="437">
        <f>[2]tanks!O36</f>
        <v>5077.8064516129034</v>
      </c>
      <c r="P5" s="437">
        <f>[2]tanks!P36</f>
        <v>236</v>
      </c>
      <c r="Q5" s="437">
        <f>[2]tanks!Q36</f>
        <v>5077.8064516129034</v>
      </c>
      <c r="R5" s="437">
        <f>[2]tanks!R36</f>
        <v>236</v>
      </c>
      <c r="S5" s="437">
        <f>[2]tanks!S36</f>
        <v>5077.8064516129034</v>
      </c>
      <c r="T5" s="437">
        <f>[2]tanks!T36</f>
        <v>236</v>
      </c>
      <c r="U5" s="437">
        <f>[2]tanks!U36</f>
        <v>5077.8064516129034</v>
      </c>
      <c r="V5" s="437">
        <f>[2]tanks!V36</f>
        <v>236</v>
      </c>
      <c r="W5" s="437">
        <f>[2]tanks!W36</f>
        <v>5077.8064516129034</v>
      </c>
      <c r="X5" s="466">
        <f>[2]tanks!X36</f>
        <v>0.761290322580645</v>
      </c>
      <c r="Y5" s="437">
        <f>[2]tanks!Y36</f>
        <v>55855.870967741925</v>
      </c>
      <c r="Z5" s="437">
        <f>[2]tanks!Z36</f>
        <v>241</v>
      </c>
      <c r="AA5" s="437">
        <f>[2]tanks!AA36</f>
        <v>2410</v>
      </c>
      <c r="AB5" s="437">
        <f>[2]tanks!AB36</f>
        <v>241</v>
      </c>
      <c r="AC5" s="437">
        <f>[2]tanks!AC36</f>
        <v>2410</v>
      </c>
      <c r="AD5" s="437">
        <f>[2]tanks!AD36</f>
        <v>241</v>
      </c>
      <c r="AE5" s="437">
        <f>[2]tanks!AE36</f>
        <v>2410</v>
      </c>
      <c r="AF5" s="437">
        <f>[2]tanks!AF36</f>
        <v>241</v>
      </c>
      <c r="AG5" s="437">
        <f>[2]tanks!AG36</f>
        <v>2410</v>
      </c>
      <c r="AH5" s="437">
        <f>[2]tanks!AH36</f>
        <v>241</v>
      </c>
      <c r="AI5" s="437">
        <f>[2]tanks!AI36</f>
        <v>2410</v>
      </c>
      <c r="AJ5" s="437">
        <f>[2]tanks!AJ36</f>
        <v>241</v>
      </c>
      <c r="AK5" s="437">
        <f>[2]tanks!AK36</f>
        <v>2410</v>
      </c>
      <c r="AL5" s="437">
        <f>[2]tanks!AL36</f>
        <v>241</v>
      </c>
      <c r="AM5" s="437">
        <f>[2]tanks!AM36</f>
        <v>2410</v>
      </c>
      <c r="AN5" s="466">
        <f>[2]tanks!AN36</f>
        <v>0.86071428571428577</v>
      </c>
      <c r="AO5" s="437">
        <f>[2]tanks!AO36</f>
        <v>16870</v>
      </c>
      <c r="AP5" s="437"/>
      <c r="AQ5" s="466">
        <f>[2]tanks!AQ36</f>
        <v>0.78225095157300129</v>
      </c>
      <c r="AR5" s="437">
        <f>[2]tanks!AR36</f>
        <v>72725.870967741925</v>
      </c>
      <c r="AS5" s="437">
        <f>[2]tanks!AS36</f>
        <v>-1450.0483870967728</v>
      </c>
      <c r="AT5" s="437">
        <f>[2]tanks!AT36</f>
        <v>0</v>
      </c>
      <c r="AU5" s="437">
        <f>[2]tanks!AU36</f>
        <v>0</v>
      </c>
      <c r="AV5" s="437">
        <f>[2]tanks!AV36</f>
        <v>0.91500000000000004</v>
      </c>
      <c r="AW5" s="437">
        <f>[2]tanks!AW36</f>
        <v>-244</v>
      </c>
      <c r="AX5" s="437">
        <f>[2]tanks!AX36</f>
        <v>-1206.0483870967728</v>
      </c>
      <c r="AY5" s="437">
        <f>[2]tanks!AY36</f>
        <v>-1450.0483870967728</v>
      </c>
      <c r="AZ5" s="466">
        <f>[2]tanks!AZ36</f>
        <v>0</v>
      </c>
      <c r="BA5" s="437">
        <f>[2]tanks!BA36</f>
        <v>13.5</v>
      </c>
      <c r="BB5" s="466">
        <f>[2]tanks!BB36</f>
        <v>0.73</v>
      </c>
      <c r="BC5" s="437">
        <f>[2]tanks!BC36</f>
        <v>0</v>
      </c>
      <c r="BD5" s="437">
        <f>[2]tanks!BD36</f>
        <v>19225</v>
      </c>
      <c r="BE5" s="437" t="e">
        <f>[2]tanks!BE36</f>
        <v>#REF!</v>
      </c>
      <c r="BF5" s="437">
        <f>[2]tanks!BF36</f>
        <v>0</v>
      </c>
      <c r="BG5" s="437" t="e">
        <f>[2]tanks!BG36</f>
        <v>#REF!</v>
      </c>
      <c r="BH5" s="437">
        <f>[2]tanks!BH36</f>
        <v>0</v>
      </c>
      <c r="BI5" s="437">
        <f>[2]tanks!BI36</f>
        <v>23</v>
      </c>
      <c r="BJ5" s="437">
        <f>[2]tanks!BJ36</f>
        <v>-52.436886395511863</v>
      </c>
      <c r="BK5" s="437">
        <f>[2]tanks!BK36</f>
        <v>0.18624999999995936</v>
      </c>
    </row>
    <row r="6" spans="1:63">
      <c r="A6" s="376">
        <f>ELEC!C4</f>
        <v>44958</v>
      </c>
      <c r="B6" s="437">
        <f>'B5'!B5</f>
        <v>230</v>
      </c>
      <c r="C6" s="192">
        <f>B6*$B$4</f>
        <v>4948.7096774193551</v>
      </c>
      <c r="D6">
        <f>SUM(B6)</f>
        <v>230</v>
      </c>
      <c r="E6" s="192">
        <f>D6*$B$4</f>
        <v>4948.7096774193551</v>
      </c>
      <c r="F6">
        <f>SUM(D6)</f>
        <v>230</v>
      </c>
      <c r="G6" s="192">
        <f t="shared" ref="G6:G33" si="1">F6*$B$4</f>
        <v>4948.7096774193551</v>
      </c>
      <c r="H6" s="192">
        <f>SUM(F6)</f>
        <v>230</v>
      </c>
      <c r="I6" s="192">
        <f t="shared" ref="I6:I33" si="2">H6*$B$4</f>
        <v>4948.7096774193551</v>
      </c>
      <c r="J6" s="192">
        <f>SUM(H6)</f>
        <v>230</v>
      </c>
      <c r="K6" s="192">
        <f t="shared" ref="K6:K33" si="3">J6*$B$4</f>
        <v>4948.7096774193551</v>
      </c>
      <c r="L6" s="192">
        <f>SUM(J6)</f>
        <v>230</v>
      </c>
      <c r="M6" s="192">
        <f t="shared" ref="M6:M33" si="4">L6*$B$4</f>
        <v>4948.7096774193551</v>
      </c>
      <c r="N6" s="192">
        <f>SUM(L6)</f>
        <v>230</v>
      </c>
      <c r="O6" s="192">
        <f t="shared" ref="O6:O33" si="5">N6*$B$4</f>
        <v>4948.7096774193551</v>
      </c>
      <c r="P6" s="192">
        <f>SUM(N6)</f>
        <v>230</v>
      </c>
      <c r="Q6" s="192">
        <f t="shared" ref="Q6:Q33" si="6">P6*$B$4</f>
        <v>4948.7096774193551</v>
      </c>
      <c r="R6" s="192">
        <f>SUM(P6)</f>
        <v>230</v>
      </c>
      <c r="S6" s="192">
        <f t="shared" ref="S6:S33" si="7">R6*$B$4</f>
        <v>4948.7096774193551</v>
      </c>
      <c r="T6" s="192">
        <f>SUM(R6)</f>
        <v>230</v>
      </c>
      <c r="U6" s="192">
        <f t="shared" ref="U6:U33" si="8">T6*$B$4</f>
        <v>4948.7096774193551</v>
      </c>
      <c r="V6" s="192">
        <f>SUM(T6)</f>
        <v>230</v>
      </c>
      <c r="W6" s="192">
        <f t="shared" ref="W6:W33" si="9">V6*$B$4</f>
        <v>4948.7096774193551</v>
      </c>
      <c r="X6" s="34">
        <f>SUM(Y6/73370)</f>
        <v>0.74193548387096786</v>
      </c>
      <c r="Y6" s="35">
        <f>SUM(C6+E6+G6+I6+K6+M6+O6+Q6+S6+U6+W6)</f>
        <v>54435.806451612909</v>
      </c>
      <c r="Z6" s="437">
        <f>'B5'!C5</f>
        <v>236</v>
      </c>
      <c r="AA6" s="192">
        <f>SUM(Z6*$Z$4)</f>
        <v>2360</v>
      </c>
      <c r="AB6" s="192">
        <f>SUM(Z6)</f>
        <v>236</v>
      </c>
      <c r="AC6" s="192">
        <f>SUM(AB6*$Z$4)</f>
        <v>2360</v>
      </c>
      <c r="AD6" s="192">
        <f>SUM(AB6)</f>
        <v>236</v>
      </c>
      <c r="AE6" s="192">
        <f t="shared" ref="AE6:AE33" si="10">SUM(AD6*$Z$4)</f>
        <v>2360</v>
      </c>
      <c r="AF6" s="192">
        <f>SUM(AD6)</f>
        <v>236</v>
      </c>
      <c r="AG6" s="192">
        <f t="shared" ref="AG6:AG33" si="11">SUM(AF6*$Z$4)</f>
        <v>2360</v>
      </c>
      <c r="AH6" s="192">
        <f>SUM(AF6)</f>
        <v>236</v>
      </c>
      <c r="AI6" s="192">
        <f t="shared" ref="AI6:AI33" si="12">SUM(AH6*$Z$4)</f>
        <v>2360</v>
      </c>
      <c r="AJ6" s="192">
        <f>SUM(AH6)</f>
        <v>236</v>
      </c>
      <c r="AK6" s="192">
        <f t="shared" ref="AK6:AK33" si="13">SUM(AJ6*$Z$4)</f>
        <v>2360</v>
      </c>
      <c r="AL6" s="192">
        <f>SUM(AJ6)</f>
        <v>236</v>
      </c>
      <c r="AM6" s="192">
        <f t="shared" ref="AM6:AM33" si="14">SUM(AL6*$Z$4)</f>
        <v>2360</v>
      </c>
      <c r="AN6" s="34">
        <f t="shared" ref="AN6:AN29" si="15">SUM(AO6/19600)</f>
        <v>0.84285714285714286</v>
      </c>
      <c r="AO6" s="35">
        <f>SUM(AA6+AC6+AE6+AG6+AI6+AK6+AM6)</f>
        <v>16520</v>
      </c>
      <c r="AQ6" s="208">
        <f>SUM(AR6/92970)</f>
        <v>0.76321185814362602</v>
      </c>
      <c r="AR6" s="37">
        <f>Y6+AO6</f>
        <v>70955.806451612909</v>
      </c>
      <c r="AS6" s="186">
        <f>SUM(AR6-AR5-AT6)</f>
        <v>-1770.0645161290158</v>
      </c>
      <c r="AT6" s="300"/>
      <c r="AU6" s="472"/>
      <c r="AV6" s="429">
        <f>IF(AT6&gt;0,AU6,AV5)</f>
        <v>0.91500000000000004</v>
      </c>
      <c r="AW6" s="250">
        <f>-SUM('B5'!AI5)</f>
        <v>-49</v>
      </c>
      <c r="AX6" s="250">
        <f>-SUM(AW6-AS6)</f>
        <v>-1721.0645161290158</v>
      </c>
      <c r="AY6" s="36">
        <f>SUM(AX6+AW6)</f>
        <v>-1770.0645161290158</v>
      </c>
      <c r="AZ6" s="96">
        <f>ELEC!A4</f>
        <v>0</v>
      </c>
      <c r="BA6" s="114">
        <f>'General information '!D5</f>
        <v>13</v>
      </c>
      <c r="BB6" s="193">
        <f>SUM('General information '!E5)</f>
        <v>0.55000000000000004</v>
      </c>
      <c r="BC6" s="3">
        <f>IF(AR3&gt;=AR6,0,1)</f>
        <v>0</v>
      </c>
      <c r="BD6" s="98">
        <v>19222</v>
      </c>
      <c r="BE6" s="14">
        <f>(305/1185)*ELEC!Q5</f>
        <v>733.28691983079671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-143.42204301075131</v>
      </c>
      <c r="BK6" s="466"/>
    </row>
    <row r="7" spans="1:63">
      <c r="A7" s="376">
        <f>ELEC!C5</f>
        <v>44959</v>
      </c>
      <c r="B7" s="437">
        <f>'B5'!B6</f>
        <v>226</v>
      </c>
      <c r="C7" s="192">
        <f t="shared" ref="C7:E33" si="16">B7*$B$4</f>
        <v>4862.6451612903229</v>
      </c>
      <c r="D7">
        <f t="shared" ref="D7:D29" si="17">SUM(B7)</f>
        <v>226</v>
      </c>
      <c r="E7" s="192">
        <f t="shared" si="16"/>
        <v>4862.6451612903229</v>
      </c>
      <c r="F7">
        <f t="shared" ref="F7:F29" si="18">SUM(D7)</f>
        <v>226</v>
      </c>
      <c r="G7" s="192">
        <f t="shared" si="1"/>
        <v>4862.6451612903229</v>
      </c>
      <c r="H7" s="192">
        <f t="shared" ref="H7:H29" si="19">SUM(F7)</f>
        <v>226</v>
      </c>
      <c r="I7" s="192">
        <f t="shared" si="2"/>
        <v>4862.6451612903229</v>
      </c>
      <c r="J7" s="192">
        <f t="shared" ref="J7:J29" si="20">SUM(H7)</f>
        <v>226</v>
      </c>
      <c r="K7" s="192">
        <f t="shared" si="3"/>
        <v>4862.6451612903229</v>
      </c>
      <c r="L7" s="192">
        <f t="shared" ref="L7:L29" si="21">SUM(J7)</f>
        <v>226</v>
      </c>
      <c r="M7" s="192">
        <f t="shared" si="4"/>
        <v>4862.6451612903229</v>
      </c>
      <c r="N7" s="192">
        <f t="shared" ref="N7:N29" si="22">SUM(L7)</f>
        <v>226</v>
      </c>
      <c r="O7" s="192">
        <f t="shared" si="5"/>
        <v>4862.6451612903229</v>
      </c>
      <c r="P7" s="192">
        <f t="shared" ref="P7:P29" si="23">SUM(N7)</f>
        <v>226</v>
      </c>
      <c r="Q7" s="192">
        <f t="shared" si="6"/>
        <v>4862.6451612903229</v>
      </c>
      <c r="R7" s="192">
        <f t="shared" ref="R7:R29" si="24">SUM(P7)</f>
        <v>226</v>
      </c>
      <c r="S7" s="192">
        <f t="shared" si="7"/>
        <v>4862.6451612903229</v>
      </c>
      <c r="T7" s="192">
        <f t="shared" ref="T7:T29" si="25">SUM(R7)</f>
        <v>226</v>
      </c>
      <c r="U7" s="192">
        <f t="shared" si="8"/>
        <v>4862.6451612903229</v>
      </c>
      <c r="V7" s="192">
        <f t="shared" ref="V7:V29" si="26">SUM(T7)</f>
        <v>226</v>
      </c>
      <c r="W7" s="192">
        <f t="shared" si="9"/>
        <v>4862.6451612903229</v>
      </c>
      <c r="X7" s="34">
        <f t="shared" ref="X7:X29" si="27">SUM(Y7/73370)</f>
        <v>0.72903225806451633</v>
      </c>
      <c r="Y7" s="35">
        <f t="shared" ref="Y7:Y29" si="28">SUM(C7+E7+G7+I7+K7+M7+O7+Q7+S7+U7+W7)</f>
        <v>53489.09677419356</v>
      </c>
      <c r="Z7" s="437">
        <f>'B5'!C6</f>
        <v>232</v>
      </c>
      <c r="AA7" s="192">
        <f t="shared" ref="AA7:AC33" si="29">SUM(Z7*$Z$4)</f>
        <v>2320</v>
      </c>
      <c r="AB7" s="192">
        <f t="shared" ref="AB7:AB29" si="30">SUM(Z7)</f>
        <v>232</v>
      </c>
      <c r="AC7" s="192">
        <f t="shared" si="29"/>
        <v>2320</v>
      </c>
      <c r="AD7" s="192">
        <f t="shared" ref="AD7:AD29" si="31">SUM(AB7)</f>
        <v>232</v>
      </c>
      <c r="AE7" s="192">
        <f t="shared" si="10"/>
        <v>2320</v>
      </c>
      <c r="AF7" s="192">
        <f t="shared" ref="AF7:AF29" si="32">SUM(AD7)</f>
        <v>232</v>
      </c>
      <c r="AG7" s="192">
        <f t="shared" si="11"/>
        <v>2320</v>
      </c>
      <c r="AH7" s="192">
        <f t="shared" ref="AH7:AH29" si="33">SUM(AF7)</f>
        <v>232</v>
      </c>
      <c r="AI7" s="192">
        <f t="shared" si="12"/>
        <v>2320</v>
      </c>
      <c r="AJ7" s="192">
        <f t="shared" ref="AJ7:AJ29" si="34">SUM(AH7)</f>
        <v>232</v>
      </c>
      <c r="AK7" s="192">
        <f t="shared" si="13"/>
        <v>2320</v>
      </c>
      <c r="AL7" s="192">
        <f t="shared" ref="AL7:AL29" si="35">SUM(AJ7)</f>
        <v>232</v>
      </c>
      <c r="AM7" s="192">
        <f t="shared" si="14"/>
        <v>2320</v>
      </c>
      <c r="AN7" s="34">
        <f>SUM(AO7/19600)</f>
        <v>0.82857142857142863</v>
      </c>
      <c r="AO7" s="35">
        <f>SUM(AA7+AC7+AE7+AG7+AI7+AK7+AM7)</f>
        <v>16240</v>
      </c>
      <c r="AQ7" s="208">
        <f>SUM(AR7/92970)</f>
        <v>0.75001717515535726</v>
      </c>
      <c r="AR7" s="37">
        <f>Y7+AO7</f>
        <v>69729.09677419356</v>
      </c>
      <c r="AS7" s="186">
        <f>SUM(AR7-AR6-AT7)</f>
        <v>-1226.7096774193487</v>
      </c>
      <c r="AT7" s="300"/>
      <c r="AU7" s="472"/>
      <c r="AV7" s="429">
        <f>IF(AT7&gt;0,AU7,AV6)</f>
        <v>0.91500000000000004</v>
      </c>
      <c r="AW7" s="250">
        <f>-SUM('B5'!AI6)</f>
        <v>-548</v>
      </c>
      <c r="AX7" s="250">
        <f t="shared" ref="AX7:AX33" si="36">-SUM(AW7-AS7)</f>
        <v>-678.70967741934874</v>
      </c>
      <c r="AY7" s="36">
        <f t="shared" ref="AY7:AY33" si="37">SUM(AX7+AW7)</f>
        <v>-1226.7096774193487</v>
      </c>
      <c r="AZ7" s="96">
        <f>ELEC!A5</f>
        <v>0</v>
      </c>
      <c r="BA7" s="114">
        <f>'General information '!D6</f>
        <v>13.5</v>
      </c>
      <c r="BB7" s="193">
        <f>SUM('General information '!E6)</f>
        <v>0.53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-45.24731182795658</v>
      </c>
      <c r="BK7" s="466"/>
    </row>
    <row r="8" spans="1:63">
      <c r="A8" s="376">
        <f>ELEC!C6</f>
        <v>44960</v>
      </c>
      <c r="B8" s="437">
        <f>'B5'!B7</f>
        <v>226</v>
      </c>
      <c r="C8" s="192">
        <f t="shared" si="16"/>
        <v>4862.6451612903229</v>
      </c>
      <c r="D8">
        <f t="shared" si="17"/>
        <v>226</v>
      </c>
      <c r="E8" s="192">
        <f t="shared" si="16"/>
        <v>4862.6451612903229</v>
      </c>
      <c r="F8">
        <f t="shared" si="18"/>
        <v>226</v>
      </c>
      <c r="G8" s="192">
        <f t="shared" si="1"/>
        <v>4862.6451612903229</v>
      </c>
      <c r="H8" s="192">
        <f t="shared" si="19"/>
        <v>226</v>
      </c>
      <c r="I8" s="192">
        <f t="shared" si="2"/>
        <v>4862.6451612903229</v>
      </c>
      <c r="J8" s="192">
        <f t="shared" si="20"/>
        <v>226</v>
      </c>
      <c r="K8" s="192">
        <f t="shared" si="3"/>
        <v>4862.6451612903229</v>
      </c>
      <c r="L8" s="192">
        <f t="shared" si="21"/>
        <v>226</v>
      </c>
      <c r="M8" s="192">
        <f t="shared" si="4"/>
        <v>4862.6451612903229</v>
      </c>
      <c r="N8" s="192">
        <f t="shared" si="22"/>
        <v>226</v>
      </c>
      <c r="O8" s="192">
        <f t="shared" si="5"/>
        <v>4862.6451612903229</v>
      </c>
      <c r="P8" s="192">
        <f t="shared" si="23"/>
        <v>226</v>
      </c>
      <c r="Q8" s="192">
        <f t="shared" si="6"/>
        <v>4862.6451612903229</v>
      </c>
      <c r="R8" s="192">
        <f t="shared" si="24"/>
        <v>226</v>
      </c>
      <c r="S8" s="192">
        <f t="shared" si="7"/>
        <v>4862.6451612903229</v>
      </c>
      <c r="T8" s="192">
        <f t="shared" si="25"/>
        <v>226</v>
      </c>
      <c r="U8" s="192">
        <f t="shared" si="8"/>
        <v>4862.6451612903229</v>
      </c>
      <c r="V8" s="192">
        <f t="shared" si="26"/>
        <v>226</v>
      </c>
      <c r="W8" s="192">
        <f t="shared" si="9"/>
        <v>4862.6451612903229</v>
      </c>
      <c r="X8" s="34">
        <f t="shared" si="27"/>
        <v>0.72903225806451633</v>
      </c>
      <c r="Y8" s="35">
        <f t="shared" si="28"/>
        <v>53489.09677419356</v>
      </c>
      <c r="Z8" s="437">
        <f>'B5'!C7</f>
        <v>232</v>
      </c>
      <c r="AA8" s="192">
        <f t="shared" si="29"/>
        <v>2320</v>
      </c>
      <c r="AB8" s="192">
        <f t="shared" si="30"/>
        <v>232</v>
      </c>
      <c r="AC8" s="192">
        <f t="shared" si="29"/>
        <v>2320</v>
      </c>
      <c r="AD8" s="192">
        <f t="shared" si="31"/>
        <v>232</v>
      </c>
      <c r="AE8" s="192">
        <f t="shared" si="10"/>
        <v>2320</v>
      </c>
      <c r="AF8" s="192">
        <f t="shared" si="32"/>
        <v>232</v>
      </c>
      <c r="AG8" s="192">
        <f t="shared" si="11"/>
        <v>2320</v>
      </c>
      <c r="AH8" s="192">
        <f t="shared" si="33"/>
        <v>232</v>
      </c>
      <c r="AI8" s="192">
        <f t="shared" si="12"/>
        <v>2320</v>
      </c>
      <c r="AJ8" s="192">
        <f t="shared" si="34"/>
        <v>232</v>
      </c>
      <c r="AK8" s="192">
        <f t="shared" si="13"/>
        <v>2320</v>
      </c>
      <c r="AL8" s="192">
        <f t="shared" si="35"/>
        <v>232</v>
      </c>
      <c r="AM8" s="192">
        <f t="shared" si="14"/>
        <v>2320</v>
      </c>
      <c r="AN8" s="34">
        <f t="shared" si="15"/>
        <v>0.82857142857142863</v>
      </c>
      <c r="AO8" s="35">
        <f t="shared" ref="AO8:AO29" si="39">SUM(AA8+AC8+AE8+AG8+AI8+AK8+AM8)</f>
        <v>16240</v>
      </c>
      <c r="AQ8" s="208">
        <f t="shared" ref="AQ8:AQ33" si="40">SUM(AR8/92970)</f>
        <v>0.75001717515535726</v>
      </c>
      <c r="AR8" s="37">
        <f t="shared" ref="AR8:AR34" si="41">Y8+AO8</f>
        <v>69729.09677419356</v>
      </c>
      <c r="AS8" s="186">
        <f t="shared" ref="AS8:AS20" si="42">SUM(AR8-AR7-AT8)</f>
        <v>0</v>
      </c>
      <c r="AT8" s="300"/>
      <c r="AU8" s="472"/>
      <c r="AV8" s="429">
        <f t="shared" ref="AV8:AV14" si="43">IF(AT8&gt;0,AU8,AV7)</f>
        <v>0.91500000000000004</v>
      </c>
      <c r="AW8" s="250">
        <f>-SUM('B5'!AI7)</f>
        <v>-0.59999999997671694</v>
      </c>
      <c r="AX8" s="250">
        <f t="shared" si="36"/>
        <v>0.59999999997671694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6.6666666664079666E-2</v>
      </c>
      <c r="BK8" s="466" t="e">
        <f>GEN!AF5</f>
        <v>#DIV/0!</v>
      </c>
    </row>
    <row r="9" spans="1:63">
      <c r="A9" s="376">
        <f>ELEC!C7</f>
        <v>44961</v>
      </c>
      <c r="B9" s="437">
        <f>'B5'!B8</f>
        <v>226</v>
      </c>
      <c r="C9" s="192">
        <f t="shared" si="16"/>
        <v>4862.6451612903229</v>
      </c>
      <c r="D9">
        <f t="shared" si="17"/>
        <v>226</v>
      </c>
      <c r="E9" s="192">
        <f t="shared" si="16"/>
        <v>4862.6451612903229</v>
      </c>
      <c r="F9">
        <f t="shared" si="18"/>
        <v>226</v>
      </c>
      <c r="G9" s="192">
        <f t="shared" si="1"/>
        <v>4862.6451612903229</v>
      </c>
      <c r="H9" s="192">
        <f t="shared" si="19"/>
        <v>226</v>
      </c>
      <c r="I9" s="192">
        <f t="shared" si="2"/>
        <v>4862.6451612903229</v>
      </c>
      <c r="J9" s="192">
        <f t="shared" si="20"/>
        <v>226</v>
      </c>
      <c r="K9" s="192">
        <f t="shared" si="3"/>
        <v>4862.6451612903229</v>
      </c>
      <c r="L9" s="192">
        <f t="shared" si="21"/>
        <v>226</v>
      </c>
      <c r="M9" s="192">
        <f t="shared" si="4"/>
        <v>4862.6451612903229</v>
      </c>
      <c r="N9" s="192">
        <f t="shared" si="22"/>
        <v>226</v>
      </c>
      <c r="O9" s="192">
        <f t="shared" si="5"/>
        <v>4862.6451612903229</v>
      </c>
      <c r="P9" s="192">
        <f t="shared" si="23"/>
        <v>226</v>
      </c>
      <c r="Q9" s="192">
        <f t="shared" si="6"/>
        <v>4862.6451612903229</v>
      </c>
      <c r="R9" s="192">
        <f t="shared" si="24"/>
        <v>226</v>
      </c>
      <c r="S9" s="192">
        <f t="shared" si="7"/>
        <v>4862.6451612903229</v>
      </c>
      <c r="T9" s="192">
        <f t="shared" si="25"/>
        <v>226</v>
      </c>
      <c r="U9" s="192">
        <f t="shared" si="8"/>
        <v>4862.6451612903229</v>
      </c>
      <c r="V9" s="192">
        <f t="shared" si="26"/>
        <v>226</v>
      </c>
      <c r="W9" s="192">
        <f t="shared" si="9"/>
        <v>4862.6451612903229</v>
      </c>
      <c r="X9" s="34">
        <f t="shared" si="27"/>
        <v>0.72903225806451633</v>
      </c>
      <c r="Y9" s="35">
        <f t="shared" si="28"/>
        <v>53489.09677419356</v>
      </c>
      <c r="Z9" s="437">
        <f>'B5'!C8</f>
        <v>232</v>
      </c>
      <c r="AA9" s="192">
        <f t="shared" si="29"/>
        <v>2320</v>
      </c>
      <c r="AB9" s="192">
        <f t="shared" si="30"/>
        <v>232</v>
      </c>
      <c r="AC9" s="192">
        <f t="shared" si="29"/>
        <v>2320</v>
      </c>
      <c r="AD9" s="192">
        <f t="shared" si="31"/>
        <v>232</v>
      </c>
      <c r="AE9" s="192">
        <f t="shared" si="10"/>
        <v>2320</v>
      </c>
      <c r="AF9" s="192">
        <f t="shared" si="32"/>
        <v>232</v>
      </c>
      <c r="AG9" s="192">
        <f t="shared" si="11"/>
        <v>2320</v>
      </c>
      <c r="AH9" s="192">
        <f t="shared" si="33"/>
        <v>232</v>
      </c>
      <c r="AI9" s="192">
        <f t="shared" si="12"/>
        <v>2320</v>
      </c>
      <c r="AJ9" s="192">
        <f t="shared" si="34"/>
        <v>232</v>
      </c>
      <c r="AK9" s="192">
        <f t="shared" si="13"/>
        <v>2320</v>
      </c>
      <c r="AL9" s="192">
        <f t="shared" si="35"/>
        <v>232</v>
      </c>
      <c r="AM9" s="192">
        <f t="shared" si="14"/>
        <v>2320</v>
      </c>
      <c r="AN9" s="34">
        <f t="shared" si="15"/>
        <v>0.82857142857142863</v>
      </c>
      <c r="AO9" s="35">
        <f>SUM(AA9+AC9+AE9+AG9+AI9+AK9+AM9)</f>
        <v>16240</v>
      </c>
      <c r="AQ9" s="208">
        <f t="shared" si="40"/>
        <v>0.75001717515535726</v>
      </c>
      <c r="AR9" s="37">
        <f t="shared" si="41"/>
        <v>69729.09677419356</v>
      </c>
      <c r="AS9" s="186">
        <f>SUM(AR9-AR8-AT9)</f>
        <v>0</v>
      </c>
      <c r="AT9" s="300"/>
      <c r="AU9" s="472"/>
      <c r="AV9" s="429">
        <f t="shared" si="43"/>
        <v>0.91500000000000004</v>
      </c>
      <c r="AW9" s="250">
        <f>-SUM('B5'!AI8)</f>
        <v>0</v>
      </c>
      <c r="AX9" s="250">
        <f t="shared" si="36"/>
        <v>0</v>
      </c>
      <c r="AY9" s="36">
        <f t="shared" si="37"/>
        <v>0</v>
      </c>
      <c r="AZ9" s="96">
        <f>ELEC!A7</f>
        <v>0</v>
      </c>
      <c r="BA9" s="114">
        <f>'General information '!D8</f>
        <v>0</v>
      </c>
      <c r="BB9" s="193">
        <f>SUM('General information '!E8)</f>
        <v>0</v>
      </c>
      <c r="BC9" s="3">
        <f t="shared" si="44"/>
        <v>0</v>
      </c>
      <c r="BD9" s="98">
        <v>19222</v>
      </c>
      <c r="BE9" s="14">
        <f>(305/1185)*ELEC!Q8</f>
        <v>721.44725738393629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466" t="e">
        <f>GEN!AF6</f>
        <v>#DIV/0!</v>
      </c>
    </row>
    <row r="10" spans="1:63">
      <c r="A10" s="376">
        <f>ELEC!C8</f>
        <v>44962</v>
      </c>
      <c r="B10" s="437">
        <f>'B5'!B9</f>
        <v>222</v>
      </c>
      <c r="C10" s="192">
        <f t="shared" si="16"/>
        <v>4776.5806451612898</v>
      </c>
      <c r="D10">
        <f t="shared" si="17"/>
        <v>222</v>
      </c>
      <c r="E10" s="192">
        <f t="shared" si="16"/>
        <v>4776.5806451612898</v>
      </c>
      <c r="F10">
        <f t="shared" si="18"/>
        <v>222</v>
      </c>
      <c r="G10" s="192">
        <f t="shared" si="1"/>
        <v>4776.5806451612898</v>
      </c>
      <c r="H10" s="192">
        <f t="shared" si="19"/>
        <v>222</v>
      </c>
      <c r="I10" s="192">
        <f t="shared" si="2"/>
        <v>4776.5806451612898</v>
      </c>
      <c r="J10" s="192">
        <f t="shared" si="20"/>
        <v>222</v>
      </c>
      <c r="K10" s="192">
        <f t="shared" si="3"/>
        <v>4776.5806451612898</v>
      </c>
      <c r="L10" s="192">
        <f t="shared" si="21"/>
        <v>222</v>
      </c>
      <c r="M10" s="192">
        <f t="shared" si="4"/>
        <v>4776.5806451612898</v>
      </c>
      <c r="N10" s="192">
        <f t="shared" si="22"/>
        <v>222</v>
      </c>
      <c r="O10" s="192">
        <f t="shared" si="5"/>
        <v>4776.5806451612898</v>
      </c>
      <c r="P10" s="192">
        <f t="shared" si="23"/>
        <v>222</v>
      </c>
      <c r="Q10" s="192">
        <f t="shared" si="6"/>
        <v>4776.5806451612898</v>
      </c>
      <c r="R10" s="192">
        <f t="shared" si="24"/>
        <v>222</v>
      </c>
      <c r="S10" s="192">
        <f t="shared" si="7"/>
        <v>4776.5806451612898</v>
      </c>
      <c r="T10" s="192">
        <f t="shared" si="25"/>
        <v>222</v>
      </c>
      <c r="U10" s="192">
        <f t="shared" si="8"/>
        <v>4776.5806451612898</v>
      </c>
      <c r="V10" s="192">
        <f t="shared" si="26"/>
        <v>222</v>
      </c>
      <c r="W10" s="192">
        <f t="shared" si="9"/>
        <v>4776.5806451612898</v>
      </c>
      <c r="X10" s="34">
        <f t="shared" si="27"/>
        <v>0.71612903225806424</v>
      </c>
      <c r="Y10" s="35">
        <f t="shared" si="28"/>
        <v>52542.387096774175</v>
      </c>
      <c r="Z10" s="437">
        <f>'B5'!C9</f>
        <v>228</v>
      </c>
      <c r="AA10" s="192">
        <f t="shared" si="29"/>
        <v>2280</v>
      </c>
      <c r="AB10" s="192">
        <f t="shared" si="30"/>
        <v>228</v>
      </c>
      <c r="AC10" s="192">
        <f t="shared" si="29"/>
        <v>2280</v>
      </c>
      <c r="AD10" s="192">
        <f t="shared" si="31"/>
        <v>228</v>
      </c>
      <c r="AE10" s="192">
        <f t="shared" si="10"/>
        <v>2280</v>
      </c>
      <c r="AF10" s="192">
        <f t="shared" si="32"/>
        <v>228</v>
      </c>
      <c r="AG10" s="192">
        <f t="shared" si="11"/>
        <v>2280</v>
      </c>
      <c r="AH10" s="192">
        <f t="shared" si="33"/>
        <v>228</v>
      </c>
      <c r="AI10" s="192">
        <f t="shared" si="12"/>
        <v>2280</v>
      </c>
      <c r="AJ10" s="192">
        <f t="shared" si="34"/>
        <v>228</v>
      </c>
      <c r="AK10" s="192">
        <f t="shared" si="13"/>
        <v>2280</v>
      </c>
      <c r="AL10" s="192">
        <f t="shared" si="35"/>
        <v>228</v>
      </c>
      <c r="AM10" s="192">
        <f t="shared" si="14"/>
        <v>2280</v>
      </c>
      <c r="AN10" s="34">
        <f t="shared" si="15"/>
        <v>0.81428571428571428</v>
      </c>
      <c r="AO10" s="35">
        <f t="shared" si="39"/>
        <v>15960</v>
      </c>
      <c r="AQ10" s="208">
        <f t="shared" si="40"/>
        <v>0.73682249216708817</v>
      </c>
      <c r="AR10" s="37">
        <f t="shared" si="41"/>
        <v>68502.387096774182</v>
      </c>
      <c r="AS10" s="186">
        <f>SUM(AR10-AR9-AT10)</f>
        <v>-1226.7096774193778</v>
      </c>
      <c r="AT10" s="300"/>
      <c r="AU10" s="472"/>
      <c r="AV10" s="429">
        <f>IF(AT10&gt;0,AU10,AV9)</f>
        <v>0.91500000000000004</v>
      </c>
      <c r="AW10" s="250">
        <f>-SUM('B5'!AI9)</f>
        <v>-203</v>
      </c>
      <c r="AX10" s="250">
        <f t="shared" si="36"/>
        <v>-1023.7096774193778</v>
      </c>
      <c r="AY10" s="36">
        <f t="shared" si="37"/>
        <v>-1226.7096774193778</v>
      </c>
      <c r="AZ10" s="96">
        <f>ELEC!A8</f>
        <v>0</v>
      </c>
      <c r="BA10" s="114">
        <f>'General information '!D9</f>
        <v>11.5</v>
      </c>
      <c r="BB10" s="193">
        <f>SUM('General information '!E9)</f>
        <v>0.63</v>
      </c>
      <c r="BC10" s="3">
        <f t="shared" si="44"/>
        <v>0</v>
      </c>
      <c r="BD10" s="98">
        <v>19222</v>
      </c>
      <c r="BE10" s="14">
        <f>(305/1185)*ELEC!Q9</f>
        <v>860.69198312261017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-146.2442396313397</v>
      </c>
      <c r="BK10" s="466">
        <f>GEN!AF7</f>
        <v>0.14598958333332726</v>
      </c>
    </row>
    <row r="11" spans="1:63">
      <c r="A11" s="376">
        <f>ELEC!C9</f>
        <v>44963</v>
      </c>
      <c r="B11" s="437">
        <f>'B5'!B10</f>
        <v>217</v>
      </c>
      <c r="C11" s="192">
        <f t="shared" si="16"/>
        <v>4669</v>
      </c>
      <c r="D11">
        <f>SUM(B11)</f>
        <v>217</v>
      </c>
      <c r="E11" s="192">
        <f t="shared" si="16"/>
        <v>4669</v>
      </c>
      <c r="F11">
        <f>SUM(D11)</f>
        <v>217</v>
      </c>
      <c r="G11" s="192">
        <f t="shared" si="1"/>
        <v>4669</v>
      </c>
      <c r="H11" s="192">
        <f>SUM(F11)</f>
        <v>217</v>
      </c>
      <c r="I11" s="192">
        <f t="shared" si="2"/>
        <v>4669</v>
      </c>
      <c r="J11" s="192">
        <f>SUM(H11)</f>
        <v>217</v>
      </c>
      <c r="K11" s="192">
        <f t="shared" si="3"/>
        <v>4669</v>
      </c>
      <c r="L11" s="192">
        <f>SUM(J11)</f>
        <v>217</v>
      </c>
      <c r="M11" s="192">
        <f t="shared" si="4"/>
        <v>4669</v>
      </c>
      <c r="N11" s="192">
        <f>SUM(L11)</f>
        <v>217</v>
      </c>
      <c r="O11" s="192">
        <f t="shared" si="5"/>
        <v>4669</v>
      </c>
      <c r="P11" s="192">
        <f>SUM(N11)</f>
        <v>217</v>
      </c>
      <c r="Q11" s="192">
        <f t="shared" si="6"/>
        <v>4669</v>
      </c>
      <c r="R11" s="192">
        <f>SUM(P11)</f>
        <v>217</v>
      </c>
      <c r="S11" s="192">
        <f t="shared" si="7"/>
        <v>4669</v>
      </c>
      <c r="T11" s="192">
        <f>SUM(R11)</f>
        <v>217</v>
      </c>
      <c r="U11" s="192">
        <f t="shared" si="8"/>
        <v>4669</v>
      </c>
      <c r="V11" s="192">
        <f>SUM(T11)</f>
        <v>217</v>
      </c>
      <c r="W11" s="192">
        <f t="shared" si="9"/>
        <v>4669</v>
      </c>
      <c r="X11" s="34">
        <f>SUM(Y11/73370)</f>
        <v>0.7</v>
      </c>
      <c r="Y11" s="35">
        <f>SUM(C11+E11+G11+I11+K11+M11+O11+Q11+S11+U11+W11)</f>
        <v>51359</v>
      </c>
      <c r="Z11" s="437">
        <f>'B5'!C10</f>
        <v>223</v>
      </c>
      <c r="AA11" s="192">
        <f t="shared" si="29"/>
        <v>2230</v>
      </c>
      <c r="AB11" s="192">
        <f>SUM(Z11)</f>
        <v>223</v>
      </c>
      <c r="AC11" s="192">
        <f t="shared" si="29"/>
        <v>2230</v>
      </c>
      <c r="AD11" s="192">
        <f>SUM(AB11)</f>
        <v>223</v>
      </c>
      <c r="AE11" s="192">
        <f t="shared" si="10"/>
        <v>2230</v>
      </c>
      <c r="AF11" s="192">
        <f>SUM(AD11)</f>
        <v>223</v>
      </c>
      <c r="AG11" s="192">
        <f t="shared" si="11"/>
        <v>2230</v>
      </c>
      <c r="AH11" s="192">
        <f>SUM(AF11)</f>
        <v>223</v>
      </c>
      <c r="AI11" s="192">
        <f t="shared" si="12"/>
        <v>2230</v>
      </c>
      <c r="AJ11" s="192">
        <f>SUM(AH11)</f>
        <v>223</v>
      </c>
      <c r="AK11" s="192">
        <f t="shared" si="13"/>
        <v>2230</v>
      </c>
      <c r="AL11" s="192">
        <f>SUM(AJ11)</f>
        <v>223</v>
      </c>
      <c r="AM11" s="192">
        <f t="shared" si="14"/>
        <v>2230</v>
      </c>
      <c r="AN11" s="34">
        <f>SUM(AO11/19600)</f>
        <v>0.79642857142857137</v>
      </c>
      <c r="AO11" s="35">
        <f t="shared" si="39"/>
        <v>15610</v>
      </c>
      <c r="AP11" s="455"/>
      <c r="AQ11" s="208">
        <f t="shared" si="40"/>
        <v>0.72032913843175217</v>
      </c>
      <c r="AR11" s="37">
        <f>Y11+AO11</f>
        <v>66969</v>
      </c>
      <c r="AS11" s="186">
        <f t="shared" si="42"/>
        <v>-1533.3870967741823</v>
      </c>
      <c r="AT11" s="300"/>
      <c r="AU11" s="472"/>
      <c r="AV11" s="429">
        <f>IF(AT11&gt;0,AU11,AV10)</f>
        <v>0.91500000000000004</v>
      </c>
      <c r="AW11" s="250">
        <f>-SUM('B5'!AI10)</f>
        <v>-280.40000000002328</v>
      </c>
      <c r="AX11" s="250">
        <f t="shared" si="36"/>
        <v>-1252.987096774159</v>
      </c>
      <c r="AY11" s="36">
        <f t="shared" si="37"/>
        <v>-1533.3870967741823</v>
      </c>
      <c r="AZ11" s="96">
        <f>ELEC!A9</f>
        <v>0</v>
      </c>
      <c r="BA11" s="114">
        <f>'General information '!D10</f>
        <v>11</v>
      </c>
      <c r="BB11" s="193">
        <f>SUM('General information '!E10)</f>
        <v>0.56000000000000005</v>
      </c>
      <c r="BC11" s="3">
        <f t="shared" si="44"/>
        <v>0</v>
      </c>
      <c r="BD11" s="98">
        <v>19222</v>
      </c>
      <c r="BE11" s="14">
        <f>(305/1185)*ELEC!Q10</f>
        <v>976.00000000032969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-134.72979535207065</v>
      </c>
      <c r="BK11" s="466"/>
    </row>
    <row r="12" spans="1:63">
      <c r="A12" s="376">
        <f>ELEC!C10</f>
        <v>44964</v>
      </c>
      <c r="B12" s="437">
        <f>'B5'!B11</f>
        <v>212</v>
      </c>
      <c r="C12" s="192">
        <f t="shared" si="16"/>
        <v>4561.4193548387093</v>
      </c>
      <c r="D12">
        <f t="shared" si="17"/>
        <v>212</v>
      </c>
      <c r="E12" s="192">
        <f t="shared" si="16"/>
        <v>4561.4193548387093</v>
      </c>
      <c r="F12">
        <f t="shared" si="18"/>
        <v>212</v>
      </c>
      <c r="G12" s="192">
        <f t="shared" si="1"/>
        <v>4561.4193548387093</v>
      </c>
      <c r="H12" s="192">
        <f t="shared" si="19"/>
        <v>212</v>
      </c>
      <c r="I12" s="192">
        <f t="shared" si="2"/>
        <v>4561.4193548387093</v>
      </c>
      <c r="J12" s="192">
        <f t="shared" si="20"/>
        <v>212</v>
      </c>
      <c r="K12" s="192">
        <f t="shared" si="3"/>
        <v>4561.4193548387093</v>
      </c>
      <c r="L12" s="192">
        <f t="shared" si="21"/>
        <v>212</v>
      </c>
      <c r="M12" s="192">
        <f t="shared" si="4"/>
        <v>4561.4193548387093</v>
      </c>
      <c r="N12" s="192">
        <f t="shared" si="22"/>
        <v>212</v>
      </c>
      <c r="O12" s="192">
        <f t="shared" si="5"/>
        <v>4561.4193548387093</v>
      </c>
      <c r="P12" s="192">
        <f t="shared" si="23"/>
        <v>212</v>
      </c>
      <c r="Q12" s="192">
        <f t="shared" si="6"/>
        <v>4561.4193548387093</v>
      </c>
      <c r="R12" s="192">
        <f t="shared" si="24"/>
        <v>212</v>
      </c>
      <c r="S12" s="192">
        <f t="shared" si="7"/>
        <v>4561.4193548387093</v>
      </c>
      <c r="T12" s="192">
        <f t="shared" si="25"/>
        <v>212</v>
      </c>
      <c r="U12" s="192">
        <f t="shared" si="8"/>
        <v>4561.4193548387093</v>
      </c>
      <c r="V12" s="192">
        <f t="shared" si="26"/>
        <v>212</v>
      </c>
      <c r="W12" s="192">
        <f t="shared" si="9"/>
        <v>4561.4193548387093</v>
      </c>
      <c r="X12" s="34">
        <f t="shared" si="27"/>
        <v>0.68387096774193556</v>
      </c>
      <c r="Y12" s="35">
        <f t="shared" si="28"/>
        <v>50175.61290322581</v>
      </c>
      <c r="Z12" s="437">
        <f>'B5'!C11</f>
        <v>219</v>
      </c>
      <c r="AA12" s="192">
        <f t="shared" si="29"/>
        <v>2190</v>
      </c>
      <c r="AB12" s="192">
        <f t="shared" si="30"/>
        <v>219</v>
      </c>
      <c r="AC12" s="192">
        <f t="shared" si="29"/>
        <v>2190</v>
      </c>
      <c r="AD12" s="192">
        <f t="shared" si="31"/>
        <v>219</v>
      </c>
      <c r="AE12" s="192">
        <f t="shared" si="10"/>
        <v>2190</v>
      </c>
      <c r="AF12" s="192">
        <f t="shared" si="32"/>
        <v>219</v>
      </c>
      <c r="AG12" s="192">
        <f t="shared" si="11"/>
        <v>2190</v>
      </c>
      <c r="AH12" s="192">
        <f t="shared" si="33"/>
        <v>219</v>
      </c>
      <c r="AI12" s="192">
        <f t="shared" si="12"/>
        <v>2190</v>
      </c>
      <c r="AJ12" s="192">
        <f t="shared" si="34"/>
        <v>219</v>
      </c>
      <c r="AK12" s="192">
        <f t="shared" si="13"/>
        <v>2190</v>
      </c>
      <c r="AL12" s="192">
        <f t="shared" si="35"/>
        <v>219</v>
      </c>
      <c r="AM12" s="192">
        <f t="shared" si="14"/>
        <v>2190</v>
      </c>
      <c r="AN12" s="34">
        <f t="shared" si="15"/>
        <v>0.78214285714285714</v>
      </c>
      <c r="AO12" s="35">
        <f t="shared" si="39"/>
        <v>15330</v>
      </c>
      <c r="AP12" s="455"/>
      <c r="AQ12" s="208">
        <f t="shared" si="40"/>
        <v>0.70458871574944404</v>
      </c>
      <c r="AR12" s="37">
        <f t="shared" si="41"/>
        <v>65505.61290322581</v>
      </c>
      <c r="AS12" s="186">
        <f>SUM(AR12-AR11-AT12)</f>
        <v>-1463.3870967741896</v>
      </c>
      <c r="AT12" s="300"/>
      <c r="AU12" s="472"/>
      <c r="AV12" s="429">
        <f t="shared" si="43"/>
        <v>0.91500000000000004</v>
      </c>
      <c r="AW12" s="250">
        <f>-SUM('B5'!AI11)</f>
        <v>-191</v>
      </c>
      <c r="AX12" s="250">
        <f t="shared" si="36"/>
        <v>-1272.3870967741896</v>
      </c>
      <c r="AY12" s="36">
        <f t="shared" si="37"/>
        <v>-1463.3870967741896</v>
      </c>
      <c r="AZ12" s="96">
        <f>ELEC!A10</f>
        <v>0</v>
      </c>
      <c r="BA12" s="114">
        <f>'General information '!D11</f>
        <v>11</v>
      </c>
      <c r="BB12" s="193">
        <f>SUM('General information '!E11)</f>
        <v>0.56000000000000005</v>
      </c>
      <c r="BC12" s="3">
        <f t="shared" si="44"/>
        <v>0</v>
      </c>
      <c r="BD12" s="98">
        <v>19222</v>
      </c>
      <c r="BE12" s="14">
        <f>(305/1185)*ELEC!Q11</f>
        <v>900.32911392394578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-343.88840453349712</v>
      </c>
      <c r="BK12" s="466"/>
    </row>
    <row r="13" spans="1:63">
      <c r="A13" s="376">
        <f>ELEC!C11</f>
        <v>44965</v>
      </c>
      <c r="B13" s="437">
        <f>'B5'!B12</f>
        <v>235</v>
      </c>
      <c r="C13" s="192">
        <f t="shared" si="16"/>
        <v>5056.2903225806449</v>
      </c>
      <c r="D13">
        <f t="shared" si="17"/>
        <v>235</v>
      </c>
      <c r="E13" s="192">
        <f t="shared" si="16"/>
        <v>5056.2903225806449</v>
      </c>
      <c r="F13">
        <f t="shared" si="18"/>
        <v>235</v>
      </c>
      <c r="G13" s="192">
        <f t="shared" si="1"/>
        <v>5056.2903225806449</v>
      </c>
      <c r="H13" s="192">
        <f t="shared" si="19"/>
        <v>235</v>
      </c>
      <c r="I13" s="192">
        <f t="shared" si="2"/>
        <v>5056.2903225806449</v>
      </c>
      <c r="J13" s="192">
        <f t="shared" si="20"/>
        <v>235</v>
      </c>
      <c r="K13" s="192">
        <f t="shared" si="3"/>
        <v>5056.2903225806449</v>
      </c>
      <c r="L13" s="192">
        <f t="shared" si="21"/>
        <v>235</v>
      </c>
      <c r="M13" s="192">
        <f t="shared" si="4"/>
        <v>5056.2903225806449</v>
      </c>
      <c r="N13" s="192">
        <f t="shared" si="22"/>
        <v>235</v>
      </c>
      <c r="O13" s="192">
        <f t="shared" si="5"/>
        <v>5056.2903225806449</v>
      </c>
      <c r="P13" s="192">
        <f t="shared" si="23"/>
        <v>235</v>
      </c>
      <c r="Q13" s="192">
        <f t="shared" si="6"/>
        <v>5056.2903225806449</v>
      </c>
      <c r="R13" s="192">
        <f t="shared" si="24"/>
        <v>235</v>
      </c>
      <c r="S13" s="192">
        <f t="shared" si="7"/>
        <v>5056.2903225806449</v>
      </c>
      <c r="T13" s="192">
        <f t="shared" si="25"/>
        <v>235</v>
      </c>
      <c r="U13" s="192">
        <f t="shared" si="8"/>
        <v>5056.2903225806449</v>
      </c>
      <c r="V13" s="192">
        <f t="shared" si="26"/>
        <v>235</v>
      </c>
      <c r="W13" s="192">
        <f t="shared" si="9"/>
        <v>5056.2903225806449</v>
      </c>
      <c r="X13" s="34">
        <f t="shared" si="27"/>
        <v>0.75806451612903214</v>
      </c>
      <c r="Y13" s="35">
        <f t="shared" si="28"/>
        <v>55619.193548387091</v>
      </c>
      <c r="Z13" s="437">
        <f>'B5'!C12</f>
        <v>241</v>
      </c>
      <c r="AA13" s="192">
        <f t="shared" si="29"/>
        <v>2410</v>
      </c>
      <c r="AB13" s="192">
        <f t="shared" si="30"/>
        <v>241</v>
      </c>
      <c r="AC13" s="192">
        <f t="shared" si="29"/>
        <v>2410</v>
      </c>
      <c r="AD13" s="192">
        <f t="shared" si="31"/>
        <v>241</v>
      </c>
      <c r="AE13" s="192">
        <f t="shared" si="10"/>
        <v>2410</v>
      </c>
      <c r="AF13" s="192">
        <f t="shared" si="32"/>
        <v>241</v>
      </c>
      <c r="AG13" s="192">
        <f t="shared" si="11"/>
        <v>2410</v>
      </c>
      <c r="AH13" s="192">
        <f t="shared" si="33"/>
        <v>241</v>
      </c>
      <c r="AI13" s="192">
        <f t="shared" si="12"/>
        <v>2410</v>
      </c>
      <c r="AJ13" s="192">
        <f t="shared" si="34"/>
        <v>241</v>
      </c>
      <c r="AK13" s="192">
        <f t="shared" si="13"/>
        <v>2410</v>
      </c>
      <c r="AL13" s="192">
        <f t="shared" si="35"/>
        <v>241</v>
      </c>
      <c r="AM13" s="192">
        <f t="shared" si="14"/>
        <v>2410</v>
      </c>
      <c r="AN13" s="34">
        <f t="shared" si="15"/>
        <v>0.86071428571428577</v>
      </c>
      <c r="AO13" s="35">
        <f t="shared" si="39"/>
        <v>16870</v>
      </c>
      <c r="AP13" s="455"/>
      <c r="AQ13" s="208">
        <f t="shared" si="40"/>
        <v>0.77970521187896191</v>
      </c>
      <c r="AR13" s="37">
        <f>Y13+AO13</f>
        <v>72489.193548387091</v>
      </c>
      <c r="AS13" s="186">
        <f>SUM(AR13-AR12-AT13)</f>
        <v>-186.4193548387193</v>
      </c>
      <c r="AT13" s="300">
        <v>7170</v>
      </c>
      <c r="AU13" s="472">
        <v>0.86799999999999999</v>
      </c>
      <c r="AV13" s="429">
        <f t="shared" si="43"/>
        <v>0.86799999999999999</v>
      </c>
      <c r="AW13" s="250">
        <f>-SUM('B5'!AI12)</f>
        <v>-321</v>
      </c>
      <c r="AX13" s="250">
        <f t="shared" si="36"/>
        <v>134.5806451612807</v>
      </c>
      <c r="AY13" s="36">
        <f t="shared" si="37"/>
        <v>-186.4193548387193</v>
      </c>
      <c r="AZ13" s="96">
        <f>ELEC!A11</f>
        <v>0</v>
      </c>
      <c r="BA13" s="114">
        <f>'General information '!D12</f>
        <v>11</v>
      </c>
      <c r="BB13" s="193">
        <f>SUM('General information '!E12)</f>
        <v>0.56000000000000005</v>
      </c>
      <c r="BC13" s="3">
        <f t="shared" si="44"/>
        <v>1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26.916129032256141</v>
      </c>
      <c r="BK13" s="466">
        <f>GEN!AF10</f>
        <v>0.21862499999997453</v>
      </c>
    </row>
    <row r="14" spans="1:63">
      <c r="A14" s="376">
        <f>ELEC!C12</f>
        <v>44966</v>
      </c>
      <c r="B14" s="437">
        <f>'B5'!B13</f>
        <v>235</v>
      </c>
      <c r="C14" s="192">
        <f t="shared" si="16"/>
        <v>5056.2903225806449</v>
      </c>
      <c r="D14">
        <f t="shared" si="17"/>
        <v>235</v>
      </c>
      <c r="E14" s="192">
        <f t="shared" si="16"/>
        <v>5056.2903225806449</v>
      </c>
      <c r="F14">
        <f t="shared" si="18"/>
        <v>235</v>
      </c>
      <c r="G14" s="192">
        <f t="shared" si="1"/>
        <v>5056.2903225806449</v>
      </c>
      <c r="H14" s="192">
        <f t="shared" si="19"/>
        <v>235</v>
      </c>
      <c r="I14" s="192">
        <f t="shared" si="2"/>
        <v>5056.2903225806449</v>
      </c>
      <c r="J14" s="192">
        <f t="shared" si="20"/>
        <v>235</v>
      </c>
      <c r="K14" s="192">
        <f t="shared" si="3"/>
        <v>5056.2903225806449</v>
      </c>
      <c r="L14" s="192">
        <f t="shared" si="21"/>
        <v>235</v>
      </c>
      <c r="M14" s="192">
        <f t="shared" si="4"/>
        <v>5056.2903225806449</v>
      </c>
      <c r="N14" s="192">
        <f t="shared" si="22"/>
        <v>235</v>
      </c>
      <c r="O14" s="192">
        <f t="shared" si="5"/>
        <v>5056.2903225806449</v>
      </c>
      <c r="P14" s="192">
        <f t="shared" si="23"/>
        <v>235</v>
      </c>
      <c r="Q14" s="192">
        <f t="shared" si="6"/>
        <v>5056.2903225806449</v>
      </c>
      <c r="R14" s="192">
        <f t="shared" si="24"/>
        <v>235</v>
      </c>
      <c r="S14" s="192">
        <f t="shared" si="7"/>
        <v>5056.2903225806449</v>
      </c>
      <c r="T14" s="192">
        <f t="shared" si="25"/>
        <v>235</v>
      </c>
      <c r="U14" s="192">
        <f t="shared" si="8"/>
        <v>5056.2903225806449</v>
      </c>
      <c r="V14" s="192">
        <f t="shared" si="26"/>
        <v>235</v>
      </c>
      <c r="W14" s="192">
        <f t="shared" si="9"/>
        <v>5056.2903225806449</v>
      </c>
      <c r="X14" s="34">
        <f t="shared" si="27"/>
        <v>0.75806451612903214</v>
      </c>
      <c r="Y14" s="35">
        <f t="shared" si="28"/>
        <v>55619.193548387091</v>
      </c>
      <c r="Z14" s="437">
        <f>'B5'!C13</f>
        <v>241</v>
      </c>
      <c r="AA14" s="192">
        <f t="shared" si="29"/>
        <v>2410</v>
      </c>
      <c r="AB14" s="192">
        <f t="shared" si="30"/>
        <v>241</v>
      </c>
      <c r="AC14" s="192">
        <f t="shared" si="29"/>
        <v>2410</v>
      </c>
      <c r="AD14" s="192">
        <f t="shared" si="31"/>
        <v>241</v>
      </c>
      <c r="AE14" s="192">
        <f t="shared" si="10"/>
        <v>2410</v>
      </c>
      <c r="AF14" s="192">
        <f t="shared" si="32"/>
        <v>241</v>
      </c>
      <c r="AG14" s="192">
        <f t="shared" si="11"/>
        <v>2410</v>
      </c>
      <c r="AH14" s="192">
        <f t="shared" si="33"/>
        <v>241</v>
      </c>
      <c r="AI14" s="192">
        <f t="shared" si="12"/>
        <v>2410</v>
      </c>
      <c r="AJ14" s="192">
        <f t="shared" si="34"/>
        <v>241</v>
      </c>
      <c r="AK14" s="192">
        <f t="shared" si="13"/>
        <v>2410</v>
      </c>
      <c r="AL14" s="192">
        <f t="shared" si="35"/>
        <v>241</v>
      </c>
      <c r="AM14" s="192">
        <f t="shared" si="14"/>
        <v>2410</v>
      </c>
      <c r="AN14" s="34">
        <f t="shared" si="15"/>
        <v>0.86071428571428577</v>
      </c>
      <c r="AO14" s="35">
        <f t="shared" si="39"/>
        <v>16870</v>
      </c>
      <c r="AQ14" s="208">
        <f t="shared" si="40"/>
        <v>0.77970521187896191</v>
      </c>
      <c r="AR14" s="37">
        <f t="shared" si="41"/>
        <v>72489.193548387091</v>
      </c>
      <c r="AS14" s="186">
        <f>SUM(AR14-AR13-AT14)</f>
        <v>0</v>
      </c>
      <c r="AT14" s="300"/>
      <c r="AU14" s="472"/>
      <c r="AV14" s="429">
        <f t="shared" si="43"/>
        <v>0.86799999999999999</v>
      </c>
      <c r="AW14" s="250">
        <f>-SUM('B5'!AI13)</f>
        <v>0</v>
      </c>
      <c r="AX14" s="250">
        <f t="shared" si="3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6" t="e">
        <f>GEN!AF11</f>
        <v>#DIV/0!</v>
      </c>
    </row>
    <row r="15" spans="1:63" ht="13.5" customHeight="1">
      <c r="A15" s="376">
        <f>ELEC!C13</f>
        <v>44967</v>
      </c>
      <c r="B15" s="437">
        <f>'B5'!B14</f>
        <v>235</v>
      </c>
      <c r="C15" s="192">
        <f>B15*$B$4</f>
        <v>5056.2903225806449</v>
      </c>
      <c r="D15">
        <f t="shared" si="17"/>
        <v>235</v>
      </c>
      <c r="E15" s="192">
        <f t="shared" si="16"/>
        <v>5056.2903225806449</v>
      </c>
      <c r="F15">
        <f t="shared" si="18"/>
        <v>235</v>
      </c>
      <c r="G15" s="192">
        <f t="shared" si="1"/>
        <v>5056.2903225806449</v>
      </c>
      <c r="H15" s="192">
        <f t="shared" si="19"/>
        <v>235</v>
      </c>
      <c r="I15" s="192">
        <f t="shared" si="2"/>
        <v>5056.2903225806449</v>
      </c>
      <c r="J15" s="192">
        <f t="shared" si="20"/>
        <v>235</v>
      </c>
      <c r="K15" s="192">
        <f t="shared" si="3"/>
        <v>5056.2903225806449</v>
      </c>
      <c r="L15" s="192">
        <f t="shared" si="21"/>
        <v>235</v>
      </c>
      <c r="M15" s="192">
        <f t="shared" si="4"/>
        <v>5056.2903225806449</v>
      </c>
      <c r="N15" s="192">
        <f t="shared" si="22"/>
        <v>235</v>
      </c>
      <c r="O15" s="192">
        <f t="shared" si="5"/>
        <v>5056.2903225806449</v>
      </c>
      <c r="P15" s="192">
        <f t="shared" si="23"/>
        <v>235</v>
      </c>
      <c r="Q15" s="192">
        <f t="shared" si="6"/>
        <v>5056.2903225806449</v>
      </c>
      <c r="R15" s="192">
        <f t="shared" si="24"/>
        <v>235</v>
      </c>
      <c r="S15" s="192">
        <f t="shared" si="7"/>
        <v>5056.2903225806449</v>
      </c>
      <c r="T15" s="192">
        <f t="shared" si="25"/>
        <v>235</v>
      </c>
      <c r="U15" s="192">
        <f t="shared" si="8"/>
        <v>5056.2903225806449</v>
      </c>
      <c r="V15" s="192">
        <f t="shared" si="26"/>
        <v>235</v>
      </c>
      <c r="W15" s="192">
        <f t="shared" si="9"/>
        <v>5056.2903225806449</v>
      </c>
      <c r="X15" s="34">
        <f t="shared" si="27"/>
        <v>0.75806451612903214</v>
      </c>
      <c r="Y15" s="35">
        <f t="shared" si="28"/>
        <v>55619.193548387091</v>
      </c>
      <c r="Z15" s="437">
        <f>'B5'!C14</f>
        <v>241</v>
      </c>
      <c r="AA15" s="192">
        <f t="shared" si="29"/>
        <v>2410</v>
      </c>
      <c r="AB15" s="192">
        <f t="shared" si="30"/>
        <v>241</v>
      </c>
      <c r="AC15" s="192">
        <f t="shared" si="29"/>
        <v>2410</v>
      </c>
      <c r="AD15" s="192">
        <f t="shared" si="31"/>
        <v>241</v>
      </c>
      <c r="AE15" s="192">
        <f t="shared" si="10"/>
        <v>2410</v>
      </c>
      <c r="AF15" s="192">
        <f t="shared" si="32"/>
        <v>241</v>
      </c>
      <c r="AG15" s="192">
        <f t="shared" si="11"/>
        <v>2410</v>
      </c>
      <c r="AH15" s="192">
        <f t="shared" si="33"/>
        <v>241</v>
      </c>
      <c r="AI15" s="192">
        <f t="shared" si="12"/>
        <v>2410</v>
      </c>
      <c r="AJ15" s="192">
        <f t="shared" si="34"/>
        <v>241</v>
      </c>
      <c r="AK15" s="192">
        <f t="shared" si="13"/>
        <v>2410</v>
      </c>
      <c r="AL15" s="192">
        <f t="shared" si="35"/>
        <v>241</v>
      </c>
      <c r="AM15" s="192">
        <f t="shared" si="14"/>
        <v>2410</v>
      </c>
      <c r="AN15" s="34">
        <f t="shared" si="15"/>
        <v>0.86071428571428577</v>
      </c>
      <c r="AO15" s="35">
        <f t="shared" si="39"/>
        <v>16870</v>
      </c>
      <c r="AQ15" s="208">
        <f t="shared" si="40"/>
        <v>0.77970521187896191</v>
      </c>
      <c r="AR15" s="37">
        <f t="shared" si="41"/>
        <v>72489.193548387091</v>
      </c>
      <c r="AS15" s="186">
        <f t="shared" si="42"/>
        <v>0</v>
      </c>
      <c r="AT15" s="300"/>
      <c r="AU15" s="472"/>
      <c r="AV15" s="429">
        <f>IF(AT15&gt;0,AU15,AV14)</f>
        <v>0.86799999999999999</v>
      </c>
      <c r="AW15" s="250">
        <f>-SUM('B5'!AI14)</f>
        <v>0</v>
      </c>
      <c r="AX15" s="250">
        <f t="shared" si="36"/>
        <v>0</v>
      </c>
      <c r="AY15" s="36">
        <f t="shared" si="37"/>
        <v>0</v>
      </c>
      <c r="AZ15" s="96">
        <f>ELEC!A13</f>
        <v>0</v>
      </c>
      <c r="BA15" s="114">
        <f>'General information '!D14</f>
        <v>11</v>
      </c>
      <c r="BB15" s="193">
        <f>SUM('General information '!E14)</f>
        <v>0.51</v>
      </c>
      <c r="BC15" s="3">
        <f t="shared" si="44"/>
        <v>0</v>
      </c>
      <c r="BD15" s="98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6" t="e">
        <f>GEN!AF12</f>
        <v>#DIV/0!</v>
      </c>
    </row>
    <row r="16" spans="1:63">
      <c r="A16" s="376">
        <f>ELEC!C14</f>
        <v>44968</v>
      </c>
      <c r="B16" s="437">
        <f>'B5'!B15</f>
        <v>235</v>
      </c>
      <c r="C16" s="192">
        <f t="shared" si="16"/>
        <v>5056.2903225806449</v>
      </c>
      <c r="D16">
        <f t="shared" si="17"/>
        <v>235</v>
      </c>
      <c r="E16" s="192">
        <f t="shared" si="16"/>
        <v>5056.2903225806449</v>
      </c>
      <c r="F16">
        <f t="shared" si="18"/>
        <v>235</v>
      </c>
      <c r="G16" s="192">
        <f t="shared" si="1"/>
        <v>5056.2903225806449</v>
      </c>
      <c r="H16" s="192">
        <f t="shared" si="19"/>
        <v>235</v>
      </c>
      <c r="I16" s="192">
        <f t="shared" si="2"/>
        <v>5056.2903225806449</v>
      </c>
      <c r="J16" s="192">
        <f t="shared" si="20"/>
        <v>235</v>
      </c>
      <c r="K16" s="192">
        <f t="shared" si="3"/>
        <v>5056.2903225806449</v>
      </c>
      <c r="L16" s="192">
        <f t="shared" si="21"/>
        <v>235</v>
      </c>
      <c r="M16" s="192">
        <f t="shared" si="4"/>
        <v>5056.2903225806449</v>
      </c>
      <c r="N16" s="192">
        <f t="shared" si="22"/>
        <v>235</v>
      </c>
      <c r="O16" s="192">
        <f t="shared" si="5"/>
        <v>5056.2903225806449</v>
      </c>
      <c r="P16" s="192">
        <f t="shared" si="23"/>
        <v>235</v>
      </c>
      <c r="Q16" s="192">
        <f t="shared" si="6"/>
        <v>5056.2903225806449</v>
      </c>
      <c r="R16" s="192">
        <f t="shared" si="24"/>
        <v>235</v>
      </c>
      <c r="S16" s="192">
        <f t="shared" si="7"/>
        <v>5056.2903225806449</v>
      </c>
      <c r="T16" s="192">
        <f t="shared" si="25"/>
        <v>235</v>
      </c>
      <c r="U16" s="192">
        <f t="shared" si="8"/>
        <v>5056.2903225806449</v>
      </c>
      <c r="V16" s="192">
        <f t="shared" si="26"/>
        <v>235</v>
      </c>
      <c r="W16" s="192">
        <f t="shared" si="9"/>
        <v>5056.2903225806449</v>
      </c>
      <c r="X16" s="34">
        <f t="shared" si="27"/>
        <v>0.75806451612903214</v>
      </c>
      <c r="Y16" s="35">
        <f t="shared" si="28"/>
        <v>55619.193548387091</v>
      </c>
      <c r="Z16" s="437">
        <f>'B5'!C15</f>
        <v>241</v>
      </c>
      <c r="AA16" s="192">
        <f t="shared" si="29"/>
        <v>2410</v>
      </c>
      <c r="AB16" s="192">
        <f t="shared" si="30"/>
        <v>241</v>
      </c>
      <c r="AC16" s="192">
        <f t="shared" si="29"/>
        <v>2410</v>
      </c>
      <c r="AD16" s="192">
        <f t="shared" si="31"/>
        <v>241</v>
      </c>
      <c r="AE16" s="192">
        <f t="shared" si="10"/>
        <v>2410</v>
      </c>
      <c r="AF16" s="192">
        <f t="shared" si="32"/>
        <v>241</v>
      </c>
      <c r="AG16" s="192">
        <f t="shared" si="11"/>
        <v>2410</v>
      </c>
      <c r="AH16" s="192">
        <f t="shared" si="33"/>
        <v>241</v>
      </c>
      <c r="AI16" s="192">
        <f t="shared" si="12"/>
        <v>2410</v>
      </c>
      <c r="AJ16" s="192">
        <f t="shared" si="34"/>
        <v>241</v>
      </c>
      <c r="AK16" s="192">
        <f t="shared" si="13"/>
        <v>2410</v>
      </c>
      <c r="AL16" s="192">
        <f t="shared" si="35"/>
        <v>241</v>
      </c>
      <c r="AM16" s="192">
        <f t="shared" si="14"/>
        <v>2410</v>
      </c>
      <c r="AN16" s="34">
        <f t="shared" si="15"/>
        <v>0.86071428571428577</v>
      </c>
      <c r="AO16" s="35">
        <f t="shared" si="39"/>
        <v>16870</v>
      </c>
      <c r="AQ16" s="208">
        <f t="shared" si="40"/>
        <v>0.77970521187896191</v>
      </c>
      <c r="AR16" s="37">
        <f>Y16+AO16</f>
        <v>72489.193548387091</v>
      </c>
      <c r="AS16" s="186">
        <f>SUM(AR16-AR15-AT16)</f>
        <v>0</v>
      </c>
      <c r="AT16" s="300"/>
      <c r="AU16" s="472"/>
      <c r="AV16" s="429">
        <f t="shared" ref="AV16" si="45">IF(AT16&gt;0,AU16,AV15)</f>
        <v>0.86799999999999999</v>
      </c>
      <c r="AW16" s="250">
        <f>-SUM('B5'!AI15)</f>
        <v>0</v>
      </c>
      <c r="AX16" s="250">
        <f t="shared" si="36"/>
        <v>0</v>
      </c>
      <c r="AY16" s="36">
        <f t="shared" si="37"/>
        <v>0</v>
      </c>
      <c r="AZ16" s="96">
        <f>ELEC!A14</f>
        <v>0</v>
      </c>
      <c r="BA16" s="114">
        <f>'General information '!D15</f>
        <v>0</v>
      </c>
      <c r="BB16" s="193">
        <f>SUM('General information '!E15)</f>
        <v>0</v>
      </c>
      <c r="BC16" s="3">
        <f t="shared" si="44"/>
        <v>0</v>
      </c>
      <c r="BD16" s="98">
        <v>19222</v>
      </c>
      <c r="BE16" s="14">
        <f>(305/1185)*ELEC!Q15</f>
        <v>579.62869198322733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466" t="e">
        <f>GEN!AF13</f>
        <v>#DIV/0!</v>
      </c>
    </row>
    <row r="17" spans="1:64">
      <c r="A17" s="376">
        <f>ELEC!C15</f>
        <v>44969</v>
      </c>
      <c r="B17" s="437">
        <f>'B5'!B16</f>
        <v>230</v>
      </c>
      <c r="C17" s="192">
        <f t="shared" si="16"/>
        <v>4948.7096774193551</v>
      </c>
      <c r="D17">
        <f t="shared" si="17"/>
        <v>230</v>
      </c>
      <c r="E17" s="192">
        <f t="shared" si="16"/>
        <v>4948.7096774193551</v>
      </c>
      <c r="F17">
        <f t="shared" si="18"/>
        <v>230</v>
      </c>
      <c r="G17" s="192">
        <f t="shared" si="1"/>
        <v>4948.7096774193551</v>
      </c>
      <c r="H17" s="192">
        <f t="shared" si="19"/>
        <v>230</v>
      </c>
      <c r="I17" s="192">
        <f t="shared" si="2"/>
        <v>4948.7096774193551</v>
      </c>
      <c r="J17" s="192">
        <f t="shared" si="20"/>
        <v>230</v>
      </c>
      <c r="K17" s="192">
        <f t="shared" si="3"/>
        <v>4948.7096774193551</v>
      </c>
      <c r="L17" s="192">
        <f t="shared" si="21"/>
        <v>230</v>
      </c>
      <c r="M17" s="192">
        <f t="shared" si="4"/>
        <v>4948.7096774193551</v>
      </c>
      <c r="N17" s="192">
        <f t="shared" si="22"/>
        <v>230</v>
      </c>
      <c r="O17" s="192">
        <f t="shared" si="5"/>
        <v>4948.7096774193551</v>
      </c>
      <c r="P17" s="192">
        <f t="shared" si="23"/>
        <v>230</v>
      </c>
      <c r="Q17" s="192">
        <f t="shared" si="6"/>
        <v>4948.7096774193551</v>
      </c>
      <c r="R17" s="192">
        <f t="shared" si="24"/>
        <v>230</v>
      </c>
      <c r="S17" s="192">
        <f t="shared" si="7"/>
        <v>4948.7096774193551</v>
      </c>
      <c r="T17" s="192">
        <f t="shared" si="25"/>
        <v>230</v>
      </c>
      <c r="U17" s="192">
        <f t="shared" si="8"/>
        <v>4948.7096774193551</v>
      </c>
      <c r="V17" s="192">
        <f t="shared" si="26"/>
        <v>230</v>
      </c>
      <c r="W17" s="192">
        <f t="shared" si="9"/>
        <v>4948.7096774193551</v>
      </c>
      <c r="X17" s="34">
        <f t="shared" si="27"/>
        <v>0.74193548387096786</v>
      </c>
      <c r="Y17" s="35">
        <f t="shared" si="28"/>
        <v>54435.806451612909</v>
      </c>
      <c r="Z17" s="437">
        <f>'B5'!C16</f>
        <v>236</v>
      </c>
      <c r="AA17" s="192">
        <f t="shared" si="29"/>
        <v>2360</v>
      </c>
      <c r="AB17" s="192">
        <f t="shared" si="30"/>
        <v>236</v>
      </c>
      <c r="AC17" s="192">
        <f t="shared" si="29"/>
        <v>2360</v>
      </c>
      <c r="AD17" s="192">
        <f t="shared" si="31"/>
        <v>236</v>
      </c>
      <c r="AE17" s="192">
        <f t="shared" si="10"/>
        <v>2360</v>
      </c>
      <c r="AF17" s="192">
        <f t="shared" si="32"/>
        <v>236</v>
      </c>
      <c r="AG17" s="192">
        <f t="shared" si="11"/>
        <v>2360</v>
      </c>
      <c r="AH17" s="192">
        <f t="shared" si="33"/>
        <v>236</v>
      </c>
      <c r="AI17" s="192">
        <f t="shared" si="12"/>
        <v>2360</v>
      </c>
      <c r="AJ17" s="192">
        <f t="shared" si="34"/>
        <v>236</v>
      </c>
      <c r="AK17" s="192">
        <f t="shared" si="13"/>
        <v>2360</v>
      </c>
      <c r="AL17" s="192">
        <f t="shared" si="35"/>
        <v>236</v>
      </c>
      <c r="AM17" s="192">
        <f t="shared" si="14"/>
        <v>2360</v>
      </c>
      <c r="AN17" s="34">
        <f t="shared" si="15"/>
        <v>0.84285714285714286</v>
      </c>
      <c r="AO17" s="35">
        <f>SUM(AA17+AC17+AE17+AG17+AI17+AK17+AM17)</f>
        <v>16520</v>
      </c>
      <c r="AQ17" s="208">
        <f t="shared" si="40"/>
        <v>0.76321185814362602</v>
      </c>
      <c r="AR17" s="37">
        <f t="shared" si="41"/>
        <v>70955.806451612909</v>
      </c>
      <c r="AS17" s="186">
        <f t="shared" si="42"/>
        <v>-1533.3870967741823</v>
      </c>
      <c r="AT17" s="300"/>
      <c r="AU17" s="472"/>
      <c r="AV17" s="429">
        <f>IF(AT17&gt;0,AU17,AV16)</f>
        <v>0.86799999999999999</v>
      </c>
      <c r="AW17" s="250">
        <f>-SUM('B5'!AI16)</f>
        <v>-636</v>
      </c>
      <c r="AX17" s="250">
        <f t="shared" si="36"/>
        <v>-897.38709677418228</v>
      </c>
      <c r="AY17" s="36">
        <f t="shared" si="37"/>
        <v>-1533.3870967741823</v>
      </c>
      <c r="AZ17" s="96">
        <f>ELEC!A15</f>
        <v>0</v>
      </c>
      <c r="BA17" s="114">
        <f>'General information '!D16</f>
        <v>12</v>
      </c>
      <c r="BB17" s="193">
        <f>SUM('General information '!E16)</f>
        <v>0.43</v>
      </c>
      <c r="BC17" s="3">
        <f t="shared" si="44"/>
        <v>0</v>
      </c>
      <c r="BD17" s="98">
        <v>19222</v>
      </c>
      <c r="BE17" s="14">
        <f>(305/1185)*ELEC!Q16</f>
        <v>713.46835442966074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-224.34677419354557</v>
      </c>
      <c r="BK17" s="466">
        <f>GEN!AF14</f>
        <v>0.17593750000003183</v>
      </c>
    </row>
    <row r="18" spans="1:64">
      <c r="A18" s="376">
        <f>ELEC!C16</f>
        <v>44970</v>
      </c>
      <c r="B18" s="437">
        <f>'B5'!B17</f>
        <v>227</v>
      </c>
      <c r="C18" s="192">
        <f t="shared" si="16"/>
        <v>4884.1612903225805</v>
      </c>
      <c r="D18">
        <f t="shared" si="17"/>
        <v>227</v>
      </c>
      <c r="E18" s="192">
        <f t="shared" si="16"/>
        <v>4884.1612903225805</v>
      </c>
      <c r="F18">
        <f t="shared" si="18"/>
        <v>227</v>
      </c>
      <c r="G18" s="192">
        <f t="shared" si="1"/>
        <v>4884.1612903225805</v>
      </c>
      <c r="H18" s="192">
        <f t="shared" si="19"/>
        <v>227</v>
      </c>
      <c r="I18" s="192">
        <f t="shared" si="2"/>
        <v>4884.1612903225805</v>
      </c>
      <c r="J18" s="192">
        <f t="shared" si="20"/>
        <v>227</v>
      </c>
      <c r="K18" s="192">
        <f t="shared" si="3"/>
        <v>4884.1612903225805</v>
      </c>
      <c r="L18" s="192">
        <f t="shared" si="21"/>
        <v>227</v>
      </c>
      <c r="M18" s="192">
        <f t="shared" si="4"/>
        <v>4884.1612903225805</v>
      </c>
      <c r="N18" s="192">
        <f t="shared" si="22"/>
        <v>227</v>
      </c>
      <c r="O18" s="192">
        <f t="shared" si="5"/>
        <v>4884.1612903225805</v>
      </c>
      <c r="P18" s="192">
        <f t="shared" si="23"/>
        <v>227</v>
      </c>
      <c r="Q18" s="192">
        <f t="shared" si="6"/>
        <v>4884.1612903225805</v>
      </c>
      <c r="R18" s="192">
        <f t="shared" si="24"/>
        <v>227</v>
      </c>
      <c r="S18" s="192">
        <f t="shared" si="7"/>
        <v>4884.1612903225805</v>
      </c>
      <c r="T18" s="192">
        <f t="shared" si="25"/>
        <v>227</v>
      </c>
      <c r="U18" s="192">
        <f t="shared" si="8"/>
        <v>4884.1612903225805</v>
      </c>
      <c r="V18" s="192">
        <f t="shared" si="26"/>
        <v>227</v>
      </c>
      <c r="W18" s="192">
        <f t="shared" si="9"/>
        <v>4884.1612903225805</v>
      </c>
      <c r="X18" s="34">
        <f t="shared" si="27"/>
        <v>0.73225806451612907</v>
      </c>
      <c r="Y18" s="35">
        <f t="shared" si="28"/>
        <v>53725.774193548394</v>
      </c>
      <c r="Z18" s="437">
        <f>'B5'!C17</f>
        <v>233</v>
      </c>
      <c r="AA18" s="192">
        <f t="shared" si="29"/>
        <v>2330</v>
      </c>
      <c r="AB18" s="192">
        <f t="shared" si="30"/>
        <v>233</v>
      </c>
      <c r="AC18" s="192">
        <f t="shared" si="29"/>
        <v>2330</v>
      </c>
      <c r="AD18" s="192">
        <f t="shared" si="31"/>
        <v>233</v>
      </c>
      <c r="AE18" s="192">
        <f t="shared" si="10"/>
        <v>2330</v>
      </c>
      <c r="AF18" s="192">
        <f t="shared" si="32"/>
        <v>233</v>
      </c>
      <c r="AG18" s="192">
        <f t="shared" si="11"/>
        <v>2330</v>
      </c>
      <c r="AH18" s="192">
        <f t="shared" si="33"/>
        <v>233</v>
      </c>
      <c r="AI18" s="192">
        <f t="shared" si="12"/>
        <v>2330</v>
      </c>
      <c r="AJ18" s="192">
        <f t="shared" si="34"/>
        <v>233</v>
      </c>
      <c r="AK18" s="192">
        <f t="shared" si="13"/>
        <v>2330</v>
      </c>
      <c r="AL18" s="192">
        <f t="shared" si="35"/>
        <v>233</v>
      </c>
      <c r="AM18" s="192">
        <f t="shared" si="14"/>
        <v>2330</v>
      </c>
      <c r="AN18" s="34">
        <f t="shared" si="15"/>
        <v>0.83214285714285718</v>
      </c>
      <c r="AO18" s="35">
        <f t="shared" si="39"/>
        <v>16310</v>
      </c>
      <c r="AQ18" s="208">
        <f t="shared" si="40"/>
        <v>0.7533158459024244</v>
      </c>
      <c r="AR18" s="37">
        <f t="shared" si="41"/>
        <v>70035.774193548394</v>
      </c>
      <c r="AS18" s="186">
        <f>SUM(AR18-AR17-AT18)</f>
        <v>-920.03225806451519</v>
      </c>
      <c r="AT18" s="300"/>
      <c r="AU18" s="472"/>
      <c r="AV18" s="429">
        <f t="shared" ref="AV18:AV34" si="47">IF(AT18&gt;0,AU18,AV17)</f>
        <v>0.86799999999999999</v>
      </c>
      <c r="AW18" s="250">
        <f>-SUM('B5'!AI17)</f>
        <v>-124</v>
      </c>
      <c r="AX18" s="250">
        <f t="shared" si="36"/>
        <v>-796.03225806451519</v>
      </c>
      <c r="AY18" s="36">
        <f t="shared" si="37"/>
        <v>-920.03225806451519</v>
      </c>
      <c r="AZ18" s="96">
        <f>ELEC!A16</f>
        <v>0</v>
      </c>
      <c r="BA18" s="114">
        <f>'General information '!D17</f>
        <v>13</v>
      </c>
      <c r="BB18" s="193">
        <f>SUM('General information '!E17)</f>
        <v>0.37</v>
      </c>
      <c r="BC18" s="3">
        <f t="shared" si="44"/>
        <v>0</v>
      </c>
      <c r="BD18" s="98">
        <v>19222</v>
      </c>
      <c r="BE18" s="14">
        <f>(305/1185)*ELEC!Q17</f>
        <v>596.87341772139166</v>
      </c>
      <c r="BF18" s="14"/>
      <c r="BG18" s="14" t="e">
        <f>#REF!-BE18</f>
        <v>#REF!</v>
      </c>
      <c r="BH18" s="11"/>
      <c r="BI18">
        <v>5</v>
      </c>
      <c r="BJ18">
        <f t="shared" si="46"/>
        <v>-159.20645161290304</v>
      </c>
      <c r="BK18" s="466"/>
    </row>
    <row r="19" spans="1:64">
      <c r="A19" s="376">
        <f>ELEC!C17</f>
        <v>44971</v>
      </c>
      <c r="B19" s="437">
        <f>'B5'!B18</f>
        <v>223</v>
      </c>
      <c r="C19" s="192">
        <f t="shared" si="16"/>
        <v>4798.0967741935483</v>
      </c>
      <c r="D19">
        <f t="shared" si="17"/>
        <v>223</v>
      </c>
      <c r="E19" s="192">
        <f t="shared" si="16"/>
        <v>4798.0967741935483</v>
      </c>
      <c r="F19">
        <f t="shared" si="18"/>
        <v>223</v>
      </c>
      <c r="G19" s="192">
        <f t="shared" si="1"/>
        <v>4798.0967741935483</v>
      </c>
      <c r="H19" s="192">
        <f t="shared" si="19"/>
        <v>223</v>
      </c>
      <c r="I19" s="192">
        <f t="shared" si="2"/>
        <v>4798.0967741935483</v>
      </c>
      <c r="J19" s="192">
        <f t="shared" si="20"/>
        <v>223</v>
      </c>
      <c r="K19" s="192">
        <f t="shared" si="3"/>
        <v>4798.0967741935483</v>
      </c>
      <c r="L19" s="192">
        <f t="shared" si="21"/>
        <v>223</v>
      </c>
      <c r="M19" s="192">
        <f t="shared" si="4"/>
        <v>4798.0967741935483</v>
      </c>
      <c r="N19" s="192">
        <f t="shared" si="22"/>
        <v>223</v>
      </c>
      <c r="O19" s="192">
        <f t="shared" si="5"/>
        <v>4798.0967741935483</v>
      </c>
      <c r="P19" s="192">
        <f t="shared" si="23"/>
        <v>223</v>
      </c>
      <c r="Q19" s="192">
        <f t="shared" si="6"/>
        <v>4798.0967741935483</v>
      </c>
      <c r="R19" s="192">
        <f t="shared" si="24"/>
        <v>223</v>
      </c>
      <c r="S19" s="192">
        <f t="shared" si="7"/>
        <v>4798.0967741935483</v>
      </c>
      <c r="T19" s="192">
        <f t="shared" si="25"/>
        <v>223</v>
      </c>
      <c r="U19" s="192">
        <f t="shared" si="8"/>
        <v>4798.0967741935483</v>
      </c>
      <c r="V19" s="192">
        <f t="shared" si="26"/>
        <v>223</v>
      </c>
      <c r="W19" s="192">
        <f t="shared" si="9"/>
        <v>4798.0967741935483</v>
      </c>
      <c r="X19" s="34">
        <f t="shared" si="27"/>
        <v>0.71935483870967731</v>
      </c>
      <c r="Y19" s="35">
        <f t="shared" si="28"/>
        <v>52779.064516129023</v>
      </c>
      <c r="Z19" s="437">
        <f>'B5'!C18</f>
        <v>230</v>
      </c>
      <c r="AA19" s="192">
        <f t="shared" si="29"/>
        <v>2300</v>
      </c>
      <c r="AB19" s="192">
        <f t="shared" si="30"/>
        <v>230</v>
      </c>
      <c r="AC19" s="192">
        <f t="shared" si="29"/>
        <v>2300</v>
      </c>
      <c r="AD19" s="192">
        <f t="shared" si="31"/>
        <v>230</v>
      </c>
      <c r="AE19" s="192">
        <f t="shared" si="10"/>
        <v>2300</v>
      </c>
      <c r="AF19" s="192">
        <f t="shared" si="32"/>
        <v>230</v>
      </c>
      <c r="AG19" s="192">
        <f t="shared" si="11"/>
        <v>2300</v>
      </c>
      <c r="AH19" s="192">
        <f t="shared" si="33"/>
        <v>230</v>
      </c>
      <c r="AI19" s="192">
        <f t="shared" si="12"/>
        <v>2300</v>
      </c>
      <c r="AJ19" s="192">
        <f t="shared" si="34"/>
        <v>230</v>
      </c>
      <c r="AK19" s="192">
        <f t="shared" si="13"/>
        <v>2300</v>
      </c>
      <c r="AL19" s="192">
        <f t="shared" si="35"/>
        <v>230</v>
      </c>
      <c r="AM19" s="192">
        <f t="shared" si="14"/>
        <v>2300</v>
      </c>
      <c r="AN19" s="34">
        <f t="shared" si="15"/>
        <v>0.8214285714285714</v>
      </c>
      <c r="AO19" s="35">
        <f t="shared" si="39"/>
        <v>16100</v>
      </c>
      <c r="AQ19" s="208">
        <f t="shared" si="40"/>
        <v>0.74087409396718329</v>
      </c>
      <c r="AR19" s="37">
        <f t="shared" si="41"/>
        <v>68879.06451612903</v>
      </c>
      <c r="AS19" s="186">
        <f t="shared" si="42"/>
        <v>-1156.7096774193633</v>
      </c>
      <c r="AT19" s="300"/>
      <c r="AU19" s="472"/>
      <c r="AV19" s="429">
        <f t="shared" si="47"/>
        <v>0.86799999999999999</v>
      </c>
      <c r="AW19" s="250">
        <f>-SUM('B5'!AI18)</f>
        <v>-300</v>
      </c>
      <c r="AX19" s="250">
        <f t="shared" si="36"/>
        <v>-856.70967741936329</v>
      </c>
      <c r="AY19" s="36">
        <f t="shared" si="37"/>
        <v>-1156.7096774193633</v>
      </c>
      <c r="AZ19" s="96">
        <f>ELEC!A17</f>
        <v>0</v>
      </c>
      <c r="BA19" s="114">
        <f>'General information '!D18</f>
        <v>12.5</v>
      </c>
      <c r="BB19" s="193">
        <f>SUM('General information '!E18)</f>
        <v>0.4</v>
      </c>
      <c r="BC19" s="3">
        <f t="shared" si="44"/>
        <v>0</v>
      </c>
      <c r="BD19" s="98">
        <v>19222</v>
      </c>
      <c r="BE19" s="14">
        <f>(305/1185)*ELEC!Q18</f>
        <v>475.38818565441301</v>
      </c>
      <c r="BF19" s="14"/>
      <c r="BG19" s="14" t="e">
        <f>#REF!-BE19</f>
        <v>#REF!</v>
      </c>
      <c r="BH19" s="11"/>
      <c r="BI19">
        <v>6</v>
      </c>
      <c r="BJ19">
        <f t="shared" si="46"/>
        <v>-142.78494623656056</v>
      </c>
      <c r="BK19" s="466"/>
    </row>
    <row r="20" spans="1:64">
      <c r="A20" s="376">
        <f>ELEC!C18</f>
        <v>44972</v>
      </c>
      <c r="B20" s="437">
        <f>'B5'!B19</f>
        <v>220</v>
      </c>
      <c r="C20" s="192">
        <f t="shared" si="16"/>
        <v>4733.5483870967737</v>
      </c>
      <c r="D20">
        <f t="shared" si="17"/>
        <v>220</v>
      </c>
      <c r="E20" s="192">
        <f t="shared" si="16"/>
        <v>4733.5483870967737</v>
      </c>
      <c r="F20">
        <f t="shared" si="18"/>
        <v>220</v>
      </c>
      <c r="G20" s="192">
        <f t="shared" si="1"/>
        <v>4733.5483870967737</v>
      </c>
      <c r="H20" s="192">
        <f t="shared" si="19"/>
        <v>220</v>
      </c>
      <c r="I20" s="192">
        <f t="shared" si="2"/>
        <v>4733.5483870967737</v>
      </c>
      <c r="J20" s="192">
        <f t="shared" si="20"/>
        <v>220</v>
      </c>
      <c r="K20" s="192">
        <f t="shared" si="3"/>
        <v>4733.5483870967737</v>
      </c>
      <c r="L20" s="192">
        <f t="shared" si="21"/>
        <v>220</v>
      </c>
      <c r="M20" s="192">
        <f t="shared" si="4"/>
        <v>4733.5483870967737</v>
      </c>
      <c r="N20" s="192">
        <f t="shared" si="22"/>
        <v>220</v>
      </c>
      <c r="O20" s="192">
        <f t="shared" si="5"/>
        <v>4733.5483870967737</v>
      </c>
      <c r="P20" s="192">
        <f t="shared" si="23"/>
        <v>220</v>
      </c>
      <c r="Q20" s="192">
        <f t="shared" si="6"/>
        <v>4733.5483870967737</v>
      </c>
      <c r="R20" s="192">
        <f t="shared" si="24"/>
        <v>220</v>
      </c>
      <c r="S20" s="192">
        <f t="shared" si="7"/>
        <v>4733.5483870967737</v>
      </c>
      <c r="T20" s="192">
        <f t="shared" si="25"/>
        <v>220</v>
      </c>
      <c r="U20" s="192">
        <f t="shared" si="8"/>
        <v>4733.5483870967737</v>
      </c>
      <c r="V20" s="192">
        <f t="shared" si="26"/>
        <v>220</v>
      </c>
      <c r="W20" s="192">
        <f t="shared" si="9"/>
        <v>4733.5483870967737</v>
      </c>
      <c r="X20" s="34">
        <f t="shared" si="27"/>
        <v>0.70967741935483863</v>
      </c>
      <c r="Y20" s="35">
        <f t="shared" si="28"/>
        <v>52069.032258064508</v>
      </c>
      <c r="Z20" s="437">
        <f>'B5'!C19</f>
        <v>226</v>
      </c>
      <c r="AA20" s="192">
        <f t="shared" si="29"/>
        <v>2260</v>
      </c>
      <c r="AB20" s="192">
        <f t="shared" si="30"/>
        <v>226</v>
      </c>
      <c r="AC20" s="192">
        <f t="shared" si="29"/>
        <v>2260</v>
      </c>
      <c r="AD20" s="192">
        <f t="shared" si="31"/>
        <v>226</v>
      </c>
      <c r="AE20" s="192">
        <f t="shared" si="10"/>
        <v>2260</v>
      </c>
      <c r="AF20" s="192">
        <f t="shared" si="32"/>
        <v>226</v>
      </c>
      <c r="AG20" s="192">
        <f t="shared" si="11"/>
        <v>2260</v>
      </c>
      <c r="AH20" s="192">
        <f t="shared" si="33"/>
        <v>226</v>
      </c>
      <c r="AI20" s="192">
        <f t="shared" si="12"/>
        <v>2260</v>
      </c>
      <c r="AJ20" s="192">
        <f t="shared" si="34"/>
        <v>226</v>
      </c>
      <c r="AK20" s="192">
        <f t="shared" si="13"/>
        <v>2260</v>
      </c>
      <c r="AL20" s="192">
        <f t="shared" si="35"/>
        <v>226</v>
      </c>
      <c r="AM20" s="192">
        <f t="shared" si="14"/>
        <v>2260</v>
      </c>
      <c r="AN20" s="34">
        <f t="shared" si="15"/>
        <v>0.80714285714285716</v>
      </c>
      <c r="AO20" s="35">
        <f t="shared" si="39"/>
        <v>15820</v>
      </c>
      <c r="AQ20" s="208">
        <f t="shared" si="40"/>
        <v>0.73022515067295379</v>
      </c>
      <c r="AR20" s="37">
        <f t="shared" si="41"/>
        <v>67889.032258064515</v>
      </c>
      <c r="AS20" s="186">
        <f t="shared" si="42"/>
        <v>-990.03225806451519</v>
      </c>
      <c r="AT20" s="300"/>
      <c r="AU20" s="472"/>
      <c r="AV20" s="429">
        <f t="shared" si="47"/>
        <v>0.86799999999999999</v>
      </c>
      <c r="AW20" s="250">
        <f>-SUM('B5'!AI19)</f>
        <v>-310</v>
      </c>
      <c r="AX20" s="250">
        <f>-SUM(AW20-AS20)</f>
        <v>-680.03225806451519</v>
      </c>
      <c r="AY20" s="36">
        <f t="shared" si="37"/>
        <v>-990.03225806451519</v>
      </c>
      <c r="AZ20" s="96">
        <f>ELEC!A18</f>
        <v>0</v>
      </c>
      <c r="BA20" s="114">
        <f>'General information '!D19</f>
        <v>12.5</v>
      </c>
      <c r="BB20" s="193">
        <f>SUM('General information '!E19)</f>
        <v>0.39</v>
      </c>
      <c r="BC20" s="3">
        <f t="shared" si="44"/>
        <v>0</v>
      </c>
      <c r="BD20" s="98">
        <v>19222</v>
      </c>
      <c r="BE20" s="14">
        <f>(305/1185)*ELEC!Q19</f>
        <v>676.66244725759373</v>
      </c>
      <c r="BF20" s="14"/>
      <c r="BG20" s="14" t="e">
        <f>#REF!-BE20</f>
        <v>#REF!</v>
      </c>
      <c r="BH20" s="11"/>
      <c r="BI20">
        <v>7</v>
      </c>
      <c r="BJ20">
        <f t="shared" si="46"/>
        <v>-97.147465437787886</v>
      </c>
      <c r="BK20" s="466">
        <f>GEN!AF17</f>
        <v>0.1649107142858546</v>
      </c>
      <c r="BL20" s="192"/>
    </row>
    <row r="21" spans="1:64">
      <c r="A21" s="376">
        <f>ELEC!C19</f>
        <v>44973</v>
      </c>
      <c r="B21" s="437">
        <f>'B5'!B20</f>
        <v>237</v>
      </c>
      <c r="C21" s="192">
        <f t="shared" si="16"/>
        <v>5099.322580645161</v>
      </c>
      <c r="D21">
        <f t="shared" si="17"/>
        <v>237</v>
      </c>
      <c r="E21" s="192">
        <f t="shared" si="16"/>
        <v>5099.322580645161</v>
      </c>
      <c r="F21">
        <f t="shared" si="18"/>
        <v>237</v>
      </c>
      <c r="G21" s="192">
        <f t="shared" si="1"/>
        <v>5099.322580645161</v>
      </c>
      <c r="H21" s="192">
        <f t="shared" si="19"/>
        <v>237</v>
      </c>
      <c r="I21" s="192">
        <f t="shared" si="2"/>
        <v>5099.322580645161</v>
      </c>
      <c r="J21" s="192">
        <f t="shared" si="20"/>
        <v>237</v>
      </c>
      <c r="K21" s="192">
        <f t="shared" si="3"/>
        <v>5099.322580645161</v>
      </c>
      <c r="L21" s="192">
        <f t="shared" si="21"/>
        <v>237</v>
      </c>
      <c r="M21" s="192">
        <f t="shared" si="4"/>
        <v>5099.322580645161</v>
      </c>
      <c r="N21" s="192">
        <f t="shared" si="22"/>
        <v>237</v>
      </c>
      <c r="O21" s="192">
        <f t="shared" si="5"/>
        <v>5099.322580645161</v>
      </c>
      <c r="P21" s="192">
        <f t="shared" si="23"/>
        <v>237</v>
      </c>
      <c r="Q21" s="192">
        <f t="shared" si="6"/>
        <v>5099.322580645161</v>
      </c>
      <c r="R21" s="192">
        <f t="shared" si="24"/>
        <v>237</v>
      </c>
      <c r="S21" s="192">
        <f t="shared" si="7"/>
        <v>5099.322580645161</v>
      </c>
      <c r="T21" s="192">
        <f t="shared" si="25"/>
        <v>237</v>
      </c>
      <c r="U21" s="192">
        <f t="shared" si="8"/>
        <v>5099.322580645161</v>
      </c>
      <c r="V21" s="192">
        <f t="shared" si="26"/>
        <v>237</v>
      </c>
      <c r="W21" s="192">
        <f t="shared" si="9"/>
        <v>5099.322580645161</v>
      </c>
      <c r="X21" s="34">
        <f t="shared" si="27"/>
        <v>0.76451612903225785</v>
      </c>
      <c r="Y21" s="35">
        <f t="shared" si="28"/>
        <v>56092.548387096758</v>
      </c>
      <c r="Z21" s="437">
        <f>'B5'!C20</f>
        <v>243</v>
      </c>
      <c r="AA21" s="192">
        <f t="shared" si="29"/>
        <v>2430</v>
      </c>
      <c r="AB21" s="192">
        <f t="shared" si="30"/>
        <v>243</v>
      </c>
      <c r="AC21" s="192">
        <f t="shared" si="29"/>
        <v>2430</v>
      </c>
      <c r="AD21" s="192">
        <f t="shared" si="31"/>
        <v>243</v>
      </c>
      <c r="AE21" s="192">
        <f t="shared" si="10"/>
        <v>2430</v>
      </c>
      <c r="AF21" s="192">
        <f t="shared" si="32"/>
        <v>243</v>
      </c>
      <c r="AG21" s="192">
        <f t="shared" si="11"/>
        <v>2430</v>
      </c>
      <c r="AH21" s="192">
        <f t="shared" si="33"/>
        <v>243</v>
      </c>
      <c r="AI21" s="192">
        <f t="shared" si="12"/>
        <v>2430</v>
      </c>
      <c r="AJ21" s="192">
        <f t="shared" si="34"/>
        <v>243</v>
      </c>
      <c r="AK21" s="192">
        <f t="shared" si="13"/>
        <v>2430</v>
      </c>
      <c r="AL21" s="192">
        <f t="shared" si="35"/>
        <v>243</v>
      </c>
      <c r="AM21" s="192">
        <f t="shared" si="14"/>
        <v>2430</v>
      </c>
      <c r="AN21" s="34">
        <f t="shared" si="15"/>
        <v>0.86785714285714288</v>
      </c>
      <c r="AO21" s="35">
        <f t="shared" si="39"/>
        <v>17010</v>
      </c>
      <c r="AQ21" s="208">
        <f t="shared" si="40"/>
        <v>0.78630255337309629</v>
      </c>
      <c r="AR21" s="37">
        <f t="shared" si="41"/>
        <v>73102.548387096758</v>
      </c>
      <c r="AS21" s="186">
        <f>SUM(AR21-AR20-AT21)</f>
        <v>5213.516129032243</v>
      </c>
      <c r="AT21" s="300"/>
      <c r="AU21" s="472"/>
      <c r="AV21" s="429">
        <f t="shared" si="47"/>
        <v>0.86799999999999999</v>
      </c>
      <c r="AW21" s="250">
        <f>-SUM('B5'!AI20)</f>
        <v>-263</v>
      </c>
      <c r="AX21" s="250">
        <f t="shared" si="36"/>
        <v>5476.516129032243</v>
      </c>
      <c r="AY21" s="36">
        <f t="shared" si="37"/>
        <v>5213.516129032243</v>
      </c>
      <c r="AZ21" s="96">
        <f>ELEC!A19</f>
        <v>0</v>
      </c>
      <c r="BA21" s="114">
        <f>'General information '!D20</f>
        <v>12.5</v>
      </c>
      <c r="BB21" s="193">
        <f>SUM('General information '!E20)</f>
        <v>0.41</v>
      </c>
      <c r="BC21" s="3">
        <f t="shared" si="44"/>
        <v>1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684.56451612903038</v>
      </c>
      <c r="BK21" s="466">
        <f>GEN!AF18</f>
        <v>0.18256944444450102</v>
      </c>
    </row>
    <row r="22" spans="1:64">
      <c r="A22" s="376">
        <f>ELEC!C20</f>
        <v>44974</v>
      </c>
      <c r="B22" s="437">
        <f>'B5'!B21</f>
        <v>237</v>
      </c>
      <c r="C22" s="192">
        <f t="shared" si="16"/>
        <v>5099.322580645161</v>
      </c>
      <c r="D22">
        <f t="shared" si="17"/>
        <v>237</v>
      </c>
      <c r="E22" s="192">
        <f t="shared" si="16"/>
        <v>5099.322580645161</v>
      </c>
      <c r="F22">
        <f t="shared" si="18"/>
        <v>237</v>
      </c>
      <c r="G22" s="192">
        <f t="shared" si="1"/>
        <v>5099.322580645161</v>
      </c>
      <c r="H22" s="192">
        <f t="shared" si="19"/>
        <v>237</v>
      </c>
      <c r="I22" s="192">
        <f t="shared" si="2"/>
        <v>5099.322580645161</v>
      </c>
      <c r="J22" s="192">
        <f t="shared" si="20"/>
        <v>237</v>
      </c>
      <c r="K22" s="192">
        <f t="shared" si="3"/>
        <v>5099.322580645161</v>
      </c>
      <c r="L22" s="192">
        <f t="shared" si="21"/>
        <v>237</v>
      </c>
      <c r="M22" s="192">
        <f t="shared" si="4"/>
        <v>5099.322580645161</v>
      </c>
      <c r="N22" s="192">
        <f t="shared" si="22"/>
        <v>237</v>
      </c>
      <c r="O22" s="192">
        <f t="shared" si="5"/>
        <v>5099.322580645161</v>
      </c>
      <c r="P22" s="192">
        <f t="shared" si="23"/>
        <v>237</v>
      </c>
      <c r="Q22" s="192">
        <f t="shared" si="6"/>
        <v>5099.322580645161</v>
      </c>
      <c r="R22" s="192">
        <f t="shared" si="24"/>
        <v>237</v>
      </c>
      <c r="S22" s="192">
        <f t="shared" si="7"/>
        <v>5099.322580645161</v>
      </c>
      <c r="T22" s="192">
        <f t="shared" si="25"/>
        <v>237</v>
      </c>
      <c r="U22" s="192">
        <f t="shared" si="8"/>
        <v>5099.322580645161</v>
      </c>
      <c r="V22" s="192">
        <f t="shared" si="26"/>
        <v>237</v>
      </c>
      <c r="W22" s="192">
        <f t="shared" si="9"/>
        <v>5099.322580645161</v>
      </c>
      <c r="X22" s="34">
        <f t="shared" si="27"/>
        <v>0.76451612903225785</v>
      </c>
      <c r="Y22" s="35">
        <f t="shared" si="28"/>
        <v>56092.548387096758</v>
      </c>
      <c r="Z22" s="437">
        <f>'B5'!C21</f>
        <v>243</v>
      </c>
      <c r="AA22" s="192">
        <f t="shared" si="29"/>
        <v>2430</v>
      </c>
      <c r="AB22" s="192">
        <f t="shared" si="30"/>
        <v>243</v>
      </c>
      <c r="AC22" s="192">
        <f t="shared" si="29"/>
        <v>2430</v>
      </c>
      <c r="AD22" s="192">
        <f t="shared" si="31"/>
        <v>243</v>
      </c>
      <c r="AE22" s="192">
        <f t="shared" si="10"/>
        <v>2430</v>
      </c>
      <c r="AF22" s="192">
        <f t="shared" si="32"/>
        <v>243</v>
      </c>
      <c r="AG22" s="192">
        <f t="shared" si="11"/>
        <v>2430</v>
      </c>
      <c r="AH22" s="192">
        <f t="shared" si="33"/>
        <v>243</v>
      </c>
      <c r="AI22" s="192">
        <f t="shared" si="12"/>
        <v>2430</v>
      </c>
      <c r="AJ22" s="192">
        <f t="shared" si="34"/>
        <v>243</v>
      </c>
      <c r="AK22" s="192">
        <f t="shared" si="13"/>
        <v>2430</v>
      </c>
      <c r="AL22" s="192">
        <f t="shared" si="35"/>
        <v>243</v>
      </c>
      <c r="AM22" s="192">
        <f t="shared" si="14"/>
        <v>2430</v>
      </c>
      <c r="AN22" s="34">
        <f t="shared" si="15"/>
        <v>0.86785714285714288</v>
      </c>
      <c r="AO22" s="35">
        <f t="shared" si="39"/>
        <v>17010</v>
      </c>
      <c r="AQ22" s="208">
        <f t="shared" si="40"/>
        <v>0.78630255337309629</v>
      </c>
      <c r="AR22" s="37">
        <f t="shared" si="41"/>
        <v>73102.548387096758</v>
      </c>
      <c r="AS22" s="186">
        <f t="shared" ref="AS22:AS32" si="48">SUM(AR22-AR21-AT22)</f>
        <v>0</v>
      </c>
      <c r="AT22" s="300"/>
      <c r="AU22" s="472"/>
      <c r="AV22" s="429">
        <f t="shared" si="47"/>
        <v>0.86799999999999999</v>
      </c>
      <c r="AW22" s="250">
        <f>-SUM('B5'!AI21)</f>
        <v>0</v>
      </c>
      <c r="AX22" s="250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6" t="e">
        <f>GEN!AF19</f>
        <v>#DIV/0!</v>
      </c>
    </row>
    <row r="23" spans="1:64">
      <c r="A23" s="376">
        <f>ELEC!C21</f>
        <v>44975</v>
      </c>
      <c r="B23" s="437">
        <f>'B5'!B22</f>
        <v>237</v>
      </c>
      <c r="C23" s="192">
        <f t="shared" si="16"/>
        <v>5099.322580645161</v>
      </c>
      <c r="D23">
        <f t="shared" si="17"/>
        <v>237</v>
      </c>
      <c r="E23" s="192">
        <f t="shared" si="16"/>
        <v>5099.322580645161</v>
      </c>
      <c r="F23">
        <f t="shared" si="18"/>
        <v>237</v>
      </c>
      <c r="G23" s="192">
        <f t="shared" si="1"/>
        <v>5099.322580645161</v>
      </c>
      <c r="H23" s="192">
        <f t="shared" si="19"/>
        <v>237</v>
      </c>
      <c r="I23" s="192">
        <f t="shared" si="2"/>
        <v>5099.322580645161</v>
      </c>
      <c r="J23" s="192">
        <f t="shared" si="20"/>
        <v>237</v>
      </c>
      <c r="K23" s="192">
        <f t="shared" si="3"/>
        <v>5099.322580645161</v>
      </c>
      <c r="L23" s="192">
        <f t="shared" si="21"/>
        <v>237</v>
      </c>
      <c r="M23" s="192">
        <f t="shared" si="4"/>
        <v>5099.322580645161</v>
      </c>
      <c r="N23" s="192">
        <f t="shared" si="22"/>
        <v>237</v>
      </c>
      <c r="O23" s="192">
        <f t="shared" si="5"/>
        <v>5099.322580645161</v>
      </c>
      <c r="P23" s="192">
        <f t="shared" si="23"/>
        <v>237</v>
      </c>
      <c r="Q23" s="192">
        <f t="shared" si="6"/>
        <v>5099.322580645161</v>
      </c>
      <c r="R23" s="192">
        <f t="shared" si="24"/>
        <v>237</v>
      </c>
      <c r="S23" s="192">
        <f t="shared" si="7"/>
        <v>5099.322580645161</v>
      </c>
      <c r="T23" s="192">
        <f t="shared" si="25"/>
        <v>237</v>
      </c>
      <c r="U23" s="192">
        <f t="shared" si="8"/>
        <v>5099.322580645161</v>
      </c>
      <c r="V23" s="192">
        <f t="shared" si="26"/>
        <v>237</v>
      </c>
      <c r="W23" s="192">
        <f t="shared" si="9"/>
        <v>5099.322580645161</v>
      </c>
      <c r="X23" s="34">
        <f t="shared" si="27"/>
        <v>0.76451612903225785</v>
      </c>
      <c r="Y23" s="35">
        <f t="shared" si="28"/>
        <v>56092.548387096758</v>
      </c>
      <c r="Z23" s="437">
        <f>'B5'!C22</f>
        <v>243</v>
      </c>
      <c r="AA23" s="192">
        <f t="shared" si="29"/>
        <v>2430</v>
      </c>
      <c r="AB23" s="192">
        <f t="shared" si="30"/>
        <v>243</v>
      </c>
      <c r="AC23" s="192">
        <f t="shared" si="29"/>
        <v>2430</v>
      </c>
      <c r="AD23" s="192">
        <f t="shared" si="31"/>
        <v>243</v>
      </c>
      <c r="AE23" s="192">
        <f t="shared" si="10"/>
        <v>2430</v>
      </c>
      <c r="AF23" s="192">
        <f t="shared" si="32"/>
        <v>243</v>
      </c>
      <c r="AG23" s="192">
        <f t="shared" si="11"/>
        <v>2430</v>
      </c>
      <c r="AH23" s="192">
        <f t="shared" si="33"/>
        <v>243</v>
      </c>
      <c r="AI23" s="192">
        <f t="shared" si="12"/>
        <v>2430</v>
      </c>
      <c r="AJ23" s="192">
        <f t="shared" si="34"/>
        <v>243</v>
      </c>
      <c r="AK23" s="192">
        <f t="shared" si="13"/>
        <v>2430</v>
      </c>
      <c r="AL23" s="192">
        <f t="shared" si="35"/>
        <v>243</v>
      </c>
      <c r="AM23" s="192">
        <f t="shared" si="14"/>
        <v>2430</v>
      </c>
      <c r="AN23" s="34">
        <f t="shared" si="15"/>
        <v>0.86785714285714288</v>
      </c>
      <c r="AO23" s="35">
        <f t="shared" si="39"/>
        <v>17010</v>
      </c>
      <c r="AQ23" s="208">
        <f t="shared" si="40"/>
        <v>0.78630255337309629</v>
      </c>
      <c r="AR23" s="37">
        <f t="shared" si="41"/>
        <v>73102.548387096758</v>
      </c>
      <c r="AS23" s="186">
        <f t="shared" si="48"/>
        <v>0</v>
      </c>
      <c r="AT23" s="300"/>
      <c r="AU23" s="472"/>
      <c r="AV23" s="429">
        <f t="shared" si="47"/>
        <v>0.86799999999999999</v>
      </c>
      <c r="AW23" s="250">
        <f>-SUM('B5'!AI22)</f>
        <v>0</v>
      </c>
      <c r="AX23" s="250">
        <f t="shared" si="36"/>
        <v>0</v>
      </c>
      <c r="AY23" s="36">
        <f t="shared" si="37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44"/>
        <v>0</v>
      </c>
      <c r="BD23" s="98">
        <v>19222</v>
      </c>
      <c r="BE23" s="14">
        <f>(305/1185)*ELEC!Q22</f>
        <v>615.40506329104187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466" t="e">
        <f>GEN!AF20</f>
        <v>#DIV/0!</v>
      </c>
    </row>
    <row r="24" spans="1:64">
      <c r="A24" s="376">
        <f>ELEC!C22</f>
        <v>44976</v>
      </c>
      <c r="B24" s="437">
        <f>'B5'!B23</f>
        <v>234</v>
      </c>
      <c r="C24" s="192">
        <f t="shared" si="16"/>
        <v>5034.7741935483873</v>
      </c>
      <c r="D24">
        <f t="shared" si="17"/>
        <v>234</v>
      </c>
      <c r="E24" s="192">
        <f t="shared" si="16"/>
        <v>5034.7741935483873</v>
      </c>
      <c r="F24">
        <f t="shared" si="18"/>
        <v>234</v>
      </c>
      <c r="G24" s="192">
        <f t="shared" si="1"/>
        <v>5034.7741935483873</v>
      </c>
      <c r="H24" s="192">
        <f t="shared" si="19"/>
        <v>234</v>
      </c>
      <c r="I24" s="192">
        <f t="shared" si="2"/>
        <v>5034.7741935483873</v>
      </c>
      <c r="J24" s="192">
        <f t="shared" si="20"/>
        <v>234</v>
      </c>
      <c r="K24" s="192">
        <f t="shared" si="3"/>
        <v>5034.7741935483873</v>
      </c>
      <c r="L24" s="192">
        <f t="shared" si="21"/>
        <v>234</v>
      </c>
      <c r="M24" s="192">
        <f t="shared" si="4"/>
        <v>5034.7741935483873</v>
      </c>
      <c r="N24" s="192">
        <f t="shared" si="22"/>
        <v>234</v>
      </c>
      <c r="O24" s="192">
        <f t="shared" si="5"/>
        <v>5034.7741935483873</v>
      </c>
      <c r="P24" s="192">
        <f t="shared" si="23"/>
        <v>234</v>
      </c>
      <c r="Q24" s="192">
        <f t="shared" si="6"/>
        <v>5034.7741935483873</v>
      </c>
      <c r="R24" s="192">
        <f t="shared" si="24"/>
        <v>234</v>
      </c>
      <c r="S24" s="192">
        <f t="shared" si="7"/>
        <v>5034.7741935483873</v>
      </c>
      <c r="T24" s="192">
        <f t="shared" si="25"/>
        <v>234</v>
      </c>
      <c r="U24" s="192">
        <f t="shared" si="8"/>
        <v>5034.7741935483873</v>
      </c>
      <c r="V24" s="192">
        <f t="shared" si="26"/>
        <v>234</v>
      </c>
      <c r="W24" s="192">
        <f t="shared" si="9"/>
        <v>5034.7741935483873</v>
      </c>
      <c r="X24" s="34">
        <f t="shared" si="27"/>
        <v>0.75483870967741939</v>
      </c>
      <c r="Y24" s="35">
        <f t="shared" si="28"/>
        <v>55382.516129032258</v>
      </c>
      <c r="Z24" s="437">
        <f>'B5'!C23</f>
        <v>240</v>
      </c>
      <c r="AA24" s="192">
        <f t="shared" si="29"/>
        <v>2400</v>
      </c>
      <c r="AB24" s="192">
        <f t="shared" si="30"/>
        <v>240</v>
      </c>
      <c r="AC24" s="192">
        <f t="shared" si="29"/>
        <v>2400</v>
      </c>
      <c r="AD24" s="192">
        <f t="shared" si="31"/>
        <v>240</v>
      </c>
      <c r="AE24" s="192">
        <f t="shared" si="10"/>
        <v>2400</v>
      </c>
      <c r="AF24" s="192">
        <f t="shared" si="32"/>
        <v>240</v>
      </c>
      <c r="AG24" s="192">
        <f t="shared" si="11"/>
        <v>2400</v>
      </c>
      <c r="AH24" s="192">
        <f t="shared" si="33"/>
        <v>240</v>
      </c>
      <c r="AI24" s="192">
        <f t="shared" si="12"/>
        <v>2400</v>
      </c>
      <c r="AJ24" s="192">
        <f t="shared" si="34"/>
        <v>240</v>
      </c>
      <c r="AK24" s="192">
        <f t="shared" si="13"/>
        <v>2400</v>
      </c>
      <c r="AL24" s="192">
        <f t="shared" si="35"/>
        <v>240</v>
      </c>
      <c r="AM24" s="192">
        <f t="shared" si="14"/>
        <v>2400</v>
      </c>
      <c r="AN24" s="34">
        <f t="shared" si="15"/>
        <v>0.8571428571428571</v>
      </c>
      <c r="AO24" s="35">
        <f t="shared" si="39"/>
        <v>16800</v>
      </c>
      <c r="AQ24" s="208">
        <f t="shared" si="40"/>
        <v>0.77640654113189478</v>
      </c>
      <c r="AR24" s="37">
        <f t="shared" si="41"/>
        <v>72182.516129032258</v>
      </c>
      <c r="AS24" s="186">
        <f t="shared" si="48"/>
        <v>-6450.0322580645006</v>
      </c>
      <c r="AT24" s="300">
        <v>5530</v>
      </c>
      <c r="AU24" s="472">
        <v>0.83499999999999996</v>
      </c>
      <c r="AV24" s="429">
        <f t="shared" si="47"/>
        <v>0.83499999999999996</v>
      </c>
      <c r="AW24" s="250">
        <f>-SUM('B5'!AI23)</f>
        <v>-180</v>
      </c>
      <c r="AX24" s="250">
        <f t="shared" si="36"/>
        <v>-6270.0322580645006</v>
      </c>
      <c r="AY24" s="36">
        <f t="shared" si="37"/>
        <v>-6450.0322580645006</v>
      </c>
      <c r="AZ24" s="96">
        <f>ELEC!A22</f>
        <v>0</v>
      </c>
      <c r="BA24" s="114">
        <f>'General information '!D23</f>
        <v>15.5</v>
      </c>
      <c r="BB24" s="193">
        <f>SUM('General information '!E23)</f>
        <v>0.45</v>
      </c>
      <c r="BC24" s="3">
        <f t="shared" si="44"/>
        <v>0</v>
      </c>
      <c r="BD24" s="98">
        <v>19222</v>
      </c>
      <c r="BE24" s="14">
        <f>(305/1185)*ELEC!Q23</f>
        <v>602.53586497899289</v>
      </c>
      <c r="BF24" s="14"/>
      <c r="BG24" s="14" t="e">
        <f>#REF!-BE24</f>
        <v>#REF!</v>
      </c>
      <c r="BH24" s="11"/>
      <c r="BI24">
        <v>11</v>
      </c>
      <c r="BJ24">
        <f t="shared" si="46"/>
        <v>-570.00293255131828</v>
      </c>
      <c r="BK24" s="466">
        <f>GEN!AF21</f>
        <v>0.14943749999997635</v>
      </c>
    </row>
    <row r="25" spans="1:64">
      <c r="A25" s="376">
        <f>ELEC!C23</f>
        <v>44977</v>
      </c>
      <c r="B25" s="437">
        <f>'B5'!B24</f>
        <v>229.5</v>
      </c>
      <c r="C25" s="192">
        <f t="shared" si="16"/>
        <v>4937.9516129032254</v>
      </c>
      <c r="D25">
        <f t="shared" si="17"/>
        <v>229.5</v>
      </c>
      <c r="E25" s="192">
        <f t="shared" si="16"/>
        <v>4937.9516129032254</v>
      </c>
      <c r="F25">
        <f t="shared" si="18"/>
        <v>229.5</v>
      </c>
      <c r="G25" s="192">
        <f t="shared" si="1"/>
        <v>4937.9516129032254</v>
      </c>
      <c r="H25" s="192">
        <f t="shared" si="19"/>
        <v>229.5</v>
      </c>
      <c r="I25" s="192">
        <f t="shared" si="2"/>
        <v>4937.9516129032254</v>
      </c>
      <c r="J25" s="192">
        <f t="shared" si="20"/>
        <v>229.5</v>
      </c>
      <c r="K25" s="192">
        <f t="shared" si="3"/>
        <v>4937.9516129032254</v>
      </c>
      <c r="L25" s="192">
        <f t="shared" si="21"/>
        <v>229.5</v>
      </c>
      <c r="M25" s="192">
        <f t="shared" si="4"/>
        <v>4937.9516129032254</v>
      </c>
      <c r="N25" s="192">
        <f t="shared" si="22"/>
        <v>229.5</v>
      </c>
      <c r="O25" s="192">
        <f t="shared" si="5"/>
        <v>4937.9516129032254</v>
      </c>
      <c r="P25" s="192">
        <f t="shared" si="23"/>
        <v>229.5</v>
      </c>
      <c r="Q25" s="192">
        <f t="shared" si="6"/>
        <v>4937.9516129032254</v>
      </c>
      <c r="R25" s="192">
        <f t="shared" si="24"/>
        <v>229.5</v>
      </c>
      <c r="S25" s="192">
        <f t="shared" si="7"/>
        <v>4937.9516129032254</v>
      </c>
      <c r="T25" s="192">
        <f t="shared" si="25"/>
        <v>229.5</v>
      </c>
      <c r="U25" s="192">
        <f t="shared" si="8"/>
        <v>4937.9516129032254</v>
      </c>
      <c r="V25" s="192">
        <f t="shared" si="26"/>
        <v>229.5</v>
      </c>
      <c r="W25" s="192">
        <f t="shared" si="9"/>
        <v>4937.9516129032254</v>
      </c>
      <c r="X25" s="34">
        <f t="shared" si="27"/>
        <v>0.74032258064516143</v>
      </c>
      <c r="Y25" s="35">
        <f t="shared" si="28"/>
        <v>54317.467741935492</v>
      </c>
      <c r="Z25" s="437">
        <f>'B5'!C24</f>
        <v>236</v>
      </c>
      <c r="AA25" s="192">
        <f t="shared" si="29"/>
        <v>2360</v>
      </c>
      <c r="AB25" s="192">
        <f t="shared" si="30"/>
        <v>236</v>
      </c>
      <c r="AC25" s="192">
        <f t="shared" si="29"/>
        <v>2360</v>
      </c>
      <c r="AD25" s="192">
        <f t="shared" si="31"/>
        <v>236</v>
      </c>
      <c r="AE25" s="192">
        <f t="shared" si="10"/>
        <v>2360</v>
      </c>
      <c r="AF25" s="192">
        <f t="shared" si="32"/>
        <v>236</v>
      </c>
      <c r="AG25" s="192">
        <f t="shared" si="11"/>
        <v>2360</v>
      </c>
      <c r="AH25" s="192">
        <f t="shared" si="33"/>
        <v>236</v>
      </c>
      <c r="AI25" s="192">
        <f t="shared" si="12"/>
        <v>2360</v>
      </c>
      <c r="AJ25" s="192">
        <f t="shared" si="34"/>
        <v>236</v>
      </c>
      <c r="AK25" s="192">
        <f t="shared" si="13"/>
        <v>2360</v>
      </c>
      <c r="AL25" s="192">
        <f t="shared" si="35"/>
        <v>236</v>
      </c>
      <c r="AM25" s="192">
        <f t="shared" si="14"/>
        <v>2360</v>
      </c>
      <c r="AN25" s="34">
        <f t="shared" si="15"/>
        <v>0.84285714285714286</v>
      </c>
      <c r="AO25" s="35">
        <f t="shared" si="39"/>
        <v>16520</v>
      </c>
      <c r="AQ25" s="208">
        <f t="shared" si="40"/>
        <v>0.76193898829660622</v>
      </c>
      <c r="AR25" s="37">
        <f t="shared" si="41"/>
        <v>70837.467741935485</v>
      </c>
      <c r="AS25" s="186">
        <f t="shared" si="48"/>
        <v>-1345.0483870967728</v>
      </c>
      <c r="AT25" s="300"/>
      <c r="AU25" s="472"/>
      <c r="AV25" s="429">
        <f t="shared" si="47"/>
        <v>0.83499999999999996</v>
      </c>
      <c r="AW25" s="250">
        <f>-SUM('B5'!AI24)</f>
        <v>-474</v>
      </c>
      <c r="AX25" s="250">
        <f t="shared" si="36"/>
        <v>-871.04838709677279</v>
      </c>
      <c r="AY25" s="36">
        <f t="shared" si="37"/>
        <v>-1345.0483870967728</v>
      </c>
      <c r="AZ25" s="96">
        <f>ELEC!A23</f>
        <v>0</v>
      </c>
      <c r="BA25" s="114">
        <f>'General information '!D24</f>
        <v>15</v>
      </c>
      <c r="BB25" s="193">
        <f>SUM('General information '!E24)</f>
        <v>0.56000000000000005</v>
      </c>
      <c r="BC25" s="3">
        <f t="shared" si="44"/>
        <v>0</v>
      </c>
      <c r="BD25" s="98">
        <v>19222</v>
      </c>
      <c r="BE25" s="14">
        <f>(305/1185)*ELEC!Q24</f>
        <v>688.50210970445414</v>
      </c>
      <c r="BF25" s="14"/>
      <c r="BG25" s="14" t="e">
        <f>#REF!-BE25</f>
        <v>#REF!</v>
      </c>
      <c r="BH25" s="11"/>
      <c r="BI25">
        <v>12</v>
      </c>
      <c r="BJ25">
        <f t="shared" si="46"/>
        <v>-72.587365591397727</v>
      </c>
      <c r="BK25" s="466"/>
    </row>
    <row r="26" spans="1:64">
      <c r="A26" s="376">
        <f>ELEC!C24</f>
        <v>44978</v>
      </c>
      <c r="B26" s="437">
        <f>'B5'!B25</f>
        <v>224</v>
      </c>
      <c r="C26" s="192">
        <f t="shared" si="16"/>
        <v>4819.6129032258068</v>
      </c>
      <c r="D26">
        <f t="shared" si="17"/>
        <v>224</v>
      </c>
      <c r="E26" s="192">
        <f t="shared" si="16"/>
        <v>4819.6129032258068</v>
      </c>
      <c r="F26">
        <f t="shared" si="18"/>
        <v>224</v>
      </c>
      <c r="G26" s="192">
        <f t="shared" si="1"/>
        <v>4819.6129032258068</v>
      </c>
      <c r="H26" s="192">
        <f t="shared" si="19"/>
        <v>224</v>
      </c>
      <c r="I26" s="192">
        <f t="shared" si="2"/>
        <v>4819.6129032258068</v>
      </c>
      <c r="J26" s="192">
        <f t="shared" si="20"/>
        <v>224</v>
      </c>
      <c r="K26" s="192">
        <f t="shared" si="3"/>
        <v>4819.6129032258068</v>
      </c>
      <c r="L26" s="192">
        <f t="shared" si="21"/>
        <v>224</v>
      </c>
      <c r="M26" s="192">
        <f t="shared" si="4"/>
        <v>4819.6129032258068</v>
      </c>
      <c r="N26" s="192">
        <f t="shared" si="22"/>
        <v>224</v>
      </c>
      <c r="O26" s="192">
        <f t="shared" si="5"/>
        <v>4819.6129032258068</v>
      </c>
      <c r="P26" s="192">
        <f t="shared" si="23"/>
        <v>224</v>
      </c>
      <c r="Q26" s="192">
        <f t="shared" si="6"/>
        <v>4819.6129032258068</v>
      </c>
      <c r="R26" s="192">
        <f t="shared" si="24"/>
        <v>224</v>
      </c>
      <c r="S26" s="192">
        <f t="shared" si="7"/>
        <v>4819.6129032258068</v>
      </c>
      <c r="T26" s="192">
        <f t="shared" si="25"/>
        <v>224</v>
      </c>
      <c r="U26" s="192">
        <f t="shared" si="8"/>
        <v>4819.6129032258068</v>
      </c>
      <c r="V26" s="192">
        <f t="shared" si="26"/>
        <v>224</v>
      </c>
      <c r="W26" s="192">
        <f t="shared" si="9"/>
        <v>4819.6129032258068</v>
      </c>
      <c r="X26" s="34">
        <f t="shared" si="27"/>
        <v>0.72258064516129028</v>
      </c>
      <c r="Y26" s="35">
        <f t="shared" si="28"/>
        <v>53015.741935483864</v>
      </c>
      <c r="Z26" s="437">
        <f>'B5'!C25</f>
        <v>232</v>
      </c>
      <c r="AA26" s="192">
        <f t="shared" si="29"/>
        <v>2320</v>
      </c>
      <c r="AB26" s="192">
        <f t="shared" si="30"/>
        <v>232</v>
      </c>
      <c r="AC26" s="192">
        <f t="shared" si="29"/>
        <v>2320</v>
      </c>
      <c r="AD26" s="192">
        <f t="shared" si="31"/>
        <v>232</v>
      </c>
      <c r="AE26" s="192">
        <f t="shared" si="10"/>
        <v>2320</v>
      </c>
      <c r="AF26" s="192">
        <f t="shared" si="32"/>
        <v>232</v>
      </c>
      <c r="AG26" s="192">
        <f t="shared" si="11"/>
        <v>2320</v>
      </c>
      <c r="AH26" s="192">
        <f t="shared" si="33"/>
        <v>232</v>
      </c>
      <c r="AI26" s="192">
        <f t="shared" si="12"/>
        <v>2320</v>
      </c>
      <c r="AJ26" s="192">
        <f t="shared" si="34"/>
        <v>232</v>
      </c>
      <c r="AK26" s="192">
        <f t="shared" si="13"/>
        <v>2320</v>
      </c>
      <c r="AL26" s="192">
        <f t="shared" si="35"/>
        <v>232</v>
      </c>
      <c r="AM26" s="192">
        <f t="shared" si="14"/>
        <v>2320</v>
      </c>
      <c r="AN26" s="34">
        <f t="shared" si="15"/>
        <v>0.82857142857142863</v>
      </c>
      <c r="AO26" s="35">
        <f t="shared" si="39"/>
        <v>16240</v>
      </c>
      <c r="AQ26" s="208">
        <f t="shared" si="40"/>
        <v>0.7449256957672783</v>
      </c>
      <c r="AR26" s="37">
        <f t="shared" si="41"/>
        <v>69255.741935483864</v>
      </c>
      <c r="AS26" s="186">
        <f t="shared" si="48"/>
        <v>-1581.7258064516209</v>
      </c>
      <c r="AT26" s="300"/>
      <c r="AU26" s="472"/>
      <c r="AV26" s="429">
        <f t="shared" si="47"/>
        <v>0.83499999999999996</v>
      </c>
      <c r="AW26" s="250">
        <f>-SUM('B5'!AI25)</f>
        <v>-236</v>
      </c>
      <c r="AX26" s="250">
        <f t="shared" si="36"/>
        <v>-1345.7258064516209</v>
      </c>
      <c r="AY26" s="36">
        <f t="shared" si="37"/>
        <v>-1581.7258064516209</v>
      </c>
      <c r="AZ26" s="96">
        <f>ELEC!A24</f>
        <v>0</v>
      </c>
      <c r="BA26" s="114">
        <f>'General information '!D25</f>
        <v>15</v>
      </c>
      <c r="BB26" s="193">
        <f>SUM('General information '!E25)</f>
        <v>0.55000000000000004</v>
      </c>
      <c r="BC26" s="3">
        <f t="shared" si="44"/>
        <v>0</v>
      </c>
      <c r="BD26" s="98">
        <v>19222</v>
      </c>
      <c r="BE26" s="14">
        <f>(305/1185)*ELEC!Q25</f>
        <v>550.80168776356334</v>
      </c>
      <c r="BF26" s="14"/>
      <c r="BG26" s="14" t="e">
        <f>#REF!-BE26</f>
        <v>#REF!</v>
      </c>
      <c r="BH26" s="11"/>
      <c r="BI26">
        <v>13</v>
      </c>
      <c r="BJ26">
        <f t="shared" si="46"/>
        <v>-103.51736972704776</v>
      </c>
      <c r="BK26" s="466"/>
    </row>
    <row r="27" spans="1:64">
      <c r="A27" s="376">
        <f>ELEC!C25</f>
        <v>44979</v>
      </c>
      <c r="B27" s="437">
        <f>'B5'!B26</f>
        <v>222</v>
      </c>
      <c r="C27" s="192">
        <f t="shared" si="16"/>
        <v>4776.5806451612898</v>
      </c>
      <c r="D27">
        <f t="shared" si="17"/>
        <v>222</v>
      </c>
      <c r="E27" s="192">
        <f t="shared" si="16"/>
        <v>4776.5806451612898</v>
      </c>
      <c r="F27">
        <f t="shared" si="18"/>
        <v>222</v>
      </c>
      <c r="G27" s="192">
        <f t="shared" si="1"/>
        <v>4776.5806451612898</v>
      </c>
      <c r="H27" s="192">
        <f t="shared" si="19"/>
        <v>222</v>
      </c>
      <c r="I27" s="192">
        <f t="shared" si="2"/>
        <v>4776.5806451612898</v>
      </c>
      <c r="J27" s="192">
        <f t="shared" si="20"/>
        <v>222</v>
      </c>
      <c r="K27" s="192">
        <f t="shared" si="3"/>
        <v>4776.5806451612898</v>
      </c>
      <c r="L27" s="192">
        <f t="shared" si="21"/>
        <v>222</v>
      </c>
      <c r="M27" s="192">
        <f t="shared" si="4"/>
        <v>4776.5806451612898</v>
      </c>
      <c r="N27" s="192">
        <f t="shared" si="22"/>
        <v>222</v>
      </c>
      <c r="O27" s="192">
        <f t="shared" si="5"/>
        <v>4776.5806451612898</v>
      </c>
      <c r="P27" s="192">
        <f t="shared" si="23"/>
        <v>222</v>
      </c>
      <c r="Q27" s="192">
        <f t="shared" si="6"/>
        <v>4776.5806451612898</v>
      </c>
      <c r="R27" s="192">
        <f t="shared" si="24"/>
        <v>222</v>
      </c>
      <c r="S27" s="192">
        <f t="shared" si="7"/>
        <v>4776.5806451612898</v>
      </c>
      <c r="T27" s="192">
        <f t="shared" si="25"/>
        <v>222</v>
      </c>
      <c r="U27" s="192">
        <f t="shared" si="8"/>
        <v>4776.5806451612898</v>
      </c>
      <c r="V27" s="192">
        <f t="shared" si="26"/>
        <v>222</v>
      </c>
      <c r="W27" s="192">
        <f t="shared" si="9"/>
        <v>4776.5806451612898</v>
      </c>
      <c r="X27" s="34">
        <f t="shared" si="27"/>
        <v>0.71612903225806424</v>
      </c>
      <c r="Y27" s="35">
        <f t="shared" si="28"/>
        <v>52542.387096774175</v>
      </c>
      <c r="Z27" s="437">
        <f>'B5'!C26</f>
        <v>229</v>
      </c>
      <c r="AA27" s="192">
        <f t="shared" si="29"/>
        <v>2290</v>
      </c>
      <c r="AB27" s="192">
        <f t="shared" si="30"/>
        <v>229</v>
      </c>
      <c r="AC27" s="192">
        <f t="shared" si="29"/>
        <v>2290</v>
      </c>
      <c r="AD27" s="192">
        <f t="shared" si="31"/>
        <v>229</v>
      </c>
      <c r="AE27" s="192">
        <f t="shared" si="10"/>
        <v>2290</v>
      </c>
      <c r="AF27" s="192">
        <f t="shared" si="32"/>
        <v>229</v>
      </c>
      <c r="AG27" s="192">
        <f t="shared" si="11"/>
        <v>2290</v>
      </c>
      <c r="AH27" s="192">
        <f t="shared" si="33"/>
        <v>229</v>
      </c>
      <c r="AI27" s="192">
        <f t="shared" si="12"/>
        <v>2290</v>
      </c>
      <c r="AJ27" s="192">
        <f t="shared" si="34"/>
        <v>229</v>
      </c>
      <c r="AK27" s="192">
        <f t="shared" si="13"/>
        <v>2290</v>
      </c>
      <c r="AL27" s="192">
        <f t="shared" si="35"/>
        <v>229</v>
      </c>
      <c r="AM27" s="192">
        <f t="shared" si="14"/>
        <v>2290</v>
      </c>
      <c r="AN27" s="34">
        <f t="shared" si="15"/>
        <v>0.81785714285714284</v>
      </c>
      <c r="AO27" s="35">
        <f t="shared" si="39"/>
        <v>16030</v>
      </c>
      <c r="AQ27" s="208">
        <f t="shared" si="40"/>
        <v>0.73757542322011593</v>
      </c>
      <c r="AR27" s="37">
        <f t="shared" si="41"/>
        <v>68572.387096774182</v>
      </c>
      <c r="AS27" s="186">
        <f t="shared" si="48"/>
        <v>-683.35483870968164</v>
      </c>
      <c r="AT27" s="300"/>
      <c r="AU27" s="472"/>
      <c r="AV27" s="429">
        <f t="shared" si="47"/>
        <v>0.83499999999999996</v>
      </c>
      <c r="AW27" s="250">
        <f>-SUM('B5'!AI26)</f>
        <v>-283</v>
      </c>
      <c r="AX27" s="250">
        <f t="shared" si="36"/>
        <v>-400.35483870968164</v>
      </c>
      <c r="AY27" s="36">
        <f t="shared" si="37"/>
        <v>-683.35483870968164</v>
      </c>
      <c r="AZ27" s="96">
        <f>ELEC!A25</f>
        <v>0</v>
      </c>
      <c r="BA27" s="114">
        <f>'General information '!D26</f>
        <v>14.5</v>
      </c>
      <c r="BB27" s="193">
        <f>SUM('General information '!E26)</f>
        <v>0.66</v>
      </c>
      <c r="BC27" s="3">
        <f t="shared" si="44"/>
        <v>0</v>
      </c>
      <c r="BD27" s="98">
        <v>19222</v>
      </c>
      <c r="BE27" s="14">
        <f>(305/1185)*ELEC!Q26</f>
        <v>726.85232067524043</v>
      </c>
      <c r="BF27" s="14"/>
      <c r="BG27" s="14" t="e">
        <f>#REF!-BE27</f>
        <v>#REF!</v>
      </c>
      <c r="BH27" s="11"/>
      <c r="BI27">
        <v>14</v>
      </c>
      <c r="BJ27">
        <f t="shared" si="46"/>
        <v>-28.59677419354869</v>
      </c>
      <c r="BK27" s="466">
        <f>GEN!AF24</f>
        <v>0.16718749999995453</v>
      </c>
    </row>
    <row r="28" spans="1:64">
      <c r="A28" s="376">
        <f>ELEC!C26</f>
        <v>44980</v>
      </c>
      <c r="B28" s="437">
        <f>'B5'!B27</f>
        <v>218</v>
      </c>
      <c r="C28" s="192">
        <f t="shared" si="16"/>
        <v>4690.5161290322576</v>
      </c>
      <c r="D28">
        <f t="shared" si="17"/>
        <v>218</v>
      </c>
      <c r="E28" s="192">
        <f t="shared" si="16"/>
        <v>4690.5161290322576</v>
      </c>
      <c r="F28">
        <f t="shared" si="18"/>
        <v>218</v>
      </c>
      <c r="G28" s="192">
        <f t="shared" si="1"/>
        <v>4690.5161290322576</v>
      </c>
      <c r="H28" s="192">
        <f t="shared" si="19"/>
        <v>218</v>
      </c>
      <c r="I28" s="192">
        <f t="shared" si="2"/>
        <v>4690.5161290322576</v>
      </c>
      <c r="J28" s="192">
        <f t="shared" si="20"/>
        <v>218</v>
      </c>
      <c r="K28" s="192">
        <f t="shared" si="3"/>
        <v>4690.5161290322576</v>
      </c>
      <c r="L28" s="192">
        <f t="shared" si="21"/>
        <v>218</v>
      </c>
      <c r="M28" s="192">
        <f t="shared" si="4"/>
        <v>4690.5161290322576</v>
      </c>
      <c r="N28" s="192">
        <f t="shared" si="22"/>
        <v>218</v>
      </c>
      <c r="O28" s="192">
        <f t="shared" si="5"/>
        <v>4690.5161290322576</v>
      </c>
      <c r="P28" s="192">
        <f t="shared" si="23"/>
        <v>218</v>
      </c>
      <c r="Q28" s="192">
        <f t="shared" si="6"/>
        <v>4690.5161290322576</v>
      </c>
      <c r="R28" s="192">
        <f t="shared" si="24"/>
        <v>218</v>
      </c>
      <c r="S28" s="192">
        <f t="shared" si="7"/>
        <v>4690.5161290322576</v>
      </c>
      <c r="T28" s="192">
        <f t="shared" si="25"/>
        <v>218</v>
      </c>
      <c r="U28" s="192">
        <f t="shared" si="8"/>
        <v>4690.5161290322576</v>
      </c>
      <c r="V28" s="192">
        <f t="shared" si="26"/>
        <v>218</v>
      </c>
      <c r="W28" s="192">
        <f t="shared" si="9"/>
        <v>4690.5161290322576</v>
      </c>
      <c r="X28" s="34">
        <f t="shared" si="27"/>
        <v>0.70322580645161281</v>
      </c>
      <c r="Y28" s="35">
        <f t="shared" si="28"/>
        <v>51595.677419354834</v>
      </c>
      <c r="Z28" s="437">
        <f>'B5'!C27</f>
        <v>225</v>
      </c>
      <c r="AA28" s="192">
        <f t="shared" si="29"/>
        <v>2250</v>
      </c>
      <c r="AB28" s="192">
        <f t="shared" si="30"/>
        <v>225</v>
      </c>
      <c r="AC28" s="192">
        <f t="shared" si="29"/>
        <v>2250</v>
      </c>
      <c r="AD28" s="192">
        <f t="shared" si="31"/>
        <v>225</v>
      </c>
      <c r="AE28" s="192">
        <f t="shared" si="10"/>
        <v>2250</v>
      </c>
      <c r="AF28" s="192">
        <f t="shared" si="32"/>
        <v>225</v>
      </c>
      <c r="AG28" s="192">
        <f t="shared" si="11"/>
        <v>2250</v>
      </c>
      <c r="AH28" s="192">
        <f t="shared" si="33"/>
        <v>225</v>
      </c>
      <c r="AI28" s="192">
        <f t="shared" si="12"/>
        <v>2250</v>
      </c>
      <c r="AJ28" s="192">
        <f t="shared" si="34"/>
        <v>225</v>
      </c>
      <c r="AK28" s="192">
        <f t="shared" si="13"/>
        <v>2250</v>
      </c>
      <c r="AL28" s="192">
        <f t="shared" si="35"/>
        <v>225</v>
      </c>
      <c r="AM28" s="192">
        <f t="shared" si="14"/>
        <v>2250</v>
      </c>
      <c r="AN28" s="34">
        <f t="shared" si="15"/>
        <v>0.8035714285714286</v>
      </c>
      <c r="AO28" s="35">
        <f t="shared" si="39"/>
        <v>15750</v>
      </c>
      <c r="AQ28" s="208">
        <f t="shared" si="40"/>
        <v>0.72438074023184718</v>
      </c>
      <c r="AR28" s="37">
        <f t="shared" si="41"/>
        <v>67345.677419354834</v>
      </c>
      <c r="AS28" s="186">
        <f t="shared" si="48"/>
        <v>-1226.7096774193487</v>
      </c>
      <c r="AT28" s="300"/>
      <c r="AU28" s="472"/>
      <c r="AV28" s="429">
        <f t="shared" si="47"/>
        <v>0.83499999999999996</v>
      </c>
      <c r="AW28" s="250">
        <f>-SUM('B5'!AI27)</f>
        <v>-306</v>
      </c>
      <c r="AX28" s="250">
        <f t="shared" si="36"/>
        <v>-920.70967741934874</v>
      </c>
      <c r="AY28" s="36">
        <f t="shared" si="37"/>
        <v>-1226.7096774193487</v>
      </c>
      <c r="AZ28" s="96">
        <f>ELEC!A26</f>
        <v>0</v>
      </c>
      <c r="BA28" s="114">
        <f>'General information '!D27</f>
        <v>14.5</v>
      </c>
      <c r="BB28" s="193">
        <f>SUM('General information '!E27)</f>
        <v>0.66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-61.380645161289912</v>
      </c>
      <c r="BK28" s="466" t="e">
        <f>GEN!AF25</f>
        <v>#DIV/0!</v>
      </c>
    </row>
    <row r="29" spans="1:64">
      <c r="A29" s="376">
        <f>ELEC!C27</f>
        <v>44981</v>
      </c>
      <c r="B29" s="437">
        <f>'B5'!B28</f>
        <v>218</v>
      </c>
      <c r="C29" s="192">
        <f t="shared" si="16"/>
        <v>4690.5161290322576</v>
      </c>
      <c r="D29">
        <f t="shared" si="17"/>
        <v>218</v>
      </c>
      <c r="E29" s="192">
        <f t="shared" si="16"/>
        <v>4690.5161290322576</v>
      </c>
      <c r="F29">
        <f t="shared" si="18"/>
        <v>218</v>
      </c>
      <c r="G29" s="192">
        <f t="shared" si="1"/>
        <v>4690.5161290322576</v>
      </c>
      <c r="H29" s="192">
        <f t="shared" si="19"/>
        <v>218</v>
      </c>
      <c r="I29" s="192">
        <f t="shared" si="2"/>
        <v>4690.5161290322576</v>
      </c>
      <c r="J29" s="192">
        <f t="shared" si="20"/>
        <v>218</v>
      </c>
      <c r="K29" s="192">
        <f t="shared" si="3"/>
        <v>4690.5161290322576</v>
      </c>
      <c r="L29" s="192">
        <f t="shared" si="21"/>
        <v>218</v>
      </c>
      <c r="M29" s="192">
        <f t="shared" si="4"/>
        <v>4690.5161290322576</v>
      </c>
      <c r="N29" s="192">
        <f t="shared" si="22"/>
        <v>218</v>
      </c>
      <c r="O29" s="192">
        <f t="shared" si="5"/>
        <v>4690.5161290322576</v>
      </c>
      <c r="P29" s="192">
        <f t="shared" si="23"/>
        <v>218</v>
      </c>
      <c r="Q29" s="192">
        <f t="shared" si="6"/>
        <v>4690.5161290322576</v>
      </c>
      <c r="R29" s="192">
        <f t="shared" si="24"/>
        <v>218</v>
      </c>
      <c r="S29" s="192">
        <f t="shared" si="7"/>
        <v>4690.5161290322576</v>
      </c>
      <c r="T29" s="192">
        <f t="shared" si="25"/>
        <v>218</v>
      </c>
      <c r="U29" s="192">
        <f t="shared" si="8"/>
        <v>4690.5161290322576</v>
      </c>
      <c r="V29" s="192">
        <f t="shared" si="26"/>
        <v>218</v>
      </c>
      <c r="W29" s="192">
        <f t="shared" si="9"/>
        <v>4690.5161290322576</v>
      </c>
      <c r="X29" s="34">
        <f t="shared" si="27"/>
        <v>0.70322580645161281</v>
      </c>
      <c r="Y29" s="35">
        <f t="shared" si="28"/>
        <v>51595.677419354834</v>
      </c>
      <c r="Z29" s="437">
        <f>'B5'!C28</f>
        <v>225</v>
      </c>
      <c r="AA29" s="192">
        <f t="shared" si="29"/>
        <v>2250</v>
      </c>
      <c r="AB29" s="192">
        <f t="shared" si="30"/>
        <v>225</v>
      </c>
      <c r="AC29" s="192">
        <f t="shared" si="29"/>
        <v>2250</v>
      </c>
      <c r="AD29" s="192">
        <f t="shared" si="31"/>
        <v>225</v>
      </c>
      <c r="AE29" s="192">
        <f t="shared" si="10"/>
        <v>2250</v>
      </c>
      <c r="AF29" s="192">
        <f t="shared" si="32"/>
        <v>225</v>
      </c>
      <c r="AG29" s="192">
        <f t="shared" si="11"/>
        <v>2250</v>
      </c>
      <c r="AH29" s="192">
        <f t="shared" si="33"/>
        <v>225</v>
      </c>
      <c r="AI29" s="192">
        <f t="shared" si="12"/>
        <v>2250</v>
      </c>
      <c r="AJ29" s="192">
        <f t="shared" si="34"/>
        <v>225</v>
      </c>
      <c r="AK29" s="192">
        <f t="shared" si="13"/>
        <v>2250</v>
      </c>
      <c r="AL29" s="192">
        <f t="shared" si="35"/>
        <v>225</v>
      </c>
      <c r="AM29" s="192">
        <f t="shared" si="14"/>
        <v>2250</v>
      </c>
      <c r="AN29" s="34">
        <f t="shared" si="15"/>
        <v>0.8035714285714286</v>
      </c>
      <c r="AO29" s="35">
        <f t="shared" si="39"/>
        <v>15750</v>
      </c>
      <c r="AQ29" s="208">
        <f t="shared" si="40"/>
        <v>0.72438074023184718</v>
      </c>
      <c r="AR29" s="37">
        <f t="shared" si="41"/>
        <v>67345.677419354834</v>
      </c>
      <c r="AS29" s="186">
        <f>SUM(AR29-AR28-AT29)</f>
        <v>0</v>
      </c>
      <c r="AT29" s="300"/>
      <c r="AU29" s="472"/>
      <c r="AV29" s="429">
        <f t="shared" si="47"/>
        <v>0.83499999999999996</v>
      </c>
      <c r="AW29" s="250">
        <f>-SUM('B5'!AI28)</f>
        <v>0</v>
      </c>
      <c r="AX29" s="250">
        <f t="shared" si="36"/>
        <v>0</v>
      </c>
      <c r="AY29" s="36">
        <f t="shared" si="37"/>
        <v>0</v>
      </c>
      <c r="AZ29" s="96">
        <f>ELEC!A27</f>
        <v>0</v>
      </c>
      <c r="BA29" s="114">
        <f>'General information '!D28</f>
        <v>14.5</v>
      </c>
      <c r="BB29" s="193">
        <f>SUM('General information '!E28)</f>
        <v>0.66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6">
        <f>GEN!AF26</f>
        <v>0</v>
      </c>
    </row>
    <row r="30" spans="1:64">
      <c r="A30" s="376">
        <f>ELEC!C28</f>
        <v>44982</v>
      </c>
      <c r="B30" s="437">
        <f>'B5'!B29</f>
        <v>218</v>
      </c>
      <c r="C30" s="192">
        <f t="shared" si="16"/>
        <v>4690.5161290322576</v>
      </c>
      <c r="D30">
        <f>SUM(B30)</f>
        <v>218</v>
      </c>
      <c r="E30" s="192">
        <f t="shared" si="16"/>
        <v>4690.5161290322576</v>
      </c>
      <c r="F30">
        <f>SUM(D30)</f>
        <v>218</v>
      </c>
      <c r="G30" s="192">
        <f t="shared" si="1"/>
        <v>4690.5161290322576</v>
      </c>
      <c r="H30" s="192">
        <f>SUM(F30)</f>
        <v>218</v>
      </c>
      <c r="I30" s="192">
        <f t="shared" si="2"/>
        <v>4690.5161290322576</v>
      </c>
      <c r="J30" s="192">
        <f>SUM(H30)</f>
        <v>218</v>
      </c>
      <c r="K30" s="192">
        <f t="shared" si="3"/>
        <v>4690.5161290322576</v>
      </c>
      <c r="L30" s="192">
        <f>SUM(J30)</f>
        <v>218</v>
      </c>
      <c r="M30" s="192">
        <f t="shared" si="4"/>
        <v>4690.5161290322576</v>
      </c>
      <c r="N30" s="192">
        <f>SUM(L30)</f>
        <v>218</v>
      </c>
      <c r="O30" s="192">
        <f t="shared" si="5"/>
        <v>4690.5161290322576</v>
      </c>
      <c r="P30" s="192">
        <f>SUM(N30)</f>
        <v>218</v>
      </c>
      <c r="Q30" s="192">
        <f t="shared" si="6"/>
        <v>4690.5161290322576</v>
      </c>
      <c r="R30" s="192">
        <f>SUM(P30)</f>
        <v>218</v>
      </c>
      <c r="S30" s="192">
        <f t="shared" si="7"/>
        <v>4690.5161290322576</v>
      </c>
      <c r="T30" s="192">
        <f>SUM(R30)</f>
        <v>218</v>
      </c>
      <c r="U30" s="192">
        <f t="shared" si="8"/>
        <v>4690.5161290322576</v>
      </c>
      <c r="V30" s="192">
        <f>SUM(T30)</f>
        <v>218</v>
      </c>
      <c r="W30" s="192">
        <f t="shared" si="9"/>
        <v>4690.5161290322576</v>
      </c>
      <c r="X30" s="34">
        <f>SUM(Y30/73370)</f>
        <v>0.70322580645161281</v>
      </c>
      <c r="Y30" s="35">
        <f>SUM(C30+E30+G30+I30+K30+M30+O30+Q30+S30+U30+W30)</f>
        <v>51595.677419354834</v>
      </c>
      <c r="Z30" s="437">
        <f>'B5'!C29</f>
        <v>225</v>
      </c>
      <c r="AA30" s="192">
        <f t="shared" si="29"/>
        <v>2250</v>
      </c>
      <c r="AB30" s="192">
        <f>SUM(Z30)</f>
        <v>225</v>
      </c>
      <c r="AC30" s="192">
        <f t="shared" si="29"/>
        <v>2250</v>
      </c>
      <c r="AD30" s="192">
        <f>SUM(AB30)</f>
        <v>225</v>
      </c>
      <c r="AE30" s="192">
        <f t="shared" si="10"/>
        <v>2250</v>
      </c>
      <c r="AF30" s="192">
        <f>SUM(AD30)</f>
        <v>225</v>
      </c>
      <c r="AG30" s="192">
        <f t="shared" si="11"/>
        <v>2250</v>
      </c>
      <c r="AH30" s="192">
        <f>SUM(AF30)</f>
        <v>225</v>
      </c>
      <c r="AI30" s="192">
        <f t="shared" si="12"/>
        <v>2250</v>
      </c>
      <c r="AJ30" s="192">
        <f>SUM(AH30)</f>
        <v>225</v>
      </c>
      <c r="AK30" s="192">
        <f t="shared" si="13"/>
        <v>2250</v>
      </c>
      <c r="AL30" s="192">
        <f>SUM(AJ30)</f>
        <v>225</v>
      </c>
      <c r="AM30" s="192">
        <f t="shared" si="14"/>
        <v>2250</v>
      </c>
      <c r="AN30" s="34">
        <f>SUM(AO30/19600)</f>
        <v>0.8035714285714286</v>
      </c>
      <c r="AO30" s="35">
        <f>SUM(AA30+AC30+AE30+AG30+AI30+AK30+AM30)</f>
        <v>15750</v>
      </c>
      <c r="AQ30" s="208">
        <f t="shared" si="40"/>
        <v>0.72438074023184718</v>
      </c>
      <c r="AR30" s="37">
        <f t="shared" si="41"/>
        <v>67345.677419354834</v>
      </c>
      <c r="AS30" s="186">
        <f>SUM(AR30-AR29-AT30)</f>
        <v>0</v>
      </c>
      <c r="AT30" s="300"/>
      <c r="AU30" s="472"/>
      <c r="AV30" s="429">
        <f t="shared" si="47"/>
        <v>0.83499999999999996</v>
      </c>
      <c r="AW30" s="250">
        <f>-SUM('B5'!AI29)</f>
        <v>0</v>
      </c>
      <c r="AX30" s="250">
        <f t="shared" si="36"/>
        <v>0</v>
      </c>
      <c r="AY30" s="36">
        <f t="shared" si="37"/>
        <v>0</v>
      </c>
      <c r="AZ30" s="96">
        <f>ELEC!A28</f>
        <v>0</v>
      </c>
      <c r="BA30" s="114">
        <f>'General information '!D29</f>
        <v>17</v>
      </c>
      <c r="BB30" s="193">
        <f>SUM('General information '!E29)</f>
        <v>0.66</v>
      </c>
      <c r="BC30" s="3">
        <f t="shared" si="44"/>
        <v>0</v>
      </c>
      <c r="BD30" s="98">
        <v>19222</v>
      </c>
      <c r="BE30" s="14">
        <f>(305/1185)*ELEC!Q29</f>
        <v>619.52320675086014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6" t="e">
        <f>GEN!AF27</f>
        <v>#DIV/0!</v>
      </c>
    </row>
    <row r="31" spans="1:64">
      <c r="A31" s="376">
        <f>ELEC!C29</f>
        <v>44983</v>
      </c>
      <c r="B31" s="437">
        <f>'B5'!B30</f>
        <v>235</v>
      </c>
      <c r="C31" s="192">
        <f t="shared" si="16"/>
        <v>5056.2903225806449</v>
      </c>
      <c r="D31">
        <f>SUM(B31)</f>
        <v>235</v>
      </c>
      <c r="E31" s="192">
        <f t="shared" si="16"/>
        <v>5056.2903225806449</v>
      </c>
      <c r="F31">
        <f>SUM(D31)</f>
        <v>235</v>
      </c>
      <c r="G31" s="192">
        <f t="shared" si="1"/>
        <v>5056.2903225806449</v>
      </c>
      <c r="H31" s="192">
        <f>SUM(F31)</f>
        <v>235</v>
      </c>
      <c r="I31" s="192">
        <f t="shared" si="2"/>
        <v>5056.2903225806449</v>
      </c>
      <c r="J31" s="192">
        <f>SUM(H31)</f>
        <v>235</v>
      </c>
      <c r="K31" s="192">
        <f t="shared" si="3"/>
        <v>5056.2903225806449</v>
      </c>
      <c r="L31" s="192">
        <f>SUM(J31)</f>
        <v>235</v>
      </c>
      <c r="M31" s="192">
        <f t="shared" si="4"/>
        <v>5056.2903225806449</v>
      </c>
      <c r="N31" s="192">
        <f>SUM(L31)</f>
        <v>235</v>
      </c>
      <c r="O31" s="192">
        <f t="shared" si="5"/>
        <v>5056.2903225806449</v>
      </c>
      <c r="P31" s="192">
        <f>SUM(N31)</f>
        <v>235</v>
      </c>
      <c r="Q31" s="192">
        <f t="shared" si="6"/>
        <v>5056.2903225806449</v>
      </c>
      <c r="R31" s="192">
        <f>SUM(P31)</f>
        <v>235</v>
      </c>
      <c r="S31" s="192">
        <f t="shared" si="7"/>
        <v>5056.2903225806449</v>
      </c>
      <c r="T31" s="192">
        <f>SUM(R31)</f>
        <v>235</v>
      </c>
      <c r="U31" s="192">
        <f t="shared" si="8"/>
        <v>5056.2903225806449</v>
      </c>
      <c r="V31" s="192">
        <f>SUM(T31)</f>
        <v>235</v>
      </c>
      <c r="W31" s="192">
        <f t="shared" si="9"/>
        <v>5056.2903225806449</v>
      </c>
      <c r="X31" s="34">
        <f>SUM(Y31/73370)</f>
        <v>0.75806451612903214</v>
      </c>
      <c r="Y31" s="35">
        <f>SUM(C31+E31+G31+I31+K31+M31+O31+Q31+S31+U31+W31)</f>
        <v>55619.193548387091</v>
      </c>
      <c r="Z31" s="437">
        <f>'B5'!C30</f>
        <v>241</v>
      </c>
      <c r="AA31" s="192">
        <f t="shared" si="29"/>
        <v>2410</v>
      </c>
      <c r="AB31" s="192">
        <f>SUM(Z31)</f>
        <v>241</v>
      </c>
      <c r="AC31" s="192">
        <f t="shared" si="29"/>
        <v>2410</v>
      </c>
      <c r="AD31" s="192">
        <f>SUM(AB31)</f>
        <v>241</v>
      </c>
      <c r="AE31" s="192">
        <f t="shared" si="10"/>
        <v>2410</v>
      </c>
      <c r="AF31" s="192">
        <f>SUM(AD31)</f>
        <v>241</v>
      </c>
      <c r="AG31" s="192">
        <f t="shared" si="11"/>
        <v>2410</v>
      </c>
      <c r="AH31" s="192">
        <f>SUM(AF31)</f>
        <v>241</v>
      </c>
      <c r="AI31" s="192">
        <f t="shared" si="12"/>
        <v>2410</v>
      </c>
      <c r="AJ31" s="192">
        <f>SUM(AH31)</f>
        <v>241</v>
      </c>
      <c r="AK31" s="192">
        <f t="shared" si="13"/>
        <v>2410</v>
      </c>
      <c r="AL31" s="192">
        <f>SUM(AJ31)</f>
        <v>241</v>
      </c>
      <c r="AM31" s="192">
        <f t="shared" si="14"/>
        <v>2410</v>
      </c>
      <c r="AN31" s="34">
        <f>SUM(AO31/19600)</f>
        <v>0.86071428571428577</v>
      </c>
      <c r="AO31" s="35">
        <f>SUM(AA31+AC31+AE31+AG31+AI31+AK31+AM31)</f>
        <v>16870</v>
      </c>
      <c r="AQ31" s="208">
        <f t="shared" si="40"/>
        <v>0.77970521187896191</v>
      </c>
      <c r="AR31" s="37">
        <f t="shared" si="41"/>
        <v>72489.193548387091</v>
      </c>
      <c r="AS31" s="186">
        <f t="shared" si="48"/>
        <v>-386.4838709677424</v>
      </c>
      <c r="AT31" s="300">
        <v>5530</v>
      </c>
      <c r="AU31" s="472">
        <v>0.88</v>
      </c>
      <c r="AV31" s="429">
        <f t="shared" si="47"/>
        <v>0.88</v>
      </c>
      <c r="AW31" s="250">
        <f>-SUM('B5'!AI30)</f>
        <v>-242</v>
      </c>
      <c r="AX31" s="250">
        <f t="shared" si="36"/>
        <v>-144.4838709677424</v>
      </c>
      <c r="AY31" s="36">
        <f t="shared" si="37"/>
        <v>-386.4838709677424</v>
      </c>
      <c r="AZ31" s="96">
        <f>ELEC!A29</f>
        <v>0</v>
      </c>
      <c r="BA31" s="114">
        <f>'General information '!D30</f>
        <v>18.5</v>
      </c>
      <c r="BB31" s="193">
        <f>SUM('General information '!E30)</f>
        <v>0.66</v>
      </c>
      <c r="BC31" s="3">
        <f t="shared" si="44"/>
        <v>1</v>
      </c>
      <c r="BD31" s="98">
        <v>19222</v>
      </c>
      <c r="BE31" s="14">
        <f>(305/1185)*ELEC!Q30</f>
        <v>598.16033755287754</v>
      </c>
      <c r="BF31" s="14"/>
      <c r="BG31" s="14" t="e">
        <f>#REF!-BE31</f>
        <v>#REF!</v>
      </c>
      <c r="BH31" s="11"/>
      <c r="BI31">
        <v>18</v>
      </c>
      <c r="BJ31">
        <f t="shared" si="46"/>
        <v>-8.0268817204301328</v>
      </c>
      <c r="BK31" s="466">
        <f>GEN!AF28</f>
        <v>0.15043749999995271</v>
      </c>
    </row>
    <row r="32" spans="1:64">
      <c r="A32" s="376">
        <f>ELEC!C30</f>
        <v>44984</v>
      </c>
      <c r="B32" s="437">
        <f>'B5'!B31</f>
        <v>231</v>
      </c>
      <c r="C32" s="192">
        <f t="shared" si="16"/>
        <v>4970.2258064516127</v>
      </c>
      <c r="D32">
        <f>SUM(B32)</f>
        <v>231</v>
      </c>
      <c r="E32" s="192">
        <f t="shared" si="16"/>
        <v>4970.2258064516127</v>
      </c>
      <c r="F32">
        <f>SUM(D32)</f>
        <v>231</v>
      </c>
      <c r="G32" s="192">
        <f t="shared" si="1"/>
        <v>4970.2258064516127</v>
      </c>
      <c r="H32" s="192">
        <f>SUM(F32)</f>
        <v>231</v>
      </c>
      <c r="I32" s="192">
        <f t="shared" si="2"/>
        <v>4970.2258064516127</v>
      </c>
      <c r="J32" s="192">
        <f>SUM(H32)</f>
        <v>231</v>
      </c>
      <c r="K32" s="192">
        <f t="shared" si="3"/>
        <v>4970.2258064516127</v>
      </c>
      <c r="L32" s="192">
        <f>SUM(J32)</f>
        <v>231</v>
      </c>
      <c r="M32" s="192">
        <f t="shared" si="4"/>
        <v>4970.2258064516127</v>
      </c>
      <c r="N32" s="192">
        <f>SUM(L32)</f>
        <v>231</v>
      </c>
      <c r="O32" s="192">
        <f t="shared" si="5"/>
        <v>4970.2258064516127</v>
      </c>
      <c r="P32" s="192">
        <f>SUM(N32)</f>
        <v>231</v>
      </c>
      <c r="Q32" s="192">
        <f t="shared" si="6"/>
        <v>4970.2258064516127</v>
      </c>
      <c r="R32" s="192">
        <f>SUM(P32)</f>
        <v>231</v>
      </c>
      <c r="S32" s="192">
        <f t="shared" si="7"/>
        <v>4970.2258064516127</v>
      </c>
      <c r="T32" s="192">
        <f>SUM(R32)</f>
        <v>231</v>
      </c>
      <c r="U32" s="192">
        <f t="shared" si="8"/>
        <v>4970.2258064516127</v>
      </c>
      <c r="V32" s="192">
        <f>SUM(T32)</f>
        <v>231</v>
      </c>
      <c r="W32" s="192">
        <f t="shared" si="9"/>
        <v>4970.2258064516127</v>
      </c>
      <c r="X32" s="34">
        <f>SUM(Y32/73370)</f>
        <v>0.74516129032258061</v>
      </c>
      <c r="Y32" s="35">
        <f>SUM(C32+E32+G32+I32+K32+M32+O32+Q32+S32+U32+W32)</f>
        <v>54672.483870967742</v>
      </c>
      <c r="Z32" s="437">
        <f>'B5'!C31</f>
        <v>238</v>
      </c>
      <c r="AA32" s="192">
        <f t="shared" si="29"/>
        <v>2380</v>
      </c>
      <c r="AB32" s="192">
        <f>SUM(Z32)</f>
        <v>238</v>
      </c>
      <c r="AC32" s="192">
        <f t="shared" si="29"/>
        <v>2380</v>
      </c>
      <c r="AD32" s="192">
        <f>SUM(AB32)</f>
        <v>238</v>
      </c>
      <c r="AE32" s="192">
        <f t="shared" si="10"/>
        <v>2380</v>
      </c>
      <c r="AF32" s="192">
        <f>SUM(AD32)</f>
        <v>238</v>
      </c>
      <c r="AG32" s="192">
        <f t="shared" si="11"/>
        <v>2380</v>
      </c>
      <c r="AH32" s="192">
        <f>SUM(AF32)</f>
        <v>238</v>
      </c>
      <c r="AI32" s="192">
        <f t="shared" si="12"/>
        <v>2380</v>
      </c>
      <c r="AJ32" s="192">
        <f>SUM(AH32)</f>
        <v>238</v>
      </c>
      <c r="AK32" s="192">
        <f t="shared" si="13"/>
        <v>2380</v>
      </c>
      <c r="AL32" s="192">
        <f>SUM(AJ32)</f>
        <v>238</v>
      </c>
      <c r="AM32" s="192">
        <f t="shared" si="14"/>
        <v>2380</v>
      </c>
      <c r="AN32" s="34">
        <f>SUM(AO32/19600)</f>
        <v>0.85</v>
      </c>
      <c r="AO32" s="35">
        <f>SUM(AA32+AC32+AE32+AG32+AI32+AK32+AM32)</f>
        <v>16660</v>
      </c>
      <c r="AQ32" s="208">
        <f t="shared" si="40"/>
        <v>0.76726345994372103</v>
      </c>
      <c r="AR32" s="37">
        <f t="shared" si="41"/>
        <v>71332.483870967742</v>
      </c>
      <c r="AS32" s="186">
        <f t="shared" si="48"/>
        <v>-1156.7096774193487</v>
      </c>
      <c r="AT32" s="300"/>
      <c r="AU32" s="472"/>
      <c r="AV32" s="429">
        <f t="shared" si="47"/>
        <v>0.88</v>
      </c>
      <c r="AW32" s="250">
        <f>-SUM('B5'!AI31)</f>
        <v>-385</v>
      </c>
      <c r="AX32" s="250">
        <f>-SUM(AW32-AS32)</f>
        <v>-771.70967741934874</v>
      </c>
      <c r="AY32" s="36">
        <f t="shared" si="37"/>
        <v>-1156.7096774193487</v>
      </c>
      <c r="AZ32" s="96">
        <f>ELEC!A30</f>
        <v>0</v>
      </c>
      <c r="BA32" s="114">
        <f>'General information '!D31</f>
        <v>20.5</v>
      </c>
      <c r="BB32" s="193">
        <f>SUM('General information '!E31)</f>
        <v>0.44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-40.616298811544674</v>
      </c>
      <c r="BK32" s="466">
        <f>GEN!AF29</f>
        <v>0.16138888888892527</v>
      </c>
    </row>
    <row r="33" spans="1:63">
      <c r="A33" s="376">
        <f>ELEC!C31</f>
        <v>44985</v>
      </c>
      <c r="B33" s="437">
        <f>'B5'!B32</f>
        <v>231</v>
      </c>
      <c r="C33" s="192">
        <f t="shared" si="16"/>
        <v>4970.2258064516127</v>
      </c>
      <c r="D33">
        <f>SUM(B33)</f>
        <v>231</v>
      </c>
      <c r="E33" s="192">
        <f t="shared" si="16"/>
        <v>4970.2258064516127</v>
      </c>
      <c r="F33">
        <f>SUM(D33)</f>
        <v>231</v>
      </c>
      <c r="G33" s="192">
        <f t="shared" si="1"/>
        <v>4970.2258064516127</v>
      </c>
      <c r="H33" s="192">
        <f>SUM(F33)</f>
        <v>231</v>
      </c>
      <c r="I33" s="192">
        <f t="shared" si="2"/>
        <v>4970.2258064516127</v>
      </c>
      <c r="J33" s="192">
        <f>SUM(H33)</f>
        <v>231</v>
      </c>
      <c r="K33" s="192">
        <f t="shared" si="3"/>
        <v>4970.2258064516127</v>
      </c>
      <c r="L33" s="192">
        <f>SUM(J33)</f>
        <v>231</v>
      </c>
      <c r="M33" s="192">
        <f t="shared" si="4"/>
        <v>4970.2258064516127</v>
      </c>
      <c r="N33" s="192">
        <f>SUM(L33)</f>
        <v>231</v>
      </c>
      <c r="O33" s="192">
        <f t="shared" si="5"/>
        <v>4970.2258064516127</v>
      </c>
      <c r="P33" s="192">
        <f>SUM(N33)</f>
        <v>231</v>
      </c>
      <c r="Q33" s="192">
        <f t="shared" si="6"/>
        <v>4970.2258064516127</v>
      </c>
      <c r="R33" s="192">
        <f>SUM(P33)</f>
        <v>231</v>
      </c>
      <c r="S33" s="192">
        <f t="shared" si="7"/>
        <v>4970.2258064516127</v>
      </c>
      <c r="T33" s="192">
        <f>SUM(R33)</f>
        <v>231</v>
      </c>
      <c r="U33" s="192">
        <f t="shared" si="8"/>
        <v>4970.2258064516127</v>
      </c>
      <c r="V33" s="192">
        <f>SUM(T33)</f>
        <v>231</v>
      </c>
      <c r="W33" s="192">
        <f t="shared" si="9"/>
        <v>4970.2258064516127</v>
      </c>
      <c r="X33" s="34">
        <f>SUM(Y33/73370)</f>
        <v>0.74516129032258061</v>
      </c>
      <c r="Y33" s="35">
        <f>SUM(C33+E33+G33+I33+K33+M33+O33+Q33+S33+U33+W33)</f>
        <v>54672.483870967742</v>
      </c>
      <c r="Z33" s="437">
        <f>'B5'!C32</f>
        <v>238</v>
      </c>
      <c r="AA33" s="192">
        <f t="shared" si="29"/>
        <v>2380</v>
      </c>
      <c r="AB33" s="192">
        <f>SUM(Z33)</f>
        <v>238</v>
      </c>
      <c r="AC33" s="192">
        <f t="shared" si="29"/>
        <v>2380</v>
      </c>
      <c r="AD33" s="192">
        <f>SUM(AB33)</f>
        <v>238</v>
      </c>
      <c r="AE33" s="192">
        <f t="shared" si="10"/>
        <v>2380</v>
      </c>
      <c r="AF33" s="192">
        <f>SUM(AD33)</f>
        <v>238</v>
      </c>
      <c r="AG33" s="192">
        <f t="shared" si="11"/>
        <v>2380</v>
      </c>
      <c r="AH33" s="192">
        <f>SUM(AF33)</f>
        <v>238</v>
      </c>
      <c r="AI33" s="192">
        <f t="shared" si="12"/>
        <v>2380</v>
      </c>
      <c r="AJ33" s="192">
        <f>SUM(AH33)</f>
        <v>238</v>
      </c>
      <c r="AK33" s="192">
        <f t="shared" si="13"/>
        <v>2380</v>
      </c>
      <c r="AL33" s="192">
        <f>SUM(AJ33)</f>
        <v>238</v>
      </c>
      <c r="AM33" s="192">
        <f t="shared" si="14"/>
        <v>2380</v>
      </c>
      <c r="AN33" s="34">
        <f>SUM(AO33/19600)</f>
        <v>0.85</v>
      </c>
      <c r="AO33" s="35">
        <f>SUM(AA33+AC33+AE33+AG33+AI33+AK33+AM33)</f>
        <v>16660</v>
      </c>
      <c r="AQ33" s="208">
        <f t="shared" si="40"/>
        <v>0.76726345994372103</v>
      </c>
      <c r="AR33" s="37">
        <f t="shared" si="41"/>
        <v>71332.483870967742</v>
      </c>
      <c r="AS33" s="186">
        <f>SUM(AR33-AR32-AT33)</f>
        <v>0</v>
      </c>
      <c r="AT33" s="300"/>
      <c r="AU33" s="472"/>
      <c r="AV33" s="429">
        <f t="shared" si="47"/>
        <v>0.88</v>
      </c>
      <c r="AW33" s="250">
        <f>-SUM('B5'!AI32)</f>
        <v>0</v>
      </c>
      <c r="AX33" s="250">
        <f t="shared" si="3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6" t="e">
        <f>GEN!AF30</f>
        <v>#DIV/0!</v>
      </c>
    </row>
    <row r="34" spans="1:63">
      <c r="A34" s="376">
        <f>ELEC!C32</f>
        <v>44986</v>
      </c>
      <c r="B34" s="437">
        <f>'B5'!B33</f>
        <v>231</v>
      </c>
      <c r="C34" s="192">
        <f t="shared" ref="C34" si="49">B34*$B$4</f>
        <v>4970.2258064516127</v>
      </c>
      <c r="D34">
        <f t="shared" ref="D34" si="50">SUM(B34)</f>
        <v>231</v>
      </c>
      <c r="E34" s="192">
        <f t="shared" ref="E34" si="51">D34*$B$4</f>
        <v>4970.2258064516127</v>
      </c>
      <c r="F34">
        <f t="shared" ref="F34" si="52">SUM(D34)</f>
        <v>231</v>
      </c>
      <c r="G34" s="192">
        <f t="shared" ref="G34" si="53">F34*$B$4</f>
        <v>4970.2258064516127</v>
      </c>
      <c r="H34" s="192">
        <f t="shared" ref="H34" si="54">SUM(F34)</f>
        <v>231</v>
      </c>
      <c r="I34" s="192">
        <f t="shared" ref="I34" si="55">H34*$B$4</f>
        <v>4970.2258064516127</v>
      </c>
      <c r="J34" s="192">
        <f t="shared" ref="J34" si="56">SUM(H34)</f>
        <v>231</v>
      </c>
      <c r="K34" s="192">
        <f t="shared" ref="K34" si="57">J34*$B$4</f>
        <v>4970.2258064516127</v>
      </c>
      <c r="L34" s="192">
        <f t="shared" ref="L34" si="58">SUM(J34)</f>
        <v>231</v>
      </c>
      <c r="M34" s="192">
        <f t="shared" ref="M34" si="59">L34*$B$4</f>
        <v>4970.2258064516127</v>
      </c>
      <c r="N34" s="192">
        <f t="shared" ref="N34" si="60">SUM(L34)</f>
        <v>231</v>
      </c>
      <c r="O34" s="192">
        <f t="shared" ref="O34" si="61">N34*$B$4</f>
        <v>4970.2258064516127</v>
      </c>
      <c r="P34" s="192">
        <f t="shared" ref="P34" si="62">SUM(N34)</f>
        <v>231</v>
      </c>
      <c r="Q34" s="192">
        <f t="shared" ref="Q34" si="63">P34*$B$4</f>
        <v>4970.2258064516127</v>
      </c>
      <c r="R34" s="192">
        <f t="shared" ref="R34" si="64">SUM(P34)</f>
        <v>231</v>
      </c>
      <c r="S34" s="192">
        <f t="shared" ref="S34" si="65">R34*$B$4</f>
        <v>4970.2258064516127</v>
      </c>
      <c r="T34" s="192">
        <f t="shared" ref="T34" si="66">SUM(R34)</f>
        <v>231</v>
      </c>
      <c r="U34" s="192">
        <f t="shared" ref="U34" si="67">T34*$B$4</f>
        <v>4970.2258064516127</v>
      </c>
      <c r="V34" s="192">
        <f t="shared" ref="V34" si="68">SUM(T34)</f>
        <v>231</v>
      </c>
      <c r="W34" s="192">
        <f t="shared" ref="W34" si="69">V34*$B$4</f>
        <v>4970.2258064516127</v>
      </c>
      <c r="X34" s="34">
        <f t="shared" ref="X34" si="70">SUM(Y34/73370)</f>
        <v>0.74516129032258061</v>
      </c>
      <c r="Y34" s="35">
        <f t="shared" ref="Y34" si="71">SUM(C34+E34+G34+I34+K34+M34+O34+Q34+S34+U34+W34)</f>
        <v>54672.483870967742</v>
      </c>
      <c r="Z34" s="437">
        <f>'B5'!C33</f>
        <v>238</v>
      </c>
      <c r="AA34" s="192">
        <f t="shared" ref="AA34" si="72">SUM(Z34*$Z$4)</f>
        <v>2380</v>
      </c>
      <c r="AB34" s="192">
        <f t="shared" ref="AB34" si="73">SUM(Z34)</f>
        <v>238</v>
      </c>
      <c r="AC34" s="192">
        <f t="shared" ref="AC34" si="74">SUM(AB34*$Z$4)</f>
        <v>2380</v>
      </c>
      <c r="AD34" s="192">
        <f t="shared" ref="AD34" si="75">SUM(AB34)</f>
        <v>238</v>
      </c>
      <c r="AE34" s="192">
        <f t="shared" ref="AE34" si="76">SUM(AD34*$Z$4)</f>
        <v>2380</v>
      </c>
      <c r="AF34" s="192">
        <f t="shared" ref="AF34" si="77">SUM(AD34)</f>
        <v>238</v>
      </c>
      <c r="AG34" s="192">
        <f t="shared" ref="AG34" si="78">SUM(AF34*$Z$4)</f>
        <v>2380</v>
      </c>
      <c r="AH34" s="192">
        <f t="shared" ref="AH34" si="79">SUM(AF34)</f>
        <v>238</v>
      </c>
      <c r="AI34" s="192">
        <f t="shared" ref="AI34" si="80">SUM(AH34*$Z$4)</f>
        <v>2380</v>
      </c>
      <c r="AJ34" s="192">
        <f t="shared" ref="AJ34" si="81">SUM(AH34)</f>
        <v>238</v>
      </c>
      <c r="AK34" s="192">
        <f t="shared" ref="AK34" si="82">SUM(AJ34*$Z$4)</f>
        <v>2380</v>
      </c>
      <c r="AL34" s="192">
        <f t="shared" ref="AL34" si="83">SUM(AJ34)</f>
        <v>238</v>
      </c>
      <c r="AM34" s="192">
        <f t="shared" ref="AM34" si="84">SUM(AL34*$Z$4)</f>
        <v>2380</v>
      </c>
      <c r="AN34" s="34">
        <f t="shared" ref="AN34" si="85">SUM(AO34/19600)</f>
        <v>0.85</v>
      </c>
      <c r="AO34" s="35">
        <f t="shared" ref="AO34" si="86">SUM(AA34+AC34+AE34+AG34+AI34+AK34+AM34)</f>
        <v>16660</v>
      </c>
      <c r="AQ34" s="208">
        <f t="shared" ref="AQ34" si="87">SUM(AR34/92970)</f>
        <v>0.76726345994372103</v>
      </c>
      <c r="AR34" s="37">
        <f t="shared" si="41"/>
        <v>71332.483870967742</v>
      </c>
      <c r="AS34" s="186">
        <f t="shared" ref="AS34" si="88">SUM(AR34-AR33-AT34)</f>
        <v>0</v>
      </c>
      <c r="AT34" s="300"/>
      <c r="AU34" s="472"/>
      <c r="AV34" s="429">
        <f t="shared" si="47"/>
        <v>0.88</v>
      </c>
      <c r="AW34" s="250">
        <f>-SUM('B5'!AI33)</f>
        <v>0</v>
      </c>
      <c r="AX34" s="250">
        <f t="shared" ref="AX34" si="89">-SUM(AW34-AS34)</f>
        <v>0</v>
      </c>
      <c r="AY34" s="36">
        <f t="shared" ref="AY34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" si="92">AX34/BI34</f>
        <v>0</v>
      </c>
      <c r="BK34" s="466" t="e">
        <f>GEN!AF31</f>
        <v>#DIV/0!</v>
      </c>
    </row>
    <row r="35" spans="1:63">
      <c r="A35" s="376"/>
      <c r="B35" s="437"/>
      <c r="C35" s="192"/>
      <c r="E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34"/>
      <c r="Y35" s="35"/>
      <c r="Z35" s="437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34"/>
      <c r="AO35" s="35"/>
      <c r="AQ35" s="208"/>
      <c r="AR35" s="37"/>
      <c r="AS35" s="186"/>
      <c r="AT35" s="300"/>
      <c r="AU35" s="472"/>
      <c r="AV35" s="429"/>
      <c r="AW35" s="250"/>
      <c r="AX35" s="250"/>
      <c r="AY35" s="36"/>
      <c r="AZ35" s="96"/>
      <c r="BA35" s="114"/>
      <c r="BB35" s="193"/>
      <c r="BC35" s="3"/>
      <c r="BD35" s="98"/>
      <c r="BE35" s="14"/>
      <c r="BF35" s="14"/>
      <c r="BG35" s="14"/>
      <c r="BH35" s="11"/>
      <c r="BK35" s="466"/>
    </row>
    <row r="36" spans="1:63">
      <c r="A36" s="376"/>
      <c r="B36" s="437"/>
      <c r="C36" s="192"/>
      <c r="E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34"/>
      <c r="Y36" s="35"/>
      <c r="Z36" s="437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34"/>
      <c r="AO36" s="35"/>
      <c r="AQ36" s="208"/>
      <c r="AR36" s="37"/>
      <c r="AS36" s="186"/>
      <c r="AT36" s="300"/>
      <c r="AU36" s="472"/>
      <c r="AV36" s="429"/>
      <c r="AW36" s="250"/>
      <c r="AX36" s="250"/>
      <c r="AY36" s="36"/>
      <c r="AZ36" s="96"/>
      <c r="BA36" s="114"/>
      <c r="BB36" s="193"/>
      <c r="BC36" s="3"/>
      <c r="BD36" s="98"/>
      <c r="BE36" s="14"/>
      <c r="BF36" s="14"/>
      <c r="BG36" s="14"/>
      <c r="BH36" s="11"/>
      <c r="BK36" s="466"/>
    </row>
    <row r="37" spans="1:63">
      <c r="AQ37" s="19"/>
      <c r="AR37" s="406" t="s">
        <v>120</v>
      </c>
      <c r="AS37" s="411">
        <f>COUNT(AT6:AT36)</f>
        <v>3</v>
      </c>
      <c r="AT37" s="192">
        <f>SUM(AT6:AT36)</f>
        <v>18230</v>
      </c>
      <c r="AU37">
        <f>SUM(AU6:AU36)/AS37</f>
        <v>0.86099999999999988</v>
      </c>
      <c r="AX37" s="192">
        <f>SUM(AX6:AX36)</f>
        <v>-14291.387096774182</v>
      </c>
      <c r="AY37" s="192">
        <f>SUM(AY6:AY36)</f>
        <v>-19623.387096774182</v>
      </c>
    </row>
    <row r="38" spans="1:63">
      <c r="AT38" s="79">
        <f>+AT37*AU37</f>
        <v>15696.029999999997</v>
      </c>
    </row>
    <row r="40" spans="1:63">
      <c r="AS40" s="1">
        <f>SUM(AS6:AS36)/'EDl log'!A35</f>
        <v>-2180.3763440860203</v>
      </c>
      <c r="AT40" s="192"/>
    </row>
    <row r="41" spans="1:63">
      <c r="AX41">
        <v>43309</v>
      </c>
    </row>
    <row r="42" spans="1:63">
      <c r="AR42" s="192">
        <f>AR36-22000</f>
        <v>-22000</v>
      </c>
      <c r="AU42" s="192"/>
      <c r="AX42">
        <f>AX37/AX41</f>
        <v>-0.32998654082925449</v>
      </c>
    </row>
    <row r="43" spans="1:63">
      <c r="AR43">
        <f>AR42/5500</f>
        <v>-4</v>
      </c>
    </row>
    <row r="44" spans="1:63">
      <c r="AR44">
        <f>AR43*2</f>
        <v>-8</v>
      </c>
    </row>
    <row r="45" spans="1:63">
      <c r="AR45" s="192"/>
    </row>
    <row r="46" spans="1:63">
      <c r="AT46" s="507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topLeftCell="X1" zoomScale="85" zoomScaleNormal="85" workbookViewId="0">
      <pane ySplit="3" topLeftCell="A4" activePane="bottomLeft" state="frozen"/>
      <selection pane="bottomLeft" activeCell="AY32" sqref="AY32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283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283" customWidth="1"/>
    <col min="11" max="11" width="13.54296875" style="1" customWidth="1"/>
    <col min="12" max="12" width="13.26953125" style="1" customWidth="1"/>
    <col min="13" max="14" width="10.7265625" style="1" customWidth="1"/>
    <col min="15" max="16" width="11.26953125" style="1" customWidth="1"/>
    <col min="17" max="17" width="17.26953125" style="1" customWidth="1"/>
    <col min="18" max="19" width="10.7265625" style="1" customWidth="1"/>
    <col min="20" max="20" width="13.26953125" style="1" customWidth="1"/>
    <col min="21" max="21" width="8.7265625" style="1" customWidth="1"/>
    <col min="22" max="22" width="13.26953125" style="273" customWidth="1"/>
    <col min="23" max="23" width="9.7265625" style="273" bestFit="1" customWidth="1"/>
    <col min="24" max="27" width="9.7265625" style="273" customWidth="1"/>
    <col min="28" max="28" width="14.453125" style="273" customWidth="1"/>
    <col min="29" max="32" width="9.7265625" style="273" customWidth="1"/>
    <col min="33" max="33" width="11.26953125" style="273" customWidth="1"/>
    <col min="34" max="36" width="9.7265625" style="273" customWidth="1"/>
    <col min="37" max="37" width="7.453125" style="273" customWidth="1"/>
    <col min="38" max="39" width="8.7265625" style="273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1" s="302" customFormat="1" ht="15" thickBot="1">
      <c r="B1" s="303"/>
      <c r="C1" s="303"/>
      <c r="D1" s="352">
        <f>SUM(G21:G33)</f>
        <v>8230445</v>
      </c>
      <c r="E1" s="304"/>
      <c r="F1" s="304"/>
      <c r="G1" s="303"/>
      <c r="H1" s="303"/>
      <c r="I1" s="303"/>
      <c r="J1" s="304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3"/>
      <c r="AR1" s="306" t="s">
        <v>121</v>
      </c>
      <c r="AS1" s="307"/>
      <c r="AT1" s="307" t="s">
        <v>96</v>
      </c>
      <c r="AU1" s="307"/>
      <c r="AV1" s="308" t="s">
        <v>97</v>
      </c>
    </row>
    <row r="2" spans="1:61" s="302" customFormat="1" ht="15.75" customHeight="1" thickBot="1">
      <c r="B2" s="303"/>
      <c r="C2" s="303"/>
      <c r="D2" s="303"/>
      <c r="E2" s="304"/>
      <c r="F2" s="304"/>
      <c r="G2" s="303"/>
      <c r="H2" s="303"/>
      <c r="I2" s="303"/>
      <c r="J2" s="304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5"/>
      <c r="AK2" s="305"/>
      <c r="AL2" s="305"/>
      <c r="AM2" s="305"/>
      <c r="AN2" s="303"/>
      <c r="AR2" s="548" t="s">
        <v>122</v>
      </c>
      <c r="AS2" s="549"/>
      <c r="AT2" s="549"/>
      <c r="AU2" s="549"/>
      <c r="AV2" s="550"/>
      <c r="AW2" s="548" t="s">
        <v>123</v>
      </c>
      <c r="AX2" s="549"/>
      <c r="AY2" s="550"/>
      <c r="AZ2" s="548" t="s">
        <v>124</v>
      </c>
      <c r="BA2" s="549"/>
      <c r="BB2" s="550"/>
      <c r="BC2" s="309"/>
    </row>
    <row r="3" spans="1:61" s="302" customFormat="1" ht="48" customHeight="1" thickBot="1">
      <c r="A3" s="310" t="s">
        <v>125</v>
      </c>
      <c r="B3" s="311" t="s">
        <v>126</v>
      </c>
      <c r="C3" s="311" t="s">
        <v>127</v>
      </c>
      <c r="D3" s="311" t="s">
        <v>128</v>
      </c>
      <c r="E3" s="312"/>
      <c r="F3" s="313" t="s">
        <v>129</v>
      </c>
      <c r="G3" s="311" t="s">
        <v>130</v>
      </c>
      <c r="H3" s="311" t="s">
        <v>131</v>
      </c>
      <c r="I3" s="311" t="s">
        <v>132</v>
      </c>
      <c r="J3" s="312"/>
      <c r="K3" s="311" t="s">
        <v>133</v>
      </c>
      <c r="L3" s="314" t="s">
        <v>134</v>
      </c>
      <c r="M3" s="423" t="s">
        <v>135</v>
      </c>
      <c r="N3" s="424"/>
      <c r="O3" s="425" t="s">
        <v>136</v>
      </c>
      <c r="P3" s="425"/>
      <c r="Q3" s="425" t="s">
        <v>137</v>
      </c>
      <c r="R3" s="425" t="s">
        <v>138</v>
      </c>
      <c r="S3" s="425" t="s">
        <v>139</v>
      </c>
      <c r="T3" s="311" t="s">
        <v>140</v>
      </c>
      <c r="U3" s="311" t="s">
        <v>141</v>
      </c>
      <c r="V3" s="315" t="s">
        <v>142</v>
      </c>
      <c r="W3" s="316" t="s">
        <v>143</v>
      </c>
      <c r="X3" s="315" t="s">
        <v>144</v>
      </c>
      <c r="Y3" s="316" t="s">
        <v>145</v>
      </c>
      <c r="Z3" s="317" t="s">
        <v>146</v>
      </c>
      <c r="AA3" s="318" t="s">
        <v>147</v>
      </c>
      <c r="AB3" s="373" t="s">
        <v>148</v>
      </c>
      <c r="AC3" s="371" t="s">
        <v>149</v>
      </c>
      <c r="AD3" s="371"/>
      <c r="AE3" s="319" t="s">
        <v>150</v>
      </c>
      <c r="AF3" s="319" t="s">
        <v>151</v>
      </c>
      <c r="AG3" s="319" t="s">
        <v>152</v>
      </c>
      <c r="AH3" s="319" t="s">
        <v>153</v>
      </c>
      <c r="AI3" s="318" t="s">
        <v>154</v>
      </c>
      <c r="AJ3" s="318" t="s">
        <v>155</v>
      </c>
      <c r="AK3" s="319" t="s">
        <v>156</v>
      </c>
      <c r="AL3" s="319" t="s">
        <v>157</v>
      </c>
      <c r="AM3" s="320" t="s">
        <v>158</v>
      </c>
      <c r="AN3" s="545" t="s">
        <v>159</v>
      </c>
      <c r="AO3" s="546"/>
      <c r="AP3" s="547"/>
      <c r="AR3" s="321" t="s">
        <v>125</v>
      </c>
      <c r="AS3" s="322"/>
      <c r="AT3" s="321" t="s">
        <v>160</v>
      </c>
      <c r="AU3" s="322"/>
      <c r="AV3" s="323" t="s">
        <v>161</v>
      </c>
      <c r="AW3" s="324"/>
      <c r="AX3" s="322" t="s">
        <v>162</v>
      </c>
      <c r="AY3" s="325" t="s">
        <v>163</v>
      </c>
      <c r="AZ3" s="323" t="s">
        <v>161</v>
      </c>
      <c r="BA3" s="326" t="s">
        <v>162</v>
      </c>
      <c r="BB3" s="327" t="s">
        <v>161</v>
      </c>
      <c r="BC3" s="327" t="s">
        <v>164</v>
      </c>
      <c r="BD3" s="328" t="s">
        <v>162</v>
      </c>
      <c r="BE3" s="329" t="s">
        <v>165</v>
      </c>
      <c r="BF3" s="328" t="s">
        <v>166</v>
      </c>
      <c r="BG3" s="330"/>
    </row>
    <row r="4" spans="1:61" ht="16" thickBot="1">
      <c r="A4" s="84"/>
      <c r="B4" s="5"/>
      <c r="C4" s="5"/>
      <c r="D4" s="235"/>
      <c r="E4" s="284">
        <v>1.66</v>
      </c>
      <c r="F4" s="284"/>
      <c r="G4" s="5"/>
      <c r="H4" s="5"/>
      <c r="I4" s="5"/>
      <c r="J4" s="285"/>
      <c r="K4" s="5"/>
      <c r="L4" s="80"/>
      <c r="M4" s="426"/>
      <c r="N4" s="426"/>
      <c r="O4" s="426"/>
      <c r="P4" s="426"/>
      <c r="Q4" s="426"/>
      <c r="R4" s="426"/>
      <c r="S4" s="426"/>
      <c r="T4" s="80"/>
      <c r="U4" s="80"/>
      <c r="V4" s="274"/>
      <c r="W4" s="275"/>
      <c r="X4" s="274"/>
      <c r="Y4" s="275"/>
      <c r="Z4" s="276"/>
      <c r="AA4" s="372"/>
      <c r="AB4" s="374"/>
      <c r="AC4" s="372"/>
      <c r="AD4" s="372"/>
      <c r="AE4" s="372"/>
      <c r="AF4" s="372"/>
      <c r="AG4" s="372"/>
      <c r="AH4" s="372"/>
      <c r="AI4" s="372"/>
      <c r="AJ4" s="277"/>
      <c r="AK4" s="278"/>
      <c r="AL4" s="278"/>
      <c r="AM4" s="279"/>
      <c r="AN4" s="85" t="s">
        <v>167</v>
      </c>
      <c r="AO4" s="85" t="s">
        <v>168</v>
      </c>
      <c r="AP4" s="85" t="s">
        <v>169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44592</v>
      </c>
      <c r="B5" s="346">
        <f>[2]WATER!B36</f>
        <v>109443</v>
      </c>
      <c r="C5" s="346">
        <f>[2]WATER!C36</f>
        <v>0</v>
      </c>
      <c r="D5" s="346">
        <f>[2]WATER!D36</f>
        <v>0</v>
      </c>
      <c r="E5" s="346">
        <f>[2]WATER!E36</f>
        <v>241.93548387096774</v>
      </c>
      <c r="F5" s="346">
        <f>[2]WATER!F36</f>
        <v>0</v>
      </c>
      <c r="G5" s="346">
        <f>[2]WATER!G36</f>
        <v>632735</v>
      </c>
      <c r="H5" s="346">
        <f>[2]WATER!H36</f>
        <v>73</v>
      </c>
      <c r="I5" s="346">
        <f>[2]WATER!I36</f>
        <v>73</v>
      </c>
      <c r="J5" s="346">
        <f>[2]WATER!J36</f>
        <v>3.3141847105612019</v>
      </c>
      <c r="K5" s="346">
        <f>[2]WATER!K36</f>
        <v>7089</v>
      </c>
      <c r="L5" s="346">
        <f>[2]WATER!L36</f>
        <v>0</v>
      </c>
      <c r="M5" s="346">
        <f>[2]WATER!M36</f>
        <v>457.44</v>
      </c>
      <c r="N5" s="346">
        <f>[2]WATER!N36</f>
        <v>0</v>
      </c>
      <c r="O5" s="346">
        <f>[2]WATER!O36</f>
        <v>529.52</v>
      </c>
      <c r="P5" s="346">
        <f>[2]WATER!P36</f>
        <v>0</v>
      </c>
      <c r="Q5" s="346">
        <f>[2]WATER!Q36</f>
        <v>0</v>
      </c>
      <c r="R5" s="346">
        <f>[2]WATER!R36</f>
        <v>0</v>
      </c>
      <c r="S5" s="346">
        <f>[2]WATER!S36</f>
        <v>0</v>
      </c>
      <c r="T5" s="346">
        <f>[2]WATER!T36</f>
        <v>5202</v>
      </c>
      <c r="U5" s="346">
        <f>[2]WATER!U36</f>
        <v>1</v>
      </c>
      <c r="V5" s="346">
        <f>[2]WATER!V36</f>
        <v>518</v>
      </c>
      <c r="W5" s="346">
        <f>[2]WATER!W36</f>
        <v>0</v>
      </c>
      <c r="X5" s="346">
        <f>[2]WATER!X36</f>
        <v>156588</v>
      </c>
      <c r="Y5" s="346">
        <f>[2]WATER!Y36</f>
        <v>0</v>
      </c>
      <c r="Z5" s="346">
        <f>[2]WATER!Z36</f>
        <v>99955</v>
      </c>
      <c r="AA5" s="346">
        <f>[2]WATER!AA36</f>
        <v>57</v>
      </c>
      <c r="AB5" s="346">
        <f>[2]WATER!AB36</f>
        <v>242</v>
      </c>
      <c r="AC5" s="346">
        <f>[2]WATER!AC36</f>
        <v>855</v>
      </c>
      <c r="AD5" s="346">
        <f>[2]WATER!AD36</f>
        <v>0</v>
      </c>
      <c r="AE5" s="346">
        <f>[2]WATER!AE36</f>
        <v>262.47000000000003</v>
      </c>
      <c r="AF5" s="346">
        <f>[2]WATER!AF36</f>
        <v>0</v>
      </c>
      <c r="AG5" s="346">
        <f>[2]WATER!AG36</f>
        <v>2247.41</v>
      </c>
      <c r="AH5" s="346">
        <f>[2]WATER!AH36</f>
        <v>0</v>
      </c>
      <c r="AI5" s="346">
        <f>[2]WATER!AI36</f>
        <v>0</v>
      </c>
      <c r="AJ5" s="346">
        <f>[2]WATER!AJ36</f>
        <v>57</v>
      </c>
      <c r="AK5" s="346">
        <f>[2]WATER!AK36</f>
        <v>0</v>
      </c>
      <c r="AL5" s="346">
        <f>[2]WATER!AL36</f>
        <v>57</v>
      </c>
      <c r="AM5" s="346">
        <f>[2]WATER!AM36</f>
        <v>13.5</v>
      </c>
      <c r="AN5" s="346">
        <f>[2]WATER!AN36</f>
        <v>0</v>
      </c>
      <c r="AO5" s="346">
        <f>[2]WATER!AO36</f>
        <v>0</v>
      </c>
      <c r="AP5" s="346">
        <f>[2]WATER!AP36</f>
        <v>0</v>
      </c>
      <c r="AR5" s="469">
        <v>44592</v>
      </c>
      <c r="AS5" s="346">
        <f>[2]WATER!AS36</f>
        <v>0.9</v>
      </c>
      <c r="AT5" s="346">
        <f>[2]WATER!AT36</f>
        <v>114</v>
      </c>
      <c r="AU5" s="346">
        <f>[2]WATER!AU36</f>
        <v>1.1000000000000001</v>
      </c>
      <c r="AV5" s="346">
        <f>[2]WATER!AV36</f>
        <v>101</v>
      </c>
      <c r="AW5" s="346">
        <f>[2]WATER!AW36</f>
        <v>2.9</v>
      </c>
      <c r="AX5" s="346">
        <f>[2]WATER!AX36</f>
        <v>98</v>
      </c>
      <c r="AY5" s="346">
        <f>[2]WATER!AY36</f>
        <v>102.60000000000001</v>
      </c>
      <c r="AZ5" s="346">
        <f>[2]WATER!AZ36</f>
        <v>111.10000000000001</v>
      </c>
      <c r="BA5" s="346">
        <f>[2]WATER!BA36</f>
        <v>284.2</v>
      </c>
      <c r="BB5" s="346">
        <f>[2]WATER!BB36</f>
        <v>-15.299999999999997</v>
      </c>
      <c r="BC5" s="346">
        <f>[2]WATER!BC36</f>
        <v>42.900000000000006</v>
      </c>
      <c r="BD5" s="346">
        <f>[2]WATER!BD36</f>
        <v>0</v>
      </c>
      <c r="BE5" s="346">
        <f>[2]WATER!BE36</f>
        <v>27.600000000000009</v>
      </c>
      <c r="BF5" s="346">
        <f>[2]WATER!BF36</f>
        <v>45.399999999999991</v>
      </c>
      <c r="BG5" s="346">
        <f>[2]WATER!BG36</f>
        <v>27.600000000000009</v>
      </c>
    </row>
    <row r="6" spans="1:61" ht="15" thickBot="1">
      <c r="A6" s="6">
        <f>ELEC!C4</f>
        <v>44958</v>
      </c>
      <c r="B6" s="5">
        <f>B5</f>
        <v>109443</v>
      </c>
      <c r="C6" s="5">
        <f>B6-B5</f>
        <v>0</v>
      </c>
      <c r="D6" s="355">
        <f>C6/27</f>
        <v>0</v>
      </c>
      <c r="E6" s="284">
        <f>SUM((C6*$E$4)+(7500/'EDl log'!$A$37))</f>
        <v>267.85714285714283</v>
      </c>
      <c r="F6" s="354"/>
      <c r="G6" s="5">
        <f>G5</f>
        <v>632735</v>
      </c>
      <c r="H6" s="5">
        <f>G6-G5</f>
        <v>0</v>
      </c>
      <c r="I6" s="5">
        <f>C6+H6</f>
        <v>0</v>
      </c>
      <c r="J6" s="285">
        <f t="shared" ref="J6:J33" si="0">IF(I6&gt;0,E6/I6,0)</f>
        <v>0</v>
      </c>
      <c r="K6" s="5">
        <f>K5</f>
        <v>7089</v>
      </c>
      <c r="L6" s="80">
        <v>0</v>
      </c>
      <c r="M6" s="346">
        <f>M5</f>
        <v>457.44</v>
      </c>
      <c r="N6" s="426">
        <f t="shared" ref="N6:N13" si="1">SUM(M6-M5)</f>
        <v>0</v>
      </c>
      <c r="O6" s="346">
        <f>O5</f>
        <v>529.52</v>
      </c>
      <c r="P6" s="426">
        <f t="shared" ref="P6:P13" si="2">SUM(O6-O5)</f>
        <v>0</v>
      </c>
      <c r="Q6" s="427">
        <f>P6+N6</f>
        <v>0</v>
      </c>
      <c r="R6" s="426"/>
      <c r="S6" s="426"/>
      <c r="T6" s="5">
        <f>T5</f>
        <v>5202</v>
      </c>
      <c r="U6" s="5">
        <f t="shared" ref="U6:U33" si="3">SUM(T6-T5)</f>
        <v>0</v>
      </c>
      <c r="V6" s="5">
        <f>V5</f>
        <v>518</v>
      </c>
      <c r="W6" s="275">
        <f>+V6-V5</f>
        <v>0</v>
      </c>
      <c r="X6" s="5">
        <f>X5</f>
        <v>156588</v>
      </c>
      <c r="Y6" s="275">
        <f>SUM(X6-X5)</f>
        <v>0</v>
      </c>
      <c r="Z6" s="5">
        <f>Z5</f>
        <v>99955</v>
      </c>
      <c r="AA6" s="80">
        <f>Z6-Z5</f>
        <v>0</v>
      </c>
      <c r="AB6" s="5">
        <f>AB5</f>
        <v>242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7">
        <f>+Z6-Z5</f>
        <v>0</v>
      </c>
      <c r="AK6" s="278">
        <f>SUM(Y6-L6)</f>
        <v>0</v>
      </c>
      <c r="AL6" s="278">
        <f>SUM(AJ6-W6)</f>
        <v>0</v>
      </c>
      <c r="AM6" s="278">
        <f>'General information '!D5</f>
        <v>13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44958</v>
      </c>
      <c r="AS6" s="360">
        <f>AS5</f>
        <v>0.9</v>
      </c>
      <c r="AT6" s="190">
        <f>AT5</f>
        <v>114</v>
      </c>
      <c r="AU6" s="361">
        <f>AU5</f>
        <v>1.1000000000000001</v>
      </c>
      <c r="AV6" s="190">
        <f>AV5</f>
        <v>101</v>
      </c>
      <c r="AW6" s="5">
        <v>2.9</v>
      </c>
      <c r="AX6" s="190">
        <f>AX5</f>
        <v>98</v>
      </c>
      <c r="AY6" s="362">
        <f>AS6*AT6</f>
        <v>102.60000000000001</v>
      </c>
      <c r="AZ6" s="362">
        <f>AU6*AV6</f>
        <v>111.10000000000001</v>
      </c>
      <c r="BA6" s="362">
        <f>AW6*AX6</f>
        <v>284.2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" thickBot="1">
      <c r="A7" s="6">
        <f>ELEC!C5</f>
        <v>44959</v>
      </c>
      <c r="B7" s="5">
        <f t="shared" ref="B7:B34" si="5">B6</f>
        <v>109443</v>
      </c>
      <c r="C7" s="5">
        <f t="shared" ref="C7:C33" si="6">B7-B6</f>
        <v>0</v>
      </c>
      <c r="D7" s="355">
        <f t="shared" ref="D7:D33" si="7">C7/27</f>
        <v>0</v>
      </c>
      <c r="E7" s="284">
        <f>SUM((C7*$E$4)+(7500/'EDl log'!$A$37))</f>
        <v>267.85714285714283</v>
      </c>
      <c r="F7" s="354"/>
      <c r="G7" s="5">
        <f t="shared" ref="G7:G34" si="8">G6</f>
        <v>632735</v>
      </c>
      <c r="H7" s="5">
        <f t="shared" ref="H7:H33" si="9">G7-G6</f>
        <v>0</v>
      </c>
      <c r="I7" s="5">
        <f t="shared" ref="I7:I33" si="10">C7+H7</f>
        <v>0</v>
      </c>
      <c r="J7" s="285">
        <f t="shared" si="0"/>
        <v>0</v>
      </c>
      <c r="K7" s="5">
        <f t="shared" ref="K7:K34" si="11">K6</f>
        <v>7089</v>
      </c>
      <c r="L7" s="80">
        <f>K7-K6</f>
        <v>0</v>
      </c>
      <c r="M7" s="346">
        <f t="shared" ref="M7:M34" si="12">M6</f>
        <v>457.44</v>
      </c>
      <c r="N7" s="426">
        <f t="shared" si="1"/>
        <v>0</v>
      </c>
      <c r="O7" s="346">
        <f t="shared" ref="O7:O34" si="13">O6</f>
        <v>529.52</v>
      </c>
      <c r="P7" s="426">
        <f t="shared" si="2"/>
        <v>0</v>
      </c>
      <c r="Q7" s="427">
        <f>P7+N7</f>
        <v>0</v>
      </c>
      <c r="R7" s="426"/>
      <c r="S7" s="426"/>
      <c r="T7" s="5">
        <f t="shared" ref="T7:T34" si="14">T6</f>
        <v>5202</v>
      </c>
      <c r="U7" s="5">
        <f t="shared" si="3"/>
        <v>0</v>
      </c>
      <c r="V7" s="5">
        <f t="shared" ref="V7:V34" si="15">V6</f>
        <v>518</v>
      </c>
      <c r="W7" s="275">
        <f t="shared" ref="W7:W33" si="16">+V7-V6</f>
        <v>0</v>
      </c>
      <c r="X7" s="5">
        <f t="shared" ref="X7:X34" si="17">X6</f>
        <v>156588</v>
      </c>
      <c r="Y7" s="275">
        <f>SUM(X7-X6)</f>
        <v>0</v>
      </c>
      <c r="Z7" s="5">
        <f t="shared" ref="Z7:Z34" si="18">Z6</f>
        <v>99955</v>
      </c>
      <c r="AA7" s="80">
        <f t="shared" ref="AA7:AA33" si="19">Z7-Z6</f>
        <v>0</v>
      </c>
      <c r="AB7" s="5">
        <f t="shared" ref="AB7:AB34" si="20">AB6</f>
        <v>242</v>
      </c>
      <c r="AC7" s="5">
        <f t="shared" ref="AC7:AC34" si="21">AC6</f>
        <v>855</v>
      </c>
      <c r="AD7" s="80">
        <f>AC7-AC6</f>
        <v>0</v>
      </c>
      <c r="AE7" s="5">
        <f t="shared" ref="AE7:AE34" si="22">AE6</f>
        <v>262.47000000000003</v>
      </c>
      <c r="AF7" s="80">
        <f t="shared" ref="AF7:AF32" si="23">AE7-AE6</f>
        <v>0</v>
      </c>
      <c r="AG7" s="5">
        <f t="shared" ref="AG7:AG34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7">
        <f t="shared" ref="AJ7:AJ33" si="27">+Z7-Z6</f>
        <v>0</v>
      </c>
      <c r="AK7" s="278">
        <f>SUM(Y7-L7)</f>
        <v>0</v>
      </c>
      <c r="AL7" s="278">
        <f t="shared" ref="AL7:AL33" si="28">SUM(AJ7-W7)</f>
        <v>0</v>
      </c>
      <c r="AM7" s="278">
        <f>'General information '!D6</f>
        <v>13.5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44959</v>
      </c>
      <c r="AS7" s="360">
        <f t="shared" ref="AS7:AT21" si="30">AS6</f>
        <v>0.9</v>
      </c>
      <c r="AT7" s="190">
        <v>114</v>
      </c>
      <c r="AU7" s="361">
        <f>AU6</f>
        <v>1.1000000000000001</v>
      </c>
      <c r="AV7" s="190">
        <v>97</v>
      </c>
      <c r="AW7" s="5">
        <v>2.9</v>
      </c>
      <c r="AX7" s="190">
        <v>96</v>
      </c>
      <c r="AY7" s="362">
        <f>AS7*AT7</f>
        <v>102.60000000000001</v>
      </c>
      <c r="AZ7" s="362">
        <f>AU7*AV7</f>
        <v>106.7</v>
      </c>
      <c r="BA7" s="362">
        <f>AW7*AX7</f>
        <v>278.39999999999998</v>
      </c>
      <c r="BB7" s="20">
        <f>AY7-AY6</f>
        <v>0</v>
      </c>
      <c r="BC7" s="20">
        <f t="shared" ref="BC7:BD21" si="31">AZ7-AZ6</f>
        <v>-4.4000000000000057</v>
      </c>
      <c r="BD7" s="20">
        <f t="shared" si="31"/>
        <v>-5.8000000000000114</v>
      </c>
      <c r="BE7" s="23">
        <f t="shared" ref="BE7:BE33" si="32">SUM(BB7:BD7)</f>
        <v>-10.200000000000017</v>
      </c>
      <c r="BF7" s="79">
        <f t="shared" ref="BF7:BF33" si="33">SUM(I7-BE7)</f>
        <v>10.200000000000017</v>
      </c>
      <c r="BG7" s="79">
        <f t="shared" si="4"/>
        <v>-10.200000000000017</v>
      </c>
      <c r="BI7" s="83"/>
    </row>
    <row r="8" spans="1:61" ht="15" thickBot="1">
      <c r="A8" s="6">
        <f>ELEC!C6</f>
        <v>44960</v>
      </c>
      <c r="B8" s="5">
        <f t="shared" si="5"/>
        <v>109443</v>
      </c>
      <c r="C8" s="5">
        <f>B8-B7</f>
        <v>0</v>
      </c>
      <c r="D8" s="355">
        <f t="shared" si="7"/>
        <v>0</v>
      </c>
      <c r="E8" s="284">
        <f>SUM((C8*$E$4)+(7500/'EDl log'!$A$37))</f>
        <v>267.85714285714283</v>
      </c>
      <c r="F8" s="354"/>
      <c r="G8" s="5">
        <f t="shared" si="8"/>
        <v>632735</v>
      </c>
      <c r="H8" s="5">
        <f t="shared" si="9"/>
        <v>0</v>
      </c>
      <c r="I8" s="5">
        <f t="shared" si="10"/>
        <v>0</v>
      </c>
      <c r="J8" s="285">
        <f t="shared" si="0"/>
        <v>0</v>
      </c>
      <c r="K8" s="5">
        <f t="shared" si="11"/>
        <v>7089</v>
      </c>
      <c r="L8" s="80">
        <f>K8-K7</f>
        <v>0</v>
      </c>
      <c r="M8" s="346">
        <f t="shared" si="12"/>
        <v>457.44</v>
      </c>
      <c r="N8" s="426">
        <f t="shared" si="1"/>
        <v>0</v>
      </c>
      <c r="O8" s="346">
        <f t="shared" si="13"/>
        <v>529.52</v>
      </c>
      <c r="P8" s="426">
        <f t="shared" si="2"/>
        <v>0</v>
      </c>
      <c r="Q8" s="427">
        <f>P8+N8</f>
        <v>0</v>
      </c>
      <c r="R8" s="426"/>
      <c r="S8" s="426"/>
      <c r="T8" s="5">
        <f t="shared" si="14"/>
        <v>5202</v>
      </c>
      <c r="U8" s="5">
        <f t="shared" si="3"/>
        <v>0</v>
      </c>
      <c r="V8" s="5">
        <f t="shared" si="15"/>
        <v>518</v>
      </c>
      <c r="W8" s="275">
        <f t="shared" si="16"/>
        <v>0</v>
      </c>
      <c r="X8" s="5">
        <f t="shared" si="17"/>
        <v>156588</v>
      </c>
      <c r="Y8" s="275">
        <f>SUM(X8-X7)</f>
        <v>0</v>
      </c>
      <c r="Z8" s="5">
        <f t="shared" si="18"/>
        <v>99955</v>
      </c>
      <c r="AA8" s="80">
        <f t="shared" si="19"/>
        <v>0</v>
      </c>
      <c r="AB8" s="5">
        <v>242</v>
      </c>
      <c r="AC8" s="5">
        <f t="shared" si="21"/>
        <v>855</v>
      </c>
      <c r="AD8" s="80">
        <f t="shared" ref="AD8:AD33" si="34">AC8-AC7</f>
        <v>0</v>
      </c>
      <c r="AE8" s="5">
        <f t="shared" si="22"/>
        <v>262.47000000000003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7">
        <f t="shared" si="27"/>
        <v>0</v>
      </c>
      <c r="AK8" s="278">
        <f t="shared" ref="AK8:AK34" si="35">SUM(Y8-L8)</f>
        <v>0</v>
      </c>
      <c r="AL8" s="278">
        <f>SUM(AJ8-W8)</f>
        <v>0</v>
      </c>
      <c r="AM8" s="278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44960</v>
      </c>
      <c r="AS8" s="360">
        <f t="shared" si="30"/>
        <v>0.9</v>
      </c>
      <c r="AT8" s="190">
        <v>114</v>
      </c>
      <c r="AU8" s="361">
        <v>1.1000000000000001</v>
      </c>
      <c r="AV8" s="190">
        <v>97</v>
      </c>
      <c r="AW8" s="5">
        <v>2.9</v>
      </c>
      <c r="AX8" s="190">
        <v>96</v>
      </c>
      <c r="AY8" s="362">
        <f t="shared" ref="AY8:AY33" si="36">AS8*AT8</f>
        <v>102.60000000000001</v>
      </c>
      <c r="AZ8" s="362">
        <f t="shared" ref="AZ8:AZ33" si="37">AU8*AV8</f>
        <v>106.7</v>
      </c>
      <c r="BA8" s="362">
        <f t="shared" ref="BA8:BA33" si="38">AW8*AX8</f>
        <v>278.39999999999998</v>
      </c>
      <c r="BB8" s="20">
        <f t="shared" ref="BB8:BB34" si="39">AY8-AY7</f>
        <v>0</v>
      </c>
      <c r="BC8" s="20">
        <f t="shared" si="31"/>
        <v>0</v>
      </c>
      <c r="BD8" s="20">
        <f t="shared" si="31"/>
        <v>0</v>
      </c>
      <c r="BE8" s="23">
        <f t="shared" si="32"/>
        <v>0</v>
      </c>
      <c r="BF8" s="79">
        <f t="shared" si="33"/>
        <v>0</v>
      </c>
      <c r="BG8" s="79">
        <f t="shared" si="4"/>
        <v>0</v>
      </c>
      <c r="BI8" s="83"/>
    </row>
    <row r="9" spans="1:61" ht="15" thickBot="1">
      <c r="A9" s="6">
        <f>ELEC!C7</f>
        <v>44961</v>
      </c>
      <c r="B9" s="5">
        <f t="shared" si="5"/>
        <v>109443</v>
      </c>
      <c r="C9" s="5">
        <f t="shared" si="6"/>
        <v>0</v>
      </c>
      <c r="D9" s="355">
        <f t="shared" si="7"/>
        <v>0</v>
      </c>
      <c r="E9" s="284">
        <f>SUM((C9*$E$4)+(7500/'EDl log'!$A$37))</f>
        <v>267.85714285714283</v>
      </c>
      <c r="F9" s="354"/>
      <c r="G9" s="5">
        <f t="shared" si="8"/>
        <v>632735</v>
      </c>
      <c r="H9" s="5">
        <f t="shared" si="9"/>
        <v>0</v>
      </c>
      <c r="I9" s="5">
        <f t="shared" si="10"/>
        <v>0</v>
      </c>
      <c r="J9" s="285">
        <f t="shared" si="0"/>
        <v>0</v>
      </c>
      <c r="K9" s="5">
        <f t="shared" si="11"/>
        <v>7089</v>
      </c>
      <c r="L9" s="80">
        <f t="shared" ref="L9:L33" si="40">K9-K8</f>
        <v>0</v>
      </c>
      <c r="M9" s="346">
        <f t="shared" si="12"/>
        <v>457.44</v>
      </c>
      <c r="N9" s="426">
        <f t="shared" si="1"/>
        <v>0</v>
      </c>
      <c r="O9" s="346">
        <f t="shared" si="13"/>
        <v>529.52</v>
      </c>
      <c r="P9" s="426">
        <f t="shared" si="2"/>
        <v>0</v>
      </c>
      <c r="Q9" s="427">
        <f>P9+N9</f>
        <v>0</v>
      </c>
      <c r="R9" s="426"/>
      <c r="S9" s="426"/>
      <c r="T9" s="5">
        <f t="shared" si="14"/>
        <v>5202</v>
      </c>
      <c r="U9" s="5">
        <f t="shared" si="3"/>
        <v>0</v>
      </c>
      <c r="V9" s="5">
        <f t="shared" si="15"/>
        <v>518</v>
      </c>
      <c r="W9" s="275">
        <f t="shared" si="16"/>
        <v>0</v>
      </c>
      <c r="X9" s="5">
        <f t="shared" si="17"/>
        <v>156588</v>
      </c>
      <c r="Y9" s="275">
        <f t="shared" ref="Y9:Y33" si="41">SUM(X9-X8)</f>
        <v>0</v>
      </c>
      <c r="Z9" s="5">
        <f t="shared" si="18"/>
        <v>99955</v>
      </c>
      <c r="AA9" s="80">
        <f t="shared" si="19"/>
        <v>0</v>
      </c>
      <c r="AB9" s="5">
        <f t="shared" si="20"/>
        <v>242</v>
      </c>
      <c r="AC9" s="5">
        <f t="shared" si="21"/>
        <v>855</v>
      </c>
      <c r="AD9" s="80">
        <f t="shared" si="34"/>
        <v>0</v>
      </c>
      <c r="AE9" s="5">
        <f t="shared" si="22"/>
        <v>262.47000000000003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7">
        <f t="shared" si="27"/>
        <v>0</v>
      </c>
      <c r="AK9" s="278">
        <f t="shared" si="35"/>
        <v>0</v>
      </c>
      <c r="AL9" s="278">
        <f t="shared" si="28"/>
        <v>0</v>
      </c>
      <c r="AM9" s="278">
        <f>'General information '!D8</f>
        <v>0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44961</v>
      </c>
      <c r="AS9" s="360">
        <f t="shared" si="30"/>
        <v>0.9</v>
      </c>
      <c r="AT9" s="190">
        <f t="shared" si="30"/>
        <v>114</v>
      </c>
      <c r="AU9" s="361">
        <f t="shared" ref="AU9:AU34" si="42">AU8</f>
        <v>1.1000000000000001</v>
      </c>
      <c r="AV9" s="190">
        <f t="shared" ref="AV9:AV34" si="43">AV8</f>
        <v>97</v>
      </c>
      <c r="AW9" s="5">
        <v>2.9</v>
      </c>
      <c r="AX9" s="190">
        <f t="shared" ref="AX9:AX34" si="44">AX8</f>
        <v>96</v>
      </c>
      <c r="AY9" s="362">
        <f t="shared" si="36"/>
        <v>102.60000000000001</v>
      </c>
      <c r="AZ9" s="362">
        <f t="shared" si="37"/>
        <v>106.7</v>
      </c>
      <c r="BA9" s="362">
        <f t="shared" si="38"/>
        <v>278.39999999999998</v>
      </c>
      <c r="BB9" s="20">
        <f t="shared" si="39"/>
        <v>0</v>
      </c>
      <c r="BC9" s="20">
        <f t="shared" si="31"/>
        <v>0</v>
      </c>
      <c r="BD9" s="20">
        <f t="shared" si="31"/>
        <v>0</v>
      </c>
      <c r="BE9" s="23">
        <f t="shared" si="32"/>
        <v>0</v>
      </c>
      <c r="BF9" s="291">
        <f t="shared" si="33"/>
        <v>0</v>
      </c>
      <c r="BG9" s="79">
        <f t="shared" si="4"/>
        <v>0</v>
      </c>
    </row>
    <row r="10" spans="1:61" ht="15" thickBot="1">
      <c r="A10" s="6">
        <f>ELEC!C8</f>
        <v>44962</v>
      </c>
      <c r="B10" s="5">
        <f t="shared" si="5"/>
        <v>109443</v>
      </c>
      <c r="C10" s="5">
        <f t="shared" si="6"/>
        <v>0</v>
      </c>
      <c r="D10" s="355">
        <f t="shared" si="7"/>
        <v>0</v>
      </c>
      <c r="E10" s="284">
        <f>SUM((C10*$E$4)+(7500/'EDl log'!$A$37))</f>
        <v>267.85714285714283</v>
      </c>
      <c r="F10" s="354"/>
      <c r="G10" s="5">
        <f t="shared" si="8"/>
        <v>632735</v>
      </c>
      <c r="H10" s="5">
        <f t="shared" si="9"/>
        <v>0</v>
      </c>
      <c r="I10" s="5">
        <f t="shared" si="10"/>
        <v>0</v>
      </c>
      <c r="J10" s="285">
        <f t="shared" si="0"/>
        <v>0</v>
      </c>
      <c r="K10" s="5">
        <f t="shared" si="11"/>
        <v>7089</v>
      </c>
      <c r="L10" s="80">
        <f>K10-K9</f>
        <v>0</v>
      </c>
      <c r="M10" s="346">
        <f t="shared" si="12"/>
        <v>457.44</v>
      </c>
      <c r="N10" s="426">
        <f t="shared" si="1"/>
        <v>0</v>
      </c>
      <c r="O10" s="346">
        <f t="shared" si="13"/>
        <v>529.52</v>
      </c>
      <c r="P10" s="426">
        <f t="shared" si="2"/>
        <v>0</v>
      </c>
      <c r="Q10" s="427">
        <f>P10+N10</f>
        <v>0</v>
      </c>
      <c r="R10" s="426"/>
      <c r="S10" s="426"/>
      <c r="T10" s="5">
        <f t="shared" si="14"/>
        <v>5202</v>
      </c>
      <c r="U10" s="5">
        <f t="shared" si="3"/>
        <v>0</v>
      </c>
      <c r="V10" s="5">
        <f t="shared" si="15"/>
        <v>518</v>
      </c>
      <c r="W10" s="275">
        <f t="shared" si="16"/>
        <v>0</v>
      </c>
      <c r="X10" s="5">
        <f t="shared" si="17"/>
        <v>156588</v>
      </c>
      <c r="Y10" s="275">
        <f t="shared" si="41"/>
        <v>0</v>
      </c>
      <c r="Z10" s="5">
        <f t="shared" si="18"/>
        <v>99955</v>
      </c>
      <c r="AA10" s="80">
        <f t="shared" si="19"/>
        <v>0</v>
      </c>
      <c r="AB10" s="5">
        <f t="shared" si="20"/>
        <v>242</v>
      </c>
      <c r="AC10" s="5">
        <f t="shared" si="21"/>
        <v>855</v>
      </c>
      <c r="AD10" s="80">
        <f t="shared" si="34"/>
        <v>0</v>
      </c>
      <c r="AE10" s="5">
        <f t="shared" si="22"/>
        <v>262.47000000000003</v>
      </c>
      <c r="AF10" s="80">
        <f t="shared" si="23"/>
        <v>0</v>
      </c>
      <c r="AG10" s="5">
        <f t="shared" si="24"/>
        <v>2247.41</v>
      </c>
      <c r="AH10" s="80">
        <f t="shared" si="25"/>
        <v>0</v>
      </c>
      <c r="AI10" s="80">
        <f t="shared" si="26"/>
        <v>0</v>
      </c>
      <c r="AJ10" s="277">
        <f t="shared" si="27"/>
        <v>0</v>
      </c>
      <c r="AK10" s="278">
        <f t="shared" si="35"/>
        <v>0</v>
      </c>
      <c r="AL10" s="278">
        <f t="shared" si="28"/>
        <v>0</v>
      </c>
      <c r="AM10" s="278">
        <f>'General information '!D9</f>
        <v>11.5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44962</v>
      </c>
      <c r="AS10" s="360">
        <f t="shared" si="30"/>
        <v>0.9</v>
      </c>
      <c r="AT10" s="190">
        <f t="shared" si="30"/>
        <v>114</v>
      </c>
      <c r="AU10" s="361">
        <f t="shared" si="42"/>
        <v>1.1000000000000001</v>
      </c>
      <c r="AV10" s="190">
        <v>92</v>
      </c>
      <c r="AW10" s="5">
        <v>2.9</v>
      </c>
      <c r="AX10" s="190">
        <v>93</v>
      </c>
      <c r="AY10" s="362">
        <f t="shared" si="36"/>
        <v>102.60000000000001</v>
      </c>
      <c r="AZ10" s="362">
        <f t="shared" si="37"/>
        <v>101.2</v>
      </c>
      <c r="BA10" s="362">
        <f t="shared" si="38"/>
        <v>269.7</v>
      </c>
      <c r="BB10" s="20">
        <f t="shared" si="39"/>
        <v>0</v>
      </c>
      <c r="BC10" s="20">
        <f t="shared" si="31"/>
        <v>-5.5</v>
      </c>
      <c r="BD10" s="20">
        <f t="shared" si="31"/>
        <v>-8.6999999999999886</v>
      </c>
      <c r="BE10" s="23">
        <f t="shared" si="32"/>
        <v>-14.199999999999989</v>
      </c>
      <c r="BF10" s="79">
        <f t="shared" si="33"/>
        <v>14.199999999999989</v>
      </c>
      <c r="BG10" s="79">
        <f t="shared" si="4"/>
        <v>-14.199999999999989</v>
      </c>
    </row>
    <row r="11" spans="1:61" ht="15" thickBot="1">
      <c r="A11" s="6">
        <f>ELEC!C9</f>
        <v>44963</v>
      </c>
      <c r="B11" s="5">
        <f t="shared" si="5"/>
        <v>109443</v>
      </c>
      <c r="C11" s="5">
        <f t="shared" si="6"/>
        <v>0</v>
      </c>
      <c r="D11" s="355">
        <f t="shared" si="7"/>
        <v>0</v>
      </c>
      <c r="E11" s="284">
        <f>SUM((C11*$E$4)+(7500/'EDl log'!$A$37))</f>
        <v>267.85714285714283</v>
      </c>
      <c r="F11" s="354"/>
      <c r="G11" s="5">
        <f t="shared" si="8"/>
        <v>632735</v>
      </c>
      <c r="H11" s="5">
        <f t="shared" si="9"/>
        <v>0</v>
      </c>
      <c r="I11" s="5">
        <f t="shared" si="10"/>
        <v>0</v>
      </c>
      <c r="J11" s="285">
        <f t="shared" si="0"/>
        <v>0</v>
      </c>
      <c r="K11" s="5">
        <f t="shared" si="11"/>
        <v>7089</v>
      </c>
      <c r="L11" s="80">
        <f t="shared" si="40"/>
        <v>0</v>
      </c>
      <c r="M11" s="346">
        <f t="shared" si="12"/>
        <v>457.44</v>
      </c>
      <c r="N11" s="426">
        <f t="shared" si="1"/>
        <v>0</v>
      </c>
      <c r="O11" s="346">
        <f t="shared" si="13"/>
        <v>529.52</v>
      </c>
      <c r="P11" s="426">
        <f t="shared" si="2"/>
        <v>0</v>
      </c>
      <c r="Q11" s="426">
        <f>SUM(P11+N11)</f>
        <v>0</v>
      </c>
      <c r="R11" s="426"/>
      <c r="S11" s="426"/>
      <c r="T11" s="5">
        <f t="shared" si="14"/>
        <v>5202</v>
      </c>
      <c r="U11" s="5">
        <f t="shared" si="3"/>
        <v>0</v>
      </c>
      <c r="V11" s="5">
        <f t="shared" si="15"/>
        <v>518</v>
      </c>
      <c r="W11" s="275">
        <f t="shared" si="16"/>
        <v>0</v>
      </c>
      <c r="X11" s="5">
        <f t="shared" si="17"/>
        <v>156588</v>
      </c>
      <c r="Y11" s="275">
        <f t="shared" si="41"/>
        <v>0</v>
      </c>
      <c r="Z11" s="5">
        <f t="shared" si="18"/>
        <v>99955</v>
      </c>
      <c r="AA11" s="80">
        <f t="shared" si="19"/>
        <v>0</v>
      </c>
      <c r="AB11" s="5">
        <f t="shared" si="20"/>
        <v>242</v>
      </c>
      <c r="AC11" s="5">
        <f t="shared" si="21"/>
        <v>855</v>
      </c>
      <c r="AD11" s="80">
        <f t="shared" si="34"/>
        <v>0</v>
      </c>
      <c r="AE11" s="5">
        <f t="shared" si="22"/>
        <v>262.47000000000003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7">
        <f t="shared" si="27"/>
        <v>0</v>
      </c>
      <c r="AK11" s="278">
        <f t="shared" si="35"/>
        <v>0</v>
      </c>
      <c r="AL11" s="278">
        <f t="shared" si="28"/>
        <v>0</v>
      </c>
      <c r="AM11" s="278">
        <f>'General information '!D10</f>
        <v>11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44963</v>
      </c>
      <c r="AS11" s="360">
        <f t="shared" si="30"/>
        <v>0.9</v>
      </c>
      <c r="AT11" s="190">
        <v>114</v>
      </c>
      <c r="AU11" s="361">
        <f t="shared" si="42"/>
        <v>1.1000000000000001</v>
      </c>
      <c r="AV11" s="190">
        <f t="shared" si="43"/>
        <v>92</v>
      </c>
      <c r="AW11" s="5">
        <v>2.9</v>
      </c>
      <c r="AX11" s="190">
        <v>92</v>
      </c>
      <c r="AY11" s="362">
        <f t="shared" si="36"/>
        <v>102.60000000000001</v>
      </c>
      <c r="AZ11" s="362">
        <f t="shared" si="37"/>
        <v>101.2</v>
      </c>
      <c r="BA11" s="362">
        <f t="shared" si="38"/>
        <v>266.8</v>
      </c>
      <c r="BB11" s="20">
        <f t="shared" si="39"/>
        <v>0</v>
      </c>
      <c r="BC11" s="20">
        <f t="shared" si="31"/>
        <v>0</v>
      </c>
      <c r="BD11" s="20">
        <f t="shared" si="31"/>
        <v>-2.8999999999999773</v>
      </c>
      <c r="BE11" s="23">
        <f t="shared" si="32"/>
        <v>-2.8999999999999773</v>
      </c>
      <c r="BF11" s="79">
        <f t="shared" si="33"/>
        <v>2.8999999999999773</v>
      </c>
      <c r="BG11" s="79">
        <f t="shared" si="4"/>
        <v>-2.8999999999999773</v>
      </c>
    </row>
    <row r="12" spans="1:61" ht="15" thickBot="1">
      <c r="A12" s="6">
        <f>ELEC!C10</f>
        <v>44964</v>
      </c>
      <c r="B12" s="5">
        <f t="shared" si="5"/>
        <v>109443</v>
      </c>
      <c r="C12" s="5">
        <f>B12-B11</f>
        <v>0</v>
      </c>
      <c r="D12" s="355">
        <f t="shared" si="7"/>
        <v>0</v>
      </c>
      <c r="E12" s="284">
        <f>SUM((C12*$E$4)+(7500/'EDl log'!$A$37))</f>
        <v>267.85714285714283</v>
      </c>
      <c r="F12" s="354"/>
      <c r="G12" s="5">
        <f t="shared" si="8"/>
        <v>632735</v>
      </c>
      <c r="H12" s="5">
        <f t="shared" si="9"/>
        <v>0</v>
      </c>
      <c r="I12" s="5">
        <f t="shared" si="10"/>
        <v>0</v>
      </c>
      <c r="J12" s="285">
        <f t="shared" si="0"/>
        <v>0</v>
      </c>
      <c r="K12" s="5">
        <f t="shared" si="11"/>
        <v>7089</v>
      </c>
      <c r="L12" s="80">
        <f t="shared" si="40"/>
        <v>0</v>
      </c>
      <c r="M12" s="346">
        <f t="shared" si="12"/>
        <v>457.44</v>
      </c>
      <c r="N12" s="426">
        <f t="shared" si="1"/>
        <v>0</v>
      </c>
      <c r="O12" s="346">
        <f t="shared" si="13"/>
        <v>529.52</v>
      </c>
      <c r="P12" s="426">
        <f t="shared" si="2"/>
        <v>0</v>
      </c>
      <c r="Q12" s="426">
        <f>SUM(P12+N12)</f>
        <v>0</v>
      </c>
      <c r="R12" s="426"/>
      <c r="S12" s="426"/>
      <c r="T12" s="5">
        <f t="shared" si="14"/>
        <v>5202</v>
      </c>
      <c r="U12" s="5">
        <f t="shared" si="3"/>
        <v>0</v>
      </c>
      <c r="V12" s="5">
        <f t="shared" si="15"/>
        <v>518</v>
      </c>
      <c r="W12" s="275">
        <f t="shared" si="16"/>
        <v>0</v>
      </c>
      <c r="X12" s="5">
        <f t="shared" si="17"/>
        <v>156588</v>
      </c>
      <c r="Y12" s="275">
        <f t="shared" si="41"/>
        <v>0</v>
      </c>
      <c r="Z12" s="5">
        <f t="shared" si="18"/>
        <v>99955</v>
      </c>
      <c r="AA12" s="80">
        <f t="shared" si="19"/>
        <v>0</v>
      </c>
      <c r="AB12" s="5">
        <f t="shared" si="20"/>
        <v>242</v>
      </c>
      <c r="AC12" s="5">
        <f t="shared" si="21"/>
        <v>855</v>
      </c>
      <c r="AD12" s="80">
        <f t="shared" si="34"/>
        <v>0</v>
      </c>
      <c r="AE12" s="5">
        <f t="shared" si="22"/>
        <v>262.47000000000003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7">
        <f t="shared" si="27"/>
        <v>0</v>
      </c>
      <c r="AK12" s="278">
        <f t="shared" si="35"/>
        <v>0</v>
      </c>
      <c r="AL12" s="278">
        <f t="shared" si="28"/>
        <v>0</v>
      </c>
      <c r="AM12" s="278">
        <f>'General information '!D11</f>
        <v>11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44964</v>
      </c>
      <c r="AS12" s="360">
        <f t="shared" si="30"/>
        <v>0.9</v>
      </c>
      <c r="AT12" s="190">
        <f t="shared" si="30"/>
        <v>114</v>
      </c>
      <c r="AU12" s="361">
        <f t="shared" si="42"/>
        <v>1.1000000000000001</v>
      </c>
      <c r="AV12" s="190">
        <v>90</v>
      </c>
      <c r="AW12" s="5">
        <v>2.9</v>
      </c>
      <c r="AX12" s="190">
        <v>90</v>
      </c>
      <c r="AY12" s="362">
        <f t="shared" si="36"/>
        <v>102.60000000000001</v>
      </c>
      <c r="AZ12" s="362">
        <f t="shared" si="37"/>
        <v>99.000000000000014</v>
      </c>
      <c r="BA12" s="362">
        <f t="shared" si="38"/>
        <v>261</v>
      </c>
      <c r="BB12" s="20">
        <f>AY12-AY11</f>
        <v>0</v>
      </c>
      <c r="BC12" s="20">
        <f t="shared" si="31"/>
        <v>-2.1999999999999886</v>
      </c>
      <c r="BD12" s="20">
        <f t="shared" si="31"/>
        <v>-5.8000000000000114</v>
      </c>
      <c r="BE12" s="23">
        <f t="shared" si="32"/>
        <v>-8</v>
      </c>
      <c r="BF12" s="79">
        <f t="shared" si="33"/>
        <v>8</v>
      </c>
      <c r="BG12" s="79">
        <f t="shared" si="4"/>
        <v>-8</v>
      </c>
    </row>
    <row r="13" spans="1:61" ht="15" thickBot="1">
      <c r="A13" s="6">
        <f>ELEC!C11</f>
        <v>44965</v>
      </c>
      <c r="B13" s="5">
        <v>109443</v>
      </c>
      <c r="C13" s="5">
        <f t="shared" si="6"/>
        <v>0</v>
      </c>
      <c r="D13" s="355">
        <f t="shared" si="7"/>
        <v>0</v>
      </c>
      <c r="E13" s="284">
        <f>SUM((C13*$E$4)+(7500/'EDl log'!$A$37))</f>
        <v>267.85714285714283</v>
      </c>
      <c r="F13" s="354"/>
      <c r="G13" s="5">
        <v>632742</v>
      </c>
      <c r="H13" s="5">
        <f t="shared" si="9"/>
        <v>7</v>
      </c>
      <c r="I13" s="5">
        <f t="shared" si="10"/>
        <v>7</v>
      </c>
      <c r="J13" s="285">
        <f t="shared" si="0"/>
        <v>38.265306122448976</v>
      </c>
      <c r="K13" s="5">
        <f t="shared" si="11"/>
        <v>7089</v>
      </c>
      <c r="L13" s="80">
        <f t="shared" si="40"/>
        <v>0</v>
      </c>
      <c r="M13" s="346">
        <f t="shared" si="12"/>
        <v>457.44</v>
      </c>
      <c r="N13" s="426">
        <f t="shared" si="1"/>
        <v>0</v>
      </c>
      <c r="O13" s="346">
        <f t="shared" si="13"/>
        <v>529.52</v>
      </c>
      <c r="P13" s="426">
        <f t="shared" si="2"/>
        <v>0</v>
      </c>
      <c r="Q13" s="426">
        <f>SUM(P13+N13)</f>
        <v>0</v>
      </c>
      <c r="R13" s="426"/>
      <c r="S13" s="426"/>
      <c r="T13" s="5">
        <f t="shared" si="14"/>
        <v>5202</v>
      </c>
      <c r="U13" s="5">
        <f t="shared" si="3"/>
        <v>0</v>
      </c>
      <c r="V13" s="5">
        <f t="shared" si="15"/>
        <v>518</v>
      </c>
      <c r="W13" s="275">
        <f t="shared" si="16"/>
        <v>0</v>
      </c>
      <c r="X13" s="5">
        <v>156588</v>
      </c>
      <c r="Y13" s="275">
        <f t="shared" si="41"/>
        <v>0</v>
      </c>
      <c r="Z13" s="5">
        <f t="shared" si="18"/>
        <v>99955</v>
      </c>
      <c r="AA13" s="80">
        <f t="shared" si="19"/>
        <v>0</v>
      </c>
      <c r="AB13" s="5">
        <f t="shared" si="20"/>
        <v>242</v>
      </c>
      <c r="AC13" s="5">
        <f t="shared" si="21"/>
        <v>855</v>
      </c>
      <c r="AD13" s="80">
        <f t="shared" si="34"/>
        <v>0</v>
      </c>
      <c r="AE13" s="5">
        <f t="shared" si="22"/>
        <v>262.47000000000003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7">
        <f t="shared" si="27"/>
        <v>0</v>
      </c>
      <c r="AK13" s="278">
        <f t="shared" si="35"/>
        <v>0</v>
      </c>
      <c r="AL13" s="278">
        <f t="shared" si="28"/>
        <v>0</v>
      </c>
      <c r="AM13" s="278">
        <f>'General information '!D12</f>
        <v>11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44965</v>
      </c>
      <c r="AS13" s="360">
        <f t="shared" si="30"/>
        <v>0.9</v>
      </c>
      <c r="AT13" s="190">
        <f t="shared" si="30"/>
        <v>114</v>
      </c>
      <c r="AU13" s="361">
        <f t="shared" si="42"/>
        <v>1.1000000000000001</v>
      </c>
      <c r="AV13" s="190">
        <v>88</v>
      </c>
      <c r="AW13" s="5">
        <v>2.9</v>
      </c>
      <c r="AX13" s="190">
        <v>88</v>
      </c>
      <c r="AY13" s="362">
        <f t="shared" si="36"/>
        <v>102.60000000000001</v>
      </c>
      <c r="AZ13" s="362">
        <f t="shared" si="37"/>
        <v>96.800000000000011</v>
      </c>
      <c r="BA13" s="362">
        <f t="shared" si="38"/>
        <v>255.2</v>
      </c>
      <c r="BB13" s="20">
        <f t="shared" si="39"/>
        <v>0</v>
      </c>
      <c r="BC13" s="20">
        <f t="shared" si="31"/>
        <v>-2.2000000000000028</v>
      </c>
      <c r="BD13" s="20">
        <f t="shared" si="31"/>
        <v>-5.8000000000000114</v>
      </c>
      <c r="BE13" s="23">
        <f t="shared" si="32"/>
        <v>-8.0000000000000142</v>
      </c>
      <c r="BF13" s="79">
        <f t="shared" si="33"/>
        <v>15.000000000000014</v>
      </c>
      <c r="BG13" s="79">
        <f t="shared" si="4"/>
        <v>-8.0000000000000142</v>
      </c>
    </row>
    <row r="14" spans="1:61" ht="15" thickBot="1">
      <c r="A14" s="6">
        <f>ELEC!C12</f>
        <v>44966</v>
      </c>
      <c r="B14" s="5">
        <f t="shared" si="5"/>
        <v>109443</v>
      </c>
      <c r="C14" s="5">
        <f t="shared" si="6"/>
        <v>0</v>
      </c>
      <c r="D14" s="355">
        <f t="shared" si="7"/>
        <v>0</v>
      </c>
      <c r="E14" s="284">
        <f>SUM((C14*$E$4)+(7500/'EDl log'!$A$37))</f>
        <v>267.85714285714283</v>
      </c>
      <c r="F14" s="354"/>
      <c r="G14" s="5">
        <f t="shared" si="8"/>
        <v>632742</v>
      </c>
      <c r="H14" s="5">
        <f t="shared" si="9"/>
        <v>0</v>
      </c>
      <c r="I14" s="5">
        <f t="shared" si="10"/>
        <v>0</v>
      </c>
      <c r="J14" s="285">
        <f t="shared" si="0"/>
        <v>0</v>
      </c>
      <c r="K14" s="5">
        <f t="shared" si="11"/>
        <v>7089</v>
      </c>
      <c r="L14" s="80">
        <f t="shared" si="40"/>
        <v>0</v>
      </c>
      <c r="M14" s="346">
        <f t="shared" si="12"/>
        <v>457.44</v>
      </c>
      <c r="N14" s="426">
        <f t="shared" ref="N14:N33" si="45">SUM(M14-M13)</f>
        <v>0</v>
      </c>
      <c r="O14" s="346">
        <f t="shared" si="13"/>
        <v>529.52</v>
      </c>
      <c r="P14" s="426">
        <f t="shared" ref="P14:P33" si="46">SUM(O14-O13)</f>
        <v>0</v>
      </c>
      <c r="Q14" s="426">
        <f t="shared" ref="Q14:Q33" si="47">SUM(P14+N14)</f>
        <v>0</v>
      </c>
      <c r="R14" s="426"/>
      <c r="S14" s="426"/>
      <c r="T14" s="5">
        <f t="shared" si="14"/>
        <v>5202</v>
      </c>
      <c r="U14" s="5">
        <f t="shared" si="3"/>
        <v>0</v>
      </c>
      <c r="V14" s="5">
        <f t="shared" si="15"/>
        <v>518</v>
      </c>
      <c r="W14" s="275">
        <f t="shared" si="16"/>
        <v>0</v>
      </c>
      <c r="X14" s="5">
        <f t="shared" si="17"/>
        <v>156588</v>
      </c>
      <c r="Y14" s="275">
        <f t="shared" si="41"/>
        <v>0</v>
      </c>
      <c r="Z14" s="5">
        <f t="shared" si="18"/>
        <v>99955</v>
      </c>
      <c r="AA14" s="80">
        <f t="shared" si="19"/>
        <v>0</v>
      </c>
      <c r="AB14" s="5">
        <f t="shared" si="20"/>
        <v>242</v>
      </c>
      <c r="AC14" s="5">
        <f t="shared" si="21"/>
        <v>855</v>
      </c>
      <c r="AD14" s="80">
        <f t="shared" si="34"/>
        <v>0</v>
      </c>
      <c r="AE14" s="5">
        <f t="shared" si="22"/>
        <v>262.47000000000003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7">
        <f t="shared" si="27"/>
        <v>0</v>
      </c>
      <c r="AK14" s="278">
        <f t="shared" si="35"/>
        <v>0</v>
      </c>
      <c r="AL14" s="278">
        <f t="shared" si="28"/>
        <v>0</v>
      </c>
      <c r="AM14" s="278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44966</v>
      </c>
      <c r="AS14" s="360">
        <f t="shared" si="30"/>
        <v>0.9</v>
      </c>
      <c r="AT14" s="190">
        <f t="shared" si="30"/>
        <v>114</v>
      </c>
      <c r="AU14" s="361">
        <f t="shared" si="42"/>
        <v>1.1000000000000001</v>
      </c>
      <c r="AV14" s="190">
        <f t="shared" si="43"/>
        <v>88</v>
      </c>
      <c r="AW14" s="5">
        <v>2.9</v>
      </c>
      <c r="AX14" s="190">
        <f t="shared" si="44"/>
        <v>88</v>
      </c>
      <c r="AY14" s="362">
        <f t="shared" si="36"/>
        <v>102.60000000000001</v>
      </c>
      <c r="AZ14" s="362">
        <f t="shared" si="37"/>
        <v>96.800000000000011</v>
      </c>
      <c r="BA14" s="362">
        <f t="shared" si="38"/>
        <v>255.2</v>
      </c>
      <c r="BB14" s="20">
        <f t="shared" si="39"/>
        <v>0</v>
      </c>
      <c r="BC14" s="20">
        <f t="shared" si="31"/>
        <v>0</v>
      </c>
      <c r="BD14" s="20">
        <f t="shared" si="31"/>
        <v>0</v>
      </c>
      <c r="BE14" s="23">
        <f t="shared" si="32"/>
        <v>0</v>
      </c>
      <c r="BF14" s="79">
        <f t="shared" si="33"/>
        <v>0</v>
      </c>
      <c r="BG14" s="79">
        <f t="shared" si="4"/>
        <v>0</v>
      </c>
    </row>
    <row r="15" spans="1:61" ht="16.5" customHeight="1" thickBot="1">
      <c r="A15" s="6">
        <f>ELEC!C13</f>
        <v>44967</v>
      </c>
      <c r="B15" s="5">
        <f t="shared" si="5"/>
        <v>109443</v>
      </c>
      <c r="C15" s="5">
        <f t="shared" si="6"/>
        <v>0</v>
      </c>
      <c r="D15" s="355">
        <f t="shared" si="7"/>
        <v>0</v>
      </c>
      <c r="E15" s="284">
        <f>SUM((C15*$E$4)+(7500/'EDl log'!$A$37))</f>
        <v>267.85714285714283</v>
      </c>
      <c r="F15" s="354"/>
      <c r="G15" s="5">
        <f t="shared" si="8"/>
        <v>632742</v>
      </c>
      <c r="H15" s="5">
        <f t="shared" si="9"/>
        <v>0</v>
      </c>
      <c r="I15" s="5">
        <f t="shared" si="10"/>
        <v>0</v>
      </c>
      <c r="J15" s="285">
        <f t="shared" si="0"/>
        <v>0</v>
      </c>
      <c r="K15" s="5">
        <f t="shared" si="11"/>
        <v>7089</v>
      </c>
      <c r="L15" s="80">
        <f t="shared" si="40"/>
        <v>0</v>
      </c>
      <c r="M15" s="346">
        <f t="shared" si="12"/>
        <v>457.44</v>
      </c>
      <c r="N15" s="426">
        <f t="shared" si="45"/>
        <v>0</v>
      </c>
      <c r="O15" s="346">
        <f t="shared" si="13"/>
        <v>529.52</v>
      </c>
      <c r="P15" s="426">
        <f t="shared" si="46"/>
        <v>0</v>
      </c>
      <c r="Q15" s="426">
        <f t="shared" si="47"/>
        <v>0</v>
      </c>
      <c r="R15" s="426"/>
      <c r="S15" s="426"/>
      <c r="T15" s="5">
        <f t="shared" si="14"/>
        <v>5202</v>
      </c>
      <c r="U15" s="5">
        <f t="shared" si="3"/>
        <v>0</v>
      </c>
      <c r="V15" s="5">
        <f t="shared" si="15"/>
        <v>518</v>
      </c>
      <c r="W15" s="275">
        <f t="shared" si="16"/>
        <v>0</v>
      </c>
      <c r="X15" s="5">
        <f t="shared" si="17"/>
        <v>156588</v>
      </c>
      <c r="Y15" s="275">
        <f t="shared" si="41"/>
        <v>0</v>
      </c>
      <c r="Z15" s="5">
        <f t="shared" si="18"/>
        <v>99955</v>
      </c>
      <c r="AA15" s="80">
        <f t="shared" si="19"/>
        <v>0</v>
      </c>
      <c r="AB15" s="5">
        <f t="shared" si="20"/>
        <v>242</v>
      </c>
      <c r="AC15" s="5">
        <f t="shared" si="21"/>
        <v>855</v>
      </c>
      <c r="AD15" s="80">
        <f t="shared" si="34"/>
        <v>0</v>
      </c>
      <c r="AE15" s="5">
        <f t="shared" si="22"/>
        <v>262.47000000000003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7">
        <f t="shared" si="27"/>
        <v>0</v>
      </c>
      <c r="AK15" s="278">
        <f t="shared" si="35"/>
        <v>0</v>
      </c>
      <c r="AL15" s="278">
        <f t="shared" si="28"/>
        <v>0</v>
      </c>
      <c r="AM15" s="278">
        <f>'General information '!D14</f>
        <v>11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44967</v>
      </c>
      <c r="AS15" s="360">
        <f t="shared" si="30"/>
        <v>0.9</v>
      </c>
      <c r="AT15" s="190">
        <f t="shared" si="30"/>
        <v>114</v>
      </c>
      <c r="AU15" s="361">
        <f t="shared" si="42"/>
        <v>1.1000000000000001</v>
      </c>
      <c r="AV15" s="190">
        <f t="shared" si="43"/>
        <v>88</v>
      </c>
      <c r="AW15" s="5">
        <v>2.9</v>
      </c>
      <c r="AX15" s="190">
        <f t="shared" si="44"/>
        <v>88</v>
      </c>
      <c r="AY15" s="362">
        <f t="shared" si="36"/>
        <v>102.60000000000001</v>
      </c>
      <c r="AZ15" s="362">
        <f t="shared" si="37"/>
        <v>96.800000000000011</v>
      </c>
      <c r="BA15" s="362">
        <f t="shared" si="38"/>
        <v>255.2</v>
      </c>
      <c r="BB15" s="20">
        <f t="shared" si="39"/>
        <v>0</v>
      </c>
      <c r="BC15" s="20">
        <f t="shared" si="31"/>
        <v>0</v>
      </c>
      <c r="BD15" s="20">
        <f t="shared" si="31"/>
        <v>0</v>
      </c>
      <c r="BE15" s="23">
        <f t="shared" si="32"/>
        <v>0</v>
      </c>
      <c r="BF15" s="79">
        <f t="shared" si="33"/>
        <v>0</v>
      </c>
      <c r="BG15" s="79">
        <f t="shared" si="4"/>
        <v>0</v>
      </c>
    </row>
    <row r="16" spans="1:61" ht="15" thickBot="1">
      <c r="A16" s="6">
        <f>ELEC!C14</f>
        <v>44968</v>
      </c>
      <c r="B16" s="5">
        <f t="shared" si="5"/>
        <v>109443</v>
      </c>
      <c r="C16" s="5">
        <f t="shared" si="6"/>
        <v>0</v>
      </c>
      <c r="D16" s="355">
        <f t="shared" si="7"/>
        <v>0</v>
      </c>
      <c r="E16" s="284">
        <f>SUM((C16*$E$4)+(7500/'EDl log'!$A$37))</f>
        <v>267.85714285714283</v>
      </c>
      <c r="F16" s="354"/>
      <c r="G16" s="5">
        <f t="shared" si="8"/>
        <v>632742</v>
      </c>
      <c r="H16" s="5">
        <f t="shared" si="9"/>
        <v>0</v>
      </c>
      <c r="I16" s="5">
        <f t="shared" si="10"/>
        <v>0</v>
      </c>
      <c r="J16" s="285">
        <f t="shared" si="0"/>
        <v>0</v>
      </c>
      <c r="K16" s="5">
        <f t="shared" si="11"/>
        <v>7089</v>
      </c>
      <c r="L16" s="240">
        <f t="shared" si="40"/>
        <v>0</v>
      </c>
      <c r="M16" s="346">
        <f t="shared" si="12"/>
        <v>457.44</v>
      </c>
      <c r="N16" s="426">
        <f t="shared" si="45"/>
        <v>0</v>
      </c>
      <c r="O16" s="346">
        <f t="shared" si="13"/>
        <v>529.52</v>
      </c>
      <c r="P16" s="426">
        <f t="shared" si="46"/>
        <v>0</v>
      </c>
      <c r="Q16" s="426">
        <f t="shared" si="47"/>
        <v>0</v>
      </c>
      <c r="R16" s="428"/>
      <c r="S16" s="428"/>
      <c r="T16" s="5">
        <f t="shared" si="14"/>
        <v>5202</v>
      </c>
      <c r="U16" s="5">
        <f t="shared" si="3"/>
        <v>0</v>
      </c>
      <c r="V16" s="5">
        <f t="shared" si="15"/>
        <v>518</v>
      </c>
      <c r="W16" s="275">
        <f t="shared" si="16"/>
        <v>0</v>
      </c>
      <c r="X16" s="5">
        <f t="shared" si="17"/>
        <v>156588</v>
      </c>
      <c r="Y16" s="275">
        <f t="shared" si="41"/>
        <v>0</v>
      </c>
      <c r="Z16" s="5">
        <f t="shared" si="18"/>
        <v>99955</v>
      </c>
      <c r="AA16" s="80">
        <f t="shared" si="19"/>
        <v>0</v>
      </c>
      <c r="AB16" s="5">
        <f t="shared" si="20"/>
        <v>242</v>
      </c>
      <c r="AC16" s="5">
        <f t="shared" si="21"/>
        <v>855</v>
      </c>
      <c r="AD16" s="80">
        <f t="shared" si="34"/>
        <v>0</v>
      </c>
      <c r="AE16" s="5">
        <f t="shared" si="22"/>
        <v>262.47000000000003</v>
      </c>
      <c r="AF16" s="80">
        <f t="shared" si="23"/>
        <v>0</v>
      </c>
      <c r="AG16" s="5">
        <f t="shared" si="24"/>
        <v>2247.41</v>
      </c>
      <c r="AH16" s="80">
        <f t="shared" si="25"/>
        <v>0</v>
      </c>
      <c r="AI16" s="80">
        <f t="shared" si="26"/>
        <v>0</v>
      </c>
      <c r="AJ16" s="277">
        <f t="shared" si="27"/>
        <v>0</v>
      </c>
      <c r="AK16" s="278">
        <f t="shared" si="35"/>
        <v>0</v>
      </c>
      <c r="AL16" s="278">
        <f t="shared" si="28"/>
        <v>0</v>
      </c>
      <c r="AM16" s="278">
        <f>'General information '!D15</f>
        <v>0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44968</v>
      </c>
      <c r="AS16" s="360">
        <f t="shared" si="30"/>
        <v>0.9</v>
      </c>
      <c r="AT16" s="190">
        <f t="shared" si="30"/>
        <v>114</v>
      </c>
      <c r="AU16" s="361">
        <f t="shared" si="42"/>
        <v>1.1000000000000001</v>
      </c>
      <c r="AV16" s="190">
        <f t="shared" si="43"/>
        <v>88</v>
      </c>
      <c r="AW16" s="5">
        <v>2.9</v>
      </c>
      <c r="AX16" s="190">
        <f t="shared" si="44"/>
        <v>88</v>
      </c>
      <c r="AY16" s="362">
        <f t="shared" si="36"/>
        <v>102.60000000000001</v>
      </c>
      <c r="AZ16" s="362">
        <f t="shared" si="37"/>
        <v>96.800000000000011</v>
      </c>
      <c r="BA16" s="362">
        <f t="shared" si="38"/>
        <v>255.2</v>
      </c>
      <c r="BB16" s="20">
        <f t="shared" si="39"/>
        <v>0</v>
      </c>
      <c r="BC16" s="20">
        <f t="shared" si="31"/>
        <v>0</v>
      </c>
      <c r="BD16" s="20">
        <f t="shared" si="31"/>
        <v>0</v>
      </c>
      <c r="BE16" s="23">
        <f t="shared" si="32"/>
        <v>0</v>
      </c>
      <c r="BF16" s="79">
        <f t="shared" si="33"/>
        <v>0</v>
      </c>
      <c r="BG16" s="79">
        <f t="shared" si="4"/>
        <v>0</v>
      </c>
    </row>
    <row r="17" spans="1:61" ht="15" thickBot="1">
      <c r="A17" s="6">
        <f>ELEC!C15</f>
        <v>44969</v>
      </c>
      <c r="B17" s="5">
        <f t="shared" si="5"/>
        <v>109443</v>
      </c>
      <c r="C17" s="5">
        <f t="shared" si="6"/>
        <v>0</v>
      </c>
      <c r="D17" s="355">
        <f t="shared" si="7"/>
        <v>0</v>
      </c>
      <c r="E17" s="284">
        <f>SUM((C17*$E$4)+(7500/'EDl log'!$A$37))</f>
        <v>267.85714285714283</v>
      </c>
      <c r="F17" s="354"/>
      <c r="G17" s="5">
        <v>633110</v>
      </c>
      <c r="H17" s="5">
        <f t="shared" si="9"/>
        <v>368</v>
      </c>
      <c r="I17" s="5">
        <f t="shared" si="10"/>
        <v>368</v>
      </c>
      <c r="J17" s="285">
        <f t="shared" si="0"/>
        <v>0.72787267080745333</v>
      </c>
      <c r="K17" s="5">
        <f t="shared" si="11"/>
        <v>7089</v>
      </c>
      <c r="L17" s="80">
        <f t="shared" si="40"/>
        <v>0</v>
      </c>
      <c r="M17" s="346">
        <f t="shared" si="12"/>
        <v>457.44</v>
      </c>
      <c r="N17" s="426">
        <f t="shared" si="45"/>
        <v>0</v>
      </c>
      <c r="O17" s="346">
        <f t="shared" si="13"/>
        <v>529.52</v>
      </c>
      <c r="P17" s="426">
        <f t="shared" si="46"/>
        <v>0</v>
      </c>
      <c r="Q17" s="426">
        <f t="shared" si="47"/>
        <v>0</v>
      </c>
      <c r="R17" s="426"/>
      <c r="S17" s="426"/>
      <c r="T17" s="5">
        <f t="shared" si="14"/>
        <v>5202</v>
      </c>
      <c r="U17" s="5">
        <f t="shared" si="3"/>
        <v>0</v>
      </c>
      <c r="V17" s="5">
        <f t="shared" si="15"/>
        <v>518</v>
      </c>
      <c r="W17" s="275">
        <f t="shared" si="16"/>
        <v>0</v>
      </c>
      <c r="X17" s="5">
        <f t="shared" si="17"/>
        <v>156588</v>
      </c>
      <c r="Y17" s="275">
        <f t="shared" si="41"/>
        <v>0</v>
      </c>
      <c r="Z17" s="5">
        <f t="shared" si="18"/>
        <v>99955</v>
      </c>
      <c r="AA17" s="80">
        <f t="shared" si="19"/>
        <v>0</v>
      </c>
      <c r="AB17" s="5">
        <f t="shared" si="20"/>
        <v>242</v>
      </c>
      <c r="AC17" s="5">
        <f t="shared" si="21"/>
        <v>855</v>
      </c>
      <c r="AD17" s="80">
        <f t="shared" si="34"/>
        <v>0</v>
      </c>
      <c r="AE17" s="5">
        <f t="shared" si="22"/>
        <v>262.47000000000003</v>
      </c>
      <c r="AF17" s="80">
        <f t="shared" si="23"/>
        <v>0</v>
      </c>
      <c r="AG17" s="5">
        <f t="shared" si="24"/>
        <v>2247.41</v>
      </c>
      <c r="AH17" s="80">
        <f t="shared" si="25"/>
        <v>0</v>
      </c>
      <c r="AI17" s="80">
        <f t="shared" si="26"/>
        <v>0</v>
      </c>
      <c r="AJ17" s="277">
        <f t="shared" si="27"/>
        <v>0</v>
      </c>
      <c r="AK17" s="278">
        <f t="shared" si="35"/>
        <v>0</v>
      </c>
      <c r="AL17" s="278">
        <f t="shared" si="28"/>
        <v>0</v>
      </c>
      <c r="AM17" s="278">
        <f>'General information '!D16</f>
        <v>12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44969</v>
      </c>
      <c r="AS17" s="360">
        <f t="shared" si="30"/>
        <v>0.9</v>
      </c>
      <c r="AT17" s="190">
        <v>203</v>
      </c>
      <c r="AU17" s="361">
        <f t="shared" si="42"/>
        <v>1.1000000000000001</v>
      </c>
      <c r="AV17" s="190">
        <v>83</v>
      </c>
      <c r="AW17" s="5">
        <v>2.9</v>
      </c>
      <c r="AX17" s="190">
        <v>122</v>
      </c>
      <c r="AY17" s="362">
        <f t="shared" si="36"/>
        <v>182.70000000000002</v>
      </c>
      <c r="AZ17" s="362">
        <f t="shared" si="37"/>
        <v>91.300000000000011</v>
      </c>
      <c r="BA17" s="362">
        <f t="shared" si="38"/>
        <v>353.8</v>
      </c>
      <c r="BB17" s="20">
        <f t="shared" si="39"/>
        <v>80.100000000000009</v>
      </c>
      <c r="BC17" s="20">
        <f t="shared" si="31"/>
        <v>-5.5</v>
      </c>
      <c r="BD17" s="20">
        <f t="shared" si="31"/>
        <v>98.600000000000023</v>
      </c>
      <c r="BE17" s="23">
        <f t="shared" si="32"/>
        <v>173.20000000000005</v>
      </c>
      <c r="BF17" s="79">
        <f t="shared" si="33"/>
        <v>194.79999999999995</v>
      </c>
      <c r="BG17" s="79">
        <f t="shared" si="4"/>
        <v>173.20000000000005</v>
      </c>
    </row>
    <row r="18" spans="1:61" ht="15" thickBot="1">
      <c r="A18" s="6">
        <f>ELEC!C16</f>
        <v>44970</v>
      </c>
      <c r="B18" s="5">
        <f t="shared" si="5"/>
        <v>109443</v>
      </c>
      <c r="C18" s="5">
        <f t="shared" si="6"/>
        <v>0</v>
      </c>
      <c r="D18" s="355">
        <f t="shared" si="7"/>
        <v>0</v>
      </c>
      <c r="E18" s="284">
        <f>SUM((C18*$E$4)+(7500/'EDl log'!$A$37))</f>
        <v>267.85714285714283</v>
      </c>
      <c r="F18" s="354"/>
      <c r="G18" s="5">
        <f t="shared" si="8"/>
        <v>633110</v>
      </c>
      <c r="H18" s="5">
        <f t="shared" si="9"/>
        <v>0</v>
      </c>
      <c r="I18" s="5">
        <f t="shared" si="10"/>
        <v>0</v>
      </c>
      <c r="J18" s="285">
        <f t="shared" si="0"/>
        <v>0</v>
      </c>
      <c r="K18" s="5">
        <f t="shared" si="11"/>
        <v>7089</v>
      </c>
      <c r="L18" s="80">
        <f t="shared" si="40"/>
        <v>0</v>
      </c>
      <c r="M18" s="346">
        <f t="shared" si="12"/>
        <v>457.44</v>
      </c>
      <c r="N18" s="426">
        <f t="shared" si="45"/>
        <v>0</v>
      </c>
      <c r="O18" s="346">
        <f t="shared" si="13"/>
        <v>529.52</v>
      </c>
      <c r="P18" s="426">
        <f t="shared" si="46"/>
        <v>0</v>
      </c>
      <c r="Q18" s="426">
        <f t="shared" si="47"/>
        <v>0</v>
      </c>
      <c r="R18" s="426"/>
      <c r="S18" s="426"/>
      <c r="T18" s="5">
        <f t="shared" si="14"/>
        <v>5202</v>
      </c>
      <c r="U18" s="5">
        <f t="shared" si="3"/>
        <v>0</v>
      </c>
      <c r="V18" s="5">
        <f t="shared" si="15"/>
        <v>518</v>
      </c>
      <c r="W18" s="275">
        <f t="shared" si="16"/>
        <v>0</v>
      </c>
      <c r="X18" s="5">
        <f t="shared" si="17"/>
        <v>156588</v>
      </c>
      <c r="Y18" s="275">
        <f t="shared" si="41"/>
        <v>0</v>
      </c>
      <c r="Z18" s="5">
        <v>99898</v>
      </c>
      <c r="AA18" s="80">
        <f t="shared" si="19"/>
        <v>-57</v>
      </c>
      <c r="AB18" s="5">
        <f t="shared" si="20"/>
        <v>242</v>
      </c>
      <c r="AC18" s="5">
        <f t="shared" si="21"/>
        <v>855</v>
      </c>
      <c r="AD18" s="80">
        <f t="shared" si="34"/>
        <v>0</v>
      </c>
      <c r="AE18" s="5">
        <f t="shared" si="22"/>
        <v>262.47000000000003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7">
        <f t="shared" si="27"/>
        <v>-57</v>
      </c>
      <c r="AK18" s="278">
        <f t="shared" si="35"/>
        <v>0</v>
      </c>
      <c r="AL18" s="278">
        <f t="shared" si="28"/>
        <v>-57</v>
      </c>
      <c r="AM18" s="278">
        <f>'General information '!D17</f>
        <v>13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44970</v>
      </c>
      <c r="AS18" s="360">
        <f t="shared" si="30"/>
        <v>0.9</v>
      </c>
      <c r="AT18" s="190">
        <f t="shared" si="30"/>
        <v>203</v>
      </c>
      <c r="AU18" s="361">
        <f t="shared" si="42"/>
        <v>1.1000000000000001</v>
      </c>
      <c r="AV18" s="190">
        <v>80</v>
      </c>
      <c r="AW18" s="5">
        <v>2.9</v>
      </c>
      <c r="AX18" s="190">
        <v>118</v>
      </c>
      <c r="AY18" s="362">
        <f t="shared" si="36"/>
        <v>182.70000000000002</v>
      </c>
      <c r="AZ18" s="362">
        <f t="shared" si="37"/>
        <v>88</v>
      </c>
      <c r="BA18" s="362">
        <f t="shared" si="38"/>
        <v>342.2</v>
      </c>
      <c r="BB18" s="20">
        <f t="shared" si="39"/>
        <v>0</v>
      </c>
      <c r="BC18" s="20">
        <f t="shared" si="31"/>
        <v>-3.3000000000000114</v>
      </c>
      <c r="BD18" s="20">
        <f t="shared" si="31"/>
        <v>-11.600000000000023</v>
      </c>
      <c r="BE18" s="23">
        <f t="shared" si="32"/>
        <v>-14.900000000000034</v>
      </c>
      <c r="BF18" s="79">
        <f t="shared" si="33"/>
        <v>14.900000000000034</v>
      </c>
      <c r="BG18" s="79">
        <f t="shared" si="4"/>
        <v>-14.900000000000034</v>
      </c>
    </row>
    <row r="19" spans="1:61" ht="15" thickBot="1">
      <c r="A19" s="6">
        <f>ELEC!C17</f>
        <v>44971</v>
      </c>
      <c r="B19" s="5">
        <f t="shared" si="5"/>
        <v>109443</v>
      </c>
      <c r="C19" s="5">
        <f t="shared" si="6"/>
        <v>0</v>
      </c>
      <c r="D19" s="355">
        <f t="shared" si="7"/>
        <v>0</v>
      </c>
      <c r="E19" s="284">
        <f>SUM((C19*$E$4)+(7500/'EDl log'!$A$37))</f>
        <v>267.85714285714283</v>
      </c>
      <c r="F19" s="354"/>
      <c r="G19" s="5">
        <f t="shared" si="8"/>
        <v>633110</v>
      </c>
      <c r="H19" s="5">
        <f t="shared" si="9"/>
        <v>0</v>
      </c>
      <c r="I19" s="5">
        <f t="shared" si="10"/>
        <v>0</v>
      </c>
      <c r="J19" s="285">
        <f t="shared" si="0"/>
        <v>0</v>
      </c>
      <c r="K19" s="5">
        <f t="shared" si="11"/>
        <v>7089</v>
      </c>
      <c r="L19" s="80">
        <f t="shared" si="40"/>
        <v>0</v>
      </c>
      <c r="M19" s="346">
        <f t="shared" si="12"/>
        <v>457.44</v>
      </c>
      <c r="N19" s="426">
        <f t="shared" si="45"/>
        <v>0</v>
      </c>
      <c r="O19" s="346">
        <f t="shared" si="13"/>
        <v>529.52</v>
      </c>
      <c r="P19" s="426">
        <f t="shared" si="46"/>
        <v>0</v>
      </c>
      <c r="Q19" s="426">
        <f t="shared" si="47"/>
        <v>0</v>
      </c>
      <c r="R19" s="426"/>
      <c r="S19" s="426"/>
      <c r="T19" s="5">
        <f t="shared" si="14"/>
        <v>5202</v>
      </c>
      <c r="U19" s="5">
        <f t="shared" si="3"/>
        <v>0</v>
      </c>
      <c r="V19" s="5">
        <f t="shared" si="15"/>
        <v>518</v>
      </c>
      <c r="W19" s="275">
        <f t="shared" si="16"/>
        <v>0</v>
      </c>
      <c r="X19" s="5">
        <f t="shared" si="17"/>
        <v>156588</v>
      </c>
      <c r="Y19" s="275">
        <f t="shared" si="41"/>
        <v>0</v>
      </c>
      <c r="Z19" s="5">
        <f t="shared" si="18"/>
        <v>99898</v>
      </c>
      <c r="AA19" s="80">
        <f t="shared" si="19"/>
        <v>0</v>
      </c>
      <c r="AB19" s="5">
        <f t="shared" si="20"/>
        <v>242</v>
      </c>
      <c r="AC19" s="5">
        <f t="shared" si="21"/>
        <v>855</v>
      </c>
      <c r="AD19" s="80">
        <f t="shared" si="34"/>
        <v>0</v>
      </c>
      <c r="AE19" s="5">
        <f t="shared" si="22"/>
        <v>262.47000000000003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7">
        <f t="shared" si="27"/>
        <v>0</v>
      </c>
      <c r="AK19" s="278">
        <f t="shared" si="35"/>
        <v>0</v>
      </c>
      <c r="AL19" s="278">
        <f t="shared" si="28"/>
        <v>0</v>
      </c>
      <c r="AM19" s="278">
        <f>'General information '!D18</f>
        <v>12.5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44971</v>
      </c>
      <c r="AS19" s="360">
        <f t="shared" si="30"/>
        <v>0.9</v>
      </c>
      <c r="AT19" s="190">
        <f t="shared" si="30"/>
        <v>203</v>
      </c>
      <c r="AU19" s="361">
        <f t="shared" si="42"/>
        <v>1.1000000000000001</v>
      </c>
      <c r="AV19" s="190">
        <v>78</v>
      </c>
      <c r="AW19" s="5">
        <v>2.9</v>
      </c>
      <c r="AX19" s="190">
        <v>115</v>
      </c>
      <c r="AY19" s="362">
        <f>AS19*AT19</f>
        <v>182.70000000000002</v>
      </c>
      <c r="AZ19" s="362">
        <f>AU19*AV19</f>
        <v>85.800000000000011</v>
      </c>
      <c r="BA19" s="362">
        <f>AW19*AX19</f>
        <v>333.5</v>
      </c>
      <c r="BB19" s="20">
        <f t="shared" si="39"/>
        <v>0</v>
      </c>
      <c r="BC19" s="20">
        <f t="shared" ref="BC19:BD20" si="48">AZ19-AZ18</f>
        <v>-2.1999999999999886</v>
      </c>
      <c r="BD19" s="20">
        <f t="shared" si="48"/>
        <v>-8.6999999999999886</v>
      </c>
      <c r="BE19" s="23">
        <f>SUM(BB19:BD19)</f>
        <v>-10.899999999999977</v>
      </c>
      <c r="BF19" s="79">
        <f t="shared" si="33"/>
        <v>10.899999999999977</v>
      </c>
      <c r="BG19" s="79">
        <f t="shared" si="4"/>
        <v>-10.899999999999977</v>
      </c>
    </row>
    <row r="20" spans="1:61" ht="15" thickBot="1">
      <c r="A20" s="6">
        <f>ELEC!C18</f>
        <v>44972</v>
      </c>
      <c r="B20" s="5">
        <f t="shared" si="5"/>
        <v>109443</v>
      </c>
      <c r="C20" s="5">
        <f t="shared" si="6"/>
        <v>0</v>
      </c>
      <c r="D20" s="355">
        <f t="shared" si="7"/>
        <v>0</v>
      </c>
      <c r="E20" s="284">
        <f>SUM((C20*$E$4)+(7500/'EDl log'!$A$37))</f>
        <v>267.85714285714283</v>
      </c>
      <c r="F20" s="354"/>
      <c r="G20" s="5">
        <f t="shared" si="8"/>
        <v>633110</v>
      </c>
      <c r="H20" s="5">
        <f t="shared" si="9"/>
        <v>0</v>
      </c>
      <c r="I20" s="5">
        <f t="shared" si="10"/>
        <v>0</v>
      </c>
      <c r="J20" s="285">
        <f t="shared" si="0"/>
        <v>0</v>
      </c>
      <c r="K20" s="5">
        <f t="shared" si="11"/>
        <v>7089</v>
      </c>
      <c r="L20" s="80">
        <f t="shared" si="40"/>
        <v>0</v>
      </c>
      <c r="M20" s="346">
        <f t="shared" si="12"/>
        <v>457.44</v>
      </c>
      <c r="N20" s="426">
        <f t="shared" si="45"/>
        <v>0</v>
      </c>
      <c r="O20" s="346">
        <f t="shared" si="13"/>
        <v>529.52</v>
      </c>
      <c r="P20" s="426">
        <f t="shared" si="46"/>
        <v>0</v>
      </c>
      <c r="Q20" s="426">
        <f t="shared" si="47"/>
        <v>0</v>
      </c>
      <c r="R20" s="426"/>
      <c r="S20" s="426"/>
      <c r="T20" s="5">
        <f t="shared" si="14"/>
        <v>5202</v>
      </c>
      <c r="U20" s="5">
        <f t="shared" si="3"/>
        <v>0</v>
      </c>
      <c r="V20" s="5">
        <f t="shared" si="15"/>
        <v>518</v>
      </c>
      <c r="W20" s="275">
        <f t="shared" si="16"/>
        <v>0</v>
      </c>
      <c r="X20" s="5">
        <f t="shared" si="17"/>
        <v>156588</v>
      </c>
      <c r="Y20" s="275">
        <f t="shared" si="41"/>
        <v>0</v>
      </c>
      <c r="Z20" s="5">
        <f t="shared" si="18"/>
        <v>99898</v>
      </c>
      <c r="AA20" s="80">
        <f t="shared" si="19"/>
        <v>0</v>
      </c>
      <c r="AB20" s="5">
        <f t="shared" si="20"/>
        <v>242</v>
      </c>
      <c r="AC20" s="5">
        <f t="shared" si="21"/>
        <v>855</v>
      </c>
      <c r="AD20" s="80">
        <f t="shared" si="34"/>
        <v>0</v>
      </c>
      <c r="AE20" s="5">
        <f t="shared" si="22"/>
        <v>262.47000000000003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7">
        <f t="shared" si="27"/>
        <v>0</v>
      </c>
      <c r="AK20" s="278">
        <f t="shared" si="35"/>
        <v>0</v>
      </c>
      <c r="AL20" s="278">
        <f t="shared" si="28"/>
        <v>0</v>
      </c>
      <c r="AM20" s="278">
        <f>'General information '!D19</f>
        <v>12.5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44972</v>
      </c>
      <c r="AS20" s="360">
        <f t="shared" si="30"/>
        <v>0.9</v>
      </c>
      <c r="AT20" s="190">
        <v>206</v>
      </c>
      <c r="AU20" s="361">
        <f t="shared" si="42"/>
        <v>1.1000000000000001</v>
      </c>
      <c r="AV20" s="190">
        <v>77</v>
      </c>
      <c r="AW20" s="5">
        <v>2.9</v>
      </c>
      <c r="AX20" s="190">
        <v>168</v>
      </c>
      <c r="AY20" s="362">
        <f>AS20*AT20</f>
        <v>185.4</v>
      </c>
      <c r="AZ20" s="362">
        <f>AU20*AV20</f>
        <v>84.7</v>
      </c>
      <c r="BA20" s="362">
        <f>AW20*AX20</f>
        <v>487.2</v>
      </c>
      <c r="BB20" s="20">
        <f t="shared" si="39"/>
        <v>2.6999999999999886</v>
      </c>
      <c r="BC20" s="20">
        <f t="shared" si="48"/>
        <v>-1.1000000000000085</v>
      </c>
      <c r="BD20" s="20">
        <f t="shared" si="48"/>
        <v>153.69999999999999</v>
      </c>
      <c r="BE20" s="23">
        <f>SUM(BB20:BD20)</f>
        <v>155.29999999999995</v>
      </c>
      <c r="BF20" s="79">
        <f t="shared" si="33"/>
        <v>-155.29999999999995</v>
      </c>
      <c r="BG20" s="79">
        <f t="shared" si="4"/>
        <v>155.29999999999995</v>
      </c>
    </row>
    <row r="21" spans="1:61" ht="15" thickBot="1">
      <c r="A21" s="6">
        <f>ELEC!C19</f>
        <v>44973</v>
      </c>
      <c r="B21" s="5">
        <f t="shared" si="5"/>
        <v>109443</v>
      </c>
      <c r="C21" s="5">
        <f t="shared" si="6"/>
        <v>0</v>
      </c>
      <c r="D21" s="355">
        <f t="shared" si="7"/>
        <v>0</v>
      </c>
      <c r="E21" s="284">
        <f>SUM((C21*$E$4)+(7500/'EDl log'!$A$37))</f>
        <v>267.85714285714283</v>
      </c>
      <c r="F21" s="278"/>
      <c r="G21" s="5">
        <f t="shared" si="8"/>
        <v>633110</v>
      </c>
      <c r="H21" s="5">
        <f t="shared" si="9"/>
        <v>0</v>
      </c>
      <c r="I21" s="5">
        <f t="shared" si="10"/>
        <v>0</v>
      </c>
      <c r="J21" s="285">
        <f t="shared" si="0"/>
        <v>0</v>
      </c>
      <c r="K21" s="5">
        <f t="shared" si="11"/>
        <v>7089</v>
      </c>
      <c r="L21" s="80">
        <f t="shared" si="40"/>
        <v>0</v>
      </c>
      <c r="M21" s="346">
        <f t="shared" si="12"/>
        <v>457.44</v>
      </c>
      <c r="N21" s="426">
        <f t="shared" si="45"/>
        <v>0</v>
      </c>
      <c r="O21" s="346">
        <f t="shared" si="13"/>
        <v>529.52</v>
      </c>
      <c r="P21" s="426">
        <f t="shared" si="46"/>
        <v>0</v>
      </c>
      <c r="Q21" s="426">
        <f t="shared" si="47"/>
        <v>0</v>
      </c>
      <c r="R21" s="426"/>
      <c r="S21" s="426"/>
      <c r="T21" s="5">
        <f t="shared" si="14"/>
        <v>5202</v>
      </c>
      <c r="U21" s="5">
        <f t="shared" si="3"/>
        <v>0</v>
      </c>
      <c r="V21" s="5">
        <f t="shared" si="15"/>
        <v>518</v>
      </c>
      <c r="W21" s="275">
        <f t="shared" si="16"/>
        <v>0</v>
      </c>
      <c r="X21" s="5">
        <f t="shared" si="17"/>
        <v>156588</v>
      </c>
      <c r="Y21" s="275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242</v>
      </c>
      <c r="AC21" s="5">
        <f t="shared" si="21"/>
        <v>855</v>
      </c>
      <c r="AD21" s="80">
        <f t="shared" si="34"/>
        <v>0</v>
      </c>
      <c r="AE21" s="5">
        <f t="shared" si="22"/>
        <v>262.47000000000003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7">
        <f t="shared" si="27"/>
        <v>0</v>
      </c>
      <c r="AK21" s="278">
        <f t="shared" si="35"/>
        <v>0</v>
      </c>
      <c r="AL21" s="278">
        <f t="shared" si="28"/>
        <v>0</v>
      </c>
      <c r="AM21" s="278">
        <f>'General information '!D20</f>
        <v>12.5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44973</v>
      </c>
      <c r="AS21" s="360">
        <f t="shared" si="30"/>
        <v>0.9</v>
      </c>
      <c r="AT21" s="190">
        <f t="shared" si="30"/>
        <v>206</v>
      </c>
      <c r="AU21" s="361">
        <f t="shared" si="42"/>
        <v>1.1000000000000001</v>
      </c>
      <c r="AV21" s="190">
        <v>74</v>
      </c>
      <c r="AW21" s="5">
        <v>2.9</v>
      </c>
      <c r="AX21" s="190">
        <v>168</v>
      </c>
      <c r="AY21" s="362">
        <f>AS21*AT21</f>
        <v>185.4</v>
      </c>
      <c r="AZ21" s="362">
        <f>AU21*AV21</f>
        <v>81.400000000000006</v>
      </c>
      <c r="BA21" s="362">
        <f>AW21*AX21</f>
        <v>487.2</v>
      </c>
      <c r="BB21" s="20">
        <f t="shared" si="39"/>
        <v>0</v>
      </c>
      <c r="BC21" s="20">
        <f t="shared" si="31"/>
        <v>-3.2999999999999972</v>
      </c>
      <c r="BD21" s="20">
        <f t="shared" si="31"/>
        <v>0</v>
      </c>
      <c r="BE21" s="23">
        <f t="shared" si="32"/>
        <v>-3.2999999999999972</v>
      </c>
      <c r="BF21" s="79">
        <f t="shared" si="33"/>
        <v>3.2999999999999972</v>
      </c>
      <c r="BG21" s="79">
        <f t="shared" si="4"/>
        <v>-3.2999999999999972</v>
      </c>
    </row>
    <row r="22" spans="1:61" ht="15" thickBot="1">
      <c r="A22" s="6">
        <f>ELEC!C20</f>
        <v>44974</v>
      </c>
      <c r="B22" s="5">
        <v>109443</v>
      </c>
      <c r="C22" s="5">
        <f t="shared" si="6"/>
        <v>0</v>
      </c>
      <c r="D22" s="355">
        <f t="shared" si="7"/>
        <v>0</v>
      </c>
      <c r="E22" s="284">
        <f>SUM((C22*$E$4)+(7500/'EDl log'!$A$37))</f>
        <v>267.85714285714283</v>
      </c>
      <c r="F22" s="278"/>
      <c r="G22" s="5">
        <f t="shared" si="8"/>
        <v>633110</v>
      </c>
      <c r="H22" s="5">
        <f t="shared" si="9"/>
        <v>0</v>
      </c>
      <c r="I22" s="5">
        <f t="shared" si="10"/>
        <v>0</v>
      </c>
      <c r="J22" s="285">
        <f t="shared" si="0"/>
        <v>0</v>
      </c>
      <c r="K22" s="5">
        <f t="shared" si="11"/>
        <v>7089</v>
      </c>
      <c r="L22" s="80">
        <f t="shared" si="40"/>
        <v>0</v>
      </c>
      <c r="M22" s="346">
        <f t="shared" si="12"/>
        <v>457.44</v>
      </c>
      <c r="N22" s="426">
        <f t="shared" si="45"/>
        <v>0</v>
      </c>
      <c r="O22" s="346">
        <f t="shared" si="13"/>
        <v>529.52</v>
      </c>
      <c r="P22" s="426">
        <f t="shared" si="46"/>
        <v>0</v>
      </c>
      <c r="Q22" s="426">
        <f t="shared" si="47"/>
        <v>0</v>
      </c>
      <c r="R22" s="426"/>
      <c r="S22" s="426"/>
      <c r="T22" s="5">
        <f t="shared" si="14"/>
        <v>5202</v>
      </c>
      <c r="U22" s="5">
        <f t="shared" si="3"/>
        <v>0</v>
      </c>
      <c r="V22" s="5">
        <f t="shared" si="15"/>
        <v>518</v>
      </c>
      <c r="W22" s="275">
        <f t="shared" si="16"/>
        <v>0</v>
      </c>
      <c r="X22" s="5">
        <f t="shared" si="17"/>
        <v>156588</v>
      </c>
      <c r="Y22" s="275">
        <f t="shared" si="41"/>
        <v>0</v>
      </c>
      <c r="Z22" s="5">
        <f t="shared" si="18"/>
        <v>99898</v>
      </c>
      <c r="AA22" s="80">
        <f t="shared" si="19"/>
        <v>0</v>
      </c>
      <c r="AB22" s="5">
        <f t="shared" si="20"/>
        <v>242</v>
      </c>
      <c r="AC22" s="5">
        <f t="shared" si="21"/>
        <v>855</v>
      </c>
      <c r="AD22" s="80">
        <f t="shared" si="34"/>
        <v>0</v>
      </c>
      <c r="AE22" s="5">
        <f t="shared" si="22"/>
        <v>262.47000000000003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7">
        <f t="shared" si="27"/>
        <v>0</v>
      </c>
      <c r="AK22" s="278">
        <f t="shared" si="35"/>
        <v>0</v>
      </c>
      <c r="AL22" s="278">
        <f t="shared" si="28"/>
        <v>0</v>
      </c>
      <c r="AM22" s="278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44974</v>
      </c>
      <c r="AS22" s="360">
        <f t="shared" ref="AS22:AT33" si="49">AS21</f>
        <v>0.9</v>
      </c>
      <c r="AT22" s="190">
        <f t="shared" si="49"/>
        <v>206</v>
      </c>
      <c r="AU22" s="361">
        <f t="shared" si="42"/>
        <v>1.1000000000000001</v>
      </c>
      <c r="AV22" s="190">
        <f t="shared" si="43"/>
        <v>74</v>
      </c>
      <c r="AW22" s="5">
        <v>2.9</v>
      </c>
      <c r="AX22" s="190">
        <f t="shared" si="44"/>
        <v>168</v>
      </c>
      <c r="AY22" s="362">
        <f t="shared" si="36"/>
        <v>185.4</v>
      </c>
      <c r="AZ22" s="362">
        <f t="shared" si="37"/>
        <v>81.400000000000006</v>
      </c>
      <c r="BA22" s="362">
        <f t="shared" si="38"/>
        <v>487.2</v>
      </c>
      <c r="BB22" s="20">
        <f t="shared" si="39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2"/>
        <v>0</v>
      </c>
      <c r="BF22" s="79">
        <f t="shared" si="33"/>
        <v>0</v>
      </c>
      <c r="BG22" s="79">
        <f t="shared" si="4"/>
        <v>0</v>
      </c>
    </row>
    <row r="23" spans="1:61" ht="15" thickBot="1">
      <c r="A23" s="6">
        <f>ELEC!C21</f>
        <v>44975</v>
      </c>
      <c r="B23" s="5">
        <f t="shared" si="5"/>
        <v>109443</v>
      </c>
      <c r="C23" s="5">
        <f t="shared" si="6"/>
        <v>0</v>
      </c>
      <c r="D23" s="355">
        <f t="shared" si="7"/>
        <v>0</v>
      </c>
      <c r="E23" s="284">
        <f>SUM((C23*$E$4)+(7500/'EDl log'!$A$37))</f>
        <v>267.85714285714283</v>
      </c>
      <c r="F23" s="278"/>
      <c r="G23" s="5">
        <f t="shared" si="8"/>
        <v>633110</v>
      </c>
      <c r="H23" s="5">
        <f t="shared" si="9"/>
        <v>0</v>
      </c>
      <c r="I23" s="5">
        <f t="shared" si="10"/>
        <v>0</v>
      </c>
      <c r="J23" s="285">
        <f t="shared" si="0"/>
        <v>0</v>
      </c>
      <c r="K23" s="5">
        <f t="shared" si="11"/>
        <v>7089</v>
      </c>
      <c r="L23" s="240">
        <f t="shared" si="40"/>
        <v>0</v>
      </c>
      <c r="M23" s="346">
        <f t="shared" si="12"/>
        <v>457.44</v>
      </c>
      <c r="N23" s="426">
        <f t="shared" si="45"/>
        <v>0</v>
      </c>
      <c r="O23" s="346">
        <f t="shared" si="13"/>
        <v>529.52</v>
      </c>
      <c r="P23" s="426">
        <f t="shared" si="46"/>
        <v>0</v>
      </c>
      <c r="Q23" s="426">
        <f t="shared" si="47"/>
        <v>0</v>
      </c>
      <c r="R23" s="428"/>
      <c r="S23" s="428"/>
      <c r="T23" s="5">
        <f t="shared" si="14"/>
        <v>5202</v>
      </c>
      <c r="U23" s="5">
        <f t="shared" si="3"/>
        <v>0</v>
      </c>
      <c r="V23" s="5">
        <f t="shared" si="15"/>
        <v>518</v>
      </c>
      <c r="W23" s="275">
        <f t="shared" si="16"/>
        <v>0</v>
      </c>
      <c r="X23" s="5">
        <f t="shared" si="17"/>
        <v>156588</v>
      </c>
      <c r="Y23" s="275">
        <f t="shared" si="41"/>
        <v>0</v>
      </c>
      <c r="Z23" s="5">
        <f t="shared" si="18"/>
        <v>99898</v>
      </c>
      <c r="AA23" s="80">
        <f t="shared" si="19"/>
        <v>0</v>
      </c>
      <c r="AB23" s="5">
        <f t="shared" si="20"/>
        <v>242</v>
      </c>
      <c r="AC23" s="5">
        <f t="shared" si="21"/>
        <v>855</v>
      </c>
      <c r="AD23" s="80">
        <f t="shared" si="34"/>
        <v>0</v>
      </c>
      <c r="AE23" s="5">
        <f t="shared" si="22"/>
        <v>262.47000000000003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7">
        <f t="shared" si="27"/>
        <v>0</v>
      </c>
      <c r="AK23" s="278">
        <f t="shared" si="35"/>
        <v>0</v>
      </c>
      <c r="AL23" s="278">
        <f t="shared" si="28"/>
        <v>0</v>
      </c>
      <c r="AM23" s="278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44975</v>
      </c>
      <c r="AS23" s="360">
        <f t="shared" si="49"/>
        <v>0.9</v>
      </c>
      <c r="AT23" s="190">
        <f t="shared" si="49"/>
        <v>206</v>
      </c>
      <c r="AU23" s="361">
        <f t="shared" si="42"/>
        <v>1.1000000000000001</v>
      </c>
      <c r="AV23" s="190">
        <f t="shared" si="43"/>
        <v>74</v>
      </c>
      <c r="AW23" s="5">
        <v>2.9</v>
      </c>
      <c r="AX23" s="190">
        <f t="shared" si="44"/>
        <v>168</v>
      </c>
      <c r="AY23" s="362">
        <f t="shared" si="36"/>
        <v>185.4</v>
      </c>
      <c r="AZ23" s="362">
        <f t="shared" si="37"/>
        <v>81.400000000000006</v>
      </c>
      <c r="BA23" s="362">
        <f t="shared" si="38"/>
        <v>487.2</v>
      </c>
      <c r="BB23" s="20">
        <f t="shared" si="39"/>
        <v>0</v>
      </c>
      <c r="BC23" s="20">
        <f t="shared" si="50"/>
        <v>0</v>
      </c>
      <c r="BD23" s="20">
        <f t="shared" si="50"/>
        <v>0</v>
      </c>
      <c r="BE23" s="23">
        <f t="shared" si="32"/>
        <v>0</v>
      </c>
      <c r="BF23" s="79">
        <f t="shared" si="33"/>
        <v>0</v>
      </c>
      <c r="BG23" s="79">
        <f t="shared" si="4"/>
        <v>0</v>
      </c>
    </row>
    <row r="24" spans="1:61" ht="15" thickBot="1">
      <c r="A24" s="6">
        <f>ELEC!C22</f>
        <v>44976</v>
      </c>
      <c r="B24" s="5">
        <f t="shared" si="5"/>
        <v>109443</v>
      </c>
      <c r="C24" s="5">
        <f t="shared" si="6"/>
        <v>0</v>
      </c>
      <c r="D24" s="355">
        <f t="shared" si="7"/>
        <v>0</v>
      </c>
      <c r="E24" s="284">
        <f>SUM((C24*$E$4)+(7500/'EDl log'!$A$37))</f>
        <v>267.85714285714283</v>
      </c>
      <c r="F24" s="278"/>
      <c r="G24" s="5">
        <f t="shared" si="8"/>
        <v>633110</v>
      </c>
      <c r="H24" s="5">
        <f t="shared" si="9"/>
        <v>0</v>
      </c>
      <c r="I24" s="5">
        <f t="shared" si="10"/>
        <v>0</v>
      </c>
      <c r="J24" s="285">
        <f t="shared" si="0"/>
        <v>0</v>
      </c>
      <c r="K24" s="5">
        <f t="shared" si="11"/>
        <v>7089</v>
      </c>
      <c r="L24" s="240">
        <f t="shared" si="40"/>
        <v>0</v>
      </c>
      <c r="M24" s="346">
        <f t="shared" si="12"/>
        <v>457.44</v>
      </c>
      <c r="N24" s="426">
        <f t="shared" si="45"/>
        <v>0</v>
      </c>
      <c r="O24" s="346">
        <f t="shared" si="13"/>
        <v>529.52</v>
      </c>
      <c r="P24" s="426">
        <f t="shared" si="46"/>
        <v>0</v>
      </c>
      <c r="Q24" s="426">
        <f t="shared" si="47"/>
        <v>0</v>
      </c>
      <c r="R24" s="428"/>
      <c r="S24" s="428"/>
      <c r="T24" s="5">
        <f t="shared" si="14"/>
        <v>5202</v>
      </c>
      <c r="U24" s="5">
        <f t="shared" si="3"/>
        <v>0</v>
      </c>
      <c r="V24" s="5">
        <f t="shared" si="15"/>
        <v>518</v>
      </c>
      <c r="W24" s="275">
        <f t="shared" si="16"/>
        <v>0</v>
      </c>
      <c r="X24" s="5">
        <f t="shared" si="17"/>
        <v>156588</v>
      </c>
      <c r="Y24" s="275">
        <f t="shared" si="41"/>
        <v>0</v>
      </c>
      <c r="Z24" s="5">
        <f t="shared" si="18"/>
        <v>99898</v>
      </c>
      <c r="AA24" s="80">
        <f t="shared" si="19"/>
        <v>0</v>
      </c>
      <c r="AB24" s="5">
        <f t="shared" si="20"/>
        <v>242</v>
      </c>
      <c r="AC24" s="5">
        <f t="shared" si="21"/>
        <v>855</v>
      </c>
      <c r="AD24" s="80">
        <f t="shared" si="34"/>
        <v>0</v>
      </c>
      <c r="AE24" s="5">
        <f t="shared" si="22"/>
        <v>262.47000000000003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7">
        <f t="shared" si="27"/>
        <v>0</v>
      </c>
      <c r="AK24" s="278">
        <f t="shared" si="35"/>
        <v>0</v>
      </c>
      <c r="AL24" s="278">
        <f t="shared" si="28"/>
        <v>0</v>
      </c>
      <c r="AM24" s="278">
        <f>'General information '!D23</f>
        <v>15.5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9"/>
        <v>44976</v>
      </c>
      <c r="AS24" s="360">
        <f t="shared" si="49"/>
        <v>0.9</v>
      </c>
      <c r="AT24" s="190">
        <v>208</v>
      </c>
      <c r="AU24" s="361">
        <f t="shared" si="42"/>
        <v>1.1000000000000001</v>
      </c>
      <c r="AV24" s="190">
        <v>74</v>
      </c>
      <c r="AW24" s="5">
        <v>2.9</v>
      </c>
      <c r="AX24" s="190">
        <v>170</v>
      </c>
      <c r="AY24" s="362">
        <f t="shared" si="36"/>
        <v>187.20000000000002</v>
      </c>
      <c r="AZ24" s="362">
        <f t="shared" si="37"/>
        <v>81.400000000000006</v>
      </c>
      <c r="BA24" s="362">
        <f t="shared" si="38"/>
        <v>493</v>
      </c>
      <c r="BB24" s="20">
        <f t="shared" si="39"/>
        <v>1.8000000000000114</v>
      </c>
      <c r="BC24" s="20">
        <f t="shared" si="50"/>
        <v>0</v>
      </c>
      <c r="BD24" s="20">
        <f t="shared" si="50"/>
        <v>5.8000000000000114</v>
      </c>
      <c r="BE24" s="23">
        <f t="shared" si="32"/>
        <v>7.6000000000000227</v>
      </c>
      <c r="BF24" s="79">
        <f t="shared" si="33"/>
        <v>-7.6000000000000227</v>
      </c>
      <c r="BG24" s="79">
        <f t="shared" si="4"/>
        <v>7.6000000000000227</v>
      </c>
      <c r="BI24" s="79"/>
    </row>
    <row r="25" spans="1:61" ht="15" thickBot="1">
      <c r="A25" s="6">
        <f>ELEC!C23</f>
        <v>44977</v>
      </c>
      <c r="B25" s="5">
        <f t="shared" si="5"/>
        <v>109443</v>
      </c>
      <c r="C25" s="5">
        <f t="shared" si="6"/>
        <v>0</v>
      </c>
      <c r="D25" s="355">
        <f t="shared" si="7"/>
        <v>0</v>
      </c>
      <c r="E25" s="284">
        <f>SUM((C25*$E$4)+(7500/'EDl log'!$A$37))</f>
        <v>267.85714285714283</v>
      </c>
      <c r="F25" s="278"/>
      <c r="G25" s="5">
        <f t="shared" si="8"/>
        <v>633110</v>
      </c>
      <c r="H25" s="5">
        <f t="shared" si="9"/>
        <v>0</v>
      </c>
      <c r="I25" s="5">
        <f t="shared" si="10"/>
        <v>0</v>
      </c>
      <c r="J25" s="285">
        <f t="shared" si="0"/>
        <v>0</v>
      </c>
      <c r="K25" s="5">
        <f t="shared" si="11"/>
        <v>7089</v>
      </c>
      <c r="L25" s="240">
        <f t="shared" si="40"/>
        <v>0</v>
      </c>
      <c r="M25" s="346">
        <f t="shared" si="12"/>
        <v>457.44</v>
      </c>
      <c r="N25" s="426">
        <f t="shared" si="45"/>
        <v>0</v>
      </c>
      <c r="O25" s="346">
        <f t="shared" si="13"/>
        <v>529.52</v>
      </c>
      <c r="P25" s="426">
        <f t="shared" si="46"/>
        <v>0</v>
      </c>
      <c r="Q25" s="426">
        <f t="shared" si="47"/>
        <v>0</v>
      </c>
      <c r="R25" s="428"/>
      <c r="S25" s="428"/>
      <c r="T25" s="5">
        <f t="shared" si="14"/>
        <v>5202</v>
      </c>
      <c r="U25" s="5">
        <f t="shared" si="3"/>
        <v>0</v>
      </c>
      <c r="V25" s="5">
        <f t="shared" si="15"/>
        <v>518</v>
      </c>
      <c r="W25" s="275">
        <f t="shared" si="16"/>
        <v>0</v>
      </c>
      <c r="X25" s="5">
        <f t="shared" si="17"/>
        <v>156588</v>
      </c>
      <c r="Y25" s="275">
        <f t="shared" si="41"/>
        <v>0</v>
      </c>
      <c r="Z25" s="5">
        <f t="shared" si="18"/>
        <v>99898</v>
      </c>
      <c r="AA25" s="80">
        <f t="shared" si="19"/>
        <v>0</v>
      </c>
      <c r="AB25" s="5">
        <f t="shared" si="20"/>
        <v>242</v>
      </c>
      <c r="AC25" s="5">
        <f t="shared" si="21"/>
        <v>855</v>
      </c>
      <c r="AD25" s="80">
        <f t="shared" si="34"/>
        <v>0</v>
      </c>
      <c r="AE25" s="5">
        <f t="shared" si="22"/>
        <v>262.47000000000003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7">
        <f t="shared" si="27"/>
        <v>0</v>
      </c>
      <c r="AK25" s="278">
        <f t="shared" si="35"/>
        <v>0</v>
      </c>
      <c r="AL25" s="278">
        <f>SUM(AJ25-W25)</f>
        <v>0</v>
      </c>
      <c r="AM25" s="278">
        <f>'General information '!D24</f>
        <v>15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44977</v>
      </c>
      <c r="AS25" s="360">
        <f t="shared" si="49"/>
        <v>0.9</v>
      </c>
      <c r="AT25" s="190">
        <v>178</v>
      </c>
      <c r="AU25" s="361">
        <f t="shared" si="42"/>
        <v>1.1000000000000001</v>
      </c>
      <c r="AV25" s="190">
        <v>70</v>
      </c>
      <c r="AW25" s="5">
        <v>2.9</v>
      </c>
      <c r="AX25" s="190">
        <v>115</v>
      </c>
      <c r="AY25" s="362">
        <f t="shared" si="36"/>
        <v>160.20000000000002</v>
      </c>
      <c r="AZ25" s="362">
        <f t="shared" si="37"/>
        <v>77</v>
      </c>
      <c r="BA25" s="362">
        <f t="shared" si="38"/>
        <v>333.5</v>
      </c>
      <c r="BB25" s="20">
        <f t="shared" si="39"/>
        <v>-27</v>
      </c>
      <c r="BC25" s="20">
        <f t="shared" si="50"/>
        <v>-4.4000000000000057</v>
      </c>
      <c r="BD25" s="20">
        <f t="shared" si="50"/>
        <v>-159.5</v>
      </c>
      <c r="BE25" s="23">
        <f t="shared" si="32"/>
        <v>-190.9</v>
      </c>
      <c r="BF25" s="79">
        <f t="shared" si="33"/>
        <v>190.9</v>
      </c>
      <c r="BG25" s="79">
        <f t="shared" si="4"/>
        <v>-190.9</v>
      </c>
    </row>
    <row r="26" spans="1:61" ht="15" thickBot="1">
      <c r="A26" s="6">
        <f>ELEC!C24</f>
        <v>44978</v>
      </c>
      <c r="B26" s="5">
        <f t="shared" si="5"/>
        <v>109443</v>
      </c>
      <c r="C26" s="5">
        <f t="shared" si="6"/>
        <v>0</v>
      </c>
      <c r="D26" s="355">
        <f t="shared" si="7"/>
        <v>0</v>
      </c>
      <c r="E26" s="284">
        <f>SUM((C26*$E$4)+(7500/'EDl log'!$A$37))</f>
        <v>267.85714285714283</v>
      </c>
      <c r="F26" s="278"/>
      <c r="G26" s="5">
        <f t="shared" si="8"/>
        <v>633110</v>
      </c>
      <c r="H26" s="5">
        <f>G26-G25</f>
        <v>0</v>
      </c>
      <c r="I26" s="5">
        <f t="shared" si="10"/>
        <v>0</v>
      </c>
      <c r="J26" s="285">
        <f t="shared" si="0"/>
        <v>0</v>
      </c>
      <c r="K26" s="5">
        <f t="shared" si="11"/>
        <v>7089</v>
      </c>
      <c r="L26" s="240">
        <f t="shared" si="40"/>
        <v>0</v>
      </c>
      <c r="M26" s="346">
        <f t="shared" si="12"/>
        <v>457.44</v>
      </c>
      <c r="N26" s="426">
        <f t="shared" si="45"/>
        <v>0</v>
      </c>
      <c r="O26" s="346">
        <f t="shared" si="13"/>
        <v>529.52</v>
      </c>
      <c r="P26" s="426">
        <f t="shared" si="46"/>
        <v>0</v>
      </c>
      <c r="Q26" s="426">
        <f t="shared" si="47"/>
        <v>0</v>
      </c>
      <c r="R26" s="428"/>
      <c r="S26" s="428"/>
      <c r="T26" s="5">
        <f t="shared" si="14"/>
        <v>5202</v>
      </c>
      <c r="U26" s="5">
        <f t="shared" si="3"/>
        <v>0</v>
      </c>
      <c r="V26" s="5">
        <f t="shared" si="15"/>
        <v>518</v>
      </c>
      <c r="W26" s="275">
        <f t="shared" si="16"/>
        <v>0</v>
      </c>
      <c r="X26" s="5">
        <f t="shared" si="17"/>
        <v>156588</v>
      </c>
      <c r="Y26" s="275">
        <f t="shared" si="41"/>
        <v>0</v>
      </c>
      <c r="Z26" s="5">
        <f t="shared" si="18"/>
        <v>99898</v>
      </c>
      <c r="AA26" s="80">
        <f t="shared" si="19"/>
        <v>0</v>
      </c>
      <c r="AB26" s="5">
        <f t="shared" si="20"/>
        <v>242</v>
      </c>
      <c r="AC26" s="5">
        <f t="shared" si="21"/>
        <v>855</v>
      </c>
      <c r="AD26" s="80">
        <f t="shared" si="34"/>
        <v>0</v>
      </c>
      <c r="AE26" s="5">
        <f t="shared" si="22"/>
        <v>262.47000000000003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7">
        <f t="shared" si="27"/>
        <v>0</v>
      </c>
      <c r="AK26" s="278">
        <f t="shared" si="35"/>
        <v>0</v>
      </c>
      <c r="AL26" s="278">
        <f>SUM(AJ26-W26)</f>
        <v>0</v>
      </c>
      <c r="AM26" s="278">
        <f>'General information '!D25</f>
        <v>15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44978</v>
      </c>
      <c r="AS26" s="360">
        <f t="shared" si="49"/>
        <v>0.9</v>
      </c>
      <c r="AT26" s="190">
        <v>178</v>
      </c>
      <c r="AU26" s="361">
        <f t="shared" si="42"/>
        <v>1.1000000000000001</v>
      </c>
      <c r="AV26" s="190">
        <v>67</v>
      </c>
      <c r="AW26" s="5">
        <v>2.9</v>
      </c>
      <c r="AX26" s="190">
        <v>113</v>
      </c>
      <c r="AY26" s="362">
        <f t="shared" si="36"/>
        <v>160.20000000000002</v>
      </c>
      <c r="AZ26" s="362">
        <f t="shared" si="37"/>
        <v>73.7</v>
      </c>
      <c r="BA26" s="362">
        <f t="shared" si="38"/>
        <v>327.7</v>
      </c>
      <c r="BB26" s="20">
        <f t="shared" si="39"/>
        <v>0</v>
      </c>
      <c r="BC26" s="20">
        <f t="shared" si="50"/>
        <v>-3.2999999999999972</v>
      </c>
      <c r="BD26" s="20">
        <f t="shared" si="50"/>
        <v>-5.8000000000000114</v>
      </c>
      <c r="BE26" s="23">
        <f t="shared" si="32"/>
        <v>-9.1000000000000085</v>
      </c>
      <c r="BF26" s="79">
        <f t="shared" si="33"/>
        <v>9.1000000000000085</v>
      </c>
      <c r="BG26" s="79">
        <f t="shared" si="4"/>
        <v>-9.1000000000000085</v>
      </c>
    </row>
    <row r="27" spans="1:61" ht="15" thickBot="1">
      <c r="A27" s="6">
        <f>ELEC!C25</f>
        <v>44979</v>
      </c>
      <c r="B27" s="5">
        <f t="shared" si="5"/>
        <v>109443</v>
      </c>
      <c r="C27" s="5">
        <f t="shared" si="6"/>
        <v>0</v>
      </c>
      <c r="D27" s="355">
        <f t="shared" si="7"/>
        <v>0</v>
      </c>
      <c r="E27" s="284">
        <f>SUM((C27*$E$4)+(7500/'EDl log'!$A$37))</f>
        <v>267.85714285714283</v>
      </c>
      <c r="F27" s="278"/>
      <c r="G27" s="5">
        <f t="shared" si="8"/>
        <v>633110</v>
      </c>
      <c r="H27" s="5">
        <f t="shared" si="9"/>
        <v>0</v>
      </c>
      <c r="I27" s="5">
        <f t="shared" si="10"/>
        <v>0</v>
      </c>
      <c r="J27" s="285">
        <f t="shared" si="0"/>
        <v>0</v>
      </c>
      <c r="K27" s="5">
        <f t="shared" si="11"/>
        <v>7089</v>
      </c>
      <c r="L27" s="240">
        <f t="shared" si="40"/>
        <v>0</v>
      </c>
      <c r="M27" s="346">
        <f t="shared" si="12"/>
        <v>457.44</v>
      </c>
      <c r="N27" s="426">
        <f t="shared" si="45"/>
        <v>0</v>
      </c>
      <c r="O27" s="346">
        <f t="shared" si="13"/>
        <v>529.52</v>
      </c>
      <c r="P27" s="426">
        <f t="shared" si="46"/>
        <v>0</v>
      </c>
      <c r="Q27" s="426">
        <f t="shared" si="47"/>
        <v>0</v>
      </c>
      <c r="R27" s="428"/>
      <c r="S27" s="428"/>
      <c r="T27" s="5">
        <f t="shared" si="14"/>
        <v>5202</v>
      </c>
      <c r="U27" s="5">
        <f t="shared" si="3"/>
        <v>0</v>
      </c>
      <c r="V27" s="5">
        <f t="shared" si="15"/>
        <v>518</v>
      </c>
      <c r="W27" s="275">
        <f t="shared" si="16"/>
        <v>0</v>
      </c>
      <c r="X27" s="5">
        <f t="shared" si="17"/>
        <v>156588</v>
      </c>
      <c r="Y27" s="275">
        <f t="shared" si="41"/>
        <v>0</v>
      </c>
      <c r="Z27" s="5">
        <f t="shared" si="18"/>
        <v>99898</v>
      </c>
      <c r="AA27" s="80">
        <f t="shared" si="19"/>
        <v>0</v>
      </c>
      <c r="AB27" s="5">
        <f t="shared" si="20"/>
        <v>242</v>
      </c>
      <c r="AC27" s="5">
        <f t="shared" si="21"/>
        <v>855</v>
      </c>
      <c r="AD27" s="80">
        <f t="shared" si="34"/>
        <v>0</v>
      </c>
      <c r="AE27" s="5">
        <v>262.47000000000003</v>
      </c>
      <c r="AF27" s="80">
        <f t="shared" si="23"/>
        <v>0</v>
      </c>
      <c r="AG27" s="5">
        <f t="shared" si="24"/>
        <v>2247.41</v>
      </c>
      <c r="AH27" s="80">
        <f t="shared" si="25"/>
        <v>0</v>
      </c>
      <c r="AI27" s="80">
        <f t="shared" si="26"/>
        <v>0</v>
      </c>
      <c r="AJ27" s="277">
        <f t="shared" si="27"/>
        <v>0</v>
      </c>
      <c r="AK27" s="278">
        <f t="shared" si="35"/>
        <v>0</v>
      </c>
      <c r="AL27" s="278">
        <f t="shared" si="28"/>
        <v>0</v>
      </c>
      <c r="AM27" s="278">
        <f>'General information '!D26</f>
        <v>14.5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44979</v>
      </c>
      <c r="AS27" s="360">
        <f t="shared" si="49"/>
        <v>0.9</v>
      </c>
      <c r="AT27" s="190">
        <f t="shared" si="49"/>
        <v>178</v>
      </c>
      <c r="AU27" s="361">
        <f t="shared" si="42"/>
        <v>1.1000000000000001</v>
      </c>
      <c r="AV27" s="190">
        <v>65</v>
      </c>
      <c r="AW27" s="5">
        <v>2.9</v>
      </c>
      <c r="AX27" s="190">
        <v>111</v>
      </c>
      <c r="AY27" s="362">
        <f t="shared" si="36"/>
        <v>160.20000000000002</v>
      </c>
      <c r="AZ27" s="362">
        <f t="shared" si="37"/>
        <v>71.5</v>
      </c>
      <c r="BA27" s="362">
        <f t="shared" si="38"/>
        <v>321.89999999999998</v>
      </c>
      <c r="BB27" s="20">
        <f t="shared" si="39"/>
        <v>0</v>
      </c>
      <c r="BC27" s="20">
        <f t="shared" si="50"/>
        <v>-2.2000000000000028</v>
      </c>
      <c r="BD27" s="20">
        <f t="shared" si="50"/>
        <v>-5.8000000000000114</v>
      </c>
      <c r="BE27" s="23">
        <f t="shared" si="32"/>
        <v>-8.0000000000000142</v>
      </c>
      <c r="BF27" s="79">
        <f t="shared" si="33"/>
        <v>8.0000000000000142</v>
      </c>
      <c r="BG27" s="79">
        <f t="shared" si="4"/>
        <v>-8.0000000000000142</v>
      </c>
    </row>
    <row r="28" spans="1:61" ht="15" thickBot="1">
      <c r="A28" s="6">
        <f>ELEC!C26</f>
        <v>44980</v>
      </c>
      <c r="B28" s="5">
        <f t="shared" si="5"/>
        <v>109443</v>
      </c>
      <c r="C28" s="5">
        <f t="shared" si="6"/>
        <v>0</v>
      </c>
      <c r="D28" s="355">
        <f t="shared" si="7"/>
        <v>0</v>
      </c>
      <c r="E28" s="284">
        <f>SUM((C28*$E$4)+(7500/'EDl log'!$A$37))</f>
        <v>267.85714285714283</v>
      </c>
      <c r="F28" s="278"/>
      <c r="G28" s="5">
        <f t="shared" si="8"/>
        <v>633110</v>
      </c>
      <c r="H28" s="5">
        <f t="shared" si="9"/>
        <v>0</v>
      </c>
      <c r="I28" s="5">
        <f t="shared" si="10"/>
        <v>0</v>
      </c>
      <c r="J28" s="285">
        <f t="shared" si="0"/>
        <v>0</v>
      </c>
      <c r="K28" s="5">
        <f t="shared" si="11"/>
        <v>7089</v>
      </c>
      <c r="L28" s="240">
        <f t="shared" si="40"/>
        <v>0</v>
      </c>
      <c r="M28" s="346">
        <f t="shared" si="12"/>
        <v>457.44</v>
      </c>
      <c r="N28" s="426">
        <f t="shared" si="45"/>
        <v>0</v>
      </c>
      <c r="O28" s="346">
        <f t="shared" si="13"/>
        <v>529.52</v>
      </c>
      <c r="P28" s="426">
        <f t="shared" si="46"/>
        <v>0</v>
      </c>
      <c r="Q28" s="426">
        <f t="shared" si="47"/>
        <v>0</v>
      </c>
      <c r="R28" s="428"/>
      <c r="S28" s="428"/>
      <c r="T28" s="5">
        <f t="shared" si="14"/>
        <v>5202</v>
      </c>
      <c r="U28" s="5">
        <f t="shared" si="3"/>
        <v>0</v>
      </c>
      <c r="V28" s="5">
        <f t="shared" si="15"/>
        <v>518</v>
      </c>
      <c r="W28" s="275">
        <f t="shared" si="16"/>
        <v>0</v>
      </c>
      <c r="X28" s="5">
        <f t="shared" si="17"/>
        <v>156588</v>
      </c>
      <c r="Y28" s="275">
        <f t="shared" si="41"/>
        <v>0</v>
      </c>
      <c r="Z28" s="5">
        <f t="shared" si="18"/>
        <v>99898</v>
      </c>
      <c r="AA28" s="80">
        <f t="shared" si="19"/>
        <v>0</v>
      </c>
      <c r="AB28" s="5">
        <f t="shared" si="20"/>
        <v>242</v>
      </c>
      <c r="AC28" s="5">
        <f t="shared" si="21"/>
        <v>855</v>
      </c>
      <c r="AD28" s="80">
        <f t="shared" si="34"/>
        <v>0</v>
      </c>
      <c r="AE28" s="5">
        <f t="shared" si="22"/>
        <v>262.47000000000003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7">
        <f t="shared" si="27"/>
        <v>0</v>
      </c>
      <c r="AK28" s="278">
        <f t="shared" si="35"/>
        <v>0</v>
      </c>
      <c r="AL28" s="278">
        <f t="shared" si="28"/>
        <v>0</v>
      </c>
      <c r="AM28" s="278">
        <f>'General information '!D27</f>
        <v>14.5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44980</v>
      </c>
      <c r="AS28" s="360">
        <f t="shared" si="49"/>
        <v>0.9</v>
      </c>
      <c r="AT28" s="190">
        <v>164</v>
      </c>
      <c r="AU28" s="361">
        <f t="shared" si="42"/>
        <v>1.1000000000000001</v>
      </c>
      <c r="AV28" s="190">
        <v>60</v>
      </c>
      <c r="AW28" s="5">
        <v>2.9</v>
      </c>
      <c r="AX28" s="190">
        <v>110</v>
      </c>
      <c r="AY28" s="362">
        <f t="shared" si="36"/>
        <v>147.6</v>
      </c>
      <c r="AZ28" s="362">
        <f t="shared" si="37"/>
        <v>66</v>
      </c>
      <c r="BA28" s="362">
        <f t="shared" si="38"/>
        <v>319</v>
      </c>
      <c r="BB28" s="20">
        <f t="shared" si="39"/>
        <v>-12.600000000000023</v>
      </c>
      <c r="BC28" s="20">
        <f t="shared" si="50"/>
        <v>-5.5</v>
      </c>
      <c r="BD28" s="20">
        <f t="shared" si="50"/>
        <v>-2.8999999999999773</v>
      </c>
      <c r="BE28" s="23">
        <f t="shared" si="32"/>
        <v>-21</v>
      </c>
      <c r="BF28" s="79">
        <f t="shared" si="33"/>
        <v>21</v>
      </c>
      <c r="BG28" s="79">
        <f t="shared" si="4"/>
        <v>-21</v>
      </c>
    </row>
    <row r="29" spans="1:61" ht="15" thickBot="1">
      <c r="A29" s="6">
        <f>ELEC!C27</f>
        <v>44981</v>
      </c>
      <c r="B29" s="5">
        <f t="shared" si="5"/>
        <v>109443</v>
      </c>
      <c r="C29" s="5">
        <f t="shared" si="6"/>
        <v>0</v>
      </c>
      <c r="D29" s="355">
        <f t="shared" si="7"/>
        <v>0</v>
      </c>
      <c r="E29" s="284">
        <f>SUM((C29*$E$4)+(7500/'EDl log'!$A$37))</f>
        <v>267.85714285714283</v>
      </c>
      <c r="F29" s="278"/>
      <c r="G29" s="5">
        <f t="shared" si="8"/>
        <v>633110</v>
      </c>
      <c r="H29" s="5">
        <f t="shared" si="9"/>
        <v>0</v>
      </c>
      <c r="I29" s="5">
        <f t="shared" si="10"/>
        <v>0</v>
      </c>
      <c r="J29" s="285">
        <f t="shared" si="0"/>
        <v>0</v>
      </c>
      <c r="K29" s="5">
        <f t="shared" si="11"/>
        <v>7089</v>
      </c>
      <c r="L29" s="240">
        <f t="shared" si="40"/>
        <v>0</v>
      </c>
      <c r="M29" s="346">
        <f t="shared" si="12"/>
        <v>457.44</v>
      </c>
      <c r="N29" s="426">
        <f t="shared" si="45"/>
        <v>0</v>
      </c>
      <c r="O29" s="346">
        <f t="shared" si="13"/>
        <v>529.52</v>
      </c>
      <c r="P29" s="426">
        <f t="shared" si="46"/>
        <v>0</v>
      </c>
      <c r="Q29" s="426">
        <f t="shared" si="47"/>
        <v>0</v>
      </c>
      <c r="R29" s="428"/>
      <c r="S29" s="428"/>
      <c r="T29" s="5">
        <f t="shared" si="14"/>
        <v>5202</v>
      </c>
      <c r="U29" s="5">
        <f t="shared" si="3"/>
        <v>0</v>
      </c>
      <c r="V29" s="5">
        <f t="shared" si="15"/>
        <v>518</v>
      </c>
      <c r="W29" s="275">
        <f t="shared" si="16"/>
        <v>0</v>
      </c>
      <c r="X29" s="5">
        <f t="shared" si="17"/>
        <v>156588</v>
      </c>
      <c r="Y29" s="275">
        <f t="shared" si="41"/>
        <v>0</v>
      </c>
      <c r="Z29" s="5">
        <f t="shared" si="18"/>
        <v>99898</v>
      </c>
      <c r="AA29" s="80">
        <f t="shared" si="19"/>
        <v>0</v>
      </c>
      <c r="AB29" s="5">
        <f t="shared" si="20"/>
        <v>242</v>
      </c>
      <c r="AC29" s="5">
        <f t="shared" si="21"/>
        <v>855</v>
      </c>
      <c r="AD29" s="80">
        <f t="shared" si="34"/>
        <v>0</v>
      </c>
      <c r="AE29" s="5">
        <f t="shared" si="22"/>
        <v>262.47000000000003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7">
        <f t="shared" si="27"/>
        <v>0</v>
      </c>
      <c r="AK29" s="278">
        <f t="shared" si="35"/>
        <v>0</v>
      </c>
      <c r="AL29" s="278">
        <f t="shared" si="28"/>
        <v>0</v>
      </c>
      <c r="AM29" s="278">
        <f>'General information '!D28</f>
        <v>14.5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44981</v>
      </c>
      <c r="AS29" s="360">
        <f t="shared" si="49"/>
        <v>0.9</v>
      </c>
      <c r="AT29" s="190">
        <f t="shared" si="49"/>
        <v>164</v>
      </c>
      <c r="AU29" s="361">
        <f t="shared" si="42"/>
        <v>1.1000000000000001</v>
      </c>
      <c r="AV29" s="190">
        <f t="shared" si="43"/>
        <v>60</v>
      </c>
      <c r="AW29" s="5">
        <v>2.9</v>
      </c>
      <c r="AX29" s="190">
        <f t="shared" si="44"/>
        <v>110</v>
      </c>
      <c r="AY29" s="362">
        <f t="shared" si="36"/>
        <v>147.6</v>
      </c>
      <c r="AZ29" s="362">
        <f t="shared" si="37"/>
        <v>66</v>
      </c>
      <c r="BA29" s="362">
        <f t="shared" si="38"/>
        <v>319</v>
      </c>
      <c r="BB29" s="20">
        <f t="shared" si="39"/>
        <v>0</v>
      </c>
      <c r="BC29" s="20">
        <f t="shared" si="50"/>
        <v>0</v>
      </c>
      <c r="BD29" s="20">
        <f t="shared" si="50"/>
        <v>0</v>
      </c>
      <c r="BE29" s="23">
        <f t="shared" si="32"/>
        <v>0</v>
      </c>
      <c r="BF29" s="79">
        <f t="shared" si="33"/>
        <v>0</v>
      </c>
      <c r="BG29" s="79">
        <f t="shared" si="4"/>
        <v>0</v>
      </c>
    </row>
    <row r="30" spans="1:61" ht="15" thickBot="1">
      <c r="A30" s="6">
        <f>ELEC!C28</f>
        <v>44982</v>
      </c>
      <c r="B30" s="5">
        <f t="shared" si="5"/>
        <v>109443</v>
      </c>
      <c r="C30" s="5">
        <f t="shared" si="6"/>
        <v>0</v>
      </c>
      <c r="D30" s="355">
        <f t="shared" si="7"/>
        <v>0</v>
      </c>
      <c r="E30" s="284">
        <f>SUM((C30*$E$4)+(7500/'EDl log'!$A$37))</f>
        <v>267.85714285714283</v>
      </c>
      <c r="F30" s="278"/>
      <c r="G30" s="5">
        <f t="shared" si="8"/>
        <v>633110</v>
      </c>
      <c r="H30" s="5">
        <f t="shared" si="9"/>
        <v>0</v>
      </c>
      <c r="I30" s="5">
        <f t="shared" si="10"/>
        <v>0</v>
      </c>
      <c r="J30" s="285">
        <f t="shared" si="0"/>
        <v>0</v>
      </c>
      <c r="K30" s="5">
        <f t="shared" si="11"/>
        <v>7089</v>
      </c>
      <c r="L30" s="240">
        <f t="shared" si="40"/>
        <v>0</v>
      </c>
      <c r="M30" s="346">
        <f t="shared" si="12"/>
        <v>457.44</v>
      </c>
      <c r="N30" s="426">
        <f t="shared" si="45"/>
        <v>0</v>
      </c>
      <c r="O30" s="346">
        <f t="shared" si="13"/>
        <v>529.52</v>
      </c>
      <c r="P30" s="426">
        <f t="shared" si="46"/>
        <v>0</v>
      </c>
      <c r="Q30" s="426">
        <f t="shared" si="47"/>
        <v>0</v>
      </c>
      <c r="R30" s="428"/>
      <c r="S30" s="428"/>
      <c r="T30" s="5">
        <f t="shared" si="14"/>
        <v>5202</v>
      </c>
      <c r="U30" s="5">
        <f t="shared" si="3"/>
        <v>0</v>
      </c>
      <c r="V30" s="5">
        <f t="shared" si="15"/>
        <v>518</v>
      </c>
      <c r="W30" s="275">
        <f t="shared" si="16"/>
        <v>0</v>
      </c>
      <c r="X30" s="5">
        <f t="shared" si="17"/>
        <v>156588</v>
      </c>
      <c r="Y30" s="275">
        <f t="shared" si="41"/>
        <v>0</v>
      </c>
      <c r="Z30" s="5">
        <f t="shared" si="18"/>
        <v>99898</v>
      </c>
      <c r="AA30" s="80">
        <f t="shared" si="19"/>
        <v>0</v>
      </c>
      <c r="AB30" s="5">
        <f t="shared" si="20"/>
        <v>242</v>
      </c>
      <c r="AC30" s="5">
        <f t="shared" si="21"/>
        <v>855</v>
      </c>
      <c r="AD30" s="80">
        <f t="shared" si="34"/>
        <v>0</v>
      </c>
      <c r="AE30" s="5">
        <f t="shared" si="22"/>
        <v>262.47000000000003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7">
        <f t="shared" si="27"/>
        <v>0</v>
      </c>
      <c r="AK30" s="278">
        <f t="shared" si="35"/>
        <v>0</v>
      </c>
      <c r="AL30" s="278">
        <f t="shared" si="28"/>
        <v>0</v>
      </c>
      <c r="AM30" s="278">
        <f>'General information '!D29</f>
        <v>17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44982</v>
      </c>
      <c r="AS30" s="360">
        <f t="shared" si="49"/>
        <v>0.9</v>
      </c>
      <c r="AT30" s="190">
        <f t="shared" si="49"/>
        <v>164</v>
      </c>
      <c r="AU30" s="361">
        <f t="shared" si="42"/>
        <v>1.1000000000000001</v>
      </c>
      <c r="AV30" s="190">
        <f t="shared" si="43"/>
        <v>60</v>
      </c>
      <c r="AW30" s="5">
        <v>2.9</v>
      </c>
      <c r="AX30" s="190">
        <f t="shared" si="44"/>
        <v>110</v>
      </c>
      <c r="AY30" s="362">
        <f t="shared" si="36"/>
        <v>147.6</v>
      </c>
      <c r="AZ30" s="362">
        <f t="shared" si="37"/>
        <v>66</v>
      </c>
      <c r="BA30" s="362">
        <f t="shared" si="38"/>
        <v>319</v>
      </c>
      <c r="BB30" s="20">
        <f t="shared" si="39"/>
        <v>0</v>
      </c>
      <c r="BC30" s="20">
        <f t="shared" si="50"/>
        <v>0</v>
      </c>
      <c r="BD30" s="20">
        <f t="shared" si="50"/>
        <v>0</v>
      </c>
      <c r="BE30" s="23">
        <f t="shared" si="32"/>
        <v>0</v>
      </c>
      <c r="BF30" s="79">
        <f t="shared" si="33"/>
        <v>0</v>
      </c>
      <c r="BG30" s="79">
        <f t="shared" si="4"/>
        <v>0</v>
      </c>
    </row>
    <row r="31" spans="1:61" ht="15" thickBot="1">
      <c r="A31" s="6">
        <f>ELEC!C29</f>
        <v>44983</v>
      </c>
      <c r="B31" s="5">
        <f t="shared" si="5"/>
        <v>109443</v>
      </c>
      <c r="C31" s="5">
        <f t="shared" si="6"/>
        <v>0</v>
      </c>
      <c r="D31" s="355">
        <f t="shared" si="7"/>
        <v>0</v>
      </c>
      <c r="E31" s="284">
        <f>SUM((C31*$E$4)+(7500/'EDl log'!$A$37))</f>
        <v>267.85714285714283</v>
      </c>
      <c r="F31" s="278"/>
      <c r="G31" s="5">
        <v>633115</v>
      </c>
      <c r="H31" s="5">
        <f t="shared" si="9"/>
        <v>5</v>
      </c>
      <c r="I31" s="5">
        <f t="shared" si="10"/>
        <v>5</v>
      </c>
      <c r="J31" s="285">
        <f t="shared" si="0"/>
        <v>53.571428571428569</v>
      </c>
      <c r="K31" s="5">
        <f t="shared" si="11"/>
        <v>7089</v>
      </c>
      <c r="L31" s="240">
        <f t="shared" si="40"/>
        <v>0</v>
      </c>
      <c r="M31" s="346">
        <f t="shared" si="12"/>
        <v>457.44</v>
      </c>
      <c r="N31" s="426">
        <f t="shared" si="45"/>
        <v>0</v>
      </c>
      <c r="O31" s="346">
        <f t="shared" si="13"/>
        <v>529.52</v>
      </c>
      <c r="P31" s="426">
        <f t="shared" si="46"/>
        <v>0</v>
      </c>
      <c r="Q31" s="426">
        <f t="shared" si="47"/>
        <v>0</v>
      </c>
      <c r="R31" s="428"/>
      <c r="S31" s="428"/>
      <c r="T31" s="5">
        <f t="shared" si="14"/>
        <v>5202</v>
      </c>
      <c r="U31" s="5">
        <f t="shared" si="3"/>
        <v>0</v>
      </c>
      <c r="V31" s="5">
        <f t="shared" si="15"/>
        <v>518</v>
      </c>
      <c r="W31" s="275">
        <f t="shared" si="16"/>
        <v>0</v>
      </c>
      <c r="X31" s="5">
        <f t="shared" si="17"/>
        <v>156588</v>
      </c>
      <c r="Y31" s="275">
        <f t="shared" si="41"/>
        <v>0</v>
      </c>
      <c r="Z31" s="5">
        <f t="shared" si="18"/>
        <v>99898</v>
      </c>
      <c r="AA31" s="80">
        <f t="shared" si="19"/>
        <v>0</v>
      </c>
      <c r="AB31" s="5">
        <f t="shared" si="20"/>
        <v>242</v>
      </c>
      <c r="AC31" s="5">
        <f t="shared" si="21"/>
        <v>855</v>
      </c>
      <c r="AD31" s="80">
        <f t="shared" si="34"/>
        <v>0</v>
      </c>
      <c r="AE31" s="5">
        <f t="shared" si="22"/>
        <v>262.47000000000003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7">
        <f t="shared" si="27"/>
        <v>0</v>
      </c>
      <c r="AK31" s="278">
        <f t="shared" si="35"/>
        <v>0</v>
      </c>
      <c r="AL31" s="278">
        <f t="shared" si="28"/>
        <v>0</v>
      </c>
      <c r="AM31" s="278">
        <f>'General information '!D30</f>
        <v>18.5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44983</v>
      </c>
      <c r="AS31" s="360">
        <f t="shared" si="49"/>
        <v>0.9</v>
      </c>
      <c r="AT31" s="190">
        <v>170</v>
      </c>
      <c r="AU31" s="361">
        <f t="shared" si="42"/>
        <v>1.1000000000000001</v>
      </c>
      <c r="AV31" s="190">
        <v>59</v>
      </c>
      <c r="AW31" s="5">
        <v>2.9</v>
      </c>
      <c r="AX31" s="190">
        <v>108</v>
      </c>
      <c r="AY31" s="362">
        <f t="shared" si="36"/>
        <v>153</v>
      </c>
      <c r="AZ31" s="362">
        <f>AU31*AV31</f>
        <v>64.900000000000006</v>
      </c>
      <c r="BA31" s="362">
        <f t="shared" si="38"/>
        <v>313.2</v>
      </c>
      <c r="BB31" s="20">
        <f t="shared" si="39"/>
        <v>5.4000000000000057</v>
      </c>
      <c r="BC31" s="20">
        <f t="shared" si="50"/>
        <v>-1.0999999999999943</v>
      </c>
      <c r="BD31" s="20">
        <f t="shared" si="50"/>
        <v>-5.8000000000000114</v>
      </c>
      <c r="BE31" s="23">
        <f t="shared" si="32"/>
        <v>-1.5</v>
      </c>
      <c r="BF31" s="79">
        <f t="shared" si="33"/>
        <v>6.5</v>
      </c>
      <c r="BG31" s="79">
        <f t="shared" si="4"/>
        <v>-1.5</v>
      </c>
    </row>
    <row r="32" spans="1:61" ht="15" thickBot="1">
      <c r="A32" s="6">
        <f>ELEC!C30</f>
        <v>44984</v>
      </c>
      <c r="B32" s="5">
        <f t="shared" si="5"/>
        <v>109443</v>
      </c>
      <c r="C32" s="5">
        <f t="shared" si="6"/>
        <v>0</v>
      </c>
      <c r="D32" s="355">
        <f t="shared" si="7"/>
        <v>0</v>
      </c>
      <c r="E32" s="284">
        <f>SUM((C32*$E$4)+(7500/'EDl log'!$A$37))</f>
        <v>267.85714285714283</v>
      </c>
      <c r="F32" s="278"/>
      <c r="G32" s="5">
        <f t="shared" si="8"/>
        <v>633115</v>
      </c>
      <c r="H32" s="5">
        <f t="shared" si="9"/>
        <v>0</v>
      </c>
      <c r="I32" s="5">
        <f t="shared" si="10"/>
        <v>0</v>
      </c>
      <c r="J32" s="285">
        <f t="shared" si="0"/>
        <v>0</v>
      </c>
      <c r="K32" s="5">
        <f t="shared" si="11"/>
        <v>7089</v>
      </c>
      <c r="L32" s="240">
        <f t="shared" si="40"/>
        <v>0</v>
      </c>
      <c r="M32" s="346">
        <f t="shared" si="12"/>
        <v>457.44</v>
      </c>
      <c r="N32" s="426">
        <f t="shared" si="45"/>
        <v>0</v>
      </c>
      <c r="O32" s="346">
        <f t="shared" si="13"/>
        <v>529.52</v>
      </c>
      <c r="P32" s="426">
        <f t="shared" si="46"/>
        <v>0</v>
      </c>
      <c r="Q32" s="426">
        <f t="shared" si="47"/>
        <v>0</v>
      </c>
      <c r="R32" s="428"/>
      <c r="S32" s="428"/>
      <c r="T32" s="5">
        <f t="shared" si="14"/>
        <v>5202</v>
      </c>
      <c r="U32" s="5">
        <f t="shared" si="3"/>
        <v>0</v>
      </c>
      <c r="V32" s="5">
        <f t="shared" si="15"/>
        <v>518</v>
      </c>
      <c r="W32" s="275">
        <f t="shared" si="16"/>
        <v>0</v>
      </c>
      <c r="X32" s="5">
        <f t="shared" si="17"/>
        <v>156588</v>
      </c>
      <c r="Y32" s="275">
        <f t="shared" si="41"/>
        <v>0</v>
      </c>
      <c r="Z32" s="5">
        <f t="shared" si="18"/>
        <v>99898</v>
      </c>
      <c r="AA32" s="80">
        <f t="shared" si="19"/>
        <v>0</v>
      </c>
      <c r="AB32" s="5">
        <f t="shared" si="20"/>
        <v>242</v>
      </c>
      <c r="AC32" s="5">
        <f t="shared" si="21"/>
        <v>855</v>
      </c>
      <c r="AD32" s="80">
        <f t="shared" si="34"/>
        <v>0</v>
      </c>
      <c r="AE32" s="5">
        <f t="shared" si="22"/>
        <v>262.47000000000003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7">
        <f>+Z32-Z31</f>
        <v>0</v>
      </c>
      <c r="AK32" s="278">
        <f t="shared" si="35"/>
        <v>0</v>
      </c>
      <c r="AL32" s="278">
        <f t="shared" si="28"/>
        <v>0</v>
      </c>
      <c r="AM32" s="278">
        <f>'General information '!D31</f>
        <v>20.5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44984</v>
      </c>
      <c r="AS32" s="360">
        <f t="shared" si="49"/>
        <v>0.9</v>
      </c>
      <c r="AT32" s="190">
        <v>120</v>
      </c>
      <c r="AU32" s="361">
        <f t="shared" si="42"/>
        <v>1.1000000000000001</v>
      </c>
      <c r="AV32" s="190">
        <v>123</v>
      </c>
      <c r="AW32" s="5">
        <v>2.9</v>
      </c>
      <c r="AX32" s="190">
        <v>108</v>
      </c>
      <c r="AY32" s="362">
        <f t="shared" si="36"/>
        <v>108</v>
      </c>
      <c r="AZ32" s="362">
        <f t="shared" si="37"/>
        <v>135.30000000000001</v>
      </c>
      <c r="BA32" s="362">
        <f t="shared" si="38"/>
        <v>313.2</v>
      </c>
      <c r="BB32" s="20">
        <f t="shared" si="39"/>
        <v>-45</v>
      </c>
      <c r="BC32" s="20">
        <f t="shared" si="50"/>
        <v>70.400000000000006</v>
      </c>
      <c r="BD32" s="20">
        <f t="shared" si="50"/>
        <v>0</v>
      </c>
      <c r="BE32" s="23">
        <f t="shared" si="32"/>
        <v>25.400000000000006</v>
      </c>
      <c r="BF32" s="79">
        <f t="shared" si="33"/>
        <v>-25.400000000000006</v>
      </c>
      <c r="BG32" s="79">
        <f t="shared" si="4"/>
        <v>25.400000000000006</v>
      </c>
    </row>
    <row r="33" spans="1:59" ht="15" thickBot="1">
      <c r="A33" s="6">
        <f>ELEC!C31</f>
        <v>44985</v>
      </c>
      <c r="B33" s="5">
        <f t="shared" si="5"/>
        <v>109443</v>
      </c>
      <c r="C33" s="5">
        <f t="shared" si="6"/>
        <v>0</v>
      </c>
      <c r="D33" s="355">
        <f t="shared" si="7"/>
        <v>0</v>
      </c>
      <c r="E33" s="284">
        <f>SUM((C33*$E$4)+(7500/'EDl log'!$A$37))</f>
        <v>267.85714285714283</v>
      </c>
      <c r="F33" s="278"/>
      <c r="G33" s="5">
        <f t="shared" si="8"/>
        <v>633115</v>
      </c>
      <c r="H33" s="5">
        <f t="shared" si="9"/>
        <v>0</v>
      </c>
      <c r="I33" s="5">
        <f t="shared" si="10"/>
        <v>0</v>
      </c>
      <c r="J33" s="285">
        <f t="shared" si="0"/>
        <v>0</v>
      </c>
      <c r="K33" s="5">
        <f t="shared" si="11"/>
        <v>7089</v>
      </c>
      <c r="L33" s="240">
        <f t="shared" si="40"/>
        <v>0</v>
      </c>
      <c r="M33" s="346">
        <f t="shared" si="12"/>
        <v>457.44</v>
      </c>
      <c r="N33" s="426">
        <f t="shared" si="45"/>
        <v>0</v>
      </c>
      <c r="O33" s="346">
        <f t="shared" si="13"/>
        <v>529.52</v>
      </c>
      <c r="P33" s="426">
        <f t="shared" si="46"/>
        <v>0</v>
      </c>
      <c r="Q33" s="426">
        <f t="shared" si="47"/>
        <v>0</v>
      </c>
      <c r="R33" s="428"/>
      <c r="S33" s="428"/>
      <c r="T33" s="5">
        <f t="shared" si="14"/>
        <v>5202</v>
      </c>
      <c r="U33" s="5">
        <f t="shared" si="3"/>
        <v>0</v>
      </c>
      <c r="V33" s="5">
        <f t="shared" si="15"/>
        <v>518</v>
      </c>
      <c r="W33" s="275">
        <f t="shared" si="16"/>
        <v>0</v>
      </c>
      <c r="X33" s="5">
        <f t="shared" si="17"/>
        <v>156588</v>
      </c>
      <c r="Y33" s="275">
        <f t="shared" si="41"/>
        <v>0</v>
      </c>
      <c r="Z33" s="5">
        <f t="shared" si="18"/>
        <v>99898</v>
      </c>
      <c r="AA33" s="80">
        <f t="shared" si="19"/>
        <v>0</v>
      </c>
      <c r="AB33" s="5">
        <f t="shared" si="20"/>
        <v>242</v>
      </c>
      <c r="AC33" s="5">
        <f t="shared" si="21"/>
        <v>855</v>
      </c>
      <c r="AD33" s="80">
        <f t="shared" si="34"/>
        <v>0</v>
      </c>
      <c r="AE33" s="5">
        <f t="shared" si="22"/>
        <v>262.47000000000003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7">
        <f t="shared" si="27"/>
        <v>0</v>
      </c>
      <c r="AK33" s="278">
        <f t="shared" si="35"/>
        <v>0</v>
      </c>
      <c r="AL33" s="278">
        <f t="shared" si="28"/>
        <v>0</v>
      </c>
      <c r="AM33" s="278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44985</v>
      </c>
      <c r="AS33" s="360">
        <f t="shared" si="49"/>
        <v>0.9</v>
      </c>
      <c r="AT33" s="190">
        <f t="shared" si="49"/>
        <v>120</v>
      </c>
      <c r="AU33" s="361">
        <f t="shared" si="42"/>
        <v>1.1000000000000001</v>
      </c>
      <c r="AV33" s="190">
        <f t="shared" si="43"/>
        <v>123</v>
      </c>
      <c r="AW33" s="5">
        <v>2.9</v>
      </c>
      <c r="AX33" s="190">
        <f t="shared" si="44"/>
        <v>108</v>
      </c>
      <c r="AY33" s="362">
        <f t="shared" si="36"/>
        <v>108</v>
      </c>
      <c r="AZ33" s="362">
        <f t="shared" si="37"/>
        <v>135.30000000000001</v>
      </c>
      <c r="BA33" s="362">
        <f t="shared" si="38"/>
        <v>313.2</v>
      </c>
      <c r="BB33" s="20">
        <f t="shared" si="39"/>
        <v>0</v>
      </c>
      <c r="BC33" s="20">
        <f t="shared" si="50"/>
        <v>0</v>
      </c>
      <c r="BD33" s="20">
        <f t="shared" si="50"/>
        <v>0</v>
      </c>
      <c r="BE33" s="23">
        <f t="shared" si="32"/>
        <v>0</v>
      </c>
      <c r="BF33" s="79">
        <f t="shared" si="33"/>
        <v>0</v>
      </c>
      <c r="BG33" s="79">
        <f t="shared" si="4"/>
        <v>0</v>
      </c>
    </row>
    <row r="34" spans="1:59" ht="15" thickBot="1">
      <c r="A34" s="6">
        <f>ELEC!C32</f>
        <v>44986</v>
      </c>
      <c r="B34" s="5">
        <f t="shared" si="5"/>
        <v>109443</v>
      </c>
      <c r="C34" s="5">
        <f t="shared" ref="C34" si="51">B34-B33</f>
        <v>0</v>
      </c>
      <c r="D34" s="355">
        <f t="shared" ref="D34" si="52">C34/27</f>
        <v>0</v>
      </c>
      <c r="E34" s="284">
        <f>SUM((C34*$E$4)+(7500/'EDl log'!$A$37))</f>
        <v>267.85714285714283</v>
      </c>
      <c r="F34" s="278"/>
      <c r="G34" s="5">
        <f t="shared" si="8"/>
        <v>633115</v>
      </c>
      <c r="H34" s="5">
        <f t="shared" ref="H34" si="53">G34-G33</f>
        <v>0</v>
      </c>
      <c r="I34" s="5">
        <f t="shared" ref="I34" si="54">C34+H34</f>
        <v>0</v>
      </c>
      <c r="J34" s="285">
        <f t="shared" ref="J34" si="55">IF(I34&gt;0,E34/I34,0)</f>
        <v>0</v>
      </c>
      <c r="K34" s="5">
        <f t="shared" si="11"/>
        <v>7089</v>
      </c>
      <c r="L34" s="240">
        <f t="shared" ref="L34" si="56">K34-K33</f>
        <v>0</v>
      </c>
      <c r="M34" s="346">
        <f t="shared" si="12"/>
        <v>457.44</v>
      </c>
      <c r="N34" s="426">
        <f t="shared" ref="N34" si="57">SUM(M34-M33)</f>
        <v>0</v>
      </c>
      <c r="O34" s="346">
        <f t="shared" si="13"/>
        <v>529.52</v>
      </c>
      <c r="P34" s="426">
        <f t="shared" ref="P34" si="58">SUM(O34-O33)</f>
        <v>0</v>
      </c>
      <c r="Q34" s="426">
        <f t="shared" ref="Q34" si="59">SUM(P34+N34)</f>
        <v>0</v>
      </c>
      <c r="R34" s="428"/>
      <c r="S34" s="428"/>
      <c r="T34" s="5">
        <f t="shared" si="14"/>
        <v>5202</v>
      </c>
      <c r="U34" s="5">
        <f t="shared" ref="U34" si="60">SUM(T34-T33)</f>
        <v>0</v>
      </c>
      <c r="V34" s="5">
        <f t="shared" si="15"/>
        <v>518</v>
      </c>
      <c r="W34" s="275">
        <f t="shared" ref="W34" si="61">+V34-V33</f>
        <v>0</v>
      </c>
      <c r="X34" s="5">
        <f t="shared" si="17"/>
        <v>156588</v>
      </c>
      <c r="Y34" s="275">
        <f t="shared" ref="Y34" si="62">SUM(X34-X33)</f>
        <v>0</v>
      </c>
      <c r="Z34" s="5">
        <f t="shared" si="18"/>
        <v>99898</v>
      </c>
      <c r="AA34" s="80">
        <f t="shared" ref="AA34" si="63">Z34-Z33</f>
        <v>0</v>
      </c>
      <c r="AB34" s="5">
        <f t="shared" si="20"/>
        <v>242</v>
      </c>
      <c r="AC34" s="5">
        <f t="shared" si="21"/>
        <v>855</v>
      </c>
      <c r="AD34" s="80">
        <f t="shared" ref="AD34" si="64">AC34-AC33</f>
        <v>0</v>
      </c>
      <c r="AE34" s="5">
        <f t="shared" si="22"/>
        <v>262.47000000000003</v>
      </c>
      <c r="AF34" s="80">
        <f t="shared" ref="AF34" si="65">AE34-AE33</f>
        <v>0</v>
      </c>
      <c r="AG34" s="5">
        <f t="shared" si="24"/>
        <v>2247.41</v>
      </c>
      <c r="AH34" s="80">
        <f t="shared" ref="AH34" si="66">AG34-AG33</f>
        <v>0</v>
      </c>
      <c r="AI34" s="80">
        <f t="shared" ref="AI34" si="67">AF34+AH34</f>
        <v>0</v>
      </c>
      <c r="AJ34" s="277">
        <f t="shared" ref="AJ34" si="68">+Z34-Z33</f>
        <v>0</v>
      </c>
      <c r="AK34" s="278">
        <f t="shared" si="35"/>
        <v>0</v>
      </c>
      <c r="AL34" s="278">
        <f t="shared" ref="AL34" si="69">SUM(AJ34-W34)</f>
        <v>0</v>
      </c>
      <c r="AM34" s="278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" si="70">A34</f>
        <v>44986</v>
      </c>
      <c r="AS34" s="360">
        <f t="shared" ref="AS34:AT34" si="71">AS33</f>
        <v>0.9</v>
      </c>
      <c r="AT34" s="190">
        <f t="shared" si="71"/>
        <v>120</v>
      </c>
      <c r="AU34" s="361">
        <f t="shared" si="42"/>
        <v>1.1000000000000001</v>
      </c>
      <c r="AV34" s="190">
        <f t="shared" si="43"/>
        <v>123</v>
      </c>
      <c r="AW34" s="5">
        <v>2.9</v>
      </c>
      <c r="AX34" s="190">
        <f t="shared" si="44"/>
        <v>108</v>
      </c>
      <c r="AY34" s="362">
        <f t="shared" ref="AY34" si="72">AS34*AT34</f>
        <v>108</v>
      </c>
      <c r="AZ34" s="362">
        <f t="shared" ref="AZ34" si="73">AU34*AV34</f>
        <v>135.30000000000001</v>
      </c>
      <c r="BA34" s="362">
        <f t="shared" ref="BA34" si="74">AW34*AX34</f>
        <v>313.2</v>
      </c>
      <c r="BB34" s="20">
        <f t="shared" si="39"/>
        <v>0</v>
      </c>
      <c r="BC34" s="20">
        <f t="shared" ref="BC34" si="75">AZ34-AZ33</f>
        <v>0</v>
      </c>
      <c r="BD34" s="20">
        <f t="shared" ref="BD34" si="76">BA34-BA33</f>
        <v>0</v>
      </c>
      <c r="BE34" s="23">
        <f t="shared" ref="BE34" si="77">SUM(BB34:BD34)</f>
        <v>0</v>
      </c>
      <c r="BF34" s="79">
        <f t="shared" ref="BF34" si="78">SUM(I34-BE34)</f>
        <v>0</v>
      </c>
      <c r="BG34" s="79">
        <f t="shared" ref="BG34" si="79">SUM(I34-BF34)</f>
        <v>0</v>
      </c>
    </row>
    <row r="35" spans="1:59">
      <c r="A35" s="6"/>
      <c r="B35" s="5"/>
      <c r="C35" s="5"/>
      <c r="D35" s="355"/>
      <c r="E35" s="284"/>
      <c r="F35" s="278"/>
      <c r="G35" s="5"/>
      <c r="H35" s="5"/>
      <c r="I35" s="5"/>
      <c r="J35" s="285"/>
      <c r="K35" s="5"/>
      <c r="L35" s="240"/>
      <c r="M35" s="346"/>
      <c r="N35" s="426"/>
      <c r="O35" s="346"/>
      <c r="P35" s="426"/>
      <c r="Q35" s="426"/>
      <c r="R35" s="428"/>
      <c r="S35" s="428"/>
      <c r="T35" s="5"/>
      <c r="U35" s="5"/>
      <c r="V35" s="5"/>
      <c r="W35" s="275"/>
      <c r="X35" s="5"/>
      <c r="Y35" s="275"/>
      <c r="Z35" s="5"/>
      <c r="AA35" s="80"/>
      <c r="AB35" s="5"/>
      <c r="AC35" s="5"/>
      <c r="AD35" s="80"/>
      <c r="AE35" s="5"/>
      <c r="AF35" s="80"/>
      <c r="AG35" s="5"/>
      <c r="AH35" s="80"/>
      <c r="AI35" s="80"/>
      <c r="AJ35" s="277"/>
      <c r="AK35" s="278"/>
      <c r="AL35" s="278"/>
      <c r="AM35" s="278"/>
      <c r="AN35" s="81"/>
      <c r="AO35" s="81"/>
      <c r="AP35" s="81"/>
      <c r="AR35" s="242"/>
      <c r="AS35" s="360"/>
      <c r="AT35" s="190"/>
      <c r="AU35" s="361"/>
      <c r="AV35" s="190"/>
      <c r="AW35" s="5"/>
      <c r="AX35" s="190"/>
      <c r="AY35" s="362"/>
      <c r="AZ35" s="362"/>
      <c r="BA35" s="362"/>
      <c r="BB35" s="20"/>
      <c r="BC35" s="20"/>
      <c r="BD35" s="20"/>
      <c r="BE35" s="23"/>
      <c r="BF35" s="79"/>
      <c r="BG35" s="79"/>
    </row>
    <row r="36" spans="1:59">
      <c r="A36" s="6"/>
      <c r="B36" s="5"/>
      <c r="C36" s="5"/>
      <c r="D36" s="355"/>
      <c r="E36" s="284"/>
      <c r="F36" s="278"/>
      <c r="G36" s="5"/>
      <c r="H36" s="5"/>
      <c r="I36" s="5"/>
      <c r="J36" s="285"/>
      <c r="K36" s="5"/>
      <c r="L36" s="240"/>
      <c r="M36" s="346"/>
      <c r="N36" s="426"/>
      <c r="O36" s="346"/>
      <c r="P36" s="426"/>
      <c r="Q36" s="426"/>
      <c r="R36" s="428"/>
      <c r="S36" s="428"/>
      <c r="T36" s="5"/>
      <c r="U36" s="5"/>
      <c r="V36" s="5"/>
      <c r="W36" s="275"/>
      <c r="X36" s="5"/>
      <c r="Y36" s="275"/>
      <c r="Z36" s="5"/>
      <c r="AA36" s="80"/>
      <c r="AB36" s="5"/>
      <c r="AC36" s="5"/>
      <c r="AD36" s="80"/>
      <c r="AE36" s="5"/>
      <c r="AF36" s="80"/>
      <c r="AG36" s="5"/>
      <c r="AH36" s="80"/>
      <c r="AI36" s="80"/>
      <c r="AJ36" s="277"/>
      <c r="AK36" s="278"/>
      <c r="AL36" s="278"/>
      <c r="AM36" s="278"/>
      <c r="AN36" s="81"/>
      <c r="AO36" s="81"/>
      <c r="AP36" s="81"/>
      <c r="AR36" s="242"/>
      <c r="AS36" s="360"/>
      <c r="AT36" s="190"/>
      <c r="AU36" s="361"/>
      <c r="AV36" s="190"/>
      <c r="AW36" s="5"/>
      <c r="AX36" s="190"/>
      <c r="AY36" s="362"/>
      <c r="AZ36" s="362"/>
      <c r="BA36" s="362"/>
      <c r="BB36" s="20"/>
      <c r="BC36" s="20"/>
      <c r="BD36" s="20"/>
      <c r="BE36" s="23"/>
      <c r="BF36" s="79"/>
      <c r="BG36" s="79"/>
    </row>
    <row r="37" spans="1:59">
      <c r="C37" s="348">
        <f>SUM(C6:C36)</f>
        <v>0</v>
      </c>
      <c r="D37" s="273">
        <f>SUM(D6:D36)</f>
        <v>0</v>
      </c>
      <c r="F37" s="350">
        <f>SUM(F6:F36)</f>
        <v>0</v>
      </c>
      <c r="H37" s="348">
        <f>SUM(H6:H36)</f>
        <v>380</v>
      </c>
      <c r="I37" s="348">
        <f>SUM(I6:I36)</f>
        <v>380</v>
      </c>
      <c r="L37" s="1">
        <f>SUM(L7:L36)</f>
        <v>0</v>
      </c>
      <c r="Q37" s="350">
        <f>SUM(Q6:Q36)</f>
        <v>0</v>
      </c>
      <c r="U37" s="1">
        <f>SUM(U6:U36)</f>
        <v>0</v>
      </c>
      <c r="X37" s="274"/>
      <c r="Y37" s="273">
        <f>SUM(Y6,Y33,Y31,Y29,Y27,Y25,Y23,Y21,Y19,Y17,Y15,Y13,Y11,Y9,Y7,Y34,Y35,Y36)</f>
        <v>0</v>
      </c>
      <c r="AJ37" s="273">
        <f>SUM(AJ6:AJ36)</f>
        <v>-57</v>
      </c>
      <c r="AK37" s="278">
        <f>SUM(Y37-L37)</f>
        <v>0</v>
      </c>
      <c r="AL37" s="273">
        <f>SUM(AL6:AL36)</f>
        <v>-57</v>
      </c>
      <c r="AS37" s="485"/>
      <c r="AT37" s="190"/>
      <c r="AU37" s="485"/>
      <c r="AV37" s="487"/>
      <c r="AW37" s="486"/>
      <c r="AX37" s="486"/>
      <c r="AY37" s="486"/>
      <c r="AZ37" s="487"/>
      <c r="BA37" s="487"/>
      <c r="BB37" s="487"/>
      <c r="BC37" s="487"/>
      <c r="BD37" s="487"/>
      <c r="BE37" s="487"/>
    </row>
    <row r="38" spans="1:59">
      <c r="C38" s="1">
        <f>+C37*1.66</f>
        <v>0</v>
      </c>
      <c r="E38" s="283">
        <f>SUM(E6:E33)</f>
        <v>7500.0000000000018</v>
      </c>
      <c r="F38" s="353">
        <f>SUM(F6:F35)</f>
        <v>0</v>
      </c>
      <c r="H38" s="1">
        <v>7500</v>
      </c>
      <c r="I38" s="349">
        <f>SUM('General information '!G36/WATER!I37)</f>
        <v>0</v>
      </c>
      <c r="O38" s="1">
        <f>SUM(Q37+I37)</f>
        <v>380</v>
      </c>
      <c r="Z38" s="273">
        <f>SUM(Y37:AJ37)</f>
        <v>-57</v>
      </c>
      <c r="AK38" s="278">
        <f>SUM(Y38-L38)</f>
        <v>0</v>
      </c>
    </row>
    <row r="39" spans="1:59">
      <c r="B39" s="1">
        <f>9*31</f>
        <v>279</v>
      </c>
      <c r="D39" s="350">
        <f>SUM(D6:D35)</f>
        <v>0</v>
      </c>
      <c r="F39" s="351">
        <f>SUM(F6:F36)</f>
        <v>0</v>
      </c>
      <c r="G39" s="1">
        <f>SUM(I37)</f>
        <v>380</v>
      </c>
      <c r="H39" s="1">
        <f>SUM(H38+C38)</f>
        <v>7500</v>
      </c>
      <c r="K39" s="1">
        <f>SUM(H39/G39)</f>
        <v>19.736842105263158</v>
      </c>
      <c r="AJ39" s="273">
        <f>SUM(C38-AK38)</f>
        <v>0</v>
      </c>
      <c r="AM39" s="292" t="e">
        <f>SUM(AJ39/AO38)</f>
        <v>#DIV/0!</v>
      </c>
    </row>
    <row r="43" spans="1:59" ht="15.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G31" sqref="G31"/>
    </sheetView>
  </sheetViews>
  <sheetFormatPr defaultRowHeight="14.5"/>
  <cols>
    <col min="1" max="1" width="11.7265625" style="41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551" t="s">
        <v>170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3"/>
    </row>
    <row r="2" spans="1:15" ht="15.75" customHeight="1" thickBot="1">
      <c r="A2" s="554"/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6"/>
    </row>
    <row r="3" spans="1:15" ht="9" customHeight="1" thickBot="1">
      <c r="A3" s="40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5.5" thickTop="1" thickBot="1">
      <c r="A4" s="408"/>
      <c r="B4" s="143" t="s">
        <v>171</v>
      </c>
      <c r="C4" s="144" t="s">
        <v>172</v>
      </c>
      <c r="D4" s="141" t="s">
        <v>173</v>
      </c>
      <c r="E4" s="145" t="s">
        <v>174</v>
      </c>
      <c r="F4" s="420" t="s">
        <v>175</v>
      </c>
      <c r="G4" s="142" t="s">
        <v>176</v>
      </c>
      <c r="H4" s="146" t="s">
        <v>177</v>
      </c>
      <c r="I4" s="143" t="s">
        <v>178</v>
      </c>
      <c r="J4" s="144" t="s">
        <v>179</v>
      </c>
      <c r="K4" s="142" t="s">
        <v>180</v>
      </c>
      <c r="L4" s="146" t="s">
        <v>181</v>
      </c>
      <c r="M4" s="144" t="s">
        <v>182</v>
      </c>
      <c r="N4" s="148" t="s">
        <v>183</v>
      </c>
      <c r="O4" s="141" t="s">
        <v>184</v>
      </c>
    </row>
    <row r="5" spans="1:15" ht="15" thickTop="1">
      <c r="A5" s="409">
        <v>44958</v>
      </c>
      <c r="B5" s="36">
        <v>16</v>
      </c>
      <c r="C5" s="36">
        <v>10</v>
      </c>
      <c r="D5" s="25">
        <f t="shared" ref="D5:D10" si="0">(C5+B5)/2</f>
        <v>13</v>
      </c>
      <c r="E5" s="193">
        <v>0.55000000000000004</v>
      </c>
      <c r="F5" s="290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09">
        <f>A5+1</f>
        <v>44959</v>
      </c>
      <c r="B6" s="36">
        <v>16</v>
      </c>
      <c r="C6" s="36">
        <v>11</v>
      </c>
      <c r="D6" s="25">
        <f t="shared" si="0"/>
        <v>13.5</v>
      </c>
      <c r="E6" s="193">
        <v>0.53</v>
      </c>
      <c r="F6" s="290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09">
        <f>ELEC!C6</f>
        <v>44960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09">
        <f>ELEC!C7</f>
        <v>44961</v>
      </c>
      <c r="B8" s="36"/>
      <c r="C8" s="36"/>
      <c r="D8" s="25">
        <f>(C8+B8)/2</f>
        <v>0</v>
      </c>
      <c r="E8" s="193"/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09">
        <f>ELEC!C8</f>
        <v>44962</v>
      </c>
      <c r="B9" s="36">
        <v>14</v>
      </c>
      <c r="C9" s="36">
        <v>9</v>
      </c>
      <c r="D9" s="25">
        <f t="shared" si="0"/>
        <v>11.5</v>
      </c>
      <c r="E9" s="193">
        <v>0.63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09">
        <f>ELEC!C9</f>
        <v>44963</v>
      </c>
      <c r="B10" s="36">
        <v>14</v>
      </c>
      <c r="C10" s="36">
        <v>8</v>
      </c>
      <c r="D10" s="25">
        <f t="shared" si="0"/>
        <v>11</v>
      </c>
      <c r="E10" s="193">
        <v>0.56000000000000005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09">
        <f>ELEC!C10</f>
        <v>44964</v>
      </c>
      <c r="B11" s="36">
        <v>14</v>
      </c>
      <c r="C11" s="36">
        <v>8</v>
      </c>
      <c r="D11" s="25">
        <f>(C11+B11)/2</f>
        <v>11</v>
      </c>
      <c r="E11" s="193">
        <v>0.56000000000000005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09">
        <f>ELEC!C11</f>
        <v>44965</v>
      </c>
      <c r="B12" s="36">
        <v>14</v>
      </c>
      <c r="C12" s="36">
        <v>8</v>
      </c>
      <c r="D12" s="25">
        <f>(C12+B12)/2</f>
        <v>11</v>
      </c>
      <c r="E12" s="193">
        <v>0.56000000000000005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09">
        <f>ELEC!C12</f>
        <v>44966</v>
      </c>
      <c r="B13" s="36"/>
      <c r="C13" s="36"/>
      <c r="D13" s="25">
        <f t="shared" ref="D13:D20" si="3">(C13+B13)/2</f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09">
        <f>ELEC!C13</f>
        <v>44967</v>
      </c>
      <c r="B14" s="36">
        <v>14</v>
      </c>
      <c r="C14" s="36">
        <v>8</v>
      </c>
      <c r="D14" s="25">
        <f t="shared" si="3"/>
        <v>11</v>
      </c>
      <c r="E14" s="193">
        <v>0.51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09">
        <f>ELEC!C14</f>
        <v>44968</v>
      </c>
      <c r="B15" s="36"/>
      <c r="C15" s="36"/>
      <c r="D15" s="25">
        <f t="shared" si="3"/>
        <v>0</v>
      </c>
      <c r="E15" s="193"/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09">
        <f>ELEC!C15</f>
        <v>44969</v>
      </c>
      <c r="B16" s="36">
        <v>16</v>
      </c>
      <c r="C16" s="36">
        <v>8</v>
      </c>
      <c r="D16" s="25">
        <f t="shared" si="3"/>
        <v>12</v>
      </c>
      <c r="E16" s="519">
        <v>0.43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09">
        <f>ELEC!C16</f>
        <v>44970</v>
      </c>
      <c r="B17" s="36">
        <v>17</v>
      </c>
      <c r="C17" s="36">
        <v>9</v>
      </c>
      <c r="D17" s="25">
        <f t="shared" si="3"/>
        <v>13</v>
      </c>
      <c r="E17" s="363">
        <v>0.37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09">
        <f>ELEC!C17</f>
        <v>44971</v>
      </c>
      <c r="B18" s="36">
        <v>16</v>
      </c>
      <c r="C18" s="36">
        <v>9</v>
      </c>
      <c r="D18" s="25">
        <f t="shared" si="3"/>
        <v>12.5</v>
      </c>
      <c r="E18" s="193">
        <v>0.4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09">
        <f>ELEC!C18</f>
        <v>44972</v>
      </c>
      <c r="B19" s="36">
        <v>16</v>
      </c>
      <c r="C19" s="36">
        <v>9</v>
      </c>
      <c r="D19" s="25">
        <f t="shared" si="3"/>
        <v>12.5</v>
      </c>
      <c r="E19" s="193">
        <v>0.39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09">
        <f>ELEC!C19</f>
        <v>44973</v>
      </c>
      <c r="B20" s="36">
        <v>16</v>
      </c>
      <c r="C20" s="36">
        <v>9</v>
      </c>
      <c r="D20" s="25">
        <f t="shared" si="3"/>
        <v>12.5</v>
      </c>
      <c r="E20" s="193">
        <v>0.41</v>
      </c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09">
        <f>ELEC!C20</f>
        <v>44974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09">
        <f>ELEC!C21</f>
        <v>44975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09">
        <f>ELEC!C22</f>
        <v>44976</v>
      </c>
      <c r="B23" s="36">
        <v>19</v>
      </c>
      <c r="C23" s="36">
        <v>12</v>
      </c>
      <c r="D23" s="25">
        <f t="shared" ref="D23:D33" si="6">(C23+B23)/2</f>
        <v>15.5</v>
      </c>
      <c r="E23" s="193">
        <v>0.45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09">
        <f>ELEC!C23</f>
        <v>44977</v>
      </c>
      <c r="B24" s="36">
        <v>18</v>
      </c>
      <c r="C24" s="36">
        <v>12</v>
      </c>
      <c r="D24" s="25">
        <f t="shared" si="6"/>
        <v>15</v>
      </c>
      <c r="E24" s="193">
        <v>0.56000000000000005</v>
      </c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09">
        <f>ELEC!C24</f>
        <v>44978</v>
      </c>
      <c r="B25" s="36">
        <v>18</v>
      </c>
      <c r="C25" s="36">
        <v>12</v>
      </c>
      <c r="D25" s="25">
        <f t="shared" si="6"/>
        <v>15</v>
      </c>
      <c r="E25" s="193">
        <v>0.55000000000000004</v>
      </c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09">
        <f>ELEC!C25</f>
        <v>44979</v>
      </c>
      <c r="B26" s="36">
        <v>17</v>
      </c>
      <c r="C26" s="36">
        <v>12</v>
      </c>
      <c r="D26" s="25">
        <f t="shared" si="6"/>
        <v>14.5</v>
      </c>
      <c r="E26" s="193">
        <v>0.66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09">
        <f>ELEC!C26</f>
        <v>44980</v>
      </c>
      <c r="B27" s="36">
        <v>17</v>
      </c>
      <c r="C27" s="36">
        <v>12</v>
      </c>
      <c r="D27" s="25">
        <f t="shared" si="6"/>
        <v>14.5</v>
      </c>
      <c r="E27" s="193">
        <v>0.66</v>
      </c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09">
        <f>ELEC!C27</f>
        <v>44981</v>
      </c>
      <c r="B28" s="36">
        <v>17</v>
      </c>
      <c r="C28" s="36">
        <v>12</v>
      </c>
      <c r="D28" s="25">
        <f t="shared" si="6"/>
        <v>14.5</v>
      </c>
      <c r="E28" s="193">
        <v>0.66</v>
      </c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09">
        <f>ELEC!C28</f>
        <v>44982</v>
      </c>
      <c r="B29" s="36">
        <v>22</v>
      </c>
      <c r="C29" s="36">
        <v>12</v>
      </c>
      <c r="D29" s="25">
        <f t="shared" si="6"/>
        <v>17</v>
      </c>
      <c r="E29" s="193">
        <v>0.66</v>
      </c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09">
        <f>ELEC!C29</f>
        <v>44983</v>
      </c>
      <c r="B30" s="36">
        <v>23</v>
      </c>
      <c r="C30" s="36">
        <v>14</v>
      </c>
      <c r="D30" s="25">
        <f t="shared" si="6"/>
        <v>18.5</v>
      </c>
      <c r="E30" s="193">
        <v>0.66</v>
      </c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09">
        <f>ELEC!C30</f>
        <v>44984</v>
      </c>
      <c r="B31" s="36">
        <v>24</v>
      </c>
      <c r="C31" s="36">
        <v>17</v>
      </c>
      <c r="D31" s="25">
        <f t="shared" si="6"/>
        <v>20.5</v>
      </c>
      <c r="E31" s="289">
        <v>0.44</v>
      </c>
      <c r="F31" s="289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09">
        <f>ELEC!C31</f>
        <v>44985</v>
      </c>
      <c r="B32" s="36"/>
      <c r="C32" s="36"/>
      <c r="D32" s="25">
        <f t="shared" si="6"/>
        <v>0</v>
      </c>
      <c r="E32" s="193"/>
      <c r="F32" s="289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09">
        <f>ELEC!C32</f>
        <v>44986</v>
      </c>
      <c r="B33" s="36"/>
      <c r="C33" s="36"/>
      <c r="D33" s="25">
        <f t="shared" si="6"/>
        <v>0</v>
      </c>
      <c r="E33" s="193"/>
      <c r="F33" s="289">
        <v>0</v>
      </c>
      <c r="G33" s="222">
        <f t="shared" ref="G33" si="8">F33*230</f>
        <v>0</v>
      </c>
      <c r="H33" s="3">
        <v>0</v>
      </c>
      <c r="I33" s="3">
        <v>0</v>
      </c>
      <c r="J33" s="36">
        <v>0</v>
      </c>
      <c r="K33" s="234">
        <f t="shared" ref="K33" si="9">+J33+H33+I33</f>
        <v>0</v>
      </c>
      <c r="L33" s="3"/>
      <c r="M33" s="3"/>
      <c r="N33" s="149"/>
      <c r="O33" s="3"/>
    </row>
    <row r="34" spans="1:15">
      <c r="A34" s="409"/>
      <c r="B34" s="36"/>
      <c r="C34" s="36"/>
      <c r="D34" s="25"/>
      <c r="E34" s="193"/>
      <c r="F34" s="289"/>
      <c r="G34" s="222"/>
      <c r="H34" s="3"/>
      <c r="I34" s="3"/>
      <c r="J34" s="36"/>
      <c r="K34" s="234"/>
      <c r="L34" s="3"/>
      <c r="M34" s="3"/>
      <c r="N34" s="149"/>
      <c r="O34" s="3"/>
    </row>
    <row r="35" spans="1:15">
      <c r="A35" s="409"/>
      <c r="B35" s="36"/>
      <c r="C35" s="36"/>
      <c r="D35" s="25"/>
      <c r="E35" s="193"/>
      <c r="F35" s="289"/>
      <c r="G35" s="222"/>
      <c r="H35" s="3"/>
      <c r="I35" s="3"/>
      <c r="J35" s="36"/>
      <c r="K35" s="234"/>
      <c r="L35" s="3"/>
      <c r="M35" s="3"/>
      <c r="N35" s="149"/>
      <c r="O35" s="3"/>
    </row>
    <row r="36" spans="1:15">
      <c r="D36" s="232"/>
      <c r="F36" s="436">
        <f>AVERAGE(F5:F35)</f>
        <v>0</v>
      </c>
      <c r="G36" s="192">
        <f>SUM(G5:G35)</f>
        <v>0</v>
      </c>
    </row>
    <row r="37" spans="1:15">
      <c r="D37" s="232">
        <f>SUM(D5:D35)/'EDl log'!A35</f>
        <v>32.166666666666664</v>
      </c>
      <c r="F37" s="198"/>
    </row>
    <row r="40" spans="1:15">
      <c r="I40" s="347" t="s">
        <v>185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J29" sqref="J29"/>
    </sheetView>
  </sheetViews>
  <sheetFormatPr defaultRowHeight="14.5"/>
  <cols>
    <col min="1" max="1" width="10.26953125" customWidth="1"/>
    <col min="2" max="2" width="10.54296875" bestFit="1" customWidth="1"/>
    <col min="3" max="3" width="17.4531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11.4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19" customFormat="1" ht="45">
      <c r="A1" s="24"/>
      <c r="B1" s="345" t="s">
        <v>186</v>
      </c>
      <c r="C1" s="24" t="s">
        <v>187</v>
      </c>
      <c r="D1" s="24" t="s">
        <v>188</v>
      </c>
      <c r="E1" s="24" t="s">
        <v>189</v>
      </c>
      <c r="F1" s="24" t="s">
        <v>190</v>
      </c>
      <c r="G1" s="24"/>
      <c r="H1" s="24" t="s">
        <v>191</v>
      </c>
      <c r="I1" s="24" t="s">
        <v>192</v>
      </c>
      <c r="J1" s="345" t="s">
        <v>193</v>
      </c>
      <c r="K1" s="24" t="s">
        <v>187</v>
      </c>
      <c r="L1" s="24" t="s">
        <v>188</v>
      </c>
      <c r="M1" s="24" t="s">
        <v>189</v>
      </c>
      <c r="N1" s="24" t="s">
        <v>190</v>
      </c>
      <c r="O1" s="246"/>
      <c r="P1" s="24" t="s">
        <v>191</v>
      </c>
      <c r="Q1" s="24" t="s">
        <v>192</v>
      </c>
      <c r="R1" s="345" t="s">
        <v>194</v>
      </c>
      <c r="S1" s="24" t="s">
        <v>187</v>
      </c>
      <c r="T1" s="24" t="s">
        <v>188</v>
      </c>
      <c r="U1" s="24" t="s">
        <v>189</v>
      </c>
      <c r="V1" s="24" t="s">
        <v>190</v>
      </c>
      <c r="W1" s="24"/>
      <c r="X1" s="24" t="s">
        <v>191</v>
      </c>
      <c r="Y1" s="24" t="s">
        <v>192</v>
      </c>
      <c r="Z1" s="24" t="s">
        <v>195</v>
      </c>
      <c r="AA1" s="24" t="s">
        <v>196</v>
      </c>
      <c r="AB1" s="246" t="s">
        <v>197</v>
      </c>
      <c r="AC1" s="246" t="s">
        <v>198</v>
      </c>
      <c r="AD1" s="70" t="s">
        <v>199</v>
      </c>
      <c r="AE1" s="70"/>
      <c r="AF1" s="70"/>
      <c r="AG1" s="70"/>
      <c r="AH1" s="70"/>
      <c r="AI1" s="70" t="s">
        <v>200</v>
      </c>
      <c r="AK1" s="19" t="s">
        <v>201</v>
      </c>
    </row>
    <row r="2" spans="1:38" ht="15" thickBot="1">
      <c r="A2" s="4">
        <v>44957</v>
      </c>
      <c r="B2" s="238">
        <v>1973</v>
      </c>
      <c r="C2" s="238">
        <f>[2]GEN!C33</f>
        <v>17</v>
      </c>
      <c r="D2" s="238">
        <f>[2]GEN!D33</f>
        <v>826846</v>
      </c>
      <c r="E2" s="238">
        <f>[2]GEN!E33</f>
        <v>1445</v>
      </c>
      <c r="F2" s="238">
        <f>[2]GEN!F33</f>
        <v>85</v>
      </c>
      <c r="G2" s="238">
        <f>[2]GEN!G33</f>
        <v>0</v>
      </c>
      <c r="H2" s="238">
        <f>[2]GEN!H33</f>
        <v>12231</v>
      </c>
      <c r="I2" s="238" t="str">
        <f>[2]GEN!I33</f>
        <v>ok</v>
      </c>
      <c r="J2" s="238">
        <f>[2]GEN!J33</f>
        <v>148</v>
      </c>
      <c r="K2" s="238">
        <f>[2]GEN!K33</f>
        <v>0</v>
      </c>
      <c r="L2" s="238">
        <f>[2]GEN!L33</f>
        <v>392441</v>
      </c>
      <c r="M2" s="238">
        <f>[2]GEN!M33</f>
        <v>0</v>
      </c>
      <c r="N2" s="238">
        <f>[2]GEN!N33</f>
        <v>250</v>
      </c>
      <c r="O2" s="238">
        <f>[2]GEN!O33</f>
        <v>0</v>
      </c>
      <c r="P2" s="238">
        <f>[2]GEN!P33</f>
        <v>10873</v>
      </c>
      <c r="Q2" s="238" t="str">
        <f>[2]GEN!Q33</f>
        <v>ok</v>
      </c>
      <c r="R2" s="238">
        <f>[2]GEN!R33</f>
        <v>13920</v>
      </c>
      <c r="S2" s="238">
        <f>[2]GEN!S33</f>
        <v>0</v>
      </c>
      <c r="T2" s="238">
        <f>[2]GEN!T33</f>
        <v>419262</v>
      </c>
      <c r="U2" s="238">
        <f>[2]GEN!U33</f>
        <v>0</v>
      </c>
      <c r="V2" s="238">
        <f>[2]GEN!V33</f>
        <v>250</v>
      </c>
      <c r="W2" s="238">
        <f>[2]GEN!W33</f>
        <v>0</v>
      </c>
      <c r="X2" s="238">
        <f>[2]GEN!X33</f>
        <v>14773</v>
      </c>
      <c r="Y2" s="238" t="str">
        <f>[2]GEN!Y33</f>
        <v>ok</v>
      </c>
      <c r="Z2" s="238">
        <f>[2]GEN!Z33</f>
        <v>17</v>
      </c>
      <c r="AA2" s="238">
        <f>[2]GEN!AA33</f>
        <v>1445</v>
      </c>
      <c r="AB2" s="238">
        <f>[2]GEN!AB33</f>
        <v>585</v>
      </c>
      <c r="AC2" s="238">
        <f>[2]GEN!AC33</f>
        <v>85</v>
      </c>
      <c r="AD2" s="238">
        <f>[2]GEN!AD33</f>
        <v>5065.9999999988941</v>
      </c>
      <c r="AE2" s="238">
        <f>[2]GEN!AE33</f>
        <v>297.99999999993497</v>
      </c>
      <c r="AF2" s="238">
        <f>[2]GEN!AF33</f>
        <v>0.18624999999995936</v>
      </c>
      <c r="AG2" s="238">
        <f>[2]GEN!AG33</f>
        <v>1.164062499999746E-4</v>
      </c>
      <c r="AH2" s="238">
        <f>[2]GEN!AH33</f>
        <v>84.999883593749999</v>
      </c>
      <c r="AI2" s="238">
        <f>[2]GEN!AI33</f>
        <v>1303.907172995496</v>
      </c>
      <c r="AJ2" s="238">
        <f>[2]GEN!AJ33</f>
        <v>0.25738396624472576</v>
      </c>
      <c r="AK2" s="238">
        <f>[2]GEN!AK33</f>
        <v>76.700421940911525</v>
      </c>
      <c r="AL2" s="238">
        <f>[2]GEN!AL33</f>
        <v>1</v>
      </c>
    </row>
    <row r="3" spans="1:38" ht="15" thickBot="1">
      <c r="A3" s="4">
        <f>ELEC!C4</f>
        <v>44958</v>
      </c>
      <c r="B3" s="520">
        <v>1985</v>
      </c>
      <c r="C3" s="247">
        <f>B3-B2</f>
        <v>12</v>
      </c>
      <c r="D3" s="441">
        <f>D2+C3*250</f>
        <v>829846</v>
      </c>
      <c r="E3" s="247">
        <f>SUM(D3-D2)</f>
        <v>3000</v>
      </c>
      <c r="F3" s="247">
        <f t="shared" ref="F3:F30" si="0">IF(C3&gt;0,E3/C3,0)</f>
        <v>250</v>
      </c>
      <c r="G3" s="238" t="e" vm="1">
        <f>[4]GEN!G32</f>
        <v>#VALUE!</v>
      </c>
      <c r="H3" s="238">
        <f>H2</f>
        <v>12231</v>
      </c>
      <c r="I3" s="247" t="str">
        <f t="shared" ref="I3:I30" si="1">IF(B3-H3&lt;=0,"ok","oil change")</f>
        <v>ok</v>
      </c>
      <c r="J3" s="440">
        <f>J2</f>
        <v>148</v>
      </c>
      <c r="K3" s="247">
        <f t="shared" ref="K3:K31" si="2">J3-J2</f>
        <v>0</v>
      </c>
      <c r="L3" s="441">
        <f>L2</f>
        <v>392441</v>
      </c>
      <c r="M3" s="247">
        <f t="shared" ref="M3:M31" si="3">SUM(L3-L2)</f>
        <v>0</v>
      </c>
      <c r="N3" s="247">
        <v>250</v>
      </c>
      <c r="O3" s="238" t="e" vm="1">
        <f>[4]GEN!O32</f>
        <v>#VALUE!</v>
      </c>
      <c r="P3" s="248">
        <f>P2</f>
        <v>10873</v>
      </c>
      <c r="Q3" s="247" t="str">
        <f t="shared" ref="Q3:Q17" si="4">IF(J3-P3&lt;=0,"ok","oil change")</f>
        <v>ok</v>
      </c>
      <c r="R3" s="440">
        <f>R2</f>
        <v>13920</v>
      </c>
      <c r="S3" s="247">
        <f t="shared" ref="S3:S30" si="5">R3-R2</f>
        <v>0</v>
      </c>
      <c r="T3" s="441">
        <f t="shared" ref="T3:T8" si="6">T2+U3</f>
        <v>419262</v>
      </c>
      <c r="U3" s="247">
        <f t="shared" ref="U3:U8" si="7">V3*S3</f>
        <v>0</v>
      </c>
      <c r="V3" s="247">
        <v>250</v>
      </c>
      <c r="W3" s="238" t="e" vm="1">
        <f>[4]GEN!W32</f>
        <v>#VALUE!</v>
      </c>
      <c r="X3" s="238">
        <f>X2</f>
        <v>14773</v>
      </c>
      <c r="Y3" s="247" t="str">
        <f>IF(R3-X3&lt;=0,"ok","oil change")</f>
        <v>ok</v>
      </c>
      <c r="Z3" s="247">
        <f t="shared" ref="Z3:Z31" si="8">C3+K3+S3</f>
        <v>12</v>
      </c>
      <c r="AA3" s="247">
        <f>U3+M3+E3</f>
        <v>3000</v>
      </c>
      <c r="AB3" s="247">
        <f>V3+N3+F3</f>
        <v>750</v>
      </c>
      <c r="AC3" s="247">
        <f>IF(Z3&gt;0,AA3/Z3,0)</f>
        <v>250</v>
      </c>
      <c r="AD3" s="71">
        <f>ELEC!Q4</f>
        <v>3522.000000000844</v>
      </c>
      <c r="AE3" s="71">
        <f>SUM(AD3/Z3)</f>
        <v>293.50000000007032</v>
      </c>
      <c r="AF3" s="342">
        <f>SUM(AE3/1600)</f>
        <v>0.18343750000004394</v>
      </c>
      <c r="AG3" s="343">
        <f>SUM(360*AF3)</f>
        <v>66.037500000015825</v>
      </c>
      <c r="AH3" s="343">
        <f>SUM(AC3-AG3)</f>
        <v>183.96249999998417</v>
      </c>
      <c r="AI3" s="71">
        <f>AD3*AJ3</f>
        <v>906.50632911414141</v>
      </c>
      <c r="AJ3" s="249">
        <f t="shared" ref="AJ3:AJ31" si="9">305/1185</f>
        <v>0.25738396624472576</v>
      </c>
      <c r="AK3" s="249">
        <f t="shared" ref="AK3:AK30" si="10">AI3/Z3</f>
        <v>75.542194092845122</v>
      </c>
      <c r="AL3">
        <f>IF(Z3=0,0,1)</f>
        <v>1</v>
      </c>
    </row>
    <row r="4" spans="1:38" ht="15" thickBot="1">
      <c r="A4" s="4">
        <f>ELEC!C5</f>
        <v>44959</v>
      </c>
      <c r="B4" s="520">
        <v>1995</v>
      </c>
      <c r="C4" s="247">
        <f t="shared" ref="C4:C19" si="11">B4-B3</f>
        <v>10</v>
      </c>
      <c r="D4" s="441">
        <f>D3+C4*85</f>
        <v>830696</v>
      </c>
      <c r="E4" s="247">
        <f t="shared" ref="E4:E31" si="12">SUM(D4-D3)</f>
        <v>850</v>
      </c>
      <c r="F4" s="247">
        <f t="shared" si="0"/>
        <v>85</v>
      </c>
      <c r="G4" s="185"/>
      <c r="H4" s="238">
        <f t="shared" ref="H4:H31" si="13">H3</f>
        <v>12231</v>
      </c>
      <c r="I4" s="247" t="str">
        <f t="shared" si="1"/>
        <v>ok</v>
      </c>
      <c r="J4" s="440">
        <f t="shared" ref="J4:J31" si="14">J3</f>
        <v>148</v>
      </c>
      <c r="K4" s="247">
        <f t="shared" si="2"/>
        <v>0</v>
      </c>
      <c r="L4" s="441">
        <f t="shared" ref="L4:L5" si="15">L3</f>
        <v>392441</v>
      </c>
      <c r="M4" s="247">
        <f t="shared" si="3"/>
        <v>0</v>
      </c>
      <c r="N4" s="247">
        <v>250</v>
      </c>
      <c r="O4" s="185"/>
      <c r="P4" s="248">
        <f t="shared" ref="P4:P31" si="16">P3</f>
        <v>10873</v>
      </c>
      <c r="Q4" s="247" t="str">
        <f t="shared" si="4"/>
        <v>ok</v>
      </c>
      <c r="R4" s="440">
        <f t="shared" ref="R4:R31" si="17">R3</f>
        <v>13920</v>
      </c>
      <c r="S4" s="247">
        <f t="shared" si="5"/>
        <v>0</v>
      </c>
      <c r="T4" s="441">
        <f t="shared" si="6"/>
        <v>419262</v>
      </c>
      <c r="U4" s="247">
        <f t="shared" si="7"/>
        <v>0</v>
      </c>
      <c r="V4" s="247">
        <v>250</v>
      </c>
      <c r="W4" s="185"/>
      <c r="X4" s="238">
        <f t="shared" ref="X4:X31" si="18">X3</f>
        <v>14773</v>
      </c>
      <c r="Y4" s="247" t="str">
        <f t="shared" ref="Y4:Y31" si="19">IF(R4-X4&lt;=0,"ok","oil change")</f>
        <v>ok</v>
      </c>
      <c r="Z4" s="247">
        <f t="shared" si="8"/>
        <v>10</v>
      </c>
      <c r="AA4" s="247">
        <f t="shared" ref="AA4:AA30" si="20">U4+M4+E4</f>
        <v>850</v>
      </c>
      <c r="AB4" s="247">
        <f t="shared" ref="AB4:AB30" si="21">V4+N4+F4</f>
        <v>585</v>
      </c>
      <c r="AC4" s="247">
        <f t="shared" ref="AC4:AC30" si="22">IF(Z4&gt;0,AA4/Z4,0)</f>
        <v>85</v>
      </c>
      <c r="AD4" s="71">
        <f>ELEC!Q5</f>
        <v>2848.9999999983411</v>
      </c>
      <c r="AE4" s="71">
        <f>SUM(AD4/Z4)</f>
        <v>284.89999999983411</v>
      </c>
      <c r="AF4" s="342">
        <f>SUM(AE4/1600)</f>
        <v>0.17806249999989632</v>
      </c>
      <c r="AG4" s="343">
        <f>SUM(360*AF4)</f>
        <v>64.102499999962674</v>
      </c>
      <c r="AH4" s="343">
        <f t="shared" ref="AH4:AH30" si="23">SUM(AC4-AG4)</f>
        <v>20.897500000037326</v>
      </c>
      <c r="AI4" s="71">
        <f>AD4*AJ4</f>
        <v>733.28691983079671</v>
      </c>
      <c r="AJ4" s="249">
        <f t="shared" si="9"/>
        <v>0.25738396624472576</v>
      </c>
      <c r="AK4" s="249">
        <f t="shared" si="10"/>
        <v>73.328691983079665</v>
      </c>
      <c r="AL4">
        <f t="shared" ref="AL4:AL30" si="24">IF(Z4=0,0,1)</f>
        <v>1</v>
      </c>
    </row>
    <row r="5" spans="1:38" ht="15" thickBot="1">
      <c r="A5" s="4">
        <f>ELEC!C6</f>
        <v>44960</v>
      </c>
      <c r="B5" s="520">
        <v>1995</v>
      </c>
      <c r="C5" s="247">
        <f t="shared" si="11"/>
        <v>0</v>
      </c>
      <c r="D5" s="441">
        <f t="shared" ref="D5:D31" si="25">D4+C5*85</f>
        <v>830696</v>
      </c>
      <c r="E5" s="247">
        <f t="shared" si="12"/>
        <v>0</v>
      </c>
      <c r="F5" s="247">
        <f t="shared" si="0"/>
        <v>0</v>
      </c>
      <c r="G5" s="185"/>
      <c r="H5" s="238">
        <f t="shared" si="13"/>
        <v>12231</v>
      </c>
      <c r="I5" s="247" t="str">
        <f t="shared" si="1"/>
        <v>ok</v>
      </c>
      <c r="J5" s="440">
        <f t="shared" si="14"/>
        <v>148</v>
      </c>
      <c r="K5" s="247">
        <f t="shared" si="2"/>
        <v>0</v>
      </c>
      <c r="L5" s="441">
        <f t="shared" si="15"/>
        <v>392441</v>
      </c>
      <c r="M5" s="247">
        <f>SUM(L5-L4)</f>
        <v>0</v>
      </c>
      <c r="N5" s="247">
        <v>250</v>
      </c>
      <c r="O5" s="185"/>
      <c r="P5" s="248">
        <f t="shared" si="16"/>
        <v>10873</v>
      </c>
      <c r="Q5" s="247" t="str">
        <f t="shared" si="4"/>
        <v>ok</v>
      </c>
      <c r="R5" s="440">
        <f t="shared" si="17"/>
        <v>13920</v>
      </c>
      <c r="S5" s="247">
        <f t="shared" si="5"/>
        <v>0</v>
      </c>
      <c r="T5" s="441">
        <f t="shared" si="6"/>
        <v>419262</v>
      </c>
      <c r="U5" s="247">
        <f t="shared" si="7"/>
        <v>0</v>
      </c>
      <c r="V5" s="247">
        <v>250</v>
      </c>
      <c r="W5" s="185"/>
      <c r="X5" s="238">
        <f t="shared" si="18"/>
        <v>14773</v>
      </c>
      <c r="Y5" s="247" t="str">
        <f t="shared" si="19"/>
        <v>ok</v>
      </c>
      <c r="Z5" s="247">
        <f t="shared" si="8"/>
        <v>0</v>
      </c>
      <c r="AA5" s="247">
        <f t="shared" si="20"/>
        <v>0</v>
      </c>
      <c r="AB5" s="247">
        <f t="shared" si="21"/>
        <v>500</v>
      </c>
      <c r="AC5" s="247">
        <f t="shared" si="22"/>
        <v>0</v>
      </c>
      <c r="AD5" s="71">
        <f>ELEC!Q6</f>
        <v>0</v>
      </c>
      <c r="AE5" s="71" t="e">
        <f t="shared" ref="AE5:AE30" si="26">SUM(AD5/Z5)</f>
        <v>#DIV/0!</v>
      </c>
      <c r="AF5" s="342" t="e">
        <f t="shared" ref="AF5:AG30" si="27">SUM(AE5/1600)</f>
        <v>#DIV/0!</v>
      </c>
      <c r="AG5" s="343" t="e">
        <f>SUM(320*AF5)</f>
        <v>#DIV/0!</v>
      </c>
      <c r="AH5" s="343" t="e">
        <f t="shared" si="23"/>
        <v>#DIV/0!</v>
      </c>
      <c r="AI5" s="71">
        <f t="shared" ref="AI5:AI30" si="28">AD5*AJ5</f>
        <v>0</v>
      </c>
      <c r="AJ5" s="249">
        <f t="shared" si="9"/>
        <v>0.25738396624472576</v>
      </c>
      <c r="AK5" s="249" t="e">
        <f t="shared" si="10"/>
        <v>#DIV/0!</v>
      </c>
      <c r="AL5">
        <f t="shared" si="24"/>
        <v>0</v>
      </c>
    </row>
    <row r="6" spans="1:38" ht="15" thickBot="1">
      <c r="A6" s="4">
        <f>ELEC!C7</f>
        <v>44961</v>
      </c>
      <c r="B6" s="520">
        <f t="shared" ref="B6:B31" si="29">B5</f>
        <v>1995</v>
      </c>
      <c r="C6" s="247">
        <f>B6-B5</f>
        <v>0</v>
      </c>
      <c r="D6" s="441">
        <f t="shared" si="25"/>
        <v>830696</v>
      </c>
      <c r="E6" s="247">
        <f t="shared" si="12"/>
        <v>0</v>
      </c>
      <c r="F6" s="247">
        <f t="shared" si="0"/>
        <v>0</v>
      </c>
      <c r="G6" s="185"/>
      <c r="H6" s="238">
        <f t="shared" si="13"/>
        <v>12231</v>
      </c>
      <c r="I6" s="247" t="str">
        <f t="shared" si="1"/>
        <v>ok</v>
      </c>
      <c r="J6" s="440">
        <f t="shared" si="14"/>
        <v>148</v>
      </c>
      <c r="K6" s="247">
        <f t="shared" si="2"/>
        <v>0</v>
      </c>
      <c r="L6" s="441">
        <f>(K6*N5)+L5</f>
        <v>392441</v>
      </c>
      <c r="M6" s="247">
        <f t="shared" si="3"/>
        <v>0</v>
      </c>
      <c r="N6" s="247">
        <v>250</v>
      </c>
      <c r="O6" s="185"/>
      <c r="P6" s="248">
        <f t="shared" si="16"/>
        <v>10873</v>
      </c>
      <c r="Q6" s="247" t="str">
        <f t="shared" si="4"/>
        <v>ok</v>
      </c>
      <c r="R6" s="440">
        <f t="shared" si="17"/>
        <v>13920</v>
      </c>
      <c r="S6" s="247">
        <f t="shared" si="5"/>
        <v>0</v>
      </c>
      <c r="T6" s="441">
        <f t="shared" si="6"/>
        <v>419262</v>
      </c>
      <c r="U6" s="247">
        <f t="shared" si="7"/>
        <v>0</v>
      </c>
      <c r="V6" s="247">
        <v>250</v>
      </c>
      <c r="W6" s="185"/>
      <c r="X6" s="238">
        <f t="shared" si="18"/>
        <v>14773</v>
      </c>
      <c r="Y6" s="247" t="str">
        <f t="shared" si="19"/>
        <v>ok</v>
      </c>
      <c r="Z6" s="247">
        <f t="shared" si="8"/>
        <v>0</v>
      </c>
      <c r="AA6" s="247">
        <f t="shared" si="20"/>
        <v>0</v>
      </c>
      <c r="AB6" s="247">
        <f t="shared" si="21"/>
        <v>500</v>
      </c>
      <c r="AC6" s="247">
        <f t="shared" si="22"/>
        <v>0</v>
      </c>
      <c r="AD6" s="71">
        <f>ELEC!Q7</f>
        <v>0</v>
      </c>
      <c r="AE6" s="71" t="e">
        <f>SUM(AD6/Z6)</f>
        <v>#DIV/0!</v>
      </c>
      <c r="AF6" s="342" t="e">
        <f t="shared" si="27"/>
        <v>#DIV/0!</v>
      </c>
      <c r="AG6" s="343" t="e">
        <f>SUM(320*AF6)</f>
        <v>#DIV/0!</v>
      </c>
      <c r="AH6" s="343" t="e">
        <f t="shared" si="23"/>
        <v>#DIV/0!</v>
      </c>
      <c r="AI6" s="71">
        <f t="shared" si="28"/>
        <v>0</v>
      </c>
      <c r="AJ6" s="249">
        <f t="shared" si="9"/>
        <v>0.25738396624472576</v>
      </c>
      <c r="AK6" s="249" t="e">
        <f t="shared" si="10"/>
        <v>#DIV/0!</v>
      </c>
      <c r="AL6">
        <f t="shared" si="24"/>
        <v>0</v>
      </c>
    </row>
    <row r="7" spans="1:38" ht="15" thickBot="1">
      <c r="A7" s="4">
        <f>ELEC!C8</f>
        <v>44962</v>
      </c>
      <c r="B7" s="520">
        <v>2007</v>
      </c>
      <c r="C7" s="247">
        <f t="shared" si="11"/>
        <v>12</v>
      </c>
      <c r="D7" s="441">
        <f t="shared" si="25"/>
        <v>831716</v>
      </c>
      <c r="E7" s="247">
        <f t="shared" si="12"/>
        <v>1020</v>
      </c>
      <c r="F7" s="247">
        <f t="shared" si="0"/>
        <v>85</v>
      </c>
      <c r="G7" s="185"/>
      <c r="H7" s="238">
        <f t="shared" si="13"/>
        <v>12231</v>
      </c>
      <c r="I7" s="247" t="str">
        <f t="shared" si="1"/>
        <v>ok</v>
      </c>
      <c r="J7" s="440">
        <f t="shared" si="14"/>
        <v>148</v>
      </c>
      <c r="K7" s="247"/>
      <c r="L7" s="441">
        <f t="shared" ref="L7:L31" si="30">(K7*N6)+L6</f>
        <v>392441</v>
      </c>
      <c r="M7" s="247">
        <f t="shared" si="3"/>
        <v>0</v>
      </c>
      <c r="N7" s="247">
        <v>250</v>
      </c>
      <c r="O7" s="185"/>
      <c r="P7" s="248">
        <f t="shared" si="16"/>
        <v>10873</v>
      </c>
      <c r="Q7" s="247" t="str">
        <f>IF(J7-P7&lt;=0,"ok","oil change")</f>
        <v>ok</v>
      </c>
      <c r="R7" s="440">
        <f t="shared" si="17"/>
        <v>13920</v>
      </c>
      <c r="S7" s="247">
        <f t="shared" si="5"/>
        <v>0</v>
      </c>
      <c r="T7" s="441">
        <f t="shared" si="6"/>
        <v>419262</v>
      </c>
      <c r="U7" s="247">
        <f>V7*S7</f>
        <v>0</v>
      </c>
      <c r="V7" s="247">
        <v>250</v>
      </c>
      <c r="W7" s="185"/>
      <c r="X7" s="238">
        <f t="shared" si="18"/>
        <v>14773</v>
      </c>
      <c r="Y7" s="247" t="str">
        <f>IF(R7-X7&lt;=0,"ok","oil change")</f>
        <v>ok</v>
      </c>
      <c r="Z7" s="247">
        <f t="shared" si="8"/>
        <v>12</v>
      </c>
      <c r="AA7" s="247">
        <f>U7+M7+E7</f>
        <v>1020</v>
      </c>
      <c r="AB7" s="247">
        <f t="shared" si="21"/>
        <v>585</v>
      </c>
      <c r="AC7" s="247">
        <f t="shared" si="22"/>
        <v>85</v>
      </c>
      <c r="AD7" s="71">
        <f>ELEC!Q8</f>
        <v>2802.9999999998836</v>
      </c>
      <c r="AE7" s="71">
        <f t="shared" si="26"/>
        <v>233.58333333332362</v>
      </c>
      <c r="AF7" s="342">
        <f t="shared" si="27"/>
        <v>0.14598958333332726</v>
      </c>
      <c r="AG7" s="342">
        <f t="shared" si="27"/>
        <v>9.1243489583329532E-5</v>
      </c>
      <c r="AH7" s="343">
        <f t="shared" si="23"/>
        <v>84.999908756510422</v>
      </c>
      <c r="AI7" s="71">
        <f t="shared" si="28"/>
        <v>721.44725738393629</v>
      </c>
      <c r="AJ7" s="249">
        <f t="shared" si="9"/>
        <v>0.25738396624472576</v>
      </c>
      <c r="AK7" s="249">
        <f t="shared" si="10"/>
        <v>60.120604781994693</v>
      </c>
      <c r="AL7">
        <f t="shared" si="24"/>
        <v>1</v>
      </c>
    </row>
    <row r="8" spans="1:38" ht="15" thickBot="1">
      <c r="A8" s="4">
        <f>ELEC!C9</f>
        <v>44963</v>
      </c>
      <c r="B8" s="520">
        <v>2020</v>
      </c>
      <c r="C8" s="247">
        <f t="shared" si="11"/>
        <v>13</v>
      </c>
      <c r="D8" s="441">
        <f t="shared" si="25"/>
        <v>832821</v>
      </c>
      <c r="E8" s="247">
        <f t="shared" si="12"/>
        <v>1105</v>
      </c>
      <c r="F8" s="247">
        <f t="shared" si="0"/>
        <v>85</v>
      </c>
      <c r="G8" s="185"/>
      <c r="H8" s="238">
        <f t="shared" si="13"/>
        <v>12231</v>
      </c>
      <c r="I8" s="247" t="str">
        <f>IF(B8-H8&lt;=0,"ok","oil change")</f>
        <v>ok</v>
      </c>
      <c r="J8" s="440">
        <f t="shared" si="14"/>
        <v>148</v>
      </c>
      <c r="K8" s="247">
        <f t="shared" si="2"/>
        <v>0</v>
      </c>
      <c r="L8" s="441">
        <f t="shared" si="30"/>
        <v>392441</v>
      </c>
      <c r="M8" s="247">
        <f t="shared" si="3"/>
        <v>0</v>
      </c>
      <c r="N8" s="247">
        <v>250</v>
      </c>
      <c r="O8" s="185"/>
      <c r="P8" s="248">
        <f t="shared" si="16"/>
        <v>10873</v>
      </c>
      <c r="Q8" s="247" t="str">
        <f t="shared" si="4"/>
        <v>ok</v>
      </c>
      <c r="R8" s="440">
        <f t="shared" si="17"/>
        <v>13920</v>
      </c>
      <c r="S8" s="247">
        <f t="shared" si="5"/>
        <v>0</v>
      </c>
      <c r="T8" s="441">
        <f t="shared" si="6"/>
        <v>419262</v>
      </c>
      <c r="U8" s="247">
        <f t="shared" si="7"/>
        <v>0</v>
      </c>
      <c r="V8" s="247">
        <v>250</v>
      </c>
      <c r="W8" s="185"/>
      <c r="X8" s="238">
        <f t="shared" si="18"/>
        <v>14773</v>
      </c>
      <c r="Y8" s="247" t="str">
        <f t="shared" si="19"/>
        <v>ok</v>
      </c>
      <c r="Z8" s="247">
        <f>C8+K8+S8</f>
        <v>13</v>
      </c>
      <c r="AA8" s="247">
        <f t="shared" si="20"/>
        <v>1105</v>
      </c>
      <c r="AB8" s="247">
        <f t="shared" si="21"/>
        <v>585</v>
      </c>
      <c r="AC8" s="247">
        <f t="shared" si="22"/>
        <v>85</v>
      </c>
      <c r="AD8" s="71">
        <f>ELEC!Q9</f>
        <v>3344.0000000009604</v>
      </c>
      <c r="AE8" s="71">
        <f>SUM(AD8/Z8)</f>
        <v>257.23076923084312</v>
      </c>
      <c r="AF8" s="342">
        <f t="shared" si="27"/>
        <v>0.16076923076927696</v>
      </c>
      <c r="AG8" s="342">
        <f t="shared" si="27"/>
        <v>1.004807692307981E-4</v>
      </c>
      <c r="AH8" s="343">
        <f t="shared" si="23"/>
        <v>84.999899519230766</v>
      </c>
      <c r="AI8" s="71">
        <f t="shared" si="28"/>
        <v>860.69198312261017</v>
      </c>
      <c r="AJ8" s="249">
        <f t="shared" si="9"/>
        <v>0.25738396624472576</v>
      </c>
      <c r="AK8" s="249">
        <f t="shared" si="10"/>
        <v>66.20707562481617</v>
      </c>
      <c r="AL8">
        <f t="shared" si="24"/>
        <v>1</v>
      </c>
    </row>
    <row r="9" spans="1:38" ht="15" thickBot="1">
      <c r="A9" s="4">
        <f>ELEC!C10</f>
        <v>44964</v>
      </c>
      <c r="B9" s="520">
        <v>2034</v>
      </c>
      <c r="C9" s="247">
        <f t="shared" si="11"/>
        <v>14</v>
      </c>
      <c r="D9" s="441">
        <f t="shared" si="25"/>
        <v>834011</v>
      </c>
      <c r="E9" s="247">
        <f t="shared" si="12"/>
        <v>1190</v>
      </c>
      <c r="F9" s="247">
        <f t="shared" si="0"/>
        <v>85</v>
      </c>
      <c r="G9" s="185"/>
      <c r="H9" s="238">
        <f t="shared" si="13"/>
        <v>12231</v>
      </c>
      <c r="I9" s="247" t="str">
        <f t="shared" si="1"/>
        <v>ok</v>
      </c>
      <c r="J9" s="440">
        <f t="shared" si="14"/>
        <v>148</v>
      </c>
      <c r="K9" s="247">
        <f t="shared" si="2"/>
        <v>0</v>
      </c>
      <c r="L9" s="441">
        <f t="shared" si="30"/>
        <v>392441</v>
      </c>
      <c r="M9" s="247">
        <f t="shared" si="3"/>
        <v>0</v>
      </c>
      <c r="N9" s="247">
        <v>250</v>
      </c>
      <c r="O9" s="185"/>
      <c r="P9" s="248">
        <f t="shared" si="16"/>
        <v>10873</v>
      </c>
      <c r="Q9" s="247" t="str">
        <f t="shared" si="4"/>
        <v>ok</v>
      </c>
      <c r="R9" s="440">
        <f t="shared" si="17"/>
        <v>13920</v>
      </c>
      <c r="S9" s="247">
        <f t="shared" si="5"/>
        <v>0</v>
      </c>
      <c r="T9" s="441">
        <f t="shared" ref="T9:T31" si="31">T8+U9</f>
        <v>419262</v>
      </c>
      <c r="U9" s="247">
        <f t="shared" ref="U9:U30" si="32">V9*S9</f>
        <v>0</v>
      </c>
      <c r="V9" s="247">
        <v>250</v>
      </c>
      <c r="W9" s="185"/>
      <c r="X9" s="238">
        <f t="shared" si="18"/>
        <v>14773</v>
      </c>
      <c r="Y9" s="247" t="str">
        <f t="shared" si="19"/>
        <v>ok</v>
      </c>
      <c r="Z9" s="247">
        <f t="shared" si="8"/>
        <v>14</v>
      </c>
      <c r="AA9" s="247">
        <f t="shared" si="20"/>
        <v>1190</v>
      </c>
      <c r="AB9" s="247">
        <f t="shared" si="21"/>
        <v>585</v>
      </c>
      <c r="AC9" s="247">
        <f t="shared" si="22"/>
        <v>85</v>
      </c>
      <c r="AD9" s="71">
        <f>ELEC!Q10</f>
        <v>3792.0000000012806</v>
      </c>
      <c r="AE9" s="71">
        <f t="shared" si="26"/>
        <v>270.85714285723435</v>
      </c>
      <c r="AF9" s="342">
        <f t="shared" si="27"/>
        <v>0.16928571428577147</v>
      </c>
      <c r="AG9" s="342">
        <f t="shared" si="27"/>
        <v>1.0580357142860717E-4</v>
      </c>
      <c r="AH9" s="343">
        <f t="shared" si="23"/>
        <v>84.999894196428571</v>
      </c>
      <c r="AI9" s="71">
        <f t="shared" si="28"/>
        <v>976.00000000032969</v>
      </c>
      <c r="AJ9" s="249">
        <f t="shared" si="9"/>
        <v>0.25738396624472576</v>
      </c>
      <c r="AK9" s="249">
        <f t="shared" si="10"/>
        <v>69.71428571430927</v>
      </c>
      <c r="AL9">
        <f t="shared" si="24"/>
        <v>1</v>
      </c>
    </row>
    <row r="10" spans="1:38" ht="15" thickBot="1">
      <c r="A10" s="4">
        <f>ELEC!C11</f>
        <v>44965</v>
      </c>
      <c r="B10" s="520">
        <v>2044</v>
      </c>
      <c r="C10" s="247">
        <f t="shared" si="11"/>
        <v>10</v>
      </c>
      <c r="D10" s="441">
        <f t="shared" si="25"/>
        <v>834861</v>
      </c>
      <c r="E10" s="247">
        <f>SUM(D10-D9)</f>
        <v>850</v>
      </c>
      <c r="F10" s="247">
        <f t="shared" si="0"/>
        <v>85</v>
      </c>
      <c r="G10" s="185"/>
      <c r="H10" s="238">
        <f t="shared" si="13"/>
        <v>12231</v>
      </c>
      <c r="I10" s="247" t="str">
        <f>IF(B10-H10&lt;=0,"ok","oil change")</f>
        <v>ok</v>
      </c>
      <c r="J10" s="440">
        <f t="shared" si="14"/>
        <v>148</v>
      </c>
      <c r="K10" s="247">
        <f t="shared" si="2"/>
        <v>0</v>
      </c>
      <c r="L10" s="441">
        <f t="shared" si="30"/>
        <v>392441</v>
      </c>
      <c r="M10" s="247">
        <f t="shared" si="3"/>
        <v>0</v>
      </c>
      <c r="N10" s="247">
        <v>250</v>
      </c>
      <c r="O10" s="185"/>
      <c r="P10" s="248">
        <f t="shared" si="16"/>
        <v>10873</v>
      </c>
      <c r="Q10" s="247" t="str">
        <f t="shared" si="4"/>
        <v>ok</v>
      </c>
      <c r="R10" s="440">
        <f t="shared" si="17"/>
        <v>13920</v>
      </c>
      <c r="S10" s="247">
        <f t="shared" si="5"/>
        <v>0</v>
      </c>
      <c r="T10" s="441">
        <f t="shared" si="31"/>
        <v>419262</v>
      </c>
      <c r="U10" s="247">
        <f t="shared" si="32"/>
        <v>0</v>
      </c>
      <c r="V10" s="247">
        <v>250</v>
      </c>
      <c r="W10" s="185"/>
      <c r="X10" s="238">
        <f t="shared" si="18"/>
        <v>14773</v>
      </c>
      <c r="Y10" s="247" t="str">
        <f t="shared" si="19"/>
        <v>ok</v>
      </c>
      <c r="Z10" s="247">
        <f t="shared" si="8"/>
        <v>10</v>
      </c>
      <c r="AA10" s="247">
        <f t="shared" si="20"/>
        <v>850</v>
      </c>
      <c r="AB10" s="247">
        <f t="shared" si="21"/>
        <v>585</v>
      </c>
      <c r="AC10" s="247">
        <f t="shared" si="22"/>
        <v>85</v>
      </c>
      <c r="AD10" s="71">
        <f>ELEC!Q11</f>
        <v>3497.9999999995925</v>
      </c>
      <c r="AE10" s="71">
        <f t="shared" si="26"/>
        <v>349.79999999995925</v>
      </c>
      <c r="AF10" s="342">
        <f t="shared" si="27"/>
        <v>0.21862499999997453</v>
      </c>
      <c r="AG10" s="342">
        <f t="shared" si="27"/>
        <v>1.3664062499998408E-4</v>
      </c>
      <c r="AH10" s="343">
        <f t="shared" si="23"/>
        <v>84.999863359374999</v>
      </c>
      <c r="AI10" s="71">
        <f t="shared" si="28"/>
        <v>900.32911392394578</v>
      </c>
      <c r="AJ10" s="249">
        <f t="shared" si="9"/>
        <v>0.25738396624472576</v>
      </c>
      <c r="AK10" s="249">
        <f t="shared" si="10"/>
        <v>90.032911392394581</v>
      </c>
      <c r="AL10">
        <f t="shared" si="24"/>
        <v>1</v>
      </c>
    </row>
    <row r="11" spans="1:38" ht="15" thickBot="1">
      <c r="A11" s="4">
        <f>ELEC!C12</f>
        <v>44966</v>
      </c>
      <c r="B11" s="520">
        <f t="shared" si="29"/>
        <v>2044</v>
      </c>
      <c r="C11" s="247">
        <f t="shared" si="11"/>
        <v>0</v>
      </c>
      <c r="D11" s="441">
        <f t="shared" si="25"/>
        <v>834861</v>
      </c>
      <c r="E11" s="247">
        <f t="shared" si="12"/>
        <v>0</v>
      </c>
      <c r="F11" s="247">
        <f>IF(C11&gt;0,E11/C11,0)</f>
        <v>0</v>
      </c>
      <c r="G11" s="185"/>
      <c r="H11" s="238">
        <f t="shared" si="13"/>
        <v>12231</v>
      </c>
      <c r="I11" s="247" t="str">
        <f t="shared" si="1"/>
        <v>ok</v>
      </c>
      <c r="J11" s="440">
        <f t="shared" si="14"/>
        <v>148</v>
      </c>
      <c r="K11" s="247">
        <f t="shared" si="2"/>
        <v>0</v>
      </c>
      <c r="L11" s="441">
        <f t="shared" si="30"/>
        <v>392441</v>
      </c>
      <c r="M11" s="247">
        <f t="shared" si="3"/>
        <v>0</v>
      </c>
      <c r="N11" s="247">
        <v>250</v>
      </c>
      <c r="O11" s="185"/>
      <c r="P11" s="248">
        <f t="shared" si="16"/>
        <v>10873</v>
      </c>
      <c r="Q11" s="247" t="str">
        <f t="shared" si="4"/>
        <v>ok</v>
      </c>
      <c r="R11" s="440">
        <f t="shared" si="17"/>
        <v>13920</v>
      </c>
      <c r="S11" s="247">
        <f t="shared" si="5"/>
        <v>0</v>
      </c>
      <c r="T11" s="441">
        <f t="shared" si="31"/>
        <v>419262</v>
      </c>
      <c r="U11" s="247">
        <f t="shared" si="32"/>
        <v>0</v>
      </c>
      <c r="V11" s="247">
        <v>250</v>
      </c>
      <c r="W11" s="185"/>
      <c r="X11" s="238">
        <f t="shared" si="18"/>
        <v>14773</v>
      </c>
      <c r="Y11" s="247" t="str">
        <f t="shared" si="19"/>
        <v>ok</v>
      </c>
      <c r="Z11" s="247">
        <f t="shared" si="8"/>
        <v>0</v>
      </c>
      <c r="AA11" s="247">
        <f t="shared" si="20"/>
        <v>0</v>
      </c>
      <c r="AB11" s="247">
        <f t="shared" si="21"/>
        <v>500</v>
      </c>
      <c r="AC11" s="247">
        <f t="shared" si="22"/>
        <v>0</v>
      </c>
      <c r="AD11" s="71">
        <f>ELEC!Q12</f>
        <v>0</v>
      </c>
      <c r="AE11" s="71" t="e">
        <f t="shared" si="26"/>
        <v>#DIV/0!</v>
      </c>
      <c r="AF11" s="342" t="e">
        <f t="shared" si="27"/>
        <v>#DIV/0!</v>
      </c>
      <c r="AG11" s="342" t="e">
        <f t="shared" si="27"/>
        <v>#DIV/0!</v>
      </c>
      <c r="AH11" s="343" t="e">
        <f t="shared" si="23"/>
        <v>#DIV/0!</v>
      </c>
      <c r="AI11" s="71">
        <f t="shared" si="28"/>
        <v>0</v>
      </c>
      <c r="AJ11" s="249">
        <f t="shared" si="9"/>
        <v>0.25738396624472576</v>
      </c>
      <c r="AK11" s="249" t="e">
        <f t="shared" si="10"/>
        <v>#DIV/0!</v>
      </c>
      <c r="AL11">
        <f t="shared" si="24"/>
        <v>0</v>
      </c>
    </row>
    <row r="12" spans="1:38" ht="15" thickBot="1">
      <c r="A12" s="4">
        <f>ELEC!C13</f>
        <v>44967</v>
      </c>
      <c r="B12" s="520">
        <f t="shared" si="29"/>
        <v>2044</v>
      </c>
      <c r="C12" s="247">
        <f t="shared" si="11"/>
        <v>0</v>
      </c>
      <c r="D12" s="441">
        <f t="shared" si="25"/>
        <v>834861</v>
      </c>
      <c r="E12" s="247">
        <f t="shared" si="12"/>
        <v>0</v>
      </c>
      <c r="F12" s="247">
        <f t="shared" si="0"/>
        <v>0</v>
      </c>
      <c r="G12" s="185"/>
      <c r="H12" s="238">
        <f t="shared" si="13"/>
        <v>12231</v>
      </c>
      <c r="I12" s="247" t="str">
        <f t="shared" si="1"/>
        <v>ok</v>
      </c>
      <c r="J12" s="440">
        <f t="shared" si="14"/>
        <v>148</v>
      </c>
      <c r="K12" s="247">
        <f t="shared" si="2"/>
        <v>0</v>
      </c>
      <c r="L12" s="441">
        <f t="shared" si="30"/>
        <v>392441</v>
      </c>
      <c r="M12" s="247">
        <f t="shared" si="3"/>
        <v>0</v>
      </c>
      <c r="N12" s="247">
        <v>250</v>
      </c>
      <c r="O12" s="185"/>
      <c r="P12" s="248">
        <f t="shared" si="16"/>
        <v>10873</v>
      </c>
      <c r="Q12" s="247" t="str">
        <f t="shared" si="4"/>
        <v>ok</v>
      </c>
      <c r="R12" s="440">
        <f t="shared" si="17"/>
        <v>13920</v>
      </c>
      <c r="S12" s="247">
        <f t="shared" si="5"/>
        <v>0</v>
      </c>
      <c r="T12" s="441">
        <f>T11+U12</f>
        <v>419262</v>
      </c>
      <c r="U12" s="247">
        <f>V12*S12</f>
        <v>0</v>
      </c>
      <c r="V12" s="247">
        <v>250</v>
      </c>
      <c r="W12" s="185"/>
      <c r="X12" s="238">
        <f t="shared" si="18"/>
        <v>14773</v>
      </c>
      <c r="Y12" s="247" t="str">
        <f t="shared" si="19"/>
        <v>ok</v>
      </c>
      <c r="Z12" s="247">
        <f t="shared" si="8"/>
        <v>0</v>
      </c>
      <c r="AA12" s="247">
        <f t="shared" si="20"/>
        <v>0</v>
      </c>
      <c r="AB12" s="247">
        <f t="shared" si="21"/>
        <v>500</v>
      </c>
      <c r="AC12" s="247">
        <f t="shared" si="22"/>
        <v>0</v>
      </c>
      <c r="AD12" s="71">
        <f>ELEC!Q13</f>
        <v>0</v>
      </c>
      <c r="AE12" s="71" t="e">
        <f t="shared" si="26"/>
        <v>#DIV/0!</v>
      </c>
      <c r="AF12" s="342" t="e">
        <f t="shared" si="27"/>
        <v>#DIV/0!</v>
      </c>
      <c r="AG12" s="342" t="e">
        <f t="shared" si="27"/>
        <v>#DIV/0!</v>
      </c>
      <c r="AH12" s="343" t="e">
        <f t="shared" si="23"/>
        <v>#DIV/0!</v>
      </c>
      <c r="AI12" s="71">
        <f t="shared" si="28"/>
        <v>0</v>
      </c>
      <c r="AJ12" s="249">
        <f t="shared" si="9"/>
        <v>0.25738396624472576</v>
      </c>
      <c r="AK12" s="249" t="e">
        <f t="shared" si="10"/>
        <v>#DIV/0!</v>
      </c>
      <c r="AL12">
        <f t="shared" si="24"/>
        <v>0</v>
      </c>
    </row>
    <row r="13" spans="1:38" ht="15" thickBot="1">
      <c r="A13" s="4">
        <f>ELEC!C14</f>
        <v>44968</v>
      </c>
      <c r="B13" s="520">
        <f t="shared" si="29"/>
        <v>2044</v>
      </c>
      <c r="C13" s="247">
        <f t="shared" si="11"/>
        <v>0</v>
      </c>
      <c r="D13" s="441">
        <f t="shared" si="25"/>
        <v>834861</v>
      </c>
      <c r="E13" s="247">
        <f t="shared" si="12"/>
        <v>0</v>
      </c>
      <c r="F13" s="247">
        <f t="shared" si="0"/>
        <v>0</v>
      </c>
      <c r="G13" s="185"/>
      <c r="H13" s="238">
        <f t="shared" si="13"/>
        <v>12231</v>
      </c>
      <c r="I13" s="247" t="str">
        <f t="shared" si="1"/>
        <v>ok</v>
      </c>
      <c r="J13" s="440">
        <f t="shared" si="14"/>
        <v>148</v>
      </c>
      <c r="K13" s="247">
        <f t="shared" si="2"/>
        <v>0</v>
      </c>
      <c r="L13" s="441">
        <f t="shared" si="30"/>
        <v>392441</v>
      </c>
      <c r="M13" s="247">
        <f t="shared" si="3"/>
        <v>0</v>
      </c>
      <c r="N13" s="247">
        <v>250</v>
      </c>
      <c r="O13" s="185"/>
      <c r="P13" s="248">
        <f t="shared" si="16"/>
        <v>10873</v>
      </c>
      <c r="Q13" s="247" t="str">
        <f t="shared" si="4"/>
        <v>ok</v>
      </c>
      <c r="R13" s="440">
        <f t="shared" si="17"/>
        <v>13920</v>
      </c>
      <c r="S13" s="247">
        <f t="shared" si="5"/>
        <v>0</v>
      </c>
      <c r="T13" s="441">
        <f t="shared" si="31"/>
        <v>419262</v>
      </c>
      <c r="U13" s="247">
        <f t="shared" si="32"/>
        <v>0</v>
      </c>
      <c r="V13" s="247">
        <v>250</v>
      </c>
      <c r="W13" s="185"/>
      <c r="X13" s="238">
        <f t="shared" si="18"/>
        <v>14773</v>
      </c>
      <c r="Y13" s="247" t="str">
        <f t="shared" si="19"/>
        <v>ok</v>
      </c>
      <c r="Z13" s="247">
        <f t="shared" si="8"/>
        <v>0</v>
      </c>
      <c r="AA13" s="247">
        <f t="shared" si="20"/>
        <v>0</v>
      </c>
      <c r="AB13" s="247">
        <f t="shared" si="21"/>
        <v>500</v>
      </c>
      <c r="AC13" s="247">
        <f t="shared" si="22"/>
        <v>0</v>
      </c>
      <c r="AD13" s="71">
        <f>ELEC!Q14</f>
        <v>0</v>
      </c>
      <c r="AE13" s="71" t="e">
        <f t="shared" si="26"/>
        <v>#DIV/0!</v>
      </c>
      <c r="AF13" s="342" t="e">
        <f t="shared" si="27"/>
        <v>#DIV/0!</v>
      </c>
      <c r="AG13" s="342" t="e">
        <f t="shared" si="27"/>
        <v>#DIV/0!</v>
      </c>
      <c r="AH13" s="343" t="e">
        <f t="shared" si="23"/>
        <v>#DIV/0!</v>
      </c>
      <c r="AI13" s="71">
        <f t="shared" si="28"/>
        <v>0</v>
      </c>
      <c r="AJ13" s="249">
        <f t="shared" si="9"/>
        <v>0.25738396624472576</v>
      </c>
      <c r="AK13" s="249" t="e">
        <f t="shared" si="10"/>
        <v>#DIV/0!</v>
      </c>
      <c r="AL13">
        <f t="shared" si="24"/>
        <v>0</v>
      </c>
    </row>
    <row r="14" spans="1:38" ht="15" thickBot="1">
      <c r="A14" s="4">
        <f>ELEC!C15</f>
        <v>44969</v>
      </c>
      <c r="B14" s="520">
        <v>2052</v>
      </c>
      <c r="C14" s="247">
        <f t="shared" si="11"/>
        <v>8</v>
      </c>
      <c r="D14" s="441">
        <f t="shared" si="25"/>
        <v>835541</v>
      </c>
      <c r="E14" s="247">
        <f t="shared" si="12"/>
        <v>680</v>
      </c>
      <c r="F14" s="247">
        <f t="shared" si="0"/>
        <v>85</v>
      </c>
      <c r="G14" s="185"/>
      <c r="H14" s="238">
        <f t="shared" si="13"/>
        <v>12231</v>
      </c>
      <c r="I14" s="247" t="str">
        <f t="shared" si="1"/>
        <v>ok</v>
      </c>
      <c r="J14" s="440">
        <f t="shared" si="14"/>
        <v>148</v>
      </c>
      <c r="K14" s="247">
        <f t="shared" si="2"/>
        <v>0</v>
      </c>
      <c r="L14" s="441">
        <f t="shared" si="30"/>
        <v>392441</v>
      </c>
      <c r="M14" s="247">
        <f t="shared" si="3"/>
        <v>0</v>
      </c>
      <c r="N14" s="247">
        <v>250</v>
      </c>
      <c r="O14" s="185"/>
      <c r="P14" s="248">
        <f t="shared" si="16"/>
        <v>10873</v>
      </c>
      <c r="Q14" s="247" t="str">
        <f t="shared" si="4"/>
        <v>ok</v>
      </c>
      <c r="R14" s="440">
        <f t="shared" si="17"/>
        <v>13920</v>
      </c>
      <c r="S14" s="247">
        <f t="shared" si="5"/>
        <v>0</v>
      </c>
      <c r="T14" s="441">
        <f t="shared" si="31"/>
        <v>419262</v>
      </c>
      <c r="U14" s="247">
        <f t="shared" si="32"/>
        <v>0</v>
      </c>
      <c r="V14" s="247">
        <v>250</v>
      </c>
      <c r="W14" s="185"/>
      <c r="X14" s="238">
        <f t="shared" si="18"/>
        <v>14773</v>
      </c>
      <c r="Y14" s="247" t="str">
        <f t="shared" si="19"/>
        <v>ok</v>
      </c>
      <c r="Z14" s="247">
        <f t="shared" si="8"/>
        <v>8</v>
      </c>
      <c r="AA14" s="247">
        <f t="shared" si="20"/>
        <v>680</v>
      </c>
      <c r="AB14" s="247">
        <f t="shared" si="21"/>
        <v>585</v>
      </c>
      <c r="AC14" s="247">
        <f t="shared" si="22"/>
        <v>85</v>
      </c>
      <c r="AD14" s="71">
        <f>ELEC!Q15</f>
        <v>2252.0000000004075</v>
      </c>
      <c r="AE14" s="71">
        <f t="shared" si="26"/>
        <v>281.50000000005093</v>
      </c>
      <c r="AF14" s="342">
        <f t="shared" si="27"/>
        <v>0.17593750000003183</v>
      </c>
      <c r="AG14" s="342">
        <f t="shared" si="27"/>
        <v>1.099609375000199E-4</v>
      </c>
      <c r="AH14" s="343">
        <f t="shared" si="23"/>
        <v>84.999890039062507</v>
      </c>
      <c r="AI14" s="71">
        <f t="shared" si="28"/>
        <v>579.62869198322733</v>
      </c>
      <c r="AJ14" s="249">
        <f t="shared" si="9"/>
        <v>0.25738396624472576</v>
      </c>
      <c r="AK14" s="249">
        <f t="shared" si="10"/>
        <v>72.453586497903416</v>
      </c>
      <c r="AL14">
        <f t="shared" si="24"/>
        <v>1</v>
      </c>
    </row>
    <row r="15" spans="1:38" ht="15" thickBot="1">
      <c r="A15" s="4">
        <f>ELEC!C16</f>
        <v>44970</v>
      </c>
      <c r="B15" s="520">
        <v>2063</v>
      </c>
      <c r="C15" s="247">
        <f t="shared" si="11"/>
        <v>11</v>
      </c>
      <c r="D15" s="441">
        <f t="shared" si="25"/>
        <v>836476</v>
      </c>
      <c r="E15" s="247">
        <f t="shared" si="12"/>
        <v>935</v>
      </c>
      <c r="F15" s="247">
        <f t="shared" si="0"/>
        <v>85</v>
      </c>
      <c r="G15" s="185"/>
      <c r="H15" s="238">
        <f t="shared" si="13"/>
        <v>12231</v>
      </c>
      <c r="I15" s="247" t="str">
        <f t="shared" si="1"/>
        <v>ok</v>
      </c>
      <c r="J15" s="440">
        <v>149</v>
      </c>
      <c r="K15" s="247">
        <f t="shared" si="2"/>
        <v>1</v>
      </c>
      <c r="L15" s="441">
        <f t="shared" si="30"/>
        <v>392691</v>
      </c>
      <c r="M15" s="247">
        <f t="shared" si="3"/>
        <v>250</v>
      </c>
      <c r="N15" s="247">
        <v>250</v>
      </c>
      <c r="O15" s="185"/>
      <c r="P15" s="248">
        <f t="shared" si="16"/>
        <v>10873</v>
      </c>
      <c r="Q15" s="247" t="str">
        <f t="shared" si="4"/>
        <v>ok</v>
      </c>
      <c r="R15" s="440">
        <f t="shared" si="17"/>
        <v>13920</v>
      </c>
      <c r="S15" s="247">
        <f t="shared" si="5"/>
        <v>0</v>
      </c>
      <c r="T15" s="441">
        <f t="shared" si="31"/>
        <v>419262</v>
      </c>
      <c r="U15" s="247">
        <f t="shared" si="32"/>
        <v>0</v>
      </c>
      <c r="V15" s="247">
        <v>250</v>
      </c>
      <c r="W15" s="185"/>
      <c r="X15" s="238">
        <f t="shared" si="18"/>
        <v>14773</v>
      </c>
      <c r="Y15" s="247" t="str">
        <f t="shared" si="19"/>
        <v>ok</v>
      </c>
      <c r="Z15" s="247">
        <f t="shared" si="8"/>
        <v>12</v>
      </c>
      <c r="AA15" s="247">
        <f t="shared" si="20"/>
        <v>1185</v>
      </c>
      <c r="AB15" s="247">
        <f t="shared" si="21"/>
        <v>585</v>
      </c>
      <c r="AC15" s="247">
        <f t="shared" si="22"/>
        <v>98.75</v>
      </c>
      <c r="AD15" s="71">
        <f>ELEC!Q16</f>
        <v>2771.999999997206</v>
      </c>
      <c r="AE15" s="71">
        <f t="shared" si="26"/>
        <v>230.99999999976717</v>
      </c>
      <c r="AF15" s="342">
        <f t="shared" si="27"/>
        <v>0.14437499999985448</v>
      </c>
      <c r="AG15" s="342">
        <f t="shared" si="27"/>
        <v>9.0234374999909045E-5</v>
      </c>
      <c r="AH15" s="343">
        <f t="shared" si="23"/>
        <v>98.749909765625006</v>
      </c>
      <c r="AI15" s="71">
        <f t="shared" si="28"/>
        <v>713.46835442966074</v>
      </c>
      <c r="AJ15" s="249">
        <f t="shared" si="9"/>
        <v>0.25738396624472576</v>
      </c>
      <c r="AK15" s="249">
        <f t="shared" si="10"/>
        <v>59.455696202471728</v>
      </c>
      <c r="AL15">
        <f t="shared" si="24"/>
        <v>1</v>
      </c>
    </row>
    <row r="16" spans="1:38" ht="15" thickBot="1">
      <c r="A16" s="4">
        <f>ELEC!C17</f>
        <v>44971</v>
      </c>
      <c r="B16" s="520">
        <v>2072</v>
      </c>
      <c r="C16" s="247">
        <f t="shared" si="11"/>
        <v>9</v>
      </c>
      <c r="D16" s="441">
        <f t="shared" si="25"/>
        <v>837241</v>
      </c>
      <c r="E16" s="247">
        <f t="shared" si="12"/>
        <v>765</v>
      </c>
      <c r="F16" s="247">
        <f t="shared" si="0"/>
        <v>85</v>
      </c>
      <c r="G16" s="185"/>
      <c r="H16" s="238">
        <f t="shared" si="13"/>
        <v>12231</v>
      </c>
      <c r="I16" s="247" t="str">
        <f t="shared" si="1"/>
        <v>ok</v>
      </c>
      <c r="J16" s="440">
        <f t="shared" si="14"/>
        <v>149</v>
      </c>
      <c r="K16" s="247">
        <f t="shared" si="2"/>
        <v>0</v>
      </c>
      <c r="L16" s="441">
        <f t="shared" si="30"/>
        <v>392691</v>
      </c>
      <c r="M16" s="247">
        <f t="shared" si="3"/>
        <v>0</v>
      </c>
      <c r="N16" s="247">
        <v>250</v>
      </c>
      <c r="O16" s="185"/>
      <c r="P16" s="248">
        <f t="shared" si="16"/>
        <v>10873</v>
      </c>
      <c r="Q16" s="247" t="str">
        <f t="shared" si="4"/>
        <v>ok</v>
      </c>
      <c r="R16" s="440">
        <f t="shared" si="17"/>
        <v>13920</v>
      </c>
      <c r="S16" s="247">
        <f t="shared" si="5"/>
        <v>0</v>
      </c>
      <c r="T16" s="441">
        <f t="shared" si="31"/>
        <v>419262</v>
      </c>
      <c r="U16" s="247">
        <f t="shared" si="32"/>
        <v>0</v>
      </c>
      <c r="V16" s="247">
        <v>250</v>
      </c>
      <c r="W16" s="185"/>
      <c r="X16" s="238">
        <f t="shared" si="18"/>
        <v>14773</v>
      </c>
      <c r="Y16" s="247" t="str">
        <f t="shared" si="19"/>
        <v>ok</v>
      </c>
      <c r="Z16" s="247">
        <f t="shared" si="8"/>
        <v>9</v>
      </c>
      <c r="AA16" s="247">
        <f t="shared" si="20"/>
        <v>765</v>
      </c>
      <c r="AB16" s="247">
        <f t="shared" si="21"/>
        <v>585</v>
      </c>
      <c r="AC16" s="247">
        <f t="shared" si="22"/>
        <v>85</v>
      </c>
      <c r="AD16" s="71">
        <f>ELEC!Q17</f>
        <v>2318.9999999995052</v>
      </c>
      <c r="AE16" s="71">
        <f t="shared" si="26"/>
        <v>257.66666666661172</v>
      </c>
      <c r="AF16" s="342">
        <f t="shared" si="27"/>
        <v>0.16104166666663233</v>
      </c>
      <c r="AG16" s="342">
        <f t="shared" si="27"/>
        <v>1.0065104166664521E-4</v>
      </c>
      <c r="AH16" s="343">
        <f t="shared" si="23"/>
        <v>84.999899348958337</v>
      </c>
      <c r="AI16" s="71">
        <f t="shared" si="28"/>
        <v>596.87341772139166</v>
      </c>
      <c r="AJ16" s="249">
        <f t="shared" si="9"/>
        <v>0.25738396624472576</v>
      </c>
      <c r="AK16" s="249">
        <f t="shared" si="10"/>
        <v>66.319268635710188</v>
      </c>
      <c r="AL16">
        <f t="shared" si="24"/>
        <v>1</v>
      </c>
    </row>
    <row r="17" spans="1:38" ht="15" thickBot="1">
      <c r="A17" s="4">
        <f>ELEC!C18</f>
        <v>44972</v>
      </c>
      <c r="B17" s="520">
        <v>2079</v>
      </c>
      <c r="C17" s="247">
        <f t="shared" si="11"/>
        <v>7</v>
      </c>
      <c r="D17" s="441">
        <f t="shared" si="25"/>
        <v>837836</v>
      </c>
      <c r="E17" s="247">
        <f t="shared" si="12"/>
        <v>595</v>
      </c>
      <c r="F17" s="247">
        <f t="shared" si="0"/>
        <v>85</v>
      </c>
      <c r="G17" s="185"/>
      <c r="H17" s="238">
        <f t="shared" si="13"/>
        <v>12231</v>
      </c>
      <c r="I17" s="247" t="str">
        <f t="shared" si="1"/>
        <v>ok</v>
      </c>
      <c r="J17" s="440">
        <f t="shared" si="14"/>
        <v>149</v>
      </c>
      <c r="K17" s="247">
        <f t="shared" si="2"/>
        <v>0</v>
      </c>
      <c r="L17" s="441">
        <f t="shared" si="30"/>
        <v>392691</v>
      </c>
      <c r="M17" s="247">
        <f t="shared" si="3"/>
        <v>0</v>
      </c>
      <c r="N17" s="247">
        <v>250</v>
      </c>
      <c r="O17" s="185"/>
      <c r="P17" s="248">
        <f t="shared" si="16"/>
        <v>10873</v>
      </c>
      <c r="Q17" s="247" t="str">
        <f t="shared" si="4"/>
        <v>ok</v>
      </c>
      <c r="R17" s="440">
        <f t="shared" si="17"/>
        <v>13920</v>
      </c>
      <c r="S17" s="247">
        <f t="shared" si="5"/>
        <v>0</v>
      </c>
      <c r="T17" s="441">
        <f t="shared" si="31"/>
        <v>419262</v>
      </c>
      <c r="U17" s="247">
        <f t="shared" si="32"/>
        <v>0</v>
      </c>
      <c r="V17" s="247">
        <v>250</v>
      </c>
      <c r="W17" s="185"/>
      <c r="X17" s="238">
        <f t="shared" si="18"/>
        <v>14773</v>
      </c>
      <c r="Y17" s="247" t="str">
        <f t="shared" si="19"/>
        <v>ok</v>
      </c>
      <c r="Z17" s="247">
        <f t="shared" si="8"/>
        <v>7</v>
      </c>
      <c r="AA17" s="247">
        <f t="shared" si="20"/>
        <v>595</v>
      </c>
      <c r="AB17" s="247">
        <f t="shared" si="21"/>
        <v>585</v>
      </c>
      <c r="AC17" s="247">
        <f t="shared" si="22"/>
        <v>85</v>
      </c>
      <c r="AD17" s="71">
        <f>ELEC!Q18</f>
        <v>1847.0000000015716</v>
      </c>
      <c r="AE17" s="71">
        <f t="shared" si="26"/>
        <v>263.85714285736736</v>
      </c>
      <c r="AF17" s="342">
        <f t="shared" si="27"/>
        <v>0.1649107142858546</v>
      </c>
      <c r="AG17" s="342">
        <f t="shared" si="27"/>
        <v>1.0306919642865913E-4</v>
      </c>
      <c r="AH17" s="343">
        <f t="shared" si="23"/>
        <v>84.999896930803573</v>
      </c>
      <c r="AI17" s="71">
        <f t="shared" si="28"/>
        <v>475.38818565441301</v>
      </c>
      <c r="AJ17" s="249">
        <f t="shared" si="9"/>
        <v>0.25738396624472576</v>
      </c>
      <c r="AK17" s="249">
        <f t="shared" si="10"/>
        <v>67.912597950630428</v>
      </c>
      <c r="AL17">
        <f t="shared" si="24"/>
        <v>1</v>
      </c>
    </row>
    <row r="18" spans="1:38" ht="15" thickBot="1">
      <c r="A18" s="4">
        <f>ELEC!C19</f>
        <v>44973</v>
      </c>
      <c r="B18" s="520">
        <v>2088</v>
      </c>
      <c r="C18" s="247">
        <f t="shared" si="11"/>
        <v>9</v>
      </c>
      <c r="D18" s="441">
        <f t="shared" si="25"/>
        <v>838601</v>
      </c>
      <c r="E18" s="247">
        <f t="shared" si="12"/>
        <v>765</v>
      </c>
      <c r="F18" s="247">
        <f t="shared" si="0"/>
        <v>85</v>
      </c>
      <c r="G18" s="185"/>
      <c r="H18" s="238">
        <f t="shared" si="13"/>
        <v>12231</v>
      </c>
      <c r="I18" s="247" t="str">
        <f t="shared" si="1"/>
        <v>ok</v>
      </c>
      <c r="J18" s="440">
        <f t="shared" si="14"/>
        <v>149</v>
      </c>
      <c r="K18" s="247">
        <f t="shared" si="2"/>
        <v>0</v>
      </c>
      <c r="L18" s="441">
        <f t="shared" si="30"/>
        <v>392691</v>
      </c>
      <c r="M18" s="247">
        <f t="shared" si="3"/>
        <v>0</v>
      </c>
      <c r="N18" s="247">
        <v>250</v>
      </c>
      <c r="O18" s="185"/>
      <c r="P18" s="248">
        <f t="shared" si="16"/>
        <v>10873</v>
      </c>
      <c r="Q18" s="247" t="str">
        <f>IF(J18-P14&lt;=0,"ok","oil change")</f>
        <v>ok</v>
      </c>
      <c r="R18" s="440">
        <f t="shared" si="17"/>
        <v>13920</v>
      </c>
      <c r="S18" s="247">
        <f t="shared" si="5"/>
        <v>0</v>
      </c>
      <c r="T18" s="441">
        <f t="shared" si="31"/>
        <v>419262</v>
      </c>
      <c r="U18" s="247">
        <f t="shared" si="32"/>
        <v>0</v>
      </c>
      <c r="V18" s="247">
        <v>250</v>
      </c>
      <c r="W18" s="185"/>
      <c r="X18" s="238">
        <f t="shared" si="18"/>
        <v>14773</v>
      </c>
      <c r="Y18" s="247" t="str">
        <f t="shared" si="19"/>
        <v>ok</v>
      </c>
      <c r="Z18" s="247">
        <f t="shared" si="8"/>
        <v>9</v>
      </c>
      <c r="AA18" s="247">
        <f t="shared" si="20"/>
        <v>765</v>
      </c>
      <c r="AB18" s="247">
        <f t="shared" si="21"/>
        <v>585</v>
      </c>
      <c r="AC18" s="247">
        <f t="shared" si="22"/>
        <v>85</v>
      </c>
      <c r="AD18" s="71">
        <f>ELEC!Q19</f>
        <v>2629.0000000008149</v>
      </c>
      <c r="AE18" s="71">
        <f t="shared" si="26"/>
        <v>292.11111111120164</v>
      </c>
      <c r="AF18" s="342">
        <f t="shared" si="27"/>
        <v>0.18256944444450102</v>
      </c>
      <c r="AG18" s="342">
        <f t="shared" si="27"/>
        <v>1.1410590277781314E-4</v>
      </c>
      <c r="AH18" s="343">
        <f t="shared" si="23"/>
        <v>84.999885894097218</v>
      </c>
      <c r="AI18" s="71">
        <f t="shared" si="28"/>
        <v>676.66244725759373</v>
      </c>
      <c r="AJ18" s="249">
        <f t="shared" si="9"/>
        <v>0.25738396624472576</v>
      </c>
      <c r="AK18" s="249">
        <f t="shared" si="10"/>
        <v>75.184716361954855</v>
      </c>
      <c r="AL18">
        <f t="shared" si="24"/>
        <v>1</v>
      </c>
    </row>
    <row r="19" spans="1:38" ht="15" thickBot="1">
      <c r="A19" s="4">
        <f>ELEC!C20</f>
        <v>44974</v>
      </c>
      <c r="B19" s="520">
        <f t="shared" si="29"/>
        <v>2088</v>
      </c>
      <c r="C19" s="247">
        <f t="shared" si="11"/>
        <v>0</v>
      </c>
      <c r="D19" s="441">
        <f t="shared" si="25"/>
        <v>838601</v>
      </c>
      <c r="E19" s="247">
        <f t="shared" si="12"/>
        <v>0</v>
      </c>
      <c r="F19" s="247">
        <f t="shared" si="0"/>
        <v>0</v>
      </c>
      <c r="G19" s="185"/>
      <c r="H19" s="238">
        <f t="shared" si="13"/>
        <v>12231</v>
      </c>
      <c r="I19" s="247" t="str">
        <f t="shared" si="1"/>
        <v>ok</v>
      </c>
      <c r="J19" s="440">
        <f t="shared" si="14"/>
        <v>149</v>
      </c>
      <c r="K19" s="247">
        <f t="shared" si="2"/>
        <v>0</v>
      </c>
      <c r="L19" s="441">
        <f t="shared" si="30"/>
        <v>392691</v>
      </c>
      <c r="M19" s="247">
        <f t="shared" si="3"/>
        <v>0</v>
      </c>
      <c r="N19" s="247">
        <v>250</v>
      </c>
      <c r="O19" s="185"/>
      <c r="P19" s="248">
        <f t="shared" si="16"/>
        <v>10873</v>
      </c>
      <c r="Q19" s="247" t="str">
        <f t="shared" ref="Q19:Q30" si="33">IF(J19-P19&lt;=0,"ok","oil change")</f>
        <v>ok</v>
      </c>
      <c r="R19" s="440">
        <f t="shared" si="17"/>
        <v>13920</v>
      </c>
      <c r="S19" s="247">
        <f t="shared" si="5"/>
        <v>0</v>
      </c>
      <c r="T19" s="441">
        <f t="shared" si="31"/>
        <v>419262</v>
      </c>
      <c r="U19" s="247">
        <f t="shared" si="32"/>
        <v>0</v>
      </c>
      <c r="V19" s="247">
        <v>250</v>
      </c>
      <c r="W19" s="185"/>
      <c r="X19" s="238">
        <f t="shared" si="18"/>
        <v>14773</v>
      </c>
      <c r="Y19" s="247" t="str">
        <f t="shared" si="19"/>
        <v>ok</v>
      </c>
      <c r="Z19" s="247">
        <f t="shared" si="8"/>
        <v>0</v>
      </c>
      <c r="AA19" s="247">
        <f t="shared" si="20"/>
        <v>0</v>
      </c>
      <c r="AB19" s="247">
        <f t="shared" si="21"/>
        <v>500</v>
      </c>
      <c r="AC19" s="247">
        <f t="shared" si="22"/>
        <v>0</v>
      </c>
      <c r="AD19" s="71">
        <f>ELEC!Q20</f>
        <v>0</v>
      </c>
      <c r="AE19" s="71" t="e">
        <f t="shared" si="26"/>
        <v>#DIV/0!</v>
      </c>
      <c r="AF19" s="342" t="e">
        <f t="shared" si="27"/>
        <v>#DIV/0!</v>
      </c>
      <c r="AG19" s="342" t="e">
        <f t="shared" si="27"/>
        <v>#DIV/0!</v>
      </c>
      <c r="AH19" s="343" t="e">
        <f t="shared" si="23"/>
        <v>#DIV/0!</v>
      </c>
      <c r="AI19" s="71">
        <f t="shared" si="28"/>
        <v>0</v>
      </c>
      <c r="AJ19" s="249">
        <f t="shared" si="9"/>
        <v>0.25738396624472576</v>
      </c>
      <c r="AK19" s="249" t="e">
        <f t="shared" si="10"/>
        <v>#DIV/0!</v>
      </c>
      <c r="AL19">
        <f t="shared" si="24"/>
        <v>0</v>
      </c>
    </row>
    <row r="20" spans="1:38" ht="15" thickBot="1">
      <c r="A20" s="4">
        <f>ELEC!C21</f>
        <v>44975</v>
      </c>
      <c r="B20" s="520">
        <f t="shared" si="29"/>
        <v>2088</v>
      </c>
      <c r="C20" s="247">
        <f>B20-B19</f>
        <v>0</v>
      </c>
      <c r="D20" s="441">
        <f t="shared" si="25"/>
        <v>838601</v>
      </c>
      <c r="E20" s="247">
        <f t="shared" si="12"/>
        <v>0</v>
      </c>
      <c r="F20" s="247">
        <f t="shared" si="0"/>
        <v>0</v>
      </c>
      <c r="G20" s="185"/>
      <c r="H20" s="238">
        <f t="shared" si="13"/>
        <v>12231</v>
      </c>
      <c r="I20" s="247" t="str">
        <f t="shared" si="1"/>
        <v>ok</v>
      </c>
      <c r="J20" s="440">
        <f t="shared" si="14"/>
        <v>149</v>
      </c>
      <c r="K20" s="247">
        <f t="shared" si="2"/>
        <v>0</v>
      </c>
      <c r="L20" s="441">
        <f t="shared" si="30"/>
        <v>392691</v>
      </c>
      <c r="M20" s="247">
        <f t="shared" si="3"/>
        <v>0</v>
      </c>
      <c r="N20" s="247">
        <v>250</v>
      </c>
      <c r="O20" s="185"/>
      <c r="P20" s="248">
        <f t="shared" si="16"/>
        <v>10873</v>
      </c>
      <c r="Q20" s="247" t="str">
        <f t="shared" si="33"/>
        <v>ok</v>
      </c>
      <c r="R20" s="440">
        <f t="shared" si="17"/>
        <v>13920</v>
      </c>
      <c r="S20" s="247">
        <f t="shared" si="5"/>
        <v>0</v>
      </c>
      <c r="T20" s="441">
        <f t="shared" si="31"/>
        <v>419262</v>
      </c>
      <c r="U20" s="247">
        <f t="shared" si="32"/>
        <v>0</v>
      </c>
      <c r="V20" s="247">
        <v>250</v>
      </c>
      <c r="W20" s="185"/>
      <c r="X20" s="238">
        <f t="shared" si="18"/>
        <v>14773</v>
      </c>
      <c r="Y20" s="247" t="str">
        <f t="shared" si="19"/>
        <v>ok</v>
      </c>
      <c r="Z20" s="247">
        <f t="shared" si="8"/>
        <v>0</v>
      </c>
      <c r="AA20" s="247">
        <f t="shared" si="20"/>
        <v>0</v>
      </c>
      <c r="AB20" s="247">
        <f t="shared" si="21"/>
        <v>500</v>
      </c>
      <c r="AC20" s="247">
        <f t="shared" si="22"/>
        <v>0</v>
      </c>
      <c r="AD20" s="71">
        <f>ELEC!Q21</f>
        <v>0</v>
      </c>
      <c r="AE20" s="71" t="e">
        <f t="shared" si="26"/>
        <v>#DIV/0!</v>
      </c>
      <c r="AF20" s="342" t="e">
        <f t="shared" si="27"/>
        <v>#DIV/0!</v>
      </c>
      <c r="AG20" s="342" t="e">
        <f t="shared" si="27"/>
        <v>#DIV/0!</v>
      </c>
      <c r="AH20" s="343" t="e">
        <f t="shared" si="23"/>
        <v>#DIV/0!</v>
      </c>
      <c r="AI20" s="71">
        <f>AD20*AJ20</f>
        <v>0</v>
      </c>
      <c r="AJ20" s="249">
        <f t="shared" si="9"/>
        <v>0.25738396624472576</v>
      </c>
      <c r="AK20" s="249" t="e">
        <f t="shared" si="10"/>
        <v>#DIV/0!</v>
      </c>
      <c r="AL20">
        <f t="shared" si="24"/>
        <v>0</v>
      </c>
    </row>
    <row r="21" spans="1:38" ht="15" thickBot="1">
      <c r="A21" s="4">
        <f>ELEC!C22</f>
        <v>44976</v>
      </c>
      <c r="B21" s="520">
        <v>2098</v>
      </c>
      <c r="C21" s="247">
        <f>B21-B20</f>
        <v>10</v>
      </c>
      <c r="D21" s="441">
        <f t="shared" si="25"/>
        <v>839451</v>
      </c>
      <c r="E21" s="247">
        <f t="shared" si="12"/>
        <v>850</v>
      </c>
      <c r="F21" s="247">
        <f t="shared" si="0"/>
        <v>85</v>
      </c>
      <c r="G21" s="185"/>
      <c r="H21" s="238">
        <f t="shared" si="13"/>
        <v>12231</v>
      </c>
      <c r="I21" s="247" t="str">
        <f t="shared" si="1"/>
        <v>ok</v>
      </c>
      <c r="J21" s="440">
        <f t="shared" si="14"/>
        <v>149</v>
      </c>
      <c r="K21" s="247">
        <f t="shared" si="2"/>
        <v>0</v>
      </c>
      <c r="L21" s="441">
        <f t="shared" si="30"/>
        <v>392691</v>
      </c>
      <c r="M21" s="247">
        <f t="shared" si="3"/>
        <v>0</v>
      </c>
      <c r="N21" s="247">
        <v>250</v>
      </c>
      <c r="O21" s="185"/>
      <c r="P21" s="248">
        <f t="shared" si="16"/>
        <v>10873</v>
      </c>
      <c r="Q21" s="247" t="str">
        <f t="shared" si="33"/>
        <v>ok</v>
      </c>
      <c r="R21" s="440">
        <f t="shared" si="17"/>
        <v>13920</v>
      </c>
      <c r="S21" s="247">
        <f t="shared" si="5"/>
        <v>0</v>
      </c>
      <c r="T21" s="441">
        <f t="shared" si="31"/>
        <v>419262</v>
      </c>
      <c r="U21" s="247">
        <f t="shared" si="32"/>
        <v>0</v>
      </c>
      <c r="V21" s="247">
        <v>250</v>
      </c>
      <c r="W21" s="185"/>
      <c r="X21" s="238">
        <f t="shared" si="18"/>
        <v>14773</v>
      </c>
      <c r="Y21" s="247" t="str">
        <f t="shared" si="19"/>
        <v>ok</v>
      </c>
      <c r="Z21" s="247">
        <f t="shared" si="8"/>
        <v>10</v>
      </c>
      <c r="AA21" s="247">
        <f t="shared" si="20"/>
        <v>850</v>
      </c>
      <c r="AB21" s="247">
        <f t="shared" si="21"/>
        <v>585</v>
      </c>
      <c r="AC21" s="247">
        <f t="shared" si="22"/>
        <v>85</v>
      </c>
      <c r="AD21" s="71">
        <f>ELEC!Q22</f>
        <v>2390.9999999996217</v>
      </c>
      <c r="AE21" s="71">
        <f t="shared" si="26"/>
        <v>239.09999999996217</v>
      </c>
      <c r="AF21" s="342">
        <f t="shared" si="27"/>
        <v>0.14943749999997635</v>
      </c>
      <c r="AG21" s="342">
        <f t="shared" si="27"/>
        <v>9.3398437499985217E-5</v>
      </c>
      <c r="AH21" s="343">
        <f t="shared" si="23"/>
        <v>84.9999066015625</v>
      </c>
      <c r="AI21" s="71">
        <f t="shared" si="28"/>
        <v>615.40506329104187</v>
      </c>
      <c r="AJ21" s="249">
        <f t="shared" si="9"/>
        <v>0.25738396624472576</v>
      </c>
      <c r="AK21" s="249">
        <f t="shared" si="10"/>
        <v>61.54050632910419</v>
      </c>
      <c r="AL21">
        <f t="shared" si="24"/>
        <v>1</v>
      </c>
    </row>
    <row r="22" spans="1:38" ht="15" thickBot="1">
      <c r="A22" s="4">
        <f>ELEC!C23</f>
        <v>44977</v>
      </c>
      <c r="B22" s="520">
        <v>2107</v>
      </c>
      <c r="C22" s="247">
        <f t="shared" ref="C22:C31" si="34">B22-B21</f>
        <v>9</v>
      </c>
      <c r="D22" s="441">
        <f t="shared" si="25"/>
        <v>840216</v>
      </c>
      <c r="E22" s="247">
        <f t="shared" si="12"/>
        <v>765</v>
      </c>
      <c r="F22" s="247">
        <f t="shared" si="0"/>
        <v>85</v>
      </c>
      <c r="G22" s="185"/>
      <c r="H22" s="238">
        <f t="shared" si="13"/>
        <v>12231</v>
      </c>
      <c r="I22" s="247" t="str">
        <f t="shared" si="1"/>
        <v>ok</v>
      </c>
      <c r="J22" s="440">
        <f t="shared" si="14"/>
        <v>149</v>
      </c>
      <c r="K22" s="247">
        <f t="shared" si="2"/>
        <v>0</v>
      </c>
      <c r="L22" s="441">
        <f t="shared" si="30"/>
        <v>392691</v>
      </c>
      <c r="M22" s="247">
        <f t="shared" si="3"/>
        <v>0</v>
      </c>
      <c r="N22" s="247">
        <v>250</v>
      </c>
      <c r="O22" s="185"/>
      <c r="P22" s="248">
        <f t="shared" si="16"/>
        <v>10873</v>
      </c>
      <c r="Q22" s="247" t="str">
        <f t="shared" si="33"/>
        <v>ok</v>
      </c>
      <c r="R22" s="440">
        <f t="shared" si="17"/>
        <v>13920</v>
      </c>
      <c r="S22" s="247">
        <f t="shared" si="5"/>
        <v>0</v>
      </c>
      <c r="T22" s="441">
        <f t="shared" si="31"/>
        <v>419262</v>
      </c>
      <c r="U22" s="247">
        <f t="shared" si="32"/>
        <v>0</v>
      </c>
      <c r="V22" s="247">
        <v>250</v>
      </c>
      <c r="W22" s="185"/>
      <c r="X22" s="238">
        <f t="shared" si="18"/>
        <v>14773</v>
      </c>
      <c r="Y22" s="247" t="str">
        <f t="shared" si="19"/>
        <v>ok</v>
      </c>
      <c r="Z22" s="247">
        <f t="shared" si="8"/>
        <v>9</v>
      </c>
      <c r="AA22" s="247">
        <f t="shared" si="20"/>
        <v>765</v>
      </c>
      <c r="AB22" s="247">
        <f t="shared" si="21"/>
        <v>585</v>
      </c>
      <c r="AC22" s="247">
        <f t="shared" si="22"/>
        <v>85</v>
      </c>
      <c r="AD22" s="71">
        <f>ELEC!Q23</f>
        <v>2341.0000000003492</v>
      </c>
      <c r="AE22" s="71">
        <f t="shared" si="26"/>
        <v>260.11111111114991</v>
      </c>
      <c r="AF22" s="342">
        <f t="shared" si="27"/>
        <v>0.16256944444446869</v>
      </c>
      <c r="AG22" s="342">
        <f t="shared" si="27"/>
        <v>1.0160590277779294E-4</v>
      </c>
      <c r="AH22" s="343">
        <f t="shared" si="23"/>
        <v>84.999898394097215</v>
      </c>
      <c r="AI22" s="71">
        <f t="shared" si="28"/>
        <v>602.53586497899289</v>
      </c>
      <c r="AJ22" s="249">
        <f t="shared" si="9"/>
        <v>0.25738396624472576</v>
      </c>
      <c r="AK22" s="249">
        <f t="shared" si="10"/>
        <v>66.948429442110324</v>
      </c>
      <c r="AL22">
        <f t="shared" si="24"/>
        <v>1</v>
      </c>
    </row>
    <row r="23" spans="1:38" ht="15" thickBot="1">
      <c r="A23" s="4">
        <f>ELEC!C24</f>
        <v>44978</v>
      </c>
      <c r="B23" s="520">
        <v>2118</v>
      </c>
      <c r="C23" s="247">
        <f t="shared" si="34"/>
        <v>11</v>
      </c>
      <c r="D23" s="441">
        <f>D22+C23*85</f>
        <v>841151</v>
      </c>
      <c r="E23" s="247">
        <f t="shared" si="12"/>
        <v>935</v>
      </c>
      <c r="F23" s="247">
        <f t="shared" si="0"/>
        <v>85</v>
      </c>
      <c r="G23" s="185"/>
      <c r="H23" s="238">
        <f t="shared" si="13"/>
        <v>12231</v>
      </c>
      <c r="I23" s="247" t="str">
        <f t="shared" si="1"/>
        <v>ok</v>
      </c>
      <c r="J23" s="440">
        <f t="shared" si="14"/>
        <v>149</v>
      </c>
      <c r="K23" s="247">
        <f t="shared" si="2"/>
        <v>0</v>
      </c>
      <c r="L23" s="441">
        <f t="shared" si="30"/>
        <v>392691</v>
      </c>
      <c r="M23" s="247">
        <f t="shared" si="3"/>
        <v>0</v>
      </c>
      <c r="N23" s="247">
        <v>250</v>
      </c>
      <c r="O23" s="185"/>
      <c r="P23" s="248">
        <f t="shared" si="16"/>
        <v>10873</v>
      </c>
      <c r="Q23" s="247" t="str">
        <f t="shared" si="33"/>
        <v>ok</v>
      </c>
      <c r="R23" s="440">
        <f t="shared" si="17"/>
        <v>13920</v>
      </c>
      <c r="S23" s="247">
        <f>R23-R22</f>
        <v>0</v>
      </c>
      <c r="T23" s="441">
        <f t="shared" si="31"/>
        <v>419262</v>
      </c>
      <c r="U23" s="247">
        <f>V23*S23</f>
        <v>0</v>
      </c>
      <c r="V23" s="247">
        <v>250</v>
      </c>
      <c r="W23" s="185"/>
      <c r="X23" s="238">
        <f t="shared" si="18"/>
        <v>14773</v>
      </c>
      <c r="Y23" s="247" t="str">
        <f t="shared" si="19"/>
        <v>ok</v>
      </c>
      <c r="Z23" s="247">
        <f t="shared" si="8"/>
        <v>11</v>
      </c>
      <c r="AA23" s="247">
        <f t="shared" si="20"/>
        <v>935</v>
      </c>
      <c r="AB23" s="247">
        <f t="shared" si="21"/>
        <v>585</v>
      </c>
      <c r="AC23" s="247">
        <f t="shared" si="22"/>
        <v>85</v>
      </c>
      <c r="AD23" s="71">
        <f>ELEC!Q24</f>
        <v>2674.9999999992724</v>
      </c>
      <c r="AE23" s="71">
        <f t="shared" si="26"/>
        <v>243.18181818175205</v>
      </c>
      <c r="AF23" s="342">
        <f t="shared" si="27"/>
        <v>0.15198863636359503</v>
      </c>
      <c r="AG23" s="342">
        <f t="shared" si="27"/>
        <v>9.4992897727246884E-5</v>
      </c>
      <c r="AH23" s="343">
        <f t="shared" si="23"/>
        <v>84.999905007102271</v>
      </c>
      <c r="AI23" s="71">
        <f t="shared" si="28"/>
        <v>688.50210970445414</v>
      </c>
      <c r="AJ23" s="249">
        <f t="shared" si="9"/>
        <v>0.25738396624472576</v>
      </c>
      <c r="AK23" s="249">
        <f t="shared" si="10"/>
        <v>62.591100882223103</v>
      </c>
      <c r="AL23">
        <f t="shared" si="24"/>
        <v>1</v>
      </c>
    </row>
    <row r="24" spans="1:38" ht="15" thickBot="1">
      <c r="A24" s="4">
        <f>ELEC!C25</f>
        <v>44979</v>
      </c>
      <c r="B24" s="520">
        <v>2126</v>
      </c>
      <c r="C24" s="247">
        <f t="shared" si="34"/>
        <v>8</v>
      </c>
      <c r="D24" s="441">
        <f t="shared" si="25"/>
        <v>841831</v>
      </c>
      <c r="E24" s="247">
        <f>SUM(D24-D23)</f>
        <v>680</v>
      </c>
      <c r="F24" s="247">
        <f t="shared" si="0"/>
        <v>85</v>
      </c>
      <c r="G24" s="185"/>
      <c r="H24" s="238">
        <f t="shared" si="13"/>
        <v>12231</v>
      </c>
      <c r="I24" s="247" t="str">
        <f t="shared" si="1"/>
        <v>ok</v>
      </c>
      <c r="J24" s="440">
        <f t="shared" si="14"/>
        <v>149</v>
      </c>
      <c r="K24" s="247">
        <f t="shared" si="2"/>
        <v>0</v>
      </c>
      <c r="L24" s="441">
        <f t="shared" si="30"/>
        <v>392691</v>
      </c>
      <c r="M24" s="247">
        <f t="shared" si="3"/>
        <v>0</v>
      </c>
      <c r="N24" s="247">
        <v>250</v>
      </c>
      <c r="O24" s="185"/>
      <c r="P24" s="248">
        <f t="shared" si="16"/>
        <v>10873</v>
      </c>
      <c r="Q24" s="247" t="str">
        <f t="shared" si="33"/>
        <v>ok</v>
      </c>
      <c r="R24" s="440">
        <f t="shared" si="17"/>
        <v>13920</v>
      </c>
      <c r="S24" s="247">
        <f t="shared" si="5"/>
        <v>0</v>
      </c>
      <c r="T24" s="441">
        <f t="shared" si="31"/>
        <v>419262</v>
      </c>
      <c r="U24" s="247">
        <f t="shared" si="32"/>
        <v>0</v>
      </c>
      <c r="V24" s="247">
        <v>250</v>
      </c>
      <c r="W24" s="185"/>
      <c r="X24" s="238">
        <f t="shared" si="18"/>
        <v>14773</v>
      </c>
      <c r="Y24" s="247" t="str">
        <f t="shared" si="19"/>
        <v>ok</v>
      </c>
      <c r="Z24" s="247">
        <f t="shared" si="8"/>
        <v>8</v>
      </c>
      <c r="AA24" s="247">
        <f t="shared" si="20"/>
        <v>680</v>
      </c>
      <c r="AB24" s="247">
        <f t="shared" si="21"/>
        <v>585</v>
      </c>
      <c r="AC24" s="247">
        <f t="shared" si="22"/>
        <v>85</v>
      </c>
      <c r="AD24" s="71">
        <f>ELEC!Q25</f>
        <v>2139.9999999994179</v>
      </c>
      <c r="AE24" s="71">
        <f t="shared" si="26"/>
        <v>267.49999999992724</v>
      </c>
      <c r="AF24" s="342">
        <f t="shared" si="27"/>
        <v>0.16718749999995453</v>
      </c>
      <c r="AG24" s="342">
        <f t="shared" si="27"/>
        <v>1.0449218749997158E-4</v>
      </c>
      <c r="AH24" s="343">
        <f t="shared" si="23"/>
        <v>84.999895507812496</v>
      </c>
      <c r="AI24" s="71">
        <f t="shared" si="28"/>
        <v>550.80168776356334</v>
      </c>
      <c r="AJ24" s="249">
        <f t="shared" si="9"/>
        <v>0.25738396624472576</v>
      </c>
      <c r="AK24" s="249">
        <f t="shared" si="10"/>
        <v>68.850210970445417</v>
      </c>
      <c r="AL24">
        <f t="shared" si="24"/>
        <v>1</v>
      </c>
    </row>
    <row r="25" spans="1:38" ht="15" thickBot="1">
      <c r="A25" s="4">
        <f>ELEC!C26</f>
        <v>44980</v>
      </c>
      <c r="B25" s="520">
        <f t="shared" si="29"/>
        <v>2126</v>
      </c>
      <c r="C25" s="247">
        <f t="shared" si="34"/>
        <v>0</v>
      </c>
      <c r="D25" s="441">
        <f t="shared" si="25"/>
        <v>841831</v>
      </c>
      <c r="E25" s="247">
        <f>SUM(D25-D24)</f>
        <v>0</v>
      </c>
      <c r="F25" s="247">
        <f t="shared" si="0"/>
        <v>0</v>
      </c>
      <c r="G25" s="185"/>
      <c r="H25" s="238">
        <f t="shared" si="13"/>
        <v>12231</v>
      </c>
      <c r="I25" s="247" t="str">
        <f t="shared" si="1"/>
        <v>ok</v>
      </c>
      <c r="J25" s="440">
        <f t="shared" si="14"/>
        <v>149</v>
      </c>
      <c r="K25" s="247">
        <f t="shared" si="2"/>
        <v>0</v>
      </c>
      <c r="L25" s="441">
        <f t="shared" si="30"/>
        <v>392691</v>
      </c>
      <c r="M25" s="247">
        <f t="shared" si="3"/>
        <v>0</v>
      </c>
      <c r="N25" s="247">
        <v>250</v>
      </c>
      <c r="O25" s="185"/>
      <c r="P25" s="248">
        <f t="shared" si="16"/>
        <v>10873</v>
      </c>
      <c r="Q25" s="247" t="str">
        <f t="shared" si="33"/>
        <v>ok</v>
      </c>
      <c r="R25" s="440">
        <f t="shared" si="17"/>
        <v>13920</v>
      </c>
      <c r="S25" s="247">
        <f t="shared" si="5"/>
        <v>0</v>
      </c>
      <c r="T25" s="441">
        <f t="shared" si="31"/>
        <v>419262</v>
      </c>
      <c r="U25" s="247">
        <f t="shared" si="32"/>
        <v>0</v>
      </c>
      <c r="V25" s="247">
        <v>250</v>
      </c>
      <c r="W25" s="185"/>
      <c r="X25" s="238">
        <f t="shared" si="18"/>
        <v>14773</v>
      </c>
      <c r="Y25" s="247" t="str">
        <f t="shared" si="19"/>
        <v>ok</v>
      </c>
      <c r="Z25" s="247">
        <f t="shared" si="8"/>
        <v>0</v>
      </c>
      <c r="AA25" s="247">
        <f t="shared" si="20"/>
        <v>0</v>
      </c>
      <c r="AB25" s="247">
        <f t="shared" si="21"/>
        <v>500</v>
      </c>
      <c r="AC25" s="247">
        <f t="shared" si="22"/>
        <v>0</v>
      </c>
      <c r="AD25" s="71">
        <f>ELEC!Q26</f>
        <v>2824.0000000005239</v>
      </c>
      <c r="AE25" s="71" t="e">
        <f t="shared" si="26"/>
        <v>#DIV/0!</v>
      </c>
      <c r="AF25" s="342" t="e">
        <f t="shared" si="27"/>
        <v>#DIV/0!</v>
      </c>
      <c r="AG25" s="342" t="e">
        <f t="shared" si="27"/>
        <v>#DIV/0!</v>
      </c>
      <c r="AH25" s="343" t="e">
        <f t="shared" si="23"/>
        <v>#DIV/0!</v>
      </c>
      <c r="AI25" s="71">
        <f t="shared" si="28"/>
        <v>726.85232067524043</v>
      </c>
      <c r="AJ25" s="249">
        <f t="shared" si="9"/>
        <v>0.25738396624472576</v>
      </c>
      <c r="AK25" s="249" t="e">
        <f t="shared" si="10"/>
        <v>#DIV/0!</v>
      </c>
      <c r="AL25">
        <f t="shared" si="24"/>
        <v>0</v>
      </c>
    </row>
    <row r="26" spans="1:38" ht="15" thickBot="1">
      <c r="A26" s="4">
        <f>ELEC!C27</f>
        <v>44981</v>
      </c>
      <c r="B26" s="520">
        <v>2138</v>
      </c>
      <c r="C26" s="247">
        <f t="shared" si="34"/>
        <v>12</v>
      </c>
      <c r="D26" s="441">
        <f t="shared" si="25"/>
        <v>842851</v>
      </c>
      <c r="E26" s="247">
        <f>SUM(D26-D25)</f>
        <v>1020</v>
      </c>
      <c r="F26" s="247">
        <f>IF(C25&gt;0,E26/C25,0)</f>
        <v>0</v>
      </c>
      <c r="G26" s="185"/>
      <c r="H26" s="238">
        <f t="shared" si="13"/>
        <v>12231</v>
      </c>
      <c r="I26" s="247" t="str">
        <f t="shared" si="1"/>
        <v>ok</v>
      </c>
      <c r="J26" s="440">
        <f t="shared" si="14"/>
        <v>149</v>
      </c>
      <c r="K26" s="247">
        <f t="shared" si="2"/>
        <v>0</v>
      </c>
      <c r="L26" s="441">
        <f t="shared" si="30"/>
        <v>392691</v>
      </c>
      <c r="M26" s="247">
        <f t="shared" si="3"/>
        <v>0</v>
      </c>
      <c r="N26" s="247">
        <v>250</v>
      </c>
      <c r="O26" s="185"/>
      <c r="P26" s="248">
        <f t="shared" si="16"/>
        <v>10873</v>
      </c>
      <c r="Q26" s="247" t="str">
        <f t="shared" si="33"/>
        <v>ok</v>
      </c>
      <c r="R26" s="440">
        <f t="shared" si="17"/>
        <v>13920</v>
      </c>
      <c r="S26" s="247">
        <f>R26-R25</f>
        <v>0</v>
      </c>
      <c r="T26" s="441">
        <f t="shared" si="31"/>
        <v>419262</v>
      </c>
      <c r="U26" s="247">
        <f t="shared" si="32"/>
        <v>0</v>
      </c>
      <c r="V26" s="247">
        <v>250</v>
      </c>
      <c r="W26" s="185"/>
      <c r="X26" s="238">
        <f t="shared" si="18"/>
        <v>14773</v>
      </c>
      <c r="Y26" s="247" t="str">
        <f t="shared" si="19"/>
        <v>ok</v>
      </c>
      <c r="Z26" s="247">
        <f t="shared" si="8"/>
        <v>12</v>
      </c>
      <c r="AA26" s="247">
        <f t="shared" si="20"/>
        <v>1020</v>
      </c>
      <c r="AB26" s="247">
        <f t="shared" si="21"/>
        <v>500</v>
      </c>
      <c r="AC26" s="247">
        <f t="shared" si="22"/>
        <v>85</v>
      </c>
      <c r="AD26" s="71">
        <f>ELEC!Q27</f>
        <v>0</v>
      </c>
      <c r="AE26" s="71">
        <f t="shared" si="26"/>
        <v>0</v>
      </c>
      <c r="AF26" s="342">
        <f t="shared" si="27"/>
        <v>0</v>
      </c>
      <c r="AG26" s="342">
        <f t="shared" si="27"/>
        <v>0</v>
      </c>
      <c r="AH26" s="343">
        <f t="shared" si="23"/>
        <v>85</v>
      </c>
      <c r="AI26" s="71">
        <f t="shared" si="28"/>
        <v>0</v>
      </c>
      <c r="AJ26" s="249">
        <f t="shared" si="9"/>
        <v>0.25738396624472576</v>
      </c>
      <c r="AK26" s="249">
        <f t="shared" si="10"/>
        <v>0</v>
      </c>
      <c r="AL26">
        <f t="shared" si="24"/>
        <v>1</v>
      </c>
    </row>
    <row r="27" spans="1:38" ht="15" thickBot="1">
      <c r="A27" s="4">
        <f>ELEC!C28</f>
        <v>44982</v>
      </c>
      <c r="B27" s="520">
        <f t="shared" si="29"/>
        <v>2138</v>
      </c>
      <c r="C27" s="247">
        <f t="shared" si="34"/>
        <v>0</v>
      </c>
      <c r="D27" s="441">
        <f t="shared" si="25"/>
        <v>842851</v>
      </c>
      <c r="E27" s="247">
        <f>SUM(D27-D26)</f>
        <v>0</v>
      </c>
      <c r="F27" s="247">
        <f>IF(C26&gt;0,E27/C26,0)</f>
        <v>0</v>
      </c>
      <c r="G27" s="185"/>
      <c r="H27" s="238">
        <f t="shared" si="13"/>
        <v>12231</v>
      </c>
      <c r="I27" s="247" t="str">
        <f>IF(B26-H27&lt;=0,"ok","oil change")</f>
        <v>ok</v>
      </c>
      <c r="J27" s="440">
        <f t="shared" si="14"/>
        <v>149</v>
      </c>
      <c r="K27" s="247">
        <f t="shared" si="2"/>
        <v>0</v>
      </c>
      <c r="L27" s="441">
        <f t="shared" si="30"/>
        <v>392691</v>
      </c>
      <c r="M27" s="247">
        <f t="shared" si="3"/>
        <v>0</v>
      </c>
      <c r="N27" s="247">
        <v>250</v>
      </c>
      <c r="O27" s="185"/>
      <c r="P27" s="248">
        <f t="shared" si="16"/>
        <v>10873</v>
      </c>
      <c r="Q27" s="247" t="str">
        <f t="shared" si="33"/>
        <v>ok</v>
      </c>
      <c r="R27" s="440">
        <f t="shared" si="17"/>
        <v>13920</v>
      </c>
      <c r="S27" s="247">
        <f t="shared" si="5"/>
        <v>0</v>
      </c>
      <c r="T27" s="441">
        <f t="shared" si="31"/>
        <v>419262</v>
      </c>
      <c r="U27" s="247">
        <f t="shared" si="32"/>
        <v>0</v>
      </c>
      <c r="V27" s="247">
        <v>250</v>
      </c>
      <c r="W27" s="185"/>
      <c r="X27" s="238">
        <f t="shared" si="18"/>
        <v>14773</v>
      </c>
      <c r="Y27" s="247" t="str">
        <f t="shared" si="19"/>
        <v>ok</v>
      </c>
      <c r="Z27" s="247">
        <f t="shared" si="8"/>
        <v>0</v>
      </c>
      <c r="AA27" s="247">
        <f t="shared" si="20"/>
        <v>0</v>
      </c>
      <c r="AB27" s="247">
        <f t="shared" si="21"/>
        <v>500</v>
      </c>
      <c r="AC27" s="247">
        <f t="shared" si="22"/>
        <v>0</v>
      </c>
      <c r="AD27" s="71">
        <f>ELEC!Q28</f>
        <v>0</v>
      </c>
      <c r="AE27" s="71" t="e">
        <f t="shared" si="26"/>
        <v>#DIV/0!</v>
      </c>
      <c r="AF27" s="342" t="e">
        <f t="shared" si="27"/>
        <v>#DIV/0!</v>
      </c>
      <c r="AG27" s="342" t="e">
        <f t="shared" si="27"/>
        <v>#DIV/0!</v>
      </c>
      <c r="AH27" s="343" t="e">
        <f t="shared" si="23"/>
        <v>#DIV/0!</v>
      </c>
      <c r="AI27" s="71">
        <f t="shared" si="28"/>
        <v>0</v>
      </c>
      <c r="AJ27" s="249">
        <f t="shared" si="9"/>
        <v>0.25738396624472576</v>
      </c>
      <c r="AK27" s="249" t="e">
        <f t="shared" si="10"/>
        <v>#DIV/0!</v>
      </c>
      <c r="AL27">
        <f t="shared" si="24"/>
        <v>0</v>
      </c>
    </row>
    <row r="28" spans="1:38" ht="15" thickBot="1">
      <c r="A28" s="4">
        <f>ELEC!C29</f>
        <v>44983</v>
      </c>
      <c r="B28" s="520">
        <v>2148</v>
      </c>
      <c r="C28" s="247">
        <f t="shared" si="34"/>
        <v>10</v>
      </c>
      <c r="D28" s="441">
        <f t="shared" si="25"/>
        <v>843701</v>
      </c>
      <c r="E28" s="247">
        <f t="shared" si="12"/>
        <v>850</v>
      </c>
      <c r="F28" s="247">
        <f t="shared" si="0"/>
        <v>85</v>
      </c>
      <c r="G28" s="185"/>
      <c r="H28" s="238">
        <f t="shared" si="13"/>
        <v>12231</v>
      </c>
      <c r="I28" s="247" t="str">
        <f t="shared" si="1"/>
        <v>ok</v>
      </c>
      <c r="J28" s="440">
        <f t="shared" si="14"/>
        <v>149</v>
      </c>
      <c r="K28" s="247">
        <f t="shared" si="2"/>
        <v>0</v>
      </c>
      <c r="L28" s="441">
        <f t="shared" si="30"/>
        <v>392691</v>
      </c>
      <c r="M28" s="247">
        <f t="shared" si="3"/>
        <v>0</v>
      </c>
      <c r="N28" s="247">
        <v>250</v>
      </c>
      <c r="O28" s="185"/>
      <c r="P28" s="248">
        <f t="shared" si="16"/>
        <v>10873</v>
      </c>
      <c r="Q28" s="247" t="str">
        <f t="shared" si="33"/>
        <v>ok</v>
      </c>
      <c r="R28" s="440">
        <f t="shared" si="17"/>
        <v>13920</v>
      </c>
      <c r="S28" s="247">
        <f t="shared" si="5"/>
        <v>0</v>
      </c>
      <c r="T28" s="441">
        <f t="shared" si="31"/>
        <v>419262</v>
      </c>
      <c r="U28" s="247">
        <f t="shared" si="32"/>
        <v>0</v>
      </c>
      <c r="V28" s="247">
        <v>250</v>
      </c>
      <c r="W28" s="185"/>
      <c r="X28" s="238">
        <f t="shared" si="18"/>
        <v>14773</v>
      </c>
      <c r="Y28" s="247" t="str">
        <f t="shared" si="19"/>
        <v>ok</v>
      </c>
      <c r="Z28" s="247">
        <f t="shared" si="8"/>
        <v>10</v>
      </c>
      <c r="AA28" s="247">
        <f t="shared" si="20"/>
        <v>850</v>
      </c>
      <c r="AB28" s="247">
        <f t="shared" si="21"/>
        <v>585</v>
      </c>
      <c r="AC28" s="247">
        <f t="shared" si="22"/>
        <v>85</v>
      </c>
      <c r="AD28" s="71">
        <f>ELEC!Q29</f>
        <v>2406.9999999992433</v>
      </c>
      <c r="AE28" s="71">
        <f t="shared" si="26"/>
        <v>240.69999999992433</v>
      </c>
      <c r="AF28" s="342">
        <f t="shared" si="27"/>
        <v>0.15043749999995271</v>
      </c>
      <c r="AG28" s="342">
        <f t="shared" si="27"/>
        <v>9.4023437499970446E-5</v>
      </c>
      <c r="AH28" s="343">
        <f t="shared" si="23"/>
        <v>84.999905976562502</v>
      </c>
      <c r="AI28" s="71">
        <f t="shared" si="28"/>
        <v>619.52320675086014</v>
      </c>
      <c r="AJ28" s="249">
        <f t="shared" si="9"/>
        <v>0.25738396624472576</v>
      </c>
      <c r="AK28" s="249">
        <f t="shared" si="10"/>
        <v>61.952320675086014</v>
      </c>
      <c r="AL28">
        <f t="shared" si="24"/>
        <v>1</v>
      </c>
    </row>
    <row r="29" spans="1:38" ht="15" thickBot="1">
      <c r="A29" s="4">
        <f>ELEC!C30</f>
        <v>44984</v>
      </c>
      <c r="B29" s="520">
        <v>2157</v>
      </c>
      <c r="C29" s="247">
        <f t="shared" si="34"/>
        <v>9</v>
      </c>
      <c r="D29" s="441">
        <f t="shared" si="25"/>
        <v>844466</v>
      </c>
      <c r="E29" s="247">
        <f t="shared" si="12"/>
        <v>765</v>
      </c>
      <c r="F29" s="247">
        <f t="shared" si="0"/>
        <v>85</v>
      </c>
      <c r="G29" s="185"/>
      <c r="H29" s="238">
        <f t="shared" si="13"/>
        <v>12231</v>
      </c>
      <c r="I29" s="247" t="str">
        <f t="shared" si="1"/>
        <v>ok</v>
      </c>
      <c r="J29" s="440">
        <f t="shared" si="14"/>
        <v>149</v>
      </c>
      <c r="K29" s="247">
        <f t="shared" si="2"/>
        <v>0</v>
      </c>
      <c r="L29" s="441">
        <f t="shared" si="30"/>
        <v>392691</v>
      </c>
      <c r="M29" s="247">
        <f t="shared" si="3"/>
        <v>0</v>
      </c>
      <c r="N29" s="247">
        <v>250</v>
      </c>
      <c r="O29" s="185"/>
      <c r="P29" s="248">
        <f t="shared" si="16"/>
        <v>10873</v>
      </c>
      <c r="Q29" s="247" t="str">
        <f t="shared" si="33"/>
        <v>ok</v>
      </c>
      <c r="R29" s="440">
        <f t="shared" si="17"/>
        <v>13920</v>
      </c>
      <c r="S29" s="247">
        <f t="shared" si="5"/>
        <v>0</v>
      </c>
      <c r="T29" s="441">
        <f t="shared" si="31"/>
        <v>419262</v>
      </c>
      <c r="U29" s="247">
        <f>V29*S29</f>
        <v>0</v>
      </c>
      <c r="V29" s="247">
        <v>250</v>
      </c>
      <c r="W29" s="185"/>
      <c r="X29" s="238">
        <f t="shared" si="18"/>
        <v>14773</v>
      </c>
      <c r="Y29" s="247" t="str">
        <f t="shared" si="19"/>
        <v>ok</v>
      </c>
      <c r="Z29" s="247">
        <f t="shared" si="8"/>
        <v>9</v>
      </c>
      <c r="AA29" s="247">
        <f t="shared" si="20"/>
        <v>765</v>
      </c>
      <c r="AB29" s="247">
        <f t="shared" si="21"/>
        <v>585</v>
      </c>
      <c r="AC29" s="247">
        <f t="shared" si="22"/>
        <v>85</v>
      </c>
      <c r="AD29" s="71">
        <f>ELEC!Q30</f>
        <v>2324.0000000005239</v>
      </c>
      <c r="AE29" s="71">
        <f t="shared" si="26"/>
        <v>258.22222222228044</v>
      </c>
      <c r="AF29" s="342">
        <f t="shared" si="27"/>
        <v>0.16138888888892527</v>
      </c>
      <c r="AG29" s="342">
        <f t="shared" si="27"/>
        <v>1.008680555555783E-4</v>
      </c>
      <c r="AH29" s="343">
        <f t="shared" si="23"/>
        <v>84.999899131944446</v>
      </c>
      <c r="AI29" s="71">
        <f t="shared" si="28"/>
        <v>598.16033755287754</v>
      </c>
      <c r="AJ29" s="249">
        <f t="shared" si="9"/>
        <v>0.25738396624472576</v>
      </c>
      <c r="AK29" s="249">
        <f t="shared" si="10"/>
        <v>66.462259728097507</v>
      </c>
      <c r="AL29">
        <f t="shared" si="24"/>
        <v>1</v>
      </c>
    </row>
    <row r="30" spans="1:38" ht="15" thickBot="1">
      <c r="A30" s="4">
        <f>ELEC!C31</f>
        <v>44985</v>
      </c>
      <c r="B30" s="520">
        <f t="shared" si="29"/>
        <v>2157</v>
      </c>
      <c r="C30" s="247">
        <f t="shared" si="34"/>
        <v>0</v>
      </c>
      <c r="D30" s="441">
        <f t="shared" si="25"/>
        <v>844466</v>
      </c>
      <c r="E30" s="247">
        <f t="shared" si="12"/>
        <v>0</v>
      </c>
      <c r="F30" s="247">
        <f t="shared" si="0"/>
        <v>0</v>
      </c>
      <c r="G30" s="185"/>
      <c r="H30" s="238">
        <f t="shared" si="13"/>
        <v>12231</v>
      </c>
      <c r="I30" s="247" t="str">
        <f t="shared" si="1"/>
        <v>ok</v>
      </c>
      <c r="J30" s="440">
        <f t="shared" si="14"/>
        <v>149</v>
      </c>
      <c r="K30" s="247">
        <f t="shared" si="2"/>
        <v>0</v>
      </c>
      <c r="L30" s="441">
        <f t="shared" si="30"/>
        <v>392691</v>
      </c>
      <c r="M30" s="247">
        <f t="shared" si="3"/>
        <v>0</v>
      </c>
      <c r="N30" s="247">
        <v>250</v>
      </c>
      <c r="O30" s="185"/>
      <c r="P30" s="248">
        <f t="shared" si="16"/>
        <v>10873</v>
      </c>
      <c r="Q30" s="247" t="str">
        <f t="shared" si="33"/>
        <v>ok</v>
      </c>
      <c r="R30" s="440">
        <f t="shared" si="17"/>
        <v>13920</v>
      </c>
      <c r="S30" s="247">
        <f t="shared" si="5"/>
        <v>0</v>
      </c>
      <c r="T30" s="441">
        <f t="shared" si="31"/>
        <v>419262</v>
      </c>
      <c r="U30" s="247">
        <f t="shared" si="32"/>
        <v>0</v>
      </c>
      <c r="V30" s="247">
        <v>250</v>
      </c>
      <c r="W30" s="185"/>
      <c r="X30" s="238">
        <f t="shared" si="18"/>
        <v>14773</v>
      </c>
      <c r="Y30" s="247" t="str">
        <f t="shared" si="19"/>
        <v>ok</v>
      </c>
      <c r="Z30" s="247">
        <f t="shared" si="8"/>
        <v>0</v>
      </c>
      <c r="AA30" s="247">
        <f t="shared" si="20"/>
        <v>0</v>
      </c>
      <c r="AB30" s="247">
        <f t="shared" si="21"/>
        <v>500</v>
      </c>
      <c r="AC30" s="247">
        <f t="shared" si="22"/>
        <v>0</v>
      </c>
      <c r="AD30" s="71">
        <f>ELEC!Q31</f>
        <v>0</v>
      </c>
      <c r="AE30" s="71" t="e">
        <f t="shared" si="26"/>
        <v>#DIV/0!</v>
      </c>
      <c r="AF30" s="342" t="e">
        <f t="shared" si="27"/>
        <v>#DIV/0!</v>
      </c>
      <c r="AG30" s="342" t="e">
        <f t="shared" si="27"/>
        <v>#DIV/0!</v>
      </c>
      <c r="AH30" s="343" t="e">
        <f t="shared" si="23"/>
        <v>#DIV/0!</v>
      </c>
      <c r="AI30" s="71">
        <f t="shared" si="28"/>
        <v>0</v>
      </c>
      <c r="AJ30" s="249">
        <f t="shared" si="9"/>
        <v>0.25738396624472576</v>
      </c>
      <c r="AK30" s="249" t="e">
        <f t="shared" si="10"/>
        <v>#DIV/0!</v>
      </c>
      <c r="AL30">
        <f t="shared" si="24"/>
        <v>0</v>
      </c>
    </row>
    <row r="31" spans="1:38" ht="15" thickBot="1">
      <c r="A31" s="4">
        <f>ELEC!C32</f>
        <v>44986</v>
      </c>
      <c r="B31" s="520">
        <f t="shared" si="29"/>
        <v>2157</v>
      </c>
      <c r="C31" s="247">
        <f t="shared" si="34"/>
        <v>0</v>
      </c>
      <c r="D31" s="441">
        <f t="shared" si="25"/>
        <v>844466</v>
      </c>
      <c r="E31" s="247">
        <f t="shared" si="12"/>
        <v>0</v>
      </c>
      <c r="F31" s="247">
        <f t="shared" ref="F31" si="35">IF(C31&gt;0,E31/C31,0)</f>
        <v>0</v>
      </c>
      <c r="G31" s="185"/>
      <c r="H31" s="238">
        <f t="shared" si="13"/>
        <v>12231</v>
      </c>
      <c r="I31" s="247" t="str">
        <f t="shared" ref="I31" si="36">IF(B31-H31&lt;=0,"ok","oil change")</f>
        <v>ok</v>
      </c>
      <c r="J31" s="440">
        <f t="shared" si="14"/>
        <v>149</v>
      </c>
      <c r="K31" s="247">
        <f t="shared" si="2"/>
        <v>0</v>
      </c>
      <c r="L31" s="441">
        <f t="shared" si="30"/>
        <v>392691</v>
      </c>
      <c r="M31" s="247">
        <f t="shared" si="3"/>
        <v>0</v>
      </c>
      <c r="N31" s="247">
        <v>250</v>
      </c>
      <c r="O31" s="185"/>
      <c r="P31" s="248">
        <f t="shared" si="16"/>
        <v>10873</v>
      </c>
      <c r="Q31" s="247" t="str">
        <f t="shared" ref="Q31" si="37">IF(J31-P31&lt;=0,"ok","oil change")</f>
        <v>ok</v>
      </c>
      <c r="R31" s="440">
        <f t="shared" si="17"/>
        <v>13920</v>
      </c>
      <c r="S31" s="247">
        <f t="shared" ref="S31" si="38">R31-R30</f>
        <v>0</v>
      </c>
      <c r="T31" s="441">
        <f t="shared" si="31"/>
        <v>419262</v>
      </c>
      <c r="U31" s="247">
        <f t="shared" ref="U31" si="39">V31*S31</f>
        <v>0</v>
      </c>
      <c r="V31" s="247">
        <v>250</v>
      </c>
      <c r="W31" s="185"/>
      <c r="X31" s="238">
        <f t="shared" si="18"/>
        <v>14773</v>
      </c>
      <c r="Y31" s="247" t="str">
        <f t="shared" si="19"/>
        <v>ok</v>
      </c>
      <c r="Z31" s="247">
        <f t="shared" si="8"/>
        <v>0</v>
      </c>
      <c r="AA31" s="247">
        <f t="shared" ref="AA31" si="40">U31+M31+E31</f>
        <v>0</v>
      </c>
      <c r="AB31" s="247">
        <f t="shared" ref="AB31" si="41">V31+N31+F31</f>
        <v>500</v>
      </c>
      <c r="AC31" s="247">
        <f t="shared" ref="AC31" si="42">IF(Z31&gt;0,AA31/Z31,0)</f>
        <v>0</v>
      </c>
      <c r="AD31" s="71">
        <f>ELEC!Q32</f>
        <v>0</v>
      </c>
      <c r="AE31" s="71" t="e">
        <f t="shared" ref="AE31" si="43">SUM(AD31/Z31)</f>
        <v>#DIV/0!</v>
      </c>
      <c r="AF31" s="342" t="e">
        <f t="shared" ref="AF31" si="44">SUM(AE31/1600)</f>
        <v>#DIV/0!</v>
      </c>
      <c r="AG31" s="342" t="e">
        <f t="shared" ref="AG31" si="45">SUM(AF31/1600)</f>
        <v>#DIV/0!</v>
      </c>
      <c r="AH31" s="343" t="e">
        <f t="shared" ref="AH31" si="46">SUM(AC31-AG31)</f>
        <v>#DIV/0!</v>
      </c>
      <c r="AI31" s="71">
        <f t="shared" ref="AI31" si="47">AD31*AJ31</f>
        <v>0</v>
      </c>
      <c r="AJ31" s="249">
        <f t="shared" si="9"/>
        <v>0.25738396624472576</v>
      </c>
      <c r="AK31" s="249" t="e">
        <f t="shared" ref="AK31" si="48">AI31/Z31</f>
        <v>#DIV/0!</v>
      </c>
      <c r="AL31">
        <f t="shared" ref="AL31" si="49">IF(Z31=0,0,1)</f>
        <v>0</v>
      </c>
    </row>
    <row r="32" spans="1:38" ht="15" thickBot="1">
      <c r="A32" s="4"/>
      <c r="B32" s="520"/>
      <c r="C32" s="247"/>
      <c r="D32" s="441"/>
      <c r="E32" s="247"/>
      <c r="F32" s="247"/>
      <c r="G32" s="185"/>
      <c r="H32" s="238"/>
      <c r="I32" s="247"/>
      <c r="J32" s="440"/>
      <c r="K32" s="247"/>
      <c r="L32" s="441"/>
      <c r="M32" s="247"/>
      <c r="N32" s="247"/>
      <c r="O32" s="185"/>
      <c r="P32" s="248"/>
      <c r="Q32" s="247"/>
      <c r="R32" s="440"/>
      <c r="S32" s="247"/>
      <c r="T32" s="441"/>
      <c r="U32" s="247"/>
      <c r="V32" s="247"/>
      <c r="W32" s="185"/>
      <c r="X32" s="238"/>
      <c r="Y32" s="247"/>
      <c r="Z32" s="247"/>
      <c r="AA32" s="247"/>
      <c r="AB32" s="247"/>
      <c r="AC32" s="247"/>
      <c r="AD32" s="71"/>
      <c r="AE32" s="71"/>
      <c r="AF32" s="342"/>
      <c r="AG32" s="342"/>
      <c r="AH32" s="343"/>
      <c r="AI32" s="71"/>
      <c r="AJ32" s="249"/>
      <c r="AK32" s="249"/>
    </row>
    <row r="33" spans="1:38">
      <c r="A33" s="4"/>
      <c r="B33" s="520"/>
      <c r="C33" s="247"/>
      <c r="D33" s="441"/>
      <c r="E33" s="247"/>
      <c r="F33" s="247"/>
      <c r="G33" s="185"/>
      <c r="H33" s="238"/>
      <c r="I33" s="247"/>
      <c r="J33" s="440"/>
      <c r="K33" s="247"/>
      <c r="L33" s="441"/>
      <c r="M33" s="247"/>
      <c r="N33" s="247"/>
      <c r="O33" s="185"/>
      <c r="P33" s="248"/>
      <c r="Q33" s="247"/>
      <c r="R33" s="440"/>
      <c r="S33" s="247"/>
      <c r="T33" s="441"/>
      <c r="U33" s="247"/>
      <c r="V33" s="247"/>
      <c r="W33" s="185"/>
      <c r="X33" s="238"/>
      <c r="Y33" s="247"/>
      <c r="Z33" s="247"/>
      <c r="AA33" s="247"/>
      <c r="AB33" s="247"/>
      <c r="AC33" s="247"/>
      <c r="AD33" s="71"/>
      <c r="AE33" s="71"/>
      <c r="AF33" s="342"/>
      <c r="AG33" s="342"/>
      <c r="AH33" s="343"/>
      <c r="AI33" s="71"/>
      <c r="AJ33" s="249"/>
      <c r="AK33" s="249"/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185</v>
      </c>
      <c r="V34" s="39"/>
      <c r="X34">
        <v>341</v>
      </c>
      <c r="Z34" s="357">
        <f>SUM(Z3:Z33)</f>
        <v>185</v>
      </c>
      <c r="AF34" s="342">
        <f>SUM(AE34/1600)</f>
        <v>0</v>
      </c>
      <c r="AL34">
        <f>SUM(AL3:AL33)</f>
        <v>18</v>
      </c>
    </row>
    <row r="35" spans="1:38">
      <c r="C35" s="39">
        <f>SUM(C3:C33)</f>
        <v>184</v>
      </c>
      <c r="K35" s="39">
        <f>SUM(K3:K33)</f>
        <v>1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" thickBot="1">
      <c r="D40" s="238">
        <v>193</v>
      </c>
      <c r="T40">
        <v>10</v>
      </c>
    </row>
    <row r="41" spans="1:38" ht="15" thickBot="1">
      <c r="D41" s="440">
        <f>193+10</f>
        <v>203</v>
      </c>
      <c r="T41">
        <v>0</v>
      </c>
    </row>
    <row r="42" spans="1:38" ht="15" thickBot="1">
      <c r="D42" s="44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440">
        <f t="shared" ref="D43:D44" si="50">D42</f>
        <v>213</v>
      </c>
      <c r="T43">
        <v>8</v>
      </c>
    </row>
    <row r="44" spans="1:38" ht="15" thickBot="1">
      <c r="D44" s="440">
        <f t="shared" si="50"/>
        <v>213</v>
      </c>
      <c r="T44">
        <v>9</v>
      </c>
    </row>
    <row r="45" spans="1:38" ht="15" thickBot="1">
      <c r="D45" s="440">
        <f>213+8</f>
        <v>221</v>
      </c>
      <c r="T45">
        <v>10</v>
      </c>
    </row>
    <row r="46" spans="1:38" ht="15" thickBot="1">
      <c r="D46" s="440">
        <f>221+9</f>
        <v>230</v>
      </c>
      <c r="T46">
        <v>9</v>
      </c>
    </row>
    <row r="47" spans="1:38" ht="15" thickBot="1">
      <c r="D47" s="440">
        <f>230+10</f>
        <v>240</v>
      </c>
      <c r="T47">
        <v>9</v>
      </c>
    </row>
    <row r="48" spans="1:38" ht="15" thickBot="1">
      <c r="D48" s="440">
        <f>240+9</f>
        <v>249</v>
      </c>
    </row>
    <row r="49" spans="4:4" ht="15" thickBot="1">
      <c r="D49" s="440">
        <f>249+9</f>
        <v>258</v>
      </c>
    </row>
    <row r="50" spans="4:4">
      <c r="D50" s="440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5" zoomScaleNormal="55" workbookViewId="0">
      <selection activeCell="Q30" sqref="Q30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97" bestFit="1" customWidth="1"/>
    <col min="20" max="20" width="10.26953125" style="288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467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56" t="s">
        <v>125</v>
      </c>
      <c r="B1" s="156" t="s">
        <v>202</v>
      </c>
      <c r="C1" s="156" t="s">
        <v>203</v>
      </c>
      <c r="D1" s="156"/>
      <c r="E1" s="156"/>
      <c r="F1" s="156" t="s">
        <v>204</v>
      </c>
      <c r="G1" s="156">
        <v>320</v>
      </c>
      <c r="H1" s="156" t="s">
        <v>1</v>
      </c>
      <c r="I1" s="156">
        <v>112</v>
      </c>
      <c r="J1" s="156" t="s">
        <v>205</v>
      </c>
      <c r="K1" s="156">
        <v>80</v>
      </c>
      <c r="L1" s="156"/>
      <c r="M1" s="156"/>
      <c r="N1" s="156"/>
      <c r="O1" s="156"/>
      <c r="P1" s="156"/>
      <c r="Q1" s="156"/>
      <c r="R1" s="156"/>
      <c r="S1" s="255"/>
      <c r="T1" s="286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206</v>
      </c>
      <c r="M2" s="156" t="s">
        <v>207</v>
      </c>
      <c r="N2" s="156" t="s">
        <v>208</v>
      </c>
      <c r="O2" s="156" t="s">
        <v>209</v>
      </c>
      <c r="P2" s="156" t="s">
        <v>210</v>
      </c>
      <c r="Q2" s="156" t="s">
        <v>211</v>
      </c>
      <c r="R2" s="156" t="s">
        <v>212</v>
      </c>
      <c r="S2" s="255"/>
      <c r="T2" s="286"/>
    </row>
    <row r="3" spans="1:32" ht="20.149999999999999" customHeight="1" thickBot="1">
      <c r="A3" s="155">
        <v>44957</v>
      </c>
      <c r="B3" s="78">
        <f>'[2]EDl log'!B34</f>
        <v>1128115</v>
      </c>
      <c r="C3" s="78">
        <f>'[2]EDl log'!C34</f>
        <v>0</v>
      </c>
      <c r="D3" s="78">
        <f>'[2]EDl log'!D34</f>
        <v>0</v>
      </c>
      <c r="E3" s="78">
        <f>'[2]EDl log'!E34</f>
        <v>1128115</v>
      </c>
      <c r="F3" s="78">
        <f>'[2]EDl log'!F34</f>
        <v>161786</v>
      </c>
      <c r="G3" s="78">
        <f>'[2]EDl log'!G34</f>
        <v>0</v>
      </c>
      <c r="H3" s="78">
        <f>'[2]EDl log'!H34</f>
        <v>564388</v>
      </c>
      <c r="I3" s="78">
        <f>'[2]EDl log'!I34</f>
        <v>0</v>
      </c>
      <c r="J3" s="78">
        <f>'[2]EDl log'!J34</f>
        <v>401939</v>
      </c>
      <c r="K3" s="78">
        <f>'[2]EDl log'!K34</f>
        <v>0</v>
      </c>
      <c r="L3" s="78">
        <f>'[2]EDl log'!L34</f>
        <v>0</v>
      </c>
      <c r="M3" s="78">
        <f>'[2]EDl log'!M34</f>
        <v>0</v>
      </c>
      <c r="N3" s="78">
        <f>'[2]EDl log'!N34</f>
        <v>0</v>
      </c>
      <c r="O3" s="78">
        <f>'[2]EDl log'!O34</f>
        <v>154.80303857058792</v>
      </c>
      <c r="P3" s="78">
        <f>'[2]EDl log'!P34</f>
        <v>154.80303857058792</v>
      </c>
      <c r="Q3" s="78">
        <f>'[2]EDl log'!Q34</f>
        <v>1072.177016129031</v>
      </c>
      <c r="R3" s="78">
        <f>'[2]EDl log'!R34</f>
        <v>1226.9800546996189</v>
      </c>
      <c r="S3" s="78">
        <f>'[2]EDl log'!S34</f>
        <v>5006</v>
      </c>
      <c r="T3" s="78">
        <f>'[2]EDl log'!T34</f>
        <v>0.24510188867351557</v>
      </c>
      <c r="Z3" t="s">
        <v>213</v>
      </c>
      <c r="AA3">
        <v>0.1</v>
      </c>
    </row>
    <row r="4" spans="1:32" ht="20.149999999999999" customHeight="1">
      <c r="A4" s="155">
        <f>ELEC!C4</f>
        <v>44958</v>
      </c>
      <c r="B4" s="78">
        <v>1128442</v>
      </c>
      <c r="C4" s="78">
        <f t="shared" ref="C4" si="0">SUM(B4-B3)</f>
        <v>327</v>
      </c>
      <c r="D4" s="263">
        <f>SUM(G4+I4+K4)</f>
        <v>328</v>
      </c>
      <c r="E4" s="263">
        <f>B3+D4</f>
        <v>1128443</v>
      </c>
      <c r="F4" s="78">
        <v>161912</v>
      </c>
      <c r="G4" s="152">
        <f t="shared" ref="G4" si="1">F4-F3</f>
        <v>126</v>
      </c>
      <c r="H4" s="78">
        <v>564590</v>
      </c>
      <c r="I4" s="153">
        <f t="shared" ref="I4" si="2">H4-H3</f>
        <v>202</v>
      </c>
      <c r="J4" s="78">
        <f>J3</f>
        <v>401939</v>
      </c>
      <c r="K4" s="78">
        <f>K3</f>
        <v>0</v>
      </c>
      <c r="L4" s="253">
        <f t="shared" ref="L4:L13" si="3">SUM(G4*$Y$28)/1507.5</f>
        <v>26.746268656716417</v>
      </c>
      <c r="M4" s="253">
        <f t="shared" ref="M4:M13" si="4">SUM(I4*$Y$27)/1507.5</f>
        <v>15.007628524046435</v>
      </c>
      <c r="N4" s="253">
        <f t="shared" ref="N4:N13" si="5">SUM(K4*$Y$26)/1507.5</f>
        <v>0</v>
      </c>
      <c r="O4" s="253">
        <f>($AC$29/$A$37)/1507.5</f>
        <v>171.38907841743662</v>
      </c>
      <c r="P4" s="254">
        <f>SUM(L4:O4)</f>
        <v>213.14297559819948</v>
      </c>
      <c r="Q4" s="254">
        <f>SUM(-tanks!AX6*tanks!$AU$37)</f>
        <v>1481.8365483870823</v>
      </c>
      <c r="R4" s="254">
        <f>SUM(P4:Q4)</f>
        <v>1694.9795239852817</v>
      </c>
      <c r="S4" s="256">
        <f>SUM(ELEC!N4)</f>
        <v>3464</v>
      </c>
      <c r="T4" s="287">
        <f>IF(S4&gt;0,R4/S4,0)</f>
        <v>0.48931279560776031</v>
      </c>
      <c r="U4" s="226"/>
      <c r="V4" s="157" t="s">
        <v>214</v>
      </c>
      <c r="W4" s="158">
        <v>44949</v>
      </c>
      <c r="X4" s="159"/>
      <c r="Y4" s="159"/>
      <c r="Z4" s="160" t="s">
        <v>215</v>
      </c>
      <c r="AA4" s="159"/>
      <c r="AB4" s="568"/>
      <c r="AC4" s="569"/>
    </row>
    <row r="5" spans="1:32" ht="20.149999999999999" customHeight="1">
      <c r="A5" s="155">
        <f>ELEC!C5</f>
        <v>44959</v>
      </c>
      <c r="B5" s="78">
        <f t="shared" ref="B5:B16" si="6">B4</f>
        <v>1128442</v>
      </c>
      <c r="C5" s="78">
        <f t="shared" ref="C5:C18" si="7">SUM(B5-B4)</f>
        <v>0</v>
      </c>
      <c r="D5" s="263">
        <f t="shared" ref="D5:D18" si="8">SUM(G5+I5+K5)</f>
        <v>0</v>
      </c>
      <c r="E5" s="263">
        <f t="shared" ref="E5:E18" si="9">B4+D5</f>
        <v>1128442</v>
      </c>
      <c r="F5" s="78">
        <f t="shared" ref="F5:F32" si="10">F4</f>
        <v>161912</v>
      </c>
      <c r="G5" s="152">
        <f t="shared" ref="G5:G32" si="11">F5-F4</f>
        <v>0</v>
      </c>
      <c r="H5" s="78">
        <f t="shared" ref="H5:H32" si="12">H4</f>
        <v>564590</v>
      </c>
      <c r="I5" s="153">
        <f t="shared" ref="I5:I32" si="13">H5-H4</f>
        <v>0</v>
      </c>
      <c r="J5" s="78">
        <f t="shared" ref="J5:J32" si="14">J4</f>
        <v>401939</v>
      </c>
      <c r="K5" s="154">
        <f t="shared" ref="K5:K30" si="15">J5-J4</f>
        <v>0</v>
      </c>
      <c r="L5" s="253">
        <f t="shared" si="3"/>
        <v>0</v>
      </c>
      <c r="M5" s="253">
        <f t="shared" si="4"/>
        <v>0</v>
      </c>
      <c r="N5" s="253">
        <f t="shared" si="5"/>
        <v>0</v>
      </c>
      <c r="O5" s="253">
        <f t="shared" ref="O5:O32" si="16">($AC$29/$A$37)/1507.5</f>
        <v>171.38907841743662</v>
      </c>
      <c r="P5" s="254">
        <f t="shared" ref="P5:P30" si="17">SUM(L5:O5)</f>
        <v>171.38907841743662</v>
      </c>
      <c r="Q5" s="254">
        <f>SUM(-tanks!AX7*tanks!$AU$37)</f>
        <v>584.36903225805918</v>
      </c>
      <c r="R5" s="254">
        <f t="shared" ref="R5:R30" si="18">SUM(P5:Q5)</f>
        <v>755.7581106754958</v>
      </c>
      <c r="S5" s="256">
        <f>SUM(ELEC!N5)</f>
        <v>3065</v>
      </c>
      <c r="T5" s="287">
        <f>IF(S5&gt;0,R5/S5,0)</f>
        <v>0.2465768713460019</v>
      </c>
      <c r="U5" s="226"/>
      <c r="V5" s="562"/>
      <c r="W5" s="563"/>
      <c r="X5" s="563"/>
      <c r="Y5" s="564"/>
      <c r="Z5" s="25" t="s">
        <v>216</v>
      </c>
      <c r="AA5" s="25">
        <v>5000</v>
      </c>
      <c r="AB5" s="570"/>
      <c r="AC5" s="571"/>
    </row>
    <row r="6" spans="1:32" ht="20.149999999999999" customHeight="1">
      <c r="A6" s="155">
        <f>ELEC!C6</f>
        <v>44960</v>
      </c>
      <c r="B6" s="78">
        <f t="shared" si="6"/>
        <v>1128442</v>
      </c>
      <c r="C6" s="78">
        <f t="shared" si="7"/>
        <v>0</v>
      </c>
      <c r="D6" s="263">
        <f t="shared" si="8"/>
        <v>0</v>
      </c>
      <c r="E6" s="263">
        <f t="shared" si="9"/>
        <v>1128442</v>
      </c>
      <c r="F6" s="78">
        <f t="shared" si="10"/>
        <v>161912</v>
      </c>
      <c r="G6" s="152">
        <f t="shared" si="11"/>
        <v>0</v>
      </c>
      <c r="H6" s="78">
        <f t="shared" si="12"/>
        <v>564590</v>
      </c>
      <c r="I6" s="153">
        <f t="shared" si="13"/>
        <v>0</v>
      </c>
      <c r="J6" s="78">
        <f t="shared" si="14"/>
        <v>401939</v>
      </c>
      <c r="K6" s="154">
        <f t="shared" si="15"/>
        <v>0</v>
      </c>
      <c r="L6" s="253">
        <f t="shared" si="3"/>
        <v>0</v>
      </c>
      <c r="M6" s="253">
        <f t="shared" si="4"/>
        <v>0</v>
      </c>
      <c r="N6" s="253">
        <f t="shared" si="5"/>
        <v>0</v>
      </c>
      <c r="O6" s="253">
        <f t="shared" si="16"/>
        <v>171.38907841743662</v>
      </c>
      <c r="P6" s="254">
        <f t="shared" si="17"/>
        <v>171.38907841743662</v>
      </c>
      <c r="Q6" s="254">
        <f>SUM(-tanks!AX8*tanks!$AU$37)</f>
        <v>-0.51659999997995321</v>
      </c>
      <c r="R6" s="254">
        <f t="shared" si="18"/>
        <v>170.87247841745668</v>
      </c>
      <c r="S6" s="256">
        <f>SUM(ELEC!N6)</f>
        <v>0</v>
      </c>
      <c r="T6" s="287">
        <f t="shared" ref="T6:T30" si="19">IF(S6&gt;0,R6/S6,0)</f>
        <v>0</v>
      </c>
      <c r="V6" s="565"/>
      <c r="W6" s="566"/>
      <c r="X6" s="566"/>
      <c r="Y6" s="567"/>
      <c r="Z6" s="574"/>
      <c r="AA6" s="575"/>
      <c r="AB6" s="570"/>
      <c r="AC6" s="571"/>
    </row>
    <row r="7" spans="1:32" ht="20.149999999999999" customHeight="1">
      <c r="A7" s="155">
        <f>ELEC!C7</f>
        <v>44961</v>
      </c>
      <c r="B7" s="78">
        <f t="shared" si="6"/>
        <v>1128442</v>
      </c>
      <c r="C7" s="78">
        <f t="shared" si="7"/>
        <v>0</v>
      </c>
      <c r="D7" s="263">
        <f t="shared" si="8"/>
        <v>0</v>
      </c>
      <c r="E7" s="263">
        <f t="shared" si="9"/>
        <v>1128442</v>
      </c>
      <c r="F7" s="78">
        <f t="shared" si="10"/>
        <v>161912</v>
      </c>
      <c r="G7" s="152">
        <f t="shared" si="11"/>
        <v>0</v>
      </c>
      <c r="H7" s="78">
        <f t="shared" si="12"/>
        <v>564590</v>
      </c>
      <c r="I7" s="153">
        <f t="shared" si="13"/>
        <v>0</v>
      </c>
      <c r="J7" s="78">
        <f t="shared" si="14"/>
        <v>401939</v>
      </c>
      <c r="K7" s="154">
        <f t="shared" si="15"/>
        <v>0</v>
      </c>
      <c r="L7" s="253">
        <f t="shared" si="3"/>
        <v>0</v>
      </c>
      <c r="M7" s="253">
        <f t="shared" si="4"/>
        <v>0</v>
      </c>
      <c r="N7" s="253">
        <f t="shared" si="5"/>
        <v>0</v>
      </c>
      <c r="O7" s="253">
        <f t="shared" si="16"/>
        <v>171.38907841743662</v>
      </c>
      <c r="P7" s="254">
        <f t="shared" si="17"/>
        <v>171.38907841743662</v>
      </c>
      <c r="Q7" s="254">
        <f>SUM(-tanks!AX9*tanks!$AU$37)</f>
        <v>0</v>
      </c>
      <c r="R7" s="254">
        <f t="shared" si="18"/>
        <v>171.38907841743662</v>
      </c>
      <c r="S7" s="256">
        <f>SUM(ELEC!N7)</f>
        <v>0</v>
      </c>
      <c r="T7" s="287">
        <f t="shared" si="19"/>
        <v>0</v>
      </c>
      <c r="V7" s="557" t="s">
        <v>217</v>
      </c>
      <c r="W7" s="558"/>
      <c r="X7" s="559" t="s">
        <v>218</v>
      </c>
      <c r="Y7" s="560"/>
      <c r="Z7" s="561"/>
      <c r="AA7" s="161"/>
      <c r="AB7" s="572"/>
      <c r="AC7" s="573"/>
    </row>
    <row r="8" spans="1:32" ht="20.149999999999999" customHeight="1">
      <c r="A8" s="155">
        <f>ELEC!C8</f>
        <v>44962</v>
      </c>
      <c r="B8" s="78">
        <f t="shared" si="6"/>
        <v>1128442</v>
      </c>
      <c r="C8" s="78">
        <f t="shared" si="7"/>
        <v>0</v>
      </c>
      <c r="D8" s="263">
        <f t="shared" si="8"/>
        <v>0</v>
      </c>
      <c r="E8" s="263">
        <f t="shared" si="9"/>
        <v>1128442</v>
      </c>
      <c r="F8" s="78">
        <f t="shared" si="10"/>
        <v>161912</v>
      </c>
      <c r="G8" s="152">
        <f t="shared" si="11"/>
        <v>0</v>
      </c>
      <c r="H8" s="78">
        <f t="shared" si="12"/>
        <v>564590</v>
      </c>
      <c r="I8" s="153">
        <f t="shared" si="13"/>
        <v>0</v>
      </c>
      <c r="J8" s="78">
        <f t="shared" si="14"/>
        <v>401939</v>
      </c>
      <c r="K8" s="154">
        <f>J8-J7</f>
        <v>0</v>
      </c>
      <c r="L8" s="253">
        <f t="shared" si="3"/>
        <v>0</v>
      </c>
      <c r="M8" s="253">
        <f t="shared" si="4"/>
        <v>0</v>
      </c>
      <c r="N8" s="253">
        <f t="shared" si="5"/>
        <v>0</v>
      </c>
      <c r="O8" s="253">
        <f t="shared" si="16"/>
        <v>171.38907841743662</v>
      </c>
      <c r="P8" s="254">
        <f t="shared" si="17"/>
        <v>171.38907841743662</v>
      </c>
      <c r="Q8" s="254">
        <f>SUM(-tanks!AX10*tanks!$AU$37)</f>
        <v>881.41403225808415</v>
      </c>
      <c r="R8" s="254">
        <f t="shared" si="18"/>
        <v>1052.8031106755207</v>
      </c>
      <c r="S8" s="256">
        <f>SUM(ELEC!N8)</f>
        <v>3261</v>
      </c>
      <c r="T8" s="287">
        <f>IF(S8&gt;0,R8/S8,0)</f>
        <v>0.3228467067388901</v>
      </c>
      <c r="V8" s="224" t="s">
        <v>219</v>
      </c>
      <c r="W8" s="184" t="s">
        <v>220</v>
      </c>
      <c r="X8" s="184"/>
      <c r="Y8" s="184" t="s">
        <v>221</v>
      </c>
      <c r="Z8" s="184" t="s">
        <v>222</v>
      </c>
      <c r="AA8" s="184" t="s">
        <v>223</v>
      </c>
      <c r="AB8" s="184" t="s">
        <v>224</v>
      </c>
      <c r="AC8" s="162" t="s">
        <v>225</v>
      </c>
    </row>
    <row r="9" spans="1:32" ht="20.149999999999999" customHeight="1">
      <c r="A9" s="155">
        <f>ELEC!C9</f>
        <v>44963</v>
      </c>
      <c r="B9" s="78">
        <f t="shared" si="6"/>
        <v>1128442</v>
      </c>
      <c r="C9" s="78">
        <f t="shared" si="7"/>
        <v>0</v>
      </c>
      <c r="D9" s="263">
        <f t="shared" si="8"/>
        <v>0</v>
      </c>
      <c r="E9" s="263">
        <f t="shared" si="9"/>
        <v>1128442</v>
      </c>
      <c r="F9" s="78">
        <f t="shared" si="10"/>
        <v>161912</v>
      </c>
      <c r="G9" s="152">
        <f t="shared" si="11"/>
        <v>0</v>
      </c>
      <c r="H9" s="78">
        <f t="shared" si="12"/>
        <v>564590</v>
      </c>
      <c r="I9" s="153">
        <f t="shared" si="13"/>
        <v>0</v>
      </c>
      <c r="J9" s="78">
        <f t="shared" si="14"/>
        <v>401939</v>
      </c>
      <c r="K9" s="154">
        <f>J9-J8</f>
        <v>0</v>
      </c>
      <c r="L9" s="253">
        <f t="shared" si="3"/>
        <v>0</v>
      </c>
      <c r="M9" s="253">
        <f t="shared" si="4"/>
        <v>0</v>
      </c>
      <c r="N9" s="253">
        <f t="shared" si="5"/>
        <v>0</v>
      </c>
      <c r="O9" s="253">
        <f t="shared" si="16"/>
        <v>171.38907841743662</v>
      </c>
      <c r="P9" s="254">
        <f t="shared" si="17"/>
        <v>171.38907841743662</v>
      </c>
      <c r="Q9" s="254">
        <f>SUM(-tanks!AX11*tanks!$AU$37)</f>
        <v>1078.8218903225506</v>
      </c>
      <c r="R9" s="254">
        <f>SUM(P9:Q9)</f>
        <v>1250.2109687399873</v>
      </c>
      <c r="S9" s="256">
        <f>SUM(ELEC!N9)</f>
        <v>3298</v>
      </c>
      <c r="T9" s="287">
        <f t="shared" si="19"/>
        <v>0.37908155510612107</v>
      </c>
      <c r="V9" s="227">
        <f>'[2]EDl log'!V26</f>
        <v>401934</v>
      </c>
      <c r="W9" s="227">
        <f>'[2]EDl log'!W26</f>
        <v>401939</v>
      </c>
      <c r="X9" s="227" t="str">
        <f>'[2]EDl log'!X26</f>
        <v>Night</v>
      </c>
      <c r="Y9" s="227">
        <f>'[2]EDl log'!Y26</f>
        <v>80</v>
      </c>
      <c r="Z9" s="227">
        <f>'[2]EDl log'!Z26</f>
        <v>1</v>
      </c>
      <c r="AA9" s="227">
        <f>'[2]EDl log'!AA26</f>
        <v>5</v>
      </c>
      <c r="AB9" s="522">
        <f>'[2]EDl log'!AB26</f>
        <v>400</v>
      </c>
      <c r="AC9" s="522">
        <f>'[2]EDl log'!AC26</f>
        <v>1033333</v>
      </c>
      <c r="AD9" s="227">
        <f>'[2]EDl log'!AD26</f>
        <v>0</v>
      </c>
      <c r="AE9" s="522">
        <f>'[5]EDl log'!AE26</f>
        <v>0</v>
      </c>
      <c r="AF9" s="522">
        <f>'[5]EDl log'!AF26</f>
        <v>0</v>
      </c>
    </row>
    <row r="10" spans="1:32" ht="20.149999999999999" customHeight="1">
      <c r="A10" s="155">
        <f>ELEC!C10</f>
        <v>44964</v>
      </c>
      <c r="B10" s="78">
        <f t="shared" si="6"/>
        <v>1128442</v>
      </c>
      <c r="C10" s="78">
        <f t="shared" si="7"/>
        <v>0</v>
      </c>
      <c r="D10" s="263">
        <f t="shared" si="8"/>
        <v>0</v>
      </c>
      <c r="E10" s="263">
        <f t="shared" si="9"/>
        <v>1128442</v>
      </c>
      <c r="F10" s="78">
        <f t="shared" si="10"/>
        <v>161912</v>
      </c>
      <c r="G10" s="152">
        <f t="shared" si="11"/>
        <v>0</v>
      </c>
      <c r="H10" s="78">
        <f t="shared" si="12"/>
        <v>564590</v>
      </c>
      <c r="I10" s="153">
        <f t="shared" si="13"/>
        <v>0</v>
      </c>
      <c r="J10" s="78">
        <f t="shared" si="14"/>
        <v>401939</v>
      </c>
      <c r="K10" s="154">
        <f t="shared" si="15"/>
        <v>0</v>
      </c>
      <c r="L10" s="253">
        <f t="shared" si="3"/>
        <v>0</v>
      </c>
      <c r="M10" s="253">
        <f t="shared" si="4"/>
        <v>0</v>
      </c>
      <c r="N10" s="253">
        <f t="shared" si="5"/>
        <v>0</v>
      </c>
      <c r="O10" s="253">
        <f t="shared" si="16"/>
        <v>171.38907841743662</v>
      </c>
      <c r="P10" s="254">
        <f t="shared" si="17"/>
        <v>171.38907841743662</v>
      </c>
      <c r="Q10" s="254">
        <f>SUM(-tanks!AX12*tanks!$AU$37)</f>
        <v>1095.5252903225771</v>
      </c>
      <c r="R10" s="254">
        <f t="shared" si="18"/>
        <v>1266.9143687400137</v>
      </c>
      <c r="S10" s="256">
        <f>SUM(ELEC!N10)</f>
        <v>3712</v>
      </c>
      <c r="T10" s="287">
        <f t="shared" si="19"/>
        <v>0.34130236226832267</v>
      </c>
      <c r="V10" s="227">
        <f>'[2]EDl log'!V27</f>
        <v>563190</v>
      </c>
      <c r="W10" s="227">
        <f>'[2]EDl log'!W27</f>
        <v>564388</v>
      </c>
      <c r="X10" s="227" t="str">
        <f>'[2]EDl log'!X27</f>
        <v>day</v>
      </c>
      <c r="Y10" s="227">
        <f>'[2]EDl log'!Y27</f>
        <v>112</v>
      </c>
      <c r="Z10" s="227">
        <f>'[2]EDl log'!Z27</f>
        <v>1</v>
      </c>
      <c r="AA10" s="227">
        <f>'[2]EDl log'!AA27</f>
        <v>1198</v>
      </c>
      <c r="AB10" s="522">
        <f>'[2]EDl log'!AB27</f>
        <v>134176</v>
      </c>
      <c r="AC10" s="522">
        <f>'[2]EDl log'!AC27</f>
        <v>6200000</v>
      </c>
      <c r="AD10" s="227">
        <f>'[2]EDl log'!AD27</f>
        <v>0.99831081081081086</v>
      </c>
      <c r="AE10" s="522">
        <f>'[5]EDl log'!AE27</f>
        <v>0</v>
      </c>
      <c r="AF10" s="522">
        <f>'[5]EDl log'!AF27</f>
        <v>0</v>
      </c>
    </row>
    <row r="11" spans="1:32" ht="20.149999999999999" customHeight="1">
      <c r="A11" s="155">
        <f>ELEC!C11</f>
        <v>44965</v>
      </c>
      <c r="B11" s="78">
        <v>1128906</v>
      </c>
      <c r="C11" s="78">
        <f t="shared" si="7"/>
        <v>464</v>
      </c>
      <c r="D11" s="263">
        <f t="shared" si="8"/>
        <v>464</v>
      </c>
      <c r="E11" s="263">
        <f t="shared" si="9"/>
        <v>1128906</v>
      </c>
      <c r="F11" s="78">
        <f t="shared" si="10"/>
        <v>161912</v>
      </c>
      <c r="G11" s="152">
        <f t="shared" si="11"/>
        <v>0</v>
      </c>
      <c r="H11" s="78">
        <v>565050</v>
      </c>
      <c r="I11" s="153">
        <f t="shared" si="13"/>
        <v>460</v>
      </c>
      <c r="J11" s="78">
        <v>401943</v>
      </c>
      <c r="K11" s="154">
        <f t="shared" si="15"/>
        <v>4</v>
      </c>
      <c r="L11" s="253">
        <f t="shared" si="3"/>
        <v>0</v>
      </c>
      <c r="M11" s="253">
        <f t="shared" si="4"/>
        <v>34.175787728026535</v>
      </c>
      <c r="N11" s="253">
        <f t="shared" si="5"/>
        <v>0.21227197346600332</v>
      </c>
      <c r="O11" s="253">
        <f t="shared" si="16"/>
        <v>171.38907841743662</v>
      </c>
      <c r="P11" s="254">
        <f t="shared" si="17"/>
        <v>205.77713811892914</v>
      </c>
      <c r="Q11" s="254">
        <f>SUM(-tanks!AX13*tanks!$AU$37)</f>
        <v>-115.87393548386267</v>
      </c>
      <c r="R11" s="254">
        <f t="shared" si="18"/>
        <v>89.903202635066478</v>
      </c>
      <c r="S11" s="256">
        <f>SUM(ELEC!N11)</f>
        <v>3438</v>
      </c>
      <c r="T11" s="287">
        <f t="shared" si="19"/>
        <v>2.6149855333061803E-2</v>
      </c>
      <c r="V11" s="227">
        <f>'[2]EDl log'!V28</f>
        <v>161640</v>
      </c>
      <c r="W11" s="227">
        <f>'[2]EDl log'!W28</f>
        <v>161786</v>
      </c>
      <c r="X11" s="227" t="str">
        <f>'[2]EDl log'!X28</f>
        <v>Peak</v>
      </c>
      <c r="Y11" s="227">
        <f>'[2]EDl log'!Y28</f>
        <v>320</v>
      </c>
      <c r="Z11" s="227">
        <f>'[2]EDl log'!Z28</f>
        <v>1</v>
      </c>
      <c r="AA11" s="227">
        <f>'[2]EDl log'!AA28</f>
        <v>146</v>
      </c>
      <c r="AB11" s="522">
        <f>'[2]EDl log'!AB28</f>
        <v>46720</v>
      </c>
      <c r="AC11" s="522">
        <f>'[2]EDl log'!AC28</f>
        <v>1000</v>
      </c>
      <c r="AD11" s="227">
        <f>'[2]EDl log'!AD28</f>
        <v>0</v>
      </c>
      <c r="AE11" s="522">
        <f>'[5]EDl log'!AE28</f>
        <v>2896</v>
      </c>
      <c r="AF11" s="522">
        <f>'[5]EDl log'!AF28</f>
        <v>12825.142857142857</v>
      </c>
    </row>
    <row r="12" spans="1:32" ht="20.149999999999999" customHeight="1">
      <c r="A12" s="155">
        <f>ELEC!C12</f>
        <v>44966</v>
      </c>
      <c r="B12" s="78">
        <f t="shared" si="6"/>
        <v>1128906</v>
      </c>
      <c r="C12" s="78">
        <f t="shared" si="7"/>
        <v>0</v>
      </c>
      <c r="D12" s="263">
        <f t="shared" si="8"/>
        <v>0</v>
      </c>
      <c r="E12" s="263">
        <f t="shared" si="9"/>
        <v>1128906</v>
      </c>
      <c r="F12" s="78">
        <f t="shared" si="10"/>
        <v>161912</v>
      </c>
      <c r="G12" s="152">
        <f t="shared" si="11"/>
        <v>0</v>
      </c>
      <c r="H12" s="78">
        <f t="shared" si="12"/>
        <v>565050</v>
      </c>
      <c r="I12" s="153">
        <f t="shared" si="13"/>
        <v>0</v>
      </c>
      <c r="J12" s="78">
        <f t="shared" si="14"/>
        <v>401943</v>
      </c>
      <c r="K12" s="154">
        <f t="shared" si="15"/>
        <v>0</v>
      </c>
      <c r="L12" s="253">
        <f t="shared" si="3"/>
        <v>0</v>
      </c>
      <c r="M12" s="253">
        <f t="shared" si="4"/>
        <v>0</v>
      </c>
      <c r="N12" s="253">
        <f t="shared" si="5"/>
        <v>0</v>
      </c>
      <c r="O12" s="253">
        <f t="shared" si="16"/>
        <v>171.38907841743662</v>
      </c>
      <c r="P12" s="254">
        <f t="shared" si="17"/>
        <v>171.38907841743662</v>
      </c>
      <c r="Q12" s="254">
        <f>SUM(-tanks!AX14*tanks!$AU$37)</f>
        <v>0</v>
      </c>
      <c r="R12" s="254">
        <f t="shared" si="18"/>
        <v>171.38907841743662</v>
      </c>
      <c r="S12" s="256">
        <f>SUM(ELEC!N12)</f>
        <v>0</v>
      </c>
      <c r="T12" s="287">
        <f t="shared" si="19"/>
        <v>0</v>
      </c>
      <c r="V12" s="200"/>
      <c r="X12" s="201"/>
      <c r="Y12" s="227"/>
      <c r="Z12" s="227"/>
      <c r="AA12" s="227">
        <f>'[2]EDl log'!AA29</f>
        <v>1349</v>
      </c>
      <c r="AB12" s="522">
        <f>'[2]EDl log'!AB29</f>
        <v>181296</v>
      </c>
      <c r="AC12" s="522">
        <f>'[2]EDl log'!AC29</f>
        <v>7234333</v>
      </c>
      <c r="AD12" s="521"/>
    </row>
    <row r="13" spans="1:32" ht="20.149999999999999" customHeight="1">
      <c r="A13" s="155">
        <f>ELEC!C13</f>
        <v>44967</v>
      </c>
      <c r="B13" s="78">
        <f t="shared" si="6"/>
        <v>1128906</v>
      </c>
      <c r="C13" s="78">
        <f t="shared" si="7"/>
        <v>0</v>
      </c>
      <c r="D13" s="263">
        <f t="shared" si="8"/>
        <v>0</v>
      </c>
      <c r="E13" s="263">
        <f t="shared" si="9"/>
        <v>1128906</v>
      </c>
      <c r="F13" s="78">
        <f t="shared" si="10"/>
        <v>161912</v>
      </c>
      <c r="G13" s="152">
        <f t="shared" si="11"/>
        <v>0</v>
      </c>
      <c r="H13" s="78">
        <f t="shared" si="12"/>
        <v>565050</v>
      </c>
      <c r="I13" s="153">
        <f t="shared" si="13"/>
        <v>0</v>
      </c>
      <c r="J13" s="78">
        <f t="shared" si="14"/>
        <v>401943</v>
      </c>
      <c r="K13" s="154">
        <f t="shared" si="15"/>
        <v>0</v>
      </c>
      <c r="L13" s="253">
        <f t="shared" si="3"/>
        <v>0</v>
      </c>
      <c r="M13" s="253">
        <f t="shared" si="4"/>
        <v>0</v>
      </c>
      <c r="N13" s="253">
        <f t="shared" si="5"/>
        <v>0</v>
      </c>
      <c r="O13" s="253">
        <f t="shared" si="16"/>
        <v>171.38907841743662</v>
      </c>
      <c r="P13" s="254">
        <f t="shared" si="17"/>
        <v>171.38907841743662</v>
      </c>
      <c r="Q13" s="254">
        <f>SUM(-tanks!AX15*tanks!$AU$37)</f>
        <v>0</v>
      </c>
      <c r="R13" s="254">
        <f t="shared" si="18"/>
        <v>171.38907841743662</v>
      </c>
      <c r="S13" s="256">
        <f>SUM(ELEC!N13)</f>
        <v>0</v>
      </c>
      <c r="T13" s="287">
        <f>IF(S13&gt;0,R13/S13,0)</f>
        <v>0</v>
      </c>
      <c r="V13" s="202" t="s">
        <v>226</v>
      </c>
      <c r="W13" s="508">
        <f>'[2]EDl log'!$W$30</f>
        <v>0</v>
      </c>
      <c r="Y13" s="203" t="s">
        <v>227</v>
      </c>
      <c r="Z13" s="3"/>
      <c r="AA13" s="227"/>
      <c r="AB13" s="522">
        <f>'[2]EDl log'!AB30</f>
        <v>7415629</v>
      </c>
      <c r="AC13" s="522">
        <f>'[2]EDl log'!AC30</f>
        <v>0</v>
      </c>
      <c r="AD13" s="521"/>
    </row>
    <row r="14" spans="1:32" ht="20.149999999999999" customHeight="1">
      <c r="A14" s="155">
        <f>ELEC!C14</f>
        <v>44968</v>
      </c>
      <c r="B14" s="78">
        <f t="shared" si="6"/>
        <v>1128906</v>
      </c>
      <c r="C14" s="78">
        <f t="shared" si="7"/>
        <v>0</v>
      </c>
      <c r="D14" s="263">
        <f t="shared" si="8"/>
        <v>0</v>
      </c>
      <c r="E14" s="263">
        <f t="shared" si="9"/>
        <v>1128906</v>
      </c>
      <c r="F14" s="78">
        <f t="shared" si="10"/>
        <v>161912</v>
      </c>
      <c r="G14" s="152">
        <f t="shared" si="11"/>
        <v>0</v>
      </c>
      <c r="H14" s="78">
        <f t="shared" si="12"/>
        <v>565050</v>
      </c>
      <c r="I14" s="153">
        <f t="shared" si="13"/>
        <v>0</v>
      </c>
      <c r="J14" s="78">
        <f t="shared" si="14"/>
        <v>401943</v>
      </c>
      <c r="K14" s="154">
        <f>J14-J13</f>
        <v>0</v>
      </c>
      <c r="L14" s="253">
        <f>SUM(G14*$Y$28)/1507.5</f>
        <v>0</v>
      </c>
      <c r="M14" s="253">
        <f>SUM(I14*$Y$27)/1507.5</f>
        <v>0</v>
      </c>
      <c r="N14" s="253">
        <f>SUM(K14*$Y$26)/1507.5</f>
        <v>0</v>
      </c>
      <c r="O14" s="253">
        <f t="shared" si="16"/>
        <v>171.38907841743662</v>
      </c>
      <c r="P14" s="254">
        <f>SUM(L14:O14)</f>
        <v>171.38907841743662</v>
      </c>
      <c r="Q14" s="254">
        <f>SUM(-tanks!AX16*tanks!$AU$37)</f>
        <v>0</v>
      </c>
      <c r="R14" s="254">
        <f>SUM(P14:Q14)</f>
        <v>171.38907841743662</v>
      </c>
      <c r="S14" s="256">
        <f>SUM(ELEC!N14)</f>
        <v>0</v>
      </c>
      <c r="T14" s="287">
        <f>IF(S14&gt;0,R14/S14,0)</f>
        <v>0</v>
      </c>
      <c r="V14" s="202"/>
      <c r="Y14" s="203"/>
      <c r="Z14" s="3"/>
      <c r="AA14" s="227"/>
      <c r="AB14" s="522">
        <f>'[2]EDl log'!AB31</f>
        <v>0</v>
      </c>
      <c r="AC14" s="522">
        <f>'[2]EDl log'!AC31</f>
        <v>0</v>
      </c>
      <c r="AD14" s="521"/>
    </row>
    <row r="15" spans="1:32" ht="20.149999999999999" customHeight="1">
      <c r="A15" s="155">
        <f>ELEC!C15</f>
        <v>44969</v>
      </c>
      <c r="B15" s="78">
        <f t="shared" si="6"/>
        <v>1128906</v>
      </c>
      <c r="C15" s="78">
        <f t="shared" si="7"/>
        <v>0</v>
      </c>
      <c r="D15" s="263">
        <f t="shared" si="8"/>
        <v>0</v>
      </c>
      <c r="E15" s="263">
        <f t="shared" si="9"/>
        <v>1128906</v>
      </c>
      <c r="F15" s="78">
        <f t="shared" si="10"/>
        <v>161912</v>
      </c>
      <c r="G15" s="152">
        <f t="shared" si="11"/>
        <v>0</v>
      </c>
      <c r="H15" s="78">
        <f t="shared" si="12"/>
        <v>565050</v>
      </c>
      <c r="I15" s="153">
        <f t="shared" si="13"/>
        <v>0</v>
      </c>
      <c r="J15" s="78">
        <f t="shared" si="14"/>
        <v>401943</v>
      </c>
      <c r="K15" s="154">
        <f>J15-J14</f>
        <v>0</v>
      </c>
      <c r="L15" s="253">
        <f>SUM(G15*$Y$28)/1507.5</f>
        <v>0</v>
      </c>
      <c r="M15" s="253">
        <f>SUM(I15*$Y$27)/1507.5</f>
        <v>0</v>
      </c>
      <c r="N15" s="253">
        <f>SUM(K15*$Y$26)/1507.5</f>
        <v>0</v>
      </c>
      <c r="O15" s="253">
        <f t="shared" si="16"/>
        <v>171.38907841743662</v>
      </c>
      <c r="P15" s="254">
        <f>SUM(L15:O15)</f>
        <v>171.38907841743662</v>
      </c>
      <c r="Q15" s="254">
        <f>SUM(-tanks!AX17*tanks!$AU$37)</f>
        <v>772.65029032257087</v>
      </c>
      <c r="R15" s="254">
        <f>SUM(P15:Q15)</f>
        <v>944.03936874000749</v>
      </c>
      <c r="S15" s="256">
        <f>SUM(ELEC!N15)</f>
        <v>3003</v>
      </c>
      <c r="T15" s="287">
        <f>IF(S15&gt;0,R15/S15,0)</f>
        <v>0.31436542415584667</v>
      </c>
      <c r="V15" s="202" t="s">
        <v>228</v>
      </c>
      <c r="W15" s="523">
        <f>'[2]EDl log'!W32</f>
        <v>253</v>
      </c>
      <c r="X15" s="523">
        <f>'[2]EDl log'!X32</f>
        <v>63.25</v>
      </c>
      <c r="Y15" s="523">
        <f>'[2]EDl log'!Y32</f>
        <v>63.25</v>
      </c>
      <c r="Z15" s="523"/>
      <c r="AA15" s="227"/>
      <c r="AB15" s="522">
        <f>'[2]EDl log'!AB32</f>
        <v>0</v>
      </c>
      <c r="AC15" s="522">
        <f>'[2]EDl log'!AC32</f>
        <v>0</v>
      </c>
      <c r="AD15" s="521"/>
    </row>
    <row r="16" spans="1:32" ht="20.149999999999999" customHeight="1">
      <c r="A16" s="155">
        <f>ELEC!C16</f>
        <v>44970</v>
      </c>
      <c r="B16" s="78">
        <f t="shared" si="6"/>
        <v>1128906</v>
      </c>
      <c r="C16" s="78">
        <f t="shared" si="7"/>
        <v>0</v>
      </c>
      <c r="D16" s="263">
        <f t="shared" si="8"/>
        <v>0</v>
      </c>
      <c r="E16" s="263">
        <f t="shared" si="9"/>
        <v>1128906</v>
      </c>
      <c r="F16" s="78">
        <f t="shared" si="10"/>
        <v>161912</v>
      </c>
      <c r="G16" s="152">
        <f t="shared" si="11"/>
        <v>0</v>
      </c>
      <c r="H16" s="78">
        <f t="shared" si="12"/>
        <v>565050</v>
      </c>
      <c r="I16" s="153">
        <f t="shared" si="13"/>
        <v>0</v>
      </c>
      <c r="J16" s="78">
        <f t="shared" si="14"/>
        <v>401943</v>
      </c>
      <c r="K16" s="154">
        <f>J16-J15</f>
        <v>0</v>
      </c>
      <c r="L16" s="253">
        <f>SUM(G16*$Y$28)/1507.5</f>
        <v>0</v>
      </c>
      <c r="M16" s="253">
        <f>SUM(I16*$Y$27)/1507.5</f>
        <v>0</v>
      </c>
      <c r="N16" s="253">
        <f>SUM(K16*$Y$26)/1507.5</f>
        <v>0</v>
      </c>
      <c r="O16" s="253">
        <f t="shared" si="16"/>
        <v>171.38907841743662</v>
      </c>
      <c r="P16" s="254">
        <f>SUM(L16:O16)</f>
        <v>171.38907841743662</v>
      </c>
      <c r="Q16" s="254">
        <f>SUM(-tanks!AX18*tanks!$AU$37)</f>
        <v>685.38377419354742</v>
      </c>
      <c r="R16" s="254">
        <f>SUM(P16:Q16)</f>
        <v>856.77285261098405</v>
      </c>
      <c r="S16" s="256">
        <f>SUM(ELEC!N16)</f>
        <v>3225</v>
      </c>
      <c r="T16" s="287">
        <f>IF(S16&gt;0,R16/S16,0)</f>
        <v>0.26566600080960745</v>
      </c>
      <c r="V16" s="202" t="s">
        <v>229</v>
      </c>
      <c r="X16" s="207"/>
      <c r="Y16" s="231"/>
      <c r="Z16" s="3" t="s">
        <v>230</v>
      </c>
      <c r="AA16" s="227">
        <f>'[2]EDl log'!AA33</f>
        <v>0.11</v>
      </c>
      <c r="AB16" s="522">
        <f>'[2]EDl log'!AB33</f>
        <v>815719.19000000006</v>
      </c>
      <c r="AC16" s="522">
        <f>'[2]EDl log'!AC33</f>
        <v>7234333</v>
      </c>
      <c r="AD16" s="521"/>
    </row>
    <row r="17" spans="1:32" ht="20.149999999999999" customHeight="1">
      <c r="A17" s="155">
        <f>ELEC!C17</f>
        <v>44971</v>
      </c>
      <c r="B17" s="78">
        <v>1129908</v>
      </c>
      <c r="C17" s="78">
        <f t="shared" si="7"/>
        <v>1002</v>
      </c>
      <c r="D17" s="263">
        <f t="shared" si="8"/>
        <v>1003</v>
      </c>
      <c r="E17" s="263">
        <f t="shared" si="9"/>
        <v>1129909</v>
      </c>
      <c r="F17" s="78">
        <v>161919</v>
      </c>
      <c r="G17" s="152">
        <f t="shared" si="11"/>
        <v>7</v>
      </c>
      <c r="H17" s="78">
        <v>566046</v>
      </c>
      <c r="I17" s="153">
        <f t="shared" si="13"/>
        <v>996</v>
      </c>
      <c r="J17" s="78">
        <v>401943</v>
      </c>
      <c r="K17" s="154">
        <f>J17-J16</f>
        <v>0</v>
      </c>
      <c r="L17" s="253">
        <f>SUM(G17*$Y$28)/1507.5</f>
        <v>1.4859038142620231</v>
      </c>
      <c r="M17" s="253">
        <f>SUM(I17*$Y$27)/1507.5</f>
        <v>73.998009950248758</v>
      </c>
      <c r="N17" s="253">
        <f>SUM(K17*$Y$26)/1507.5</f>
        <v>0</v>
      </c>
      <c r="O17" s="253">
        <f t="shared" si="16"/>
        <v>171.38907841743662</v>
      </c>
      <c r="P17" s="254">
        <f>SUM(L17:O17)</f>
        <v>246.87299218194738</v>
      </c>
      <c r="Q17" s="254">
        <f>SUM(-tanks!AX19*tanks!$AU$37)</f>
        <v>737.62703225807172</v>
      </c>
      <c r="R17" s="254">
        <f>SUM(P17:Q17)</f>
        <v>984.50002444001916</v>
      </c>
      <c r="S17" s="256">
        <f>SUM(ELEC!N17)</f>
        <v>2788</v>
      </c>
      <c r="T17" s="287">
        <f>IF(S17&gt;0,R17/S17,0)</f>
        <v>0.35312052526543014</v>
      </c>
      <c r="V17" s="202" t="s">
        <v>231</v>
      </c>
      <c r="Z17" s="3"/>
      <c r="AA17" s="227"/>
      <c r="AB17" s="522">
        <f>'[2]EDl log'!AB34</f>
        <v>8231348.1900000004</v>
      </c>
      <c r="AC17" s="522">
        <f>'[2]EDl log'!AC34</f>
        <v>0</v>
      </c>
      <c r="AD17" s="521"/>
    </row>
    <row r="18" spans="1:32" ht="20.149999999999999" customHeight="1" thickBot="1">
      <c r="A18" s="155">
        <f>ELEC!C18</f>
        <v>44972</v>
      </c>
      <c r="B18" s="78">
        <v>1130077</v>
      </c>
      <c r="C18" s="78">
        <f t="shared" si="7"/>
        <v>169</v>
      </c>
      <c r="D18" s="263">
        <f t="shared" si="8"/>
        <v>169</v>
      </c>
      <c r="E18" s="263">
        <f t="shared" si="9"/>
        <v>1130077</v>
      </c>
      <c r="F18" s="78">
        <v>161919</v>
      </c>
      <c r="G18" s="152">
        <f t="shared" si="11"/>
        <v>0</v>
      </c>
      <c r="H18" s="78">
        <v>566214</v>
      </c>
      <c r="I18" s="153">
        <f t="shared" si="13"/>
        <v>168</v>
      </c>
      <c r="J18" s="78">
        <v>401944</v>
      </c>
      <c r="K18" s="154">
        <f t="shared" si="15"/>
        <v>1</v>
      </c>
      <c r="L18" s="253">
        <f t="shared" ref="L18:L30" si="20">SUM(G18*$Y$28)/1507.5</f>
        <v>0</v>
      </c>
      <c r="M18" s="253">
        <f t="shared" ref="M18:M30" si="21">SUM(I18*$Y$27)/1507.5</f>
        <v>12.481592039800995</v>
      </c>
      <c r="N18" s="253">
        <f t="shared" ref="N18:N30" si="22">SUM(K18*$Y$26)/1507.5</f>
        <v>5.306799336650083E-2</v>
      </c>
      <c r="O18" s="253">
        <f t="shared" si="16"/>
        <v>171.38907841743662</v>
      </c>
      <c r="P18" s="254">
        <f t="shared" si="17"/>
        <v>183.92373845060411</v>
      </c>
      <c r="Q18" s="254">
        <f>SUM(-tanks!AX20*tanks!$AU$37)</f>
        <v>585.50777419354745</v>
      </c>
      <c r="R18" s="254">
        <f t="shared" si="18"/>
        <v>769.43151264415155</v>
      </c>
      <c r="S18" s="256">
        <f>SUM(ELEC!N18)</f>
        <v>2305</v>
      </c>
      <c r="T18" s="287">
        <f t="shared" si="19"/>
        <v>0.33380976687381847</v>
      </c>
      <c r="V18" s="211"/>
      <c r="W18" s="204"/>
      <c r="X18" s="204"/>
      <c r="Y18" s="204"/>
      <c r="Z18" s="3"/>
      <c r="AA18" s="227"/>
      <c r="AB18" s="522">
        <f>'[2]EDl log'!AB35</f>
        <v>0</v>
      </c>
      <c r="AC18" s="522">
        <f>'[2]EDl log'!AC35</f>
        <v>0</v>
      </c>
      <c r="AD18" s="521"/>
    </row>
    <row r="19" spans="1:32" ht="20.149999999999999" customHeight="1" thickBot="1">
      <c r="A19" s="155">
        <f>ELEC!C19</f>
        <v>44973</v>
      </c>
      <c r="B19" s="78">
        <v>1130280</v>
      </c>
      <c r="C19" s="78">
        <f t="shared" ref="C19:C32" si="23">SUM(B19-B18)</f>
        <v>203</v>
      </c>
      <c r="D19" s="263">
        <f t="shared" ref="D19:D32" si="24">SUM(G19+I19+K19)</f>
        <v>202</v>
      </c>
      <c r="E19" s="263">
        <f t="shared" ref="E19:E32" si="25">B18+D19</f>
        <v>1130279</v>
      </c>
      <c r="F19" s="78">
        <v>161919</v>
      </c>
      <c r="G19" s="152">
        <f t="shared" si="11"/>
        <v>0</v>
      </c>
      <c r="H19" s="78">
        <v>566416</v>
      </c>
      <c r="I19" s="153">
        <f t="shared" si="13"/>
        <v>202</v>
      </c>
      <c r="J19" s="78">
        <v>401944</v>
      </c>
      <c r="K19" s="154">
        <f t="shared" si="15"/>
        <v>0</v>
      </c>
      <c r="L19" s="253">
        <f>SUM(G19*$Y$28)/1507.5</f>
        <v>0</v>
      </c>
      <c r="M19" s="253">
        <f>SUM(I19*$Y$27)/1507.5</f>
        <v>15.007628524046435</v>
      </c>
      <c r="N19" s="253">
        <f>SUM(K19*$Y$26)/1507.5</f>
        <v>0</v>
      </c>
      <c r="O19" s="253">
        <f>($AC$29/$A$37)/1507.5</f>
        <v>171.38907841743662</v>
      </c>
      <c r="P19" s="254">
        <f>SUM(L19:O19)</f>
        <v>186.39670694148305</v>
      </c>
      <c r="Q19" s="254">
        <f>SUM(-tanks!AX21*tanks!$AU$37)</f>
        <v>-4715.2803870967609</v>
      </c>
      <c r="R19" s="254">
        <f>SUM(P19:Q19)</f>
        <v>-4528.8836801552779</v>
      </c>
      <c r="S19" s="256">
        <f>SUM(ELEC!N19)</f>
        <v>2789</v>
      </c>
      <c r="T19" s="287">
        <f>IF(S19&gt;0,R19/S19,0)</f>
        <v>-1.6238378200628463</v>
      </c>
      <c r="V19" s="211"/>
      <c r="W19" s="204"/>
      <c r="X19" s="204"/>
      <c r="Y19" s="204"/>
      <c r="Z19" s="204"/>
      <c r="AA19" s="522" t="str">
        <f>'[5]EDl log'!AA36</f>
        <v>$ without VAT</v>
      </c>
      <c r="AB19" s="522">
        <f>'[2]EDl log'!AB36</f>
        <v>4919.15688225539</v>
      </c>
      <c r="AC19" s="522">
        <f>'[2]EDl log'!AC36</f>
        <v>0</v>
      </c>
    </row>
    <row r="20" spans="1:32" ht="20.149999999999999" customHeight="1" thickBot="1">
      <c r="A20" s="155">
        <f>ELEC!C20</f>
        <v>44974</v>
      </c>
      <c r="B20" s="78">
        <f t="shared" ref="B20:B32" si="26">B19</f>
        <v>1130280</v>
      </c>
      <c r="C20" s="78">
        <f t="shared" si="23"/>
        <v>0</v>
      </c>
      <c r="D20" s="263">
        <f t="shared" si="24"/>
        <v>0</v>
      </c>
      <c r="E20" s="263">
        <f t="shared" si="25"/>
        <v>1130280</v>
      </c>
      <c r="F20" s="78">
        <f t="shared" si="10"/>
        <v>161919</v>
      </c>
      <c r="G20" s="152">
        <f t="shared" si="11"/>
        <v>0</v>
      </c>
      <c r="H20" s="78">
        <f t="shared" si="12"/>
        <v>566416</v>
      </c>
      <c r="I20" s="153">
        <f t="shared" si="13"/>
        <v>0</v>
      </c>
      <c r="J20" s="78">
        <f t="shared" si="14"/>
        <v>401944</v>
      </c>
      <c r="K20" s="154">
        <f t="shared" si="15"/>
        <v>0</v>
      </c>
      <c r="L20" s="253">
        <f t="shared" si="20"/>
        <v>0</v>
      </c>
      <c r="M20" s="253">
        <f t="shared" si="21"/>
        <v>0</v>
      </c>
      <c r="N20" s="253">
        <f t="shared" si="22"/>
        <v>0</v>
      </c>
      <c r="O20" s="253">
        <f t="shared" si="16"/>
        <v>171.38907841743662</v>
      </c>
      <c r="P20" s="254">
        <f t="shared" si="17"/>
        <v>171.38907841743662</v>
      </c>
      <c r="Q20" s="254">
        <f>SUM(-tanks!AX22*tanks!$AU$37)</f>
        <v>0</v>
      </c>
      <c r="R20" s="254">
        <f t="shared" si="18"/>
        <v>171.38907841743662</v>
      </c>
      <c r="S20" s="256">
        <f>SUM(ELEC!N20)</f>
        <v>0</v>
      </c>
      <c r="T20" s="287">
        <f t="shared" si="19"/>
        <v>0</v>
      </c>
      <c r="AB20" s="411"/>
    </row>
    <row r="21" spans="1:32" ht="20.149999999999999" customHeight="1">
      <c r="A21" s="155">
        <f>ELEC!C21</f>
        <v>44975</v>
      </c>
      <c r="B21" s="78">
        <f t="shared" si="26"/>
        <v>1130280</v>
      </c>
      <c r="C21" s="78">
        <f t="shared" si="23"/>
        <v>0</v>
      </c>
      <c r="D21" s="263">
        <f t="shared" si="24"/>
        <v>0</v>
      </c>
      <c r="E21" s="263">
        <f t="shared" si="25"/>
        <v>1130280</v>
      </c>
      <c r="F21" s="78">
        <f t="shared" si="10"/>
        <v>161919</v>
      </c>
      <c r="G21" s="152">
        <f t="shared" si="11"/>
        <v>0</v>
      </c>
      <c r="H21" s="78">
        <f t="shared" si="12"/>
        <v>566416</v>
      </c>
      <c r="I21" s="153">
        <f t="shared" si="13"/>
        <v>0</v>
      </c>
      <c r="J21" s="78">
        <f t="shared" si="14"/>
        <v>401944</v>
      </c>
      <c r="K21" s="154">
        <f t="shared" si="15"/>
        <v>0</v>
      </c>
      <c r="L21" s="253">
        <f t="shared" si="20"/>
        <v>0</v>
      </c>
      <c r="M21" s="253">
        <f t="shared" si="21"/>
        <v>0</v>
      </c>
      <c r="N21" s="253">
        <f t="shared" si="22"/>
        <v>0</v>
      </c>
      <c r="O21" s="253">
        <f t="shared" si="16"/>
        <v>171.38907841743662</v>
      </c>
      <c r="P21" s="254">
        <f t="shared" si="17"/>
        <v>171.38907841743662</v>
      </c>
      <c r="Q21" s="254">
        <f>SUM(-tanks!AX23*tanks!$AU$37)</f>
        <v>0</v>
      </c>
      <c r="R21" s="254">
        <f t="shared" si="18"/>
        <v>171.38907841743662</v>
      </c>
      <c r="S21" s="256">
        <f>SUM(ELEC!N21)</f>
        <v>0</v>
      </c>
      <c r="T21" s="287">
        <f t="shared" si="19"/>
        <v>0</v>
      </c>
      <c r="V21" s="157" t="s">
        <v>214</v>
      </c>
      <c r="W21" s="158">
        <v>44980</v>
      </c>
      <c r="X21" s="159"/>
      <c r="Y21" s="159"/>
      <c r="Z21" s="160" t="s">
        <v>215</v>
      </c>
      <c r="AA21" s="159"/>
      <c r="AB21" s="568"/>
      <c r="AC21" s="569"/>
    </row>
    <row r="22" spans="1:32" ht="20.149999999999999" customHeight="1">
      <c r="A22" s="155">
        <f>ELEC!C22</f>
        <v>44976</v>
      </c>
      <c r="B22" s="78">
        <f t="shared" si="26"/>
        <v>1130280</v>
      </c>
      <c r="C22" s="78">
        <f t="shared" si="23"/>
        <v>0</v>
      </c>
      <c r="D22" s="263">
        <f t="shared" si="24"/>
        <v>0</v>
      </c>
      <c r="E22" s="263">
        <f t="shared" si="25"/>
        <v>1130280</v>
      </c>
      <c r="F22" s="78">
        <f t="shared" si="10"/>
        <v>161919</v>
      </c>
      <c r="G22" s="152">
        <f t="shared" si="11"/>
        <v>0</v>
      </c>
      <c r="H22" s="78">
        <f t="shared" si="12"/>
        <v>566416</v>
      </c>
      <c r="I22" s="153">
        <f t="shared" si="13"/>
        <v>0</v>
      </c>
      <c r="J22" s="78">
        <f t="shared" si="14"/>
        <v>401944</v>
      </c>
      <c r="K22" s="154">
        <f t="shared" si="15"/>
        <v>0</v>
      </c>
      <c r="L22" s="253">
        <f t="shared" si="20"/>
        <v>0</v>
      </c>
      <c r="M22" s="253">
        <f t="shared" si="21"/>
        <v>0</v>
      </c>
      <c r="N22" s="253">
        <f t="shared" si="22"/>
        <v>0</v>
      </c>
      <c r="O22" s="253">
        <f t="shared" si="16"/>
        <v>171.38907841743662</v>
      </c>
      <c r="P22" s="254">
        <f t="shared" si="17"/>
        <v>171.38907841743662</v>
      </c>
      <c r="Q22" s="254">
        <f>SUM(-tanks!AX24*tanks!$AU$37)</f>
        <v>5398.4977741935345</v>
      </c>
      <c r="R22" s="254">
        <f t="shared" si="18"/>
        <v>5569.8868526109709</v>
      </c>
      <c r="S22" s="256">
        <f>SUM(ELEC!N22)</f>
        <v>2799</v>
      </c>
      <c r="T22" s="287">
        <f t="shared" si="19"/>
        <v>1.9899560030764454</v>
      </c>
      <c r="V22" s="562"/>
      <c r="W22" s="563"/>
      <c r="X22" s="563"/>
      <c r="Y22" s="564"/>
      <c r="Z22" s="25" t="s">
        <v>216</v>
      </c>
      <c r="AA22" s="25">
        <v>5000</v>
      </c>
      <c r="AB22" s="570"/>
      <c r="AC22" s="571"/>
    </row>
    <row r="23" spans="1:32" ht="21" customHeight="1">
      <c r="A23" s="155">
        <f>ELEC!C23</f>
        <v>44977</v>
      </c>
      <c r="B23" s="78">
        <f t="shared" si="26"/>
        <v>1130280</v>
      </c>
      <c r="C23" s="78">
        <f t="shared" si="23"/>
        <v>0</v>
      </c>
      <c r="D23" s="263">
        <f t="shared" si="24"/>
        <v>0</v>
      </c>
      <c r="E23" s="263">
        <f t="shared" si="25"/>
        <v>1130280</v>
      </c>
      <c r="F23" s="78">
        <f t="shared" si="10"/>
        <v>161919</v>
      </c>
      <c r="G23" s="152">
        <f t="shared" si="11"/>
        <v>0</v>
      </c>
      <c r="H23" s="78">
        <f t="shared" si="12"/>
        <v>566416</v>
      </c>
      <c r="I23" s="153">
        <f t="shared" si="13"/>
        <v>0</v>
      </c>
      <c r="J23" s="78">
        <f t="shared" si="14"/>
        <v>401944</v>
      </c>
      <c r="K23" s="154">
        <f t="shared" si="15"/>
        <v>0</v>
      </c>
      <c r="L23" s="253">
        <f t="shared" si="20"/>
        <v>0</v>
      </c>
      <c r="M23" s="253">
        <f t="shared" si="21"/>
        <v>0</v>
      </c>
      <c r="N23" s="253">
        <f t="shared" si="22"/>
        <v>0</v>
      </c>
      <c r="O23" s="253">
        <f t="shared" si="16"/>
        <v>171.38907841743662</v>
      </c>
      <c r="P23" s="254">
        <f t="shared" si="17"/>
        <v>171.38907841743662</v>
      </c>
      <c r="Q23" s="254">
        <f>SUM(-tanks!AX25*tanks!$AU$37)</f>
        <v>749.9726612903213</v>
      </c>
      <c r="R23" s="254">
        <f t="shared" si="18"/>
        <v>921.36173970775792</v>
      </c>
      <c r="S23" s="256">
        <f>SUM(ELEC!N23)</f>
        <v>2768</v>
      </c>
      <c r="T23" s="287">
        <f t="shared" si="19"/>
        <v>0.33286190018343853</v>
      </c>
      <c r="V23" s="565"/>
      <c r="W23" s="566"/>
      <c r="X23" s="566"/>
      <c r="Y23" s="567"/>
      <c r="Z23" s="574"/>
      <c r="AA23" s="575"/>
      <c r="AB23" s="570"/>
      <c r="AC23" s="571"/>
    </row>
    <row r="24" spans="1:32" ht="20.149999999999999" customHeight="1">
      <c r="A24" s="155">
        <f>ELEC!C24</f>
        <v>44978</v>
      </c>
      <c r="B24" s="78">
        <v>1130683</v>
      </c>
      <c r="C24" s="78">
        <f t="shared" si="23"/>
        <v>403</v>
      </c>
      <c r="D24" s="263">
        <f t="shared" si="24"/>
        <v>403</v>
      </c>
      <c r="E24" s="263">
        <f t="shared" si="25"/>
        <v>1130683</v>
      </c>
      <c r="F24" s="78">
        <f t="shared" si="10"/>
        <v>161919</v>
      </c>
      <c r="G24" s="152">
        <f t="shared" si="11"/>
        <v>0</v>
      </c>
      <c r="H24" s="78">
        <v>566819</v>
      </c>
      <c r="I24" s="153">
        <f t="shared" si="13"/>
        <v>403</v>
      </c>
      <c r="J24" s="78">
        <f t="shared" si="14"/>
        <v>401944</v>
      </c>
      <c r="K24" s="154">
        <f t="shared" si="15"/>
        <v>0</v>
      </c>
      <c r="L24" s="253">
        <f t="shared" si="20"/>
        <v>0</v>
      </c>
      <c r="M24" s="253">
        <f t="shared" si="21"/>
        <v>29.940961857379769</v>
      </c>
      <c r="N24" s="253">
        <f t="shared" si="22"/>
        <v>0</v>
      </c>
      <c r="O24" s="253">
        <f t="shared" si="16"/>
        <v>171.38907841743662</v>
      </c>
      <c r="P24" s="254">
        <f t="shared" si="17"/>
        <v>201.33004027481638</v>
      </c>
      <c r="Q24" s="254">
        <f>SUM(-tanks!AX26*tanks!$AU$37)</f>
        <v>1158.6699193548454</v>
      </c>
      <c r="R24" s="254">
        <f t="shared" si="18"/>
        <v>1359.9999596296618</v>
      </c>
      <c r="S24" s="256">
        <f>SUM(ELEC!N24)</f>
        <v>2682</v>
      </c>
      <c r="T24" s="287">
        <f t="shared" si="19"/>
        <v>0.50708425042120131</v>
      </c>
      <c r="V24" s="557" t="s">
        <v>217</v>
      </c>
      <c r="W24" s="558"/>
      <c r="X24" s="559" t="s">
        <v>218</v>
      </c>
      <c r="Y24" s="560"/>
      <c r="Z24" s="561"/>
      <c r="AA24" s="161"/>
      <c r="AB24" s="572"/>
      <c r="AC24" s="573"/>
    </row>
    <row r="25" spans="1:32" ht="20.149999999999999" customHeight="1">
      <c r="A25" s="155">
        <f>ELEC!C25</f>
        <v>44979</v>
      </c>
      <c r="B25" s="78">
        <v>1130952</v>
      </c>
      <c r="C25" s="78">
        <f t="shared" si="23"/>
        <v>269</v>
      </c>
      <c r="D25" s="263">
        <f t="shared" si="24"/>
        <v>269</v>
      </c>
      <c r="E25" s="263">
        <f t="shared" si="25"/>
        <v>1130952</v>
      </c>
      <c r="F25" s="78">
        <f t="shared" si="10"/>
        <v>161919</v>
      </c>
      <c r="G25" s="152">
        <f t="shared" si="11"/>
        <v>0</v>
      </c>
      <c r="H25" s="78">
        <v>567082</v>
      </c>
      <c r="I25" s="153">
        <f t="shared" si="13"/>
        <v>263</v>
      </c>
      <c r="J25" s="78">
        <v>401950</v>
      </c>
      <c r="K25" s="154">
        <f t="shared" si="15"/>
        <v>6</v>
      </c>
      <c r="L25" s="253">
        <f t="shared" si="20"/>
        <v>0</v>
      </c>
      <c r="M25" s="253">
        <f t="shared" si="21"/>
        <v>19.539635157545604</v>
      </c>
      <c r="N25" s="253">
        <f t="shared" si="22"/>
        <v>0.31840796019900497</v>
      </c>
      <c r="O25" s="253">
        <f t="shared" si="16"/>
        <v>171.38907841743662</v>
      </c>
      <c r="P25" s="254">
        <f t="shared" si="17"/>
        <v>191.24712153518124</v>
      </c>
      <c r="Q25" s="254">
        <f>SUM(-tanks!AX27*tanks!$AU$37)</f>
        <v>344.70551612903586</v>
      </c>
      <c r="R25" s="254">
        <f t="shared" si="18"/>
        <v>535.95263766421704</v>
      </c>
      <c r="S25" s="256">
        <f>SUM(ELEC!N25)</f>
        <v>2521</v>
      </c>
      <c r="T25" s="287">
        <f t="shared" si="19"/>
        <v>0.21259525492432252</v>
      </c>
      <c r="V25" s="224" t="s">
        <v>219</v>
      </c>
      <c r="W25" s="184" t="s">
        <v>220</v>
      </c>
      <c r="X25" s="184"/>
      <c r="Y25" s="184" t="s">
        <v>221</v>
      </c>
      <c r="Z25" s="184" t="s">
        <v>222</v>
      </c>
      <c r="AA25" s="184" t="s">
        <v>223</v>
      </c>
      <c r="AB25" s="184" t="s">
        <v>224</v>
      </c>
      <c r="AC25" s="162" t="s">
        <v>225</v>
      </c>
    </row>
    <row r="26" spans="1:32" ht="20.149999999999999" customHeight="1">
      <c r="A26" s="155">
        <f>ELEC!C26</f>
        <v>44980</v>
      </c>
      <c r="B26" s="78">
        <f t="shared" si="26"/>
        <v>1130952</v>
      </c>
      <c r="C26" s="78">
        <f t="shared" si="23"/>
        <v>0</v>
      </c>
      <c r="D26" s="263">
        <f t="shared" si="24"/>
        <v>0</v>
      </c>
      <c r="E26" s="263">
        <f t="shared" si="25"/>
        <v>1130952</v>
      </c>
      <c r="F26" s="78">
        <f t="shared" si="10"/>
        <v>161919</v>
      </c>
      <c r="G26" s="152">
        <f t="shared" si="11"/>
        <v>0</v>
      </c>
      <c r="H26" s="78">
        <f t="shared" si="12"/>
        <v>567082</v>
      </c>
      <c r="I26" s="153">
        <f t="shared" si="13"/>
        <v>0</v>
      </c>
      <c r="J26" s="78">
        <f t="shared" si="14"/>
        <v>401950</v>
      </c>
      <c r="K26" s="154">
        <f t="shared" si="15"/>
        <v>0</v>
      </c>
      <c r="L26" s="253">
        <f t="shared" si="20"/>
        <v>0</v>
      </c>
      <c r="M26" s="253">
        <f t="shared" si="21"/>
        <v>0</v>
      </c>
      <c r="N26" s="253">
        <f t="shared" si="22"/>
        <v>0</v>
      </c>
      <c r="O26" s="253">
        <f t="shared" si="16"/>
        <v>171.38907841743662</v>
      </c>
      <c r="P26" s="254">
        <f t="shared" si="17"/>
        <v>171.38907841743662</v>
      </c>
      <c r="Q26" s="254">
        <f>SUM(-tanks!AX28*tanks!$AU$37)</f>
        <v>792.73103225805914</v>
      </c>
      <c r="R26" s="254">
        <f t="shared" si="18"/>
        <v>964.12011067549577</v>
      </c>
      <c r="S26" s="256">
        <f>SUM(ELEC!N26)</f>
        <v>2894</v>
      </c>
      <c r="T26" s="287">
        <f t="shared" si="19"/>
        <v>0.33314447500880989</v>
      </c>
      <c r="V26" s="227">
        <f>W9</f>
        <v>401939</v>
      </c>
      <c r="W26" s="161">
        <f>J34</f>
        <v>0</v>
      </c>
      <c r="X26" s="163" t="s">
        <v>205</v>
      </c>
      <c r="Y26" s="163">
        <v>80</v>
      </c>
      <c r="Z26" s="163">
        <v>1</v>
      </c>
      <c r="AA26" s="185">
        <f>(W26-V26)*Z26</f>
        <v>-401939</v>
      </c>
      <c r="AB26" s="185">
        <f>AA26*Y26</f>
        <v>-32155120</v>
      </c>
      <c r="AC26" s="225">
        <f>AC9</f>
        <v>1033333</v>
      </c>
      <c r="AD26" s="421">
        <f>SUM(K36)</f>
        <v>3.1187978451942162E-3</v>
      </c>
    </row>
    <row r="27" spans="1:32" ht="20.149999999999999" customHeight="1">
      <c r="A27" s="155">
        <f>ELEC!C27</f>
        <v>44981</v>
      </c>
      <c r="B27" s="78">
        <f t="shared" si="26"/>
        <v>1130952</v>
      </c>
      <c r="C27" s="78">
        <f t="shared" si="23"/>
        <v>0</v>
      </c>
      <c r="D27" s="263">
        <f t="shared" si="24"/>
        <v>0</v>
      </c>
      <c r="E27" s="263">
        <f t="shared" si="25"/>
        <v>1130952</v>
      </c>
      <c r="F27" s="78">
        <f t="shared" si="10"/>
        <v>161919</v>
      </c>
      <c r="G27" s="152">
        <f t="shared" si="11"/>
        <v>0</v>
      </c>
      <c r="H27" s="78">
        <f t="shared" si="12"/>
        <v>567082</v>
      </c>
      <c r="I27" s="153">
        <f t="shared" si="13"/>
        <v>0</v>
      </c>
      <c r="J27" s="78">
        <f t="shared" si="14"/>
        <v>401950</v>
      </c>
      <c r="K27" s="154">
        <f t="shared" si="15"/>
        <v>0</v>
      </c>
      <c r="L27" s="253">
        <f t="shared" si="20"/>
        <v>0</v>
      </c>
      <c r="M27" s="253">
        <f t="shared" si="21"/>
        <v>0</v>
      </c>
      <c r="N27" s="253">
        <f t="shared" si="22"/>
        <v>0</v>
      </c>
      <c r="O27" s="253">
        <f t="shared" si="16"/>
        <v>171.38907841743662</v>
      </c>
      <c r="P27" s="254">
        <f t="shared" si="17"/>
        <v>171.38907841743662</v>
      </c>
      <c r="Q27" s="254">
        <f>SUM(-tanks!AX29*tanks!$AU$37)</f>
        <v>0</v>
      </c>
      <c r="R27" s="254">
        <f t="shared" si="18"/>
        <v>171.38907841743662</v>
      </c>
      <c r="S27" s="256">
        <f>SUM(ELEC!N27)</f>
        <v>0</v>
      </c>
      <c r="T27" s="287">
        <f t="shared" si="19"/>
        <v>0</v>
      </c>
      <c r="V27" s="227">
        <f>W10</f>
        <v>564388</v>
      </c>
      <c r="W27" s="161">
        <f>H34</f>
        <v>0</v>
      </c>
      <c r="X27" s="163" t="s">
        <v>232</v>
      </c>
      <c r="Y27" s="163">
        <v>112</v>
      </c>
      <c r="Z27" s="163">
        <v>1</v>
      </c>
      <c r="AA27" s="185">
        <f>(W27-V27)*Z27</f>
        <v>-564388</v>
      </c>
      <c r="AB27" s="185">
        <f>SUM(AA27*Y27)</f>
        <v>-63211456</v>
      </c>
      <c r="AC27" s="225">
        <f>AC10</f>
        <v>6200000</v>
      </c>
      <c r="AD27" s="421">
        <f>SUM(I36)</f>
        <v>0.92117947263963706</v>
      </c>
    </row>
    <row r="28" spans="1:32" ht="20.149999999999999" customHeight="1">
      <c r="A28" s="155">
        <f>ELEC!C28</f>
        <v>44982</v>
      </c>
      <c r="B28" s="78">
        <f t="shared" si="26"/>
        <v>1130952</v>
      </c>
      <c r="C28" s="78">
        <f t="shared" si="23"/>
        <v>0</v>
      </c>
      <c r="D28" s="263">
        <f t="shared" si="24"/>
        <v>0</v>
      </c>
      <c r="E28" s="263">
        <f t="shared" si="25"/>
        <v>1130952</v>
      </c>
      <c r="F28" s="78">
        <f t="shared" si="10"/>
        <v>161919</v>
      </c>
      <c r="G28" s="152">
        <f t="shared" si="11"/>
        <v>0</v>
      </c>
      <c r="H28" s="78">
        <f t="shared" si="12"/>
        <v>567082</v>
      </c>
      <c r="I28" s="153">
        <f t="shared" si="13"/>
        <v>0</v>
      </c>
      <c r="J28" s="78">
        <f t="shared" si="14"/>
        <v>401950</v>
      </c>
      <c r="K28" s="154">
        <f t="shared" si="15"/>
        <v>0</v>
      </c>
      <c r="L28" s="253">
        <f t="shared" si="20"/>
        <v>0</v>
      </c>
      <c r="M28" s="253">
        <f t="shared" si="21"/>
        <v>0</v>
      </c>
      <c r="N28" s="253">
        <f t="shared" si="22"/>
        <v>0</v>
      </c>
      <c r="O28" s="253">
        <f t="shared" si="16"/>
        <v>171.38907841743662</v>
      </c>
      <c r="P28" s="254">
        <f t="shared" si="17"/>
        <v>171.38907841743662</v>
      </c>
      <c r="Q28" s="254">
        <f>SUM(-tanks!AX30*tanks!$AU$37)</f>
        <v>0</v>
      </c>
      <c r="R28" s="254">
        <f t="shared" si="18"/>
        <v>171.38907841743662</v>
      </c>
      <c r="S28" s="256">
        <f>SUM(ELEC!N28)</f>
        <v>0</v>
      </c>
      <c r="T28" s="287">
        <f t="shared" si="19"/>
        <v>0</v>
      </c>
      <c r="V28" s="227">
        <f>W11</f>
        <v>161786</v>
      </c>
      <c r="W28" s="161">
        <f>F34</f>
        <v>0</v>
      </c>
      <c r="X28" s="163" t="s">
        <v>204</v>
      </c>
      <c r="Y28" s="163">
        <v>320</v>
      </c>
      <c r="Z28" s="163">
        <v>1</v>
      </c>
      <c r="AA28" s="185">
        <f>(W28-V28)*Z28</f>
        <v>-161786</v>
      </c>
      <c r="AB28" s="185">
        <f>SUM(AA28*Y28)</f>
        <v>-51771520</v>
      </c>
      <c r="AC28" s="225">
        <f>AC11</f>
        <v>1000</v>
      </c>
      <c r="AD28" s="421">
        <f>SUM(G36)</f>
        <v>7.6268783668840365E-2</v>
      </c>
      <c r="AE28" s="39">
        <f>SUM(AB28*5%)</f>
        <v>-2588576</v>
      </c>
      <c r="AF28" s="79">
        <f>SUM(AE28/7)*31</f>
        <v>-11463693.714285715</v>
      </c>
    </row>
    <row r="29" spans="1:32" ht="20.149999999999999" customHeight="1">
      <c r="A29" s="155">
        <f>ELEC!C29</f>
        <v>44983</v>
      </c>
      <c r="B29" s="78">
        <v>1131286</v>
      </c>
      <c r="C29" s="78">
        <f t="shared" si="23"/>
        <v>334</v>
      </c>
      <c r="D29" s="263">
        <f t="shared" si="24"/>
        <v>334</v>
      </c>
      <c r="E29" s="263">
        <f t="shared" si="25"/>
        <v>1131286</v>
      </c>
      <c r="F29" s="78">
        <f t="shared" si="10"/>
        <v>161919</v>
      </c>
      <c r="G29" s="152">
        <f t="shared" si="11"/>
        <v>0</v>
      </c>
      <c r="H29" s="78">
        <v>567416</v>
      </c>
      <c r="I29" s="153">
        <f t="shared" si="13"/>
        <v>334</v>
      </c>
      <c r="J29" s="78">
        <v>401950</v>
      </c>
      <c r="K29" s="154">
        <f t="shared" si="15"/>
        <v>0</v>
      </c>
      <c r="L29" s="253">
        <f t="shared" si="20"/>
        <v>0</v>
      </c>
      <c r="M29" s="253">
        <f t="shared" si="21"/>
        <v>24.814593698175788</v>
      </c>
      <c r="N29" s="253">
        <f t="shared" si="22"/>
        <v>0</v>
      </c>
      <c r="O29" s="253">
        <f t="shared" si="16"/>
        <v>171.38907841743662</v>
      </c>
      <c r="P29" s="254">
        <f t="shared" si="17"/>
        <v>196.20367211561242</v>
      </c>
      <c r="Q29" s="254">
        <f>SUM(-tanks!AX31*tanks!$AU$37)</f>
        <v>124.40061290322619</v>
      </c>
      <c r="R29" s="254">
        <f t="shared" si="18"/>
        <v>320.6042850188386</v>
      </c>
      <c r="S29" s="256">
        <f>SUM(ELEC!N29)</f>
        <v>2880</v>
      </c>
      <c r="T29" s="287">
        <f t="shared" si="19"/>
        <v>0.11132093229820784</v>
      </c>
      <c r="V29" s="200"/>
      <c r="W29" s="201"/>
      <c r="X29" s="201"/>
      <c r="Y29" s="145"/>
      <c r="Z29" s="3"/>
      <c r="AA29" s="185">
        <f>SUM(AA26:AA28)</f>
        <v>-1128113</v>
      </c>
      <c r="AB29" s="185">
        <f>SUM(AB26:AB28)</f>
        <v>-147138096</v>
      </c>
      <c r="AC29" s="225">
        <f>SUM(AC26:AC28)</f>
        <v>7234333</v>
      </c>
    </row>
    <row r="30" spans="1:32" ht="20.149999999999999" customHeight="1">
      <c r="A30" s="155">
        <f>ELEC!C30</f>
        <v>44984</v>
      </c>
      <c r="B30" s="78">
        <v>1131642</v>
      </c>
      <c r="C30" s="78">
        <f t="shared" si="23"/>
        <v>356</v>
      </c>
      <c r="D30" s="263">
        <f t="shared" si="24"/>
        <v>357</v>
      </c>
      <c r="E30" s="263">
        <f t="shared" si="25"/>
        <v>1131643</v>
      </c>
      <c r="F30" s="78">
        <v>162055</v>
      </c>
      <c r="G30" s="152">
        <f t="shared" si="11"/>
        <v>136</v>
      </c>
      <c r="H30" s="78">
        <v>567637</v>
      </c>
      <c r="I30" s="153">
        <f t="shared" si="13"/>
        <v>221</v>
      </c>
      <c r="J30" s="78">
        <v>401950</v>
      </c>
      <c r="K30" s="154">
        <f t="shared" si="15"/>
        <v>0</v>
      </c>
      <c r="L30" s="253">
        <f t="shared" si="20"/>
        <v>28.868988391376451</v>
      </c>
      <c r="M30" s="253">
        <f t="shared" si="21"/>
        <v>16.419237147595357</v>
      </c>
      <c r="N30" s="253">
        <f t="shared" si="22"/>
        <v>0</v>
      </c>
      <c r="O30" s="253">
        <f t="shared" si="16"/>
        <v>171.38907841743662</v>
      </c>
      <c r="P30" s="254">
        <f t="shared" si="17"/>
        <v>216.67730395640842</v>
      </c>
      <c r="Q30" s="254">
        <f>SUM(-tanks!AX32*tanks!$AU$37)</f>
        <v>664.44203225805916</v>
      </c>
      <c r="R30" s="254">
        <f t="shared" si="18"/>
        <v>881.11933621446758</v>
      </c>
      <c r="S30" s="256">
        <f>SUM(ELEC!N30)</f>
        <v>2938</v>
      </c>
      <c r="T30" s="287">
        <f t="shared" si="19"/>
        <v>0.29990447114175206</v>
      </c>
      <c r="V30" s="202" t="s">
        <v>226</v>
      </c>
      <c r="W30" s="375">
        <f>'General information '!F36</f>
        <v>0</v>
      </c>
      <c r="Y30" s="203" t="s">
        <v>227</v>
      </c>
      <c r="Z30" s="3"/>
      <c r="AA30" s="185"/>
      <c r="AB30" s="185">
        <f>AB29+AC29</f>
        <v>-139903763</v>
      </c>
      <c r="AC30" s="225"/>
    </row>
    <row r="31" spans="1:32" ht="20.149999999999999" customHeight="1">
      <c r="A31" s="155">
        <f>ELEC!C31</f>
        <v>44985</v>
      </c>
      <c r="B31" s="78">
        <f t="shared" si="26"/>
        <v>1131642</v>
      </c>
      <c r="C31" s="78">
        <f t="shared" si="23"/>
        <v>0</v>
      </c>
      <c r="D31" s="263">
        <f t="shared" si="24"/>
        <v>0</v>
      </c>
      <c r="E31" s="263">
        <f t="shared" si="25"/>
        <v>1131642</v>
      </c>
      <c r="F31" s="78">
        <f t="shared" si="10"/>
        <v>162055</v>
      </c>
      <c r="G31" s="152">
        <f t="shared" si="11"/>
        <v>0</v>
      </c>
      <c r="H31" s="78">
        <f t="shared" si="12"/>
        <v>567637</v>
      </c>
      <c r="I31" s="153">
        <f t="shared" si="13"/>
        <v>0</v>
      </c>
      <c r="J31" s="78">
        <f t="shared" si="14"/>
        <v>401950</v>
      </c>
      <c r="K31" s="154">
        <f>J31-J30</f>
        <v>0</v>
      </c>
      <c r="L31" s="253">
        <f>SUM(G31*$Y$28)/1507.5</f>
        <v>0</v>
      </c>
      <c r="M31" s="253">
        <f>SUM(I31*$Y$27)/1507.5</f>
        <v>0</v>
      </c>
      <c r="N31" s="253">
        <f>SUM(K31*$Y$26)/1507.5</f>
        <v>0</v>
      </c>
      <c r="O31" s="253">
        <f t="shared" si="16"/>
        <v>171.38907841743662</v>
      </c>
      <c r="P31" s="254">
        <f>SUM(L31:O31)</f>
        <v>171.38907841743662</v>
      </c>
      <c r="Q31" s="254">
        <f>SUM(-tanks!AX33*tanks!$AU$37)</f>
        <v>0</v>
      </c>
      <c r="R31" s="254">
        <f>SUM(P31:Q31)</f>
        <v>171.38907841743662</v>
      </c>
      <c r="S31" s="256">
        <f>SUM(ELEC!N31)</f>
        <v>0</v>
      </c>
      <c r="T31" s="287">
        <f>IF(S31&gt;0,R31/S31,0)</f>
        <v>0</v>
      </c>
      <c r="V31" s="202"/>
      <c r="W31" s="447"/>
      <c r="Y31" s="203"/>
      <c r="Z31" s="3"/>
      <c r="AA31" s="185"/>
      <c r="AB31" s="185"/>
      <c r="AC31" s="225"/>
    </row>
    <row r="32" spans="1:32" ht="20.149999999999999" customHeight="1">
      <c r="A32" s="155">
        <f>ELEC!C32</f>
        <v>44986</v>
      </c>
      <c r="B32" s="78">
        <f t="shared" si="26"/>
        <v>1131642</v>
      </c>
      <c r="C32" s="78">
        <f t="shared" si="23"/>
        <v>0</v>
      </c>
      <c r="D32" s="263">
        <f t="shared" si="24"/>
        <v>0</v>
      </c>
      <c r="E32" s="263">
        <f t="shared" si="25"/>
        <v>1131642</v>
      </c>
      <c r="F32" s="78">
        <f t="shared" si="10"/>
        <v>162055</v>
      </c>
      <c r="G32" s="152">
        <f t="shared" si="11"/>
        <v>0</v>
      </c>
      <c r="H32" s="78">
        <f t="shared" si="12"/>
        <v>567637</v>
      </c>
      <c r="I32" s="153">
        <f t="shared" si="13"/>
        <v>0</v>
      </c>
      <c r="J32" s="78">
        <f t="shared" si="14"/>
        <v>401950</v>
      </c>
      <c r="K32" s="154">
        <f t="shared" ref="K32" si="27">J32-J31</f>
        <v>0</v>
      </c>
      <c r="L32" s="253">
        <f t="shared" ref="L32" si="28">SUM(G32*$Y$28)/1507.5</f>
        <v>0</v>
      </c>
      <c r="M32" s="253">
        <f t="shared" ref="M32" si="29">SUM(I32*$Y$27)/1507.5</f>
        <v>0</v>
      </c>
      <c r="N32" s="253">
        <f t="shared" ref="N32" si="30">SUM(K32*$Y$26)/1507.5</f>
        <v>0</v>
      </c>
      <c r="O32" s="253">
        <f t="shared" si="16"/>
        <v>171.38907841743662</v>
      </c>
      <c r="P32" s="254">
        <f t="shared" ref="P32" si="31">SUM(L32:O32)</f>
        <v>171.38907841743662</v>
      </c>
      <c r="Q32" s="254">
        <f>SUM(-tanks!AX34*tanks!$AU$37)</f>
        <v>0</v>
      </c>
      <c r="R32" s="254">
        <f t="shared" ref="R32" si="32">SUM(P32:Q32)</f>
        <v>171.38907841743662</v>
      </c>
      <c r="S32" s="256">
        <f>SUM(ELEC!N32)</f>
        <v>0</v>
      </c>
      <c r="T32" s="287">
        <f t="shared" ref="T32" si="33">IF(S32&gt;0,R32/S32,0)</f>
        <v>0</v>
      </c>
      <c r="V32" s="202" t="s">
        <v>228</v>
      </c>
      <c r="W32" s="357">
        <f>'Utility Cost '!B18</f>
        <v>185</v>
      </c>
      <c r="X32" s="207">
        <f>SUM(W32/A35)</f>
        <v>20.555555555555557</v>
      </c>
      <c r="Y32" s="231">
        <f>SUM(X32/1)</f>
        <v>20.555555555555557</v>
      </c>
      <c r="Z32" s="3"/>
      <c r="AA32" s="185"/>
      <c r="AB32" s="185"/>
      <c r="AC32" s="225"/>
    </row>
    <row r="33" spans="1:30" ht="20.149999999999999" customHeight="1">
      <c r="A33" s="155"/>
      <c r="B33" s="78"/>
      <c r="C33" s="78"/>
      <c r="D33" s="263"/>
      <c r="E33" s="263"/>
      <c r="F33" s="78"/>
      <c r="G33" s="152"/>
      <c r="H33" s="78"/>
      <c r="I33" s="153"/>
      <c r="J33" s="78"/>
      <c r="K33" s="154"/>
      <c r="L33" s="253"/>
      <c r="M33" s="253"/>
      <c r="N33" s="253"/>
      <c r="O33" s="253"/>
      <c r="P33" s="254"/>
      <c r="Q33" s="254"/>
      <c r="R33" s="254"/>
      <c r="S33" s="256"/>
      <c r="T33" s="287"/>
      <c r="V33" s="202" t="s">
        <v>229</v>
      </c>
      <c r="W33" s="357"/>
      <c r="X33" s="207"/>
      <c r="Y33" s="231"/>
      <c r="Z33" s="3" t="s">
        <v>230</v>
      </c>
      <c r="AA33" s="498">
        <v>0.11</v>
      </c>
      <c r="AB33" s="178">
        <f>AB30*AA33</f>
        <v>-15389413.93</v>
      </c>
      <c r="AC33" s="225">
        <f>SUM(AC29)</f>
        <v>7234333</v>
      </c>
    </row>
    <row r="34" spans="1:30" ht="20.149999999999999" customHeight="1">
      <c r="A34" s="155"/>
      <c r="B34" s="78"/>
      <c r="C34" s="78"/>
      <c r="D34" s="263"/>
      <c r="E34" s="263"/>
      <c r="F34" s="78"/>
      <c r="G34" s="152"/>
      <c r="H34" s="78"/>
      <c r="I34" s="153"/>
      <c r="J34" s="78"/>
      <c r="K34" s="154"/>
      <c r="L34" s="253"/>
      <c r="M34" s="253"/>
      <c r="N34" s="253"/>
      <c r="O34" s="253"/>
      <c r="P34" s="254"/>
      <c r="Q34" s="254"/>
      <c r="R34" s="254"/>
      <c r="S34" s="256"/>
      <c r="T34" s="287"/>
      <c r="V34" s="202" t="s">
        <v>231</v>
      </c>
      <c r="Z34" s="3"/>
      <c r="AA34" s="3"/>
      <c r="AB34" s="442">
        <f>AB30+AB33</f>
        <v>-155293176.93000001</v>
      </c>
      <c r="AC34" s="225">
        <f>SUM(AC30)</f>
        <v>0</v>
      </c>
    </row>
    <row r="35" spans="1:30" ht="15" thickBot="1">
      <c r="A35" s="439">
        <f>A37-COUNTIF(C4:C31,0)</f>
        <v>9</v>
      </c>
      <c r="C35" s="164">
        <f>SUM(C4:C34)/A35</f>
        <v>391.88888888888891</v>
      </c>
      <c r="D35" s="164"/>
      <c r="E35" s="164"/>
      <c r="F35" s="484"/>
      <c r="G35" s="484">
        <f>SUM(G4:G34)/A35</f>
        <v>29.888888888888889</v>
      </c>
      <c r="H35" s="164"/>
      <c r="I35" s="164">
        <f>SUM(I4:I34)/A35</f>
        <v>361</v>
      </c>
      <c r="K35" s="164">
        <f>SUM(K4:K34)/A35</f>
        <v>1.2222222222222223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0</v>
      </c>
      <c r="P35" s="164"/>
      <c r="Q35" s="164"/>
      <c r="R35" s="164"/>
      <c r="S35" s="257"/>
      <c r="V35" s="211"/>
      <c r="W35" s="204"/>
      <c r="X35" s="204"/>
      <c r="Y35" s="204"/>
      <c r="Z35" s="3"/>
      <c r="AA35" s="44"/>
      <c r="AB35" s="251"/>
      <c r="AC35" s="460"/>
    </row>
    <row r="36" spans="1:30" ht="15" thickBot="1">
      <c r="A36" s="197"/>
      <c r="C36" s="199">
        <f>SUM(G36:K36)</f>
        <v>1.0005670541536718</v>
      </c>
      <c r="G36" s="210">
        <f>IF(C35&gt;0,G35/C35,0)</f>
        <v>7.6268783668840365E-2</v>
      </c>
      <c r="H36" s="199"/>
      <c r="I36" s="210">
        <f>SUM(I35/C35)</f>
        <v>0.92117947263963706</v>
      </c>
      <c r="J36" s="199"/>
      <c r="K36" s="210">
        <f>SUM(K35/C35)</f>
        <v>3.1187978451942162E-3</v>
      </c>
      <c r="L36" s="210"/>
      <c r="M36" s="210"/>
      <c r="N36" s="210"/>
      <c r="O36" s="210"/>
      <c r="P36" s="210"/>
      <c r="Q36" s="210"/>
      <c r="R36" s="210"/>
      <c r="S36" s="258"/>
      <c r="V36" s="211"/>
      <c r="W36" s="204"/>
      <c r="X36" s="204"/>
      <c r="Y36" s="204"/>
      <c r="Z36" s="204"/>
      <c r="AA36" s="204" t="s">
        <v>233</v>
      </c>
      <c r="AB36" s="461">
        <f>AB30/1507.5</f>
        <v>-92805.149585406296</v>
      </c>
      <c r="AC36" s="462"/>
    </row>
    <row r="37" spans="1:30" ht="15" thickBot="1">
      <c r="A37">
        <v>28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57"/>
      <c r="AA37" s="457"/>
      <c r="AB37" s="458"/>
      <c r="AC37" s="459"/>
    </row>
    <row r="38" spans="1:30">
      <c r="W38" s="79"/>
      <c r="Z38" s="39"/>
      <c r="AA38" s="67"/>
      <c r="AB38" s="165">
        <f>SUM(AB36)</f>
        <v>-92805.149585406296</v>
      </c>
    </row>
    <row r="39" spans="1:30">
      <c r="W39" s="79"/>
      <c r="X39" s="443"/>
      <c r="Z39" s="165"/>
      <c r="AA39" s="97"/>
      <c r="AB39" s="97"/>
    </row>
    <row r="40" spans="1:30">
      <c r="W40" s="79"/>
      <c r="X40" s="443"/>
      <c r="Y40" s="79"/>
      <c r="Z40" s="165"/>
      <c r="AA40" s="97"/>
      <c r="AB40" s="294"/>
    </row>
    <row r="41" spans="1:30" ht="18.5">
      <c r="W41" s="79"/>
      <c r="Z41" s="241"/>
      <c r="AA41" s="97"/>
      <c r="AB41" s="293"/>
    </row>
    <row r="42" spans="1:30">
      <c r="D42" s="421"/>
      <c r="E42" s="421"/>
      <c r="F42" s="421"/>
      <c r="W42" s="79"/>
      <c r="Z42" s="252"/>
    </row>
    <row r="43" spans="1:30">
      <c r="Z43" s="97"/>
    </row>
    <row r="44" spans="1:30">
      <c r="AD44" s="468"/>
    </row>
    <row r="45" spans="1:30">
      <c r="V45" s="365"/>
      <c r="W45" s="444"/>
      <c r="Z45" s="226"/>
      <c r="AB45" s="576"/>
      <c r="AC45" s="576"/>
      <c r="AD45" s="468"/>
    </row>
    <row r="46" spans="1:30">
      <c r="V46" s="576"/>
      <c r="W46" s="576"/>
      <c r="X46" s="576"/>
      <c r="Y46" s="576"/>
      <c r="Z46" s="226"/>
      <c r="AA46" s="226"/>
      <c r="AB46" s="576"/>
      <c r="AC46" s="576"/>
      <c r="AD46" s="468"/>
    </row>
    <row r="47" spans="1:30">
      <c r="V47" s="576"/>
      <c r="W47" s="576"/>
      <c r="X47" s="576"/>
      <c r="Y47" s="576"/>
      <c r="Z47" s="576"/>
      <c r="AA47" s="576"/>
      <c r="AB47" s="576"/>
      <c r="AC47" s="576"/>
      <c r="AD47" s="468"/>
    </row>
    <row r="48" spans="1:30">
      <c r="V48" s="577"/>
      <c r="W48" s="577"/>
      <c r="X48" s="578"/>
      <c r="Y48" s="578"/>
      <c r="Z48" s="578"/>
      <c r="AA48" s="1"/>
      <c r="AB48" s="576"/>
      <c r="AC48" s="576"/>
      <c r="AD48" s="468"/>
    </row>
    <row r="49" spans="22:32">
      <c r="V49" s="365"/>
      <c r="W49" s="365"/>
      <c r="X49" s="365"/>
      <c r="Y49" s="365"/>
      <c r="Z49" s="365"/>
      <c r="AA49" s="365"/>
      <c r="AB49" s="365"/>
      <c r="AC49" s="445"/>
      <c r="AD49" s="468"/>
    </row>
    <row r="50" spans="22:32">
      <c r="V50" s="1"/>
      <c r="W50" s="1"/>
      <c r="X50" s="446"/>
      <c r="Y50" s="446"/>
      <c r="Z50" s="446"/>
      <c r="AA50" s="71"/>
      <c r="AB50" s="71"/>
      <c r="AC50" s="71"/>
      <c r="AD50" s="468"/>
    </row>
    <row r="51" spans="22:32">
      <c r="V51" s="1"/>
      <c r="W51" s="1"/>
      <c r="X51" s="446"/>
      <c r="Y51" s="446"/>
      <c r="Z51" s="446"/>
      <c r="AA51" s="71"/>
      <c r="AB51" s="71"/>
      <c r="AC51" s="71"/>
      <c r="AD51" s="468"/>
    </row>
    <row r="52" spans="22:32">
      <c r="V52" s="1"/>
      <c r="W52" s="1"/>
      <c r="X52" s="446"/>
      <c r="Y52" s="446"/>
      <c r="Z52" s="446"/>
      <c r="AA52" s="71"/>
      <c r="AB52" s="71"/>
      <c r="AC52" s="71"/>
      <c r="AD52" s="468"/>
      <c r="AE52" s="39"/>
      <c r="AF52" s="79"/>
    </row>
    <row r="53" spans="22:32">
      <c r="AA53" s="71"/>
      <c r="AB53" s="71"/>
      <c r="AC53" s="71"/>
      <c r="AD53" s="468"/>
    </row>
    <row r="54" spans="22:32">
      <c r="W54" s="447"/>
      <c r="AA54" s="71"/>
      <c r="AB54" s="236"/>
      <c r="AC54" s="71"/>
      <c r="AD54" s="468"/>
    </row>
    <row r="55" spans="22:32">
      <c r="X55" s="207"/>
      <c r="Y55" s="79"/>
      <c r="AB55" s="71"/>
      <c r="AC55" s="71"/>
      <c r="AD55" s="468"/>
    </row>
    <row r="56" spans="22:32">
      <c r="AD56" s="468"/>
    </row>
    <row r="57" spans="22:32">
      <c r="AD57" s="468"/>
    </row>
    <row r="58" spans="22:32">
      <c r="AD58" s="468"/>
    </row>
    <row r="59" spans="22:32">
      <c r="AA59" s="448"/>
      <c r="AB59" s="449"/>
      <c r="AC59" s="450"/>
      <c r="AD59" s="468"/>
    </row>
    <row r="60" spans="22:32">
      <c r="AA60" s="41"/>
      <c r="AB60" s="449"/>
      <c r="AC60" s="450"/>
      <c r="AD60" s="468"/>
    </row>
    <row r="61" spans="22:32">
      <c r="AB61" s="449"/>
      <c r="AC61" s="450"/>
      <c r="AD61" s="468"/>
    </row>
    <row r="62" spans="22:32">
      <c r="AB62" s="451"/>
      <c r="AD62" s="468"/>
    </row>
    <row r="63" spans="22:32">
      <c r="W63" s="79"/>
      <c r="Z63" s="39"/>
      <c r="AA63" s="452"/>
      <c r="AB63" s="446"/>
      <c r="AD63" s="468"/>
    </row>
    <row r="64" spans="22:32">
      <c r="W64" s="79"/>
      <c r="Z64" s="358"/>
      <c r="AA64" s="446"/>
      <c r="AB64" s="446"/>
      <c r="AD64" s="468"/>
    </row>
    <row r="65" spans="23:30">
      <c r="W65" s="79"/>
      <c r="Y65" s="79"/>
      <c r="Z65" s="358"/>
      <c r="AA65" s="446"/>
      <c r="AB65" s="453"/>
      <c r="AD65" s="468"/>
    </row>
    <row r="66" spans="23:30" ht="18.5">
      <c r="W66" s="79"/>
      <c r="Z66" s="241"/>
      <c r="AA66" s="446"/>
      <c r="AB66" s="454"/>
      <c r="AD66" s="468"/>
    </row>
    <row r="67" spans="23:30">
      <c r="W67" s="79"/>
      <c r="Z67" s="71"/>
      <c r="AD67" s="468"/>
    </row>
    <row r="68" spans="23:30">
      <c r="Z68" s="446"/>
      <c r="AD68" s="468"/>
    </row>
    <row r="69" spans="23:30">
      <c r="AD69" s="468"/>
    </row>
    <row r="70" spans="23:30">
      <c r="AD70" s="468"/>
    </row>
    <row r="71" spans="23:30">
      <c r="AD71" s="468"/>
    </row>
    <row r="72" spans="23:30">
      <c r="AD72" s="468"/>
    </row>
    <row r="73" spans="23:30">
      <c r="AD73" s="468"/>
    </row>
    <row r="74" spans="23:30">
      <c r="AD74" s="468"/>
    </row>
    <row r="75" spans="23:30">
      <c r="AD75" s="468"/>
    </row>
    <row r="76" spans="23:30">
      <c r="AD76" s="468"/>
    </row>
    <row r="77" spans="23:30">
      <c r="AD77" s="468"/>
    </row>
    <row r="78" spans="23:30">
      <c r="AD78" s="468"/>
    </row>
    <row r="79" spans="23:30">
      <c r="AD79" s="468"/>
    </row>
    <row r="80" spans="23:30">
      <c r="AD80" s="468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S56" sqref="S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234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16" t="s">
        <v>240</v>
      </c>
      <c r="H1" s="16" t="s">
        <v>241</v>
      </c>
      <c r="I1" s="16" t="s">
        <v>242</v>
      </c>
      <c r="J1" t="s">
        <v>125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3464</v>
      </c>
      <c r="D2" s="3">
        <f>C2-E2</f>
        <v>-58.000000000844011</v>
      </c>
      <c r="E2" s="3">
        <f>ELEC!Q4</f>
        <v>3522.000000000844</v>
      </c>
      <c r="F2" s="3">
        <f>GEN!Z2</f>
        <v>17</v>
      </c>
      <c r="G2" s="3">
        <f>WATER!C5+WATER!H5</f>
        <v>73</v>
      </c>
      <c r="H2" s="3">
        <f>WATER!L5</f>
        <v>0</v>
      </c>
      <c r="I2" s="15">
        <f>WATER!BC5+WATER!BD5+WATER!BE6-Sheet1!G2</f>
        <v>-30.099999999999994</v>
      </c>
      <c r="J2" s="9">
        <f>'B5'!A4</f>
        <v>44957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3065</v>
      </c>
      <c r="D3" s="3">
        <f t="shared" ref="D3:D30" si="0">C3-E3</f>
        <v>216.00000000165892</v>
      </c>
      <c r="E3" s="3">
        <f>ELEC!Q5</f>
        <v>2848.9999999983411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-10.200000000000017</v>
      </c>
      <c r="J3" s="9">
        <f>'B5'!A5</f>
        <v>44958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0</v>
      </c>
      <c r="H4" s="3">
        <f>WATER!L7</f>
        <v>0</v>
      </c>
      <c r="I4" s="15">
        <f>WATER!BC7+WATER!BD7+WATER!BE8-Sheet1!G4</f>
        <v>-10.200000000000017</v>
      </c>
      <c r="J4" s="9">
        <f>'B5'!A6</f>
        <v>44959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44960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3261</v>
      </c>
      <c r="D6" s="3">
        <f t="shared" si="0"/>
        <v>1121.0000000005821</v>
      </c>
      <c r="E6" s="3">
        <f>ELEC!Q25</f>
        <v>2139.9999999994179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-14.199999999999989</v>
      </c>
      <c r="J6" s="9">
        <f>'B5'!A8</f>
        <v>44961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3298</v>
      </c>
      <c r="D7" s="3">
        <f t="shared" si="0"/>
        <v>-46.000000000960426</v>
      </c>
      <c r="E7" s="3">
        <f>ELEC!Q9</f>
        <v>3344.0000000009604</v>
      </c>
      <c r="F7" s="3">
        <f>GEN!Z7</f>
        <v>12</v>
      </c>
      <c r="G7" s="3">
        <f>WATER!C10+WATER!H10</f>
        <v>0</v>
      </c>
      <c r="H7" s="3">
        <f>WATER!L10</f>
        <v>0</v>
      </c>
      <c r="I7" s="15">
        <f>WATER!BC10+WATER!BD10+WATER!BE11-Sheet1!G7</f>
        <v>-17.099999999999966</v>
      </c>
      <c r="J7" s="9">
        <f>'B5'!A9</f>
        <v>44962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3712</v>
      </c>
      <c r="D8" s="3">
        <f t="shared" si="0"/>
        <v>-80.000000001280569</v>
      </c>
      <c r="E8" s="3">
        <f>ELEC!Q10</f>
        <v>3792.0000000012806</v>
      </c>
      <c r="F8" s="3">
        <f>GEN!Z8</f>
        <v>13</v>
      </c>
      <c r="G8" s="3">
        <f>WATER!C11+WATER!H11</f>
        <v>0</v>
      </c>
      <c r="H8" s="3">
        <f>WATER!L11</f>
        <v>0</v>
      </c>
      <c r="I8" s="15">
        <f>WATER!BC11+WATER!BD11+WATER!BE12-Sheet1!G8</f>
        <v>-10.899999999999977</v>
      </c>
      <c r="J8" s="9">
        <f>'B5'!A10</f>
        <v>44963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3438</v>
      </c>
      <c r="D9" s="3">
        <f t="shared" si="0"/>
        <v>-59.999999999592546</v>
      </c>
      <c r="E9" s="3">
        <f>ELEC!Q11</f>
        <v>3497.9999999995925</v>
      </c>
      <c r="F9" s="3">
        <f>GEN!Z9</f>
        <v>14</v>
      </c>
      <c r="G9" s="3">
        <f>WATER!C12+WATER!H12</f>
        <v>0</v>
      </c>
      <c r="H9" s="3">
        <f>WATER!L12</f>
        <v>0</v>
      </c>
      <c r="I9" s="15">
        <f>WATER!BC12+WATER!BD12+WATER!BE13-Sheet1!G9</f>
        <v>-16.000000000000014</v>
      </c>
      <c r="J9" s="9">
        <f>'B5'!A11</f>
        <v>44964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10</v>
      </c>
      <c r="G10" s="3">
        <f>WATER!C13+WATER!H13</f>
        <v>7</v>
      </c>
      <c r="H10" s="3">
        <f>WATER!L13</f>
        <v>0</v>
      </c>
      <c r="I10" s="15">
        <f>WATER!BC13+WATER!BD13+WATER!BE14-Sheet1!G10</f>
        <v>-15.000000000000014</v>
      </c>
      <c r="J10" s="9">
        <f>'B5'!A12</f>
        <v>44965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44966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44967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3003</v>
      </c>
      <c r="D13" s="3">
        <f t="shared" si="0"/>
        <v>750.99999999959255</v>
      </c>
      <c r="E13" s="3">
        <f>ELEC!Q15</f>
        <v>2252.0000000004075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173.20000000000005</v>
      </c>
      <c r="J13" s="9">
        <f>'B5'!A15</f>
        <v>44968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3225</v>
      </c>
      <c r="D14" s="3">
        <f t="shared" si="0"/>
        <v>453.00000000279397</v>
      </c>
      <c r="E14" s="3">
        <f>ELEC!Q16</f>
        <v>2771.999999997206</v>
      </c>
      <c r="F14" s="3">
        <f>GEN!Z14</f>
        <v>8</v>
      </c>
      <c r="G14" s="3">
        <f>WATER!C17+WATER!H17</f>
        <v>368</v>
      </c>
      <c r="H14" s="3">
        <f>WATER!L17</f>
        <v>0</v>
      </c>
      <c r="I14" s="15">
        <f>WATER!BC17+WATER!BD17+WATER!BE18-Sheet1!G14</f>
        <v>-289.8</v>
      </c>
      <c r="J14" s="9">
        <f>'B5'!A16</f>
        <v>44969</v>
      </c>
    </row>
    <row r="15" spans="1:10">
      <c r="A15" s="3">
        <f>ELEC!T17+ELEC!X17+ELEC!AB17</f>
        <v>1</v>
      </c>
      <c r="B15" s="3">
        <f>ELEC!AF17</f>
        <v>260</v>
      </c>
      <c r="C15" s="3">
        <f>ELEC!N17</f>
        <v>2788</v>
      </c>
      <c r="D15" s="3">
        <f t="shared" si="0"/>
        <v>469.00000000049477</v>
      </c>
      <c r="E15" s="3">
        <f>ELEC!Q17</f>
        <v>2318.9999999995052</v>
      </c>
      <c r="F15" s="3">
        <f>GEN!Z15</f>
        <v>12</v>
      </c>
      <c r="G15" s="3">
        <f>WATER!C18+WATER!H18</f>
        <v>0</v>
      </c>
      <c r="H15" s="3">
        <f>WATER!L18</f>
        <v>0</v>
      </c>
      <c r="I15" s="15">
        <f>WATER!BC18+WATER!BD18+WATER!BE19-Sheet1!G15</f>
        <v>-25.800000000000011</v>
      </c>
      <c r="J15" s="9">
        <f>'B5'!A17</f>
        <v>44970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2305</v>
      </c>
      <c r="D16" s="3">
        <f t="shared" si="0"/>
        <v>457.99999999842839</v>
      </c>
      <c r="E16" s="3">
        <f>ELEC!Q18</f>
        <v>1847.0000000015716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144.39999999999998</v>
      </c>
      <c r="J16" s="9">
        <f>'B5'!A18</f>
        <v>44971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2789</v>
      </c>
      <c r="D17" s="3">
        <f t="shared" si="0"/>
        <v>159.99999999918509</v>
      </c>
      <c r="E17" s="3">
        <f>ELEC!Q19</f>
        <v>2629.0000000008149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149.29999999999995</v>
      </c>
      <c r="J17" s="9">
        <f>'B5'!A19</f>
        <v>44972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-3.2999999999999972</v>
      </c>
      <c r="J18" s="9">
        <f>'B5'!A20</f>
        <v>44973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44974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2799</v>
      </c>
      <c r="D20" s="3">
        <f t="shared" si="0"/>
        <v>408.00000000037835</v>
      </c>
      <c r="E20" s="3">
        <f>ELEC!Q22</f>
        <v>2390.9999999996217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7.6000000000000227</v>
      </c>
      <c r="J20" s="9">
        <f>'B5'!A22</f>
        <v>44975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2768</v>
      </c>
      <c r="D21" s="3">
        <f t="shared" si="0"/>
        <v>426.99999999965075</v>
      </c>
      <c r="E21" s="3">
        <f>ELEC!Q23</f>
        <v>2341.0000000003492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-185.1</v>
      </c>
      <c r="J21" s="9">
        <f>'B5'!A23</f>
        <v>44976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2682</v>
      </c>
      <c r="D22" s="3">
        <f t="shared" si="0"/>
        <v>7.0000000007275958</v>
      </c>
      <c r="E22" s="3">
        <f>ELEC!Q24</f>
        <v>2674.9999999992724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-173</v>
      </c>
      <c r="J22" s="9">
        <f>'B5'!A24</f>
        <v>44977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2521</v>
      </c>
      <c r="D23" s="3">
        <f t="shared" si="0"/>
        <v>381.00000000058208</v>
      </c>
      <c r="E23" s="3">
        <f>ELEC!Q25</f>
        <v>2139.9999999994179</v>
      </c>
      <c r="F23" s="3">
        <f>GEN!Z23</f>
        <v>11</v>
      </c>
      <c r="G23" s="3">
        <f>WATER!C26+WATER!H26</f>
        <v>0</v>
      </c>
      <c r="H23" s="3">
        <f>WATER!L26</f>
        <v>0</v>
      </c>
      <c r="I23" s="15">
        <f>WATER!BC26+WATER!BD26+WATER!BE27-Sheet1!G23</f>
        <v>-17.100000000000023</v>
      </c>
      <c r="J23" s="9">
        <f>'B5'!A25</f>
        <v>44978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2894</v>
      </c>
      <c r="D24" s="3">
        <f t="shared" si="0"/>
        <v>69.999999999476131</v>
      </c>
      <c r="E24" s="3">
        <f>ELEC!Q26</f>
        <v>2824.0000000005239</v>
      </c>
      <c r="F24" s="3">
        <f>GEN!Z24</f>
        <v>8</v>
      </c>
      <c r="G24" s="3">
        <f>WATER!C27+WATER!H27</f>
        <v>0</v>
      </c>
      <c r="H24" s="3">
        <f>WATER!L27</f>
        <v>0</v>
      </c>
      <c r="I24" s="15">
        <f>WATER!BC27+WATER!BD27+WATER!BE28-Sheet1!G24</f>
        <v>-29.000000000000014</v>
      </c>
      <c r="J24" s="9">
        <f>'B5'!A26</f>
        <v>44979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-8.3999999999999773</v>
      </c>
      <c r="J25" s="9">
        <f>'B5'!A27</f>
        <v>44980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12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44981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2880</v>
      </c>
      <c r="D27" s="3">
        <f t="shared" si="0"/>
        <v>473.0000000007567</v>
      </c>
      <c r="E27" s="3">
        <f>ELEC!Q29</f>
        <v>2406.9999999992433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-1.5</v>
      </c>
      <c r="J27" s="9">
        <f>'B5'!A29</f>
        <v>44982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2938</v>
      </c>
      <c r="D28" s="3">
        <f t="shared" si="0"/>
        <v>613.99999999947613</v>
      </c>
      <c r="E28" s="3">
        <f>ELEC!Q30</f>
        <v>2324.0000000005239</v>
      </c>
      <c r="F28" s="3">
        <f>GEN!Z28</f>
        <v>10</v>
      </c>
      <c r="G28" s="3">
        <f>WATER!C31+WATER!H31</f>
        <v>5</v>
      </c>
      <c r="H28" s="3">
        <f>WATER!L31</f>
        <v>0</v>
      </c>
      <c r="I28" s="15">
        <f>WATER!BC31+WATER!BD31+WATER!BE32-Sheet1!G28</f>
        <v>13.5</v>
      </c>
      <c r="J28" s="9">
        <f>'B5'!A30</f>
        <v>44983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9</v>
      </c>
      <c r="G29" s="3">
        <f>WATER!C32+WATER!H32</f>
        <v>0</v>
      </c>
      <c r="H29" s="3">
        <f>WATER!L32</f>
        <v>0</v>
      </c>
      <c r="I29" s="15">
        <f>WATER!BC32+WATER!BD32+WATER!BE33-Sheet1!G29</f>
        <v>70.400000000000006</v>
      </c>
      <c r="J29" s="9">
        <f>'B5'!A31</f>
        <v>44984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44985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0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2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585"/>
      <c r="B1" s="583" t="s">
        <v>243</v>
      </c>
      <c r="C1" s="583" t="s">
        <v>244</v>
      </c>
      <c r="D1" s="587" t="s">
        <v>245</v>
      </c>
      <c r="E1" s="587" t="s">
        <v>246</v>
      </c>
      <c r="F1" s="588" t="s">
        <v>247</v>
      </c>
      <c r="G1" s="589" t="s">
        <v>248</v>
      </c>
      <c r="H1" s="580" t="s">
        <v>249</v>
      </c>
      <c r="I1" s="581" t="s">
        <v>250</v>
      </c>
      <c r="J1" s="580" t="s">
        <v>251</v>
      </c>
      <c r="K1" s="579" t="s">
        <v>252</v>
      </c>
      <c r="L1" s="579" t="s">
        <v>253</v>
      </c>
      <c r="M1" s="579" t="s">
        <v>254</v>
      </c>
      <c r="N1" s="579" t="s">
        <v>255</v>
      </c>
    </row>
    <row r="2" spans="1:14">
      <c r="A2" s="586"/>
      <c r="B2" s="584"/>
      <c r="C2" s="584"/>
      <c r="D2" s="587"/>
      <c r="E2" s="587"/>
      <c r="F2" s="588"/>
      <c r="G2" s="589"/>
      <c r="H2" s="580"/>
      <c r="I2" s="582"/>
      <c r="J2" s="580"/>
      <c r="K2" s="579"/>
      <c r="L2" s="579"/>
      <c r="M2" s="579"/>
      <c r="N2" s="579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44958</v>
      </c>
      <c r="B5" s="74">
        <f>'B5'!V4</f>
        <v>244</v>
      </c>
      <c r="C5" s="74">
        <f>'B5'!AH4</f>
        <v>0</v>
      </c>
      <c r="D5" s="74">
        <f>GEN!AI3</f>
        <v>906.50632911414141</v>
      </c>
      <c r="E5" s="223">
        <f t="shared" ref="E5:E33" si="0">B5+C5+D5</f>
        <v>1150.5063291141414</v>
      </c>
      <c r="F5" s="73">
        <f>WATER!L5</f>
        <v>0</v>
      </c>
      <c r="G5" s="76">
        <f>WATER!BG5</f>
        <v>27.600000000000009</v>
      </c>
      <c r="H5" s="77">
        <f>ELEC!AF4</f>
        <v>0</v>
      </c>
      <c r="I5" s="77">
        <f>ELEC!Q4</f>
        <v>3522.000000000844</v>
      </c>
      <c r="J5" s="77">
        <f>ELEC!R4</f>
        <v>-58.000000000844011</v>
      </c>
      <c r="K5" s="78"/>
      <c r="L5" s="3"/>
      <c r="M5" s="3"/>
      <c r="N5" s="3"/>
    </row>
    <row r="6" spans="1:14">
      <c r="A6" s="62">
        <f>'B5'!A6</f>
        <v>44959</v>
      </c>
      <c r="B6" s="74">
        <f>'B5'!V5</f>
        <v>49</v>
      </c>
      <c r="C6" s="74">
        <f>'B5'!AH5</f>
        <v>0</v>
      </c>
      <c r="D6" s="74">
        <f>GEN!AI4</f>
        <v>733.28691983079671</v>
      </c>
      <c r="E6" s="223">
        <f t="shared" si="0"/>
        <v>782.28691983079671</v>
      </c>
      <c r="F6" s="73">
        <f>WATER!L6</f>
        <v>0</v>
      </c>
      <c r="G6" s="76">
        <f>WATER!BG6</f>
        <v>0</v>
      </c>
      <c r="H6" s="77">
        <f>ELEC!AF5</f>
        <v>0</v>
      </c>
      <c r="I6" s="77">
        <f>ELEC!Q5</f>
        <v>2848.9999999983411</v>
      </c>
      <c r="J6" s="77">
        <f>ELEC!R5</f>
        <v>216.00000000165892</v>
      </c>
      <c r="K6" s="3"/>
      <c r="L6" s="3"/>
      <c r="M6" s="3"/>
      <c r="N6" s="3"/>
    </row>
    <row r="7" spans="1:14">
      <c r="A7" s="62">
        <f>'B5'!A7</f>
        <v>44960</v>
      </c>
      <c r="B7" s="74">
        <f>'B5'!V6</f>
        <v>358</v>
      </c>
      <c r="C7" s="74">
        <f>'B5'!AH6</f>
        <v>190</v>
      </c>
      <c r="D7" s="74">
        <f>GEN!AI5</f>
        <v>0</v>
      </c>
      <c r="E7" s="223">
        <f t="shared" si="0"/>
        <v>548</v>
      </c>
      <c r="F7" s="73">
        <f>WATER!L7</f>
        <v>0</v>
      </c>
      <c r="G7" s="76">
        <f>WATER!BG7</f>
        <v>-10.200000000000017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44961</v>
      </c>
      <c r="B8" s="74">
        <f>'B5'!V7</f>
        <v>0</v>
      </c>
      <c r="C8" s="74">
        <f>'B5'!AH7</f>
        <v>0.59999999997671694</v>
      </c>
      <c r="D8" s="74">
        <f>GEN!AI6</f>
        <v>0</v>
      </c>
      <c r="E8" s="223">
        <f t="shared" si="0"/>
        <v>0.59999999997671694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0</v>
      </c>
      <c r="J8" s="77">
        <f>ELEC!R7</f>
        <v>0</v>
      </c>
      <c r="K8" s="3"/>
      <c r="L8" s="3"/>
      <c r="M8" s="3"/>
      <c r="N8" s="3"/>
    </row>
    <row r="9" spans="1:14">
      <c r="A9" s="62">
        <f>'B5'!A9</f>
        <v>44962</v>
      </c>
      <c r="B9" s="74">
        <f>'B5'!V8</f>
        <v>0</v>
      </c>
      <c r="C9" s="74">
        <f>'B5'!AH8</f>
        <v>0</v>
      </c>
      <c r="D9" s="74">
        <f>GEN!AI7</f>
        <v>721.44725738393629</v>
      </c>
      <c r="E9" s="223">
        <f t="shared" si="0"/>
        <v>721.44725738393629</v>
      </c>
      <c r="F9" s="73">
        <f>WATER!L9</f>
        <v>0</v>
      </c>
      <c r="G9" s="76">
        <f>WATER!BG9</f>
        <v>0</v>
      </c>
      <c r="H9" s="77">
        <f>ELEC!AF8</f>
        <v>0</v>
      </c>
      <c r="I9" s="77">
        <f>ELEC!Q8</f>
        <v>2802.9999999998836</v>
      </c>
      <c r="J9" s="77">
        <f>ELEC!R8</f>
        <v>458.00000000011642</v>
      </c>
      <c r="K9" s="3"/>
      <c r="L9" s="3"/>
      <c r="M9" s="3"/>
      <c r="N9" s="3"/>
    </row>
    <row r="10" spans="1:14">
      <c r="A10" s="62">
        <f>'B5'!A10</f>
        <v>44963</v>
      </c>
      <c r="B10" s="74">
        <f>'B5'!V9</f>
        <v>203</v>
      </c>
      <c r="C10" s="74">
        <f>'B5'!AH9</f>
        <v>0</v>
      </c>
      <c r="D10" s="74">
        <f>GEN!AI8</f>
        <v>860.69198312261017</v>
      </c>
      <c r="E10" s="223">
        <f t="shared" si="0"/>
        <v>1063.6919831226101</v>
      </c>
      <c r="F10" s="73">
        <f>WATER!L10</f>
        <v>0</v>
      </c>
      <c r="G10" s="76">
        <f>WATER!BG10</f>
        <v>-14.199999999999989</v>
      </c>
      <c r="H10" s="77">
        <f>ELEC!AF9</f>
        <v>0</v>
      </c>
      <c r="I10" s="77">
        <f>ELEC!Q9</f>
        <v>3344.0000000009604</v>
      </c>
      <c r="J10" s="77">
        <f>ELEC!R9</f>
        <v>-46.000000000960426</v>
      </c>
      <c r="K10" s="3"/>
      <c r="L10" s="3"/>
      <c r="M10" s="3"/>
      <c r="N10" s="3"/>
    </row>
    <row r="11" spans="1:14">
      <c r="A11" s="62">
        <f>'B5'!A11</f>
        <v>44964</v>
      </c>
      <c r="B11" s="74">
        <f>'B5'!V10</f>
        <v>211</v>
      </c>
      <c r="C11" s="74">
        <f>'B5'!AH10</f>
        <v>69.400000000023283</v>
      </c>
      <c r="D11" s="74">
        <f>GEN!AI9</f>
        <v>976.00000000032969</v>
      </c>
      <c r="E11" s="223">
        <f t="shared" si="0"/>
        <v>1256.400000000353</v>
      </c>
      <c r="F11" s="73">
        <f>WATER!L11</f>
        <v>0</v>
      </c>
      <c r="G11" s="76">
        <f>WATER!BG11</f>
        <v>-2.8999999999999773</v>
      </c>
      <c r="H11" s="77">
        <f>ELEC!AF10</f>
        <v>0</v>
      </c>
      <c r="I11" s="77">
        <f>ELEC!Q10</f>
        <v>3792.0000000012806</v>
      </c>
      <c r="J11" s="77">
        <f>ELEC!R10</f>
        <v>-80.000000001280569</v>
      </c>
      <c r="K11" s="3"/>
      <c r="L11" s="3"/>
      <c r="M11" s="3"/>
      <c r="N11" s="3"/>
    </row>
    <row r="12" spans="1:14">
      <c r="A12" s="62">
        <f>'B5'!A12</f>
        <v>44965</v>
      </c>
      <c r="B12" s="74">
        <f>'B5'!V11</f>
        <v>191</v>
      </c>
      <c r="C12" s="74">
        <f>'B5'!AH11</f>
        <v>0</v>
      </c>
      <c r="D12" s="74">
        <f>GEN!AI10</f>
        <v>900.32911392394578</v>
      </c>
      <c r="E12" s="223">
        <f t="shared" si="0"/>
        <v>1091.3291139239459</v>
      </c>
      <c r="F12" s="73">
        <f>WATER!L12</f>
        <v>0</v>
      </c>
      <c r="G12" s="76">
        <f>WATER!BG12</f>
        <v>-8</v>
      </c>
      <c r="H12" s="77">
        <f>ELEC!AF11</f>
        <v>0</v>
      </c>
      <c r="I12" s="77">
        <f>ELEC!Q11</f>
        <v>3497.9999999995925</v>
      </c>
      <c r="J12" s="77">
        <f>ELEC!R11</f>
        <v>-59.999999999592546</v>
      </c>
      <c r="K12" s="3"/>
      <c r="L12" s="3"/>
      <c r="M12" s="3"/>
      <c r="N12" s="3"/>
    </row>
    <row r="13" spans="1:14">
      <c r="A13" s="62">
        <f>'B5'!A13</f>
        <v>44966</v>
      </c>
      <c r="B13" s="74">
        <f>'B5'!V12</f>
        <v>321</v>
      </c>
      <c r="C13" s="74">
        <f>'B5'!AH12</f>
        <v>0</v>
      </c>
      <c r="D13" s="74">
        <f>GEN!AI11</f>
        <v>0</v>
      </c>
      <c r="E13" s="223">
        <f t="shared" si="0"/>
        <v>321</v>
      </c>
      <c r="F13" s="73">
        <f>WATER!L13</f>
        <v>0</v>
      </c>
      <c r="G13" s="76">
        <f>WATER!BG13</f>
        <v>-8.0000000000000142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44967</v>
      </c>
      <c r="B14" s="74">
        <f>'B5'!V13</f>
        <v>0</v>
      </c>
      <c r="C14" s="74">
        <f>'B5'!AH13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44968</v>
      </c>
      <c r="B15" s="74">
        <f>'B5'!V14</f>
        <v>0</v>
      </c>
      <c r="C15" s="74">
        <f>'B5'!AH14</f>
        <v>0</v>
      </c>
      <c r="D15" s="74">
        <f>GEN!AI13</f>
        <v>0</v>
      </c>
      <c r="E15" s="223">
        <f t="shared" si="0"/>
        <v>0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0</v>
      </c>
      <c r="J15" s="77">
        <f>ELEC!R14</f>
        <v>0</v>
      </c>
      <c r="K15" s="3"/>
      <c r="L15" s="3"/>
      <c r="M15" s="3"/>
      <c r="N15" s="3"/>
    </row>
    <row r="16" spans="1:14">
      <c r="A16" s="62">
        <f>'B5'!A16</f>
        <v>44969</v>
      </c>
      <c r="B16" s="74">
        <f>'B5'!V15</f>
        <v>0</v>
      </c>
      <c r="C16" s="74">
        <f>'B5'!AH15</f>
        <v>0</v>
      </c>
      <c r="D16" s="74">
        <f>GEN!AI14</f>
        <v>579.62869198322733</v>
      </c>
      <c r="E16" s="223">
        <f t="shared" si="0"/>
        <v>579.62869198322733</v>
      </c>
      <c r="F16" s="73">
        <f>WATER!L16</f>
        <v>0</v>
      </c>
      <c r="G16" s="76">
        <f>WATER!BG16</f>
        <v>0</v>
      </c>
      <c r="H16" s="77">
        <f>ELEC!AF15</f>
        <v>0</v>
      </c>
      <c r="I16" s="77">
        <f>ELEC!Q15</f>
        <v>2252.0000000004075</v>
      </c>
      <c r="J16" s="77">
        <f>ELEC!R15</f>
        <v>750.99999999959255</v>
      </c>
      <c r="K16" s="3"/>
      <c r="L16" s="3"/>
      <c r="M16" s="3"/>
      <c r="N16" s="3"/>
    </row>
    <row r="17" spans="1:14">
      <c r="A17" s="62">
        <f>'B5'!A17</f>
        <v>44970</v>
      </c>
      <c r="B17" s="74">
        <f>'B5'!V16</f>
        <v>492</v>
      </c>
      <c r="C17" s="74">
        <f>'B5'!AH16</f>
        <v>144</v>
      </c>
      <c r="D17" s="74">
        <f>GEN!AI15</f>
        <v>713.46835442966074</v>
      </c>
      <c r="E17" s="223">
        <f t="shared" si="0"/>
        <v>1349.4683544296608</v>
      </c>
      <c r="F17" s="73">
        <f>WATER!L17</f>
        <v>0</v>
      </c>
      <c r="G17" s="76">
        <f>WATER!BG17</f>
        <v>173.20000000000005</v>
      </c>
      <c r="H17" s="77">
        <f>ELEC!AF16</f>
        <v>0</v>
      </c>
      <c r="I17" s="77">
        <f>ELEC!Q16</f>
        <v>2771.999999997206</v>
      </c>
      <c r="J17" s="77">
        <f>ELEC!R16</f>
        <v>453.00000000279397</v>
      </c>
      <c r="K17" s="3"/>
      <c r="L17" s="3"/>
      <c r="M17" s="3"/>
      <c r="N17" s="3"/>
    </row>
    <row r="18" spans="1:14">
      <c r="A18" s="62">
        <f>'B5'!A18</f>
        <v>44971</v>
      </c>
      <c r="B18" s="74">
        <f>'B5'!V17</f>
        <v>84</v>
      </c>
      <c r="C18" s="74">
        <f>'B5'!AH17</f>
        <v>40</v>
      </c>
      <c r="D18" s="74">
        <f>GEN!AI16</f>
        <v>596.87341772139166</v>
      </c>
      <c r="E18" s="223">
        <f t="shared" si="0"/>
        <v>720.87341772139166</v>
      </c>
      <c r="F18" s="73">
        <f>WATER!L18</f>
        <v>0</v>
      </c>
      <c r="G18" s="76">
        <f>WATER!BG18</f>
        <v>-14.900000000000034</v>
      </c>
      <c r="H18" s="77">
        <f>ELEC!AF17</f>
        <v>260</v>
      </c>
      <c r="I18" s="77">
        <f>ELEC!Q17</f>
        <v>2318.9999999995052</v>
      </c>
      <c r="J18" s="77">
        <f>ELEC!R17</f>
        <v>469.00000000049477</v>
      </c>
      <c r="K18" s="3"/>
      <c r="L18" s="3"/>
      <c r="M18" s="3"/>
      <c r="N18" s="3"/>
    </row>
    <row r="19" spans="1:14">
      <c r="A19" s="62">
        <f>'B5'!A19</f>
        <v>44972</v>
      </c>
      <c r="B19" s="74">
        <f>'B5'!V18</f>
        <v>300</v>
      </c>
      <c r="C19" s="74">
        <f>'B5'!AH18</f>
        <v>0</v>
      </c>
      <c r="D19" s="74">
        <f>GEN!AI17</f>
        <v>475.38818565441301</v>
      </c>
      <c r="E19" s="223">
        <f t="shared" si="0"/>
        <v>775.38818565441306</v>
      </c>
      <c r="F19" s="73">
        <f>WATER!L19</f>
        <v>0</v>
      </c>
      <c r="G19" s="76">
        <f>WATER!BG19</f>
        <v>-10.899999999999977</v>
      </c>
      <c r="H19" s="77">
        <f>ELEC!AF18</f>
        <v>0</v>
      </c>
      <c r="I19" s="77">
        <f>ELEC!Q18</f>
        <v>1847.0000000015716</v>
      </c>
      <c r="J19" s="77">
        <f>ELEC!R18</f>
        <v>457.99999999842839</v>
      </c>
      <c r="K19" s="3"/>
      <c r="L19" s="3"/>
      <c r="M19" s="3"/>
      <c r="N19" s="3"/>
    </row>
    <row r="20" spans="1:14">
      <c r="A20" s="62">
        <f>'B5'!A20</f>
        <v>44973</v>
      </c>
      <c r="B20" s="74">
        <f>'B5'!V19</f>
        <v>310</v>
      </c>
      <c r="C20" s="74">
        <f>'B5'!AH19</f>
        <v>0</v>
      </c>
      <c r="D20" s="74">
        <f>GEN!AI18</f>
        <v>676.66244725759373</v>
      </c>
      <c r="E20" s="223">
        <f t="shared" si="0"/>
        <v>986.66244725759373</v>
      </c>
      <c r="F20" s="73">
        <f>WATER!L20</f>
        <v>0</v>
      </c>
      <c r="G20" s="76">
        <f>WATER!BG20</f>
        <v>155.29999999999995</v>
      </c>
      <c r="H20" s="77">
        <f>ELEC!AF19</f>
        <v>0</v>
      </c>
      <c r="I20" s="77">
        <f>ELEC!Q19</f>
        <v>2629.0000000008149</v>
      </c>
      <c r="J20" s="77">
        <f>ELEC!R19</f>
        <v>159.99999999918509</v>
      </c>
      <c r="K20" s="3"/>
      <c r="L20" s="3"/>
      <c r="M20" s="3"/>
      <c r="N20" s="3"/>
    </row>
    <row r="21" spans="1:14">
      <c r="A21" s="62">
        <f>'B5'!A21</f>
        <v>44974</v>
      </c>
      <c r="B21" s="74">
        <f>'B5'!V20</f>
        <v>187</v>
      </c>
      <c r="C21" s="74">
        <f>'B5'!AH20</f>
        <v>76</v>
      </c>
      <c r="D21" s="74">
        <f>GEN!AI19</f>
        <v>0</v>
      </c>
      <c r="E21" s="223">
        <f t="shared" si="0"/>
        <v>263</v>
      </c>
      <c r="F21" s="73">
        <f>WATER!L21</f>
        <v>0</v>
      </c>
      <c r="G21" s="76">
        <f>WATER!BG21</f>
        <v>-3.2999999999999972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44975</v>
      </c>
      <c r="B22" s="74">
        <f>'B5'!V21</f>
        <v>0</v>
      </c>
      <c r="C22" s="74">
        <f>'B5'!AH21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44976</v>
      </c>
      <c r="B23" s="74">
        <f>'B5'!V22</f>
        <v>0</v>
      </c>
      <c r="C23" s="74">
        <f>'B5'!AH22</f>
        <v>0</v>
      </c>
      <c r="D23" s="74">
        <f>GEN!AI21</f>
        <v>615.40506329104187</v>
      </c>
      <c r="E23" s="223">
        <f t="shared" si="0"/>
        <v>615.40506329104187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2390.9999999996217</v>
      </c>
      <c r="J23" s="77">
        <f>ELEC!R22</f>
        <v>408.00000000037835</v>
      </c>
      <c r="K23" s="3"/>
      <c r="L23" s="3"/>
      <c r="M23" s="3"/>
      <c r="N23" s="3"/>
    </row>
    <row r="24" spans="1:14">
      <c r="A24" s="62">
        <f>'B5'!A24</f>
        <v>44977</v>
      </c>
      <c r="B24" s="74">
        <f>'B5'!V23</f>
        <v>180</v>
      </c>
      <c r="C24" s="74">
        <f>'B5'!AH23</f>
        <v>0</v>
      </c>
      <c r="D24" s="74">
        <f>GEN!AI22</f>
        <v>602.53586497899289</v>
      </c>
      <c r="E24" s="223">
        <f t="shared" si="0"/>
        <v>782.53586497899289</v>
      </c>
      <c r="F24" s="73">
        <f>WATER!L24</f>
        <v>0</v>
      </c>
      <c r="G24" s="76">
        <f>WATER!BG24</f>
        <v>7.6000000000000227</v>
      </c>
      <c r="H24" s="77">
        <f>ELEC!AF23</f>
        <v>0</v>
      </c>
      <c r="I24" s="77">
        <f>ELEC!Q23</f>
        <v>2341.0000000003492</v>
      </c>
      <c r="J24" s="77">
        <f>ELEC!R23</f>
        <v>426.99999999965075</v>
      </c>
      <c r="K24" s="3"/>
      <c r="L24" s="3"/>
      <c r="M24" s="3"/>
      <c r="N24" s="3"/>
    </row>
    <row r="25" spans="1:14">
      <c r="A25" s="62">
        <f>'B5'!A25</f>
        <v>44978</v>
      </c>
      <c r="B25" s="74">
        <f>'B5'!V24</f>
        <v>391</v>
      </c>
      <c r="C25" s="74">
        <f>'B5'!AH24</f>
        <v>83</v>
      </c>
      <c r="D25" s="74">
        <f>GEN!AI23</f>
        <v>688.50210970445414</v>
      </c>
      <c r="E25" s="223">
        <f t="shared" si="0"/>
        <v>1162.5021097044541</v>
      </c>
      <c r="F25" s="73">
        <f>WATER!L25</f>
        <v>0</v>
      </c>
      <c r="G25" s="76">
        <f>WATER!BG25</f>
        <v>-190.9</v>
      </c>
      <c r="H25" s="77">
        <f>ELEC!AF24</f>
        <v>0</v>
      </c>
      <c r="I25" s="77">
        <f>ELEC!Q24</f>
        <v>2674.9999999992724</v>
      </c>
      <c r="J25" s="77">
        <f>ELEC!R24</f>
        <v>7.0000000007275958</v>
      </c>
      <c r="K25" s="3"/>
      <c r="L25" s="3"/>
      <c r="M25" s="3"/>
      <c r="N25" s="3"/>
    </row>
    <row r="26" spans="1:14">
      <c r="A26" s="62">
        <f>'B5'!A26</f>
        <v>44979</v>
      </c>
      <c r="B26" s="74">
        <f>'B5'!V25</f>
        <v>236</v>
      </c>
      <c r="C26" s="74">
        <f>'B5'!AH25</f>
        <v>0</v>
      </c>
      <c r="D26" s="74">
        <f>GEN!AI24</f>
        <v>550.80168776356334</v>
      </c>
      <c r="E26" s="223">
        <f t="shared" si="0"/>
        <v>786.80168776356334</v>
      </c>
      <c r="F26" s="73">
        <f>WATER!L26</f>
        <v>0</v>
      </c>
      <c r="G26" s="76">
        <f>WATER!BG26</f>
        <v>-9.1000000000000085</v>
      </c>
      <c r="H26" s="77">
        <f>ELEC!AF25</f>
        <v>0</v>
      </c>
      <c r="I26" s="77">
        <f>ELEC!Q25</f>
        <v>2139.9999999994179</v>
      </c>
      <c r="J26" s="77">
        <f>ELEC!R25</f>
        <v>381.00000000058208</v>
      </c>
      <c r="K26" s="3"/>
      <c r="L26" s="3"/>
      <c r="M26" s="3"/>
      <c r="N26" s="3"/>
    </row>
    <row r="27" spans="1:14">
      <c r="A27" s="62">
        <f>'B5'!A27</f>
        <v>44980</v>
      </c>
      <c r="B27" s="74">
        <f>'B5'!V26</f>
        <v>283</v>
      </c>
      <c r="C27" s="74">
        <f>'B5'!AH26</f>
        <v>0</v>
      </c>
      <c r="D27" s="74">
        <f>GEN!AI25</f>
        <v>726.85232067524043</v>
      </c>
      <c r="E27" s="223">
        <f t="shared" si="0"/>
        <v>1009.8523206752404</v>
      </c>
      <c r="F27" s="73">
        <f>WATER!L27</f>
        <v>0</v>
      </c>
      <c r="G27" s="76">
        <f>WATER!BG27</f>
        <v>-8.0000000000000142</v>
      </c>
      <c r="H27" s="77">
        <f>ELEC!AF26</f>
        <v>0</v>
      </c>
      <c r="I27" s="77">
        <f>ELEC!Q26</f>
        <v>2824.0000000005239</v>
      </c>
      <c r="J27" s="77">
        <f>ELEC!R26</f>
        <v>69.999999999476131</v>
      </c>
      <c r="K27" s="3"/>
      <c r="L27" s="3"/>
      <c r="M27" s="3"/>
      <c r="N27" s="3"/>
    </row>
    <row r="28" spans="1:14">
      <c r="A28" s="62">
        <f>'B5'!A28</f>
        <v>44981</v>
      </c>
      <c r="B28" s="74">
        <f>'B5'!V27</f>
        <v>204</v>
      </c>
      <c r="C28" s="74">
        <f>'B5'!AH27</f>
        <v>102</v>
      </c>
      <c r="D28" s="74">
        <f>GEN!AI26</f>
        <v>0</v>
      </c>
      <c r="E28" s="223">
        <f t="shared" si="0"/>
        <v>306</v>
      </c>
      <c r="F28" s="73">
        <f>WATER!L28</f>
        <v>0</v>
      </c>
      <c r="G28" s="76">
        <f>WATER!BG28</f>
        <v>-21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44982</v>
      </c>
      <c r="B29" s="74">
        <f>'B5'!V28</f>
        <v>0</v>
      </c>
      <c r="C29" s="74">
        <f>'B5'!AH28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44983</v>
      </c>
      <c r="B30" s="74">
        <f>'B5'!V29</f>
        <v>0</v>
      </c>
      <c r="C30" s="74">
        <f>'B5'!AH29</f>
        <v>0</v>
      </c>
      <c r="D30" s="74">
        <f>GEN!AI28</f>
        <v>619.52320675086014</v>
      </c>
      <c r="E30" s="75">
        <f t="shared" si="0"/>
        <v>619.52320675086014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2406.9999999992433</v>
      </c>
      <c r="J30" s="77">
        <f>ELEC!R29</f>
        <v>473.0000000007567</v>
      </c>
      <c r="K30" s="3"/>
      <c r="L30" s="3"/>
      <c r="M30" s="3"/>
      <c r="N30" s="3"/>
    </row>
    <row r="31" spans="1:14">
      <c r="A31" s="62">
        <f>'B5'!A31</f>
        <v>44984</v>
      </c>
      <c r="B31" s="74">
        <f>'B5'!V30</f>
        <v>242</v>
      </c>
      <c r="C31" s="74">
        <f>'B5'!AH30</f>
        <v>0</v>
      </c>
      <c r="D31" s="74">
        <f>GEN!AI29</f>
        <v>598.16033755287754</v>
      </c>
      <c r="E31" s="75">
        <f t="shared" si="0"/>
        <v>840.16033755287754</v>
      </c>
      <c r="F31" s="73">
        <f>WATER!L31</f>
        <v>0</v>
      </c>
      <c r="G31" s="76">
        <f>WATER!BG31</f>
        <v>-1.5</v>
      </c>
      <c r="H31" s="77">
        <f>ELEC!AF30</f>
        <v>0</v>
      </c>
      <c r="I31" s="77">
        <f>ELEC!Q30</f>
        <v>2324.0000000005239</v>
      </c>
      <c r="J31" s="77">
        <f>ELEC!R30</f>
        <v>613.99999999947613</v>
      </c>
      <c r="K31" s="3"/>
      <c r="L31" s="3"/>
      <c r="M31" s="3"/>
      <c r="N31" s="3"/>
    </row>
    <row r="32" spans="1:14">
      <c r="A32" s="62">
        <f>'B5'!A32</f>
        <v>44985</v>
      </c>
      <c r="B32" s="74">
        <f>'B5'!V31</f>
        <v>304</v>
      </c>
      <c r="C32" s="74">
        <f>'B5'!AH31</f>
        <v>81</v>
      </c>
      <c r="D32" s="74">
        <f>GEN!AI30</f>
        <v>0</v>
      </c>
      <c r="E32" s="75">
        <f t="shared" si="0"/>
        <v>385</v>
      </c>
      <c r="F32" s="73">
        <f>WATER!L32</f>
        <v>0</v>
      </c>
      <c r="G32" s="76">
        <f>WATER!BG32</f>
        <v>25.400000000000006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576" t="s">
        <v>256</v>
      </c>
      <c r="U3" s="576"/>
    </row>
    <row r="4" spans="3:21" ht="29">
      <c r="C4" s="3" t="s">
        <v>257</v>
      </c>
      <c r="D4" s="94" t="s">
        <v>258</v>
      </c>
      <c r="E4" s="93" t="s">
        <v>259</v>
      </c>
      <c r="F4" s="93" t="s">
        <v>260</v>
      </c>
      <c r="G4" s="93" t="s">
        <v>259</v>
      </c>
      <c r="H4" s="93" t="s">
        <v>261</v>
      </c>
      <c r="I4" s="93" t="s">
        <v>259</v>
      </c>
      <c r="J4" s="93" t="s">
        <v>262</v>
      </c>
      <c r="K4" s="93" t="s">
        <v>263</v>
      </c>
      <c r="L4" s="93" t="s">
        <v>264</v>
      </c>
      <c r="M4" s="93" t="s">
        <v>265</v>
      </c>
      <c r="N4" s="93" t="s">
        <v>266</v>
      </c>
      <c r="O4" s="93" t="s">
        <v>267</v>
      </c>
      <c r="P4" s="93" t="s">
        <v>268</v>
      </c>
      <c r="Q4" s="93" t="s">
        <v>269</v>
      </c>
      <c r="R4" s="93" t="s">
        <v>270</v>
      </c>
      <c r="S4" s="93" t="s">
        <v>117</v>
      </c>
      <c r="T4" s="93" t="s">
        <v>271</v>
      </c>
      <c r="U4" s="93" t="s">
        <v>272</v>
      </c>
    </row>
    <row r="5" spans="3:21">
      <c r="C5" s="95">
        <v>42429</v>
      </c>
      <c r="D5" t="e">
        <f>'B5'!#REF!</f>
        <v>#REF!</v>
      </c>
      <c r="E5" t="e">
        <f t="shared" ref="E5:E37" si="0">D5*90</f>
        <v>#REF!</v>
      </c>
      <c r="F5" t="e">
        <f>'B5'!#REF!</f>
        <v>#REF!</v>
      </c>
      <c r="G5" t="e">
        <f t="shared" ref="G5:G37" si="1">F5*107</f>
        <v>#REF!</v>
      </c>
      <c r="H5">
        <f>GEN!Z3</f>
        <v>12</v>
      </c>
    </row>
    <row r="6" spans="3:21">
      <c r="C6" s="95">
        <v>42430</v>
      </c>
      <c r="D6">
        <f>'B5'!AL4</f>
        <v>3</v>
      </c>
      <c r="E6">
        <f t="shared" si="0"/>
        <v>270</v>
      </c>
      <c r="F6">
        <f>'B5'!AM4</f>
        <v>0</v>
      </c>
      <c r="G6">
        <f t="shared" si="1"/>
        <v>0</v>
      </c>
    </row>
    <row r="7" spans="3:21">
      <c r="C7" s="95">
        <v>42431</v>
      </c>
      <c r="D7">
        <f>'B5'!AL5</f>
        <v>0</v>
      </c>
      <c r="E7">
        <f t="shared" si="0"/>
        <v>0</v>
      </c>
      <c r="F7">
        <f>'B5'!AM5</f>
        <v>0</v>
      </c>
      <c r="G7">
        <f t="shared" si="1"/>
        <v>0</v>
      </c>
    </row>
    <row r="8" spans="3:21">
      <c r="C8" s="95">
        <v>42432</v>
      </c>
      <c r="D8">
        <f>'B5'!AL6</f>
        <v>4</v>
      </c>
      <c r="E8">
        <f t="shared" si="0"/>
        <v>360</v>
      </c>
      <c r="F8">
        <f>'B5'!AM6</f>
        <v>2</v>
      </c>
      <c r="G8">
        <f t="shared" si="1"/>
        <v>214</v>
      </c>
    </row>
    <row r="9" spans="3:21">
      <c r="C9" s="95">
        <v>42433</v>
      </c>
      <c r="D9">
        <f>'B5'!AL7</f>
        <v>0</v>
      </c>
      <c r="E9">
        <f t="shared" si="0"/>
        <v>0</v>
      </c>
      <c r="F9">
        <f>'B5'!AM7</f>
        <v>0</v>
      </c>
      <c r="G9">
        <f t="shared" si="1"/>
        <v>0</v>
      </c>
    </row>
    <row r="10" spans="3:21">
      <c r="C10" s="95">
        <v>42434</v>
      </c>
      <c r="D10">
        <f>'B5'!AL8</f>
        <v>0</v>
      </c>
      <c r="E10">
        <f t="shared" si="0"/>
        <v>0</v>
      </c>
      <c r="F10">
        <f>'B5'!AM8</f>
        <v>0</v>
      </c>
      <c r="G10">
        <f t="shared" si="1"/>
        <v>0</v>
      </c>
    </row>
    <row r="11" spans="3:21">
      <c r="C11" s="95">
        <v>42435</v>
      </c>
      <c r="D11">
        <f>'B5'!AL9</f>
        <v>3</v>
      </c>
      <c r="E11">
        <f t="shared" si="0"/>
        <v>270</v>
      </c>
      <c r="F11">
        <f>'B5'!AM9</f>
        <v>0</v>
      </c>
      <c r="G11">
        <f t="shared" si="1"/>
        <v>0</v>
      </c>
    </row>
    <row r="12" spans="3:21">
      <c r="C12" s="95">
        <v>42436</v>
      </c>
      <c r="D12">
        <f>'B5'!AL10</f>
        <v>3</v>
      </c>
      <c r="E12">
        <f t="shared" si="0"/>
        <v>270</v>
      </c>
      <c r="F12">
        <f>'B5'!AM10</f>
        <v>1</v>
      </c>
      <c r="G12">
        <f t="shared" si="1"/>
        <v>107</v>
      </c>
    </row>
    <row r="13" spans="3:21">
      <c r="C13" s="95">
        <v>42437</v>
      </c>
      <c r="D13">
        <f>'B5'!AL11</f>
        <v>2</v>
      </c>
      <c r="E13">
        <f t="shared" si="0"/>
        <v>180</v>
      </c>
      <c r="F13">
        <f>'B5'!AM11</f>
        <v>0</v>
      </c>
      <c r="G13">
        <f t="shared" si="1"/>
        <v>0</v>
      </c>
    </row>
    <row r="14" spans="3:21">
      <c r="C14" s="95">
        <v>42438</v>
      </c>
      <c r="D14">
        <f>'B5'!AL12</f>
        <v>4</v>
      </c>
      <c r="E14">
        <f t="shared" si="0"/>
        <v>360</v>
      </c>
      <c r="F14">
        <f>'B5'!AM12</f>
        <v>0</v>
      </c>
      <c r="G14">
        <f t="shared" si="1"/>
        <v>0</v>
      </c>
    </row>
    <row r="15" spans="3:21">
      <c r="C15" s="95">
        <v>42439</v>
      </c>
      <c r="D15">
        <f>'B5'!AL13</f>
        <v>0</v>
      </c>
      <c r="E15">
        <f t="shared" si="0"/>
        <v>0</v>
      </c>
      <c r="F15">
        <f>'B5'!AM13</f>
        <v>0</v>
      </c>
      <c r="G15">
        <f t="shared" si="1"/>
        <v>0</v>
      </c>
    </row>
    <row r="16" spans="3:21">
      <c r="C16" s="95">
        <v>42440</v>
      </c>
      <c r="D16">
        <f>'B5'!AL14</f>
        <v>0</v>
      </c>
      <c r="E16">
        <f t="shared" si="0"/>
        <v>0</v>
      </c>
      <c r="F16">
        <f>'B5'!AM14</f>
        <v>0</v>
      </c>
      <c r="G16">
        <f t="shared" si="1"/>
        <v>0</v>
      </c>
    </row>
    <row r="17" spans="3:7">
      <c r="C17" s="95">
        <v>42441</v>
      </c>
      <c r="D17">
        <f>'B5'!AL15</f>
        <v>0</v>
      </c>
      <c r="E17">
        <f t="shared" si="0"/>
        <v>0</v>
      </c>
      <c r="F17">
        <f>'B5'!AM15</f>
        <v>0</v>
      </c>
      <c r="G17">
        <f t="shared" si="1"/>
        <v>0</v>
      </c>
    </row>
    <row r="18" spans="3:7">
      <c r="C18" s="95">
        <v>42442</v>
      </c>
      <c r="D18">
        <f>'B5'!AL16</f>
        <v>7</v>
      </c>
      <c r="E18">
        <f t="shared" si="0"/>
        <v>630</v>
      </c>
      <c r="F18">
        <f>'B5'!AM16</f>
        <v>2</v>
      </c>
      <c r="G18">
        <f t="shared" si="1"/>
        <v>214</v>
      </c>
    </row>
    <row r="19" spans="3:7">
      <c r="C19" s="95">
        <v>42443</v>
      </c>
      <c r="D19">
        <f>'B5'!AL17</f>
        <v>1</v>
      </c>
      <c r="E19">
        <f t="shared" si="0"/>
        <v>90</v>
      </c>
      <c r="F19">
        <f>'B5'!AM17</f>
        <v>0</v>
      </c>
      <c r="G19">
        <f t="shared" si="1"/>
        <v>0</v>
      </c>
    </row>
    <row r="20" spans="3:7">
      <c r="C20" s="95">
        <v>42444</v>
      </c>
      <c r="D20">
        <f>'B5'!AL18</f>
        <v>4</v>
      </c>
      <c r="E20">
        <f t="shared" si="0"/>
        <v>360</v>
      </c>
      <c r="F20">
        <f>'B5'!AM18</f>
        <v>0</v>
      </c>
      <c r="G20">
        <f t="shared" si="1"/>
        <v>0</v>
      </c>
    </row>
    <row r="21" spans="3:7">
      <c r="C21" s="95">
        <v>42445</v>
      </c>
      <c r="D21">
        <f>'B5'!AL19</f>
        <v>4</v>
      </c>
      <c r="E21">
        <f t="shared" si="0"/>
        <v>360</v>
      </c>
      <c r="F21">
        <f>'B5'!AM19</f>
        <v>0</v>
      </c>
      <c r="G21">
        <f t="shared" si="1"/>
        <v>0</v>
      </c>
    </row>
    <row r="22" spans="3:7">
      <c r="C22" s="95">
        <v>42446</v>
      </c>
      <c r="D22">
        <f>'B5'!AL20</f>
        <v>2</v>
      </c>
      <c r="E22">
        <f t="shared" si="0"/>
        <v>180</v>
      </c>
      <c r="F22">
        <f>'B5'!AM20</f>
        <v>2</v>
      </c>
      <c r="G22">
        <f t="shared" si="1"/>
        <v>214</v>
      </c>
    </row>
    <row r="23" spans="3:7">
      <c r="C23" s="95">
        <v>42447</v>
      </c>
      <c r="D23">
        <f>'B5'!AL21</f>
        <v>0</v>
      </c>
      <c r="E23">
        <f t="shared" si="0"/>
        <v>0</v>
      </c>
      <c r="F23">
        <f>'B5'!AM21</f>
        <v>0</v>
      </c>
      <c r="G23">
        <f t="shared" si="1"/>
        <v>0</v>
      </c>
    </row>
    <row r="24" spans="3:7">
      <c r="C24" s="95">
        <v>42448</v>
      </c>
      <c r="D24">
        <f>'B5'!AL22</f>
        <v>0</v>
      </c>
      <c r="E24">
        <f t="shared" si="0"/>
        <v>0</v>
      </c>
      <c r="F24">
        <f>'B5'!AM22</f>
        <v>0</v>
      </c>
      <c r="G24">
        <f t="shared" si="1"/>
        <v>0</v>
      </c>
    </row>
    <row r="25" spans="3:7">
      <c r="C25" s="95">
        <v>42449</v>
      </c>
      <c r="D25">
        <f>'B5'!AL23</f>
        <v>3</v>
      </c>
      <c r="E25">
        <f t="shared" si="0"/>
        <v>270</v>
      </c>
      <c r="F25">
        <f>'B5'!AM23</f>
        <v>0</v>
      </c>
      <c r="G25">
        <f t="shared" si="1"/>
        <v>0</v>
      </c>
    </row>
    <row r="26" spans="3:7">
      <c r="C26" s="95">
        <v>42450</v>
      </c>
      <c r="D26">
        <f>'B5'!AL24</f>
        <v>5</v>
      </c>
      <c r="E26">
        <f t="shared" si="0"/>
        <v>450</v>
      </c>
      <c r="F26">
        <f>'B5'!AM24</f>
        <v>0</v>
      </c>
      <c r="G26">
        <f t="shared" si="1"/>
        <v>0</v>
      </c>
    </row>
    <row r="27" spans="3:7">
      <c r="C27" s="95">
        <v>42451</v>
      </c>
      <c r="D27">
        <f>'B5'!AL25</f>
        <v>3</v>
      </c>
      <c r="E27">
        <f t="shared" si="0"/>
        <v>270</v>
      </c>
      <c r="F27">
        <f>'B5'!AM25</f>
        <v>0</v>
      </c>
      <c r="G27">
        <f t="shared" si="1"/>
        <v>0</v>
      </c>
    </row>
    <row r="28" spans="3:7">
      <c r="C28" s="95">
        <v>42452</v>
      </c>
      <c r="D28">
        <f>'B5'!AL26</f>
        <v>4</v>
      </c>
      <c r="E28">
        <f t="shared" si="0"/>
        <v>360</v>
      </c>
      <c r="F28">
        <f>'B5'!AM26</f>
        <v>0</v>
      </c>
      <c r="G28">
        <f t="shared" si="1"/>
        <v>0</v>
      </c>
    </row>
    <row r="29" spans="3:7">
      <c r="C29" s="95">
        <v>42453</v>
      </c>
      <c r="D29">
        <f>'B5'!AL27</f>
        <v>2</v>
      </c>
      <c r="E29">
        <f t="shared" si="0"/>
        <v>180</v>
      </c>
      <c r="F29">
        <f>'B5'!AM27</f>
        <v>1</v>
      </c>
      <c r="G29">
        <f t="shared" si="1"/>
        <v>107</v>
      </c>
    </row>
    <row r="30" spans="3:7">
      <c r="C30" s="95">
        <v>42454</v>
      </c>
      <c r="D30">
        <f>'B5'!AL28</f>
        <v>0</v>
      </c>
      <c r="E30">
        <f t="shared" si="0"/>
        <v>0</v>
      </c>
      <c r="F30">
        <f>'B5'!AM28</f>
        <v>0</v>
      </c>
      <c r="G30">
        <f t="shared" si="1"/>
        <v>0</v>
      </c>
    </row>
    <row r="31" spans="3:7">
      <c r="C31" s="95">
        <v>42455</v>
      </c>
      <c r="D31">
        <f>'B5'!AL29</f>
        <v>0</v>
      </c>
      <c r="E31">
        <f t="shared" si="0"/>
        <v>0</v>
      </c>
      <c r="F31">
        <f>'B5'!AM29</f>
        <v>0</v>
      </c>
      <c r="G31">
        <f t="shared" si="1"/>
        <v>0</v>
      </c>
    </row>
    <row r="32" spans="3:7">
      <c r="C32" s="95">
        <v>42456</v>
      </c>
      <c r="D32">
        <f>'B5'!AL30</f>
        <v>4</v>
      </c>
      <c r="E32">
        <f t="shared" si="0"/>
        <v>360</v>
      </c>
      <c r="F32">
        <f>'B5'!AM30</f>
        <v>0</v>
      </c>
      <c r="G32">
        <f t="shared" si="1"/>
        <v>0</v>
      </c>
    </row>
    <row r="33" spans="3:7">
      <c r="C33" s="95">
        <v>42457</v>
      </c>
      <c r="D33">
        <f>'B5'!AL31</f>
        <v>4</v>
      </c>
      <c r="E33">
        <f t="shared" si="0"/>
        <v>360</v>
      </c>
      <c r="F33">
        <f>'B5'!AM31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H35" sqref="H35:O36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2" customWidth="1"/>
    <col min="9" max="9" width="25.7265625" customWidth="1"/>
    <col min="10" max="10" width="25.453125" style="413" customWidth="1"/>
    <col min="12" max="12" width="26.453125" bestFit="1" customWidth="1"/>
    <col min="14" max="14" width="14.26953125" customWidth="1"/>
  </cols>
  <sheetData>
    <row r="1" spans="1:18" ht="39.75" customHeight="1" thickBot="1">
      <c r="A1" s="599" t="s">
        <v>125</v>
      </c>
      <c r="B1" s="611" t="s">
        <v>273</v>
      </c>
      <c r="C1" s="612"/>
      <c r="D1" s="614"/>
      <c r="E1" s="611" t="s">
        <v>274</v>
      </c>
      <c r="F1" s="612"/>
      <c r="G1" s="613"/>
      <c r="H1" s="608" t="s">
        <v>275</v>
      </c>
      <c r="I1" s="605" t="s">
        <v>276</v>
      </c>
      <c r="J1" s="602" t="s">
        <v>277</v>
      </c>
    </row>
    <row r="2" spans="1:18" ht="37.5" thickBot="1">
      <c r="A2" s="600"/>
      <c r="B2" s="228" t="s">
        <v>278</v>
      </c>
      <c r="C2" s="229" t="s">
        <v>279</v>
      </c>
      <c r="D2" s="216"/>
      <c r="E2" s="217">
        <v>3.5</v>
      </c>
      <c r="F2" s="230" t="s">
        <v>279</v>
      </c>
      <c r="G2" s="218"/>
      <c r="H2" s="609"/>
      <c r="I2" s="606"/>
      <c r="J2" s="603"/>
    </row>
    <row r="3" spans="1:18" ht="24" customHeight="1" thickBot="1">
      <c r="A3" s="601"/>
      <c r="B3" s="219" t="s">
        <v>280</v>
      </c>
      <c r="C3" s="220" t="s">
        <v>281</v>
      </c>
      <c r="D3" s="220" t="s">
        <v>282</v>
      </c>
      <c r="E3" s="221" t="s">
        <v>280</v>
      </c>
      <c r="F3" s="220" t="s">
        <v>281</v>
      </c>
      <c r="G3" s="221" t="s">
        <v>282</v>
      </c>
      <c r="H3" s="610"/>
      <c r="I3" s="607"/>
      <c r="J3" s="604"/>
    </row>
    <row r="4" spans="1:18" ht="19" thickBot="1">
      <c r="A4" s="496"/>
      <c r="B4" s="499" t="s">
        <v>280</v>
      </c>
      <c r="C4" s="500" t="s">
        <v>281</v>
      </c>
      <c r="D4" s="501" t="s">
        <v>282</v>
      </c>
      <c r="E4" s="502" t="s">
        <v>280</v>
      </c>
      <c r="F4" s="501" t="s">
        <v>281</v>
      </c>
      <c r="G4" s="502" t="s">
        <v>282</v>
      </c>
      <c r="H4" s="488">
        <v>0</v>
      </c>
      <c r="I4" s="489"/>
      <c r="J4" s="490"/>
      <c r="L4" s="3"/>
      <c r="M4" s="3" t="s">
        <v>283</v>
      </c>
      <c r="N4" s="3" t="s">
        <v>284</v>
      </c>
      <c r="O4" s="3" t="s">
        <v>285</v>
      </c>
    </row>
    <row r="5" spans="1:18" ht="16.5" customHeight="1" thickBot="1">
      <c r="A5" s="516"/>
      <c r="B5" s="590" t="s">
        <v>286</v>
      </c>
      <c r="C5" s="591"/>
      <c r="D5" s="591"/>
      <c r="E5" s="591"/>
      <c r="F5" s="591"/>
      <c r="G5" s="592"/>
      <c r="H5" s="517"/>
      <c r="I5" s="518"/>
      <c r="J5" s="505"/>
      <c r="K5" s="497"/>
      <c r="L5" s="438"/>
      <c r="M5" s="3"/>
      <c r="N5" s="3"/>
      <c r="O5" s="3"/>
    </row>
    <row r="6" spans="1:18" ht="15.75" customHeight="1">
      <c r="A6" s="510">
        <f>ELEC!C4</f>
        <v>44958</v>
      </c>
      <c r="B6" s="593"/>
      <c r="C6" s="594"/>
      <c r="D6" s="594"/>
      <c r="E6" s="594"/>
      <c r="F6" s="594"/>
      <c r="G6" s="595"/>
      <c r="H6" s="509">
        <f>H5</f>
        <v>0</v>
      </c>
      <c r="I6" s="515">
        <f>H6-H5</f>
        <v>0</v>
      </c>
      <c r="J6" s="504">
        <v>0.29166666666666669</v>
      </c>
      <c r="L6" s="95">
        <f t="shared" ref="L6:L33" si="0">A6</f>
        <v>44958</v>
      </c>
      <c r="M6" s="3">
        <f>M5</f>
        <v>0</v>
      </c>
      <c r="N6" s="3"/>
      <c r="O6" s="3">
        <f>M6+N6</f>
        <v>0</v>
      </c>
    </row>
    <row r="7" spans="1:18">
      <c r="A7" s="511">
        <f>ELEC!C5</f>
        <v>44959</v>
      </c>
      <c r="B7" s="593"/>
      <c r="C7" s="594"/>
      <c r="D7" s="594"/>
      <c r="E7" s="594"/>
      <c r="F7" s="594"/>
      <c r="G7" s="595"/>
      <c r="H7" s="509">
        <f t="shared" ref="H7:H34" si="1">H6</f>
        <v>0</v>
      </c>
      <c r="I7" s="3">
        <f>H7-H6</f>
        <v>0</v>
      </c>
      <c r="J7" s="412">
        <v>0.29166666666666669</v>
      </c>
      <c r="L7" s="95">
        <f t="shared" si="0"/>
        <v>44959</v>
      </c>
      <c r="M7" s="3">
        <f t="shared" ref="M7:M34" si="2">M6</f>
        <v>0</v>
      </c>
      <c r="N7" s="3"/>
      <c r="O7" s="3">
        <f t="shared" ref="O7:O33" si="3">M7+N7</f>
        <v>0</v>
      </c>
    </row>
    <row r="8" spans="1:18">
      <c r="A8" s="511">
        <f>ELEC!C6</f>
        <v>44960</v>
      </c>
      <c r="B8" s="593"/>
      <c r="C8" s="594"/>
      <c r="D8" s="594"/>
      <c r="E8" s="594"/>
      <c r="F8" s="594"/>
      <c r="G8" s="595"/>
      <c r="H8" s="509">
        <f t="shared" si="1"/>
        <v>0</v>
      </c>
      <c r="I8" s="3">
        <f t="shared" ref="I8:I33" si="4">H8-H7</f>
        <v>0</v>
      </c>
      <c r="J8" s="412">
        <v>0.29166666666666669</v>
      </c>
      <c r="L8" s="95">
        <f t="shared" si="0"/>
        <v>44960</v>
      </c>
      <c r="M8" s="3">
        <f t="shared" si="2"/>
        <v>0</v>
      </c>
      <c r="N8" s="3"/>
      <c r="O8" s="3">
        <f t="shared" si="3"/>
        <v>0</v>
      </c>
    </row>
    <row r="9" spans="1:18">
      <c r="A9" s="511">
        <f>ELEC!C7</f>
        <v>44961</v>
      </c>
      <c r="B9" s="593"/>
      <c r="C9" s="594"/>
      <c r="D9" s="594"/>
      <c r="E9" s="594"/>
      <c r="F9" s="594"/>
      <c r="G9" s="595"/>
      <c r="H9" s="509">
        <v>7082</v>
      </c>
      <c r="I9" s="3">
        <f t="shared" si="4"/>
        <v>7082</v>
      </c>
      <c r="J9" s="412">
        <v>0.25</v>
      </c>
      <c r="L9" s="95">
        <f t="shared" si="0"/>
        <v>44961</v>
      </c>
      <c r="M9" s="3">
        <f t="shared" si="2"/>
        <v>0</v>
      </c>
      <c r="N9" s="3"/>
      <c r="O9" s="3">
        <f t="shared" si="3"/>
        <v>0</v>
      </c>
    </row>
    <row r="10" spans="1:18">
      <c r="A10" s="511">
        <f>ELEC!C8</f>
        <v>44962</v>
      </c>
      <c r="B10" s="593"/>
      <c r="C10" s="594"/>
      <c r="D10" s="594"/>
      <c r="E10" s="594"/>
      <c r="F10" s="594"/>
      <c r="G10" s="595"/>
      <c r="H10" s="509">
        <f t="shared" si="1"/>
        <v>7082</v>
      </c>
      <c r="I10" s="3">
        <f t="shared" si="4"/>
        <v>0</v>
      </c>
      <c r="J10" s="412">
        <v>0.29166666666666669</v>
      </c>
      <c r="L10" s="95">
        <f t="shared" si="0"/>
        <v>44962</v>
      </c>
      <c r="M10" s="3">
        <f t="shared" si="2"/>
        <v>0</v>
      </c>
      <c r="N10" s="3"/>
      <c r="O10" s="3">
        <f t="shared" si="3"/>
        <v>0</v>
      </c>
    </row>
    <row r="11" spans="1:18">
      <c r="A11" s="511">
        <f>ELEC!C9</f>
        <v>44963</v>
      </c>
      <c r="B11" s="593"/>
      <c r="C11" s="594"/>
      <c r="D11" s="594"/>
      <c r="E11" s="594"/>
      <c r="F11" s="594"/>
      <c r="G11" s="595"/>
      <c r="H11" s="509">
        <f t="shared" si="1"/>
        <v>7082</v>
      </c>
      <c r="I11" s="3">
        <f t="shared" si="4"/>
        <v>0</v>
      </c>
      <c r="J11" s="412">
        <v>0.29166666666666669</v>
      </c>
      <c r="L11" s="95">
        <f t="shared" si="0"/>
        <v>44963</v>
      </c>
      <c r="M11" s="3">
        <f t="shared" si="2"/>
        <v>0</v>
      </c>
      <c r="N11" s="3"/>
      <c r="O11" s="3">
        <f t="shared" si="3"/>
        <v>0</v>
      </c>
    </row>
    <row r="12" spans="1:18" ht="15.5">
      <c r="A12" s="511">
        <f>ELEC!C10</f>
        <v>44964</v>
      </c>
      <c r="B12" s="593"/>
      <c r="C12" s="594"/>
      <c r="D12" s="594"/>
      <c r="E12" s="594"/>
      <c r="F12" s="594"/>
      <c r="G12" s="595"/>
      <c r="H12" s="509">
        <f t="shared" si="1"/>
        <v>7082</v>
      </c>
      <c r="I12" s="3">
        <f t="shared" si="4"/>
        <v>0</v>
      </c>
      <c r="J12" s="412">
        <v>0.29166666666666669</v>
      </c>
      <c r="L12" s="95">
        <f t="shared" si="0"/>
        <v>44964</v>
      </c>
      <c r="M12" s="3">
        <f t="shared" si="2"/>
        <v>0</v>
      </c>
      <c r="N12" s="3"/>
      <c r="O12" s="3">
        <f t="shared" si="3"/>
        <v>0</v>
      </c>
      <c r="P12" s="370"/>
      <c r="Q12" s="301"/>
      <c r="R12" s="301"/>
    </row>
    <row r="13" spans="1:18">
      <c r="A13" s="511">
        <f>ELEC!C11</f>
        <v>44965</v>
      </c>
      <c r="B13" s="593"/>
      <c r="C13" s="594"/>
      <c r="D13" s="594"/>
      <c r="E13" s="594"/>
      <c r="F13" s="594"/>
      <c r="G13" s="595"/>
      <c r="H13" s="509">
        <f t="shared" si="1"/>
        <v>7082</v>
      </c>
      <c r="I13" s="3">
        <f t="shared" si="4"/>
        <v>0</v>
      </c>
      <c r="J13" s="412">
        <v>0.29166666666666669</v>
      </c>
      <c r="L13" s="95">
        <f t="shared" si="0"/>
        <v>44965</v>
      </c>
      <c r="M13" s="3">
        <f t="shared" si="2"/>
        <v>0</v>
      </c>
      <c r="N13" s="3"/>
      <c r="O13" s="3">
        <f t="shared" si="3"/>
        <v>0</v>
      </c>
    </row>
    <row r="14" spans="1:18">
      <c r="A14" s="511">
        <f>ELEC!C12</f>
        <v>44966</v>
      </c>
      <c r="B14" s="593"/>
      <c r="C14" s="594"/>
      <c r="D14" s="594"/>
      <c r="E14" s="594"/>
      <c r="F14" s="594"/>
      <c r="G14" s="595"/>
      <c r="H14" s="509">
        <v>7088</v>
      </c>
      <c r="I14" s="3">
        <f t="shared" si="4"/>
        <v>6</v>
      </c>
      <c r="J14" s="412">
        <v>0.29166666666666669</v>
      </c>
      <c r="L14" s="95">
        <f t="shared" si="0"/>
        <v>44966</v>
      </c>
      <c r="M14" s="3">
        <f t="shared" si="2"/>
        <v>0</v>
      </c>
      <c r="N14" s="3"/>
      <c r="O14" s="3">
        <f t="shared" si="3"/>
        <v>0</v>
      </c>
    </row>
    <row r="15" spans="1:18">
      <c r="A15" s="511">
        <f>ELEC!C13</f>
        <v>44967</v>
      </c>
      <c r="B15" s="593"/>
      <c r="C15" s="594"/>
      <c r="D15" s="594"/>
      <c r="E15" s="594"/>
      <c r="F15" s="594"/>
      <c r="G15" s="595"/>
      <c r="H15" s="509">
        <f t="shared" si="1"/>
        <v>7088</v>
      </c>
      <c r="I15" s="3">
        <f t="shared" si="4"/>
        <v>0</v>
      </c>
      <c r="J15" s="412">
        <v>0.29166666666666669</v>
      </c>
      <c r="L15" s="95">
        <f t="shared" si="0"/>
        <v>44967</v>
      </c>
      <c r="M15" s="3">
        <f t="shared" si="2"/>
        <v>0</v>
      </c>
      <c r="N15" s="3"/>
      <c r="O15" s="3">
        <f t="shared" si="3"/>
        <v>0</v>
      </c>
    </row>
    <row r="16" spans="1:18">
      <c r="A16" s="511">
        <f>ELEC!C14</f>
        <v>44968</v>
      </c>
      <c r="B16" s="593"/>
      <c r="C16" s="594"/>
      <c r="D16" s="594"/>
      <c r="E16" s="594"/>
      <c r="F16" s="594"/>
      <c r="G16" s="595"/>
      <c r="H16" s="509">
        <v>7089</v>
      </c>
      <c r="I16" s="3">
        <f t="shared" si="4"/>
        <v>1</v>
      </c>
      <c r="J16" s="412">
        <v>0.29166666666666669</v>
      </c>
      <c r="L16" s="95">
        <f t="shared" si="0"/>
        <v>44968</v>
      </c>
      <c r="M16" s="3">
        <f t="shared" si="2"/>
        <v>0</v>
      </c>
      <c r="N16" s="3"/>
      <c r="O16" s="3">
        <f t="shared" si="3"/>
        <v>0</v>
      </c>
    </row>
    <row r="17" spans="1:15">
      <c r="A17" s="511">
        <f>ELEC!C15</f>
        <v>44969</v>
      </c>
      <c r="B17" s="593"/>
      <c r="C17" s="594"/>
      <c r="D17" s="594"/>
      <c r="E17" s="594"/>
      <c r="F17" s="594"/>
      <c r="G17" s="595"/>
      <c r="H17" s="509">
        <f t="shared" si="1"/>
        <v>7089</v>
      </c>
      <c r="I17" s="3">
        <f t="shared" si="4"/>
        <v>0</v>
      </c>
      <c r="J17" s="412">
        <v>0.29166666666666669</v>
      </c>
      <c r="L17" s="95">
        <f t="shared" si="0"/>
        <v>44969</v>
      </c>
      <c r="M17" s="3">
        <f t="shared" si="2"/>
        <v>0</v>
      </c>
      <c r="N17" s="3"/>
      <c r="O17" s="3">
        <f t="shared" si="3"/>
        <v>0</v>
      </c>
    </row>
    <row r="18" spans="1:15">
      <c r="A18" s="511">
        <f>ELEC!C16</f>
        <v>44970</v>
      </c>
      <c r="B18" s="593"/>
      <c r="C18" s="594"/>
      <c r="D18" s="594"/>
      <c r="E18" s="594"/>
      <c r="F18" s="594"/>
      <c r="G18" s="595"/>
      <c r="H18" s="509">
        <f t="shared" si="1"/>
        <v>7089</v>
      </c>
      <c r="I18" s="3">
        <f t="shared" si="4"/>
        <v>0</v>
      </c>
      <c r="J18" s="412">
        <v>0.29166666666666669</v>
      </c>
      <c r="L18" s="95">
        <f t="shared" si="0"/>
        <v>44970</v>
      </c>
      <c r="M18" s="3">
        <f t="shared" si="2"/>
        <v>0</v>
      </c>
      <c r="N18" s="3"/>
      <c r="O18" s="3">
        <f t="shared" si="3"/>
        <v>0</v>
      </c>
    </row>
    <row r="19" spans="1:15">
      <c r="A19" s="511">
        <f>ELEC!C17</f>
        <v>44971</v>
      </c>
      <c r="B19" s="593"/>
      <c r="C19" s="594"/>
      <c r="D19" s="594"/>
      <c r="E19" s="594"/>
      <c r="F19" s="594"/>
      <c r="G19" s="595"/>
      <c r="H19" s="509">
        <f t="shared" si="1"/>
        <v>7089</v>
      </c>
      <c r="I19" s="3">
        <f t="shared" si="4"/>
        <v>0</v>
      </c>
      <c r="J19" s="412">
        <v>0.29166666666666669</v>
      </c>
      <c r="L19" s="95">
        <f t="shared" si="0"/>
        <v>44971</v>
      </c>
      <c r="M19" s="3">
        <f t="shared" si="2"/>
        <v>0</v>
      </c>
      <c r="N19" s="3"/>
      <c r="O19" s="3">
        <f t="shared" si="3"/>
        <v>0</v>
      </c>
    </row>
    <row r="20" spans="1:15">
      <c r="A20" s="511">
        <f>ELEC!C18</f>
        <v>44972</v>
      </c>
      <c r="B20" s="593"/>
      <c r="C20" s="594"/>
      <c r="D20" s="594"/>
      <c r="E20" s="594"/>
      <c r="F20" s="594"/>
      <c r="G20" s="595"/>
      <c r="H20" s="509">
        <f t="shared" si="1"/>
        <v>7089</v>
      </c>
      <c r="I20" s="3">
        <f t="shared" si="4"/>
        <v>0</v>
      </c>
      <c r="J20" s="412">
        <v>0.29166666666666669</v>
      </c>
      <c r="L20" s="95">
        <f t="shared" si="0"/>
        <v>44972</v>
      </c>
      <c r="M20" s="3">
        <f t="shared" si="2"/>
        <v>0</v>
      </c>
      <c r="N20" s="3"/>
      <c r="O20" s="3">
        <f t="shared" si="3"/>
        <v>0</v>
      </c>
    </row>
    <row r="21" spans="1:15">
      <c r="A21" s="511">
        <f>ELEC!C19</f>
        <v>44973</v>
      </c>
      <c r="B21" s="593"/>
      <c r="C21" s="594"/>
      <c r="D21" s="594"/>
      <c r="E21" s="594"/>
      <c r="F21" s="594"/>
      <c r="G21" s="595"/>
      <c r="H21" s="509">
        <f t="shared" si="1"/>
        <v>7089</v>
      </c>
      <c r="I21" s="3">
        <f t="shared" si="4"/>
        <v>0</v>
      </c>
      <c r="J21" s="464" t="s">
        <v>287</v>
      </c>
      <c r="L21" s="95">
        <f t="shared" si="0"/>
        <v>44973</v>
      </c>
      <c r="M21" s="3">
        <f t="shared" si="2"/>
        <v>0</v>
      </c>
      <c r="N21" s="3"/>
      <c r="O21" s="3">
        <f t="shared" si="3"/>
        <v>0</v>
      </c>
    </row>
    <row r="22" spans="1:15">
      <c r="A22" s="511">
        <f>ELEC!C20</f>
        <v>44974</v>
      </c>
      <c r="B22" s="593"/>
      <c r="C22" s="594"/>
      <c r="D22" s="594"/>
      <c r="E22" s="594"/>
      <c r="F22" s="594"/>
      <c r="G22" s="595"/>
      <c r="H22" s="509">
        <f t="shared" si="1"/>
        <v>7089</v>
      </c>
      <c r="I22" s="3">
        <f t="shared" si="4"/>
        <v>0</v>
      </c>
      <c r="J22" s="412">
        <v>0.29166666666666669</v>
      </c>
      <c r="L22" s="95">
        <f t="shared" si="0"/>
        <v>44974</v>
      </c>
      <c r="M22" s="3">
        <f t="shared" si="2"/>
        <v>0</v>
      </c>
      <c r="N22" s="3"/>
      <c r="O22" s="3">
        <f t="shared" si="3"/>
        <v>0</v>
      </c>
    </row>
    <row r="23" spans="1:15">
      <c r="A23" s="511">
        <f>ELEC!C21</f>
        <v>44975</v>
      </c>
      <c r="B23" s="593"/>
      <c r="C23" s="594"/>
      <c r="D23" s="594"/>
      <c r="E23" s="594"/>
      <c r="F23" s="594"/>
      <c r="G23" s="595"/>
      <c r="H23" s="509">
        <f t="shared" si="1"/>
        <v>7089</v>
      </c>
      <c r="I23" s="3">
        <f t="shared" si="4"/>
        <v>0</v>
      </c>
      <c r="J23" s="412">
        <v>0.29166666666666669</v>
      </c>
      <c r="L23" s="95">
        <f t="shared" si="0"/>
        <v>44975</v>
      </c>
      <c r="M23" s="3">
        <f t="shared" si="2"/>
        <v>0</v>
      </c>
      <c r="N23" s="3"/>
      <c r="O23" s="3">
        <f t="shared" si="3"/>
        <v>0</v>
      </c>
    </row>
    <row r="24" spans="1:15">
      <c r="A24" s="511">
        <f>ELEC!C22</f>
        <v>44976</v>
      </c>
      <c r="B24" s="593"/>
      <c r="C24" s="594"/>
      <c r="D24" s="594"/>
      <c r="E24" s="594"/>
      <c r="F24" s="594"/>
      <c r="G24" s="595"/>
      <c r="H24" s="509">
        <f t="shared" si="1"/>
        <v>7089</v>
      </c>
      <c r="I24" s="3">
        <f t="shared" si="4"/>
        <v>0</v>
      </c>
      <c r="J24" s="412">
        <v>0.29166666666666702</v>
      </c>
      <c r="L24" s="95">
        <f t="shared" si="0"/>
        <v>44976</v>
      </c>
      <c r="M24" s="3">
        <f t="shared" si="2"/>
        <v>0</v>
      </c>
      <c r="N24" s="3"/>
      <c r="O24" s="3">
        <f t="shared" si="3"/>
        <v>0</v>
      </c>
    </row>
    <row r="25" spans="1:15">
      <c r="A25" s="511">
        <f>ELEC!C23</f>
        <v>44977</v>
      </c>
      <c r="B25" s="593"/>
      <c r="C25" s="594"/>
      <c r="D25" s="594"/>
      <c r="E25" s="594"/>
      <c r="F25" s="594"/>
      <c r="G25" s="595"/>
      <c r="H25" s="509">
        <f t="shared" si="1"/>
        <v>7089</v>
      </c>
      <c r="I25" s="3">
        <f t="shared" si="4"/>
        <v>0</v>
      </c>
      <c r="J25" s="412">
        <v>0.29166666666666702</v>
      </c>
      <c r="L25" s="95">
        <f t="shared" si="0"/>
        <v>44977</v>
      </c>
      <c r="M25" s="3">
        <f t="shared" si="2"/>
        <v>0</v>
      </c>
      <c r="N25" s="3"/>
      <c r="O25" s="3">
        <f t="shared" si="3"/>
        <v>0</v>
      </c>
    </row>
    <row r="26" spans="1:15">
      <c r="A26" s="511">
        <f>ELEC!C24</f>
        <v>44978</v>
      </c>
      <c r="B26" s="593"/>
      <c r="C26" s="594"/>
      <c r="D26" s="594"/>
      <c r="E26" s="594"/>
      <c r="F26" s="594"/>
      <c r="G26" s="595"/>
      <c r="H26" s="509">
        <f t="shared" si="1"/>
        <v>7089</v>
      </c>
      <c r="I26" s="3">
        <f t="shared" si="4"/>
        <v>0</v>
      </c>
      <c r="J26" s="412">
        <v>0.29166666666666702</v>
      </c>
      <c r="L26" s="95">
        <f t="shared" si="0"/>
        <v>44978</v>
      </c>
      <c r="M26" s="3">
        <f t="shared" si="2"/>
        <v>0</v>
      </c>
      <c r="N26" s="3"/>
      <c r="O26" s="3">
        <f t="shared" si="3"/>
        <v>0</v>
      </c>
    </row>
    <row r="27" spans="1:15">
      <c r="A27" s="511">
        <f>ELEC!C25</f>
        <v>44979</v>
      </c>
      <c r="B27" s="593"/>
      <c r="C27" s="594"/>
      <c r="D27" s="594"/>
      <c r="E27" s="594"/>
      <c r="F27" s="594"/>
      <c r="G27" s="595"/>
      <c r="H27" s="509">
        <f t="shared" si="1"/>
        <v>7089</v>
      </c>
      <c r="I27" s="3">
        <f t="shared" si="4"/>
        <v>0</v>
      </c>
      <c r="J27" s="412">
        <v>0.29166666666666702</v>
      </c>
      <c r="L27" s="95">
        <f t="shared" si="0"/>
        <v>44979</v>
      </c>
      <c r="M27" s="3">
        <f t="shared" si="2"/>
        <v>0</v>
      </c>
      <c r="N27" s="3"/>
      <c r="O27" s="3">
        <f t="shared" si="3"/>
        <v>0</v>
      </c>
    </row>
    <row r="28" spans="1:15">
      <c r="A28" s="511">
        <f>ELEC!C26</f>
        <v>44980</v>
      </c>
      <c r="B28" s="593"/>
      <c r="C28" s="594"/>
      <c r="D28" s="594"/>
      <c r="E28" s="594"/>
      <c r="F28" s="594"/>
      <c r="G28" s="595"/>
      <c r="H28" s="509">
        <f t="shared" si="1"/>
        <v>7089</v>
      </c>
      <c r="I28" s="3">
        <f t="shared" si="4"/>
        <v>0</v>
      </c>
      <c r="J28" s="412">
        <v>0.29166666666666702</v>
      </c>
      <c r="L28" s="95">
        <f t="shared" si="0"/>
        <v>44980</v>
      </c>
      <c r="M28" s="3">
        <f t="shared" si="2"/>
        <v>0</v>
      </c>
      <c r="N28" s="3"/>
      <c r="O28" s="3">
        <f t="shared" si="3"/>
        <v>0</v>
      </c>
    </row>
    <row r="29" spans="1:15">
      <c r="A29" s="511">
        <f>ELEC!C27</f>
        <v>44981</v>
      </c>
      <c r="B29" s="593"/>
      <c r="C29" s="594"/>
      <c r="D29" s="594"/>
      <c r="E29" s="594"/>
      <c r="F29" s="594"/>
      <c r="G29" s="595"/>
      <c r="H29" s="509">
        <f t="shared" si="1"/>
        <v>7089</v>
      </c>
      <c r="I29" s="3">
        <f t="shared" si="4"/>
        <v>0</v>
      </c>
      <c r="J29" s="412">
        <v>0.29166666666666702</v>
      </c>
      <c r="L29" s="95">
        <f t="shared" si="0"/>
        <v>44981</v>
      </c>
      <c r="M29" s="3">
        <f t="shared" si="2"/>
        <v>0</v>
      </c>
      <c r="N29" s="3"/>
      <c r="O29" s="3">
        <f t="shared" si="3"/>
        <v>0</v>
      </c>
    </row>
    <row r="30" spans="1:15">
      <c r="A30" s="511">
        <f>ELEC!C28</f>
        <v>44982</v>
      </c>
      <c r="B30" s="593"/>
      <c r="C30" s="594"/>
      <c r="D30" s="594"/>
      <c r="E30" s="594"/>
      <c r="F30" s="594"/>
      <c r="G30" s="595"/>
      <c r="H30" s="509">
        <f t="shared" si="1"/>
        <v>7089</v>
      </c>
      <c r="I30" s="3">
        <f t="shared" si="4"/>
        <v>0</v>
      </c>
      <c r="J30" s="412">
        <v>0.29166666666666702</v>
      </c>
      <c r="L30" s="95">
        <f t="shared" si="0"/>
        <v>44982</v>
      </c>
      <c r="M30" s="3">
        <f t="shared" si="2"/>
        <v>0</v>
      </c>
      <c r="N30" s="3"/>
      <c r="O30" s="3">
        <f t="shared" si="3"/>
        <v>0</v>
      </c>
    </row>
    <row r="31" spans="1:15">
      <c r="A31" s="511">
        <f>ELEC!C29</f>
        <v>44983</v>
      </c>
      <c r="B31" s="593"/>
      <c r="C31" s="594"/>
      <c r="D31" s="594"/>
      <c r="E31" s="594"/>
      <c r="F31" s="594"/>
      <c r="G31" s="595"/>
      <c r="H31" s="509">
        <f t="shared" si="1"/>
        <v>7089</v>
      </c>
      <c r="I31" s="3">
        <f t="shared" si="4"/>
        <v>0</v>
      </c>
      <c r="J31" s="412">
        <v>0.29166666666666702</v>
      </c>
      <c r="L31" s="95">
        <f t="shared" si="0"/>
        <v>44983</v>
      </c>
      <c r="M31" s="3">
        <f t="shared" si="2"/>
        <v>0</v>
      </c>
      <c r="N31" s="3"/>
      <c r="O31" s="3">
        <f t="shared" si="3"/>
        <v>0</v>
      </c>
    </row>
    <row r="32" spans="1:15">
      <c r="A32" s="511">
        <f>ELEC!C30</f>
        <v>44984</v>
      </c>
      <c r="B32" s="593"/>
      <c r="C32" s="594"/>
      <c r="D32" s="594"/>
      <c r="E32" s="594"/>
      <c r="F32" s="594"/>
      <c r="G32" s="595"/>
      <c r="H32" s="509">
        <f t="shared" si="1"/>
        <v>7089</v>
      </c>
      <c r="I32" s="3">
        <f t="shared" si="4"/>
        <v>0</v>
      </c>
      <c r="J32" s="412">
        <v>0.29166666666666702</v>
      </c>
      <c r="L32" s="95">
        <f t="shared" si="0"/>
        <v>44984</v>
      </c>
      <c r="M32" s="3">
        <f t="shared" si="2"/>
        <v>0</v>
      </c>
      <c r="N32" s="3"/>
      <c r="O32" s="3">
        <v>6879</v>
      </c>
    </row>
    <row r="33" spans="1:15">
      <c r="A33" s="511">
        <f>ELEC!C31</f>
        <v>44985</v>
      </c>
      <c r="B33" s="593"/>
      <c r="C33" s="594"/>
      <c r="D33" s="594"/>
      <c r="E33" s="594"/>
      <c r="F33" s="594"/>
      <c r="G33" s="595"/>
      <c r="H33" s="509">
        <f t="shared" si="1"/>
        <v>7089</v>
      </c>
      <c r="I33" s="3">
        <f t="shared" si="4"/>
        <v>0</v>
      </c>
      <c r="J33" s="412">
        <v>0.29166666666666702</v>
      </c>
      <c r="L33" s="95">
        <f t="shared" si="0"/>
        <v>44985</v>
      </c>
      <c r="M33" s="3">
        <f t="shared" si="2"/>
        <v>0</v>
      </c>
      <c r="N33" s="3"/>
      <c r="O33" s="3">
        <f t="shared" si="3"/>
        <v>0</v>
      </c>
    </row>
    <row r="34" spans="1:15">
      <c r="A34" s="511">
        <f>ELEC!C32</f>
        <v>44986</v>
      </c>
      <c r="B34" s="593"/>
      <c r="C34" s="594"/>
      <c r="D34" s="594"/>
      <c r="E34" s="594"/>
      <c r="F34" s="594"/>
      <c r="G34" s="595"/>
      <c r="H34" s="509">
        <f t="shared" si="1"/>
        <v>7089</v>
      </c>
      <c r="I34" s="3">
        <f t="shared" ref="I34" si="5">H34-H33</f>
        <v>0</v>
      </c>
      <c r="J34" s="412">
        <v>0.33333333333333398</v>
      </c>
      <c r="L34" s="95">
        <f t="shared" ref="L34" si="6">A34</f>
        <v>44986</v>
      </c>
      <c r="M34" s="3">
        <f t="shared" si="2"/>
        <v>0</v>
      </c>
      <c r="N34" s="3"/>
      <c r="O34" s="3">
        <f t="shared" ref="O34" si="7">M34+N34</f>
        <v>0</v>
      </c>
    </row>
    <row r="35" spans="1:15">
      <c r="A35" s="511"/>
      <c r="B35" s="593"/>
      <c r="C35" s="594"/>
      <c r="D35" s="594"/>
      <c r="E35" s="594"/>
      <c r="F35" s="594"/>
      <c r="G35" s="595"/>
      <c r="H35" s="509"/>
      <c r="I35" s="3"/>
      <c r="J35" s="412"/>
      <c r="L35" s="95"/>
      <c r="M35" s="3"/>
      <c r="N35" s="3"/>
      <c r="O35" s="3"/>
    </row>
    <row r="36" spans="1:15" ht="15" thickBot="1">
      <c r="A36" s="512"/>
      <c r="B36" s="596"/>
      <c r="C36" s="597"/>
      <c r="D36" s="597"/>
      <c r="E36" s="597"/>
      <c r="F36" s="597"/>
      <c r="G36" s="598"/>
      <c r="H36" s="509"/>
      <c r="I36" s="513"/>
      <c r="J36" s="514"/>
      <c r="L36" s="95"/>
      <c r="M36" s="3"/>
      <c r="N36" s="3"/>
      <c r="O36" s="3"/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17" zoomScale="80" zoomScaleNormal="80" workbookViewId="0">
      <selection activeCell="F10" sqref="F10:G37"/>
    </sheetView>
  </sheetViews>
  <sheetFormatPr defaultRowHeight="14.5"/>
  <cols>
    <col min="1" max="1" width="9.26953125" style="100" customWidth="1"/>
    <col min="4" max="4" width="9.26953125" style="10" customWidth="1"/>
    <col min="5" max="5" width="9.26953125" style="100" customWidth="1"/>
    <col min="8" max="8" width="9.26953125" style="10" customWidth="1"/>
    <col min="9" max="9" width="9.26953125" style="100" customWidth="1"/>
    <col min="12" max="12" width="9.26953125" style="10" customWidth="1"/>
    <col min="13" max="13" width="9.26953125" style="100" customWidth="1"/>
    <col min="16" max="16" width="9.26953125" style="10" customWidth="1"/>
    <col min="17" max="17" width="9.26953125" style="100" customWidth="1"/>
    <col min="20" max="20" width="9.26953125" style="10" customWidth="1"/>
    <col min="21" max="21" width="9.26953125" style="100" customWidth="1"/>
    <col min="24" max="24" width="9.26953125" style="10" customWidth="1"/>
  </cols>
  <sheetData>
    <row r="1" spans="1:28" ht="19">
      <c r="A1" s="626" t="s">
        <v>288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</row>
    <row r="2" spans="1:28" ht="19.5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</row>
    <row r="3" spans="1:28" ht="19.5">
      <c r="A3" s="627" t="s">
        <v>289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27" t="s">
        <v>290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7"/>
      <c r="W5" s="627"/>
      <c r="X5" s="627"/>
    </row>
    <row r="6" spans="1:28" ht="15" thickBot="1">
      <c r="A6" s="628"/>
      <c r="B6" s="628"/>
      <c r="C6" s="628"/>
      <c r="D6" s="628"/>
      <c r="E6" s="628"/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28"/>
      <c r="Q6" s="628"/>
      <c r="R6" s="628"/>
      <c r="S6" s="628"/>
      <c r="T6" s="628"/>
      <c r="U6" s="628"/>
      <c r="V6" s="628"/>
      <c r="W6" s="628"/>
      <c r="X6" s="628"/>
    </row>
    <row r="7" spans="1:28" ht="15" thickBot="1">
      <c r="A7" s="616" t="s">
        <v>291</v>
      </c>
      <c r="B7" s="617"/>
      <c r="C7" s="618" t="s">
        <v>292</v>
      </c>
      <c r="D7" s="619"/>
      <c r="E7" s="619"/>
      <c r="F7" s="619"/>
      <c r="G7" s="619"/>
      <c r="H7" s="619"/>
      <c r="I7" s="619"/>
      <c r="J7" s="619"/>
      <c r="K7" s="620"/>
    </row>
    <row r="8" spans="1:28" ht="15.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">
      <c r="A9" s="108" t="s">
        <v>293</v>
      </c>
      <c r="B9" s="109" t="s">
        <v>294</v>
      </c>
      <c r="C9" s="109" t="s">
        <v>295</v>
      </c>
      <c r="D9" s="110" t="s">
        <v>296</v>
      </c>
      <c r="E9" s="108" t="s">
        <v>297</v>
      </c>
      <c r="F9" s="109" t="s">
        <v>294</v>
      </c>
      <c r="G9" s="109" t="s">
        <v>295</v>
      </c>
      <c r="H9" s="111" t="s">
        <v>296</v>
      </c>
      <c r="I9" s="108" t="s">
        <v>298</v>
      </c>
      <c r="J9" s="109" t="s">
        <v>294</v>
      </c>
      <c r="K9" s="109" t="s">
        <v>295</v>
      </c>
      <c r="L9" s="111" t="s">
        <v>296</v>
      </c>
      <c r="M9" s="108" t="s">
        <v>299</v>
      </c>
      <c r="N9" s="109" t="s">
        <v>294</v>
      </c>
      <c r="O9" s="109" t="s">
        <v>295</v>
      </c>
      <c r="P9" s="111" t="s">
        <v>296</v>
      </c>
      <c r="Q9" s="108" t="s">
        <v>300</v>
      </c>
      <c r="R9" s="109" t="s">
        <v>294</v>
      </c>
      <c r="S9" s="109" t="s">
        <v>295</v>
      </c>
      <c r="T9" s="111" t="s">
        <v>296</v>
      </c>
      <c r="U9" s="108" t="s">
        <v>301</v>
      </c>
      <c r="V9" s="109" t="s">
        <v>294</v>
      </c>
      <c r="W9" s="109" t="s">
        <v>295</v>
      </c>
      <c r="X9" s="111" t="s">
        <v>296</v>
      </c>
      <c r="AA9" s="150" t="s">
        <v>302</v>
      </c>
      <c r="AB9" s="150" t="s">
        <v>303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10</v>
      </c>
      <c r="D10" s="239">
        <f>'[7]Degree Days 2020'!D10</f>
        <v>-0.80000000000000071</v>
      </c>
      <c r="E10" s="3">
        <v>1</v>
      </c>
      <c r="F10" s="239">
        <f>'General information '!B5</f>
        <v>16</v>
      </c>
      <c r="G10" s="239">
        <f>'General information '!C5</f>
        <v>10</v>
      </c>
      <c r="H10" s="239">
        <f>'[7]Degree Days 2020'!H10</f>
        <v>0.19999999999999929</v>
      </c>
      <c r="I10" s="3">
        <f>'[7]Degree Days 2020'!I10</f>
        <v>1</v>
      </c>
      <c r="J10" s="239"/>
      <c r="K10" s="239"/>
      <c r="L10" s="239">
        <f>'[7]Degree Days 2020'!L10</f>
        <v>-2.3000000000000007</v>
      </c>
      <c r="M10" s="3">
        <f>'[8]Degree Days 2020'!M10</f>
        <v>1</v>
      </c>
      <c r="N10" s="239"/>
      <c r="O10" s="239"/>
      <c r="P10" s="239">
        <f>(N10+O10)/2-18.3</f>
        <v>-18.3</v>
      </c>
      <c r="Q10" s="3">
        <v>1</v>
      </c>
      <c r="R10" s="239"/>
      <c r="S10" s="239"/>
      <c r="T10" s="239">
        <f>(R10+S10)/2-18.3</f>
        <v>-18.3</v>
      </c>
      <c r="U10" s="3">
        <v>1</v>
      </c>
      <c r="V10" s="239"/>
      <c r="W10" s="239"/>
      <c r="X10" s="239">
        <f>(V10+W10)/2-18.3</f>
        <v>-18.3</v>
      </c>
      <c r="Z10" t="s">
        <v>304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11</v>
      </c>
      <c r="D11" s="239">
        <f>'[7]Degree Days 2020'!D11</f>
        <v>-0.30000000000000071</v>
      </c>
      <c r="E11" s="3">
        <v>2</v>
      </c>
      <c r="F11" s="239">
        <f>'General information '!B6</f>
        <v>16</v>
      </c>
      <c r="G11" s="239">
        <f>'General information '!C6</f>
        <v>11</v>
      </c>
      <c r="H11" s="239">
        <f>'[7]Degree Days 2020'!H11</f>
        <v>1.6999999999999993</v>
      </c>
      <c r="I11" s="3">
        <f>'[7]Degree Days 2020'!I11</f>
        <v>2</v>
      </c>
      <c r="J11" s="239"/>
      <c r="K11" s="239"/>
      <c r="L11" s="239">
        <f>'[7]Degree Days 2020'!L11</f>
        <v>-2.8000000000000007</v>
      </c>
      <c r="M11" s="3">
        <f>'[8]Degree Days 2020'!M11</f>
        <v>2</v>
      </c>
      <c r="N11" s="239"/>
      <c r="O11" s="239"/>
      <c r="P11" s="239">
        <f t="shared" ref="P11:P39" si="0">(N11+O11)/2-18.3</f>
        <v>-18.3</v>
      </c>
      <c r="Q11" s="3">
        <v>2</v>
      </c>
      <c r="R11" s="239"/>
      <c r="S11" s="239"/>
      <c r="T11" s="239">
        <f t="shared" ref="T11:T40" si="1">(R11+S11)/2-18.3</f>
        <v>-18.3</v>
      </c>
      <c r="U11" s="3">
        <v>2</v>
      </c>
      <c r="V11" s="239"/>
      <c r="W11" s="239"/>
      <c r="X11" s="239">
        <f t="shared" ref="X11:X39" si="2">(V11+W11)/2-18.3</f>
        <v>-18.3</v>
      </c>
      <c r="Z11" t="s">
        <v>297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0</v>
      </c>
      <c r="D12" s="239">
        <f>'[7]Degree Days 2020'!D12</f>
        <v>0.19999999999999929</v>
      </c>
      <c r="E12" s="3">
        <v>3</v>
      </c>
      <c r="F12" s="239">
        <f>'General information '!B7</f>
        <v>0</v>
      </c>
      <c r="G12" s="239">
        <f>'General information '!C7</f>
        <v>0</v>
      </c>
      <c r="H12" s="239">
        <f>'[7]Degree Days 2020'!H12</f>
        <v>-0.80000000000000071</v>
      </c>
      <c r="I12" s="3">
        <f>'[7]Degree Days 2020'!I12</f>
        <v>3</v>
      </c>
      <c r="J12" s="239"/>
      <c r="K12" s="239"/>
      <c r="L12" s="239">
        <f>'[7]Degree Days 2020'!L12</f>
        <v>-2.8000000000000007</v>
      </c>
      <c r="M12" s="3">
        <f>'[8]Degree Days 2020'!M12</f>
        <v>3</v>
      </c>
      <c r="N12" s="239"/>
      <c r="O12" s="239"/>
      <c r="P12" s="239">
        <f t="shared" si="0"/>
        <v>-18.3</v>
      </c>
      <c r="Q12" s="3">
        <v>3</v>
      </c>
      <c r="R12" s="239"/>
      <c r="S12" s="239"/>
      <c r="T12" s="239">
        <f t="shared" si="1"/>
        <v>-18.3</v>
      </c>
      <c r="U12" s="3">
        <v>3</v>
      </c>
      <c r="V12" s="239"/>
      <c r="W12" s="239"/>
      <c r="X12" s="239">
        <f t="shared" si="2"/>
        <v>-18.3</v>
      </c>
      <c r="Z12" t="s">
        <v>298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0</v>
      </c>
      <c r="D13" s="239">
        <f>'[7]Degree Days 2020'!D13</f>
        <v>0.19999999999999929</v>
      </c>
      <c r="E13" s="3">
        <f>'[7]Degree Days 2020'!E13</f>
        <v>4</v>
      </c>
      <c r="F13" s="239">
        <f>'General information '!B8</f>
        <v>0</v>
      </c>
      <c r="G13" s="239">
        <f>'General information '!C8</f>
        <v>0</v>
      </c>
      <c r="H13" s="239">
        <f>'[7]Degree Days 2020'!H13</f>
        <v>-0.80000000000000071</v>
      </c>
      <c r="I13" s="3">
        <f>'[7]Degree Days 2020'!I13</f>
        <v>4</v>
      </c>
      <c r="J13" s="239"/>
      <c r="K13" s="239"/>
      <c r="L13" s="239">
        <f>'[7]Degree Days 2020'!L13</f>
        <v>-2.8000000000000007</v>
      </c>
      <c r="M13" s="3">
        <f>'[8]Degree Days 2020'!M13</f>
        <v>4</v>
      </c>
      <c r="N13" s="239"/>
      <c r="O13" s="239"/>
      <c r="P13" s="239">
        <f t="shared" si="0"/>
        <v>-18.3</v>
      </c>
      <c r="Q13" s="3">
        <v>4</v>
      </c>
      <c r="R13" s="239"/>
      <c r="S13" s="239"/>
      <c r="T13" s="239">
        <f t="shared" si="1"/>
        <v>-18.3</v>
      </c>
      <c r="U13" s="3">
        <v>4</v>
      </c>
      <c r="V13" s="239"/>
      <c r="W13" s="239"/>
      <c r="X13" s="239">
        <f t="shared" si="2"/>
        <v>-18.3</v>
      </c>
      <c r="Z13" t="s">
        <v>299</v>
      </c>
      <c r="AA13" s="239">
        <f>N43</f>
        <v>-512.4000000000002</v>
      </c>
      <c r="AB13" s="239">
        <f>O43</f>
        <v>0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9</v>
      </c>
      <c r="D14" s="239">
        <f>'[7]Degree Days 2020'!D14</f>
        <v>0.69999999999999929</v>
      </c>
      <c r="E14" s="3">
        <f>'[7]Degree Days 2020'!E14</f>
        <v>5</v>
      </c>
      <c r="F14" s="239">
        <f>'General information '!B9</f>
        <v>14</v>
      </c>
      <c r="G14" s="239">
        <f>'General information '!C9</f>
        <v>9</v>
      </c>
      <c r="H14" s="239">
        <f>'[7]Degree Days 2020'!H14</f>
        <v>-0.80000000000000071</v>
      </c>
      <c r="I14" s="3">
        <f>'[7]Degree Days 2020'!I14</f>
        <v>5</v>
      </c>
      <c r="J14" s="239"/>
      <c r="K14" s="239"/>
      <c r="L14" s="239">
        <f>'[7]Degree Days 2020'!L14</f>
        <v>-2.8000000000000007</v>
      </c>
      <c r="M14" s="3">
        <f>'[8]Degree Days 2020'!M14</f>
        <v>5</v>
      </c>
      <c r="N14" s="239"/>
      <c r="O14" s="239"/>
      <c r="P14" s="239">
        <f t="shared" si="0"/>
        <v>-18.3</v>
      </c>
      <c r="Q14" s="3">
        <v>5</v>
      </c>
      <c r="R14" s="239"/>
      <c r="S14" s="239"/>
      <c r="T14" s="239">
        <f t="shared" si="1"/>
        <v>-18.3</v>
      </c>
      <c r="U14" s="3">
        <v>5</v>
      </c>
      <c r="V14" s="239"/>
      <c r="W14" s="239"/>
      <c r="X14" s="239">
        <f t="shared" si="2"/>
        <v>-18.3</v>
      </c>
      <c r="Z14" t="s">
        <v>300</v>
      </c>
      <c r="AA14" s="239">
        <f>R43</f>
        <v>-512.4000000000002</v>
      </c>
      <c r="AB14" s="239">
        <f>S43</f>
        <v>0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8</v>
      </c>
      <c r="D15" s="239">
        <f>'[7]Degree Days 2020'!D15</f>
        <v>0.19999999999999929</v>
      </c>
      <c r="E15" s="3">
        <f>'[7]Degree Days 2020'!E15</f>
        <v>6</v>
      </c>
      <c r="F15" s="239">
        <f>'General information '!B10</f>
        <v>14</v>
      </c>
      <c r="G15" s="239">
        <f>'General information '!C10</f>
        <v>8</v>
      </c>
      <c r="H15" s="239">
        <f>'[7]Degree Days 2020'!H15</f>
        <v>-1.3000000000000007</v>
      </c>
      <c r="I15" s="3">
        <f>'[7]Degree Days 2020'!I15</f>
        <v>6</v>
      </c>
      <c r="J15" s="239"/>
      <c r="K15" s="239"/>
      <c r="L15" s="239">
        <f>'[7]Degree Days 2020'!L15</f>
        <v>-2.3000000000000007</v>
      </c>
      <c r="M15" s="3">
        <f>'[8]Degree Days 2020'!M15</f>
        <v>6</v>
      </c>
      <c r="N15" s="239"/>
      <c r="O15" s="239"/>
      <c r="P15" s="239">
        <f t="shared" si="0"/>
        <v>-18.3</v>
      </c>
      <c r="Q15" s="3">
        <v>6</v>
      </c>
      <c r="R15" s="239"/>
      <c r="S15" s="239"/>
      <c r="T15" s="239">
        <f t="shared" si="1"/>
        <v>-18.3</v>
      </c>
      <c r="U15" s="3">
        <v>6</v>
      </c>
      <c r="V15" s="239"/>
      <c r="W15" s="239"/>
      <c r="X15" s="239">
        <f t="shared" si="2"/>
        <v>-18.3</v>
      </c>
      <c r="Z15" t="s">
        <v>301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8</v>
      </c>
      <c r="D16" s="239">
        <f>'[7]Degree Days 2020'!D16</f>
        <v>-1.3000000000000007</v>
      </c>
      <c r="E16" s="3">
        <f>'[7]Degree Days 2020'!E16</f>
        <v>7</v>
      </c>
      <c r="F16" s="239">
        <f>'General information '!B11</f>
        <v>14</v>
      </c>
      <c r="G16" s="239">
        <f>'General information '!C11</f>
        <v>8</v>
      </c>
      <c r="H16" s="239">
        <f>'[7]Degree Days 2020'!H16</f>
        <v>0.69999999999999929</v>
      </c>
      <c r="I16" s="3">
        <f>'[7]Degree Days 2020'!I16</f>
        <v>7</v>
      </c>
      <c r="J16" s="239"/>
      <c r="K16" s="239"/>
      <c r="L16" s="239">
        <f>'[7]Degree Days 2020'!L16</f>
        <v>-1.8000000000000007</v>
      </c>
      <c r="M16" s="3">
        <f>'[8]Degree Days 2020'!M16</f>
        <v>7</v>
      </c>
      <c r="N16" s="239"/>
      <c r="O16" s="239"/>
      <c r="P16" s="239">
        <f t="shared" si="0"/>
        <v>-18.3</v>
      </c>
      <c r="Q16" s="3">
        <v>7</v>
      </c>
      <c r="R16" s="239"/>
      <c r="S16" s="239"/>
      <c r="T16" s="239">
        <f t="shared" si="1"/>
        <v>-18.3</v>
      </c>
      <c r="U16" s="3">
        <v>7</v>
      </c>
      <c r="V16" s="239"/>
      <c r="W16" s="239"/>
      <c r="X16" s="239">
        <f t="shared" si="2"/>
        <v>-18.3</v>
      </c>
      <c r="Z16" t="s">
        <v>305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8</v>
      </c>
      <c r="D17" s="239">
        <f>'[7]Degree Days 2020'!D17</f>
        <v>-0.80000000000000071</v>
      </c>
      <c r="E17" s="3">
        <f>'[7]Degree Days 2020'!E17</f>
        <v>8</v>
      </c>
      <c r="F17" s="239">
        <f>'General information '!B12</f>
        <v>14</v>
      </c>
      <c r="G17" s="239">
        <f>'General information '!C12</f>
        <v>8</v>
      </c>
      <c r="H17" s="239">
        <f>'[7]Degree Days 2020'!H17</f>
        <v>2.6999999999999993</v>
      </c>
      <c r="I17" s="3">
        <f>'[7]Degree Days 2020'!I17</f>
        <v>8</v>
      </c>
      <c r="J17" s="239"/>
      <c r="K17" s="239"/>
      <c r="L17" s="239">
        <f>'[7]Degree Days 2020'!L17</f>
        <v>-0.30000000000000071</v>
      </c>
      <c r="M17" s="3">
        <f>'[8]Degree Days 2020'!M17</f>
        <v>8</v>
      </c>
      <c r="N17" s="239"/>
      <c r="O17" s="239"/>
      <c r="P17" s="239">
        <f t="shared" si="0"/>
        <v>-18.3</v>
      </c>
      <c r="Q17" s="3">
        <v>8</v>
      </c>
      <c r="R17" s="239"/>
      <c r="S17" s="239"/>
      <c r="T17" s="239">
        <f t="shared" si="1"/>
        <v>-18.3</v>
      </c>
      <c r="U17" s="3">
        <v>8</v>
      </c>
      <c r="V17" s="239"/>
      <c r="W17" s="239"/>
      <c r="X17" s="239">
        <f t="shared" si="2"/>
        <v>-18.3</v>
      </c>
      <c r="Z17" t="s">
        <v>306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0</v>
      </c>
      <c r="D18" s="239">
        <f>'[7]Degree Days 2020'!D18</f>
        <v>0.19999999999999929</v>
      </c>
      <c r="E18" s="3">
        <f>'[7]Degree Days 2020'!E18</f>
        <v>9</v>
      </c>
      <c r="F18" s="239">
        <f>'General information '!B13</f>
        <v>0</v>
      </c>
      <c r="G18" s="239">
        <f>'General information '!C13</f>
        <v>0</v>
      </c>
      <c r="H18" s="239">
        <f>'[7]Degree Days 2020'!H18</f>
        <v>1.1999999999999993</v>
      </c>
      <c r="I18" s="3">
        <f>'[7]Degree Days 2020'!I18</f>
        <v>9</v>
      </c>
      <c r="J18" s="239"/>
      <c r="K18" s="239"/>
      <c r="L18" s="239">
        <f>'[7]Degree Days 2020'!L18</f>
        <v>1.6999999999999993</v>
      </c>
      <c r="M18" s="3">
        <f>'[8]Degree Days 2020'!M18</f>
        <v>9</v>
      </c>
      <c r="N18" s="239"/>
      <c r="O18" s="239"/>
      <c r="P18" s="239">
        <f t="shared" si="0"/>
        <v>-18.3</v>
      </c>
      <c r="Q18" s="3">
        <v>9</v>
      </c>
      <c r="R18" s="239"/>
      <c r="S18" s="239"/>
      <c r="T18" s="239">
        <f t="shared" si="1"/>
        <v>-18.3</v>
      </c>
      <c r="U18" s="3">
        <v>9</v>
      </c>
      <c r="V18" s="239"/>
      <c r="W18" s="239"/>
      <c r="X18" s="239">
        <f t="shared" si="2"/>
        <v>-18.3</v>
      </c>
      <c r="Z18" t="s">
        <v>307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8</v>
      </c>
      <c r="D19" s="239">
        <f>'[7]Degree Days 2020'!D19</f>
        <v>0.19999999999999929</v>
      </c>
      <c r="E19" s="3">
        <f>'[7]Degree Days 2020'!E19</f>
        <v>10</v>
      </c>
      <c r="F19" s="239">
        <f>'General information '!B14</f>
        <v>14</v>
      </c>
      <c r="G19" s="239">
        <f>'General information '!C14</f>
        <v>8</v>
      </c>
      <c r="H19" s="239">
        <f>'[7]Degree Days 2020'!H19</f>
        <v>-1.8000000000000007</v>
      </c>
      <c r="I19" s="3">
        <f>'[7]Degree Days 2020'!I19</f>
        <v>10</v>
      </c>
      <c r="J19" s="239"/>
      <c r="K19" s="239"/>
      <c r="L19" s="239">
        <f>'[7]Degree Days 2020'!L19</f>
        <v>-2.3000000000000007</v>
      </c>
      <c r="M19" s="3">
        <f>'[8]Degree Days 2020'!M19</f>
        <v>10</v>
      </c>
      <c r="N19" s="239"/>
      <c r="O19" s="239"/>
      <c r="P19" s="239">
        <f t="shared" si="0"/>
        <v>-18.3</v>
      </c>
      <c r="Q19" s="3">
        <v>10</v>
      </c>
      <c r="R19" s="239"/>
      <c r="S19" s="239"/>
      <c r="T19" s="239">
        <f t="shared" si="1"/>
        <v>-18.3</v>
      </c>
      <c r="U19" s="3">
        <v>10</v>
      </c>
      <c r="V19" s="239"/>
      <c r="W19" s="239"/>
      <c r="X19" s="239">
        <f t="shared" si="2"/>
        <v>-18.3</v>
      </c>
      <c r="Z19" t="s">
        <v>308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0</v>
      </c>
      <c r="D20" s="239">
        <f>'[7]Degree Days 2020'!D20</f>
        <v>0.69999999999999929</v>
      </c>
      <c r="E20" s="3">
        <f>'[7]Degree Days 2020'!E20</f>
        <v>11</v>
      </c>
      <c r="F20" s="239">
        <f>'General information '!B15</f>
        <v>0</v>
      </c>
      <c r="G20" s="239">
        <f>'General information '!C15</f>
        <v>0</v>
      </c>
      <c r="H20" s="239">
        <f>'[7]Degree Days 2020'!H20</f>
        <v>-2.8000000000000007</v>
      </c>
      <c r="I20" s="3">
        <f>'[7]Degree Days 2020'!I20</f>
        <v>11</v>
      </c>
      <c r="J20" s="239"/>
      <c r="K20" s="239"/>
      <c r="L20" s="239">
        <f>'[7]Degree Days 2020'!L20</f>
        <v>-3.8000000000000007</v>
      </c>
      <c r="M20" s="3">
        <f>'[8]Degree Days 2020'!M20</f>
        <v>11</v>
      </c>
      <c r="N20" s="239"/>
      <c r="O20" s="239"/>
      <c r="P20" s="239">
        <f t="shared" si="0"/>
        <v>-18.3</v>
      </c>
      <c r="Q20" s="3">
        <v>11</v>
      </c>
      <c r="R20" s="239"/>
      <c r="S20" s="239"/>
      <c r="T20" s="239">
        <f t="shared" si="1"/>
        <v>-18.3</v>
      </c>
      <c r="U20" s="3">
        <v>11</v>
      </c>
      <c r="V20" s="239"/>
      <c r="W20" s="239"/>
      <c r="X20" s="239">
        <f t="shared" si="2"/>
        <v>-18.3</v>
      </c>
      <c r="Z20" t="s">
        <v>309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8</v>
      </c>
      <c r="D21" s="239">
        <f>'[7]Degree Days 2020'!D21</f>
        <v>0.19999999999999929</v>
      </c>
      <c r="E21" s="3">
        <f>'[7]Degree Days 2020'!E21</f>
        <v>12</v>
      </c>
      <c r="F21" s="239">
        <f>'General information '!B16</f>
        <v>16</v>
      </c>
      <c r="G21" s="239">
        <f>'General information '!C16</f>
        <v>8</v>
      </c>
      <c r="H21" s="239">
        <f>'[7]Degree Days 2020'!H21</f>
        <v>-2.8000000000000007</v>
      </c>
      <c r="I21" s="3">
        <f>'[7]Degree Days 2020'!I21</f>
        <v>12</v>
      </c>
      <c r="J21" s="239"/>
      <c r="K21" s="239"/>
      <c r="L21" s="239">
        <f>'[7]Degree Days 2020'!L21</f>
        <v>-2.8000000000000007</v>
      </c>
      <c r="M21" s="3">
        <f>'[8]Degree Days 2020'!M21</f>
        <v>12</v>
      </c>
      <c r="N21" s="239"/>
      <c r="O21" s="239"/>
      <c r="P21" s="239">
        <f t="shared" si="0"/>
        <v>-18.3</v>
      </c>
      <c r="Q21" s="3">
        <v>12</v>
      </c>
      <c r="R21" s="239"/>
      <c r="S21" s="239"/>
      <c r="T21" s="239">
        <f t="shared" si="1"/>
        <v>-18.3</v>
      </c>
      <c r="U21" s="3">
        <v>12</v>
      </c>
      <c r="V21" s="239"/>
      <c r="W21" s="239"/>
      <c r="X21" s="239">
        <f t="shared" si="2"/>
        <v>-18.3</v>
      </c>
      <c r="Z21" t="s">
        <v>310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9</v>
      </c>
      <c r="D22" s="239">
        <f>'[7]Degree Days 2020'!D22</f>
        <v>-3.3000000000000007</v>
      </c>
      <c r="E22" s="3">
        <f>'[7]Degree Days 2020'!E22</f>
        <v>13</v>
      </c>
      <c r="F22" s="239">
        <f>'General information '!B17</f>
        <v>17</v>
      </c>
      <c r="G22" s="239">
        <f>'General information '!C17</f>
        <v>9</v>
      </c>
      <c r="H22" s="239">
        <f>'[7]Degree Days 2020'!H22</f>
        <v>-1.8000000000000007</v>
      </c>
      <c r="I22" s="3">
        <f>'[7]Degree Days 2020'!I22</f>
        <v>13</v>
      </c>
      <c r="J22" s="239"/>
      <c r="K22" s="239"/>
      <c r="L22" s="239">
        <f>'[7]Degree Days 2020'!L22</f>
        <v>-1.3000000000000007</v>
      </c>
      <c r="M22" s="3">
        <f>'[8]Degree Days 2020'!M22</f>
        <v>13</v>
      </c>
      <c r="N22" s="239"/>
      <c r="O22" s="239"/>
      <c r="P22" s="239">
        <f t="shared" si="0"/>
        <v>-18.3</v>
      </c>
      <c r="Q22" s="3">
        <v>13</v>
      </c>
      <c r="R22" s="239"/>
      <c r="S22" s="239"/>
      <c r="T22" s="239">
        <f t="shared" si="1"/>
        <v>-18.3</v>
      </c>
      <c r="U22" s="3">
        <v>13</v>
      </c>
      <c r="V22" s="239"/>
      <c r="W22" s="239"/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9</v>
      </c>
      <c r="D23" s="239">
        <f>'[7]Degree Days 2020'!D23</f>
        <v>-3.8000000000000007</v>
      </c>
      <c r="E23" s="3">
        <f>'[7]Degree Days 2020'!E23</f>
        <v>14</v>
      </c>
      <c r="F23" s="239">
        <f>'General information '!B18</f>
        <v>16</v>
      </c>
      <c r="G23" s="239">
        <f>'General information '!C18</f>
        <v>9</v>
      </c>
      <c r="H23" s="239">
        <f>'[7]Degree Days 2020'!H23</f>
        <v>-2.8000000000000007</v>
      </c>
      <c r="I23" s="3">
        <f>'[7]Degree Days 2020'!I23</f>
        <v>14</v>
      </c>
      <c r="J23" s="239"/>
      <c r="K23" s="239"/>
      <c r="L23" s="239">
        <f>'[7]Degree Days 2020'!L23</f>
        <v>-1.3000000000000007</v>
      </c>
      <c r="M23" s="3">
        <f>'[8]Degree Days 2020'!M23</f>
        <v>14</v>
      </c>
      <c r="N23" s="239"/>
      <c r="O23" s="239"/>
      <c r="P23" s="239">
        <f t="shared" si="0"/>
        <v>-18.3</v>
      </c>
      <c r="Q23" s="3">
        <v>14</v>
      </c>
      <c r="R23" s="239"/>
      <c r="S23" s="239"/>
      <c r="T23" s="239">
        <f t="shared" si="1"/>
        <v>-18.3</v>
      </c>
      <c r="U23" s="3">
        <v>14</v>
      </c>
      <c r="V23" s="239"/>
      <c r="W23" s="239"/>
      <c r="X23" s="239">
        <f t="shared" si="2"/>
        <v>-18.3</v>
      </c>
      <c r="AA23" s="130">
        <f>SUM(AA10:AA22)</f>
        <v>-1250.2000000000003</v>
      </c>
      <c r="AB23" s="130">
        <f>SUM(AB10:AB22)</f>
        <v>20.799999999999986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9</v>
      </c>
      <c r="D24" s="239">
        <f>'[7]Degree Days 2020'!D24</f>
        <v>-2.3000000000000007</v>
      </c>
      <c r="E24" s="3">
        <f>'[7]Degree Days 2020'!E24</f>
        <v>15</v>
      </c>
      <c r="F24" s="239">
        <f>'General information '!B19</f>
        <v>16</v>
      </c>
      <c r="G24" s="239">
        <f>'General information '!C19</f>
        <v>9</v>
      </c>
      <c r="H24" s="239">
        <f>'[7]Degree Days 2020'!H24</f>
        <v>-3.3000000000000007</v>
      </c>
      <c r="I24" s="3">
        <f>'[7]Degree Days 2020'!I24</f>
        <v>15</v>
      </c>
      <c r="J24" s="239"/>
      <c r="K24" s="239"/>
      <c r="L24" s="239">
        <f>'[7]Degree Days 2020'!L24</f>
        <v>-1.3000000000000007</v>
      </c>
      <c r="M24" s="3">
        <f>'[8]Degree Days 2020'!M24</f>
        <v>15</v>
      </c>
      <c r="N24" s="239"/>
      <c r="O24" s="239"/>
      <c r="P24" s="239">
        <f t="shared" si="0"/>
        <v>-18.3</v>
      </c>
      <c r="Q24" s="3">
        <v>15</v>
      </c>
      <c r="R24" s="239"/>
      <c r="S24" s="239"/>
      <c r="T24" s="239">
        <f t="shared" si="1"/>
        <v>-18.3</v>
      </c>
      <c r="U24" s="3">
        <v>15</v>
      </c>
      <c r="V24" s="239"/>
      <c r="W24" s="239"/>
      <c r="X24" s="239">
        <f t="shared" si="2"/>
        <v>-18.3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9</v>
      </c>
      <c r="D25" s="239">
        <f>'[7]Degree Days 2020'!D25</f>
        <v>-6.3000000000000007</v>
      </c>
      <c r="E25" s="3">
        <f>'[7]Degree Days 2020'!E25</f>
        <v>16</v>
      </c>
      <c r="F25" s="239">
        <f>'General information '!B20</f>
        <v>16</v>
      </c>
      <c r="G25" s="239">
        <f>'General information '!C20</f>
        <v>9</v>
      </c>
      <c r="H25" s="239">
        <f>'[7]Degree Days 2020'!H25</f>
        <v>-9.3000000000000007</v>
      </c>
      <c r="I25" s="3">
        <f>'[7]Degree Days 2020'!I25</f>
        <v>16</v>
      </c>
      <c r="J25" s="239"/>
      <c r="K25" s="239"/>
      <c r="L25" s="239">
        <f>'[7]Degree Days 2020'!L25</f>
        <v>-1.8000000000000007</v>
      </c>
      <c r="M25" s="3">
        <f>'[8]Degree Days 2020'!M25</f>
        <v>16</v>
      </c>
      <c r="N25" s="239"/>
      <c r="O25" s="239"/>
      <c r="P25" s="239">
        <f t="shared" si="0"/>
        <v>-18.3</v>
      </c>
      <c r="Q25" s="3">
        <v>16</v>
      </c>
      <c r="R25" s="239"/>
      <c r="S25" s="239"/>
      <c r="T25" s="239">
        <f t="shared" si="1"/>
        <v>-18.3</v>
      </c>
      <c r="U25" s="3">
        <v>16</v>
      </c>
      <c r="V25" s="239"/>
      <c r="W25" s="239"/>
      <c r="X25" s="239">
        <f t="shared" si="2"/>
        <v>-18.3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0</v>
      </c>
      <c r="D26" s="239">
        <f>'[7]Degree Days 2020'!D26</f>
        <v>-4.8000000000000007</v>
      </c>
      <c r="E26" s="3">
        <f>'[7]Degree Days 2020'!E26</f>
        <v>17</v>
      </c>
      <c r="F26" s="239">
        <f>'General information '!B21</f>
        <v>0</v>
      </c>
      <c r="G26" s="239">
        <f>'General information '!C21</f>
        <v>0</v>
      </c>
      <c r="H26" s="239">
        <f>'[7]Degree Days 2020'!H26</f>
        <v>-8.3000000000000007</v>
      </c>
      <c r="I26" s="3">
        <f>'[7]Degree Days 2020'!I26</f>
        <v>17</v>
      </c>
      <c r="J26" s="239"/>
      <c r="K26" s="239"/>
      <c r="L26" s="239">
        <f>'[7]Degree Days 2020'!L26</f>
        <v>-0.80000000000000071</v>
      </c>
      <c r="M26" s="3">
        <f>'[8]Degree Days 2020'!M26</f>
        <v>17</v>
      </c>
      <c r="N26" s="239"/>
      <c r="O26" s="239"/>
      <c r="P26" s="239">
        <f t="shared" si="0"/>
        <v>-18.3</v>
      </c>
      <c r="Q26" s="3">
        <v>17</v>
      </c>
      <c r="R26" s="239"/>
      <c r="S26" s="239"/>
      <c r="T26" s="239">
        <f t="shared" si="1"/>
        <v>-18.3</v>
      </c>
      <c r="U26" s="3">
        <v>17</v>
      </c>
      <c r="V26" s="239"/>
      <c r="W26" s="239"/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0</v>
      </c>
      <c r="D27" s="239">
        <f>'[7]Degree Days 2020'!D27</f>
        <v>-7.3000000000000007</v>
      </c>
      <c r="E27" s="3">
        <f>'[7]Degree Days 2020'!E27</f>
        <v>18</v>
      </c>
      <c r="F27" s="239">
        <f>'General information '!B22</f>
        <v>0</v>
      </c>
      <c r="G27" s="239">
        <f>'General information '!C22</f>
        <v>0</v>
      </c>
      <c r="H27" s="239">
        <f>'[7]Degree Days 2020'!H27</f>
        <v>-8.3000000000000007</v>
      </c>
      <c r="I27" s="3">
        <f>'[7]Degree Days 2020'!I27</f>
        <v>18</v>
      </c>
      <c r="J27" s="239"/>
      <c r="K27" s="239"/>
      <c r="L27" s="239">
        <f>'[7]Degree Days 2020'!L27</f>
        <v>-0.80000000000000071</v>
      </c>
      <c r="M27" s="3">
        <f>'[8]Degree Days 2020'!M27</f>
        <v>18</v>
      </c>
      <c r="N27" s="239"/>
      <c r="O27" s="239"/>
      <c r="P27" s="239">
        <f t="shared" si="0"/>
        <v>-18.3</v>
      </c>
      <c r="Q27" s="3">
        <v>18</v>
      </c>
      <c r="R27" s="239"/>
      <c r="S27" s="239"/>
      <c r="T27" s="239">
        <f t="shared" si="1"/>
        <v>-18.3</v>
      </c>
      <c r="U27" s="3">
        <v>18</v>
      </c>
      <c r="V27" s="239"/>
      <c r="W27" s="239"/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12</v>
      </c>
      <c r="D28" s="239">
        <f>'[7]Degree Days 2020'!D28</f>
        <v>-4.8000000000000007</v>
      </c>
      <c r="E28" s="3">
        <f>'[7]Degree Days 2020'!E28</f>
        <v>19</v>
      </c>
      <c r="F28" s="239">
        <f>'General information '!B23</f>
        <v>19</v>
      </c>
      <c r="G28" s="239">
        <f>'General information '!C23</f>
        <v>12</v>
      </c>
      <c r="H28" s="239">
        <f>'[7]Degree Days 2020'!H28</f>
        <v>-7.8000000000000007</v>
      </c>
      <c r="I28" s="3">
        <f>'[7]Degree Days 2020'!I28</f>
        <v>19</v>
      </c>
      <c r="J28" s="239"/>
      <c r="K28" s="239"/>
      <c r="L28" s="239">
        <f>'[7]Degree Days 2020'!L28</f>
        <v>-0.30000000000000071</v>
      </c>
      <c r="M28" s="3">
        <f>'[8]Degree Days 2020'!M28</f>
        <v>19</v>
      </c>
      <c r="N28" s="239"/>
      <c r="O28" s="239"/>
      <c r="P28" s="239">
        <f t="shared" si="0"/>
        <v>-18.3</v>
      </c>
      <c r="Q28" s="3">
        <v>19</v>
      </c>
      <c r="R28" s="239"/>
      <c r="S28" s="239"/>
      <c r="T28" s="239">
        <f t="shared" si="1"/>
        <v>-18.3</v>
      </c>
      <c r="U28" s="3">
        <v>19</v>
      </c>
      <c r="V28" s="239"/>
      <c r="W28" s="239"/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12</v>
      </c>
      <c r="D29" s="239">
        <f>'[7]Degree Days 2020'!D29</f>
        <v>-4.8000000000000007</v>
      </c>
      <c r="E29" s="3">
        <f>'[7]Degree Days 2020'!E29</f>
        <v>20</v>
      </c>
      <c r="F29" s="239">
        <f>'General information '!B24</f>
        <v>18</v>
      </c>
      <c r="G29" s="239">
        <f>'General information '!C24</f>
        <v>12</v>
      </c>
      <c r="H29" s="239">
        <f>'[7]Degree Days 2020'!H29</f>
        <v>-1.8000000000000007</v>
      </c>
      <c r="I29" s="3">
        <f>'[7]Degree Days 2020'!I29</f>
        <v>20</v>
      </c>
      <c r="J29" s="239"/>
      <c r="K29" s="239"/>
      <c r="L29" s="239">
        <f>'[7]Degree Days 2020'!L29</f>
        <v>1.1999999999999993</v>
      </c>
      <c r="M29" s="3">
        <f>'[8]Degree Days 2020'!M29</f>
        <v>20</v>
      </c>
      <c r="N29" s="239"/>
      <c r="O29" s="239"/>
      <c r="P29" s="239">
        <f t="shared" si="0"/>
        <v>-18.3</v>
      </c>
      <c r="Q29" s="3">
        <v>20</v>
      </c>
      <c r="R29" s="239"/>
      <c r="S29" s="239"/>
      <c r="T29" s="239">
        <f t="shared" si="1"/>
        <v>-18.3</v>
      </c>
      <c r="U29" s="3">
        <v>20</v>
      </c>
      <c r="V29" s="239"/>
      <c r="W29" s="239"/>
      <c r="X29" s="239">
        <f t="shared" si="2"/>
        <v>-18.3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12</v>
      </c>
      <c r="D30" s="239">
        <f>'[7]Degree Days 2020'!D30</f>
        <v>-5.8000000000000007</v>
      </c>
      <c r="E30" s="3">
        <f>'[7]Degree Days 2020'!E30</f>
        <v>21</v>
      </c>
      <c r="F30" s="239">
        <f>'General information '!B25</f>
        <v>18</v>
      </c>
      <c r="G30" s="239">
        <f>'General information '!C25</f>
        <v>12</v>
      </c>
      <c r="H30" s="239">
        <f>'[7]Degree Days 2020'!H30</f>
        <v>-2.8000000000000007</v>
      </c>
      <c r="I30" s="3">
        <f>'[7]Degree Days 2020'!I30</f>
        <v>21</v>
      </c>
      <c r="J30" s="239"/>
      <c r="K30" s="239"/>
      <c r="L30" s="239">
        <f>'[7]Degree Days 2020'!L30</f>
        <v>0.19999999999999929</v>
      </c>
      <c r="M30" s="3">
        <f>'[8]Degree Days 2020'!M30</f>
        <v>21</v>
      </c>
      <c r="N30" s="239"/>
      <c r="O30" s="239"/>
      <c r="P30" s="239">
        <f t="shared" si="0"/>
        <v>-18.3</v>
      </c>
      <c r="Q30" s="3">
        <v>21</v>
      </c>
      <c r="R30" s="239"/>
      <c r="S30" s="239"/>
      <c r="T30" s="239">
        <f t="shared" si="1"/>
        <v>-18.3</v>
      </c>
      <c r="U30" s="3">
        <v>21</v>
      </c>
      <c r="V30" s="239"/>
      <c r="W30" s="239"/>
      <c r="X30" s="239">
        <f t="shared" si="2"/>
        <v>-18.3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12</v>
      </c>
      <c r="D31" s="239">
        <f>'[7]Degree Days 2020'!D31</f>
        <v>-4.8000000000000007</v>
      </c>
      <c r="E31" s="3">
        <f>'[7]Degree Days 2020'!E31</f>
        <v>22</v>
      </c>
      <c r="F31" s="239">
        <f>'General information '!B26</f>
        <v>17</v>
      </c>
      <c r="G31" s="239">
        <f>'General information '!C26</f>
        <v>12</v>
      </c>
      <c r="H31" s="239">
        <f>'[7]Degree Days 2020'!H31</f>
        <v>-1.8000000000000007</v>
      </c>
      <c r="I31" s="3">
        <f>'[7]Degree Days 2020'!I31</f>
        <v>22</v>
      </c>
      <c r="J31" s="239"/>
      <c r="K31" s="239"/>
      <c r="L31" s="239">
        <f>'[7]Degree Days 2020'!L31</f>
        <v>1.6999999999999993</v>
      </c>
      <c r="M31" s="3">
        <f>'[8]Degree Days 2020'!M31</f>
        <v>22</v>
      </c>
      <c r="N31" s="239"/>
      <c r="O31" s="239"/>
      <c r="P31" s="239">
        <f t="shared" si="0"/>
        <v>-18.3</v>
      </c>
      <c r="Q31" s="3">
        <v>22</v>
      </c>
      <c r="R31" s="239"/>
      <c r="S31" s="239"/>
      <c r="T31" s="239">
        <f t="shared" si="1"/>
        <v>-18.3</v>
      </c>
      <c r="U31" s="3">
        <v>22</v>
      </c>
      <c r="V31" s="239"/>
      <c r="W31" s="239"/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12</v>
      </c>
      <c r="D32" s="239">
        <f>'[7]Degree Days 2020'!D32</f>
        <v>-3.3000000000000007</v>
      </c>
      <c r="E32" s="3">
        <f>'[7]Degree Days 2020'!E32</f>
        <v>23</v>
      </c>
      <c r="F32" s="239">
        <f>'General information '!B27</f>
        <v>17</v>
      </c>
      <c r="G32" s="239">
        <f>'General information '!C27</f>
        <v>12</v>
      </c>
      <c r="H32" s="239">
        <f>'[7]Degree Days 2020'!H32</f>
        <v>-2.3000000000000007</v>
      </c>
      <c r="I32" s="3">
        <f>'[7]Degree Days 2020'!I32</f>
        <v>23</v>
      </c>
      <c r="J32" s="239"/>
      <c r="K32" s="239"/>
      <c r="L32" s="239">
        <f>'[7]Degree Days 2020'!L32</f>
        <v>6.6999999999999993</v>
      </c>
      <c r="M32" s="3">
        <f>'[8]Degree Days 2020'!M32</f>
        <v>23</v>
      </c>
      <c r="N32" s="239"/>
      <c r="O32" s="239"/>
      <c r="P32" s="239">
        <f t="shared" si="0"/>
        <v>-18.3</v>
      </c>
      <c r="Q32" s="3">
        <v>23</v>
      </c>
      <c r="R32" s="239"/>
      <c r="S32" s="239"/>
      <c r="T32" s="239">
        <f t="shared" si="1"/>
        <v>-18.3</v>
      </c>
      <c r="U32" s="3">
        <v>23</v>
      </c>
      <c r="V32" s="239"/>
      <c r="W32" s="239"/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12</v>
      </c>
      <c r="D33" s="239">
        <f>'[7]Degree Days 2020'!D33</f>
        <v>-4.3000000000000007</v>
      </c>
      <c r="E33" s="3">
        <f>'[7]Degree Days 2020'!E33</f>
        <v>24</v>
      </c>
      <c r="F33" s="239">
        <f>'General information '!B28</f>
        <v>17</v>
      </c>
      <c r="G33" s="239">
        <f>'General information '!C28</f>
        <v>12</v>
      </c>
      <c r="H33" s="239">
        <f>'[7]Degree Days 2020'!H33</f>
        <v>-2.8000000000000007</v>
      </c>
      <c r="I33" s="3">
        <f>'[7]Degree Days 2020'!I33</f>
        <v>24</v>
      </c>
      <c r="J33" s="239"/>
      <c r="K33" s="239"/>
      <c r="L33" s="239">
        <f>'[7]Degree Days 2020'!L33</f>
        <v>-4.8000000000000007</v>
      </c>
      <c r="M33" s="3">
        <f>'[8]Degree Days 2020'!M33</f>
        <v>24</v>
      </c>
      <c r="N33" s="239"/>
      <c r="O33" s="239"/>
      <c r="P33" s="239">
        <f t="shared" si="0"/>
        <v>-18.3</v>
      </c>
      <c r="Q33" s="3">
        <v>24</v>
      </c>
      <c r="R33" s="239"/>
      <c r="S33" s="239"/>
      <c r="T33" s="239">
        <f t="shared" si="1"/>
        <v>-18.3</v>
      </c>
      <c r="U33" s="3">
        <v>24</v>
      </c>
      <c r="V33" s="239"/>
      <c r="W33" s="239"/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12</v>
      </c>
      <c r="D34" s="239">
        <f>'[7]Degree Days 2020'!D34</f>
        <v>-1.8000000000000007</v>
      </c>
      <c r="E34" s="3">
        <f>'[7]Degree Days 2020'!E34</f>
        <v>25</v>
      </c>
      <c r="F34" s="239">
        <f>'General information '!B29</f>
        <v>22</v>
      </c>
      <c r="G34" s="239">
        <f>'General information '!C29</f>
        <v>12</v>
      </c>
      <c r="H34" s="239">
        <f>'[7]Degree Days 2020'!H34</f>
        <v>-2.8000000000000007</v>
      </c>
      <c r="I34" s="3">
        <f>'[7]Degree Days 2020'!I34</f>
        <v>25</v>
      </c>
      <c r="J34" s="239"/>
      <c r="K34" s="239"/>
      <c r="L34" s="239">
        <f>'[7]Degree Days 2020'!L34</f>
        <v>-4.8000000000000007</v>
      </c>
      <c r="M34" s="3">
        <f>'[8]Degree Days 2020'!M34</f>
        <v>25</v>
      </c>
      <c r="N34" s="239"/>
      <c r="O34" s="239"/>
      <c r="P34" s="239">
        <f t="shared" si="0"/>
        <v>-18.3</v>
      </c>
      <c r="Q34" s="3">
        <v>25</v>
      </c>
      <c r="R34" s="239"/>
      <c r="S34" s="239"/>
      <c r="T34" s="239">
        <f t="shared" si="1"/>
        <v>-18.3</v>
      </c>
      <c r="U34" s="3">
        <v>25</v>
      </c>
      <c r="V34" s="239"/>
      <c r="W34" s="239"/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14</v>
      </c>
      <c r="D35" s="239">
        <f>'[7]Degree Days 2020'!D35</f>
        <v>-3.8000000000000007</v>
      </c>
      <c r="E35" s="3">
        <f>'[7]Degree Days 2020'!E35</f>
        <v>26</v>
      </c>
      <c r="F35" s="239">
        <f>'General information '!B30</f>
        <v>23</v>
      </c>
      <c r="G35" s="239">
        <f>'General information '!C30</f>
        <v>14</v>
      </c>
      <c r="H35" s="239">
        <f>'[7]Degree Days 2020'!H35</f>
        <v>-2.8000000000000007</v>
      </c>
      <c r="I35" s="3">
        <f>'[7]Degree Days 2020'!I35</f>
        <v>26</v>
      </c>
      <c r="J35" s="239"/>
      <c r="K35" s="239"/>
      <c r="L35" s="239">
        <f>'[7]Degree Days 2020'!L35</f>
        <v>-5.3000000000000007</v>
      </c>
      <c r="M35" s="3">
        <f>'[8]Degree Days 2020'!M35</f>
        <v>26</v>
      </c>
      <c r="N35" s="239"/>
      <c r="O35" s="239"/>
      <c r="P35" s="239">
        <f t="shared" si="0"/>
        <v>-18.3</v>
      </c>
      <c r="Q35" s="3">
        <v>26</v>
      </c>
      <c r="R35" s="239"/>
      <c r="S35" s="239"/>
      <c r="T35" s="239">
        <f t="shared" si="1"/>
        <v>-18.3</v>
      </c>
      <c r="U35" s="3">
        <v>26</v>
      </c>
      <c r="V35" s="239"/>
      <c r="W35" s="239"/>
      <c r="X35" s="239">
        <f t="shared" si="2"/>
        <v>-18.3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17</v>
      </c>
      <c r="D36" s="239">
        <f>'[7]Degree Days 2020'!D36</f>
        <v>-6.3000000000000007</v>
      </c>
      <c r="E36" s="3">
        <f>'[7]Degree Days 2020'!E36</f>
        <v>27</v>
      </c>
      <c r="F36" s="239">
        <f>'General information '!B31</f>
        <v>24</v>
      </c>
      <c r="G36" s="239">
        <f>'General information '!C31</f>
        <v>17</v>
      </c>
      <c r="H36" s="239">
        <f>'[7]Degree Days 2020'!H36</f>
        <v>-2.8000000000000007</v>
      </c>
      <c r="I36" s="3">
        <f>'[7]Degree Days 2020'!I36</f>
        <v>27</v>
      </c>
      <c r="J36" s="239"/>
      <c r="K36" s="239"/>
      <c r="L36" s="239">
        <f>'[7]Degree Days 2020'!L36</f>
        <v>-4.3000000000000007</v>
      </c>
      <c r="M36" s="3">
        <f>'[8]Degree Days 2020'!M36</f>
        <v>27</v>
      </c>
      <c r="N36" s="239"/>
      <c r="O36" s="239"/>
      <c r="P36" s="239">
        <f t="shared" si="0"/>
        <v>-18.3</v>
      </c>
      <c r="Q36" s="3">
        <v>27</v>
      </c>
      <c r="R36" s="239"/>
      <c r="S36" s="239"/>
      <c r="T36" s="239">
        <f t="shared" si="1"/>
        <v>-18.3</v>
      </c>
      <c r="U36" s="3">
        <v>27</v>
      </c>
      <c r="V36" s="239"/>
      <c r="W36" s="239"/>
      <c r="X36" s="239">
        <f t="shared" si="2"/>
        <v>-18.3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'General information '!B32</f>
        <v>0</v>
      </c>
      <c r="G37" s="239">
        <f>'General information '!C32</f>
        <v>0</v>
      </c>
      <c r="H37" s="239">
        <f>'[7]Degree Days 2020'!H37</f>
        <v>-3.3000000000000007</v>
      </c>
      <c r="I37" s="3">
        <f>'[7]Degree Days 2020'!I37</f>
        <v>28</v>
      </c>
      <c r="J37" s="239"/>
      <c r="K37" s="239"/>
      <c r="L37" s="239">
        <f>'[7]Degree Days 2020'!L37</f>
        <v>-3.3000000000000007</v>
      </c>
      <c r="M37" s="3">
        <f>'[8]Degree Days 2020'!M37</f>
        <v>28</v>
      </c>
      <c r="N37" s="239"/>
      <c r="O37" s="239"/>
      <c r="P37" s="239">
        <f t="shared" si="0"/>
        <v>-18.3</v>
      </c>
      <c r="Q37" s="3">
        <v>28</v>
      </c>
      <c r="R37" s="239"/>
      <c r="S37" s="239"/>
      <c r="T37" s="239">
        <f t="shared" si="1"/>
        <v>-18.3</v>
      </c>
      <c r="U37" s="3">
        <v>28</v>
      </c>
      <c r="V37" s="239"/>
      <c r="W37" s="239"/>
      <c r="X37" s="239">
        <f t="shared" si="2"/>
        <v>-18.3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/>
      <c r="K38" s="239"/>
      <c r="L38" s="239">
        <f>'[7]Degree Days 2020'!L38</f>
        <v>-2.8000000000000007</v>
      </c>
      <c r="M38" s="3">
        <f>'[8]Degree Days 2020'!M38</f>
        <v>29</v>
      </c>
      <c r="N38" s="239"/>
      <c r="O38" s="239"/>
      <c r="P38" s="239">
        <f t="shared" si="0"/>
        <v>-18.3</v>
      </c>
      <c r="Q38" s="3">
        <v>29</v>
      </c>
      <c r="R38" s="239"/>
      <c r="S38" s="239"/>
      <c r="T38" s="239">
        <f t="shared" si="1"/>
        <v>-18.3</v>
      </c>
      <c r="U38" s="3">
        <v>29</v>
      </c>
      <c r="V38" s="239"/>
      <c r="W38" s="239"/>
      <c r="X38" s="239">
        <f t="shared" si="2"/>
        <v>-18.3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/>
      <c r="K39" s="239"/>
      <c r="L39" s="239">
        <f>'[7]Degree Days 2020'!L39</f>
        <v>-2.3000000000000007</v>
      </c>
      <c r="M39" s="3">
        <f>'[8]Degree Days 2020'!M39</f>
        <v>30</v>
      </c>
      <c r="N39" s="239"/>
      <c r="O39" s="239"/>
      <c r="P39" s="239">
        <f t="shared" si="0"/>
        <v>-18.3</v>
      </c>
      <c r="Q39" s="3">
        <v>30</v>
      </c>
      <c r="R39" s="239"/>
      <c r="S39" s="239"/>
      <c r="T39" s="239">
        <f t="shared" si="1"/>
        <v>-18.3</v>
      </c>
      <c r="U39" s="3">
        <v>30</v>
      </c>
      <c r="V39" s="239"/>
      <c r="W39" s="239"/>
      <c r="X39" s="239">
        <f t="shared" si="2"/>
        <v>-18.3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/>
      <c r="K40" s="239"/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/>
      <c r="S40" s="239"/>
      <c r="T40" s="239">
        <f t="shared" si="1"/>
        <v>-18.3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19">
      <c r="A42" s="121"/>
      <c r="B42" s="122" t="s">
        <v>302</v>
      </c>
      <c r="C42" s="122" t="s">
        <v>303</v>
      </c>
      <c r="D42" s="123"/>
      <c r="E42" s="121"/>
      <c r="F42" s="122" t="s">
        <v>302</v>
      </c>
      <c r="G42" s="122" t="s">
        <v>303</v>
      </c>
      <c r="H42" s="123"/>
      <c r="I42" s="121"/>
      <c r="J42" s="122" t="s">
        <v>302</v>
      </c>
      <c r="K42" s="122" t="s">
        <v>303</v>
      </c>
      <c r="L42" s="123"/>
      <c r="M42" s="121"/>
      <c r="N42" s="122" t="s">
        <v>302</v>
      </c>
      <c r="O42" s="122" t="s">
        <v>303</v>
      </c>
      <c r="P42" s="123"/>
      <c r="Q42" s="121"/>
      <c r="R42" s="122" t="s">
        <v>302</v>
      </c>
      <c r="S42" s="122" t="s">
        <v>303</v>
      </c>
      <c r="T42" s="123"/>
      <c r="U42" s="121"/>
      <c r="V42" s="122" t="s">
        <v>302</v>
      </c>
      <c r="W42" s="122" t="s">
        <v>303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-512.4000000000002</v>
      </c>
      <c r="O43" s="115">
        <f>SUMIF(P10:P37,"&gt;0")</f>
        <v>0</v>
      </c>
      <c r="P43" s="126"/>
      <c r="Q43" s="125"/>
      <c r="R43" s="115">
        <f>SUMIF(T10:T37,"&lt;0")</f>
        <v>-512.4000000000002</v>
      </c>
      <c r="S43" s="115">
        <f>SUMIF(T10:T37,"&gt;0")</f>
        <v>0</v>
      </c>
      <c r="T43" s="126"/>
      <c r="U43" s="125"/>
      <c r="V43" s="115">
        <f>SUMIF(X10:X37,"&lt;0")</f>
        <v>-512.4000000000002</v>
      </c>
      <c r="W43" s="115">
        <f>SUMIF(X10:X37,"&gt;0")</f>
        <v>0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1">
      <c r="A47" s="133" t="s">
        <v>305</v>
      </c>
      <c r="B47" s="109" t="s">
        <v>294</v>
      </c>
      <c r="C47" s="109" t="s">
        <v>295</v>
      </c>
      <c r="D47" s="134" t="s">
        <v>296</v>
      </c>
      <c r="E47" s="133" t="s">
        <v>306</v>
      </c>
      <c r="F47" s="109" t="s">
        <v>294</v>
      </c>
      <c r="G47" s="109" t="s">
        <v>295</v>
      </c>
      <c r="H47" s="134" t="s">
        <v>296</v>
      </c>
      <c r="I47" s="133" t="s">
        <v>307</v>
      </c>
      <c r="J47" s="109" t="s">
        <v>294</v>
      </c>
      <c r="K47" s="109" t="s">
        <v>295</v>
      </c>
      <c r="L47" s="134" t="s">
        <v>296</v>
      </c>
      <c r="M47" s="133" t="s">
        <v>308</v>
      </c>
      <c r="N47" s="109" t="s">
        <v>294</v>
      </c>
      <c r="O47" s="109" t="s">
        <v>295</v>
      </c>
      <c r="P47" s="134" t="s">
        <v>296</v>
      </c>
      <c r="Q47" s="133" t="s">
        <v>309</v>
      </c>
      <c r="R47" s="109" t="s">
        <v>294</v>
      </c>
      <c r="S47" s="109" t="s">
        <v>295</v>
      </c>
      <c r="T47" s="134" t="s">
        <v>296</v>
      </c>
      <c r="U47" s="133" t="s">
        <v>310</v>
      </c>
      <c r="V47" s="109" t="s">
        <v>294</v>
      </c>
      <c r="W47" s="109" t="s">
        <v>295</v>
      </c>
      <c r="X47" s="134" t="s">
        <v>296</v>
      </c>
    </row>
    <row r="48" spans="1:24">
      <c r="A48" s="113">
        <v>1</v>
      </c>
      <c r="B48" s="239"/>
      <c r="C48" s="239"/>
      <c r="D48" s="115">
        <f t="shared" ref="D48:D56" si="3">(B48+C48)/2-18.3</f>
        <v>-18.3</v>
      </c>
      <c r="E48" s="113">
        <v>1</v>
      </c>
      <c r="F48" s="239"/>
      <c r="G48" s="239"/>
      <c r="H48" s="115">
        <f t="shared" ref="H48:H78" si="4">(F48+G48)/2-18.3</f>
        <v>-18.3</v>
      </c>
      <c r="I48" s="113">
        <v>1</v>
      </c>
      <c r="J48" s="239"/>
      <c r="K48" s="239"/>
      <c r="L48" s="115">
        <f>(J48+K48)/2-18.3</f>
        <v>-18.3</v>
      </c>
      <c r="M48" s="113">
        <v>1</v>
      </c>
      <c r="N48" s="239"/>
      <c r="O48" s="239"/>
      <c r="P48" s="115">
        <f>(N48+O48)/2-18.3</f>
        <v>-18.3</v>
      </c>
      <c r="Q48" s="113">
        <v>1</v>
      </c>
      <c r="R48" s="239"/>
      <c r="S48" s="239"/>
      <c r="T48" s="115">
        <f>(R48+S48)/2-18.3</f>
        <v>-18.3</v>
      </c>
      <c r="U48" s="113">
        <v>1</v>
      </c>
      <c r="V48" s="239"/>
      <c r="W48" s="239"/>
      <c r="X48" s="115">
        <f t="shared" ref="X48:X78" si="5">(V48+W48)/2-18.3</f>
        <v>-18.3</v>
      </c>
    </row>
    <row r="49" spans="1:24">
      <c r="A49" s="113">
        <v>2</v>
      </c>
      <c r="B49" s="239"/>
      <c r="C49" s="239"/>
      <c r="D49" s="115">
        <f t="shared" si="3"/>
        <v>-18.3</v>
      </c>
      <c r="E49" s="113">
        <v>2</v>
      </c>
      <c r="F49" s="239"/>
      <c r="G49" s="239"/>
      <c r="H49" s="115">
        <f t="shared" si="4"/>
        <v>-18.3</v>
      </c>
      <c r="I49" s="113">
        <v>2</v>
      </c>
      <c r="J49" s="239"/>
      <c r="K49" s="239"/>
      <c r="L49" s="115">
        <f t="shared" ref="L49:L77" si="6">(J49+K49)/2-18.3</f>
        <v>-18.3</v>
      </c>
      <c r="M49" s="113">
        <v>2</v>
      </c>
      <c r="N49" s="239"/>
      <c r="O49" s="239"/>
      <c r="P49" s="115">
        <f t="shared" ref="P49:P78" si="7">(N49+O49)/2-18.3</f>
        <v>-18.3</v>
      </c>
      <c r="Q49" s="113">
        <v>2</v>
      </c>
      <c r="R49" s="239"/>
      <c r="S49" s="239"/>
      <c r="T49" s="115">
        <f t="shared" ref="T49:T77" si="8">(R49+S49)/2-18.3</f>
        <v>-18.3</v>
      </c>
      <c r="U49" s="113">
        <v>2</v>
      </c>
      <c r="V49" s="239"/>
      <c r="W49" s="239"/>
      <c r="X49" s="115">
        <f t="shared" si="5"/>
        <v>-18.3</v>
      </c>
    </row>
    <row r="50" spans="1:24">
      <c r="A50" s="113">
        <v>3</v>
      </c>
      <c r="B50" s="239"/>
      <c r="C50" s="239"/>
      <c r="D50" s="115">
        <f t="shared" si="3"/>
        <v>-18.3</v>
      </c>
      <c r="E50" s="113">
        <v>3</v>
      </c>
      <c r="F50" s="239"/>
      <c r="G50" s="239"/>
      <c r="H50" s="115">
        <f t="shared" si="4"/>
        <v>-18.3</v>
      </c>
      <c r="I50" s="113">
        <v>3</v>
      </c>
      <c r="J50" s="239"/>
      <c r="K50" s="239"/>
      <c r="L50" s="115">
        <f t="shared" si="6"/>
        <v>-18.3</v>
      </c>
      <c r="M50" s="113">
        <v>3</v>
      </c>
      <c r="N50" s="239"/>
      <c r="O50" s="239"/>
      <c r="P50" s="115">
        <f t="shared" si="7"/>
        <v>-18.3</v>
      </c>
      <c r="Q50" s="113">
        <v>3</v>
      </c>
      <c r="R50" s="239"/>
      <c r="S50" s="239"/>
      <c r="T50" s="115">
        <f t="shared" si="8"/>
        <v>-18.3</v>
      </c>
      <c r="U50" s="113">
        <v>3</v>
      </c>
      <c r="V50" s="239"/>
      <c r="W50" s="239"/>
      <c r="X50" s="115">
        <f t="shared" si="5"/>
        <v>-18.3</v>
      </c>
    </row>
    <row r="51" spans="1:24">
      <c r="A51" s="113">
        <v>4</v>
      </c>
      <c r="B51" s="239"/>
      <c r="C51" s="239"/>
      <c r="D51" s="115">
        <f t="shared" si="3"/>
        <v>-18.3</v>
      </c>
      <c r="E51" s="113">
        <v>4</v>
      </c>
      <c r="F51" s="239"/>
      <c r="G51" s="239"/>
      <c r="H51" s="115">
        <f t="shared" si="4"/>
        <v>-18.3</v>
      </c>
      <c r="I51" s="113">
        <v>4</v>
      </c>
      <c r="J51" s="239"/>
      <c r="K51" s="239"/>
      <c r="L51" s="115">
        <f t="shared" si="6"/>
        <v>-18.3</v>
      </c>
      <c r="M51" s="113">
        <v>4</v>
      </c>
      <c r="N51" s="239"/>
      <c r="O51" s="239"/>
      <c r="P51" s="115">
        <f t="shared" si="7"/>
        <v>-18.3</v>
      </c>
      <c r="Q51" s="113">
        <v>4</v>
      </c>
      <c r="R51" s="239"/>
      <c r="S51" s="239"/>
      <c r="T51" s="115">
        <f t="shared" si="8"/>
        <v>-18.3</v>
      </c>
      <c r="U51" s="113">
        <v>4</v>
      </c>
      <c r="V51" s="239"/>
      <c r="W51" s="239"/>
      <c r="X51" s="115">
        <f t="shared" si="5"/>
        <v>-18.3</v>
      </c>
    </row>
    <row r="52" spans="1:24">
      <c r="A52" s="113">
        <v>5</v>
      </c>
      <c r="B52" s="239"/>
      <c r="C52" s="239"/>
      <c r="D52" s="115">
        <f t="shared" si="3"/>
        <v>-18.3</v>
      </c>
      <c r="E52" s="113">
        <v>5</v>
      </c>
      <c r="F52" s="239"/>
      <c r="G52" s="239"/>
      <c r="H52" s="115">
        <f t="shared" si="4"/>
        <v>-18.3</v>
      </c>
      <c r="I52" s="113">
        <v>5</v>
      </c>
      <c r="J52" s="239"/>
      <c r="K52" s="239"/>
      <c r="L52" s="115">
        <f t="shared" si="6"/>
        <v>-18.3</v>
      </c>
      <c r="M52" s="113">
        <v>5</v>
      </c>
      <c r="N52" s="239"/>
      <c r="O52" s="239"/>
      <c r="P52" s="115">
        <f t="shared" si="7"/>
        <v>-18.3</v>
      </c>
      <c r="Q52" s="113">
        <v>5</v>
      </c>
      <c r="R52" s="239"/>
      <c r="S52" s="239"/>
      <c r="T52" s="115">
        <f t="shared" si="8"/>
        <v>-18.3</v>
      </c>
      <c r="U52" s="113">
        <v>5</v>
      </c>
      <c r="V52" s="239"/>
      <c r="W52" s="239"/>
      <c r="X52" s="115">
        <f t="shared" si="5"/>
        <v>-18.3</v>
      </c>
    </row>
    <row r="53" spans="1:24">
      <c r="A53" s="113">
        <v>6</v>
      </c>
      <c r="B53" s="239"/>
      <c r="C53" s="239"/>
      <c r="D53" s="115">
        <f t="shared" si="3"/>
        <v>-18.3</v>
      </c>
      <c r="E53" s="113">
        <v>6</v>
      </c>
      <c r="F53" s="239"/>
      <c r="G53" s="239"/>
      <c r="H53" s="115">
        <f t="shared" si="4"/>
        <v>-18.3</v>
      </c>
      <c r="I53" s="113">
        <v>6</v>
      </c>
      <c r="J53" s="239"/>
      <c r="K53" s="239"/>
      <c r="L53" s="115">
        <f t="shared" si="6"/>
        <v>-18.3</v>
      </c>
      <c r="M53" s="113">
        <v>6</v>
      </c>
      <c r="N53" s="239"/>
      <c r="O53" s="239"/>
      <c r="P53" s="115">
        <f t="shared" si="7"/>
        <v>-18.3</v>
      </c>
      <c r="Q53" s="113">
        <v>6</v>
      </c>
      <c r="R53" s="239"/>
      <c r="S53" s="239"/>
      <c r="T53" s="115">
        <f t="shared" si="8"/>
        <v>-18.3</v>
      </c>
      <c r="U53" s="113">
        <v>6</v>
      </c>
      <c r="V53" s="239"/>
      <c r="W53" s="239"/>
      <c r="X53" s="115">
        <f t="shared" si="5"/>
        <v>-18.3</v>
      </c>
    </row>
    <row r="54" spans="1:24">
      <c r="A54" s="113">
        <v>7</v>
      </c>
      <c r="B54" s="239"/>
      <c r="C54" s="239"/>
      <c r="D54" s="115">
        <f t="shared" si="3"/>
        <v>-18.3</v>
      </c>
      <c r="E54" s="113">
        <v>7</v>
      </c>
      <c r="F54" s="239"/>
      <c r="G54" s="239"/>
      <c r="H54" s="115">
        <f t="shared" si="4"/>
        <v>-18.3</v>
      </c>
      <c r="I54" s="113">
        <v>7</v>
      </c>
      <c r="J54" s="239"/>
      <c r="K54" s="239"/>
      <c r="L54" s="115">
        <f t="shared" si="6"/>
        <v>-18.3</v>
      </c>
      <c r="M54" s="113">
        <v>7</v>
      </c>
      <c r="N54" s="239"/>
      <c r="O54" s="239"/>
      <c r="P54" s="115">
        <f t="shared" si="7"/>
        <v>-18.3</v>
      </c>
      <c r="Q54" s="113">
        <v>7</v>
      </c>
      <c r="R54" s="239"/>
      <c r="S54" s="239"/>
      <c r="T54" s="115">
        <f t="shared" si="8"/>
        <v>-18.3</v>
      </c>
      <c r="U54" s="113">
        <v>7</v>
      </c>
      <c r="V54" s="239"/>
      <c r="W54" s="239"/>
      <c r="X54" s="115">
        <f t="shared" si="5"/>
        <v>-18.3</v>
      </c>
    </row>
    <row r="55" spans="1:24">
      <c r="A55" s="113">
        <v>8</v>
      </c>
      <c r="B55" s="239"/>
      <c r="C55" s="239"/>
      <c r="D55" s="115">
        <f t="shared" si="3"/>
        <v>-18.3</v>
      </c>
      <c r="E55" s="113">
        <v>8</v>
      </c>
      <c r="F55" s="239"/>
      <c r="G55" s="239"/>
      <c r="H55" s="115">
        <f t="shared" si="4"/>
        <v>-18.3</v>
      </c>
      <c r="I55" s="113">
        <v>8</v>
      </c>
      <c r="J55" s="239"/>
      <c r="K55" s="239"/>
      <c r="L55" s="115">
        <f t="shared" si="6"/>
        <v>-18.3</v>
      </c>
      <c r="M55" s="113">
        <v>8</v>
      </c>
      <c r="N55" s="239"/>
      <c r="O55" s="239"/>
      <c r="P55" s="115">
        <f t="shared" si="7"/>
        <v>-18.3</v>
      </c>
      <c r="Q55" s="113">
        <v>8</v>
      </c>
      <c r="R55" s="239"/>
      <c r="S55" s="239"/>
      <c r="T55" s="115">
        <f t="shared" si="8"/>
        <v>-18.3</v>
      </c>
      <c r="U55" s="113">
        <v>8</v>
      </c>
      <c r="V55" s="239"/>
      <c r="W55" s="239"/>
      <c r="X55" s="115">
        <f t="shared" si="5"/>
        <v>-18.3</v>
      </c>
    </row>
    <row r="56" spans="1:24">
      <c r="A56" s="113">
        <v>9</v>
      </c>
      <c r="B56" s="239"/>
      <c r="C56" s="239"/>
      <c r="D56" s="115">
        <f t="shared" si="3"/>
        <v>-18.3</v>
      </c>
      <c r="E56" s="113">
        <v>9</v>
      </c>
      <c r="F56" s="239"/>
      <c r="G56" s="239"/>
      <c r="H56" s="115">
        <f t="shared" si="4"/>
        <v>-18.3</v>
      </c>
      <c r="I56" s="113">
        <v>9</v>
      </c>
      <c r="J56" s="239"/>
      <c r="K56" s="239"/>
      <c r="L56" s="115">
        <f t="shared" si="6"/>
        <v>-18.3</v>
      </c>
      <c r="M56" s="113">
        <v>9</v>
      </c>
      <c r="N56" s="239"/>
      <c r="O56" s="239"/>
      <c r="P56" s="115">
        <f t="shared" si="7"/>
        <v>-18.3</v>
      </c>
      <c r="Q56" s="113">
        <v>9</v>
      </c>
      <c r="R56" s="239"/>
      <c r="S56" s="239"/>
      <c r="T56" s="115">
        <f t="shared" si="8"/>
        <v>-18.3</v>
      </c>
      <c r="U56" s="113">
        <v>9</v>
      </c>
      <c r="V56" s="239"/>
      <c r="W56" s="239"/>
      <c r="X56" s="115">
        <f t="shared" si="5"/>
        <v>-18.3</v>
      </c>
    </row>
    <row r="57" spans="1:24">
      <c r="A57" s="113">
        <v>10</v>
      </c>
      <c r="B57" s="239"/>
      <c r="C57" s="239"/>
      <c r="D57" s="115">
        <f t="shared" ref="D57:D78" si="9">(B57+C57)/2-18.3</f>
        <v>-18.3</v>
      </c>
      <c r="E57" s="113">
        <v>10</v>
      </c>
      <c r="F57" s="239"/>
      <c r="G57" s="239"/>
      <c r="H57" s="115">
        <f t="shared" si="4"/>
        <v>-18.3</v>
      </c>
      <c r="I57" s="113">
        <v>10</v>
      </c>
      <c r="J57" s="239"/>
      <c r="K57" s="239"/>
      <c r="L57" s="115">
        <f t="shared" si="6"/>
        <v>-18.3</v>
      </c>
      <c r="M57" s="113">
        <v>10</v>
      </c>
      <c r="N57" s="239"/>
      <c r="O57" s="239"/>
      <c r="P57" s="115">
        <f t="shared" si="7"/>
        <v>-18.3</v>
      </c>
      <c r="Q57" s="113">
        <v>10</v>
      </c>
      <c r="R57" s="239"/>
      <c r="S57" s="239"/>
      <c r="T57" s="115">
        <f t="shared" si="8"/>
        <v>-18.3</v>
      </c>
      <c r="U57" s="113">
        <v>10</v>
      </c>
      <c r="V57" s="239"/>
      <c r="W57" s="239"/>
      <c r="X57" s="115">
        <f t="shared" si="5"/>
        <v>-18.3</v>
      </c>
    </row>
    <row r="58" spans="1:24">
      <c r="A58" s="113">
        <v>11</v>
      </c>
      <c r="B58" s="239"/>
      <c r="C58" s="239"/>
      <c r="D58" s="115">
        <f t="shared" si="9"/>
        <v>-18.3</v>
      </c>
      <c r="E58" s="113">
        <v>11</v>
      </c>
      <c r="F58" s="239"/>
      <c r="G58" s="239"/>
      <c r="H58" s="115">
        <f t="shared" si="4"/>
        <v>-18.3</v>
      </c>
      <c r="I58" s="113">
        <v>11</v>
      </c>
      <c r="J58" s="239"/>
      <c r="K58" s="239"/>
      <c r="L58" s="115">
        <f t="shared" si="6"/>
        <v>-18.3</v>
      </c>
      <c r="M58" s="113">
        <v>11</v>
      </c>
      <c r="N58" s="239"/>
      <c r="O58" s="239"/>
      <c r="P58" s="115">
        <f t="shared" si="7"/>
        <v>-18.3</v>
      </c>
      <c r="Q58" s="113">
        <v>11</v>
      </c>
      <c r="R58" s="239"/>
      <c r="S58" s="239"/>
      <c r="T58" s="115">
        <f t="shared" si="8"/>
        <v>-18.3</v>
      </c>
      <c r="U58" s="113">
        <v>11</v>
      </c>
      <c r="V58" s="239"/>
      <c r="W58" s="239"/>
      <c r="X58" s="115">
        <f t="shared" si="5"/>
        <v>-18.3</v>
      </c>
    </row>
    <row r="59" spans="1:24">
      <c r="A59" s="113">
        <v>12</v>
      </c>
      <c r="B59" s="239"/>
      <c r="C59" s="239"/>
      <c r="D59" s="115">
        <f t="shared" si="9"/>
        <v>-18.3</v>
      </c>
      <c r="E59" s="113">
        <v>12</v>
      </c>
      <c r="F59" s="239"/>
      <c r="G59" s="239"/>
      <c r="H59" s="115">
        <f t="shared" si="4"/>
        <v>-18.3</v>
      </c>
      <c r="I59" s="113">
        <v>12</v>
      </c>
      <c r="J59" s="239"/>
      <c r="K59" s="239"/>
      <c r="L59" s="115">
        <f t="shared" si="6"/>
        <v>-18.3</v>
      </c>
      <c r="M59" s="113">
        <v>12</v>
      </c>
      <c r="N59" s="239"/>
      <c r="O59" s="239"/>
      <c r="P59" s="115">
        <f t="shared" si="7"/>
        <v>-18.3</v>
      </c>
      <c r="Q59" s="113">
        <v>12</v>
      </c>
      <c r="R59" s="239"/>
      <c r="S59" s="239"/>
      <c r="T59" s="115">
        <f t="shared" si="8"/>
        <v>-18.3</v>
      </c>
      <c r="U59" s="113">
        <v>12</v>
      </c>
      <c r="V59" s="239"/>
      <c r="W59" s="239"/>
      <c r="X59" s="115">
        <f t="shared" si="5"/>
        <v>-18.3</v>
      </c>
    </row>
    <row r="60" spans="1:24">
      <c r="A60" s="113">
        <v>13</v>
      </c>
      <c r="B60" s="239"/>
      <c r="C60" s="239"/>
      <c r="D60" s="115">
        <f t="shared" si="9"/>
        <v>-18.3</v>
      </c>
      <c r="E60" s="113">
        <v>13</v>
      </c>
      <c r="F60" s="239"/>
      <c r="G60" s="239"/>
      <c r="H60" s="115">
        <f t="shared" si="4"/>
        <v>-18.3</v>
      </c>
      <c r="I60" s="113">
        <v>13</v>
      </c>
      <c r="J60" s="239"/>
      <c r="K60" s="239"/>
      <c r="L60" s="115">
        <f t="shared" si="6"/>
        <v>-18.3</v>
      </c>
      <c r="M60" s="113">
        <v>13</v>
      </c>
      <c r="N60" s="239"/>
      <c r="O60" s="239"/>
      <c r="P60" s="115">
        <f t="shared" si="7"/>
        <v>-18.3</v>
      </c>
      <c r="Q60" s="113">
        <v>13</v>
      </c>
      <c r="R60" s="239"/>
      <c r="S60" s="239"/>
      <c r="T60" s="115">
        <f t="shared" si="8"/>
        <v>-18.3</v>
      </c>
      <c r="U60" s="113">
        <v>13</v>
      </c>
      <c r="V60" s="239"/>
      <c r="W60" s="239"/>
      <c r="X60" s="115">
        <f t="shared" si="5"/>
        <v>-18.3</v>
      </c>
    </row>
    <row r="61" spans="1:24">
      <c r="A61" s="113">
        <v>14</v>
      </c>
      <c r="B61" s="239"/>
      <c r="C61" s="239"/>
      <c r="D61" s="115">
        <f t="shared" si="9"/>
        <v>-18.3</v>
      </c>
      <c r="E61" s="113">
        <v>14</v>
      </c>
      <c r="F61" s="239"/>
      <c r="G61" s="239"/>
      <c r="H61" s="115">
        <f t="shared" si="4"/>
        <v>-18.3</v>
      </c>
      <c r="I61" s="113">
        <v>14</v>
      </c>
      <c r="J61" s="239"/>
      <c r="K61" s="239"/>
      <c r="L61" s="115">
        <f t="shared" si="6"/>
        <v>-18.3</v>
      </c>
      <c r="M61" s="113">
        <v>14</v>
      </c>
      <c r="N61" s="239"/>
      <c r="O61" s="239"/>
      <c r="P61" s="115">
        <f t="shared" si="7"/>
        <v>-18.3</v>
      </c>
      <c r="Q61" s="113">
        <v>14</v>
      </c>
      <c r="R61" s="239"/>
      <c r="S61" s="239"/>
      <c r="T61" s="115">
        <f t="shared" si="8"/>
        <v>-18.3</v>
      </c>
      <c r="U61" s="113">
        <v>14</v>
      </c>
      <c r="V61" s="239"/>
      <c r="W61" s="239"/>
      <c r="X61" s="115">
        <f t="shared" si="5"/>
        <v>-18.3</v>
      </c>
    </row>
    <row r="62" spans="1:24">
      <c r="A62" s="113">
        <v>15</v>
      </c>
      <c r="B62" s="239"/>
      <c r="C62" s="239"/>
      <c r="D62" s="115">
        <f t="shared" si="9"/>
        <v>-18.3</v>
      </c>
      <c r="E62" s="113">
        <v>15</v>
      </c>
      <c r="F62" s="239"/>
      <c r="G62" s="239"/>
      <c r="H62" s="115">
        <f t="shared" si="4"/>
        <v>-18.3</v>
      </c>
      <c r="I62" s="113">
        <v>15</v>
      </c>
      <c r="J62" s="239"/>
      <c r="K62" s="239"/>
      <c r="L62" s="115">
        <f t="shared" si="6"/>
        <v>-18.3</v>
      </c>
      <c r="M62" s="113">
        <v>15</v>
      </c>
      <c r="N62" s="239"/>
      <c r="O62" s="239"/>
      <c r="P62" s="115">
        <f t="shared" si="7"/>
        <v>-18.3</v>
      </c>
      <c r="Q62" s="113">
        <v>15</v>
      </c>
      <c r="R62" s="239"/>
      <c r="S62" s="239"/>
      <c r="T62" s="115">
        <f t="shared" si="8"/>
        <v>-18.3</v>
      </c>
      <c r="U62" s="113">
        <v>15</v>
      </c>
      <c r="V62" s="239"/>
      <c r="W62" s="239"/>
      <c r="X62" s="115">
        <f t="shared" si="5"/>
        <v>-18.3</v>
      </c>
    </row>
    <row r="63" spans="1:24">
      <c r="A63" s="113">
        <v>16</v>
      </c>
      <c r="B63" s="239"/>
      <c r="C63" s="239"/>
      <c r="D63" s="115">
        <f t="shared" si="9"/>
        <v>-18.3</v>
      </c>
      <c r="E63" s="113">
        <v>16</v>
      </c>
      <c r="F63" s="239"/>
      <c r="G63" s="239"/>
      <c r="H63" s="115">
        <f t="shared" si="4"/>
        <v>-18.3</v>
      </c>
      <c r="I63" s="113">
        <v>16</v>
      </c>
      <c r="J63" s="239"/>
      <c r="K63" s="239"/>
      <c r="L63" s="115">
        <f t="shared" si="6"/>
        <v>-18.3</v>
      </c>
      <c r="M63" s="113">
        <v>16</v>
      </c>
      <c r="N63" s="239"/>
      <c r="O63" s="239"/>
      <c r="P63" s="115">
        <f t="shared" si="7"/>
        <v>-18.3</v>
      </c>
      <c r="Q63" s="113">
        <v>16</v>
      </c>
      <c r="R63" s="239"/>
      <c r="S63" s="239"/>
      <c r="T63" s="115">
        <f t="shared" si="8"/>
        <v>-18.3</v>
      </c>
      <c r="U63" s="113">
        <v>16</v>
      </c>
      <c r="V63" s="239"/>
      <c r="W63" s="239"/>
      <c r="X63" s="115">
        <f t="shared" si="5"/>
        <v>-18.3</v>
      </c>
    </row>
    <row r="64" spans="1:24">
      <c r="A64" s="113">
        <v>17</v>
      </c>
      <c r="B64" s="239"/>
      <c r="C64" s="239"/>
      <c r="D64" s="115">
        <f t="shared" si="9"/>
        <v>-18.3</v>
      </c>
      <c r="E64" s="113">
        <v>17</v>
      </c>
      <c r="F64" s="239"/>
      <c r="G64" s="239"/>
      <c r="H64" s="115">
        <f t="shared" si="4"/>
        <v>-18.3</v>
      </c>
      <c r="I64" s="113">
        <v>17</v>
      </c>
      <c r="J64" s="239"/>
      <c r="K64" s="239"/>
      <c r="L64" s="115">
        <f t="shared" si="6"/>
        <v>-18.3</v>
      </c>
      <c r="M64" s="113">
        <v>17</v>
      </c>
      <c r="N64" s="239"/>
      <c r="O64" s="239"/>
      <c r="P64" s="115">
        <f t="shared" si="7"/>
        <v>-18.3</v>
      </c>
      <c r="Q64" s="113">
        <v>17</v>
      </c>
      <c r="R64" s="239"/>
      <c r="S64" s="239"/>
      <c r="T64" s="115">
        <f t="shared" si="8"/>
        <v>-18.3</v>
      </c>
      <c r="U64" s="113">
        <v>17</v>
      </c>
      <c r="V64" s="239"/>
      <c r="W64" s="239"/>
      <c r="X64" s="115">
        <f t="shared" si="5"/>
        <v>-18.3</v>
      </c>
    </row>
    <row r="65" spans="1:24">
      <c r="A65" s="113">
        <v>18</v>
      </c>
      <c r="B65" s="239"/>
      <c r="C65" s="239"/>
      <c r="D65" s="115">
        <f t="shared" si="9"/>
        <v>-18.3</v>
      </c>
      <c r="E65" s="113">
        <v>18</v>
      </c>
      <c r="F65" s="239"/>
      <c r="G65" s="239"/>
      <c r="H65" s="115">
        <f t="shared" si="4"/>
        <v>-18.3</v>
      </c>
      <c r="I65" s="113">
        <v>18</v>
      </c>
      <c r="J65" s="239"/>
      <c r="K65" s="239"/>
      <c r="L65" s="115">
        <f t="shared" si="6"/>
        <v>-18.3</v>
      </c>
      <c r="M65" s="113">
        <v>18</v>
      </c>
      <c r="N65" s="239"/>
      <c r="O65" s="239"/>
      <c r="P65" s="115">
        <f t="shared" si="7"/>
        <v>-18.3</v>
      </c>
      <c r="Q65" s="113">
        <v>18</v>
      </c>
      <c r="R65" s="239"/>
      <c r="S65" s="239"/>
      <c r="T65" s="115">
        <f t="shared" si="8"/>
        <v>-18.3</v>
      </c>
      <c r="U65" s="113">
        <v>18</v>
      </c>
      <c r="V65" s="239"/>
      <c r="W65" s="239"/>
      <c r="X65" s="115">
        <f t="shared" si="5"/>
        <v>-18.3</v>
      </c>
    </row>
    <row r="66" spans="1:24">
      <c r="A66" s="113">
        <v>19</v>
      </c>
      <c r="B66" s="239"/>
      <c r="C66" s="239"/>
      <c r="D66" s="115">
        <f t="shared" si="9"/>
        <v>-18.3</v>
      </c>
      <c r="E66" s="113">
        <v>19</v>
      </c>
      <c r="F66" s="239"/>
      <c r="G66" s="239"/>
      <c r="H66" s="115">
        <f t="shared" si="4"/>
        <v>-18.3</v>
      </c>
      <c r="I66" s="113">
        <v>19</v>
      </c>
      <c r="J66" s="239"/>
      <c r="K66" s="239"/>
      <c r="L66" s="115">
        <f t="shared" si="6"/>
        <v>-18.3</v>
      </c>
      <c r="M66" s="113">
        <v>19</v>
      </c>
      <c r="N66" s="239"/>
      <c r="O66" s="239"/>
      <c r="P66" s="115">
        <f t="shared" si="7"/>
        <v>-18.3</v>
      </c>
      <c r="Q66" s="113">
        <v>19</v>
      </c>
      <c r="R66" s="239"/>
      <c r="S66" s="239"/>
      <c r="T66" s="115">
        <f t="shared" si="8"/>
        <v>-18.3</v>
      </c>
      <c r="U66" s="113">
        <v>19</v>
      </c>
      <c r="V66" s="239"/>
      <c r="W66" s="239"/>
      <c r="X66" s="115">
        <f t="shared" si="5"/>
        <v>-18.3</v>
      </c>
    </row>
    <row r="67" spans="1:24">
      <c r="A67" s="113">
        <v>20</v>
      </c>
      <c r="B67" s="239"/>
      <c r="C67" s="239"/>
      <c r="D67" s="115">
        <f t="shared" si="9"/>
        <v>-18.3</v>
      </c>
      <c r="E67" s="113">
        <v>20</v>
      </c>
      <c r="F67" s="239"/>
      <c r="G67" s="239"/>
      <c r="H67" s="115">
        <f t="shared" si="4"/>
        <v>-18.3</v>
      </c>
      <c r="I67" s="113">
        <v>20</v>
      </c>
      <c r="J67" s="239"/>
      <c r="K67" s="239"/>
      <c r="L67" s="115">
        <f t="shared" si="6"/>
        <v>-18.3</v>
      </c>
      <c r="M67" s="113">
        <v>20</v>
      </c>
      <c r="N67" s="239"/>
      <c r="O67" s="239"/>
      <c r="P67" s="115">
        <f t="shared" si="7"/>
        <v>-18.3</v>
      </c>
      <c r="Q67" s="113">
        <v>20</v>
      </c>
      <c r="R67" s="239"/>
      <c r="S67" s="239"/>
      <c r="T67" s="115">
        <f t="shared" si="8"/>
        <v>-18.3</v>
      </c>
      <c r="U67" s="113">
        <v>20</v>
      </c>
      <c r="V67" s="239"/>
      <c r="W67" s="239"/>
      <c r="X67" s="115">
        <f t="shared" si="5"/>
        <v>-18.3</v>
      </c>
    </row>
    <row r="68" spans="1:24">
      <c r="A68" s="113">
        <v>21</v>
      </c>
      <c r="B68" s="239"/>
      <c r="C68" s="239"/>
      <c r="D68" s="115">
        <f t="shared" si="9"/>
        <v>-18.3</v>
      </c>
      <c r="E68" s="113">
        <v>21</v>
      </c>
      <c r="F68" s="239"/>
      <c r="G68" s="239"/>
      <c r="H68" s="115">
        <f t="shared" si="4"/>
        <v>-18.3</v>
      </c>
      <c r="I68" s="113">
        <v>21</v>
      </c>
      <c r="J68" s="239"/>
      <c r="K68" s="239"/>
      <c r="L68" s="115">
        <f t="shared" si="6"/>
        <v>-18.3</v>
      </c>
      <c r="M68" s="113">
        <v>21</v>
      </c>
      <c r="N68" s="239"/>
      <c r="O68" s="239"/>
      <c r="P68" s="115">
        <f t="shared" si="7"/>
        <v>-18.3</v>
      </c>
      <c r="Q68" s="113">
        <v>21</v>
      </c>
      <c r="R68" s="239"/>
      <c r="S68" s="239"/>
      <c r="T68" s="115">
        <f t="shared" si="8"/>
        <v>-18.3</v>
      </c>
      <c r="U68" s="113">
        <v>21</v>
      </c>
      <c r="V68" s="239"/>
      <c r="W68" s="239"/>
      <c r="X68" s="115">
        <f t="shared" si="5"/>
        <v>-18.3</v>
      </c>
    </row>
    <row r="69" spans="1:24">
      <c r="A69" s="113">
        <v>22</v>
      </c>
      <c r="B69" s="239"/>
      <c r="C69" s="239"/>
      <c r="D69" s="115">
        <f t="shared" si="9"/>
        <v>-18.3</v>
      </c>
      <c r="E69" s="113">
        <v>22</v>
      </c>
      <c r="F69" s="239"/>
      <c r="G69" s="239"/>
      <c r="H69" s="115">
        <f t="shared" si="4"/>
        <v>-18.3</v>
      </c>
      <c r="I69" s="113">
        <v>22</v>
      </c>
      <c r="J69" s="239"/>
      <c r="K69" s="239"/>
      <c r="L69" s="115">
        <f t="shared" si="6"/>
        <v>-18.3</v>
      </c>
      <c r="M69" s="113">
        <v>22</v>
      </c>
      <c r="N69" s="239"/>
      <c r="O69" s="239"/>
      <c r="P69" s="115">
        <f t="shared" si="7"/>
        <v>-18.3</v>
      </c>
      <c r="Q69" s="113">
        <v>22</v>
      </c>
      <c r="R69" s="239"/>
      <c r="S69" s="239"/>
      <c r="T69" s="115">
        <f>(R69+S69)/2-18.3</f>
        <v>-18.3</v>
      </c>
      <c r="U69" s="113">
        <v>22</v>
      </c>
      <c r="V69" s="239"/>
      <c r="W69" s="239"/>
      <c r="X69" s="115">
        <f t="shared" si="5"/>
        <v>-18.3</v>
      </c>
    </row>
    <row r="70" spans="1:24">
      <c r="A70" s="113">
        <v>23</v>
      </c>
      <c r="B70" s="239"/>
      <c r="C70" s="239"/>
      <c r="D70" s="115">
        <f t="shared" si="9"/>
        <v>-18.3</v>
      </c>
      <c r="E70" s="113">
        <v>23</v>
      </c>
      <c r="F70" s="239"/>
      <c r="G70" s="239"/>
      <c r="H70" s="115">
        <f t="shared" si="4"/>
        <v>-18.3</v>
      </c>
      <c r="I70" s="113">
        <v>23</v>
      </c>
      <c r="J70" s="239"/>
      <c r="K70" s="239"/>
      <c r="L70" s="115">
        <f t="shared" si="6"/>
        <v>-18.3</v>
      </c>
      <c r="M70" s="113">
        <v>23</v>
      </c>
      <c r="N70" s="239"/>
      <c r="O70" s="239"/>
      <c r="P70" s="115">
        <f t="shared" si="7"/>
        <v>-18.3</v>
      </c>
      <c r="Q70" s="113">
        <v>23</v>
      </c>
      <c r="R70" s="239"/>
      <c r="S70" s="239"/>
      <c r="T70" s="115">
        <f t="shared" si="8"/>
        <v>-18.3</v>
      </c>
      <c r="U70" s="113">
        <v>23</v>
      </c>
      <c r="V70" s="239"/>
      <c r="W70" s="239"/>
      <c r="X70" s="115">
        <f t="shared" si="5"/>
        <v>-18.3</v>
      </c>
    </row>
    <row r="71" spans="1:24">
      <c r="A71" s="113">
        <v>24</v>
      </c>
      <c r="B71" s="239"/>
      <c r="C71" s="239"/>
      <c r="D71" s="115">
        <f t="shared" si="9"/>
        <v>-18.3</v>
      </c>
      <c r="E71" s="113">
        <v>24</v>
      </c>
      <c r="F71" s="239"/>
      <c r="G71" s="239"/>
      <c r="H71" s="115">
        <f t="shared" si="4"/>
        <v>-18.3</v>
      </c>
      <c r="I71" s="113">
        <v>24</v>
      </c>
      <c r="J71" s="239"/>
      <c r="K71" s="239"/>
      <c r="L71" s="115">
        <f t="shared" si="6"/>
        <v>-18.3</v>
      </c>
      <c r="M71" s="113">
        <v>24</v>
      </c>
      <c r="N71" s="239"/>
      <c r="O71" s="239"/>
      <c r="P71" s="115">
        <f t="shared" si="7"/>
        <v>-18.3</v>
      </c>
      <c r="Q71" s="113">
        <v>24</v>
      </c>
      <c r="R71" s="239"/>
      <c r="S71" s="239"/>
      <c r="T71" s="115">
        <f t="shared" si="8"/>
        <v>-18.3</v>
      </c>
      <c r="U71" s="113">
        <v>24</v>
      </c>
      <c r="V71" s="239"/>
      <c r="W71" s="239"/>
      <c r="X71" s="115">
        <f t="shared" si="5"/>
        <v>-18.3</v>
      </c>
    </row>
    <row r="72" spans="1:24">
      <c r="A72" s="113">
        <v>25</v>
      </c>
      <c r="B72" s="239"/>
      <c r="C72" s="239"/>
      <c r="D72" s="115">
        <f t="shared" si="9"/>
        <v>-18.3</v>
      </c>
      <c r="E72" s="113">
        <v>25</v>
      </c>
      <c r="F72" s="239"/>
      <c r="G72" s="239"/>
      <c r="H72" s="115">
        <f t="shared" si="4"/>
        <v>-18.3</v>
      </c>
      <c r="I72" s="113">
        <v>25</v>
      </c>
      <c r="J72" s="239"/>
      <c r="K72" s="239"/>
      <c r="L72" s="115">
        <f t="shared" si="6"/>
        <v>-18.3</v>
      </c>
      <c r="M72" s="113">
        <v>25</v>
      </c>
      <c r="N72" s="239"/>
      <c r="O72" s="239"/>
      <c r="P72" s="115">
        <f t="shared" si="7"/>
        <v>-18.3</v>
      </c>
      <c r="Q72" s="113">
        <v>25</v>
      </c>
      <c r="R72" s="239"/>
      <c r="S72" s="239"/>
      <c r="T72" s="115">
        <f t="shared" si="8"/>
        <v>-18.3</v>
      </c>
      <c r="U72" s="113">
        <v>25</v>
      </c>
      <c r="V72" s="239"/>
      <c r="W72" s="239"/>
      <c r="X72" s="115">
        <f t="shared" si="5"/>
        <v>-18.3</v>
      </c>
    </row>
    <row r="73" spans="1:24">
      <c r="A73" s="113">
        <v>26</v>
      </c>
      <c r="B73" s="239"/>
      <c r="C73" s="239"/>
      <c r="D73" s="115">
        <f t="shared" si="9"/>
        <v>-18.3</v>
      </c>
      <c r="E73" s="113">
        <v>26</v>
      </c>
      <c r="F73" s="239"/>
      <c r="G73" s="239"/>
      <c r="H73" s="115">
        <f t="shared" si="4"/>
        <v>-18.3</v>
      </c>
      <c r="I73" s="113">
        <v>26</v>
      </c>
      <c r="J73" s="239"/>
      <c r="K73" s="239"/>
      <c r="L73" s="115">
        <f t="shared" si="6"/>
        <v>-18.3</v>
      </c>
      <c r="M73" s="113">
        <v>26</v>
      </c>
      <c r="N73" s="239"/>
      <c r="O73" s="239"/>
      <c r="P73" s="115">
        <f t="shared" si="7"/>
        <v>-18.3</v>
      </c>
      <c r="Q73" s="113">
        <v>26</v>
      </c>
      <c r="R73" s="239"/>
      <c r="S73" s="239"/>
      <c r="T73" s="115">
        <f t="shared" si="8"/>
        <v>-18.3</v>
      </c>
      <c r="U73" s="113">
        <v>26</v>
      </c>
      <c r="V73" s="239"/>
      <c r="W73" s="239"/>
      <c r="X73" s="115">
        <f t="shared" si="5"/>
        <v>-18.3</v>
      </c>
    </row>
    <row r="74" spans="1:24">
      <c r="A74" s="113">
        <v>27</v>
      </c>
      <c r="B74" s="239"/>
      <c r="C74" s="239"/>
      <c r="D74" s="115">
        <f t="shared" si="9"/>
        <v>-18.3</v>
      </c>
      <c r="E74" s="113">
        <v>27</v>
      </c>
      <c r="F74" s="239"/>
      <c r="G74" s="239"/>
      <c r="H74" s="115">
        <f t="shared" si="4"/>
        <v>-18.3</v>
      </c>
      <c r="I74" s="113">
        <v>27</v>
      </c>
      <c r="J74" s="239"/>
      <c r="K74" s="239"/>
      <c r="L74" s="115">
        <f t="shared" si="6"/>
        <v>-18.3</v>
      </c>
      <c r="M74" s="113">
        <v>27</v>
      </c>
      <c r="N74" s="239"/>
      <c r="O74" s="239"/>
      <c r="P74" s="115">
        <f t="shared" si="7"/>
        <v>-18.3</v>
      </c>
      <c r="Q74" s="113">
        <v>27</v>
      </c>
      <c r="R74" s="239"/>
      <c r="S74" s="239"/>
      <c r="T74" s="115">
        <f t="shared" si="8"/>
        <v>-18.3</v>
      </c>
      <c r="U74" s="113">
        <v>27</v>
      </c>
      <c r="V74" s="239"/>
      <c r="W74" s="239"/>
      <c r="X74" s="115">
        <f t="shared" si="5"/>
        <v>-18.3</v>
      </c>
    </row>
    <row r="75" spans="1:24">
      <c r="A75" s="113">
        <v>28</v>
      </c>
      <c r="B75" s="239"/>
      <c r="C75" s="239"/>
      <c r="D75" s="115">
        <f t="shared" si="9"/>
        <v>-18.3</v>
      </c>
      <c r="E75" s="113">
        <v>28</v>
      </c>
      <c r="F75" s="239"/>
      <c r="G75" s="239"/>
      <c r="H75" s="115">
        <f t="shared" si="4"/>
        <v>-18.3</v>
      </c>
      <c r="I75" s="113">
        <v>28</v>
      </c>
      <c r="J75" s="239"/>
      <c r="K75" s="239"/>
      <c r="L75" s="115">
        <f t="shared" si="6"/>
        <v>-18.3</v>
      </c>
      <c r="M75" s="113">
        <v>28</v>
      </c>
      <c r="N75" s="239"/>
      <c r="O75" s="239"/>
      <c r="P75" s="115">
        <f t="shared" si="7"/>
        <v>-18.3</v>
      </c>
      <c r="Q75" s="113">
        <v>28</v>
      </c>
      <c r="R75" s="239"/>
      <c r="S75" s="239"/>
      <c r="T75" s="115">
        <f t="shared" si="8"/>
        <v>-18.3</v>
      </c>
      <c r="U75" s="113">
        <v>28</v>
      </c>
      <c r="V75" s="239"/>
      <c r="W75" s="239"/>
      <c r="X75" s="115">
        <f t="shared" si="5"/>
        <v>-18.3</v>
      </c>
    </row>
    <row r="76" spans="1:24">
      <c r="A76" s="113">
        <v>29</v>
      </c>
      <c r="B76" s="239"/>
      <c r="C76" s="239"/>
      <c r="D76" s="115">
        <f t="shared" si="9"/>
        <v>-18.3</v>
      </c>
      <c r="E76" s="113">
        <v>29</v>
      </c>
      <c r="F76" s="239"/>
      <c r="G76" s="239"/>
      <c r="H76" s="115">
        <f t="shared" si="4"/>
        <v>-18.3</v>
      </c>
      <c r="I76" s="113">
        <v>29</v>
      </c>
      <c r="J76" s="239"/>
      <c r="K76" s="239"/>
      <c r="L76" s="115">
        <f t="shared" si="6"/>
        <v>-18.3</v>
      </c>
      <c r="M76" s="113">
        <v>29</v>
      </c>
      <c r="N76" s="239"/>
      <c r="O76" s="239"/>
      <c r="P76" s="115">
        <f t="shared" si="7"/>
        <v>-18.3</v>
      </c>
      <c r="Q76" s="113">
        <v>29</v>
      </c>
      <c r="R76" s="239"/>
      <c r="S76" s="239"/>
      <c r="T76" s="115">
        <f t="shared" si="8"/>
        <v>-18.3</v>
      </c>
      <c r="U76" s="113">
        <v>29</v>
      </c>
      <c r="V76" s="239"/>
      <c r="W76" s="239"/>
      <c r="X76" s="115">
        <f t="shared" si="5"/>
        <v>-18.3</v>
      </c>
    </row>
    <row r="77" spans="1:24">
      <c r="A77" s="113">
        <v>30</v>
      </c>
      <c r="B77" s="239"/>
      <c r="C77" s="239"/>
      <c r="D77" s="115">
        <f t="shared" si="9"/>
        <v>-18.3</v>
      </c>
      <c r="E77" s="113">
        <v>30</v>
      </c>
      <c r="F77" s="239"/>
      <c r="G77" s="239"/>
      <c r="H77" s="115">
        <f t="shared" si="4"/>
        <v>-18.3</v>
      </c>
      <c r="I77" s="113">
        <v>30</v>
      </c>
      <c r="J77" s="239"/>
      <c r="K77" s="239"/>
      <c r="L77" s="115">
        <f t="shared" si="6"/>
        <v>-18.3</v>
      </c>
      <c r="M77" s="113">
        <v>30</v>
      </c>
      <c r="N77" s="239"/>
      <c r="O77" s="239"/>
      <c r="P77" s="115">
        <f t="shared" si="7"/>
        <v>-18.3</v>
      </c>
      <c r="Q77" s="113">
        <v>30</v>
      </c>
      <c r="R77" s="239"/>
      <c r="S77" s="239"/>
      <c r="T77" s="115">
        <f t="shared" si="8"/>
        <v>-18.3</v>
      </c>
      <c r="U77" s="113">
        <v>30</v>
      </c>
      <c r="V77" s="239"/>
      <c r="W77" s="239"/>
      <c r="X77" s="115">
        <f t="shared" si="5"/>
        <v>-18.3</v>
      </c>
    </row>
    <row r="78" spans="1:24">
      <c r="A78" s="116">
        <v>31</v>
      </c>
      <c r="B78" s="239"/>
      <c r="C78" s="239"/>
      <c r="D78" s="115">
        <f t="shared" si="9"/>
        <v>-18.3</v>
      </c>
      <c r="E78" s="116">
        <v>31</v>
      </c>
      <c r="F78" s="239"/>
      <c r="G78" s="239"/>
      <c r="H78" s="115">
        <f t="shared" si="4"/>
        <v>-18.3</v>
      </c>
      <c r="I78" s="116"/>
      <c r="J78" s="239"/>
      <c r="K78" s="239"/>
      <c r="L78" s="118"/>
      <c r="M78" s="116">
        <v>31</v>
      </c>
      <c r="N78" s="239"/>
      <c r="O78" s="239"/>
      <c r="P78" s="118">
        <f t="shared" si="7"/>
        <v>-18.3</v>
      </c>
      <c r="Q78" s="116"/>
      <c r="R78" s="239"/>
      <c r="S78" s="239"/>
      <c r="T78" s="118"/>
      <c r="U78" s="116">
        <v>31</v>
      </c>
      <c r="V78" s="239"/>
      <c r="W78" s="239"/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19">
      <c r="A80" s="121"/>
      <c r="B80" s="122" t="s">
        <v>302</v>
      </c>
      <c r="C80" s="122" t="s">
        <v>303</v>
      </c>
      <c r="D80" s="123"/>
      <c r="E80" s="121"/>
      <c r="F80" s="122" t="s">
        <v>302</v>
      </c>
      <c r="G80" s="122" t="s">
        <v>303</v>
      </c>
      <c r="H80" s="123"/>
      <c r="I80" s="121"/>
      <c r="J80" s="122" t="s">
        <v>302</v>
      </c>
      <c r="K80" s="122" t="s">
        <v>303</v>
      </c>
      <c r="L80" s="123"/>
      <c r="M80" s="121"/>
      <c r="N80" s="122" t="s">
        <v>302</v>
      </c>
      <c r="O80" s="122" t="s">
        <v>303</v>
      </c>
      <c r="P80" s="123"/>
      <c r="Q80" s="121"/>
      <c r="R80" s="122" t="s">
        <v>302</v>
      </c>
      <c r="S80" s="122" t="s">
        <v>303</v>
      </c>
      <c r="T80" s="123"/>
      <c r="U80" s="121"/>
      <c r="V80" s="122" t="s">
        <v>302</v>
      </c>
      <c r="W80" s="122" t="s">
        <v>303</v>
      </c>
      <c r="X80" s="123"/>
    </row>
    <row r="81" spans="1:24">
      <c r="A81" s="125"/>
      <c r="B81" s="115">
        <f>SUMIF(D48:D78,"&lt;0")</f>
        <v>-567.30000000000007</v>
      </c>
      <c r="C81" s="115">
        <f>SUMIF(D48:D78,"&gt;0")</f>
        <v>0</v>
      </c>
      <c r="D81" s="126"/>
      <c r="E81" s="125"/>
      <c r="F81" s="115">
        <f>SUMIF(H48:H78,"&lt;0")</f>
        <v>-567.30000000000007</v>
      </c>
      <c r="G81" s="115">
        <f>SUMIF(H48:H78,"&gt;0")</f>
        <v>0</v>
      </c>
      <c r="H81" s="126"/>
      <c r="I81" s="125"/>
      <c r="J81" s="115">
        <f>SUMIF(L48:L78,"&lt;0")</f>
        <v>-549.00000000000011</v>
      </c>
      <c r="K81" s="115">
        <f>SUMIF(L48:L78,"&gt;0")</f>
        <v>0</v>
      </c>
      <c r="L81" s="126"/>
      <c r="M81" s="125"/>
      <c r="N81" s="115">
        <f>SUMIF(P48:P78,"&lt;0")</f>
        <v>-567.30000000000007</v>
      </c>
      <c r="O81" s="115">
        <f>SUMIF(P48:P78,"&gt;0")</f>
        <v>0</v>
      </c>
      <c r="P81" s="126"/>
      <c r="Q81" s="125"/>
      <c r="R81" s="115">
        <f>SUMIF(T48:T78,"&lt;0")</f>
        <v>-549.00000000000011</v>
      </c>
      <c r="S81" s="115">
        <f>SUMIF(T48:T78,"&gt;0")</f>
        <v>0</v>
      </c>
      <c r="T81" s="126"/>
      <c r="U81" s="125"/>
      <c r="V81" s="115">
        <f>SUMIF(X48:X78,"&lt;0")</f>
        <v>-567.30000000000007</v>
      </c>
      <c r="W81" s="115">
        <f>SUMIF(X48:X78,"&gt;0")</f>
        <v>0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" thickBot="1">
      <c r="D83" s="130"/>
      <c r="L83" s="130"/>
      <c r="P83" s="130"/>
      <c r="T83" s="130"/>
      <c r="X83" s="130"/>
    </row>
    <row r="84" spans="1:24">
      <c r="D84" s="130"/>
      <c r="L84" s="130"/>
      <c r="N84" s="621" t="s">
        <v>302</v>
      </c>
      <c r="O84" s="621" t="s">
        <v>303</v>
      </c>
      <c r="P84" s="130"/>
      <c r="T84" s="130"/>
      <c r="X84" s="130"/>
    </row>
    <row r="85" spans="1:24" ht="20" thickBot="1">
      <c r="D85" s="130"/>
      <c r="I85" s="623" t="s">
        <v>311</v>
      </c>
      <c r="J85" s="624"/>
      <c r="K85" s="624"/>
      <c r="L85" s="624"/>
      <c r="N85" s="622"/>
      <c r="O85" s="622"/>
      <c r="P85" s="130"/>
      <c r="T85" s="130"/>
      <c r="X85" s="130"/>
    </row>
    <row r="86" spans="1:24" ht="18" thickBot="1">
      <c r="D86" s="130"/>
      <c r="I86" s="625" t="s">
        <v>312</v>
      </c>
      <c r="J86" s="625"/>
      <c r="K86" s="625"/>
      <c r="L86" s="625"/>
      <c r="N86" s="136">
        <f>B43+F43+J43+N43+R43+V43+B81+F81+J81+N81+R81+V81</f>
        <v>-5114.2000000000016</v>
      </c>
      <c r="O86" s="136">
        <f>C43+G43+K43+O43+S43+W43+C81+G81+K81+O81+S81+W81</f>
        <v>20.599999999999987</v>
      </c>
      <c r="P86" s="130"/>
      <c r="R86" s="137"/>
      <c r="S86" s="137"/>
      <c r="T86" s="138"/>
      <c r="U86" s="139"/>
      <c r="X86" s="130"/>
    </row>
    <row r="87" spans="1:24" ht="17.5">
      <c r="D87" s="130"/>
      <c r="L87" s="130"/>
      <c r="P87" s="130"/>
      <c r="R87" s="137"/>
      <c r="S87" s="137"/>
      <c r="T87" s="140"/>
      <c r="U87" s="139"/>
      <c r="X87" s="130"/>
    </row>
    <row r="88" spans="1:24" ht="15.5">
      <c r="B88" s="615"/>
      <c r="C88" s="615"/>
      <c r="D88" s="615"/>
      <c r="E88" s="615"/>
      <c r="F88" s="615"/>
      <c r="G88" s="615"/>
      <c r="H88" s="615"/>
      <c r="I88" s="615"/>
      <c r="J88" s="615"/>
      <c r="K88" s="615"/>
      <c r="L88" s="615"/>
      <c r="M88" s="615"/>
      <c r="N88" s="615"/>
      <c r="O88" s="615"/>
      <c r="P88" s="615"/>
      <c r="Q88" s="615"/>
      <c r="R88" s="615"/>
      <c r="S88" s="615"/>
      <c r="T88" s="615"/>
      <c r="U88" s="615"/>
      <c r="V88" s="615"/>
      <c r="W88" s="615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313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65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629" t="s">
        <v>314</v>
      </c>
      <c r="B2" s="629"/>
      <c r="C2" s="629"/>
      <c r="D2" s="629"/>
      <c r="E2" s="629"/>
      <c r="F2" s="629"/>
      <c r="G2" s="629"/>
      <c r="H2" s="629"/>
      <c r="I2" s="629"/>
    </row>
    <row r="3" spans="1:11">
      <c r="A3" s="183">
        <v>44980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315</v>
      </c>
      <c r="D4" s="3">
        <v>1507.5</v>
      </c>
      <c r="E4" s="3"/>
      <c r="F4" s="185">
        <v>28</v>
      </c>
      <c r="G4" s="3">
        <v>27</v>
      </c>
      <c r="H4" s="3"/>
      <c r="I4" s="3"/>
    </row>
    <row r="5" spans="1:11">
      <c r="A5" s="78" t="s">
        <v>316</v>
      </c>
      <c r="B5" s="166" t="s">
        <v>317</v>
      </c>
      <c r="C5" s="166" t="s">
        <v>318</v>
      </c>
      <c r="D5" s="166" t="s">
        <v>319</v>
      </c>
      <c r="E5" s="166" t="s">
        <v>320</v>
      </c>
      <c r="F5" s="184" t="s">
        <v>321</v>
      </c>
      <c r="G5" s="184" t="s">
        <v>322</v>
      </c>
      <c r="H5" s="184" t="s">
        <v>323</v>
      </c>
      <c r="I5" s="184" t="s">
        <v>324</v>
      </c>
      <c r="K5" s="365"/>
    </row>
    <row r="6" spans="1:11">
      <c r="A6" s="174" t="s">
        <v>325</v>
      </c>
      <c r="B6" s="296">
        <f>WATER!C37</f>
        <v>0</v>
      </c>
      <c r="C6" s="280">
        <v>1.66</v>
      </c>
      <c r="D6" s="174">
        <f>SUM(C6*B6)*D4</f>
        <v>0</v>
      </c>
      <c r="E6" s="369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3">
        <v>0</v>
      </c>
      <c r="J6" s="241"/>
    </row>
    <row r="7" spans="1:11">
      <c r="A7" s="174" t="s">
        <v>326</v>
      </c>
      <c r="B7" s="296">
        <f>WATER!H37</f>
        <v>380</v>
      </c>
      <c r="C7" s="174">
        <v>8200</v>
      </c>
      <c r="D7" s="177">
        <f>SUM(C7)*D4</f>
        <v>12361500</v>
      </c>
      <c r="E7" s="175">
        <f>SUM(D7/D4/F4)</f>
        <v>292.85714285714283</v>
      </c>
      <c r="F7" s="175">
        <f>SUM(E7*F4)</f>
        <v>8200</v>
      </c>
      <c r="G7" s="422">
        <v>8200</v>
      </c>
      <c r="H7" s="179">
        <v>8200</v>
      </c>
      <c r="I7" s="175">
        <f>'[9]Budget 2021'!$I$15</f>
        <v>8701</v>
      </c>
      <c r="J7" s="241"/>
    </row>
    <row r="8" spans="1:11">
      <c r="A8" s="180" t="s">
        <v>327</v>
      </c>
      <c r="B8" s="297">
        <f>tanks!AT37</f>
        <v>18230</v>
      </c>
      <c r="C8" s="414">
        <f>SUM(tanks!AU37)</f>
        <v>0.86099999999999988</v>
      </c>
      <c r="D8" s="181">
        <f>SUM(B8*C8)*D4</f>
        <v>23661765.224999994</v>
      </c>
      <c r="E8" s="182">
        <f>SUM(D8/D4/F4)</f>
        <v>560.57249999999988</v>
      </c>
      <c r="F8" s="182">
        <f>SUM(E8*F4)</f>
        <v>15696.029999999997</v>
      </c>
      <c r="G8" s="174">
        <f>E8*$G$4</f>
        <v>15135.457499999997</v>
      </c>
      <c r="H8" s="179">
        <v>30289.9</v>
      </c>
      <c r="I8" s="182">
        <f>'[9]Budget 2021'!$L$14</f>
        <v>23542.919720430109</v>
      </c>
      <c r="J8" s="241"/>
    </row>
    <row r="9" spans="1:11">
      <c r="A9" s="2" t="s">
        <v>328</v>
      </c>
      <c r="B9" s="298" t="e">
        <f>'B5'!#REF!</f>
        <v>#REF!</v>
      </c>
      <c r="C9" s="295">
        <v>0.7</v>
      </c>
      <c r="D9" s="178" t="e">
        <f>SUM(B9*C9)*D4</f>
        <v>#REF!</v>
      </c>
      <c r="E9" s="179" t="e">
        <f>SUM(C9*B9)/F4</f>
        <v>#REF!</v>
      </c>
      <c r="F9" s="179" t="e">
        <f>SUM(E9*F4)</f>
        <v>#REF!</v>
      </c>
      <c r="G9" s="422" t="e">
        <f>E9*$G$4</f>
        <v>#REF!</v>
      </c>
      <c r="H9" s="179">
        <v>22639</v>
      </c>
      <c r="I9" s="179">
        <v>0</v>
      </c>
      <c r="J9" s="241"/>
    </row>
    <row r="10" spans="1:11">
      <c r="A10" s="171" t="s">
        <v>329</v>
      </c>
      <c r="B10" s="299">
        <f>'EDl log'!AA29</f>
        <v>-1128113</v>
      </c>
      <c r="C10" s="171"/>
      <c r="D10" s="173">
        <f>'EDl log'!AB30</f>
        <v>-139903763</v>
      </c>
      <c r="E10" s="172">
        <f>SUM(D10/D4/F4)</f>
        <v>-3314.4696280502249</v>
      </c>
      <c r="F10" s="172">
        <f>SUM(E10*F4)</f>
        <v>-92805.149585406296</v>
      </c>
      <c r="G10" s="422">
        <f>E10*$G$4</f>
        <v>-89490.679957356071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4" t="e">
        <f>SUM(E6:E11)</f>
        <v>#REF!</v>
      </c>
      <c r="F12" s="170" t="e">
        <f>SUM(F6:F10)</f>
        <v>#REF!</v>
      </c>
      <c r="G12" s="169" t="e">
        <f>SUM(G6:G10)</f>
        <v>#REF!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29">
      <c r="A13" s="3"/>
      <c r="B13" s="166" t="s">
        <v>321</v>
      </c>
      <c r="C13" s="356" t="s">
        <v>330</v>
      </c>
      <c r="D13" s="356" t="s">
        <v>331</v>
      </c>
      <c r="E13" s="356" t="s">
        <v>332</v>
      </c>
      <c r="F13" s="356" t="s">
        <v>333</v>
      </c>
      <c r="G13" s="358"/>
    </row>
    <row r="14" spans="1:11">
      <c r="A14" s="379" t="s">
        <v>334</v>
      </c>
      <c r="B14" s="93">
        <f>'Degree Days 2023'!K81</f>
        <v>0</v>
      </c>
      <c r="C14" s="93">
        <v>0</v>
      </c>
      <c r="D14" s="161"/>
      <c r="E14" s="368">
        <f>'[10]Utility Cost '!F14</f>
        <v>0</v>
      </c>
      <c r="F14" s="3">
        <v>0</v>
      </c>
      <c r="G14" s="358"/>
      <c r="H14" s="359" t="e">
        <f>SUM(G12-H12)</f>
        <v>#REF!</v>
      </c>
      <c r="I14" s="359" t="e">
        <f>SUM(G12-I12)</f>
        <v>#REF!</v>
      </c>
    </row>
    <row r="15" spans="1:11">
      <c r="A15" s="379" t="s">
        <v>335</v>
      </c>
      <c r="B15" s="93">
        <f>'Degree Days 2023'!J81</f>
        <v>-549.00000000000011</v>
      </c>
      <c r="C15" s="93">
        <v>-549.00000000000011</v>
      </c>
      <c r="D15" s="161"/>
      <c r="E15" s="368">
        <f>'[10]Utility Cost '!F15</f>
        <v>0</v>
      </c>
      <c r="F15" s="3">
        <v>0</v>
      </c>
      <c r="G15" s="358"/>
    </row>
    <row r="16" spans="1:11">
      <c r="A16" s="379" t="s">
        <v>336</v>
      </c>
      <c r="B16" s="456">
        <f>'General information '!D37</f>
        <v>32.166666666666664</v>
      </c>
      <c r="C16" s="456">
        <v>21.818181818181817</v>
      </c>
      <c r="D16" s="367"/>
      <c r="E16" s="368">
        <f>'[10]Utility Cost '!F16</f>
        <v>0</v>
      </c>
      <c r="F16" s="36">
        <v>0</v>
      </c>
      <c r="G16" s="358"/>
    </row>
    <row r="17" spans="1:6">
      <c r="A17" s="379" t="s">
        <v>226</v>
      </c>
      <c r="B17" s="432">
        <f>'General information '!F36</f>
        <v>0</v>
      </c>
      <c r="C17" s="432">
        <v>0</v>
      </c>
      <c r="D17" s="405">
        <v>0</v>
      </c>
      <c r="E17" s="368">
        <f>'[10]Utility Cost '!F17</f>
        <v>0</v>
      </c>
      <c r="F17" s="434">
        <f>B17-D17</f>
        <v>0</v>
      </c>
    </row>
    <row r="18" spans="1:6">
      <c r="A18" s="431" t="s">
        <v>337</v>
      </c>
      <c r="B18" s="433">
        <f>GEN!Z34</f>
        <v>185</v>
      </c>
      <c r="C18" s="433">
        <v>201</v>
      </c>
      <c r="D18" s="366">
        <f>'[11]Other Fuel Calculation 2021'!$G$116</f>
        <v>202.66666666666666</v>
      </c>
      <c r="E18" s="368">
        <f>'[10]Utility Cost '!F18</f>
        <v>276.33333333333337</v>
      </c>
      <c r="F18" s="435">
        <f>B18-D18</f>
        <v>-17.666666666666657</v>
      </c>
    </row>
    <row r="19" spans="1:6">
      <c r="A19" s="431" t="s">
        <v>338</v>
      </c>
      <c r="B19" s="433">
        <f>GEN!AL34</f>
        <v>18</v>
      </c>
      <c r="C19" s="433">
        <v>19</v>
      </c>
      <c r="D19" s="366"/>
      <c r="E19" s="368"/>
      <c r="F19" s="435"/>
    </row>
    <row r="20" spans="1:6">
      <c r="A20" s="431" t="s">
        <v>339</v>
      </c>
      <c r="B20" s="430">
        <f>B18/B19</f>
        <v>10.277777777777779</v>
      </c>
      <c r="C20" s="430">
        <v>10.578947368421053</v>
      </c>
      <c r="D20" s="78"/>
      <c r="E20" s="368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87" t="s">
        <v>340</v>
      </c>
      <c r="B1" s="188" t="s">
        <v>341</v>
      </c>
      <c r="C1" s="188" t="s">
        <v>342</v>
      </c>
      <c r="D1" s="188" t="s">
        <v>343</v>
      </c>
      <c r="E1" s="188" t="s">
        <v>344</v>
      </c>
      <c r="F1" s="188" t="s">
        <v>345</v>
      </c>
      <c r="G1" s="188" t="s">
        <v>346</v>
      </c>
      <c r="H1" s="188" t="s">
        <v>347</v>
      </c>
      <c r="I1" s="188" t="s">
        <v>125</v>
      </c>
    </row>
    <row r="2" spans="1:9">
      <c r="A2" s="189" t="s">
        <v>348</v>
      </c>
      <c r="B2" s="189" t="s">
        <v>349</v>
      </c>
      <c r="C2" s="189"/>
      <c r="D2" s="189"/>
      <c r="E2" s="189"/>
      <c r="F2" s="189"/>
      <c r="G2" s="189" t="s">
        <v>350</v>
      </c>
      <c r="H2" s="189"/>
      <c r="I2" s="189"/>
    </row>
    <row r="3" spans="1:9">
      <c r="A3" s="190" t="s">
        <v>351</v>
      </c>
      <c r="B3" s="190" t="s">
        <v>352</v>
      </c>
      <c r="C3" s="190"/>
      <c r="D3" s="190"/>
      <c r="E3" s="190"/>
      <c r="F3" s="190"/>
      <c r="G3" s="190" t="s">
        <v>353</v>
      </c>
      <c r="H3" s="190"/>
      <c r="I3" s="190"/>
    </row>
    <row r="4" spans="1:9">
      <c r="A4" s="190" t="s">
        <v>354</v>
      </c>
      <c r="B4" s="190" t="s">
        <v>355</v>
      </c>
      <c r="C4" s="190"/>
      <c r="D4" s="190"/>
      <c r="E4" s="190"/>
      <c r="F4" s="190"/>
      <c r="G4" s="190" t="s">
        <v>356</v>
      </c>
      <c r="H4" s="190"/>
      <c r="I4" s="190"/>
    </row>
    <row r="5" spans="1:9">
      <c r="A5" s="190" t="s">
        <v>357</v>
      </c>
      <c r="B5" s="190" t="s">
        <v>355</v>
      </c>
      <c r="C5" s="190"/>
      <c r="D5" s="190"/>
      <c r="E5" s="190"/>
      <c r="F5" s="190"/>
      <c r="G5" s="190" t="s">
        <v>357</v>
      </c>
      <c r="H5" s="190"/>
      <c r="I5" s="190"/>
    </row>
    <row r="6" spans="1:9" ht="15" thickBot="1">
      <c r="A6" s="191" t="s">
        <v>358</v>
      </c>
      <c r="B6" s="191" t="s">
        <v>355</v>
      </c>
      <c r="C6" s="191"/>
      <c r="D6" s="191"/>
      <c r="E6" s="191"/>
      <c r="F6" s="191"/>
      <c r="G6" s="191" t="s">
        <v>356</v>
      </c>
      <c r="H6" s="191"/>
      <c r="I6" s="191"/>
    </row>
    <row r="7" spans="1:9" ht="15" thickBot="1">
      <c r="A7" s="187" t="s">
        <v>359</v>
      </c>
      <c r="B7" s="188" t="s">
        <v>341</v>
      </c>
      <c r="C7" s="188" t="s">
        <v>342</v>
      </c>
      <c r="D7" s="188" t="s">
        <v>360</v>
      </c>
      <c r="E7" s="188" t="s">
        <v>344</v>
      </c>
      <c r="F7" s="188" t="s">
        <v>361</v>
      </c>
      <c r="G7" s="188"/>
      <c r="H7" s="188"/>
      <c r="I7" s="188"/>
    </row>
    <row r="8" spans="1:9">
      <c r="A8" s="189" t="s">
        <v>362</v>
      </c>
      <c r="B8" s="189" t="s">
        <v>349</v>
      </c>
      <c r="C8" s="189"/>
      <c r="D8" s="189"/>
      <c r="E8" s="189"/>
      <c r="F8" s="189"/>
      <c r="G8" s="1" t="s">
        <v>363</v>
      </c>
      <c r="H8" s="189"/>
      <c r="I8" s="189"/>
    </row>
    <row r="9" spans="1:9">
      <c r="A9" s="190" t="s">
        <v>364</v>
      </c>
      <c r="B9" s="190" t="s">
        <v>365</v>
      </c>
      <c r="C9" s="190"/>
      <c r="D9" s="190"/>
      <c r="E9" s="190"/>
      <c r="F9" s="190"/>
      <c r="G9" s="190" t="s">
        <v>366</v>
      </c>
      <c r="H9" s="190"/>
      <c r="I9" s="190"/>
    </row>
    <row r="10" spans="1:9">
      <c r="A10" s="190" t="s">
        <v>367</v>
      </c>
      <c r="B10" s="190" t="s">
        <v>365</v>
      </c>
      <c r="C10" s="190"/>
      <c r="D10" s="190"/>
      <c r="E10" s="190"/>
      <c r="F10" s="190"/>
      <c r="G10" s="190" t="s">
        <v>368</v>
      </c>
      <c r="H10" s="190"/>
      <c r="I10" s="190"/>
    </row>
    <row r="11" spans="1:9">
      <c r="A11" s="190" t="s">
        <v>369</v>
      </c>
      <c r="B11" s="190" t="s">
        <v>365</v>
      </c>
      <c r="C11" s="190"/>
      <c r="D11" s="190"/>
      <c r="E11" s="190"/>
      <c r="F11" s="190"/>
      <c r="G11" s="190" t="s">
        <v>370</v>
      </c>
      <c r="H11" s="190"/>
      <c r="I11" s="190"/>
    </row>
    <row r="12" spans="1:9">
      <c r="A12" s="190" t="s">
        <v>371</v>
      </c>
      <c r="B12" s="190" t="s">
        <v>372</v>
      </c>
      <c r="C12" s="190"/>
      <c r="D12" s="190"/>
      <c r="E12" s="190"/>
      <c r="F12" s="190"/>
      <c r="G12" s="190" t="s">
        <v>366</v>
      </c>
      <c r="H12" s="190"/>
      <c r="I12" s="190"/>
    </row>
    <row r="13" spans="1:9" ht="15" thickBot="1">
      <c r="A13" s="191" t="s">
        <v>373</v>
      </c>
      <c r="B13" s="191" t="s">
        <v>349</v>
      </c>
      <c r="C13" s="191"/>
      <c r="D13" s="191"/>
      <c r="E13" s="191"/>
      <c r="F13" s="191"/>
      <c r="G13" s="191" t="s">
        <v>374</v>
      </c>
      <c r="H13" s="191"/>
      <c r="I13" s="191"/>
    </row>
    <row r="14" spans="1:9" ht="15" thickBot="1">
      <c r="A14" s="187" t="s">
        <v>375</v>
      </c>
      <c r="B14" s="188" t="s">
        <v>376</v>
      </c>
      <c r="C14" s="188" t="s">
        <v>377</v>
      </c>
      <c r="D14" s="188" t="s">
        <v>378</v>
      </c>
      <c r="E14" s="188" t="s">
        <v>344</v>
      </c>
      <c r="F14" s="188" t="s">
        <v>379</v>
      </c>
      <c r="G14" s="188"/>
      <c r="H14" s="188"/>
      <c r="I14" s="188"/>
    </row>
    <row r="15" spans="1:9">
      <c r="A15" s="189" t="s">
        <v>380</v>
      </c>
      <c r="B15" s="189" t="s">
        <v>349</v>
      </c>
      <c r="C15" s="189"/>
      <c r="D15" s="189"/>
      <c r="E15" s="189"/>
      <c r="F15" s="189"/>
      <c r="G15" s="1" t="s">
        <v>381</v>
      </c>
      <c r="H15" s="189"/>
      <c r="I15" s="189"/>
    </row>
    <row r="16" spans="1:9">
      <c r="A16" s="190" t="s">
        <v>382</v>
      </c>
      <c r="B16" s="190">
        <v>400</v>
      </c>
      <c r="C16" s="190"/>
      <c r="D16" s="190"/>
      <c r="E16" s="190"/>
      <c r="F16" s="190"/>
      <c r="G16" s="190" t="s">
        <v>383</v>
      </c>
      <c r="H16" s="190"/>
      <c r="I16" s="190"/>
    </row>
    <row r="17" spans="1:9">
      <c r="A17" s="190" t="s">
        <v>384</v>
      </c>
      <c r="B17" s="190">
        <v>400</v>
      </c>
      <c r="C17" s="190"/>
      <c r="D17" s="190"/>
      <c r="E17" s="190"/>
      <c r="F17" s="190"/>
      <c r="G17" s="190" t="s">
        <v>385</v>
      </c>
      <c r="H17" s="190"/>
      <c r="I17" s="190"/>
    </row>
    <row r="18" spans="1:9">
      <c r="A18" s="190" t="s">
        <v>386</v>
      </c>
      <c r="B18" s="190">
        <v>400</v>
      </c>
      <c r="C18" s="190"/>
      <c r="D18" s="190"/>
      <c r="E18" s="190"/>
      <c r="F18" s="190"/>
      <c r="G18" s="190" t="s">
        <v>387</v>
      </c>
      <c r="H18" s="190"/>
      <c r="I18" s="190"/>
    </row>
    <row r="19" spans="1:9">
      <c r="A19" s="190" t="s">
        <v>388</v>
      </c>
      <c r="B19" s="190">
        <v>400</v>
      </c>
      <c r="C19" s="190"/>
      <c r="D19" s="190"/>
      <c r="E19" s="190"/>
      <c r="F19" s="190"/>
      <c r="G19" s="1" t="s">
        <v>389</v>
      </c>
      <c r="H19" s="190"/>
      <c r="I19" s="190"/>
    </row>
    <row r="20" spans="1:9">
      <c r="A20" s="190" t="s">
        <v>390</v>
      </c>
      <c r="B20" s="190">
        <v>400</v>
      </c>
      <c r="C20" s="190"/>
      <c r="D20" s="190"/>
      <c r="E20" s="190"/>
      <c r="F20" s="190"/>
      <c r="G20" s="190" t="s">
        <v>391</v>
      </c>
      <c r="H20" s="190"/>
      <c r="I20" s="190"/>
    </row>
    <row r="21" spans="1:9">
      <c r="A21" s="190" t="s">
        <v>392</v>
      </c>
      <c r="B21" s="190">
        <v>800</v>
      </c>
      <c r="C21" s="190"/>
      <c r="D21" s="190"/>
      <c r="E21" s="190"/>
      <c r="F21" s="190"/>
      <c r="G21" s="190" t="s">
        <v>393</v>
      </c>
      <c r="H21" s="190"/>
      <c r="I21" s="190"/>
    </row>
    <row r="22" spans="1:9" ht="15" thickBot="1">
      <c r="A22" s="191" t="s">
        <v>394</v>
      </c>
      <c r="B22" s="191" t="s">
        <v>349</v>
      </c>
      <c r="C22" s="191"/>
      <c r="D22" s="191"/>
      <c r="E22" s="191"/>
      <c r="F22" s="191"/>
      <c r="G22" s="191" t="s">
        <v>374</v>
      </c>
      <c r="H22" s="191"/>
      <c r="I22" s="191"/>
    </row>
    <row r="23" spans="1:9" ht="15" thickBot="1">
      <c r="A23" s="187" t="s">
        <v>395</v>
      </c>
      <c r="B23" s="188" t="s">
        <v>376</v>
      </c>
      <c r="C23" s="188" t="s">
        <v>377</v>
      </c>
      <c r="D23" s="188" t="s">
        <v>378</v>
      </c>
      <c r="E23" s="188" t="s">
        <v>344</v>
      </c>
      <c r="F23" s="188" t="s">
        <v>379</v>
      </c>
      <c r="G23" s="188"/>
      <c r="H23" s="188"/>
      <c r="I23" s="188"/>
    </row>
    <row r="24" spans="1:9">
      <c r="A24" s="189" t="s">
        <v>396</v>
      </c>
      <c r="B24" s="189" t="s">
        <v>349</v>
      </c>
      <c r="C24" s="189"/>
      <c r="D24" s="189"/>
      <c r="E24" s="189"/>
      <c r="F24" s="189"/>
      <c r="G24" s="1" t="s">
        <v>350</v>
      </c>
      <c r="H24" s="189"/>
      <c r="I24" s="189"/>
    </row>
    <row r="25" spans="1:9">
      <c r="A25" s="190" t="s">
        <v>397</v>
      </c>
      <c r="B25" s="190">
        <v>400</v>
      </c>
      <c r="C25" s="190" t="s">
        <v>398</v>
      </c>
      <c r="D25" s="190"/>
      <c r="E25" s="190"/>
      <c r="F25" s="190"/>
      <c r="G25" s="190" t="s">
        <v>399</v>
      </c>
      <c r="H25" s="190"/>
      <c r="I25" s="190"/>
    </row>
    <row r="26" spans="1:9">
      <c r="A26" s="190" t="s">
        <v>400</v>
      </c>
      <c r="B26" s="190">
        <v>400</v>
      </c>
      <c r="C26" s="190" t="s">
        <v>398</v>
      </c>
      <c r="D26" s="190"/>
      <c r="E26" s="190"/>
      <c r="F26" s="190"/>
      <c r="G26" s="190" t="s">
        <v>401</v>
      </c>
      <c r="H26" s="190"/>
      <c r="I26" s="190"/>
    </row>
    <row r="27" spans="1:9">
      <c r="A27" s="190" t="s">
        <v>402</v>
      </c>
      <c r="B27" s="190">
        <v>400</v>
      </c>
      <c r="C27" s="190"/>
      <c r="D27" s="190"/>
      <c r="E27" s="190"/>
      <c r="F27" s="190"/>
      <c r="G27" s="190" t="s">
        <v>403</v>
      </c>
      <c r="H27" s="190"/>
      <c r="I27" s="190"/>
    </row>
    <row r="28" spans="1:9">
      <c r="A28" s="190" t="s">
        <v>404</v>
      </c>
      <c r="B28" s="190">
        <v>1000</v>
      </c>
      <c r="C28" s="190"/>
      <c r="D28" s="190"/>
      <c r="E28" s="190"/>
      <c r="F28" s="190"/>
      <c r="G28" s="190" t="s">
        <v>404</v>
      </c>
      <c r="H28" s="190"/>
      <c r="I28" s="190"/>
    </row>
    <row r="29" spans="1:9" ht="15" thickBot="1">
      <c r="A29" s="344" t="s">
        <v>405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" thickBot="1">
      <c r="A30" s="187" t="s">
        <v>406</v>
      </c>
      <c r="B30" s="188" t="s">
        <v>376</v>
      </c>
      <c r="C30" s="188" t="s">
        <v>377</v>
      </c>
      <c r="D30" s="188" t="s">
        <v>378</v>
      </c>
      <c r="E30" s="188" t="s">
        <v>344</v>
      </c>
      <c r="F30" s="188" t="s">
        <v>379</v>
      </c>
      <c r="G30" s="188"/>
      <c r="H30" s="188"/>
      <c r="I30" s="188"/>
    </row>
    <row r="31" spans="1:9">
      <c r="A31" s="189" t="s">
        <v>34</v>
      </c>
      <c r="B31" s="189" t="s">
        <v>349</v>
      </c>
      <c r="C31" s="189"/>
      <c r="D31" s="189"/>
      <c r="E31" s="189"/>
      <c r="F31" s="189"/>
      <c r="G31" s="1" t="s">
        <v>350</v>
      </c>
      <c r="H31" s="189"/>
      <c r="I31" s="189"/>
    </row>
    <row r="32" spans="1:9">
      <c r="A32" s="190" t="s">
        <v>407</v>
      </c>
      <c r="B32" s="190">
        <v>1000</v>
      </c>
      <c r="C32" s="190"/>
      <c r="D32" s="190"/>
      <c r="E32" s="190"/>
      <c r="F32" s="190"/>
      <c r="G32" s="190" t="s">
        <v>408</v>
      </c>
      <c r="H32" s="190"/>
      <c r="I32" s="190"/>
    </row>
    <row r="33" spans="1:9">
      <c r="A33" s="190" t="s">
        <v>409</v>
      </c>
      <c r="B33" s="190">
        <v>630</v>
      </c>
      <c r="C33" s="190"/>
      <c r="D33" s="190"/>
      <c r="E33" s="190"/>
      <c r="F33" s="190"/>
      <c r="G33" s="190" t="s">
        <v>410</v>
      </c>
      <c r="H33" s="190"/>
      <c r="I33" s="190"/>
    </row>
    <row r="34" spans="1:9">
      <c r="A34" s="190" t="s">
        <v>411</v>
      </c>
      <c r="B34" s="190">
        <v>630</v>
      </c>
      <c r="C34" s="190"/>
      <c r="D34" s="190"/>
      <c r="E34" s="190"/>
      <c r="F34" s="190"/>
      <c r="G34" s="190" t="s">
        <v>412</v>
      </c>
      <c r="H34" s="190"/>
      <c r="I34" s="190"/>
    </row>
    <row r="35" spans="1:9">
      <c r="A35" s="190" t="s">
        <v>413</v>
      </c>
      <c r="B35" s="190">
        <v>630</v>
      </c>
      <c r="C35" s="190"/>
      <c r="D35" s="190"/>
      <c r="E35" s="190"/>
      <c r="F35" s="190"/>
      <c r="G35" s="190" t="s">
        <v>414</v>
      </c>
      <c r="H35" s="190"/>
      <c r="I35" s="190"/>
    </row>
    <row r="36" spans="1:9">
      <c r="A36" s="190" t="s">
        <v>415</v>
      </c>
      <c r="B36" s="190">
        <v>400</v>
      </c>
      <c r="C36" s="190"/>
      <c r="D36" s="190"/>
      <c r="E36" s="190"/>
      <c r="F36" s="190"/>
      <c r="G36" s="190" t="s">
        <v>387</v>
      </c>
      <c r="H36" s="190"/>
      <c r="I36" s="190"/>
    </row>
    <row r="37" spans="1:9">
      <c r="A37" s="191" t="s">
        <v>416</v>
      </c>
      <c r="B37" s="191">
        <v>1000</v>
      </c>
      <c r="C37" s="191"/>
      <c r="D37" s="191"/>
      <c r="E37" s="191"/>
      <c r="F37" s="191"/>
      <c r="G37" s="191" t="s">
        <v>416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F2A82A3-AC79-49A3-AF02-735AF56E1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4A1211-60D8-4124-8B70-61D774B73C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81EA65-C721-4189-A818-9E5C2E92F3C8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1885d109-012e-42b6-a9dd-364c8f09ca7f"/>
    <ds:schemaRef ds:uri="http://schemas.microsoft.com/office/infopath/2007/PartnerControls"/>
    <ds:schemaRef ds:uri="1e86adda-45bd-463c-b99f-bef9c4e0c7b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Submetering</vt:lpstr>
      <vt:lpstr>Total</vt:lpstr>
      <vt:lpstr>ELEC</vt:lpstr>
      <vt:lpstr>B5</vt:lpstr>
      <vt:lpstr>tanks</vt:lpstr>
      <vt:lpstr>WATER</vt:lpstr>
      <vt:lpstr>General information </vt:lpstr>
      <vt:lpstr>GEN</vt:lpstr>
      <vt:lpstr>EDl log</vt:lpstr>
      <vt:lpstr>graphic</vt:lpstr>
      <vt:lpstr>Sheet1</vt:lpstr>
      <vt:lpstr>Report</vt:lpstr>
      <vt:lpstr>Sheet5</vt:lpstr>
      <vt:lpstr>Swimming Pool quality check </vt:lpstr>
      <vt:lpstr>Degree Days 2023</vt:lpstr>
      <vt:lpstr>Utility Cost </vt:lpstr>
      <vt:lpstr>MDB</vt:lpstr>
      <vt:lpstr>Sheet2</vt:lpstr>
      <vt:lpstr>'Degree Days 2023'!Print_Area</vt:lpstr>
      <vt:lpstr>WATER!Print_Area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 AbouSleiman</cp:lastModifiedBy>
  <cp:revision/>
  <dcterms:created xsi:type="dcterms:W3CDTF">2015-01-02T09:20:21Z</dcterms:created>
  <dcterms:modified xsi:type="dcterms:W3CDTF">2023-03-07T11:18:25Z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