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494" documentId="8_{0497B0DD-18C1-40BD-B9FC-449099B2A16A}" xr6:coauthVersionLast="36" xr6:coauthVersionMax="36" xr10:uidLastSave="{382A5542-666E-4E8C-ADDC-2DCD13C20600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4" l="1"/>
  <c r="H27" i="4"/>
  <c r="H28" i="4"/>
  <c r="H29" i="4"/>
  <c r="H30" i="4"/>
  <c r="H31" i="4"/>
  <c r="H25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I25" i="4"/>
  <c r="I26" i="4"/>
  <c r="I27" i="4"/>
  <c r="I28" i="4"/>
  <c r="I29" i="4"/>
  <c r="I30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<sst xmlns="http://schemas.openxmlformats.org/spreadsheetml/2006/main" count="220" uniqueCount="54">
  <si>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</si>
  <si>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</si>
  <si>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</si>
  <si>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</si>
  <si>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</si>
  <si>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</si>
  <si>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</si>
  <si>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</si>
  <si>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</si>
  <si>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</si>
  <si>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</si>
  <si>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</si>
  <si>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</si>
  <si>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</si>
  <si>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</si>
  <si>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</si>
  <si>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</si>
  <si>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</si>
  <si>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</si>
  <si>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</si>
  <si>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</si>
  <si>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</si>
  <si>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</si>
  <si>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</si>
  <si>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</si>
  <si>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</si>
  <si>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</si>
  <si>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</si>
  <si>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</si>
  <si>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</si>
  <si>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</si>
  <si>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</si>
  <si>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</si>
  <si>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</si>
  <si>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</si>
  <si>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</si>
  <si>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</si>
  <si>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</si>
  <si>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</si>
  <si>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</si>
  <si>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</si>
  <si>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</si>
  <si>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</si>
  <si>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</si>
  <si>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</si>
  <si>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</si>
  <si>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</si>
  <si>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</si>
  <si>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</si>
  <si>
    <t>Aung/Sathis/Veeera</t>
  </si>
  <si>
    <t>Ramu/Sathis/Veeera</t>
  </si>
  <si>
    <t>Venkat/Aung</t>
  </si>
  <si>
    <t>Aung/Sathis/Ramu</t>
  </si>
  <si>
    <t>Aung/Parithi/Sathis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</si>
</sst>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opLeftCell="B10" workbookViewId="0">
      <selection activeCell="O22" sqref="N22:O2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13920</v>
      </c>
      <c r="F20" s="10">
        <v>0.2979</v>
      </c>
      <c r="G20" s="13">
        <f>-'Submetering '!J20+'Submetering '!K20</f>
        <v>757</v>
      </c>
      <c r="H20" s="10">
        <v>0.23119999999999999</v>
      </c>
      <c r="I20" s="13">
        <f>'Submetering '!L20+'Submetering '!M20</f>
        <v>139</v>
      </c>
      <c r="J20" s="10">
        <v>2.94</v>
      </c>
      <c r="K20" s="9">
        <v>250</v>
      </c>
      <c r="L20" s="9">
        <v>250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13485</v>
      </c>
      <c r="F21" s="10">
        <v>0.2979</v>
      </c>
      <c r="G21" s="13">
        <f>-'Submetering '!J21+'Submetering '!K21</f>
        <v>755</v>
      </c>
      <c r="H21" s="10">
        <v>0.23119999999999999</v>
      </c>
      <c r="I21" s="13">
        <f>'Submetering '!L21+'Submetering '!M21</f>
        <v>180</v>
      </c>
      <c r="J21" s="10">
        <v>2.94</v>
      </c>
      <c r="K21" s="9">
        <v>253</v>
      </c>
      <c r="L21" s="9">
        <v>253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12315</v>
      </c>
      <c r="F22" s="10">
        <v>0.2979</v>
      </c>
      <c r="G22" s="13">
        <f>-'Submetering '!J22+'Submetering '!K22</f>
        <v>762</v>
      </c>
      <c r="H22" s="10">
        <v>0.23119999999999999</v>
      </c>
      <c r="I22" s="13">
        <f>'Submetering '!L22+'Submetering '!M22</f>
        <v>137</v>
      </c>
      <c r="J22" s="10">
        <v>2.94</v>
      </c>
      <c r="K22" s="9">
        <v>260</v>
      </c>
      <c r="L22" s="9">
        <v>260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12675</v>
      </c>
      <c r="F23" s="10">
        <v>0.2979</v>
      </c>
      <c r="G23" s="13">
        <f>-'Submetering '!J23+'Submetering '!K23</f>
        <v>668</v>
      </c>
      <c r="H23" s="10">
        <v>0.23119999999999999</v>
      </c>
      <c r="I23" s="13">
        <f>'Submetering '!L23+'Submetering '!M23</f>
        <v>129</v>
      </c>
      <c r="J23" s="10">
        <v>2.94</v>
      </c>
      <c r="K23" s="9">
        <v>276</v>
      </c>
      <c r="L23" s="9">
        <v>276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13470</v>
      </c>
      <c r="F24" s="10">
        <v>0.2979</v>
      </c>
      <c r="G24" s="13">
        <f>-'Submetering '!J24+'Submetering '!K24</f>
        <v>773</v>
      </c>
      <c r="H24" s="10">
        <v>0.23119999999999999</v>
      </c>
      <c r="I24" s="13">
        <f>'Submetering '!L24+'Submetering '!M24</f>
        <v>161</v>
      </c>
      <c r="J24" s="10">
        <v>2.94</v>
      </c>
      <c r="K24" s="9">
        <v>288</v>
      </c>
      <c r="L24" s="9">
        <v>288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13860</v>
      </c>
      <c r="F25" s="10">
        <v>0.2979</v>
      </c>
      <c r="G25" s="13">
        <f>-'Submetering '!J25+'Submetering '!K25</f>
        <v>748</v>
      </c>
      <c r="H25" s="10">
        <v>0.23119999999999999</v>
      </c>
      <c r="I25" s="13">
        <f>'Submetering '!L25+'Submetering '!M25</f>
        <v>144</v>
      </c>
      <c r="J25" s="10">
        <v>2.94</v>
      </c>
      <c r="K25" s="9">
        <v>286</v>
      </c>
      <c r="L25" s="9">
        <v>286</v>
      </c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13710</v>
      </c>
      <c r="F26" s="10">
        <v>0.2979</v>
      </c>
      <c r="G26" s="13">
        <f>-'Submetering '!J26+'Submetering '!K26</f>
        <v>737</v>
      </c>
      <c r="H26" s="10">
        <v>0.23119999999999999</v>
      </c>
      <c r="I26" s="13">
        <f>'Submetering '!L26+'Submetering '!M26</f>
        <v>187</v>
      </c>
      <c r="J26" s="10">
        <v>2.94</v>
      </c>
      <c r="K26" s="9">
        <v>290</v>
      </c>
      <c r="L26" s="9">
        <v>290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13845</v>
      </c>
      <c r="F27" s="10">
        <v>0.2979</v>
      </c>
      <c r="G27" s="13">
        <f>-'Submetering '!J27+'Submetering '!K27</f>
        <v>782</v>
      </c>
      <c r="H27" s="10">
        <v>0.23119999999999999</v>
      </c>
      <c r="I27" s="13">
        <f>'Submetering '!L27+'Submetering '!M27</f>
        <v>175</v>
      </c>
      <c r="J27" s="10">
        <v>2.94</v>
      </c>
      <c r="K27" s="9">
        <v>259</v>
      </c>
      <c r="L27" s="9">
        <v>259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14235</v>
      </c>
      <c r="F28" s="10">
        <v>0.2979</v>
      </c>
      <c r="G28" s="13">
        <f>-'Submetering '!J28+'Submetering '!K28</f>
        <v>801</v>
      </c>
      <c r="H28" s="10">
        <v>0.23119999999999999</v>
      </c>
      <c r="I28" s="13">
        <f>'Submetering '!L28+'Submetering '!M28</f>
        <v>179</v>
      </c>
      <c r="J28" s="10">
        <v>2.94</v>
      </c>
      <c r="K28" s="9">
        <v>221</v>
      </c>
      <c r="L28" s="9">
        <v>221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12615</v>
      </c>
      <c r="F29" s="10">
        <v>0.2979</v>
      </c>
      <c r="G29" s="13">
        <f>-'Submetering '!J29+'Submetering '!K29</f>
        <v>845</v>
      </c>
      <c r="H29" s="10">
        <v>0.23119999999999999</v>
      </c>
      <c r="I29" s="13">
        <f>'Submetering '!L29+'Submetering '!M29</f>
        <v>151</v>
      </c>
      <c r="J29" s="10">
        <v>2.94</v>
      </c>
      <c r="K29" s="9">
        <v>202</v>
      </c>
      <c r="L29" s="9">
        <v>202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12705</v>
      </c>
      <c r="F30" s="10">
        <v>0.2979</v>
      </c>
      <c r="G30" s="13">
        <f>-'Submetering '!J30+'Submetering '!K30</f>
        <v>628</v>
      </c>
      <c r="H30" s="10">
        <v>0.23119999999999999</v>
      </c>
      <c r="I30" s="13">
        <f>'Submetering '!L30+'Submetering '!M30</f>
        <v>168</v>
      </c>
      <c r="J30" s="10">
        <v>2.94</v>
      </c>
      <c r="K30" s="9">
        <v>211</v>
      </c>
      <c r="L30" s="9">
        <v>211</v>
      </c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13935</v>
      </c>
      <c r="F31" s="10">
        <v>0.2979</v>
      </c>
      <c r="G31" s="13">
        <f>-'Submetering '!J31+'Submetering '!K31</f>
        <v>745</v>
      </c>
      <c r="H31" s="10">
        <v>0.23119999999999999</v>
      </c>
      <c r="I31" s="13">
        <f>'Submetering '!L31+'Submetering '!M31</f>
        <v>164</v>
      </c>
      <c r="J31" s="10">
        <v>2.94</v>
      </c>
      <c r="K31" s="9">
        <v>233</v>
      </c>
      <c r="L31" s="9">
        <v>233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K4" zoomScale="80" zoomScaleNormal="80" workbookViewId="0">
      <selection activeCell="AA24" sqref="AA24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6150</v>
      </c>
      <c r="F20" s="33">
        <f>(IF((Electrical!C21-Electrical!C20)&lt;0,"0",(Electrical!C21-Electrical!C20)))*15</f>
        <v>3990</v>
      </c>
      <c r="G20" s="33">
        <f>(IF((Electrical!D21-Electrical!D20)&lt;0,"0",(Electrical!D21-Electrical!D20)))*15</f>
        <v>3780</v>
      </c>
      <c r="H20" s="33">
        <f>IF((Electrical!E21-Electrical!E20)&lt;0,"0",(Electrical!E21-Electrical!E20))</f>
        <v>4609</v>
      </c>
      <c r="I20" s="33">
        <f>IF((Electrical!F21-Electrical!F20)&lt;0,"0",(Electrical!F21-Electrical!F20))</f>
        <v>427</v>
      </c>
      <c r="J20" s="33">
        <f>IF((Gas!B21-Gas!B20)&lt;0,"0",(Gas!B21-Gas!B20))</f>
        <v>0</v>
      </c>
      <c r="K20" s="33">
        <f>IF((Gas!C21-Gas!C20)&lt;0,"0",(Gas!C21-Gas!C20))</f>
        <v>757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18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250</v>
      </c>
      <c r="Z20" s="9">
        <v>250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6105</v>
      </c>
      <c r="F21" s="33">
        <f>(IF((Electrical!C22-Electrical!C21)&lt;0,"0",(Electrical!C22-Electrical!C21)))*15</f>
        <v>3690</v>
      </c>
      <c r="G21" s="33">
        <f>(IF((Electrical!D22-Electrical!D21)&lt;0,"0",(Electrical!D22-Electrical!D21)))*15</f>
        <v>3690</v>
      </c>
      <c r="H21" s="33">
        <f>IF((Electrical!E22-Electrical!E21)&lt;0,"0",(Electrical!E22-Electrical!E21))</f>
        <v>4309</v>
      </c>
      <c r="I21" s="33">
        <f>IF((Electrical!F22-Electrical!F21)&lt;0,"0",(Electrical!F22-Electrical!F21))</f>
        <v>475</v>
      </c>
      <c r="J21" s="33">
        <f>IF((Gas!B22-Gas!B21)&lt;0,"0",(Gas!B22-Gas!B21))</f>
        <v>0</v>
      </c>
      <c r="K21" s="33">
        <f>IF((Gas!C22-Gas!C21)&lt;0,"0",(Gas!C22-Gas!C21))</f>
        <v>755</v>
      </c>
      <c r="L21" s="33">
        <f>(IF((Water!B22-Water!B21)&lt;0,"0",(Water!B22-Water!B21)))*10</f>
        <v>160</v>
      </c>
      <c r="M21" s="33">
        <f>IF((Water!C22-Water!C21)&lt;0,"0",(Water!C22-Water!C21))</f>
        <v>20</v>
      </c>
      <c r="N21" s="33">
        <f>IF((Water!D22-Water!D21)&lt;0,"0",(Water!D22-Water!D21))</f>
        <v>0</v>
      </c>
      <c r="O21" s="33">
        <f>IF((Water!E22-Water!E21)&lt;0,"0",(Water!E22-Water!E21))</f>
        <v>18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49</v>
      </c>
      <c r="Y21" s="9">
        <v>253</v>
      </c>
      <c r="Z21" s="9">
        <v>253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5145</v>
      </c>
      <c r="F22" s="33">
        <f>(IF((Electrical!C23-Electrical!C22)&lt;0,"0",(Electrical!C23-Electrical!C22)))*15</f>
        <v>3555</v>
      </c>
      <c r="G22" s="33">
        <f>(IF((Electrical!D23-Electrical!D22)&lt;0,"0",(Electrical!D23-Electrical!D22)))*15</f>
        <v>3615</v>
      </c>
      <c r="H22" s="33">
        <f>IF((Electrical!E23-Electrical!E22)&lt;0,"0",(Electrical!E23-Electrical!E22))</f>
        <v>3880</v>
      </c>
      <c r="I22" s="33">
        <f>IF((Electrical!F23-Electrical!F22)&lt;0,"0",(Electrical!F23-Electrical!F22))</f>
        <v>427</v>
      </c>
      <c r="J22" s="33">
        <f>IF((Gas!B23-Gas!B22)&lt;0,"0",(Gas!B23-Gas!B22))</f>
        <v>0</v>
      </c>
      <c r="K22" s="33">
        <f>IF((Gas!C23-Gas!C22)&lt;0,"0",(Gas!C23-Gas!C22))</f>
        <v>762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31</v>
      </c>
      <c r="Y22" s="9">
        <v>260</v>
      </c>
      <c r="Z22" s="9">
        <v>260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5535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3540</v>
      </c>
      <c r="H23" s="33">
        <f>IF((Electrical!E24-Electrical!E23)&lt;0,"0",(Electrical!E24-Electrical!E23))</f>
        <v>4099</v>
      </c>
      <c r="I23" s="33">
        <f>IF((Electrical!F24-Electrical!F23)&lt;0,"0",(Electrical!F24-Electrical!F23))</f>
        <v>440</v>
      </c>
      <c r="J23" s="33">
        <f>IF((Gas!B24-Gas!B23)&lt;0,"0",(Gas!B24-Gas!B23))</f>
        <v>0</v>
      </c>
      <c r="K23" s="33">
        <f>IF((Gas!C24-Gas!C23)&lt;0,"0",(Gas!C24-Gas!C23))</f>
        <v>668</v>
      </c>
      <c r="L23" s="33">
        <f>(IF((Water!B24-Water!B23)&lt;0,"0",(Water!B24-Water!B23)))*10</f>
        <v>110</v>
      </c>
      <c r="M23" s="33">
        <f>IF((Water!C24-Water!C23)&lt;0,"0",(Water!C24-Water!C23))</f>
        <v>19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33</v>
      </c>
      <c r="Y23" s="9">
        <v>276</v>
      </c>
      <c r="Z23" s="9">
        <v>276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6210</v>
      </c>
      <c r="F24" s="33">
        <f>(IF((Electrical!C25-Electrical!C24)&lt;0,"0",(Electrical!C25-Electrical!C24)))*15</f>
        <v>3705</v>
      </c>
      <c r="G24" s="33">
        <f>(IF((Electrical!D25-Electrical!D24)&lt;0,"0",(Electrical!D25-Electrical!D24)))*15</f>
        <v>3555</v>
      </c>
      <c r="H24" s="33">
        <f>IF((Electrical!E25-Electrical!E24)&lt;0,"0",(Electrical!E25-Electrical!E24))</f>
        <v>4542</v>
      </c>
      <c r="I24" s="33">
        <f>IF((Electrical!F25-Electrical!F24)&lt;0,"0",(Electrical!F25-Electrical!F24))</f>
        <v>430</v>
      </c>
      <c r="J24" s="33">
        <f>IF((Gas!B25-Gas!B24)&lt;0,"0",(Gas!B25-Gas!B24))</f>
        <v>0</v>
      </c>
      <c r="K24" s="33">
        <f>IF((Gas!C25-Gas!C24)&lt;0,"0",(Gas!C25-Gas!C24))</f>
        <v>773</v>
      </c>
      <c r="L24" s="33">
        <f>(IF((Water!B25-Water!B24)&lt;0,"0",(Water!B25-Water!B24)))*10</f>
        <v>140</v>
      </c>
      <c r="M24" s="33">
        <f>IF((Water!C25-Water!C24)&lt;0,"0",(Water!C25-Water!C24))</f>
        <v>21</v>
      </c>
      <c r="N24" s="33">
        <f>IF((Water!D25-Water!D24)&lt;0,"0",(Water!D25-Water!D24))</f>
        <v>0</v>
      </c>
      <c r="O24" s="33">
        <f>IF((Water!E25-Water!E24)&lt;0,"0",(Water!E25-Water!E24))</f>
        <v>18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49</v>
      </c>
      <c r="Y24" s="9">
        <v>288</v>
      </c>
      <c r="Z24" s="9">
        <v>288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6180</v>
      </c>
      <c r="F25" s="33">
        <f>(IF((Electrical!C26-Electrical!C25)&lt;0,"0",(Electrical!C26-Electrical!C25)))*15</f>
        <v>3855</v>
      </c>
      <c r="G25" s="33">
        <f>(IF((Electrical!D26-Electrical!D25)&lt;0,"0",(Electrical!D26-Electrical!D25)))*15</f>
        <v>3825</v>
      </c>
      <c r="H25" s="33">
        <f>IF((Electrical!E26-Electrical!E25)&lt;0,"0",(Electrical!E26-Electrical!E25))</f>
        <v>4586</v>
      </c>
      <c r="I25" s="33">
        <f>IF((Electrical!F26-Electrical!F25)&lt;0,"0",(Electrical!F26-Electrical!F25))</f>
        <v>426</v>
      </c>
      <c r="J25" s="33">
        <f>IF((Gas!B26-Gas!B25)&lt;0,"0",(Gas!B26-Gas!B25))</f>
        <v>0</v>
      </c>
      <c r="K25" s="33">
        <f>IF((Gas!C26-Gas!C25)&lt;0,"0",(Gas!C26-Gas!C25))</f>
        <v>748</v>
      </c>
      <c r="L25" s="33">
        <f>(IF((Water!B26-Water!B25)&lt;0,"0",(Water!B26-Water!B25)))*10</f>
        <v>120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31</v>
      </c>
      <c r="Y25" s="9">
        <v>286</v>
      </c>
      <c r="Z25" s="9">
        <v>286</v>
      </c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6285</v>
      </c>
      <c r="F26" s="33">
        <f>(IF((Electrical!C27-Electrical!C26)&lt;0,"0",(Electrical!C27-Electrical!C26)))*15</f>
        <v>3885</v>
      </c>
      <c r="G26" s="33">
        <f>(IF((Electrical!D27-Electrical!D26)&lt;0,"0",(Electrical!D27-Electrical!D26)))*15</f>
        <v>3540</v>
      </c>
      <c r="H26" s="33">
        <f>IF((Electrical!E27-Electrical!E26)&lt;0,"0",(Electrical!E27-Electrical!E26))</f>
        <v>4615</v>
      </c>
      <c r="I26" s="33">
        <f>IF((Electrical!F27-Electrical!F26)&lt;0,"0",(Electrical!F27-Electrical!F26))</f>
        <v>411</v>
      </c>
      <c r="J26" s="33">
        <f>IF((Gas!B27-Gas!B26)&lt;0,"0",(Gas!B27-Gas!B26))</f>
        <v>0</v>
      </c>
      <c r="K26" s="33">
        <f>IF((Gas!C27-Gas!C26)&lt;0,"0",(Gas!C27-Gas!C26))</f>
        <v>737</v>
      </c>
      <c r="L26" s="33">
        <f>(IF((Water!B27-Water!B26)&lt;0,"0",(Water!B27-Water!B26)))*10</f>
        <v>160</v>
      </c>
      <c r="M26" s="33">
        <f>IF((Water!C27-Water!C26)&lt;0,"0",(Water!C27-Water!C26))</f>
        <v>27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49</v>
      </c>
      <c r="Y26" s="9">
        <v>290</v>
      </c>
      <c r="Z26" s="9">
        <v>290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6345</v>
      </c>
      <c r="F27" s="33">
        <f>(IF((Electrical!C28-Electrical!C27)&lt;0,"0",(Electrical!C28-Electrical!C27)))*15</f>
        <v>3750</v>
      </c>
      <c r="G27" s="33">
        <f>(IF((Electrical!D28-Electrical!D27)&lt;0,"0",(Electrical!D28-Electrical!D27)))*15</f>
        <v>3750</v>
      </c>
      <c r="H27" s="33">
        <f>IF((Electrical!E28-Electrical!E27)&lt;0,"0",(Electrical!E28-Electrical!E27))</f>
        <v>4527</v>
      </c>
      <c r="I27" s="33">
        <f>IF((Electrical!F28-Electrical!F27)&lt;0,"0",(Electrical!F28-Electrical!F27))</f>
        <v>436</v>
      </c>
      <c r="J27" s="33">
        <f>IF((Gas!B28-Gas!B27)&lt;0,"0",(Gas!B28-Gas!B27))</f>
        <v>0</v>
      </c>
      <c r="K27" s="33">
        <f>IF((Gas!C28-Gas!C27)&lt;0,"0",(Gas!C28-Gas!C27))</f>
        <v>782</v>
      </c>
      <c r="L27" s="33">
        <f>(IF((Water!B28-Water!B27)&lt;0,"0",(Water!B28-Water!B27)))*10</f>
        <v>150</v>
      </c>
      <c r="M27" s="33">
        <f>IF((Water!C28-Water!C27)&lt;0,"0",(Water!C28-Water!C27))</f>
        <v>25</v>
      </c>
      <c r="N27" s="33">
        <f>IF((Water!D28-Water!D27)&lt;0,"0",(Water!D28-Water!D27))</f>
        <v>0</v>
      </c>
      <c r="O27" s="33">
        <f>IF((Water!E28-Water!E27)&lt;0,"0",(Water!E28-Water!E27))</f>
        <v>18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2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48</v>
      </c>
      <c r="Y27" s="9">
        <v>259</v>
      </c>
      <c r="Z27" s="9">
        <v>259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6420</v>
      </c>
      <c r="F28" s="33">
        <f>(IF((Electrical!C29-Electrical!C28)&lt;0,"0",(Electrical!C29-Electrical!C28)))*15</f>
        <v>4020</v>
      </c>
      <c r="G28" s="33">
        <f>(IF((Electrical!D29-Electrical!D28)&lt;0,"0",(Electrical!D29-Electrical!D28)))*15</f>
        <v>3795</v>
      </c>
      <c r="H28" s="33">
        <f>IF((Electrical!E29-Electrical!E28)&lt;0,"0",(Electrical!E29-Electrical!E28))</f>
        <v>4702</v>
      </c>
      <c r="I28" s="33">
        <f>IF((Electrical!F29-Electrical!F28)&lt;0,"0",(Electrical!F29-Electrical!F28))</f>
        <v>428</v>
      </c>
      <c r="J28" s="33">
        <f>IF((Gas!B29-Gas!B28)&lt;0,"0",(Gas!B29-Gas!B28))</f>
        <v>0</v>
      </c>
      <c r="K28" s="33">
        <f>IF((Gas!C29-Gas!C28)&lt;0,"0",(Gas!C29-Gas!C28))</f>
        <v>801</v>
      </c>
      <c r="L28" s="33">
        <f>(IF((Water!B29-Water!B28)&lt;0,"0",(Water!B29-Water!B28)))*10</f>
        <v>150</v>
      </c>
      <c r="M28" s="33">
        <f>IF((Water!C29-Water!C28)&lt;0,"0",(Water!C29-Water!C28))</f>
        <v>29</v>
      </c>
      <c r="N28" s="33">
        <f>IF((Water!D29-Water!D28)&lt;0,"0",(Water!D29-Water!D28))</f>
        <v>0</v>
      </c>
      <c r="O28" s="33">
        <f>IF((Water!E29-Water!E28)&lt;0,"0",(Water!E29-Water!E28))</f>
        <v>15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110</v>
      </c>
      <c r="Y28" s="9">
        <v>221</v>
      </c>
      <c r="Z28" s="9">
        <v>221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5370</v>
      </c>
      <c r="F29" s="33">
        <f>(IF((Electrical!C30-Electrical!C29)&lt;0,"0",(Electrical!C30-Electrical!C29)))*15</f>
        <v>3630</v>
      </c>
      <c r="G29" s="33">
        <f>(IF((Electrical!D30-Electrical!D29)&lt;0,"0",(Electrical!D30-Electrical!D29)))*15</f>
        <v>3615</v>
      </c>
      <c r="H29" s="33">
        <f>IF((Electrical!E30-Electrical!E29)&lt;0,"0",(Electrical!E30-Electrical!E29))</f>
        <v>4187</v>
      </c>
      <c r="I29" s="33">
        <f>IF((Electrical!F30-Electrical!F29)&lt;0,"0",(Electrical!F30-Electrical!F29))</f>
        <v>385</v>
      </c>
      <c r="J29" s="33">
        <f>IF((Gas!B30-Gas!B29)&lt;0,"0",(Gas!B30-Gas!B29))</f>
        <v>0</v>
      </c>
      <c r="K29" s="33">
        <f>IF((Gas!C30-Gas!C29)&lt;0,"0",(Gas!C30-Gas!C29))</f>
        <v>845</v>
      </c>
      <c r="L29" s="33">
        <f>(IF((Water!B30-Water!B29)&lt;0,"0",(Water!B30-Water!B29)))*10</f>
        <v>130</v>
      </c>
      <c r="M29" s="33">
        <f>IF((Water!C30-Water!C29)&lt;0,"0",(Water!C30-Water!C29))</f>
        <v>21</v>
      </c>
      <c r="N29" s="33">
        <f>IF((Water!D30-Water!D29)&lt;0,"0",(Water!D30-Water!D29))</f>
        <v>0</v>
      </c>
      <c r="O29" s="33">
        <f>IF((Water!E30-Water!E29)&lt;0,"0",(Water!E30-Water!E29))</f>
        <v>16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 t="str">
        <f>IF((Water!N30-Water!N29)&lt;0,"0",(Water!N30-Water!N29))</f>
        <v>0</v>
      </c>
      <c r="Y29" s="9">
        <v>202</v>
      </c>
      <c r="Z29" s="9">
        <v>202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5580</v>
      </c>
      <c r="F30" s="33">
        <f>(IF((Electrical!C31-Electrical!C30)&lt;0,"0",(Electrical!C31-Electrical!C30)))*15</f>
        <v>3555</v>
      </c>
      <c r="G30" s="33">
        <f>(IF((Electrical!D31-Electrical!D30)&lt;0,"0",(Electrical!D31-Electrical!D30)))*15</f>
        <v>3570</v>
      </c>
      <c r="H30" s="33">
        <f>IF((Electrical!E31-Electrical!E30)&lt;0,"0",(Electrical!E31-Electrical!E30))</f>
        <v>4347</v>
      </c>
      <c r="I30" s="33">
        <f>IF((Electrical!F31-Electrical!F30)&lt;0,"0",(Electrical!F31-Electrical!F30))</f>
        <v>417</v>
      </c>
      <c r="J30" s="33">
        <f>IF((Gas!B31-Gas!B30)&lt;0,"0",(Gas!B31-Gas!B30))</f>
        <v>0</v>
      </c>
      <c r="K30" s="33">
        <f>IF((Gas!C31-Gas!C30)&lt;0,"0",(Gas!C31-Gas!C30))</f>
        <v>628</v>
      </c>
      <c r="L30" s="33">
        <f>(IF((Water!B31-Water!B30)&lt;0,"0",(Water!B31-Water!B30)))*10</f>
        <v>140</v>
      </c>
      <c r="M30" s="33">
        <f>IF((Water!C31-Water!C30)&lt;0,"0",(Water!C31-Water!C30))</f>
        <v>28</v>
      </c>
      <c r="N30" s="33">
        <f>IF((Water!D31-Water!D30)&lt;0,"0",(Water!D31-Water!D30))</f>
        <v>0</v>
      </c>
      <c r="O30" s="33">
        <f>IF((Water!E31-Water!E30)&lt;0,"0",(Water!E31-Water!E30))</f>
        <v>13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8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48</v>
      </c>
      <c r="Y30" s="9">
        <v>211</v>
      </c>
      <c r="Z30" s="9">
        <v>211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6210</v>
      </c>
      <c r="F31" s="33">
        <f>(IF((Electrical!C32-Electrical!C31)&lt;0,"0",(Electrical!C32-Electrical!C31)))*15</f>
        <v>4080</v>
      </c>
      <c r="G31" s="33">
        <f>(IF((Electrical!D32-Electrical!D31)&lt;0,"0",(Electrical!D32-Electrical!D31)))*15</f>
        <v>3645</v>
      </c>
      <c r="H31" s="33">
        <f>IF((Electrical!E32-Electrical!E31)&lt;0,"0",(Electrical!E32-Electrical!E31))</f>
        <v>4594</v>
      </c>
      <c r="I31" s="33">
        <f>IF((Electrical!F32-Electrical!F31)&lt;0,"0",(Electrical!F32-Electrical!F31))</f>
        <v>396</v>
      </c>
      <c r="J31" s="33">
        <f>IF((Gas!B32-Gas!B31)&lt;0,"0",(Gas!B32-Gas!B31))</f>
        <v>0</v>
      </c>
      <c r="K31" s="33">
        <f>IF((Gas!C32-Gas!C31)&lt;0,"0",(Gas!C32-Gas!C31))</f>
        <v>745</v>
      </c>
      <c r="L31" s="33">
        <f>(IF((Water!B32-Water!B31)&lt;0,"0",(Water!B32-Water!B31)))*10</f>
        <v>140</v>
      </c>
      <c r="M31" s="33">
        <f>IF((Water!C32-Water!C31)&lt;0,"0",(Water!C32-Water!C31))</f>
        <v>24</v>
      </c>
      <c r="N31" s="33">
        <f>IF((Water!D32-Water!D31)&lt;0,"0",(Water!D32-Water!D31))</f>
        <v>0</v>
      </c>
      <c r="O31" s="33">
        <f>IF((Water!E32-Water!E31)&lt;0,"0",(Water!E32-Water!E31))</f>
        <v>14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1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50</v>
      </c>
      <c r="Y31" s="9">
        <v>233</v>
      </c>
      <c r="Z31" s="9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opLeftCell="A4" zoomScale="70" zoomScaleNormal="70" workbookViewId="0">
      <selection activeCell="F32" sqref="F3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>
        <v>136791</v>
      </c>
      <c r="C21" s="28">
        <v>99197</v>
      </c>
      <c r="D21" s="45">
        <v>100852</v>
      </c>
      <c r="E21" s="45">
        <v>1423351</v>
      </c>
      <c r="F21" s="45">
        <v>160011</v>
      </c>
      <c r="G21" s="5" t="s">
        <v>49</v>
      </c>
    </row>
    <row r="22" spans="1:7" x14ac:dyDescent="0.35">
      <c r="A22" s="7">
        <v>20</v>
      </c>
      <c r="B22" s="28">
        <v>137198</v>
      </c>
      <c r="C22" s="28">
        <v>99443</v>
      </c>
      <c r="D22" s="45">
        <v>101098</v>
      </c>
      <c r="E22" s="45">
        <v>1427660</v>
      </c>
      <c r="F22" s="45">
        <v>160486</v>
      </c>
      <c r="G22" s="5" t="s">
        <v>49</v>
      </c>
    </row>
    <row r="23" spans="1:7" x14ac:dyDescent="0.35">
      <c r="A23" s="7">
        <v>21</v>
      </c>
      <c r="B23" s="28">
        <v>137541</v>
      </c>
      <c r="C23" s="28">
        <v>99680</v>
      </c>
      <c r="D23" s="45">
        <v>101339</v>
      </c>
      <c r="E23" s="45">
        <v>1431540</v>
      </c>
      <c r="F23" s="45">
        <v>160913</v>
      </c>
      <c r="G23" s="5" t="s">
        <v>50</v>
      </c>
    </row>
    <row r="24" spans="1:7" x14ac:dyDescent="0.35">
      <c r="A24" s="7">
        <v>22</v>
      </c>
      <c r="B24" s="28">
        <v>137910</v>
      </c>
      <c r="C24" s="28">
        <v>99920</v>
      </c>
      <c r="D24" s="45">
        <v>101575</v>
      </c>
      <c r="E24" s="45">
        <v>1435639</v>
      </c>
      <c r="F24" s="45">
        <v>161353</v>
      </c>
      <c r="G24" s="5" t="s">
        <v>47</v>
      </c>
    </row>
    <row r="25" spans="1:7" x14ac:dyDescent="0.35">
      <c r="A25" s="7">
        <v>23</v>
      </c>
      <c r="B25" s="28">
        <v>138324</v>
      </c>
      <c r="C25" s="28">
        <v>100167</v>
      </c>
      <c r="D25" s="45">
        <v>101812</v>
      </c>
      <c r="E25" s="45">
        <v>1440181</v>
      </c>
      <c r="F25" s="45">
        <v>161783</v>
      </c>
      <c r="G25" s="5" t="s">
        <v>47</v>
      </c>
    </row>
    <row r="26" spans="1:7" x14ac:dyDescent="0.35">
      <c r="A26" s="7">
        <v>24</v>
      </c>
      <c r="B26" s="28">
        <v>138736</v>
      </c>
      <c r="C26" s="28">
        <v>100424</v>
      </c>
      <c r="D26" s="49">
        <v>102067</v>
      </c>
      <c r="E26" s="26">
        <v>1444767</v>
      </c>
      <c r="F26" s="45">
        <v>162209</v>
      </c>
      <c r="G26" s="5" t="s">
        <v>51</v>
      </c>
    </row>
    <row r="27" spans="1:7" x14ac:dyDescent="0.35">
      <c r="A27" s="7">
        <v>25</v>
      </c>
      <c r="B27" s="28">
        <v>139155</v>
      </c>
      <c r="C27" s="28">
        <v>100683</v>
      </c>
      <c r="D27" s="45">
        <v>102303</v>
      </c>
      <c r="E27" s="45">
        <v>1449382</v>
      </c>
      <c r="F27" s="45">
        <v>162620</v>
      </c>
      <c r="G27" s="27" t="s">
        <v>47</v>
      </c>
    </row>
    <row r="28" spans="1:7" x14ac:dyDescent="0.35">
      <c r="A28" s="7">
        <v>26</v>
      </c>
      <c r="B28" s="28">
        <v>139578</v>
      </c>
      <c r="C28" s="28">
        <v>100933</v>
      </c>
      <c r="D28" s="45">
        <v>102553</v>
      </c>
      <c r="E28" s="45">
        <v>1453909</v>
      </c>
      <c r="F28" s="45">
        <v>163056</v>
      </c>
      <c r="G28" s="27" t="s">
        <v>47</v>
      </c>
    </row>
    <row r="29" spans="1:7" x14ac:dyDescent="0.35">
      <c r="A29" s="7">
        <v>27</v>
      </c>
      <c r="B29" s="28">
        <v>140006</v>
      </c>
      <c r="C29" s="28">
        <v>101201</v>
      </c>
      <c r="D29" s="45">
        <v>102806</v>
      </c>
      <c r="E29" s="45">
        <v>1458611</v>
      </c>
      <c r="F29" s="45">
        <v>163484</v>
      </c>
      <c r="G29" s="5" t="s">
        <v>52</v>
      </c>
    </row>
    <row r="30" spans="1:7" x14ac:dyDescent="0.35">
      <c r="A30" s="7">
        <v>28</v>
      </c>
      <c r="B30" s="28">
        <v>140364</v>
      </c>
      <c r="C30" s="28">
        <v>101443</v>
      </c>
      <c r="D30" s="45">
        <v>103047</v>
      </c>
      <c r="E30" s="45">
        <v>1462798</v>
      </c>
      <c r="F30" s="45">
        <v>163869</v>
      </c>
      <c r="G30" s="5" t="s">
        <v>53</v>
      </c>
    </row>
    <row r="31" spans="1:7" x14ac:dyDescent="0.35">
      <c r="A31" s="7">
        <v>29</v>
      </c>
      <c r="B31" s="28">
        <v>140736</v>
      </c>
      <c r="C31" s="28">
        <v>101680</v>
      </c>
      <c r="D31" s="45">
        <v>103285</v>
      </c>
      <c r="E31" s="45">
        <v>1467145</v>
      </c>
      <c r="F31" s="45">
        <v>164286</v>
      </c>
      <c r="G31" s="5" t="s">
        <v>42</v>
      </c>
    </row>
    <row r="32" spans="1:7" x14ac:dyDescent="0.35">
      <c r="A32" s="7">
        <v>30</v>
      </c>
      <c r="B32" s="28">
        <v>141150</v>
      </c>
      <c r="C32" s="28">
        <v>101952</v>
      </c>
      <c r="D32" s="45">
        <v>103528</v>
      </c>
      <c r="E32" s="45">
        <v>1471739</v>
      </c>
      <c r="F32" s="45">
        <v>164682</v>
      </c>
      <c r="G32" s="5" t="s">
        <v>41</v>
      </c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topLeftCell="A4" zoomScale="85" zoomScaleNormal="85" workbookViewId="0">
      <selection activeCell="H25" sqref="H25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>
        <v>241328</v>
      </c>
      <c r="D21" s="5" t="s">
        <v>49</v>
      </c>
    </row>
    <row r="22" spans="1:4" x14ac:dyDescent="0.35">
      <c r="A22" s="4">
        <v>20</v>
      </c>
      <c r="B22" s="5">
        <v>0</v>
      </c>
      <c r="C22" s="5">
        <v>242083</v>
      </c>
      <c r="D22" s="5" t="s">
        <v>49</v>
      </c>
    </row>
    <row r="23" spans="1:4" x14ac:dyDescent="0.35">
      <c r="A23" s="4">
        <v>21</v>
      </c>
      <c r="B23" s="5">
        <v>0</v>
      </c>
      <c r="C23" s="5">
        <v>242845</v>
      </c>
      <c r="D23" s="5" t="s">
        <v>50</v>
      </c>
    </row>
    <row r="24" spans="1:4" x14ac:dyDescent="0.35">
      <c r="A24" s="4">
        <v>22</v>
      </c>
      <c r="B24" s="5">
        <v>0</v>
      </c>
      <c r="C24" s="5">
        <v>243513</v>
      </c>
      <c r="D24" s="5" t="s">
        <v>47</v>
      </c>
    </row>
    <row r="25" spans="1:4" x14ac:dyDescent="0.35">
      <c r="A25" s="4">
        <v>23</v>
      </c>
      <c r="B25" s="5">
        <v>0</v>
      </c>
      <c r="C25" s="5">
        <v>244286</v>
      </c>
      <c r="D25" s="5" t="s">
        <v>47</v>
      </c>
    </row>
    <row r="26" spans="1:4" x14ac:dyDescent="0.35">
      <c r="A26" s="4">
        <v>24</v>
      </c>
      <c r="B26" s="5">
        <v>0</v>
      </c>
      <c r="C26" s="5">
        <v>245034</v>
      </c>
      <c r="D26" s="5" t="s">
        <v>51</v>
      </c>
    </row>
    <row r="27" spans="1:4" ht="15.5" x14ac:dyDescent="0.35">
      <c r="A27" s="4">
        <v>25</v>
      </c>
      <c r="B27" s="5">
        <v>0</v>
      </c>
      <c r="C27" s="5">
        <v>245771</v>
      </c>
      <c r="D27" s="27" t="s">
        <v>47</v>
      </c>
    </row>
    <row r="28" spans="1:4" ht="15.5" x14ac:dyDescent="0.35">
      <c r="A28" s="4">
        <v>26</v>
      </c>
      <c r="B28" s="5">
        <v>0</v>
      </c>
      <c r="C28" s="5">
        <v>246553</v>
      </c>
      <c r="D28" s="27" t="s">
        <v>47</v>
      </c>
    </row>
    <row r="29" spans="1:4" x14ac:dyDescent="0.35">
      <c r="A29" s="4">
        <v>27</v>
      </c>
      <c r="B29" s="5">
        <v>0</v>
      </c>
      <c r="C29" s="5">
        <v>247354</v>
      </c>
      <c r="D29" s="5" t="s">
        <v>52</v>
      </c>
    </row>
    <row r="30" spans="1:4" x14ac:dyDescent="0.35">
      <c r="A30" s="4">
        <v>28</v>
      </c>
      <c r="B30" s="5">
        <v>0</v>
      </c>
      <c r="C30" s="5">
        <v>248199</v>
      </c>
      <c r="D30" s="5" t="s">
        <v>53</v>
      </c>
    </row>
    <row r="31" spans="1:4" x14ac:dyDescent="0.35">
      <c r="A31" s="4">
        <v>29</v>
      </c>
      <c r="B31" s="5">
        <v>0</v>
      </c>
      <c r="C31" s="5">
        <v>248827</v>
      </c>
      <c r="D31" s="5" t="s">
        <v>42</v>
      </c>
    </row>
    <row r="32" spans="1:4" x14ac:dyDescent="0.35">
      <c r="A32" s="4">
        <v>30</v>
      </c>
      <c r="B32" s="5">
        <v>0</v>
      </c>
      <c r="C32" s="5">
        <v>249572</v>
      </c>
      <c r="D32" s="5" t="s">
        <v>41</v>
      </c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G10" zoomScale="85" zoomScaleNormal="85" workbookViewId="0">
      <selection activeCell="N37" sqref="N3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>
        <v>3939</v>
      </c>
      <c r="C21" s="5">
        <v>11344</v>
      </c>
      <c r="D21" s="5">
        <v>0</v>
      </c>
      <c r="E21" s="5">
        <v>3645</v>
      </c>
      <c r="F21" s="5">
        <v>0</v>
      </c>
      <c r="G21" s="5">
        <v>0</v>
      </c>
      <c r="H21" s="5">
        <v>0</v>
      </c>
      <c r="I21" s="5">
        <v>0</v>
      </c>
      <c r="J21" s="5">
        <v>480</v>
      </c>
      <c r="K21" s="5">
        <v>0</v>
      </c>
      <c r="L21" s="5">
        <v>0</v>
      </c>
      <c r="M21" s="5">
        <v>0</v>
      </c>
      <c r="N21" s="5">
        <v>14079</v>
      </c>
      <c r="O21" s="5" t="s">
        <v>49</v>
      </c>
    </row>
    <row r="22" spans="1:15" x14ac:dyDescent="0.35">
      <c r="A22" s="4">
        <v>20</v>
      </c>
      <c r="B22" s="5">
        <v>3955</v>
      </c>
      <c r="C22" s="5">
        <v>11364</v>
      </c>
      <c r="D22" s="5">
        <v>0</v>
      </c>
      <c r="E22" s="5">
        <v>3663</v>
      </c>
      <c r="F22" s="5">
        <v>0</v>
      </c>
      <c r="G22" s="5">
        <v>0</v>
      </c>
      <c r="H22" s="5">
        <v>0</v>
      </c>
      <c r="I22" s="5">
        <v>0</v>
      </c>
      <c r="J22" s="5">
        <v>480</v>
      </c>
      <c r="K22" s="5">
        <v>0</v>
      </c>
      <c r="L22" s="5">
        <v>0</v>
      </c>
      <c r="M22" s="5">
        <v>0</v>
      </c>
      <c r="N22" s="5">
        <v>14128</v>
      </c>
      <c r="O22" s="5" t="s">
        <v>49</v>
      </c>
    </row>
    <row r="23" spans="1:15" x14ac:dyDescent="0.35">
      <c r="A23" s="4">
        <v>21</v>
      </c>
      <c r="B23" s="5">
        <v>3967</v>
      </c>
      <c r="C23" s="5">
        <v>11381</v>
      </c>
      <c r="D23" s="5">
        <v>0</v>
      </c>
      <c r="E23" s="5">
        <v>3680</v>
      </c>
      <c r="F23" s="5">
        <v>0</v>
      </c>
      <c r="G23" s="5">
        <v>0</v>
      </c>
      <c r="H23" s="5">
        <v>0</v>
      </c>
      <c r="I23" s="5">
        <v>0</v>
      </c>
      <c r="J23" s="5">
        <v>480</v>
      </c>
      <c r="K23" s="5">
        <v>0</v>
      </c>
      <c r="L23" s="5">
        <v>0</v>
      </c>
      <c r="M23" s="5">
        <v>0</v>
      </c>
      <c r="N23" s="5">
        <v>14159</v>
      </c>
      <c r="O23" s="5" t="s">
        <v>50</v>
      </c>
    </row>
    <row r="24" spans="1:15" x14ac:dyDescent="0.35">
      <c r="A24" s="4">
        <v>22</v>
      </c>
      <c r="B24" s="5">
        <v>3978</v>
      </c>
      <c r="C24" s="5">
        <v>11400</v>
      </c>
      <c r="D24" s="5">
        <v>0</v>
      </c>
      <c r="E24" s="5">
        <v>3696</v>
      </c>
      <c r="F24" s="5">
        <v>0</v>
      </c>
      <c r="G24" s="5">
        <v>0</v>
      </c>
      <c r="H24" s="5">
        <v>0</v>
      </c>
      <c r="I24" s="5">
        <v>0</v>
      </c>
      <c r="J24" s="5">
        <v>482</v>
      </c>
      <c r="K24" s="5">
        <v>0</v>
      </c>
      <c r="L24" s="5">
        <v>0</v>
      </c>
      <c r="M24" s="5">
        <v>0</v>
      </c>
      <c r="N24" s="5">
        <v>14192</v>
      </c>
      <c r="O24" s="5" t="s">
        <v>47</v>
      </c>
    </row>
    <row r="25" spans="1:15" x14ac:dyDescent="0.35">
      <c r="A25" s="4">
        <v>23</v>
      </c>
      <c r="B25" s="5">
        <v>3992</v>
      </c>
      <c r="C25" s="5">
        <v>11421</v>
      </c>
      <c r="D25" s="5">
        <v>0</v>
      </c>
      <c r="E25" s="5">
        <v>3714</v>
      </c>
      <c r="F25" s="5">
        <v>0</v>
      </c>
      <c r="G25" s="5">
        <v>0</v>
      </c>
      <c r="H25" s="5">
        <v>0</v>
      </c>
      <c r="I25" s="5">
        <v>0</v>
      </c>
      <c r="J25" s="5">
        <v>483</v>
      </c>
      <c r="K25" s="5">
        <v>0</v>
      </c>
      <c r="L25" s="5">
        <v>0</v>
      </c>
      <c r="M25" s="5">
        <v>0</v>
      </c>
      <c r="N25" s="5">
        <v>14241</v>
      </c>
      <c r="O25" s="5" t="s">
        <v>47</v>
      </c>
    </row>
    <row r="26" spans="1:15" x14ac:dyDescent="0.35">
      <c r="A26" s="4">
        <v>24</v>
      </c>
      <c r="B26" s="5">
        <v>4004</v>
      </c>
      <c r="C26" s="5">
        <v>11445</v>
      </c>
      <c r="D26" s="5">
        <v>0</v>
      </c>
      <c r="E26" s="5">
        <v>3729</v>
      </c>
      <c r="F26" s="5">
        <v>0</v>
      </c>
      <c r="G26" s="5">
        <v>0</v>
      </c>
      <c r="H26" s="5">
        <v>0</v>
      </c>
      <c r="I26" s="5">
        <v>0</v>
      </c>
      <c r="J26" s="5">
        <v>484</v>
      </c>
      <c r="K26" s="5">
        <v>0</v>
      </c>
      <c r="L26" s="5">
        <v>0</v>
      </c>
      <c r="M26" s="5">
        <v>0</v>
      </c>
      <c r="N26" s="5">
        <v>14272</v>
      </c>
      <c r="O26" s="5" t="s">
        <v>51</v>
      </c>
    </row>
    <row r="27" spans="1:15" ht="15.5" x14ac:dyDescent="0.35">
      <c r="A27" s="4">
        <v>25</v>
      </c>
      <c r="B27" s="5">
        <v>4020</v>
      </c>
      <c r="C27" s="5">
        <v>11472</v>
      </c>
      <c r="D27" s="5">
        <v>0</v>
      </c>
      <c r="E27" s="5">
        <v>3745</v>
      </c>
      <c r="F27" s="5">
        <v>0</v>
      </c>
      <c r="G27" s="5">
        <v>0</v>
      </c>
      <c r="H27" s="5">
        <v>0</v>
      </c>
      <c r="I27" s="5">
        <v>0</v>
      </c>
      <c r="J27" s="5">
        <v>495</v>
      </c>
      <c r="K27" s="5">
        <v>0</v>
      </c>
      <c r="L27" s="5">
        <v>0</v>
      </c>
      <c r="M27" s="5">
        <v>0</v>
      </c>
      <c r="N27" s="5">
        <v>14321</v>
      </c>
      <c r="O27" s="27" t="s">
        <v>47</v>
      </c>
    </row>
    <row r="28" spans="1:15" ht="15.5" x14ac:dyDescent="0.35">
      <c r="A28" s="4">
        <v>26</v>
      </c>
      <c r="B28" s="5">
        <v>4035</v>
      </c>
      <c r="C28" s="5">
        <v>11497</v>
      </c>
      <c r="D28" s="5">
        <v>0</v>
      </c>
      <c r="E28" s="5">
        <v>3763</v>
      </c>
      <c r="F28" s="5">
        <v>0</v>
      </c>
      <c r="G28" s="5">
        <v>0</v>
      </c>
      <c r="H28" s="5">
        <v>0</v>
      </c>
      <c r="I28" s="5">
        <v>0</v>
      </c>
      <c r="J28" s="5">
        <v>497</v>
      </c>
      <c r="K28" s="5">
        <v>0</v>
      </c>
      <c r="L28" s="5">
        <v>0</v>
      </c>
      <c r="M28" s="5">
        <v>0</v>
      </c>
      <c r="N28" s="5">
        <v>14369</v>
      </c>
      <c r="O28" s="27" t="s">
        <v>47</v>
      </c>
    </row>
    <row r="29" spans="1:15" x14ac:dyDescent="0.35">
      <c r="A29" s="4">
        <v>27</v>
      </c>
      <c r="B29" s="5">
        <v>4050</v>
      </c>
      <c r="C29" s="5">
        <v>11526</v>
      </c>
      <c r="D29" s="5">
        <v>0</v>
      </c>
      <c r="E29" s="5">
        <v>3778</v>
      </c>
      <c r="F29" s="5">
        <v>0</v>
      </c>
      <c r="G29" s="5">
        <v>0</v>
      </c>
      <c r="H29" s="5">
        <v>0</v>
      </c>
      <c r="I29" s="5">
        <v>0</v>
      </c>
      <c r="J29" s="5">
        <v>498</v>
      </c>
      <c r="K29" s="5">
        <v>0</v>
      </c>
      <c r="L29" s="5">
        <v>0</v>
      </c>
      <c r="M29" s="5">
        <v>0</v>
      </c>
      <c r="N29" s="5">
        <v>14479</v>
      </c>
      <c r="O29" s="5" t="s">
        <v>52</v>
      </c>
    </row>
    <row r="30" spans="1:15" x14ac:dyDescent="0.35">
      <c r="A30" s="4">
        <v>28</v>
      </c>
      <c r="B30" s="5">
        <v>4063</v>
      </c>
      <c r="C30" s="5">
        <v>11547</v>
      </c>
      <c r="D30" s="5">
        <v>0</v>
      </c>
      <c r="E30" s="5">
        <v>3794</v>
      </c>
      <c r="F30" s="5">
        <v>0</v>
      </c>
      <c r="G30" s="5">
        <v>0</v>
      </c>
      <c r="H30" s="5">
        <v>0</v>
      </c>
      <c r="I30" s="5">
        <v>0</v>
      </c>
      <c r="J30" s="5">
        <v>498</v>
      </c>
      <c r="K30" s="5">
        <v>0</v>
      </c>
      <c r="L30" s="5">
        <v>0</v>
      </c>
      <c r="M30" s="5">
        <v>0</v>
      </c>
      <c r="N30" s="5">
        <v>14453</v>
      </c>
      <c r="O30" s="5" t="s">
        <v>53</v>
      </c>
    </row>
    <row r="31" spans="1:15" x14ac:dyDescent="0.35">
      <c r="A31" s="4">
        <v>29</v>
      </c>
      <c r="B31" s="5">
        <v>4077</v>
      </c>
      <c r="C31" s="5">
        <v>11575</v>
      </c>
      <c r="D31" s="5">
        <v>0</v>
      </c>
      <c r="E31" s="5">
        <v>3807</v>
      </c>
      <c r="F31" s="5">
        <v>0</v>
      </c>
      <c r="G31" s="5">
        <v>0</v>
      </c>
      <c r="H31" s="5">
        <v>0</v>
      </c>
      <c r="I31" s="5">
        <v>0</v>
      </c>
      <c r="J31" s="5">
        <v>506</v>
      </c>
      <c r="K31" s="5">
        <v>0</v>
      </c>
      <c r="L31" s="5">
        <v>0</v>
      </c>
      <c r="M31" s="5">
        <v>0</v>
      </c>
      <c r="N31" s="5">
        <v>14501</v>
      </c>
      <c r="O31" s="5" t="s">
        <v>42</v>
      </c>
    </row>
    <row r="32" spans="1:15" x14ac:dyDescent="0.35">
      <c r="A32" s="4">
        <v>30</v>
      </c>
      <c r="B32" s="5">
        <v>4091</v>
      </c>
      <c r="C32" s="5">
        <v>11599</v>
      </c>
      <c r="D32" s="5">
        <v>0</v>
      </c>
      <c r="E32" s="5">
        <v>3821</v>
      </c>
      <c r="F32" s="5">
        <v>0</v>
      </c>
      <c r="G32" s="5">
        <v>0</v>
      </c>
      <c r="H32" s="5">
        <v>0</v>
      </c>
      <c r="I32" s="5">
        <v>0</v>
      </c>
      <c r="J32" s="5">
        <v>507</v>
      </c>
      <c r="K32" s="5">
        <v>0</v>
      </c>
      <c r="L32" s="5">
        <v>0</v>
      </c>
      <c r="M32" s="5">
        <v>0</v>
      </c>
      <c r="N32" s="5">
        <v>14551</v>
      </c>
      <c r="O32" s="5" t="s">
        <v>41</v>
      </c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c0c63084-832f-4b13-a501-c844d9f3bfe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2024-05-01T00:19:38Z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