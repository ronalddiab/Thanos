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12" documentId="8_{9B439D3B-B023-4087-B27B-CB56FE35C246}" xr6:coauthVersionLast="47" xr6:coauthVersionMax="47" xr10:uidLastSave="{5C78F63F-EC9B-4A20-9662-8836A49D8F0A}"/>
  <bookViews>
    <workbookView xWindow="-108" yWindow="-108" windowWidth="23256" windowHeight="12456" tabRatio="193" xr2:uid="{00000000-000D-0000-FFFF-FFFF00000000}"/>
  </bookViews>
  <sheets>
    <sheet name="Bali at Sayan_HEP_Daily (Total)" sheetId="5" r:id="rId1"/>
    <sheet name="Apr 18" sheetId="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5" l="1"/>
  <c r="I32" i="5"/>
  <c r="K32" i="5"/>
  <c r="M32" i="5"/>
  <c r="N32" i="5"/>
  <c r="E3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AC9" i="9"/>
  <c r="Z10" i="9"/>
  <c r="G3" i="5" s="1"/>
  <c r="Z11" i="9"/>
  <c r="G4" i="5" s="1"/>
  <c r="Z12" i="9"/>
  <c r="G5" i="5" s="1"/>
  <c r="Z13" i="9"/>
  <c r="G6" i="5" s="1"/>
  <c r="Z14" i="9"/>
  <c r="G7" i="5" s="1"/>
  <c r="Z15" i="9"/>
  <c r="G8" i="5" s="1"/>
  <c r="Z16" i="9"/>
  <c r="G9" i="5" s="1"/>
  <c r="Z17" i="9"/>
  <c r="G10" i="5" s="1"/>
  <c r="Z18" i="9"/>
  <c r="G11" i="5" s="1"/>
  <c r="Z19" i="9"/>
  <c r="G12" i="5" s="1"/>
  <c r="Z20" i="9"/>
  <c r="G13" i="5" s="1"/>
  <c r="Z21" i="9"/>
  <c r="G14" i="5" s="1"/>
  <c r="Z22" i="9"/>
  <c r="G15" i="5" s="1"/>
  <c r="Z23" i="9"/>
  <c r="G16" i="5" s="1"/>
  <c r="Z24" i="9"/>
  <c r="G17" i="5" s="1"/>
  <c r="Z25" i="9"/>
  <c r="G18" i="5" s="1"/>
  <c r="Z26" i="9"/>
  <c r="G19" i="5" s="1"/>
  <c r="Z27" i="9"/>
  <c r="G20" i="5" s="1"/>
  <c r="Z28" i="9"/>
  <c r="G21" i="5" s="1"/>
  <c r="Z29" i="9"/>
  <c r="G22" i="5" s="1"/>
  <c r="Z30" i="9"/>
  <c r="G23" i="5" s="1"/>
  <c r="Z31" i="9"/>
  <c r="G24" i="5" s="1"/>
  <c r="Z32" i="9"/>
  <c r="G25" i="5" s="1"/>
  <c r="Z33" i="9"/>
  <c r="G26" i="5" s="1"/>
  <c r="Z34" i="9"/>
  <c r="G27" i="5" s="1"/>
  <c r="Z35" i="9"/>
  <c r="G28" i="5" s="1"/>
  <c r="Z36" i="9"/>
  <c r="G29" i="5" s="1"/>
  <c r="Z37" i="9"/>
  <c r="G30" i="5" s="1"/>
  <c r="Z38" i="9"/>
  <c r="G31" i="5" s="1"/>
  <c r="AM9" i="9"/>
  <c r="N8" i="9"/>
  <c r="E39" i="9"/>
  <c r="I9" i="9"/>
  <c r="F9" i="9"/>
  <c r="M9" i="9" s="1"/>
  <c r="E2" i="5" s="1"/>
  <c r="AQ39" i="9"/>
  <c r="AN39" i="9"/>
  <c r="AL39" i="9"/>
  <c r="AJ39" i="9"/>
  <c r="AH39" i="9"/>
  <c r="AG39" i="9"/>
  <c r="AF39" i="9"/>
  <c r="AE39" i="9"/>
  <c r="AD39" i="9"/>
  <c r="AC39" i="9"/>
  <c r="AB39" i="9"/>
  <c r="AP38" i="9"/>
  <c r="K31" i="5" s="1"/>
  <c r="AM38" i="9"/>
  <c r="AK38" i="9"/>
  <c r="AI38" i="9"/>
  <c r="AO38" i="9" s="1"/>
  <c r="Y38" i="9"/>
  <c r="V38" i="9"/>
  <c r="S38" i="9"/>
  <c r="P38" i="9"/>
  <c r="AA38" i="9" s="1"/>
  <c r="I38" i="9"/>
  <c r="J38" i="9" s="1"/>
  <c r="F38" i="9"/>
  <c r="AP37" i="9"/>
  <c r="K30" i="5" s="1"/>
  <c r="AM37" i="9"/>
  <c r="AK37" i="9"/>
  <c r="AI37" i="9"/>
  <c r="AO37" i="9" s="1"/>
  <c r="Y37" i="9"/>
  <c r="V37" i="9"/>
  <c r="S37" i="9"/>
  <c r="P37" i="9"/>
  <c r="AA37" i="9" s="1"/>
  <c r="I37" i="9"/>
  <c r="J37" i="9" s="1"/>
  <c r="F37" i="9"/>
  <c r="AP36" i="9"/>
  <c r="K29" i="5" s="1"/>
  <c r="AM36" i="9"/>
  <c r="AK36" i="9"/>
  <c r="AI36" i="9"/>
  <c r="AO36" i="9" s="1"/>
  <c r="Y36" i="9"/>
  <c r="V36" i="9"/>
  <c r="S36" i="9"/>
  <c r="P36" i="9"/>
  <c r="AA36" i="9" s="1"/>
  <c r="I36" i="9"/>
  <c r="J36" i="9" s="1"/>
  <c r="F36" i="9"/>
  <c r="AP35" i="9"/>
  <c r="K28" i="5" s="1"/>
  <c r="AM35" i="9"/>
  <c r="AK35" i="9"/>
  <c r="AI35" i="9"/>
  <c r="AO35" i="9" s="1"/>
  <c r="Y35" i="9"/>
  <c r="V35" i="9"/>
  <c r="S35" i="9"/>
  <c r="P35" i="9"/>
  <c r="AA35" i="9" s="1"/>
  <c r="I35" i="9"/>
  <c r="J35" i="9" s="1"/>
  <c r="F35" i="9"/>
  <c r="AP34" i="9"/>
  <c r="K27" i="5" s="1"/>
  <c r="AM34" i="9"/>
  <c r="AK34" i="9"/>
  <c r="AI34" i="9"/>
  <c r="AO34" i="9" s="1"/>
  <c r="Y34" i="9"/>
  <c r="V34" i="9"/>
  <c r="S34" i="9"/>
  <c r="P34" i="9"/>
  <c r="AA34" i="9" s="1"/>
  <c r="I34" i="9"/>
  <c r="J34" i="9" s="1"/>
  <c r="F34" i="9"/>
  <c r="AP33" i="9"/>
  <c r="K26" i="5" s="1"/>
  <c r="AM33" i="9"/>
  <c r="AK33" i="9"/>
  <c r="AI33" i="9"/>
  <c r="AO33" i="9" s="1"/>
  <c r="Y33" i="9"/>
  <c r="V33" i="9"/>
  <c r="S33" i="9"/>
  <c r="P33" i="9"/>
  <c r="AA33" i="9" s="1"/>
  <c r="I33" i="9"/>
  <c r="J33" i="9" s="1"/>
  <c r="F33" i="9"/>
  <c r="AP32" i="9"/>
  <c r="K25" i="5" s="1"/>
  <c r="AM32" i="9"/>
  <c r="AK32" i="9"/>
  <c r="AI32" i="9"/>
  <c r="AO32" i="9" s="1"/>
  <c r="Y32" i="9"/>
  <c r="V32" i="9"/>
  <c r="S32" i="9"/>
  <c r="P32" i="9"/>
  <c r="AA32" i="9" s="1"/>
  <c r="I32" i="9"/>
  <c r="J32" i="9" s="1"/>
  <c r="F32" i="9"/>
  <c r="AP31" i="9"/>
  <c r="K24" i="5" s="1"/>
  <c r="AM31" i="9"/>
  <c r="AK31" i="9"/>
  <c r="AI31" i="9"/>
  <c r="AO31" i="9" s="1"/>
  <c r="Y31" i="9"/>
  <c r="V31" i="9"/>
  <c r="S31" i="9"/>
  <c r="P31" i="9"/>
  <c r="AA31" i="9" s="1"/>
  <c r="I31" i="9"/>
  <c r="J31" i="9" s="1"/>
  <c r="F31" i="9"/>
  <c r="AP30" i="9"/>
  <c r="K23" i="5" s="1"/>
  <c r="AM30" i="9"/>
  <c r="AK30" i="9"/>
  <c r="AI30" i="9"/>
  <c r="AO30" i="9" s="1"/>
  <c r="Y30" i="9"/>
  <c r="V30" i="9"/>
  <c r="S30" i="9"/>
  <c r="P30" i="9"/>
  <c r="AA30" i="9" s="1"/>
  <c r="I30" i="9"/>
  <c r="J30" i="9" s="1"/>
  <c r="F30" i="9"/>
  <c r="AP29" i="9"/>
  <c r="K22" i="5" s="1"/>
  <c r="AM29" i="9"/>
  <c r="AK29" i="9"/>
  <c r="AI29" i="9"/>
  <c r="AO29" i="9" s="1"/>
  <c r="Y29" i="9"/>
  <c r="V29" i="9"/>
  <c r="S29" i="9"/>
  <c r="P29" i="9"/>
  <c r="AA29" i="9" s="1"/>
  <c r="I29" i="9"/>
  <c r="J29" i="9" s="1"/>
  <c r="F29" i="9"/>
  <c r="AP28" i="9"/>
  <c r="K21" i="5" s="1"/>
  <c r="AM28" i="9"/>
  <c r="AK28" i="9"/>
  <c r="AI28" i="9"/>
  <c r="AO28" i="9" s="1"/>
  <c r="Y28" i="9"/>
  <c r="V28" i="9"/>
  <c r="S28" i="9"/>
  <c r="P28" i="9"/>
  <c r="AA28" i="9" s="1"/>
  <c r="I28" i="9"/>
  <c r="J28" i="9" s="1"/>
  <c r="F28" i="9"/>
  <c r="AP27" i="9"/>
  <c r="K20" i="5" s="1"/>
  <c r="AM27" i="9"/>
  <c r="AK27" i="9"/>
  <c r="AI27" i="9"/>
  <c r="AO27" i="9" s="1"/>
  <c r="Y27" i="9"/>
  <c r="V27" i="9"/>
  <c r="S27" i="9"/>
  <c r="P27" i="9"/>
  <c r="AA27" i="9" s="1"/>
  <c r="I27" i="9"/>
  <c r="J27" i="9" s="1"/>
  <c r="F27" i="9"/>
  <c r="AP26" i="9"/>
  <c r="K19" i="5" s="1"/>
  <c r="AM26" i="9"/>
  <c r="AK26" i="9"/>
  <c r="AI26" i="9"/>
  <c r="AO26" i="9" s="1"/>
  <c r="Y26" i="9"/>
  <c r="V26" i="9"/>
  <c r="S26" i="9"/>
  <c r="P26" i="9"/>
  <c r="AA26" i="9" s="1"/>
  <c r="I26" i="9"/>
  <c r="J26" i="9" s="1"/>
  <c r="F26" i="9"/>
  <c r="AP25" i="9"/>
  <c r="K18" i="5" s="1"/>
  <c r="AM25" i="9"/>
  <c r="AK25" i="9"/>
  <c r="AI25" i="9"/>
  <c r="AO25" i="9" s="1"/>
  <c r="Y25" i="9"/>
  <c r="V25" i="9"/>
  <c r="S25" i="9"/>
  <c r="P25" i="9"/>
  <c r="AA25" i="9" s="1"/>
  <c r="I25" i="9"/>
  <c r="J25" i="9" s="1"/>
  <c r="F25" i="9"/>
  <c r="AP24" i="9"/>
  <c r="K17" i="5" s="1"/>
  <c r="AM24" i="9"/>
  <c r="AK24" i="9"/>
  <c r="AI24" i="9"/>
  <c r="AO24" i="9" s="1"/>
  <c r="Y24" i="9"/>
  <c r="V24" i="9"/>
  <c r="S24" i="9"/>
  <c r="P24" i="9"/>
  <c r="AA24" i="9" s="1"/>
  <c r="I24" i="9"/>
  <c r="J24" i="9" s="1"/>
  <c r="F24" i="9"/>
  <c r="AP23" i="9"/>
  <c r="K16" i="5" s="1"/>
  <c r="AM23" i="9"/>
  <c r="AK23" i="9"/>
  <c r="AI23" i="9"/>
  <c r="AO23" i="9" s="1"/>
  <c r="Y23" i="9"/>
  <c r="V23" i="9"/>
  <c r="S23" i="9"/>
  <c r="P23" i="9"/>
  <c r="AA23" i="9" s="1"/>
  <c r="I23" i="9"/>
  <c r="J23" i="9" s="1"/>
  <c r="F23" i="9"/>
  <c r="AP22" i="9"/>
  <c r="K15" i="5" s="1"/>
  <c r="AM22" i="9"/>
  <c r="AK22" i="9"/>
  <c r="AI22" i="9"/>
  <c r="AO22" i="9" s="1"/>
  <c r="Y22" i="9"/>
  <c r="V22" i="9"/>
  <c r="S22" i="9"/>
  <c r="P22" i="9"/>
  <c r="AA22" i="9" s="1"/>
  <c r="I22" i="9"/>
  <c r="J22" i="9" s="1"/>
  <c r="F22" i="9"/>
  <c r="AP21" i="9"/>
  <c r="K14" i="5" s="1"/>
  <c r="AM21" i="9"/>
  <c r="AK21" i="9"/>
  <c r="AI21" i="9"/>
  <c r="AO21" i="9" s="1"/>
  <c r="Y21" i="9"/>
  <c r="V21" i="9"/>
  <c r="S21" i="9"/>
  <c r="P21" i="9"/>
  <c r="AA21" i="9" s="1"/>
  <c r="I21" i="9"/>
  <c r="J21" i="9" s="1"/>
  <c r="F21" i="9"/>
  <c r="AP20" i="9"/>
  <c r="K13" i="5" s="1"/>
  <c r="AM20" i="9"/>
  <c r="AK20" i="9"/>
  <c r="AI20" i="9"/>
  <c r="AO20" i="9" s="1"/>
  <c r="Y20" i="9"/>
  <c r="V20" i="9"/>
  <c r="S20" i="9"/>
  <c r="P20" i="9"/>
  <c r="AA20" i="9" s="1"/>
  <c r="I20" i="9"/>
  <c r="J20" i="9" s="1"/>
  <c r="F20" i="9"/>
  <c r="AP19" i="9"/>
  <c r="K12" i="5" s="1"/>
  <c r="AM19" i="9"/>
  <c r="AK19" i="9"/>
  <c r="AI19" i="9"/>
  <c r="AO19" i="9" s="1"/>
  <c r="Y19" i="9"/>
  <c r="V19" i="9"/>
  <c r="S19" i="9"/>
  <c r="P19" i="9"/>
  <c r="AA19" i="9" s="1"/>
  <c r="I19" i="9"/>
  <c r="J19" i="9" s="1"/>
  <c r="F19" i="9"/>
  <c r="AP18" i="9"/>
  <c r="K11" i="5" s="1"/>
  <c r="AM18" i="9"/>
  <c r="AK18" i="9"/>
  <c r="AI18" i="9"/>
  <c r="AO18" i="9" s="1"/>
  <c r="Y18" i="9"/>
  <c r="V18" i="9"/>
  <c r="S18" i="9"/>
  <c r="P18" i="9"/>
  <c r="AA18" i="9" s="1"/>
  <c r="I18" i="9"/>
  <c r="J18" i="9" s="1"/>
  <c r="F18" i="9"/>
  <c r="AP17" i="9"/>
  <c r="K10" i="5" s="1"/>
  <c r="AM17" i="9"/>
  <c r="AK17" i="9"/>
  <c r="AI17" i="9"/>
  <c r="AO17" i="9" s="1"/>
  <c r="Y17" i="9"/>
  <c r="V17" i="9"/>
  <c r="S17" i="9"/>
  <c r="P17" i="9"/>
  <c r="AA17" i="9" s="1"/>
  <c r="I17" i="9"/>
  <c r="J17" i="9" s="1"/>
  <c r="F17" i="9"/>
  <c r="AP16" i="9"/>
  <c r="K9" i="5" s="1"/>
  <c r="AM16" i="9"/>
  <c r="AK16" i="9"/>
  <c r="AI16" i="9"/>
  <c r="AO16" i="9" s="1"/>
  <c r="Y16" i="9"/>
  <c r="V16" i="9"/>
  <c r="S16" i="9"/>
  <c r="P16" i="9"/>
  <c r="AA16" i="9" s="1"/>
  <c r="I16" i="9"/>
  <c r="J16" i="9" s="1"/>
  <c r="F16" i="9"/>
  <c r="AP15" i="9"/>
  <c r="K8" i="5" s="1"/>
  <c r="AM15" i="9"/>
  <c r="AK15" i="9"/>
  <c r="AI15" i="9"/>
  <c r="AO15" i="9" s="1"/>
  <c r="Y15" i="9"/>
  <c r="V15" i="9"/>
  <c r="S15" i="9"/>
  <c r="P15" i="9"/>
  <c r="AA15" i="9" s="1"/>
  <c r="I15" i="9"/>
  <c r="J15" i="9" s="1"/>
  <c r="F15" i="9"/>
  <c r="AP14" i="9"/>
  <c r="K7" i="5" s="1"/>
  <c r="AM14" i="9"/>
  <c r="AK14" i="9"/>
  <c r="AI14" i="9"/>
  <c r="AO14" i="9" s="1"/>
  <c r="Y14" i="9"/>
  <c r="V14" i="9"/>
  <c r="S14" i="9"/>
  <c r="P14" i="9"/>
  <c r="AA14" i="9" s="1"/>
  <c r="I14" i="9"/>
  <c r="J14" i="9" s="1"/>
  <c r="F14" i="9"/>
  <c r="AP13" i="9"/>
  <c r="K6" i="5" s="1"/>
  <c r="AM13" i="9"/>
  <c r="AK13" i="9"/>
  <c r="AI13" i="9"/>
  <c r="AO13" i="9" s="1"/>
  <c r="Y13" i="9"/>
  <c r="V13" i="9"/>
  <c r="S13" i="9"/>
  <c r="P13" i="9"/>
  <c r="AA13" i="9" s="1"/>
  <c r="I13" i="9"/>
  <c r="J13" i="9" s="1"/>
  <c r="F13" i="9"/>
  <c r="AP12" i="9"/>
  <c r="K5" i="5" s="1"/>
  <c r="AM12" i="9"/>
  <c r="AK12" i="9"/>
  <c r="AI12" i="9"/>
  <c r="AO12" i="9" s="1"/>
  <c r="Y12" i="9"/>
  <c r="V12" i="9"/>
  <c r="S12" i="9"/>
  <c r="P12" i="9"/>
  <c r="AA12" i="9" s="1"/>
  <c r="I12" i="9"/>
  <c r="J12" i="9" s="1"/>
  <c r="F12" i="9"/>
  <c r="AP11" i="9"/>
  <c r="K4" i="5" s="1"/>
  <c r="AM11" i="9"/>
  <c r="AK11" i="9"/>
  <c r="AI11" i="9"/>
  <c r="AO11" i="9" s="1"/>
  <c r="Y11" i="9"/>
  <c r="V11" i="9"/>
  <c r="S11" i="9"/>
  <c r="P11" i="9"/>
  <c r="AA11" i="9" s="1"/>
  <c r="I11" i="9"/>
  <c r="J11" i="9" s="1"/>
  <c r="F11" i="9"/>
  <c r="AP10" i="9"/>
  <c r="K3" i="5" s="1"/>
  <c r="AM10" i="9"/>
  <c r="AK10" i="9"/>
  <c r="AI10" i="9"/>
  <c r="AO10" i="9" s="1"/>
  <c r="Y10" i="9"/>
  <c r="V10" i="9"/>
  <c r="S10" i="9"/>
  <c r="P10" i="9"/>
  <c r="AA10" i="9" s="1"/>
  <c r="I10" i="9"/>
  <c r="J10" i="9" s="1"/>
  <c r="F10" i="9"/>
  <c r="AP9" i="9"/>
  <c r="AM39" i="9"/>
  <c r="AK9" i="9"/>
  <c r="AK39" i="9" s="1"/>
  <c r="AI9" i="9"/>
  <c r="N2" i="9"/>
  <c r="AP39" i="9" l="1"/>
  <c r="K2" i="5"/>
  <c r="G10" i="9"/>
  <c r="M10" i="9"/>
  <c r="E3" i="5" s="1"/>
  <c r="G11" i="9"/>
  <c r="M11" i="9"/>
  <c r="E4" i="5" s="1"/>
  <c r="G12" i="9"/>
  <c r="M12" i="9"/>
  <c r="E5" i="5" s="1"/>
  <c r="G13" i="9"/>
  <c r="M13" i="9"/>
  <c r="E6" i="5" s="1"/>
  <c r="G14" i="9"/>
  <c r="M14" i="9"/>
  <c r="E7" i="5" s="1"/>
  <c r="G15" i="9"/>
  <c r="M15" i="9"/>
  <c r="E8" i="5" s="1"/>
  <c r="G16" i="9"/>
  <c r="M16" i="9"/>
  <c r="E9" i="5" s="1"/>
  <c r="G17" i="9"/>
  <c r="M17" i="9"/>
  <c r="E10" i="5" s="1"/>
  <c r="G18" i="9"/>
  <c r="M18" i="9"/>
  <c r="E11" i="5" s="1"/>
  <c r="G19" i="9"/>
  <c r="M19" i="9"/>
  <c r="E12" i="5" s="1"/>
  <c r="G20" i="9"/>
  <c r="M20" i="9"/>
  <c r="E13" i="5" s="1"/>
  <c r="G21" i="9"/>
  <c r="M21" i="9"/>
  <c r="E14" i="5" s="1"/>
  <c r="G22" i="9"/>
  <c r="M22" i="9"/>
  <c r="E15" i="5" s="1"/>
  <c r="G23" i="9"/>
  <c r="M23" i="9"/>
  <c r="E16" i="5" s="1"/>
  <c r="G24" i="9"/>
  <c r="M24" i="9"/>
  <c r="E17" i="5" s="1"/>
  <c r="G25" i="9"/>
  <c r="M25" i="9"/>
  <c r="E18" i="5" s="1"/>
  <c r="G26" i="9"/>
  <c r="M26" i="9"/>
  <c r="E19" i="5" s="1"/>
  <c r="G27" i="9"/>
  <c r="M27" i="9"/>
  <c r="E20" i="5" s="1"/>
  <c r="G28" i="9"/>
  <c r="M28" i="9"/>
  <c r="E21" i="5" s="1"/>
  <c r="G29" i="9"/>
  <c r="M29" i="9"/>
  <c r="E22" i="5" s="1"/>
  <c r="G30" i="9"/>
  <c r="M30" i="9"/>
  <c r="E23" i="5" s="1"/>
  <c r="G31" i="9"/>
  <c r="M31" i="9"/>
  <c r="E24" i="5" s="1"/>
  <c r="G32" i="9"/>
  <c r="M32" i="9"/>
  <c r="E25" i="5" s="1"/>
  <c r="G33" i="9"/>
  <c r="M33" i="9"/>
  <c r="E26" i="5" s="1"/>
  <c r="G34" i="9"/>
  <c r="M34" i="9"/>
  <c r="E27" i="5" s="1"/>
  <c r="G35" i="9"/>
  <c r="M35" i="9"/>
  <c r="E28" i="5" s="1"/>
  <c r="G36" i="9"/>
  <c r="M36" i="9"/>
  <c r="E29" i="5" s="1"/>
  <c r="G37" i="9"/>
  <c r="M37" i="9"/>
  <c r="E30" i="5" s="1"/>
  <c r="G38" i="9"/>
  <c r="M38" i="9"/>
  <c r="E31" i="5" s="1"/>
  <c r="W9" i="9"/>
  <c r="X9" i="9" s="1"/>
  <c r="T9" i="9"/>
  <c r="U9" i="9" s="1"/>
  <c r="Q9" i="9"/>
  <c r="R9" i="9" s="1"/>
  <c r="N9" i="9"/>
  <c r="O9" i="9" s="1"/>
  <c r="Z9" i="9" s="1"/>
  <c r="G2" i="5" s="1"/>
  <c r="F39" i="9"/>
  <c r="G9" i="9"/>
  <c r="G39" i="9" s="1"/>
  <c r="I39" i="9"/>
  <c r="J9" i="9"/>
  <c r="AI39" i="9"/>
  <c r="AO9" i="9"/>
  <c r="AO39" i="9" s="1"/>
  <c r="AO40" i="9" s="1"/>
  <c r="K10" i="9"/>
  <c r="L10" i="9" s="1"/>
  <c r="K11" i="9"/>
  <c r="L11" i="9" s="1"/>
  <c r="K12" i="9"/>
  <c r="L12" i="9" s="1"/>
  <c r="K13" i="9"/>
  <c r="L13" i="9" s="1"/>
  <c r="K14" i="9"/>
  <c r="L14" i="9" s="1"/>
  <c r="K15" i="9"/>
  <c r="L15" i="9" s="1"/>
  <c r="K16" i="9"/>
  <c r="L16" i="9" s="1"/>
  <c r="K17" i="9"/>
  <c r="L17" i="9" s="1"/>
  <c r="K18" i="9"/>
  <c r="L18" i="9" s="1"/>
  <c r="K19" i="9"/>
  <c r="L19" i="9" s="1"/>
  <c r="K20" i="9"/>
  <c r="L20" i="9" s="1"/>
  <c r="K21" i="9"/>
  <c r="L21" i="9" s="1"/>
  <c r="K22" i="9"/>
  <c r="L22" i="9" s="1"/>
  <c r="K23" i="9"/>
  <c r="L23" i="9" s="1"/>
  <c r="K24" i="9"/>
  <c r="L24" i="9" s="1"/>
  <c r="K25" i="9"/>
  <c r="L25" i="9" s="1"/>
  <c r="K26" i="9"/>
  <c r="L26" i="9" s="1"/>
  <c r="K27" i="9"/>
  <c r="L27" i="9" s="1"/>
  <c r="K28" i="9"/>
  <c r="L28" i="9" s="1"/>
  <c r="K29" i="9"/>
  <c r="L29" i="9" s="1"/>
  <c r="K30" i="9"/>
  <c r="L30" i="9" s="1"/>
  <c r="K31" i="9"/>
  <c r="L31" i="9" s="1"/>
  <c r="K32" i="9"/>
  <c r="L32" i="9" s="1"/>
  <c r="K33" i="9"/>
  <c r="L33" i="9" s="1"/>
  <c r="K34" i="9"/>
  <c r="L34" i="9" s="1"/>
  <c r="K35" i="9"/>
  <c r="L35" i="9" s="1"/>
  <c r="K36" i="9"/>
  <c r="L36" i="9" s="1"/>
  <c r="K37" i="9"/>
  <c r="L37" i="9" s="1"/>
  <c r="K38" i="9"/>
  <c r="L38" i="9" s="1"/>
  <c r="M39" i="9" l="1"/>
  <c r="J39" i="9"/>
  <c r="K9" i="9"/>
  <c r="N39" i="9"/>
  <c r="Q39" i="9"/>
  <c r="T39" i="9"/>
  <c r="W39" i="9"/>
  <c r="X39" i="9" l="1"/>
  <c r="Y9" i="9"/>
  <c r="Y39" i="9" s="1"/>
  <c r="U39" i="9"/>
  <c r="V9" i="9"/>
  <c r="V39" i="9" s="1"/>
  <c r="R39" i="9"/>
  <c r="S9" i="9"/>
  <c r="S39" i="9" s="1"/>
  <c r="O39" i="9"/>
  <c r="Z39" i="9" s="1"/>
  <c r="P9" i="9"/>
  <c r="K39" i="9"/>
  <c r="L9" i="9"/>
  <c r="L39" i="9" s="1"/>
  <c r="L40" i="9" s="1"/>
  <c r="P39" i="9" l="1"/>
  <c r="AA9" i="9"/>
  <c r="AA3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4FC9C6DE-34A3-4C83-9350-0EF8C99572A0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<sst xmlns="http://schemas.openxmlformats.org/spreadsheetml/2006/main" count="158" uniqueCount="60">
  <si>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</si>
  <si>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</si>
  <si>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</si>
  <si>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</si>
  <si>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</si>
  <si>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</si>
  <si>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</si>
  <si>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</si>
  <si>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</si>
  <si>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</si>
  <si>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</si>
  <si>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</si>
  <si>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</si>
  <si>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</si>
  <si>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</si>
  <si>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</si>
  <si>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</si>
  <si>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</si>
  <si>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April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</si>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</sst>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3" xfId="0" applyFont="1" applyBorder="1"/>
    <xf numFmtId="0" fontId="4" fillId="0" borderId="3" xfId="0" applyFont="1" applyBorder="1"/>
    <xf numFmtId="0" fontId="5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0" fillId="0" borderId="0" xfId="0" applyNumberFormat="1"/>
    <xf numFmtId="43" fontId="9" fillId="0" borderId="0" xfId="0" applyNumberFormat="1" applyFont="1"/>
    <xf numFmtId="43" fontId="9" fillId="0" borderId="4" xfId="0" applyNumberFormat="1" applyFont="1" applyBorder="1"/>
    <xf numFmtId="14" fontId="9" fillId="4" borderId="4" xfId="0" applyNumberFormat="1" applyFont="1" applyFill="1" applyBorder="1"/>
    <xf numFmtId="43" fontId="8" fillId="4" borderId="0" xfId="0" applyNumberFormat="1" applyFont="1" applyFill="1"/>
    <xf numFmtId="43" fontId="8" fillId="0" borderId="0" xfId="0" applyNumberFormat="1" applyFont="1"/>
    <xf numFmtId="43" fontId="9" fillId="4" borderId="0" xfId="0" applyNumberFormat="1" applyFont="1" applyFill="1"/>
    <xf numFmtId="43" fontId="9" fillId="0" borderId="0" xfId="0" applyNumberFormat="1" applyFont="1" applyAlignment="1">
      <alignment horizontal="center" vertical="center"/>
    </xf>
    <xf numFmtId="43" fontId="8" fillId="6" borderId="4" xfId="0" applyNumberFormat="1" applyFont="1" applyFill="1" applyBorder="1" applyAlignment="1">
      <alignment horizontal="center" vertical="center" wrapText="1"/>
    </xf>
    <xf numFmtId="43" fontId="9" fillId="6" borderId="4" xfId="0" applyNumberFormat="1" applyFont="1" applyFill="1" applyBorder="1" applyAlignment="1">
      <alignment wrapText="1"/>
    </xf>
    <xf numFmtId="43" fontId="9" fillId="7" borderId="4" xfId="0" applyNumberFormat="1" applyFont="1" applyFill="1" applyBorder="1" applyAlignment="1">
      <alignment horizontal="center" vertical="center" wrapText="1"/>
    </xf>
    <xf numFmtId="43" fontId="9" fillId="5" borderId="4" xfId="0" applyNumberFormat="1" applyFont="1" applyFill="1" applyBorder="1" applyAlignment="1">
      <alignment horizontal="center" vertical="center" wrapText="1"/>
    </xf>
    <xf numFmtId="43" fontId="9" fillId="3" borderId="4" xfId="0" applyNumberFormat="1" applyFont="1" applyFill="1" applyBorder="1" applyAlignment="1">
      <alignment vertical="center" wrapText="1"/>
    </xf>
    <xf numFmtId="43" fontId="9" fillId="2" borderId="4" xfId="0" applyNumberFormat="1" applyFont="1" applyFill="1" applyBorder="1" applyAlignment="1">
      <alignment horizontal="center" vertical="center" wrapText="1"/>
    </xf>
    <xf numFmtId="43" fontId="9" fillId="2" borderId="4" xfId="0" applyNumberFormat="1" applyFont="1" applyFill="1" applyBorder="1" applyAlignment="1">
      <alignment vertical="center" wrapText="1"/>
    </xf>
    <xf numFmtId="43" fontId="9" fillId="6" borderId="4" xfId="0" applyNumberFormat="1" applyFont="1" applyFill="1" applyBorder="1" applyAlignment="1">
      <alignment vertical="center" wrapText="1"/>
    </xf>
    <xf numFmtId="43" fontId="9" fillId="2" borderId="4" xfId="0" applyNumberFormat="1" applyFont="1" applyFill="1" applyBorder="1" applyAlignment="1">
      <alignment horizontal="center" vertical="center"/>
    </xf>
    <xf numFmtId="43" fontId="9" fillId="3" borderId="4" xfId="0" applyNumberFormat="1" applyFont="1" applyFill="1" applyBorder="1" applyAlignment="1">
      <alignment wrapText="1"/>
    </xf>
    <xf numFmtId="43" fontId="9" fillId="0" borderId="4" xfId="0" applyNumberFormat="1" applyFont="1" applyBorder="1" applyAlignment="1">
      <alignment horizontal="center" vertical="center"/>
    </xf>
    <xf numFmtId="43" fontId="8" fillId="0" borderId="4" xfId="0" applyNumberFormat="1" applyFont="1" applyBorder="1"/>
    <xf numFmtId="43" fontId="9" fillId="4" borderId="4" xfId="0" applyNumberFormat="1" applyFont="1" applyFill="1" applyBorder="1" applyAlignment="1">
      <alignment horizontal="center" vertical="center"/>
    </xf>
    <xf numFmtId="14" fontId="8" fillId="4" borderId="0" xfId="0" applyNumberFormat="1" applyFont="1" applyFill="1"/>
    <xf numFmtId="14" fontId="9" fillId="0" borderId="0" xfId="0" applyNumberFormat="1" applyFont="1"/>
    <xf numFmtId="14" fontId="9" fillId="5" borderId="4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Border="1"/>
    <xf numFmtId="0" fontId="0" fillId="0" borderId="4" xfId="0" applyBorder="1"/>
    <xf numFmtId="1" fontId="3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43" fontId="9" fillId="6" borderId="4" xfId="0" applyNumberFormat="1" applyFont="1" applyFill="1" applyBorder="1" applyAlignment="1">
      <alignment wrapText="1"/>
    </xf>
    <xf numFmtId="43" fontId="9" fillId="6" borderId="4" xfId="0" applyNumberFormat="1" applyFont="1" applyFill="1" applyBorder="1" applyAlignment="1">
      <alignment vertical="center" wrapText="1"/>
    </xf>
    <xf numFmtId="43" fontId="9" fillId="3" borderId="4" xfId="0" applyNumberFormat="1" applyFont="1" applyFill="1" applyBorder="1" applyAlignment="1">
      <alignment horizontal="center" vertical="center" wrapText="1"/>
    </xf>
    <xf numFmtId="43" fontId="8" fillId="6" borderId="4" xfId="0" applyNumberFormat="1" applyFont="1" applyFill="1" applyBorder="1" applyAlignment="1">
      <alignment horizontal="center" vertical="center" wrapText="1"/>
    </xf>
    <xf numFmtId="43" fontId="9" fillId="7" borderId="4" xfId="0" applyNumberFormat="1" applyFont="1" applyFill="1" applyBorder="1" applyAlignment="1">
      <alignment horizontal="center" vertical="center" wrapText="1"/>
    </xf>
    <xf numFmtId="43" fontId="9" fillId="7" borderId="4" xfId="0" applyNumberFormat="1" applyFont="1" applyFill="1" applyBorder="1" applyAlignment="1">
      <alignment horizontal="center" vertical="center"/>
    </xf>
    <xf numFmtId="14" fontId="9" fillId="5" borderId="4" xfId="0" applyNumberFormat="1" applyFont="1" applyFill="1" applyBorder="1" applyAlignment="1">
      <alignment horizontal="center" vertical="center" wrapText="1"/>
    </xf>
    <xf numFmtId="43" fontId="9" fillId="5" borderId="4" xfId="0" applyNumberFormat="1" applyFont="1" applyFill="1" applyBorder="1" applyAlignment="1">
      <alignment horizontal="center" vertical="center" wrapText="1"/>
    </xf>
    <xf numFmtId="43" fontId="9" fillId="3" borderId="4" xfId="0" applyNumberFormat="1" applyFont="1" applyFill="1" applyBorder="1" applyAlignment="1">
      <alignment vertical="center" wrapText="1"/>
    </xf>
    <xf numFmtId="43" fontId="9" fillId="2" borderId="4" xfId="0" applyNumberFormat="1" applyFont="1" applyFill="1" applyBorder="1" applyAlignment="1">
      <alignment horizontal="center" vertical="center"/>
    </xf>
    <xf numFmtId="43" fontId="9" fillId="2" borderId="4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43" fontId="9" fillId="4" borderId="0" xfId="0" applyNumberFormat="1" applyFont="1" applyFill="1" applyAlignment="1"/>
    <xf numFmtId="43" fontId="9" fillId="4" borderId="4" xfId="0" applyNumberFormat="1" applyFont="1" applyFill="1" applyBorder="1" applyAlignment="1"/>
    <xf numFmtId="43" fontId="9" fillId="3" borderId="4" xfId="0" applyNumberFormat="1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2"/>
  <sheetViews>
    <sheetView tabSelected="1" topLeftCell="A17" workbookViewId="0">
      <selection activeCell="M32" sqref="M32:N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46" t="s">
        <v>12</v>
      </c>
      <c r="N1" s="46" t="s">
        <v>13</v>
      </c>
    </row>
    <row r="2" spans="1:14" ht="15">
      <c r="A2" s="13" t="s">
        <v>14</v>
      </c>
      <c r="B2" s="14">
        <v>1</v>
      </c>
      <c r="C2" s="15">
        <v>4</v>
      </c>
      <c r="D2" s="14">
        <v>2018</v>
      </c>
      <c r="E2" s="16">
        <f>'Apr 18'!M9</f>
        <v>11420.000000000759</v>
      </c>
      <c r="F2" s="17">
        <v>1241.5396698600277</v>
      </c>
      <c r="G2" s="16">
        <f>'Apr 18'!Z9</f>
        <v>145</v>
      </c>
      <c r="H2" s="17">
        <v>11650</v>
      </c>
      <c r="I2" s="16">
        <f>'Apr 18'!AC9</f>
        <v>190</v>
      </c>
      <c r="J2" s="18">
        <v>10700</v>
      </c>
      <c r="K2" s="16">
        <f>'Apr 18'!AP9</f>
        <v>157</v>
      </c>
      <c r="L2" s="45">
        <v>8907.5620711166557</v>
      </c>
      <c r="M2" s="47">
        <v>54</v>
      </c>
      <c r="N2" s="44">
        <v>342</v>
      </c>
    </row>
    <row r="3" spans="1:14" ht="15">
      <c r="A3" s="13" t="s">
        <v>14</v>
      </c>
      <c r="B3" s="14">
        <v>2</v>
      </c>
      <c r="C3" s="15">
        <v>4</v>
      </c>
      <c r="D3" s="14">
        <v>2018</v>
      </c>
      <c r="E3" s="16">
        <f>'Apr 18'!M10</f>
        <v>9139.9999999998727</v>
      </c>
      <c r="F3" s="17">
        <v>1241.5396698600277</v>
      </c>
      <c r="G3" s="16">
        <f>'Apr 18'!Z10</f>
        <v>145</v>
      </c>
      <c r="H3" s="17">
        <v>11650</v>
      </c>
      <c r="I3" s="16">
        <f>'Apr 18'!AC10</f>
        <v>0</v>
      </c>
      <c r="J3" s="18">
        <v>10700</v>
      </c>
      <c r="K3" s="16">
        <f>'Apr 18'!AP10</f>
        <v>186</v>
      </c>
      <c r="L3" s="45">
        <v>8907.5620711166557</v>
      </c>
      <c r="M3" s="47">
        <v>45</v>
      </c>
      <c r="N3" s="44">
        <v>319</v>
      </c>
    </row>
    <row r="4" spans="1:14" ht="15">
      <c r="A4" s="13" t="s">
        <v>14</v>
      </c>
      <c r="B4" s="14">
        <v>3</v>
      </c>
      <c r="C4" s="15">
        <v>4</v>
      </c>
      <c r="D4" s="14">
        <v>2018</v>
      </c>
      <c r="E4" s="16">
        <f>'Apr 18'!M11</f>
        <v>11440.000000000055</v>
      </c>
      <c r="F4" s="17">
        <v>1241.5396698600277</v>
      </c>
      <c r="G4" s="16">
        <f>'Apr 18'!Z11</f>
        <v>145</v>
      </c>
      <c r="H4" s="17">
        <v>11650</v>
      </c>
      <c r="I4" s="16">
        <f>'Apr 18'!AC11</f>
        <v>0</v>
      </c>
      <c r="J4" s="18">
        <v>10700</v>
      </c>
      <c r="K4" s="16">
        <f>'Apr 18'!AP11</f>
        <v>197</v>
      </c>
      <c r="L4" s="45">
        <v>8907.5620711166557</v>
      </c>
      <c r="M4" s="47">
        <v>42</v>
      </c>
      <c r="N4" s="44">
        <v>303</v>
      </c>
    </row>
    <row r="5" spans="1:14" ht="15">
      <c r="A5" s="13" t="s">
        <v>14</v>
      </c>
      <c r="B5" s="14">
        <v>4</v>
      </c>
      <c r="C5" s="15">
        <v>4</v>
      </c>
      <c r="D5" s="14">
        <v>2018</v>
      </c>
      <c r="E5" s="16">
        <f>'Apr 18'!M12</f>
        <v>11659.9999999994</v>
      </c>
      <c r="F5" s="17">
        <v>1241.5396698600277</v>
      </c>
      <c r="G5" s="16">
        <f>'Apr 18'!Z12</f>
        <v>145</v>
      </c>
      <c r="H5" s="17">
        <v>11650</v>
      </c>
      <c r="I5" s="16">
        <f>'Apr 18'!AC12</f>
        <v>0</v>
      </c>
      <c r="J5" s="18">
        <v>10700</v>
      </c>
      <c r="K5" s="16">
        <f>'Apr 18'!AP12</f>
        <v>169</v>
      </c>
      <c r="L5" s="45">
        <v>8907.5620711166557</v>
      </c>
      <c r="M5" s="47">
        <v>41</v>
      </c>
      <c r="N5" s="44">
        <v>277</v>
      </c>
    </row>
    <row r="6" spans="1:14" ht="15">
      <c r="A6" s="13" t="s">
        <v>14</v>
      </c>
      <c r="B6" s="14">
        <v>5</v>
      </c>
      <c r="C6" s="15">
        <v>4</v>
      </c>
      <c r="D6" s="14">
        <v>2018</v>
      </c>
      <c r="E6" s="16">
        <f>'Apr 18'!M13</f>
        <v>12180.000000000518</v>
      </c>
      <c r="F6" s="17">
        <v>1241.5396698600277</v>
      </c>
      <c r="G6" s="16">
        <f>'Apr 18'!Z13</f>
        <v>145</v>
      </c>
      <c r="H6" s="17">
        <v>11650</v>
      </c>
      <c r="I6" s="16">
        <f>'Apr 18'!AC13</f>
        <v>0</v>
      </c>
      <c r="J6" s="18">
        <v>10700</v>
      </c>
      <c r="K6" s="16">
        <f>'Apr 18'!AP13</f>
        <v>161</v>
      </c>
      <c r="L6" s="45">
        <v>8907.5620711166557</v>
      </c>
      <c r="M6" s="47">
        <v>46</v>
      </c>
      <c r="N6" s="44">
        <v>252</v>
      </c>
    </row>
    <row r="7" spans="1:14" ht="15">
      <c r="A7" s="13" t="s">
        <v>14</v>
      </c>
      <c r="B7" s="14">
        <v>6</v>
      </c>
      <c r="C7" s="15">
        <v>4</v>
      </c>
      <c r="D7" s="14">
        <v>2018</v>
      </c>
      <c r="E7" s="16">
        <f>'Apr 18'!M14</f>
        <v>11919.999999999845</v>
      </c>
      <c r="F7" s="17">
        <v>1241.5396698600277</v>
      </c>
      <c r="G7" s="16">
        <f>'Apr 18'!Z14</f>
        <v>145</v>
      </c>
      <c r="H7" s="17">
        <v>11650</v>
      </c>
      <c r="I7" s="16">
        <f>'Apr 18'!AC14</f>
        <v>0</v>
      </c>
      <c r="J7" s="18">
        <v>10700</v>
      </c>
      <c r="K7" s="16">
        <f>'Apr 18'!AP14</f>
        <v>181</v>
      </c>
      <c r="L7" s="45">
        <v>8907.5620711166557</v>
      </c>
      <c r="M7" s="47">
        <v>46</v>
      </c>
      <c r="N7" s="44">
        <v>300</v>
      </c>
    </row>
    <row r="8" spans="1:14" ht="15">
      <c r="A8" s="13" t="s">
        <v>14</v>
      </c>
      <c r="B8" s="14">
        <v>7</v>
      </c>
      <c r="C8" s="15">
        <v>4</v>
      </c>
      <c r="D8" s="14">
        <v>2018</v>
      </c>
      <c r="E8" s="16">
        <f>'Apr 18'!M15</f>
        <v>13360.000000000127</v>
      </c>
      <c r="F8" s="17">
        <v>1241.5396698600277</v>
      </c>
      <c r="G8" s="16">
        <f>'Apr 18'!Z15</f>
        <v>145</v>
      </c>
      <c r="H8" s="17">
        <v>11650</v>
      </c>
      <c r="I8" s="16">
        <f>'Apr 18'!AC15</f>
        <v>0</v>
      </c>
      <c r="J8" s="18">
        <v>10700</v>
      </c>
      <c r="K8" s="16">
        <f>'Apr 18'!AP15</f>
        <v>174</v>
      </c>
      <c r="L8" s="45">
        <v>8907.5620711166557</v>
      </c>
      <c r="M8" s="47">
        <v>42</v>
      </c>
      <c r="N8" s="44">
        <v>280</v>
      </c>
    </row>
    <row r="9" spans="1:14" ht="15">
      <c r="A9" s="13" t="s">
        <v>14</v>
      </c>
      <c r="B9" s="14">
        <v>8</v>
      </c>
      <c r="C9" s="15">
        <v>4</v>
      </c>
      <c r="D9" s="14">
        <v>2018</v>
      </c>
      <c r="E9" s="16">
        <f>'Apr 18'!M16</f>
        <v>9619.9999999998909</v>
      </c>
      <c r="F9" s="17">
        <v>1241.5396698600277</v>
      </c>
      <c r="G9" s="16">
        <f>'Apr 18'!Z16</f>
        <v>145</v>
      </c>
      <c r="H9" s="17">
        <v>11650</v>
      </c>
      <c r="I9" s="16">
        <f>'Apr 18'!AC16</f>
        <v>0</v>
      </c>
      <c r="J9" s="18">
        <v>10700</v>
      </c>
      <c r="K9" s="16">
        <f>'Apr 18'!AP16</f>
        <v>175</v>
      </c>
      <c r="L9" s="45">
        <v>8907.5620711166557</v>
      </c>
      <c r="M9" s="47">
        <v>42</v>
      </c>
      <c r="N9" s="44">
        <v>287</v>
      </c>
    </row>
    <row r="10" spans="1:14" ht="15">
      <c r="A10" s="13" t="s">
        <v>14</v>
      </c>
      <c r="B10" s="14">
        <v>9</v>
      </c>
      <c r="C10" s="15">
        <v>4</v>
      </c>
      <c r="D10" s="14">
        <v>2018</v>
      </c>
      <c r="E10" s="16">
        <f>'Apr 18'!M17</f>
        <v>11660.000000000309</v>
      </c>
      <c r="F10" s="17">
        <v>1241.5396698600277</v>
      </c>
      <c r="G10" s="16">
        <f>'Apr 18'!Z17</f>
        <v>145</v>
      </c>
      <c r="H10" s="17">
        <v>11650</v>
      </c>
      <c r="I10" s="16">
        <f>'Apr 18'!AC17</f>
        <v>190</v>
      </c>
      <c r="J10" s="18">
        <v>10700</v>
      </c>
      <c r="K10" s="16">
        <f>'Apr 18'!AP17</f>
        <v>172</v>
      </c>
      <c r="L10" s="45">
        <v>8907.5620711166557</v>
      </c>
      <c r="M10" s="47">
        <v>35</v>
      </c>
      <c r="N10" s="44">
        <v>222</v>
      </c>
    </row>
    <row r="11" spans="1:14" ht="15">
      <c r="A11" s="13" t="s">
        <v>14</v>
      </c>
      <c r="B11" s="14">
        <v>10</v>
      </c>
      <c r="C11" s="15">
        <v>4</v>
      </c>
      <c r="D11" s="14">
        <v>2018</v>
      </c>
      <c r="E11" s="16">
        <f>'Apr 18'!M18</f>
        <v>11480.000000000246</v>
      </c>
      <c r="F11" s="17">
        <v>1241.5396698600277</v>
      </c>
      <c r="G11" s="16">
        <f>'Apr 18'!Z18</f>
        <v>145</v>
      </c>
      <c r="H11" s="17">
        <v>11650</v>
      </c>
      <c r="I11" s="16">
        <f>'Apr 18'!AC18</f>
        <v>0</v>
      </c>
      <c r="J11" s="18">
        <v>10700</v>
      </c>
      <c r="K11" s="16">
        <f>'Apr 18'!AP18</f>
        <v>198</v>
      </c>
      <c r="L11" s="45">
        <v>8907.5620711166557</v>
      </c>
      <c r="M11" s="47">
        <v>39</v>
      </c>
      <c r="N11" s="44">
        <v>230</v>
      </c>
    </row>
    <row r="12" spans="1:14" ht="15">
      <c r="A12" s="13" t="s">
        <v>14</v>
      </c>
      <c r="B12" s="14">
        <v>11</v>
      </c>
      <c r="C12" s="15">
        <v>4</v>
      </c>
      <c r="D12" s="14">
        <v>2018</v>
      </c>
      <c r="E12" s="16">
        <f>'Apr 18'!M19</f>
        <v>11719.9999999998</v>
      </c>
      <c r="F12" s="17">
        <v>1241.5396698600277</v>
      </c>
      <c r="G12" s="16">
        <f>'Apr 18'!Z19</f>
        <v>145</v>
      </c>
      <c r="H12" s="17">
        <v>11650</v>
      </c>
      <c r="I12" s="16">
        <f>'Apr 18'!AC19</f>
        <v>0</v>
      </c>
      <c r="J12" s="18">
        <v>10700</v>
      </c>
      <c r="K12" s="16">
        <f>'Apr 18'!AP19</f>
        <v>226</v>
      </c>
      <c r="L12" s="45">
        <v>8907.5620711166557</v>
      </c>
      <c r="M12" s="47">
        <v>42</v>
      </c>
      <c r="N12" s="44">
        <v>306</v>
      </c>
    </row>
    <row r="13" spans="1:14" ht="15">
      <c r="A13" s="13" t="s">
        <v>14</v>
      </c>
      <c r="B13" s="14">
        <v>12</v>
      </c>
      <c r="C13" s="15">
        <v>4</v>
      </c>
      <c r="D13" s="14">
        <v>2018</v>
      </c>
      <c r="E13" s="16">
        <f>'Apr 18'!M20</f>
        <v>11559.999999999491</v>
      </c>
      <c r="F13" s="17">
        <v>1241.5396698600277</v>
      </c>
      <c r="G13" s="16">
        <f>'Apr 18'!Z20</f>
        <v>145</v>
      </c>
      <c r="H13" s="17">
        <v>11650</v>
      </c>
      <c r="I13" s="16">
        <f>'Apr 18'!AC20</f>
        <v>0</v>
      </c>
      <c r="J13" s="18">
        <v>10700</v>
      </c>
      <c r="K13" s="16">
        <f>'Apr 18'!AP20</f>
        <v>245</v>
      </c>
      <c r="L13" s="45">
        <v>8907.5620711166557</v>
      </c>
      <c r="M13" s="47">
        <v>35</v>
      </c>
      <c r="N13" s="44">
        <v>263</v>
      </c>
    </row>
    <row r="14" spans="1:14" ht="15">
      <c r="A14" s="13" t="s">
        <v>14</v>
      </c>
      <c r="B14" s="14">
        <v>13</v>
      </c>
      <c r="C14" s="15">
        <v>4</v>
      </c>
      <c r="D14" s="14">
        <v>2018</v>
      </c>
      <c r="E14" s="16">
        <f>'Apr 18'!M21</f>
        <v>12200.0000000005</v>
      </c>
      <c r="F14" s="17">
        <v>1241.5396698600277</v>
      </c>
      <c r="G14" s="16">
        <f>'Apr 18'!Z21</f>
        <v>145</v>
      </c>
      <c r="H14" s="17">
        <v>11650</v>
      </c>
      <c r="I14" s="16">
        <f>'Apr 18'!AC21</f>
        <v>0</v>
      </c>
      <c r="J14" s="18">
        <v>10700</v>
      </c>
      <c r="K14" s="16">
        <f>'Apr 18'!AP21</f>
        <v>195</v>
      </c>
      <c r="L14" s="45">
        <v>8907.5620711166557</v>
      </c>
      <c r="M14" s="47">
        <v>29</v>
      </c>
      <c r="N14" s="44">
        <v>185</v>
      </c>
    </row>
    <row r="15" spans="1:14" ht="15">
      <c r="A15" s="13" t="s">
        <v>14</v>
      </c>
      <c r="B15" s="14">
        <v>14</v>
      </c>
      <c r="C15" s="15">
        <v>4</v>
      </c>
      <c r="D15" s="14">
        <v>2018</v>
      </c>
      <c r="E15" s="16">
        <f>'Apr 18'!M22</f>
        <v>11979.999999999563</v>
      </c>
      <c r="F15" s="17">
        <v>1241.5396698600277</v>
      </c>
      <c r="G15" s="16">
        <f>'Apr 18'!Z22</f>
        <v>145</v>
      </c>
      <c r="H15" s="17">
        <v>11650</v>
      </c>
      <c r="I15" s="16">
        <f>'Apr 18'!AC22</f>
        <v>0</v>
      </c>
      <c r="J15" s="18">
        <v>10700</v>
      </c>
      <c r="K15" s="16">
        <f>'Apr 18'!AP22</f>
        <v>209</v>
      </c>
      <c r="L15" s="45">
        <v>8907.5620711166557</v>
      </c>
      <c r="M15" s="47">
        <v>34</v>
      </c>
      <c r="N15" s="44">
        <v>190</v>
      </c>
    </row>
    <row r="16" spans="1:14" ht="15">
      <c r="A16" s="13" t="s">
        <v>14</v>
      </c>
      <c r="B16" s="14">
        <v>15</v>
      </c>
      <c r="C16" s="15">
        <v>4</v>
      </c>
      <c r="D16" s="14">
        <v>2018</v>
      </c>
      <c r="E16" s="16">
        <f>'Apr 18'!M23</f>
        <v>12039.999999999964</v>
      </c>
      <c r="F16" s="17">
        <v>1241.5396698600277</v>
      </c>
      <c r="G16" s="16">
        <f>'Apr 18'!Z23</f>
        <v>145</v>
      </c>
      <c r="H16" s="17">
        <v>11650</v>
      </c>
      <c r="I16" s="16">
        <f>'Apr 18'!AC23</f>
        <v>190</v>
      </c>
      <c r="J16" s="18">
        <v>10700</v>
      </c>
      <c r="K16" s="16">
        <f>'Apr 18'!AP23</f>
        <v>232</v>
      </c>
      <c r="L16" s="45">
        <v>8907.5620711166557</v>
      </c>
      <c r="M16" s="47">
        <v>26</v>
      </c>
      <c r="N16" s="44">
        <v>170</v>
      </c>
    </row>
    <row r="17" spans="1:14" ht="15">
      <c r="A17" s="13" t="s">
        <v>14</v>
      </c>
      <c r="B17" s="14">
        <v>16</v>
      </c>
      <c r="C17" s="15">
        <v>4</v>
      </c>
      <c r="D17" s="14">
        <v>2018</v>
      </c>
      <c r="E17" s="16">
        <f>'Apr 18'!M24</f>
        <v>11700.000000000045</v>
      </c>
      <c r="F17" s="17">
        <v>1241.5396698600277</v>
      </c>
      <c r="G17" s="16">
        <f>'Apr 18'!Z24</f>
        <v>145</v>
      </c>
      <c r="H17" s="17">
        <v>11650</v>
      </c>
      <c r="I17" s="16">
        <f>'Apr 18'!AC24</f>
        <v>0</v>
      </c>
      <c r="J17" s="18">
        <v>10700</v>
      </c>
      <c r="K17" s="16">
        <f>'Apr 18'!AP24</f>
        <v>224</v>
      </c>
      <c r="L17" s="45">
        <v>8907.5620711166557</v>
      </c>
      <c r="M17" s="47">
        <v>31</v>
      </c>
      <c r="N17" s="44">
        <v>248</v>
      </c>
    </row>
    <row r="18" spans="1:14" ht="15">
      <c r="A18" s="13" t="s">
        <v>14</v>
      </c>
      <c r="B18" s="14">
        <v>17</v>
      </c>
      <c r="C18" s="15">
        <v>4</v>
      </c>
      <c r="D18" s="14">
        <v>2018</v>
      </c>
      <c r="E18" s="16">
        <f>'Apr 18'!M25</f>
        <v>11799.999999999727</v>
      </c>
      <c r="F18" s="17">
        <v>1241.5396698600277</v>
      </c>
      <c r="G18" s="16">
        <f>'Apr 18'!Z25</f>
        <v>145</v>
      </c>
      <c r="H18" s="17">
        <v>11650</v>
      </c>
      <c r="I18" s="16">
        <f>'Apr 18'!AC25</f>
        <v>0</v>
      </c>
      <c r="J18" s="18">
        <v>10700</v>
      </c>
      <c r="K18" s="16">
        <f>'Apr 18'!AP25</f>
        <v>252</v>
      </c>
      <c r="L18" s="45">
        <v>8907.5620711166557</v>
      </c>
      <c r="M18" s="47">
        <v>33</v>
      </c>
      <c r="N18" s="44">
        <v>177</v>
      </c>
    </row>
    <row r="19" spans="1:14" ht="15">
      <c r="A19" s="13" t="s">
        <v>14</v>
      </c>
      <c r="B19" s="14">
        <v>18</v>
      </c>
      <c r="C19" s="15">
        <v>4</v>
      </c>
      <c r="D19" s="14">
        <v>2018</v>
      </c>
      <c r="E19" s="16">
        <f>'Apr 18'!M26</f>
        <v>12080.000000000155</v>
      </c>
      <c r="F19" s="17">
        <v>1241.5396698600277</v>
      </c>
      <c r="G19" s="16">
        <f>'Apr 18'!Z26</f>
        <v>145</v>
      </c>
      <c r="H19" s="17">
        <v>11650</v>
      </c>
      <c r="I19" s="16">
        <f>'Apr 18'!AC26</f>
        <v>0</v>
      </c>
      <c r="J19" s="18">
        <v>10700</v>
      </c>
      <c r="K19" s="16">
        <f>'Apr 18'!AP26</f>
        <v>254</v>
      </c>
      <c r="L19" s="45">
        <v>8907.5620711166557</v>
      </c>
      <c r="M19" s="47">
        <v>32</v>
      </c>
      <c r="N19" s="44">
        <v>243</v>
      </c>
    </row>
    <row r="20" spans="1:14" ht="15">
      <c r="A20" s="13" t="s">
        <v>14</v>
      </c>
      <c r="B20" s="14">
        <v>19</v>
      </c>
      <c r="C20" s="15">
        <v>4</v>
      </c>
      <c r="D20" s="14">
        <v>2018</v>
      </c>
      <c r="E20" s="16">
        <f>'Apr 18'!M27</f>
        <v>11860.000000000127</v>
      </c>
      <c r="F20" s="17">
        <v>1241.5396698600277</v>
      </c>
      <c r="G20" s="16">
        <f>'Apr 18'!Z27</f>
        <v>145</v>
      </c>
      <c r="H20" s="17">
        <v>11650</v>
      </c>
      <c r="I20" s="16">
        <f>'Apr 18'!AC27</f>
        <v>0</v>
      </c>
      <c r="J20" s="18">
        <v>10700</v>
      </c>
      <c r="K20" s="16">
        <f>'Apr 18'!AP27</f>
        <v>245</v>
      </c>
      <c r="L20" s="45">
        <v>8907.5620711166557</v>
      </c>
      <c r="M20" s="47">
        <v>38</v>
      </c>
      <c r="N20" s="44">
        <v>286</v>
      </c>
    </row>
    <row r="21" spans="1:14" ht="15">
      <c r="A21" s="13" t="s">
        <v>14</v>
      </c>
      <c r="B21" s="14">
        <v>20</v>
      </c>
      <c r="C21" s="15">
        <v>4</v>
      </c>
      <c r="D21" s="14">
        <v>2018</v>
      </c>
      <c r="E21" s="16">
        <f>'Apr 18'!M28</f>
        <v>11980.000000000246</v>
      </c>
      <c r="F21" s="17">
        <v>1241.5396698600277</v>
      </c>
      <c r="G21" s="16">
        <f>'Apr 18'!Z28</f>
        <v>145</v>
      </c>
      <c r="H21" s="17">
        <v>11650</v>
      </c>
      <c r="I21" s="16">
        <f>'Apr 18'!AC28</f>
        <v>190</v>
      </c>
      <c r="J21" s="18">
        <v>10700</v>
      </c>
      <c r="K21" s="16">
        <f>'Apr 18'!AP28</f>
        <v>263</v>
      </c>
      <c r="L21" s="45">
        <v>8907.5620711166557</v>
      </c>
      <c r="M21" s="47">
        <v>47</v>
      </c>
      <c r="N21" s="44">
        <v>273</v>
      </c>
    </row>
    <row r="22" spans="1:14" ht="15">
      <c r="A22" s="13" t="s">
        <v>14</v>
      </c>
      <c r="B22" s="14">
        <v>21</v>
      </c>
      <c r="C22" s="15">
        <v>4</v>
      </c>
      <c r="D22" s="14">
        <v>2018</v>
      </c>
      <c r="E22" s="16">
        <f>'Apr 18'!M29</f>
        <v>10840.000000000146</v>
      </c>
      <c r="F22" s="17">
        <v>1241.5396698600277</v>
      </c>
      <c r="G22" s="16">
        <f>'Apr 18'!Z29</f>
        <v>145</v>
      </c>
      <c r="H22" s="17">
        <v>11650</v>
      </c>
      <c r="I22" s="16">
        <f>'Apr 18'!AC29</f>
        <v>0</v>
      </c>
      <c r="J22" s="18">
        <v>10700</v>
      </c>
      <c r="K22" s="16">
        <f>'Apr 18'!AP29</f>
        <v>244</v>
      </c>
      <c r="L22" s="45">
        <v>8907.5620711166557</v>
      </c>
      <c r="M22" s="47">
        <v>49</v>
      </c>
      <c r="N22" s="44">
        <v>340</v>
      </c>
    </row>
    <row r="23" spans="1:14" ht="15">
      <c r="A23" s="13" t="s">
        <v>14</v>
      </c>
      <c r="B23" s="14">
        <v>22</v>
      </c>
      <c r="C23" s="15">
        <v>4</v>
      </c>
      <c r="D23" s="14">
        <v>2018</v>
      </c>
      <c r="E23" s="16">
        <f>'Apr 18'!M30</f>
        <v>12999.999999999773</v>
      </c>
      <c r="F23" s="17">
        <v>1241.5396698600277</v>
      </c>
      <c r="G23" s="16">
        <f>'Apr 18'!Z30</f>
        <v>145</v>
      </c>
      <c r="H23" s="17">
        <v>11650</v>
      </c>
      <c r="I23" s="16">
        <f>'Apr 18'!AC30</f>
        <v>0</v>
      </c>
      <c r="J23" s="18">
        <v>10700</v>
      </c>
      <c r="K23" s="16">
        <f>'Apr 18'!AP30</f>
        <v>227</v>
      </c>
      <c r="L23" s="45">
        <v>8907.5620711166557</v>
      </c>
      <c r="M23" s="47">
        <v>52</v>
      </c>
      <c r="N23" s="44">
        <v>297</v>
      </c>
    </row>
    <row r="24" spans="1:14" ht="15">
      <c r="A24" s="13" t="s">
        <v>14</v>
      </c>
      <c r="B24" s="14">
        <v>23</v>
      </c>
      <c r="C24" s="15">
        <v>4</v>
      </c>
      <c r="D24" s="14">
        <v>2018</v>
      </c>
      <c r="E24" s="16">
        <f>'Apr 18'!M31</f>
        <v>11557.999999999538</v>
      </c>
      <c r="F24" s="17">
        <v>1241.5396698600277</v>
      </c>
      <c r="G24" s="16">
        <f>'Apr 18'!Z31</f>
        <v>145</v>
      </c>
      <c r="H24" s="17">
        <v>11650</v>
      </c>
      <c r="I24" s="16">
        <f>'Apr 18'!AC31</f>
        <v>0</v>
      </c>
      <c r="J24" s="18">
        <v>10700</v>
      </c>
      <c r="K24" s="16">
        <f>'Apr 18'!AP31</f>
        <v>259</v>
      </c>
      <c r="L24" s="45">
        <v>8907.5620711166557</v>
      </c>
      <c r="M24" s="47">
        <v>38</v>
      </c>
      <c r="N24" s="44">
        <v>322</v>
      </c>
    </row>
    <row r="25" spans="1:14" ht="15">
      <c r="A25" s="13" t="s">
        <v>14</v>
      </c>
      <c r="B25" s="14">
        <v>24</v>
      </c>
      <c r="C25" s="15">
        <v>4</v>
      </c>
      <c r="D25" s="14">
        <v>2018</v>
      </c>
      <c r="E25" s="16">
        <f>'Apr 18'!M32</f>
        <v>11501.999999999953</v>
      </c>
      <c r="F25" s="17">
        <v>1241.5396698600277</v>
      </c>
      <c r="G25" s="16">
        <f>'Apr 18'!Z32</f>
        <v>145</v>
      </c>
      <c r="H25" s="17">
        <v>11650</v>
      </c>
      <c r="I25" s="16">
        <f>'Apr 18'!AC32</f>
        <v>0</v>
      </c>
      <c r="J25" s="18">
        <v>10700</v>
      </c>
      <c r="K25" s="16">
        <f>'Apr 18'!AP32</f>
        <v>221</v>
      </c>
      <c r="L25" s="45">
        <v>8907.5620711166557</v>
      </c>
      <c r="M25" s="47">
        <v>38</v>
      </c>
      <c r="N25" s="44">
        <v>289</v>
      </c>
    </row>
    <row r="26" spans="1:14" ht="15">
      <c r="A26" s="13" t="s">
        <v>14</v>
      </c>
      <c r="B26" s="14">
        <v>25</v>
      </c>
      <c r="C26" s="15">
        <v>4</v>
      </c>
      <c r="D26" s="14">
        <v>2018</v>
      </c>
      <c r="E26" s="16">
        <f>'Apr 18'!M33</f>
        <v>11640.000000000327</v>
      </c>
      <c r="F26" s="17">
        <v>1241.5396698600277</v>
      </c>
      <c r="G26" s="16">
        <f>'Apr 18'!Z33</f>
        <v>145</v>
      </c>
      <c r="H26" s="17">
        <v>11650</v>
      </c>
      <c r="I26" s="16">
        <f>'Apr 18'!AC33</f>
        <v>0</v>
      </c>
      <c r="J26" s="18">
        <v>10700</v>
      </c>
      <c r="K26" s="16">
        <f>'Apr 18'!AP33</f>
        <v>231</v>
      </c>
      <c r="L26" s="45">
        <v>8907.5620711166557</v>
      </c>
      <c r="M26" s="47">
        <v>41</v>
      </c>
      <c r="N26" s="44">
        <v>304</v>
      </c>
    </row>
    <row r="27" spans="1:14" ht="15">
      <c r="A27" s="13" t="s">
        <v>14</v>
      </c>
      <c r="B27" s="14">
        <v>26</v>
      </c>
      <c r="C27" s="15">
        <v>4</v>
      </c>
      <c r="D27" s="14">
        <v>2018</v>
      </c>
      <c r="E27" s="16">
        <f>'Apr 18'!M34</f>
        <v>11680.000000000064</v>
      </c>
      <c r="F27" s="17">
        <v>1241.5396698600277</v>
      </c>
      <c r="G27" s="16">
        <f>'Apr 18'!Z34</f>
        <v>145</v>
      </c>
      <c r="H27" s="17">
        <v>11650</v>
      </c>
      <c r="I27" s="16">
        <f>'Apr 18'!AC34</f>
        <v>190</v>
      </c>
      <c r="J27" s="18">
        <v>10700</v>
      </c>
      <c r="K27" s="16">
        <f>'Apr 18'!AP34</f>
        <v>221</v>
      </c>
      <c r="L27" s="45">
        <v>8907.5620711166557</v>
      </c>
      <c r="M27" s="47">
        <v>45</v>
      </c>
      <c r="N27" s="44">
        <v>285</v>
      </c>
    </row>
    <row r="28" spans="1:14" ht="15">
      <c r="A28" s="13" t="s">
        <v>14</v>
      </c>
      <c r="B28" s="14">
        <v>27</v>
      </c>
      <c r="C28" s="15">
        <v>4</v>
      </c>
      <c r="D28" s="14">
        <v>2018</v>
      </c>
      <c r="E28" s="16">
        <f>'Apr 18'!M35</f>
        <v>11300.000000000182</v>
      </c>
      <c r="F28" s="17">
        <v>1241.5396698600277</v>
      </c>
      <c r="G28" s="16">
        <f>'Apr 18'!Z35</f>
        <v>145</v>
      </c>
      <c r="H28" s="17">
        <v>11650</v>
      </c>
      <c r="I28" s="16">
        <f>'Apr 18'!AC35</f>
        <v>0</v>
      </c>
      <c r="J28" s="18">
        <v>10700</v>
      </c>
      <c r="K28" s="16">
        <f>'Apr 18'!AP35</f>
        <v>254</v>
      </c>
      <c r="L28" s="45">
        <v>8907.5620711166557</v>
      </c>
      <c r="M28" s="47">
        <v>52</v>
      </c>
      <c r="N28" s="44">
        <v>280</v>
      </c>
    </row>
    <row r="29" spans="1:14" ht="15">
      <c r="A29" s="13" t="s">
        <v>14</v>
      </c>
      <c r="B29" s="14">
        <v>28</v>
      </c>
      <c r="C29" s="15">
        <v>4</v>
      </c>
      <c r="D29" s="14">
        <v>2018</v>
      </c>
      <c r="E29" s="16">
        <f>'Apr 18'!M36</f>
        <v>12739.999999999782</v>
      </c>
      <c r="F29" s="17">
        <v>1241.5396698600277</v>
      </c>
      <c r="G29" s="16">
        <f>'Apr 18'!Z36</f>
        <v>145</v>
      </c>
      <c r="H29" s="17">
        <v>11650</v>
      </c>
      <c r="I29" s="16">
        <f>'Apr 18'!AC36</f>
        <v>0</v>
      </c>
      <c r="J29" s="18">
        <v>10700</v>
      </c>
      <c r="K29" s="16">
        <f>'Apr 18'!AP36</f>
        <v>226</v>
      </c>
      <c r="L29" s="45">
        <v>8907.5620711166557</v>
      </c>
      <c r="M29" s="47">
        <v>51</v>
      </c>
      <c r="N29" s="44">
        <v>288</v>
      </c>
    </row>
    <row r="30" spans="1:14" ht="15">
      <c r="A30" s="13" t="s">
        <v>14</v>
      </c>
      <c r="B30" s="14">
        <v>29</v>
      </c>
      <c r="C30" s="15">
        <v>4</v>
      </c>
      <c r="D30" s="14">
        <v>2018</v>
      </c>
      <c r="E30" s="16">
        <f>'Apr 18'!M37</f>
        <v>10000.000000000455</v>
      </c>
      <c r="F30" s="17">
        <v>1241.5396698600277</v>
      </c>
      <c r="G30" s="16">
        <f>'Apr 18'!Z37</f>
        <v>145</v>
      </c>
      <c r="H30" s="17">
        <v>11650</v>
      </c>
      <c r="I30" s="16">
        <f>'Apr 18'!AC37</f>
        <v>0</v>
      </c>
      <c r="J30" s="18">
        <v>10700</v>
      </c>
      <c r="K30" s="16">
        <f>'Apr 18'!AP37</f>
        <v>213</v>
      </c>
      <c r="L30" s="45">
        <v>8907.5620711166557</v>
      </c>
      <c r="M30" s="47">
        <v>46</v>
      </c>
      <c r="N30" s="44">
        <v>240</v>
      </c>
    </row>
    <row r="31" spans="1:14" ht="15">
      <c r="A31" s="13" t="s">
        <v>14</v>
      </c>
      <c r="B31" s="14">
        <v>30</v>
      </c>
      <c r="C31" s="15">
        <v>4</v>
      </c>
      <c r="D31" s="14">
        <v>2018</v>
      </c>
      <c r="E31" s="16">
        <f>'Apr 18'!M38</f>
        <v>11579.9999999997</v>
      </c>
      <c r="F31" s="17">
        <v>1241.5396698600277</v>
      </c>
      <c r="G31" s="16">
        <f>'Apr 18'!Z38</f>
        <v>145</v>
      </c>
      <c r="H31" s="17">
        <v>11650</v>
      </c>
      <c r="I31" s="16">
        <f>'Apr 18'!AC38</f>
        <v>0</v>
      </c>
      <c r="J31" s="18">
        <v>10700</v>
      </c>
      <c r="K31" s="16">
        <f>'Apr 18'!AP38</f>
        <v>201</v>
      </c>
      <c r="L31" s="45">
        <v>8907.5620711166557</v>
      </c>
      <c r="M31" s="47">
        <v>47</v>
      </c>
      <c r="N31" s="44">
        <v>294</v>
      </c>
    </row>
    <row r="32" spans="1:14" ht="15">
      <c r="E32" s="59">
        <f>SUM(E2:E31)</f>
        <v>348640.00000000052</v>
      </c>
      <c r="F32" s="17">
        <v>1241.5396698600277</v>
      </c>
      <c r="G32" s="59">
        <f t="shared" ref="F32:N32" si="0">SUM(G2:G31)</f>
        <v>4350</v>
      </c>
      <c r="H32" s="17">
        <v>11650</v>
      </c>
      <c r="I32" s="59">
        <f t="shared" si="0"/>
        <v>950</v>
      </c>
      <c r="J32" s="18">
        <v>10700</v>
      </c>
      <c r="K32" s="59">
        <f t="shared" si="0"/>
        <v>6412</v>
      </c>
      <c r="L32" s="45">
        <v>8907.5620711166557</v>
      </c>
      <c r="M32" s="59">
        <f t="shared" si="0"/>
        <v>1238</v>
      </c>
      <c r="N32" s="59">
        <f t="shared" si="0"/>
        <v>8092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3E2C-BB1E-4A60-84B2-B71346EF1138}">
  <dimension ref="A1:AQ40"/>
  <sheetViews>
    <sheetView topLeftCell="M1" workbookViewId="0">
      <selection activeCell="AI40" sqref="AI40"/>
    </sheetView>
  </sheetViews>
  <sheetFormatPr defaultRowHeight="15"/>
  <cols>
    <col min="2" max="2" width="10.85546875" style="41" bestFit="1" customWidth="1"/>
    <col min="3" max="5" width="9.140625" style="20"/>
    <col min="6" max="6" width="11.85546875" style="20" bestFit="1" customWidth="1"/>
    <col min="7" max="7" width="15.85546875" style="20" bestFit="1" customWidth="1"/>
    <col min="8" max="8" width="9.140625" style="20"/>
    <col min="9" max="9" width="10.85546875" style="20" bestFit="1" customWidth="1"/>
    <col min="10" max="10" width="14.7109375" style="20" bestFit="1" customWidth="1"/>
    <col min="11" max="11" width="18" style="20" customWidth="1"/>
    <col min="12" max="13" width="17" style="20" customWidth="1"/>
    <col min="14" max="15" width="9.7109375" style="26" bestFit="1" customWidth="1"/>
    <col min="16" max="16" width="16.140625" style="26" customWidth="1"/>
    <col min="17" max="18" width="9.140625" style="26"/>
    <col min="19" max="19" width="18.140625" style="26" customWidth="1"/>
    <col min="20" max="20" width="13" style="26" bestFit="1" customWidth="1"/>
    <col min="21" max="21" width="9.140625" style="26"/>
    <col min="22" max="22" width="14.85546875" style="26" customWidth="1"/>
    <col min="23" max="23" width="9.140625" style="26"/>
    <col min="24" max="24" width="9.140625" style="20"/>
    <col min="25" max="25" width="15.5703125" style="20" customWidth="1"/>
    <col min="26" max="26" width="9.7109375" style="20" bestFit="1" customWidth="1"/>
    <col min="27" max="27" width="13.7109375" style="20" customWidth="1"/>
    <col min="28" max="30" width="9.140625" style="20"/>
    <col min="31" max="31" width="13.28515625" style="20" customWidth="1"/>
    <col min="32" max="33" width="9.140625" style="20"/>
    <col min="34" max="34" width="9.7109375" style="20" bestFit="1" customWidth="1"/>
    <col min="35" max="41" width="15.140625" style="20" customWidth="1"/>
    <col min="42" max="42" width="9.7109375" style="20" bestFit="1" customWidth="1"/>
    <col min="43" max="43" width="9.140625" style="20"/>
  </cols>
  <sheetData>
    <row r="1" spans="1:43" ht="12.75" customHeight="1">
      <c r="A1" s="1"/>
      <c r="B1" s="60" t="s">
        <v>15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23" t="s">
        <v>16</v>
      </c>
      <c r="N1" s="60" t="s">
        <v>16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1:43" ht="12.75" customHeight="1">
      <c r="A2" s="1"/>
      <c r="B2" s="60" t="s">
        <v>17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23" t="s">
        <v>16</v>
      </c>
      <c r="N2" s="60">
        <f>582500/50</f>
        <v>11650</v>
      </c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>
      <c r="A3" s="1"/>
      <c r="B3" s="40" t="s">
        <v>16</v>
      </c>
      <c r="C3" s="25" t="s">
        <v>16</v>
      </c>
      <c r="D3" s="25" t="s">
        <v>16</v>
      </c>
      <c r="E3" s="25" t="s">
        <v>16</v>
      </c>
      <c r="F3" s="25" t="s">
        <v>16</v>
      </c>
      <c r="G3" s="25" t="s">
        <v>16</v>
      </c>
      <c r="H3" s="25" t="s">
        <v>16</v>
      </c>
      <c r="I3" s="25" t="s">
        <v>16</v>
      </c>
      <c r="J3" s="25" t="s">
        <v>16</v>
      </c>
      <c r="K3" s="25" t="s">
        <v>16</v>
      </c>
      <c r="L3" s="25" t="s">
        <v>16</v>
      </c>
      <c r="M3" s="23" t="s">
        <v>16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>
      <c r="A4" s="2" t="s">
        <v>16</v>
      </c>
      <c r="B4" s="61" t="s">
        <v>18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57" t="s">
        <v>19</v>
      </c>
      <c r="O4" s="57"/>
      <c r="P4" s="57"/>
      <c r="Q4" s="57" t="s">
        <v>20</v>
      </c>
      <c r="R4" s="57"/>
      <c r="S4" s="57"/>
      <c r="T4" s="57" t="s">
        <v>21</v>
      </c>
      <c r="U4" s="57"/>
      <c r="V4" s="57"/>
      <c r="W4" s="57" t="s">
        <v>22</v>
      </c>
      <c r="X4" s="57"/>
      <c r="Y4" s="57"/>
      <c r="Z4" s="58" t="s">
        <v>23</v>
      </c>
      <c r="AA4" s="58"/>
      <c r="AB4" s="58"/>
      <c r="AC4" s="48" t="s">
        <v>24</v>
      </c>
      <c r="AD4" s="48"/>
      <c r="AE4" s="48"/>
      <c r="AF4" s="51" t="s">
        <v>25</v>
      </c>
      <c r="AG4" s="48" t="s">
        <v>26</v>
      </c>
      <c r="AH4" s="53" t="s">
        <v>27</v>
      </c>
      <c r="AI4" s="53"/>
      <c r="AJ4" s="53" t="s">
        <v>28</v>
      </c>
      <c r="AK4" s="53"/>
      <c r="AL4" s="53"/>
      <c r="AM4" s="53"/>
      <c r="AN4" s="52" t="s">
        <v>29</v>
      </c>
      <c r="AO4" s="52" t="s">
        <v>30</v>
      </c>
      <c r="AP4" s="52" t="s">
        <v>31</v>
      </c>
      <c r="AQ4" s="52" t="s">
        <v>32</v>
      </c>
    </row>
    <row r="5" spans="1:43">
      <c r="A5" s="3" t="s">
        <v>16</v>
      </c>
      <c r="B5" s="54" t="s">
        <v>33</v>
      </c>
      <c r="C5" s="55" t="s">
        <v>34</v>
      </c>
      <c r="D5" s="55" t="s">
        <v>13</v>
      </c>
      <c r="E5" s="62" t="s">
        <v>35</v>
      </c>
      <c r="F5" s="62"/>
      <c r="G5" s="62"/>
      <c r="H5" s="62" t="s">
        <v>36</v>
      </c>
      <c r="I5" s="62"/>
      <c r="J5" s="62"/>
      <c r="K5" s="50" t="s">
        <v>37</v>
      </c>
      <c r="L5" s="50" t="s">
        <v>38</v>
      </c>
      <c r="M5" s="50" t="s">
        <v>39</v>
      </c>
      <c r="N5" s="57" t="s">
        <v>40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8"/>
      <c r="AA5" s="58"/>
      <c r="AB5" s="58"/>
      <c r="AC5" s="48"/>
      <c r="AD5" s="48"/>
      <c r="AE5" s="48"/>
      <c r="AF5" s="51"/>
      <c r="AG5" s="48"/>
      <c r="AH5" s="52" t="s">
        <v>41</v>
      </c>
      <c r="AI5" s="52" t="s">
        <v>42</v>
      </c>
      <c r="AJ5" s="52" t="s">
        <v>41</v>
      </c>
      <c r="AK5" s="52" t="s">
        <v>43</v>
      </c>
      <c r="AL5" s="52" t="s">
        <v>41</v>
      </c>
      <c r="AM5" s="52" t="s">
        <v>44</v>
      </c>
      <c r="AN5" s="52"/>
      <c r="AO5" s="52"/>
      <c r="AP5" s="52"/>
      <c r="AQ5" s="52"/>
    </row>
    <row r="6" spans="1:43" s="6" customFormat="1" ht="37.5" customHeight="1">
      <c r="A6" s="5" t="s">
        <v>16</v>
      </c>
      <c r="B6" s="54"/>
      <c r="C6" s="55"/>
      <c r="D6" s="55"/>
      <c r="E6" s="56" t="s">
        <v>45</v>
      </c>
      <c r="F6" s="56" t="s">
        <v>46</v>
      </c>
      <c r="G6" s="56" t="s">
        <v>47</v>
      </c>
      <c r="H6" s="56" t="s">
        <v>45</v>
      </c>
      <c r="I6" s="56" t="s">
        <v>46</v>
      </c>
      <c r="J6" s="56" t="s">
        <v>48</v>
      </c>
      <c r="K6" s="50"/>
      <c r="L6" s="50"/>
      <c r="M6" s="50"/>
      <c r="N6" s="32" t="s">
        <v>49</v>
      </c>
      <c r="O6" s="32" t="s">
        <v>50</v>
      </c>
      <c r="P6" s="32" t="s">
        <v>51</v>
      </c>
      <c r="Q6" s="32" t="s">
        <v>52</v>
      </c>
      <c r="R6" s="32" t="s">
        <v>50</v>
      </c>
      <c r="S6" s="32" t="s">
        <v>51</v>
      </c>
      <c r="T6" s="32" t="s">
        <v>49</v>
      </c>
      <c r="U6" s="32" t="s">
        <v>50</v>
      </c>
      <c r="V6" s="32" t="s">
        <v>53</v>
      </c>
      <c r="W6" s="32" t="s">
        <v>54</v>
      </c>
      <c r="X6" s="33" t="s">
        <v>50</v>
      </c>
      <c r="Y6" s="33" t="s">
        <v>53</v>
      </c>
      <c r="Z6" s="58"/>
      <c r="AA6" s="58"/>
      <c r="AB6" s="58"/>
      <c r="AC6" s="34" t="s">
        <v>49</v>
      </c>
      <c r="AD6" s="49" t="s">
        <v>55</v>
      </c>
      <c r="AE6" s="34" t="s">
        <v>56</v>
      </c>
      <c r="AF6" s="51"/>
      <c r="AG6" s="48"/>
      <c r="AH6" s="52"/>
      <c r="AI6" s="52"/>
      <c r="AJ6" s="52"/>
      <c r="AK6" s="52"/>
      <c r="AL6" s="52"/>
      <c r="AM6" s="52"/>
      <c r="AN6" s="52"/>
      <c r="AO6" s="52"/>
      <c r="AP6" s="52"/>
      <c r="AQ6" s="52"/>
    </row>
    <row r="7" spans="1:43" s="6" customFormat="1" ht="47.25" customHeight="1">
      <c r="A7" s="7" t="s">
        <v>16</v>
      </c>
      <c r="B7" s="54"/>
      <c r="C7" s="55"/>
      <c r="D7" s="55"/>
      <c r="E7" s="56"/>
      <c r="F7" s="56"/>
      <c r="G7" s="56"/>
      <c r="H7" s="56"/>
      <c r="I7" s="56"/>
      <c r="J7" s="56"/>
      <c r="K7" s="50"/>
      <c r="L7" s="50"/>
      <c r="M7" s="50"/>
      <c r="N7" s="32" t="s">
        <v>16</v>
      </c>
      <c r="O7" s="32" t="s">
        <v>16</v>
      </c>
      <c r="P7" s="32">
        <v>11650</v>
      </c>
      <c r="Q7" s="32" t="s">
        <v>16</v>
      </c>
      <c r="R7" s="32" t="s">
        <v>16</v>
      </c>
      <c r="S7" s="32">
        <v>11650</v>
      </c>
      <c r="T7" s="32" t="s">
        <v>16</v>
      </c>
      <c r="U7" s="32" t="s">
        <v>16</v>
      </c>
      <c r="V7" s="32">
        <v>11650</v>
      </c>
      <c r="W7" s="32" t="s">
        <v>16</v>
      </c>
      <c r="X7" s="33" t="s">
        <v>16</v>
      </c>
      <c r="Y7" s="32">
        <v>11650</v>
      </c>
      <c r="Z7" s="32" t="s">
        <v>57</v>
      </c>
      <c r="AA7" s="35" t="s">
        <v>58</v>
      </c>
      <c r="AB7" s="32" t="s">
        <v>26</v>
      </c>
      <c r="AC7" s="34"/>
      <c r="AD7" s="49"/>
      <c r="AE7" s="34" t="s">
        <v>59</v>
      </c>
      <c r="AF7" s="51"/>
      <c r="AG7" s="48"/>
      <c r="AH7" s="52"/>
      <c r="AI7" s="52"/>
      <c r="AJ7" s="52"/>
      <c r="AK7" s="52"/>
      <c r="AL7" s="52"/>
      <c r="AM7" s="52"/>
      <c r="AN7" s="52"/>
      <c r="AO7" s="52"/>
      <c r="AP7" s="52"/>
      <c r="AQ7" s="52"/>
    </row>
    <row r="8" spans="1:43" s="6" customFormat="1" ht="20.25" customHeight="1">
      <c r="A8" s="7"/>
      <c r="B8" s="42"/>
      <c r="C8" s="30"/>
      <c r="D8" s="30"/>
      <c r="E8" s="31"/>
      <c r="F8" s="31"/>
      <c r="G8" s="31"/>
      <c r="H8" s="31"/>
      <c r="I8" s="31"/>
      <c r="J8" s="31"/>
      <c r="K8" s="36"/>
      <c r="L8" s="36">
        <v>0</v>
      </c>
      <c r="M8" s="36"/>
      <c r="N8" s="37">
        <f>87*50</f>
        <v>4350</v>
      </c>
      <c r="O8" s="32"/>
      <c r="P8" s="32"/>
      <c r="Q8" s="32"/>
      <c r="R8" s="32"/>
      <c r="S8" s="32"/>
      <c r="T8" s="32"/>
      <c r="U8" s="32"/>
      <c r="V8" s="32"/>
      <c r="W8" s="32"/>
      <c r="X8" s="33"/>
      <c r="Y8" s="33"/>
      <c r="Z8" s="32"/>
      <c r="AA8" s="35"/>
      <c r="AB8" s="32"/>
      <c r="AC8" s="34">
        <v>950</v>
      </c>
      <c r="AD8" s="34"/>
      <c r="AE8" s="34"/>
      <c r="AF8" s="27"/>
      <c r="AG8" s="28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4" t="s">
        <v>16</v>
      </c>
      <c r="B9" s="22">
        <v>43191</v>
      </c>
      <c r="C9" s="38"/>
      <c r="D9" s="38"/>
      <c r="E9" s="21">
        <v>4.6600000000003092</v>
      </c>
      <c r="F9" s="21">
        <f>E9*2000</f>
        <v>9320.0000000006185</v>
      </c>
      <c r="G9" s="21">
        <f>F9*1035.5</f>
        <v>9650860.0000006407</v>
      </c>
      <c r="H9" s="21">
        <v>1.05000000000007</v>
      </c>
      <c r="I9" s="21">
        <f>H9*2000</f>
        <v>2100.0000000001401</v>
      </c>
      <c r="J9" s="21">
        <f>I9*1553.25</f>
        <v>3261825.0000002175</v>
      </c>
      <c r="K9" s="21">
        <f>J9+G9</f>
        <v>12912685.000000859</v>
      </c>
      <c r="L9" s="21">
        <f>K9*1.1</f>
        <v>14203953.500000946</v>
      </c>
      <c r="M9" s="38">
        <f>F9+I9</f>
        <v>11420.000000000759</v>
      </c>
      <c r="N9" s="37">
        <f>N8*70%</f>
        <v>3045</v>
      </c>
      <c r="O9" s="37">
        <f>N9/30</f>
        <v>101.5</v>
      </c>
      <c r="P9" s="37">
        <f>O9*11650</f>
        <v>1182475</v>
      </c>
      <c r="Q9" s="37">
        <f>N8*20%</f>
        <v>870</v>
      </c>
      <c r="R9" s="37">
        <f>Q9/30</f>
        <v>29</v>
      </c>
      <c r="S9" s="37">
        <f>R9*11650</f>
        <v>337850</v>
      </c>
      <c r="T9" s="37">
        <f>N8*7%</f>
        <v>304.50000000000006</v>
      </c>
      <c r="U9" s="37">
        <f>T9/30</f>
        <v>10.150000000000002</v>
      </c>
      <c r="V9" s="37">
        <f>U9*11650</f>
        <v>118247.50000000003</v>
      </c>
      <c r="W9" s="37">
        <f>N8*3%</f>
        <v>130.5</v>
      </c>
      <c r="X9" s="21">
        <f>W9/30</f>
        <v>4.3499999999999996</v>
      </c>
      <c r="Y9" s="21">
        <f>X9*11650</f>
        <v>50677.499999999993</v>
      </c>
      <c r="Z9" s="21">
        <f>O9+R9+U9+X9</f>
        <v>145</v>
      </c>
      <c r="AA9" s="21">
        <f>P9+S9+V9+Y9</f>
        <v>1689250</v>
      </c>
      <c r="AB9" s="21"/>
      <c r="AC9" s="38">
        <f>AC8/5</f>
        <v>190</v>
      </c>
      <c r="AD9" s="38"/>
      <c r="AE9" s="38">
        <v>10700</v>
      </c>
      <c r="AF9" s="38"/>
      <c r="AG9" s="21"/>
      <c r="AH9" s="21">
        <v>43</v>
      </c>
      <c r="AI9" s="21">
        <f>AH9*13582</f>
        <v>584026</v>
      </c>
      <c r="AJ9" s="21">
        <v>61</v>
      </c>
      <c r="AK9" s="21">
        <f>AJ9*4000</f>
        <v>244000</v>
      </c>
      <c r="AL9" s="21">
        <v>53</v>
      </c>
      <c r="AM9" s="21">
        <f>AL9*4000</f>
        <v>212000</v>
      </c>
      <c r="AN9" s="21">
        <v>10</v>
      </c>
      <c r="AO9" s="21">
        <f>AI9+AK9+AM9</f>
        <v>1040026</v>
      </c>
      <c r="AP9" s="21">
        <f>AH9+AJ9+AL9</f>
        <v>157</v>
      </c>
      <c r="AQ9" s="38"/>
    </row>
    <row r="10" spans="1:43">
      <c r="A10" s="4" t="s">
        <v>16</v>
      </c>
      <c r="B10" s="22">
        <v>43192</v>
      </c>
      <c r="C10" s="38"/>
      <c r="D10" s="38"/>
      <c r="E10" s="21">
        <v>3.5599999999999454</v>
      </c>
      <c r="F10" s="21">
        <f t="shared" ref="F10:F38" si="0">E10*2000</f>
        <v>7119.9999999998909</v>
      </c>
      <c r="G10" s="21">
        <f t="shared" ref="G10:G38" si="1">F10*1035.5</f>
        <v>7372759.9999998873</v>
      </c>
      <c r="H10" s="21">
        <v>1.0099999999999909</v>
      </c>
      <c r="I10" s="21">
        <f t="shared" ref="I10:I38" si="2">H10*2000</f>
        <v>2019.9999999999818</v>
      </c>
      <c r="J10" s="21">
        <f t="shared" ref="J10:J38" si="3">I10*1553.25</f>
        <v>3137564.9999999716</v>
      </c>
      <c r="K10" s="21">
        <f t="shared" ref="K10:K38" si="4">J10+G10</f>
        <v>10510324.999999858</v>
      </c>
      <c r="L10" s="21">
        <f t="shared" ref="L10:L38" si="5">K10*1.1</f>
        <v>11561357.499999845</v>
      </c>
      <c r="M10" s="38">
        <f t="shared" ref="M10:M39" si="6">F10+I10</f>
        <v>9139.9999999998727</v>
      </c>
      <c r="N10" s="37"/>
      <c r="O10" s="37">
        <v>101.5</v>
      </c>
      <c r="P10" s="37">
        <f t="shared" ref="P10:P38" si="7">O10*11650</f>
        <v>1182475</v>
      </c>
      <c r="Q10" s="37"/>
      <c r="R10" s="37">
        <v>29</v>
      </c>
      <c r="S10" s="37">
        <f t="shared" ref="S10:S38" si="8">R10*11650</f>
        <v>337850</v>
      </c>
      <c r="T10" s="37"/>
      <c r="U10" s="37">
        <v>10.150000000000002</v>
      </c>
      <c r="V10" s="37">
        <f t="shared" ref="V10:V38" si="9">U10*11650</f>
        <v>118247.50000000003</v>
      </c>
      <c r="W10" s="37"/>
      <c r="X10" s="21">
        <v>4.3499999999999996</v>
      </c>
      <c r="Y10" s="21">
        <f t="shared" ref="Y10:Y38" si="10">X10*11650</f>
        <v>50677.499999999993</v>
      </c>
      <c r="Z10" s="21">
        <f t="shared" ref="Z10:Z39" si="11">O10+R10+U10+X10</f>
        <v>145</v>
      </c>
      <c r="AA10" s="21">
        <f t="shared" ref="AA10:AA38" si="12">P10+S10+V10+Y10</f>
        <v>1689250</v>
      </c>
      <c r="AB10" s="21"/>
      <c r="AC10" s="38"/>
      <c r="AD10" s="38"/>
      <c r="AE10" s="38">
        <v>10700</v>
      </c>
      <c r="AF10" s="38"/>
      <c r="AG10" s="21"/>
      <c r="AH10" s="21">
        <v>68</v>
      </c>
      <c r="AI10" s="21">
        <f t="shared" ref="AI10:AI38" si="13">AH10*13582</f>
        <v>923576</v>
      </c>
      <c r="AJ10" s="21">
        <v>63</v>
      </c>
      <c r="AK10" s="21">
        <f t="shared" ref="AK10:AK38" si="14">AJ10*4000</f>
        <v>252000</v>
      </c>
      <c r="AL10" s="21">
        <v>55</v>
      </c>
      <c r="AM10" s="21">
        <f t="shared" ref="AM10:AM38" si="15">AL10*4000</f>
        <v>220000</v>
      </c>
      <c r="AN10" s="21">
        <v>10</v>
      </c>
      <c r="AO10" s="21">
        <f t="shared" ref="AO10:AO38" si="16">AI10+AK10+AM10</f>
        <v>1395576</v>
      </c>
      <c r="AP10" s="21">
        <f t="shared" ref="AP10:AP38" si="17">AH10+AJ10+AL10</f>
        <v>186</v>
      </c>
      <c r="AQ10" s="38"/>
    </row>
    <row r="11" spans="1:43">
      <c r="A11" s="4" t="s">
        <v>16</v>
      </c>
      <c r="B11" s="22">
        <v>43193</v>
      </c>
      <c r="C11" s="38"/>
      <c r="D11" s="38"/>
      <c r="E11" s="21">
        <v>4.6700000000000728</v>
      </c>
      <c r="F11" s="21">
        <f t="shared" si="0"/>
        <v>9340.0000000001455</v>
      </c>
      <c r="G11" s="21">
        <f t="shared" si="1"/>
        <v>9671570.0000001509</v>
      </c>
      <c r="H11" s="21">
        <v>1.0499999999999545</v>
      </c>
      <c r="I11" s="21">
        <f t="shared" si="2"/>
        <v>2099.9999999999091</v>
      </c>
      <c r="J11" s="21">
        <f t="shared" si="3"/>
        <v>3261824.9999998589</v>
      </c>
      <c r="K11" s="21">
        <f t="shared" si="4"/>
        <v>12933395.000000009</v>
      </c>
      <c r="L11" s="21">
        <f t="shared" si="5"/>
        <v>14226734.500000011</v>
      </c>
      <c r="M11" s="38">
        <f t="shared" si="6"/>
        <v>11440.000000000055</v>
      </c>
      <c r="N11" s="37"/>
      <c r="O11" s="37">
        <v>101.5</v>
      </c>
      <c r="P11" s="37">
        <f t="shared" si="7"/>
        <v>1182475</v>
      </c>
      <c r="Q11" s="37"/>
      <c r="R11" s="37">
        <v>29</v>
      </c>
      <c r="S11" s="37">
        <f t="shared" si="8"/>
        <v>337850</v>
      </c>
      <c r="T11" s="37"/>
      <c r="U11" s="37">
        <v>10.150000000000002</v>
      </c>
      <c r="V11" s="37">
        <f t="shared" si="9"/>
        <v>118247.50000000003</v>
      </c>
      <c r="W11" s="37"/>
      <c r="X11" s="21">
        <v>4.3499999999999996</v>
      </c>
      <c r="Y11" s="21">
        <f t="shared" si="10"/>
        <v>50677.499999999993</v>
      </c>
      <c r="Z11" s="21">
        <f t="shared" si="11"/>
        <v>145</v>
      </c>
      <c r="AA11" s="21">
        <f t="shared" si="12"/>
        <v>1689250</v>
      </c>
      <c r="AB11" s="21"/>
      <c r="AC11" s="38"/>
      <c r="AD11" s="38"/>
      <c r="AE11" s="38">
        <v>10700</v>
      </c>
      <c r="AF11" s="38"/>
      <c r="AG11" s="21"/>
      <c r="AH11" s="21">
        <v>81</v>
      </c>
      <c r="AI11" s="21">
        <f t="shared" si="13"/>
        <v>1100142</v>
      </c>
      <c r="AJ11" s="21">
        <v>62</v>
      </c>
      <c r="AK11" s="21">
        <f t="shared" si="14"/>
        <v>248000</v>
      </c>
      <c r="AL11" s="21">
        <v>54</v>
      </c>
      <c r="AM11" s="21">
        <f t="shared" si="15"/>
        <v>216000</v>
      </c>
      <c r="AN11" s="21">
        <v>10</v>
      </c>
      <c r="AO11" s="21">
        <f t="shared" si="16"/>
        <v>1564142</v>
      </c>
      <c r="AP11" s="21">
        <f t="shared" si="17"/>
        <v>197</v>
      </c>
      <c r="AQ11" s="38"/>
    </row>
    <row r="12" spans="1:43">
      <c r="A12" s="4" t="s">
        <v>16</v>
      </c>
      <c r="B12" s="22">
        <v>43194</v>
      </c>
      <c r="C12" s="38"/>
      <c r="D12" s="38"/>
      <c r="E12" s="21">
        <v>4.7799999999997453</v>
      </c>
      <c r="F12" s="21">
        <f t="shared" si="0"/>
        <v>9559.9999999994907</v>
      </c>
      <c r="G12" s="21">
        <f t="shared" si="1"/>
        <v>9899379.9999994729</v>
      </c>
      <c r="H12" s="21">
        <v>1.0499999999999545</v>
      </c>
      <c r="I12" s="21">
        <f t="shared" si="2"/>
        <v>2099.9999999999091</v>
      </c>
      <c r="J12" s="21">
        <f t="shared" si="3"/>
        <v>3261824.9999998589</v>
      </c>
      <c r="K12" s="21">
        <f t="shared" si="4"/>
        <v>13161204.999999331</v>
      </c>
      <c r="L12" s="21">
        <f t="shared" si="5"/>
        <v>14477325.499999266</v>
      </c>
      <c r="M12" s="38">
        <f t="shared" si="6"/>
        <v>11659.9999999994</v>
      </c>
      <c r="N12" s="37"/>
      <c r="O12" s="37">
        <v>101.5</v>
      </c>
      <c r="P12" s="37">
        <f t="shared" si="7"/>
        <v>1182475</v>
      </c>
      <c r="Q12" s="37"/>
      <c r="R12" s="37">
        <v>29</v>
      </c>
      <c r="S12" s="37">
        <f t="shared" si="8"/>
        <v>337850</v>
      </c>
      <c r="T12" s="37"/>
      <c r="U12" s="37">
        <v>10.150000000000002</v>
      </c>
      <c r="V12" s="37">
        <f t="shared" si="9"/>
        <v>118247.50000000003</v>
      </c>
      <c r="W12" s="37"/>
      <c r="X12" s="21">
        <v>4.3499999999999996</v>
      </c>
      <c r="Y12" s="21">
        <f t="shared" si="10"/>
        <v>50677.499999999993</v>
      </c>
      <c r="Z12" s="21">
        <f t="shared" si="11"/>
        <v>145</v>
      </c>
      <c r="AA12" s="21">
        <f t="shared" si="12"/>
        <v>1689250</v>
      </c>
      <c r="AB12" s="21"/>
      <c r="AC12" s="38"/>
      <c r="AD12" s="38"/>
      <c r="AE12" s="38">
        <v>10700</v>
      </c>
      <c r="AF12" s="38"/>
      <c r="AG12" s="21"/>
      <c r="AH12" s="21">
        <v>62</v>
      </c>
      <c r="AI12" s="21">
        <f t="shared" si="13"/>
        <v>842084</v>
      </c>
      <c r="AJ12" s="21">
        <v>56</v>
      </c>
      <c r="AK12" s="21">
        <f t="shared" si="14"/>
        <v>224000</v>
      </c>
      <c r="AL12" s="21">
        <v>51</v>
      </c>
      <c r="AM12" s="21">
        <f t="shared" si="15"/>
        <v>204000</v>
      </c>
      <c r="AN12" s="21">
        <v>10</v>
      </c>
      <c r="AO12" s="21">
        <f t="shared" si="16"/>
        <v>1270084</v>
      </c>
      <c r="AP12" s="21">
        <f t="shared" si="17"/>
        <v>169</v>
      </c>
      <c r="AQ12" s="38"/>
    </row>
    <row r="13" spans="1:43">
      <c r="A13" s="4" t="s">
        <v>16</v>
      </c>
      <c r="B13" s="22">
        <v>43195</v>
      </c>
      <c r="C13" s="38"/>
      <c r="D13" s="38"/>
      <c r="E13" s="21">
        <v>5.0100000000002183</v>
      </c>
      <c r="F13" s="21">
        <f t="shared" si="0"/>
        <v>10020.000000000437</v>
      </c>
      <c r="G13" s="21">
        <f t="shared" si="1"/>
        <v>10375710.000000453</v>
      </c>
      <c r="H13" s="21">
        <v>1.0800000000000409</v>
      </c>
      <c r="I13" s="21">
        <f t="shared" si="2"/>
        <v>2160.0000000000819</v>
      </c>
      <c r="J13" s="21">
        <f t="shared" si="3"/>
        <v>3355020.0000001271</v>
      </c>
      <c r="K13" s="21">
        <f t="shared" si="4"/>
        <v>13730730.000000579</v>
      </c>
      <c r="L13" s="21">
        <f t="shared" si="5"/>
        <v>15103803.000000639</v>
      </c>
      <c r="M13" s="38">
        <f t="shared" si="6"/>
        <v>12180.000000000518</v>
      </c>
      <c r="N13" s="37"/>
      <c r="O13" s="37">
        <v>101.5</v>
      </c>
      <c r="P13" s="37">
        <f t="shared" si="7"/>
        <v>1182475</v>
      </c>
      <c r="Q13" s="37"/>
      <c r="R13" s="37">
        <v>29</v>
      </c>
      <c r="S13" s="37">
        <f t="shared" si="8"/>
        <v>337850</v>
      </c>
      <c r="T13" s="37"/>
      <c r="U13" s="37">
        <v>10.150000000000002</v>
      </c>
      <c r="V13" s="37">
        <f t="shared" si="9"/>
        <v>118247.50000000003</v>
      </c>
      <c r="W13" s="37"/>
      <c r="X13" s="21">
        <v>4.3499999999999996</v>
      </c>
      <c r="Y13" s="21">
        <f t="shared" si="10"/>
        <v>50677.499999999993</v>
      </c>
      <c r="Z13" s="21">
        <f t="shared" si="11"/>
        <v>145</v>
      </c>
      <c r="AA13" s="21">
        <f t="shared" si="12"/>
        <v>1689250</v>
      </c>
      <c r="AB13" s="21"/>
      <c r="AC13" s="38"/>
      <c r="AD13" s="38"/>
      <c r="AE13" s="38">
        <v>10700</v>
      </c>
      <c r="AF13" s="38"/>
      <c r="AG13" s="21"/>
      <c r="AH13" s="21">
        <v>59</v>
      </c>
      <c r="AI13" s="21">
        <f t="shared" si="13"/>
        <v>801338</v>
      </c>
      <c r="AJ13" s="21">
        <v>51</v>
      </c>
      <c r="AK13" s="21">
        <f t="shared" si="14"/>
        <v>204000</v>
      </c>
      <c r="AL13" s="21">
        <v>51</v>
      </c>
      <c r="AM13" s="21">
        <f t="shared" si="15"/>
        <v>204000</v>
      </c>
      <c r="AN13" s="21">
        <v>10</v>
      </c>
      <c r="AO13" s="21">
        <f t="shared" si="16"/>
        <v>1209338</v>
      </c>
      <c r="AP13" s="21">
        <f t="shared" si="17"/>
        <v>161</v>
      </c>
      <c r="AQ13" s="38"/>
    </row>
    <row r="14" spans="1:43">
      <c r="A14" s="4" t="s">
        <v>16</v>
      </c>
      <c r="B14" s="22">
        <v>43196</v>
      </c>
      <c r="C14" s="38"/>
      <c r="D14" s="38"/>
      <c r="E14" s="21">
        <v>4.9099999999998545</v>
      </c>
      <c r="F14" s="21">
        <f t="shared" si="0"/>
        <v>9819.999999999709</v>
      </c>
      <c r="G14" s="21">
        <f t="shared" si="1"/>
        <v>10168609.999999698</v>
      </c>
      <c r="H14" s="21">
        <v>1.0500000000000682</v>
      </c>
      <c r="I14" s="21">
        <f t="shared" si="2"/>
        <v>2100.0000000001364</v>
      </c>
      <c r="J14" s="21">
        <f t="shared" si="3"/>
        <v>3261825.0000002119</v>
      </c>
      <c r="K14" s="21">
        <f t="shared" si="4"/>
        <v>13430434.999999911</v>
      </c>
      <c r="L14" s="21">
        <f t="shared" si="5"/>
        <v>14773478.499999903</v>
      </c>
      <c r="M14" s="38">
        <f t="shared" si="6"/>
        <v>11919.999999999845</v>
      </c>
      <c r="N14" s="37"/>
      <c r="O14" s="37">
        <v>101.5</v>
      </c>
      <c r="P14" s="37">
        <f t="shared" si="7"/>
        <v>1182475</v>
      </c>
      <c r="Q14" s="37"/>
      <c r="R14" s="37">
        <v>29</v>
      </c>
      <c r="S14" s="37">
        <f t="shared" si="8"/>
        <v>337850</v>
      </c>
      <c r="T14" s="37"/>
      <c r="U14" s="37">
        <v>10.150000000000002</v>
      </c>
      <c r="V14" s="37">
        <f t="shared" si="9"/>
        <v>118247.50000000003</v>
      </c>
      <c r="W14" s="37"/>
      <c r="X14" s="21">
        <v>4.3499999999999996</v>
      </c>
      <c r="Y14" s="21">
        <f t="shared" si="10"/>
        <v>50677.499999999993</v>
      </c>
      <c r="Z14" s="21">
        <f t="shared" si="11"/>
        <v>145</v>
      </c>
      <c r="AA14" s="21">
        <f t="shared" si="12"/>
        <v>1689250</v>
      </c>
      <c r="AB14" s="21"/>
      <c r="AC14" s="38"/>
      <c r="AD14" s="38"/>
      <c r="AE14" s="38">
        <v>10700</v>
      </c>
      <c r="AF14" s="38"/>
      <c r="AG14" s="21"/>
      <c r="AH14" s="21">
        <v>80</v>
      </c>
      <c r="AI14" s="21">
        <f t="shared" si="13"/>
        <v>1086560</v>
      </c>
      <c r="AJ14" s="21">
        <v>50</v>
      </c>
      <c r="AK14" s="21">
        <f t="shared" si="14"/>
        <v>200000</v>
      </c>
      <c r="AL14" s="21">
        <v>51</v>
      </c>
      <c r="AM14" s="21">
        <f t="shared" si="15"/>
        <v>204000</v>
      </c>
      <c r="AN14" s="21">
        <v>10</v>
      </c>
      <c r="AO14" s="21">
        <f t="shared" si="16"/>
        <v>1490560</v>
      </c>
      <c r="AP14" s="21">
        <f t="shared" si="17"/>
        <v>181</v>
      </c>
      <c r="AQ14" s="38"/>
    </row>
    <row r="15" spans="1:43">
      <c r="A15" s="4" t="s">
        <v>16</v>
      </c>
      <c r="B15" s="22">
        <v>43197</v>
      </c>
      <c r="C15" s="38"/>
      <c r="D15" s="38"/>
      <c r="E15" s="21">
        <v>4.6700000000000728</v>
      </c>
      <c r="F15" s="21">
        <f t="shared" si="0"/>
        <v>9340.0000000001455</v>
      </c>
      <c r="G15" s="21">
        <f t="shared" si="1"/>
        <v>9671570.0000001509</v>
      </c>
      <c r="H15" s="21">
        <v>2.0099999999999909</v>
      </c>
      <c r="I15" s="21">
        <f t="shared" si="2"/>
        <v>4019.9999999999818</v>
      </c>
      <c r="J15" s="21">
        <f t="shared" si="3"/>
        <v>6244064.9999999721</v>
      </c>
      <c r="K15" s="21">
        <f t="shared" si="4"/>
        <v>15915635.000000123</v>
      </c>
      <c r="L15" s="21">
        <f t="shared" si="5"/>
        <v>17507198.500000138</v>
      </c>
      <c r="M15" s="38">
        <f t="shared" si="6"/>
        <v>13360.000000000127</v>
      </c>
      <c r="N15" s="37"/>
      <c r="O15" s="37">
        <v>101.5</v>
      </c>
      <c r="P15" s="37">
        <f t="shared" si="7"/>
        <v>1182475</v>
      </c>
      <c r="Q15" s="37"/>
      <c r="R15" s="37">
        <v>29</v>
      </c>
      <c r="S15" s="37">
        <f t="shared" si="8"/>
        <v>337850</v>
      </c>
      <c r="T15" s="37"/>
      <c r="U15" s="37">
        <v>10.150000000000002</v>
      </c>
      <c r="V15" s="37">
        <f t="shared" si="9"/>
        <v>118247.50000000003</v>
      </c>
      <c r="W15" s="37"/>
      <c r="X15" s="21">
        <v>4.3499999999999996</v>
      </c>
      <c r="Y15" s="21">
        <f t="shared" si="10"/>
        <v>50677.499999999993</v>
      </c>
      <c r="Z15" s="21">
        <f t="shared" si="11"/>
        <v>145</v>
      </c>
      <c r="AA15" s="21">
        <f t="shared" si="12"/>
        <v>1689250</v>
      </c>
      <c r="AB15" s="21"/>
      <c r="AC15" s="38"/>
      <c r="AD15" s="38"/>
      <c r="AE15" s="38">
        <v>10700</v>
      </c>
      <c r="AF15" s="38"/>
      <c r="AG15" s="21"/>
      <c r="AH15" s="21">
        <v>85</v>
      </c>
      <c r="AI15" s="21">
        <f t="shared" si="13"/>
        <v>1154470</v>
      </c>
      <c r="AJ15" s="21">
        <v>35</v>
      </c>
      <c r="AK15" s="21">
        <f t="shared" si="14"/>
        <v>140000</v>
      </c>
      <c r="AL15" s="21">
        <v>54</v>
      </c>
      <c r="AM15" s="21">
        <f t="shared" si="15"/>
        <v>216000</v>
      </c>
      <c r="AN15" s="21">
        <v>10</v>
      </c>
      <c r="AO15" s="21">
        <f t="shared" si="16"/>
        <v>1510470</v>
      </c>
      <c r="AP15" s="21">
        <f t="shared" si="17"/>
        <v>174</v>
      </c>
      <c r="AQ15" s="38"/>
    </row>
    <row r="16" spans="1:43">
      <c r="A16" s="4" t="s">
        <v>16</v>
      </c>
      <c r="B16" s="22">
        <v>43198</v>
      </c>
      <c r="C16" s="38"/>
      <c r="D16" s="38"/>
      <c r="E16" s="21">
        <v>4.7899999999999636</v>
      </c>
      <c r="F16" s="21">
        <f t="shared" si="0"/>
        <v>9579.9999999999272</v>
      </c>
      <c r="G16" s="21">
        <f t="shared" si="1"/>
        <v>9920089.9999999255</v>
      </c>
      <c r="H16" s="21">
        <v>1.999999999998181E-2</v>
      </c>
      <c r="I16" s="21">
        <f t="shared" si="2"/>
        <v>39.99999999996362</v>
      </c>
      <c r="J16" s="21">
        <f t="shared" si="3"/>
        <v>62129.999999943495</v>
      </c>
      <c r="K16" s="21">
        <f t="shared" si="4"/>
        <v>9982219.9999998696</v>
      </c>
      <c r="L16" s="21">
        <f t="shared" si="5"/>
        <v>10980441.999999857</v>
      </c>
      <c r="M16" s="38">
        <f t="shared" si="6"/>
        <v>9619.9999999998909</v>
      </c>
      <c r="N16" s="37"/>
      <c r="O16" s="37">
        <v>101.5</v>
      </c>
      <c r="P16" s="37">
        <f t="shared" si="7"/>
        <v>1182475</v>
      </c>
      <c r="Q16" s="37"/>
      <c r="R16" s="37">
        <v>29</v>
      </c>
      <c r="S16" s="37">
        <f t="shared" si="8"/>
        <v>337850</v>
      </c>
      <c r="T16" s="37"/>
      <c r="U16" s="37">
        <v>10.150000000000002</v>
      </c>
      <c r="V16" s="37">
        <f t="shared" si="9"/>
        <v>118247.50000000003</v>
      </c>
      <c r="W16" s="37"/>
      <c r="X16" s="21">
        <v>4.3499999999999996</v>
      </c>
      <c r="Y16" s="21">
        <f t="shared" si="10"/>
        <v>50677.499999999993</v>
      </c>
      <c r="Z16" s="21">
        <f t="shared" si="11"/>
        <v>145</v>
      </c>
      <c r="AA16" s="21">
        <f t="shared" si="12"/>
        <v>1689250</v>
      </c>
      <c r="AB16" s="21"/>
      <c r="AC16" s="38"/>
      <c r="AD16" s="38"/>
      <c r="AE16" s="38">
        <v>10700</v>
      </c>
      <c r="AF16" s="38"/>
      <c r="AG16" s="21"/>
      <c r="AH16" s="21">
        <v>88</v>
      </c>
      <c r="AI16" s="21">
        <f t="shared" si="13"/>
        <v>1195216</v>
      </c>
      <c r="AJ16" s="21">
        <v>33</v>
      </c>
      <c r="AK16" s="21">
        <f t="shared" si="14"/>
        <v>132000</v>
      </c>
      <c r="AL16" s="21">
        <v>54</v>
      </c>
      <c r="AM16" s="21">
        <f t="shared" si="15"/>
        <v>216000</v>
      </c>
      <c r="AN16" s="21">
        <v>10</v>
      </c>
      <c r="AO16" s="21">
        <f t="shared" si="16"/>
        <v>1543216</v>
      </c>
      <c r="AP16" s="21">
        <f t="shared" si="17"/>
        <v>175</v>
      </c>
      <c r="AQ16" s="38"/>
    </row>
    <row r="17" spans="1:43">
      <c r="A17" s="4" t="s">
        <v>16</v>
      </c>
      <c r="B17" s="22">
        <v>43199</v>
      </c>
      <c r="C17" s="38"/>
      <c r="D17" s="38"/>
      <c r="E17" s="21">
        <v>4.7800000000002001</v>
      </c>
      <c r="F17" s="21">
        <f t="shared" si="0"/>
        <v>9560.0000000004002</v>
      </c>
      <c r="G17" s="21">
        <f t="shared" si="1"/>
        <v>9899380.0000004135</v>
      </c>
      <c r="H17" s="21">
        <v>1.0499999999999545</v>
      </c>
      <c r="I17" s="21">
        <f t="shared" si="2"/>
        <v>2099.9999999999091</v>
      </c>
      <c r="J17" s="21">
        <f t="shared" si="3"/>
        <v>3261824.9999998589</v>
      </c>
      <c r="K17" s="21">
        <f t="shared" si="4"/>
        <v>13161205.000000272</v>
      </c>
      <c r="L17" s="21">
        <f t="shared" si="5"/>
        <v>14477325.5000003</v>
      </c>
      <c r="M17" s="38">
        <f t="shared" si="6"/>
        <v>11660.000000000309</v>
      </c>
      <c r="N17" s="37"/>
      <c r="O17" s="37">
        <v>101.5</v>
      </c>
      <c r="P17" s="37">
        <f t="shared" si="7"/>
        <v>1182475</v>
      </c>
      <c r="Q17" s="37"/>
      <c r="R17" s="37">
        <v>29</v>
      </c>
      <c r="S17" s="37">
        <f t="shared" si="8"/>
        <v>337850</v>
      </c>
      <c r="T17" s="37"/>
      <c r="U17" s="37">
        <v>10.150000000000002</v>
      </c>
      <c r="V17" s="37">
        <f t="shared" si="9"/>
        <v>118247.50000000003</v>
      </c>
      <c r="W17" s="37"/>
      <c r="X17" s="21">
        <v>4.3499999999999996</v>
      </c>
      <c r="Y17" s="21">
        <f t="shared" si="10"/>
        <v>50677.499999999993</v>
      </c>
      <c r="Z17" s="21">
        <f t="shared" si="11"/>
        <v>145</v>
      </c>
      <c r="AA17" s="21">
        <f t="shared" si="12"/>
        <v>1689250</v>
      </c>
      <c r="AB17" s="21"/>
      <c r="AC17" s="38">
        <v>190</v>
      </c>
      <c r="AD17" s="38"/>
      <c r="AE17" s="38">
        <v>10700</v>
      </c>
      <c r="AF17" s="38"/>
      <c r="AG17" s="21"/>
      <c r="AH17" s="21">
        <v>84</v>
      </c>
      <c r="AI17" s="21">
        <f t="shared" si="13"/>
        <v>1140888</v>
      </c>
      <c r="AJ17" s="21">
        <v>32</v>
      </c>
      <c r="AK17" s="21">
        <f t="shared" si="14"/>
        <v>128000</v>
      </c>
      <c r="AL17" s="21">
        <v>56</v>
      </c>
      <c r="AM17" s="21">
        <f t="shared" si="15"/>
        <v>224000</v>
      </c>
      <c r="AN17" s="21">
        <v>10</v>
      </c>
      <c r="AO17" s="21">
        <f t="shared" si="16"/>
        <v>1492888</v>
      </c>
      <c r="AP17" s="21">
        <f t="shared" si="17"/>
        <v>172</v>
      </c>
      <c r="AQ17" s="38"/>
    </row>
    <row r="18" spans="1:43">
      <c r="A18" s="4" t="s">
        <v>16</v>
      </c>
      <c r="B18" s="22">
        <v>43200</v>
      </c>
      <c r="C18" s="38"/>
      <c r="D18" s="38"/>
      <c r="E18" s="21">
        <v>4.6900000000000546</v>
      </c>
      <c r="F18" s="21">
        <f t="shared" si="0"/>
        <v>9380.0000000001091</v>
      </c>
      <c r="G18" s="21">
        <f t="shared" si="1"/>
        <v>9712990.0000001136</v>
      </c>
      <c r="H18" s="21">
        <v>1.0500000000000682</v>
      </c>
      <c r="I18" s="21">
        <f t="shared" si="2"/>
        <v>2100.0000000001364</v>
      </c>
      <c r="J18" s="21">
        <f t="shared" si="3"/>
        <v>3261825.0000002119</v>
      </c>
      <c r="K18" s="21">
        <f t="shared" si="4"/>
        <v>12974815.000000326</v>
      </c>
      <c r="L18" s="21">
        <f t="shared" si="5"/>
        <v>14272296.500000359</v>
      </c>
      <c r="M18" s="38">
        <f t="shared" si="6"/>
        <v>11480.000000000246</v>
      </c>
      <c r="N18" s="37"/>
      <c r="O18" s="37">
        <v>101.5</v>
      </c>
      <c r="P18" s="37">
        <f t="shared" si="7"/>
        <v>1182475</v>
      </c>
      <c r="Q18" s="37"/>
      <c r="R18" s="37">
        <v>29</v>
      </c>
      <c r="S18" s="37">
        <f t="shared" si="8"/>
        <v>337850</v>
      </c>
      <c r="T18" s="37"/>
      <c r="U18" s="37">
        <v>10.150000000000002</v>
      </c>
      <c r="V18" s="37">
        <f t="shared" si="9"/>
        <v>118247.50000000003</v>
      </c>
      <c r="W18" s="37"/>
      <c r="X18" s="21">
        <v>4.3499999999999996</v>
      </c>
      <c r="Y18" s="21">
        <f t="shared" si="10"/>
        <v>50677.499999999993</v>
      </c>
      <c r="Z18" s="21">
        <f t="shared" si="11"/>
        <v>145</v>
      </c>
      <c r="AA18" s="21">
        <f t="shared" si="12"/>
        <v>1689250</v>
      </c>
      <c r="AB18" s="21"/>
      <c r="AC18" s="38"/>
      <c r="AD18" s="38"/>
      <c r="AE18" s="38">
        <v>10700</v>
      </c>
      <c r="AF18" s="38"/>
      <c r="AG18" s="21"/>
      <c r="AH18" s="21">
        <v>102</v>
      </c>
      <c r="AI18" s="21">
        <f t="shared" si="13"/>
        <v>1385364</v>
      </c>
      <c r="AJ18" s="21">
        <v>40</v>
      </c>
      <c r="AK18" s="21">
        <f t="shared" si="14"/>
        <v>160000</v>
      </c>
      <c r="AL18" s="21">
        <v>56</v>
      </c>
      <c r="AM18" s="21">
        <f t="shared" si="15"/>
        <v>224000</v>
      </c>
      <c r="AN18" s="21">
        <v>10</v>
      </c>
      <c r="AO18" s="21">
        <f t="shared" si="16"/>
        <v>1769364</v>
      </c>
      <c r="AP18" s="21">
        <f t="shared" si="17"/>
        <v>198</v>
      </c>
      <c r="AQ18" s="38"/>
    </row>
    <row r="19" spans="1:43">
      <c r="A19" s="4" t="s">
        <v>16</v>
      </c>
      <c r="B19" s="22">
        <v>43201</v>
      </c>
      <c r="C19" s="38"/>
      <c r="D19" s="38"/>
      <c r="E19" s="21">
        <v>4.8299999999999272</v>
      </c>
      <c r="F19" s="21">
        <f t="shared" si="0"/>
        <v>9659.9999999998545</v>
      </c>
      <c r="G19" s="21">
        <f t="shared" si="1"/>
        <v>10002929.999999849</v>
      </c>
      <c r="H19" s="21">
        <v>1.0299999999999727</v>
      </c>
      <c r="I19" s="21">
        <f t="shared" si="2"/>
        <v>2059.9999999999454</v>
      </c>
      <c r="J19" s="21">
        <f t="shared" si="3"/>
        <v>3199694.9999999152</v>
      </c>
      <c r="K19" s="21">
        <f t="shared" si="4"/>
        <v>13202624.999999765</v>
      </c>
      <c r="L19" s="21">
        <f t="shared" si="5"/>
        <v>14522887.499999743</v>
      </c>
      <c r="M19" s="38">
        <f t="shared" si="6"/>
        <v>11719.9999999998</v>
      </c>
      <c r="N19" s="37"/>
      <c r="O19" s="37">
        <v>101.5</v>
      </c>
      <c r="P19" s="37">
        <f t="shared" si="7"/>
        <v>1182475</v>
      </c>
      <c r="Q19" s="37"/>
      <c r="R19" s="37">
        <v>29</v>
      </c>
      <c r="S19" s="37">
        <f t="shared" si="8"/>
        <v>337850</v>
      </c>
      <c r="T19" s="37"/>
      <c r="U19" s="37">
        <v>10.150000000000002</v>
      </c>
      <c r="V19" s="37">
        <f t="shared" si="9"/>
        <v>118247.50000000003</v>
      </c>
      <c r="W19" s="37"/>
      <c r="X19" s="21">
        <v>4.3499999999999996</v>
      </c>
      <c r="Y19" s="21">
        <f t="shared" si="10"/>
        <v>50677.499999999993</v>
      </c>
      <c r="Z19" s="21">
        <f t="shared" si="11"/>
        <v>145</v>
      </c>
      <c r="AA19" s="21">
        <f t="shared" si="12"/>
        <v>1689250</v>
      </c>
      <c r="AB19" s="21"/>
      <c r="AC19" s="38"/>
      <c r="AD19" s="38"/>
      <c r="AE19" s="38">
        <v>10700</v>
      </c>
      <c r="AF19" s="38"/>
      <c r="AG19" s="21"/>
      <c r="AH19" s="21">
        <v>120</v>
      </c>
      <c r="AI19" s="21">
        <f t="shared" si="13"/>
        <v>1629840</v>
      </c>
      <c r="AJ19" s="21">
        <v>48</v>
      </c>
      <c r="AK19" s="21">
        <f t="shared" si="14"/>
        <v>192000</v>
      </c>
      <c r="AL19" s="21">
        <v>58</v>
      </c>
      <c r="AM19" s="21">
        <f t="shared" si="15"/>
        <v>232000</v>
      </c>
      <c r="AN19" s="21">
        <v>10</v>
      </c>
      <c r="AO19" s="21">
        <f t="shared" si="16"/>
        <v>2053840</v>
      </c>
      <c r="AP19" s="21">
        <f t="shared" si="17"/>
        <v>226</v>
      </c>
      <c r="AQ19" s="38"/>
    </row>
    <row r="20" spans="1:43">
      <c r="A20" s="4" t="s">
        <v>16</v>
      </c>
      <c r="B20" s="22">
        <v>43202</v>
      </c>
      <c r="C20" s="38"/>
      <c r="D20" s="38"/>
      <c r="E20" s="21">
        <v>4.7599999999997635</v>
      </c>
      <c r="F20" s="21">
        <f t="shared" si="0"/>
        <v>9519.9999999995271</v>
      </c>
      <c r="G20" s="21">
        <f t="shared" si="1"/>
        <v>9857959.9999995101</v>
      </c>
      <c r="H20" s="21">
        <v>1.0199999999999818</v>
      </c>
      <c r="I20" s="21">
        <f t="shared" si="2"/>
        <v>2039.9999999999636</v>
      </c>
      <c r="J20" s="21">
        <f t="shared" si="3"/>
        <v>3168629.9999999437</v>
      </c>
      <c r="K20" s="21">
        <f t="shared" si="4"/>
        <v>13026589.999999454</v>
      </c>
      <c r="L20" s="21">
        <f t="shared" si="5"/>
        <v>14329248.9999994</v>
      </c>
      <c r="M20" s="38">
        <f t="shared" si="6"/>
        <v>11559.999999999491</v>
      </c>
      <c r="N20" s="37"/>
      <c r="O20" s="37">
        <v>101.5</v>
      </c>
      <c r="P20" s="37">
        <f t="shared" si="7"/>
        <v>1182475</v>
      </c>
      <c r="Q20" s="37"/>
      <c r="R20" s="37">
        <v>29</v>
      </c>
      <c r="S20" s="37">
        <f t="shared" si="8"/>
        <v>337850</v>
      </c>
      <c r="T20" s="37"/>
      <c r="U20" s="37">
        <v>10.150000000000002</v>
      </c>
      <c r="V20" s="37">
        <f t="shared" si="9"/>
        <v>118247.50000000003</v>
      </c>
      <c r="W20" s="37"/>
      <c r="X20" s="21">
        <v>4.3499999999999996</v>
      </c>
      <c r="Y20" s="21">
        <f t="shared" si="10"/>
        <v>50677.499999999993</v>
      </c>
      <c r="Z20" s="21">
        <f t="shared" si="11"/>
        <v>145</v>
      </c>
      <c r="AA20" s="21">
        <f t="shared" si="12"/>
        <v>1689250</v>
      </c>
      <c r="AB20" s="21"/>
      <c r="AC20" s="38"/>
      <c r="AD20" s="38"/>
      <c r="AE20" s="38">
        <v>10700</v>
      </c>
      <c r="AF20" s="38"/>
      <c r="AG20" s="21"/>
      <c r="AH20" s="21">
        <v>130</v>
      </c>
      <c r="AI20" s="21">
        <f t="shared" si="13"/>
        <v>1765660</v>
      </c>
      <c r="AJ20" s="21">
        <v>59</v>
      </c>
      <c r="AK20" s="21">
        <f t="shared" si="14"/>
        <v>236000</v>
      </c>
      <c r="AL20" s="21">
        <v>56</v>
      </c>
      <c r="AM20" s="21">
        <f t="shared" si="15"/>
        <v>224000</v>
      </c>
      <c r="AN20" s="21">
        <v>10</v>
      </c>
      <c r="AO20" s="21">
        <f t="shared" si="16"/>
        <v>2225660</v>
      </c>
      <c r="AP20" s="21">
        <f t="shared" si="17"/>
        <v>245</v>
      </c>
      <c r="AQ20" s="38"/>
    </row>
    <row r="21" spans="1:43">
      <c r="A21" s="4" t="s">
        <v>16</v>
      </c>
      <c r="B21" s="22">
        <v>43203</v>
      </c>
      <c r="C21" s="38"/>
      <c r="D21" s="38"/>
      <c r="E21" s="21">
        <v>5.0300000000002001</v>
      </c>
      <c r="F21" s="21">
        <f t="shared" si="0"/>
        <v>10060.0000000004</v>
      </c>
      <c r="G21" s="21">
        <f t="shared" si="1"/>
        <v>10417130.000000414</v>
      </c>
      <c r="H21" s="21">
        <v>1.07000000000005</v>
      </c>
      <c r="I21" s="21">
        <f t="shared" si="2"/>
        <v>2140.0000000001</v>
      </c>
      <c r="J21" s="21">
        <f t="shared" si="3"/>
        <v>3323955.0000001555</v>
      </c>
      <c r="K21" s="21">
        <f t="shared" si="4"/>
        <v>13741085.00000057</v>
      </c>
      <c r="L21" s="21">
        <f t="shared" si="5"/>
        <v>15115193.500000628</v>
      </c>
      <c r="M21" s="38">
        <f t="shared" si="6"/>
        <v>12200.0000000005</v>
      </c>
      <c r="N21" s="37"/>
      <c r="O21" s="37">
        <v>101.5</v>
      </c>
      <c r="P21" s="37">
        <f t="shared" si="7"/>
        <v>1182475</v>
      </c>
      <c r="Q21" s="37"/>
      <c r="R21" s="37">
        <v>29</v>
      </c>
      <c r="S21" s="37">
        <f t="shared" si="8"/>
        <v>337850</v>
      </c>
      <c r="T21" s="37"/>
      <c r="U21" s="37">
        <v>10.150000000000002</v>
      </c>
      <c r="V21" s="37">
        <f t="shared" si="9"/>
        <v>118247.50000000003</v>
      </c>
      <c r="W21" s="37"/>
      <c r="X21" s="21">
        <v>4.3499999999999996</v>
      </c>
      <c r="Y21" s="21">
        <f t="shared" si="10"/>
        <v>50677.499999999993</v>
      </c>
      <c r="Z21" s="21">
        <f t="shared" si="11"/>
        <v>145</v>
      </c>
      <c r="AA21" s="21">
        <f t="shared" si="12"/>
        <v>1689250</v>
      </c>
      <c r="AB21" s="21"/>
      <c r="AC21" s="38"/>
      <c r="AD21" s="38"/>
      <c r="AE21" s="38">
        <v>10700</v>
      </c>
      <c r="AF21" s="38"/>
      <c r="AG21" s="21"/>
      <c r="AH21" s="21">
        <v>91</v>
      </c>
      <c r="AI21" s="21">
        <f t="shared" si="13"/>
        <v>1235962</v>
      </c>
      <c r="AJ21" s="21">
        <v>50</v>
      </c>
      <c r="AK21" s="21">
        <f t="shared" si="14"/>
        <v>200000</v>
      </c>
      <c r="AL21" s="21">
        <v>54</v>
      </c>
      <c r="AM21" s="21">
        <f t="shared" si="15"/>
        <v>216000</v>
      </c>
      <c r="AN21" s="21">
        <v>10</v>
      </c>
      <c r="AO21" s="21">
        <f t="shared" si="16"/>
        <v>1651962</v>
      </c>
      <c r="AP21" s="21">
        <f t="shared" si="17"/>
        <v>195</v>
      </c>
      <c r="AQ21" s="38"/>
    </row>
    <row r="22" spans="1:43">
      <c r="A22" s="4" t="s">
        <v>16</v>
      </c>
      <c r="B22" s="22">
        <v>43204</v>
      </c>
      <c r="C22" s="38"/>
      <c r="D22" s="38"/>
      <c r="E22" s="21">
        <v>4.9299999999998363</v>
      </c>
      <c r="F22" s="21">
        <f t="shared" si="0"/>
        <v>9859.9999999996726</v>
      </c>
      <c r="G22" s="21">
        <f t="shared" si="1"/>
        <v>10210029.999999661</v>
      </c>
      <c r="H22" s="21">
        <v>1.0599999999999454</v>
      </c>
      <c r="I22" s="21">
        <f t="shared" si="2"/>
        <v>2119.9999999998909</v>
      </c>
      <c r="J22" s="21">
        <f t="shared" si="3"/>
        <v>3292889.9999998305</v>
      </c>
      <c r="K22" s="21">
        <f t="shared" si="4"/>
        <v>13502919.999999491</v>
      </c>
      <c r="L22" s="21">
        <f t="shared" si="5"/>
        <v>14853211.999999441</v>
      </c>
      <c r="M22" s="38">
        <f t="shared" si="6"/>
        <v>11979.999999999563</v>
      </c>
      <c r="N22" s="37"/>
      <c r="O22" s="37">
        <v>101.5</v>
      </c>
      <c r="P22" s="37">
        <f t="shared" si="7"/>
        <v>1182475</v>
      </c>
      <c r="Q22" s="37"/>
      <c r="R22" s="37">
        <v>29</v>
      </c>
      <c r="S22" s="37">
        <f t="shared" si="8"/>
        <v>337850</v>
      </c>
      <c r="T22" s="37"/>
      <c r="U22" s="37">
        <v>10.150000000000002</v>
      </c>
      <c r="V22" s="37">
        <f t="shared" si="9"/>
        <v>118247.50000000003</v>
      </c>
      <c r="W22" s="37"/>
      <c r="X22" s="21">
        <v>4.3499999999999996</v>
      </c>
      <c r="Y22" s="21">
        <f t="shared" si="10"/>
        <v>50677.499999999993</v>
      </c>
      <c r="Z22" s="21">
        <f t="shared" si="11"/>
        <v>145</v>
      </c>
      <c r="AA22" s="21">
        <f t="shared" si="12"/>
        <v>1689250</v>
      </c>
      <c r="AB22" s="21"/>
      <c r="AC22" s="38"/>
      <c r="AD22" s="38"/>
      <c r="AE22" s="38">
        <v>10700</v>
      </c>
      <c r="AF22" s="38"/>
      <c r="AG22" s="21"/>
      <c r="AH22" s="21">
        <v>102</v>
      </c>
      <c r="AI22" s="21">
        <f t="shared" si="13"/>
        <v>1385364</v>
      </c>
      <c r="AJ22" s="21">
        <v>52</v>
      </c>
      <c r="AK22" s="21">
        <f t="shared" si="14"/>
        <v>208000</v>
      </c>
      <c r="AL22" s="21">
        <v>55</v>
      </c>
      <c r="AM22" s="21">
        <f t="shared" si="15"/>
        <v>220000</v>
      </c>
      <c r="AN22" s="21">
        <v>10</v>
      </c>
      <c r="AO22" s="21">
        <f t="shared" si="16"/>
        <v>1813364</v>
      </c>
      <c r="AP22" s="21">
        <f t="shared" si="17"/>
        <v>209</v>
      </c>
      <c r="AQ22" s="38"/>
    </row>
    <row r="23" spans="1:43">
      <c r="A23" s="4" t="s">
        <v>16</v>
      </c>
      <c r="B23" s="22">
        <v>43205</v>
      </c>
      <c r="C23" s="38"/>
      <c r="D23" s="38"/>
      <c r="E23" s="21">
        <v>4.9600000000000364</v>
      </c>
      <c r="F23" s="21">
        <f t="shared" si="0"/>
        <v>9920.0000000000728</v>
      </c>
      <c r="G23" s="21">
        <f t="shared" si="1"/>
        <v>10272160.000000075</v>
      </c>
      <c r="H23" s="21">
        <v>1.0599999999999454</v>
      </c>
      <c r="I23" s="21">
        <f t="shared" si="2"/>
        <v>2119.9999999998909</v>
      </c>
      <c r="J23" s="21">
        <f t="shared" si="3"/>
        <v>3292889.9999998305</v>
      </c>
      <c r="K23" s="21">
        <f t="shared" si="4"/>
        <v>13565049.999999905</v>
      </c>
      <c r="L23" s="21">
        <f t="shared" si="5"/>
        <v>14921554.999999898</v>
      </c>
      <c r="M23" s="38">
        <f t="shared" si="6"/>
        <v>12039.999999999964</v>
      </c>
      <c r="N23" s="37"/>
      <c r="O23" s="37">
        <v>101.5</v>
      </c>
      <c r="P23" s="37">
        <f t="shared" si="7"/>
        <v>1182475</v>
      </c>
      <c r="Q23" s="37"/>
      <c r="R23" s="37">
        <v>29</v>
      </c>
      <c r="S23" s="37">
        <f t="shared" si="8"/>
        <v>337850</v>
      </c>
      <c r="T23" s="37"/>
      <c r="U23" s="37">
        <v>10.150000000000002</v>
      </c>
      <c r="V23" s="37">
        <f t="shared" si="9"/>
        <v>118247.50000000003</v>
      </c>
      <c r="W23" s="37"/>
      <c r="X23" s="21">
        <v>4.3499999999999996</v>
      </c>
      <c r="Y23" s="21">
        <f t="shared" si="10"/>
        <v>50677.499999999993</v>
      </c>
      <c r="Z23" s="21">
        <f t="shared" si="11"/>
        <v>145</v>
      </c>
      <c r="AA23" s="21">
        <f t="shared" si="12"/>
        <v>1689250</v>
      </c>
      <c r="AB23" s="21"/>
      <c r="AC23" s="38">
        <v>190</v>
      </c>
      <c r="AD23" s="38"/>
      <c r="AE23" s="38">
        <v>10700</v>
      </c>
      <c r="AF23" s="38"/>
      <c r="AG23" s="21"/>
      <c r="AH23" s="21">
        <v>120</v>
      </c>
      <c r="AI23" s="21">
        <f t="shared" si="13"/>
        <v>1629840</v>
      </c>
      <c r="AJ23" s="21">
        <v>52</v>
      </c>
      <c r="AK23" s="21">
        <f t="shared" si="14"/>
        <v>208000</v>
      </c>
      <c r="AL23" s="21">
        <v>60</v>
      </c>
      <c r="AM23" s="21">
        <f t="shared" si="15"/>
        <v>240000</v>
      </c>
      <c r="AN23" s="21">
        <v>10</v>
      </c>
      <c r="AO23" s="21">
        <f t="shared" si="16"/>
        <v>2077840</v>
      </c>
      <c r="AP23" s="21">
        <f t="shared" si="17"/>
        <v>232</v>
      </c>
      <c r="AQ23" s="38"/>
    </row>
    <row r="24" spans="1:43">
      <c r="A24" s="4" t="s">
        <v>16</v>
      </c>
      <c r="B24" s="22">
        <v>43206</v>
      </c>
      <c r="C24" s="38"/>
      <c r="D24" s="38"/>
      <c r="E24" s="21">
        <v>4.8099999999999454</v>
      </c>
      <c r="F24" s="21">
        <f t="shared" si="0"/>
        <v>9619.9999999998909</v>
      </c>
      <c r="G24" s="21">
        <f t="shared" si="1"/>
        <v>9961509.9999998864</v>
      </c>
      <c r="H24" s="21">
        <v>1.0400000000000773</v>
      </c>
      <c r="I24" s="21">
        <f t="shared" si="2"/>
        <v>2080.0000000001546</v>
      </c>
      <c r="J24" s="21">
        <f t="shared" si="3"/>
        <v>3230760.0000002403</v>
      </c>
      <c r="K24" s="21">
        <f t="shared" si="4"/>
        <v>13192270.000000127</v>
      </c>
      <c r="L24" s="21">
        <f t="shared" si="5"/>
        <v>14511497.00000014</v>
      </c>
      <c r="M24" s="38">
        <f t="shared" si="6"/>
        <v>11700.000000000045</v>
      </c>
      <c r="N24" s="37"/>
      <c r="O24" s="37">
        <v>101.5</v>
      </c>
      <c r="P24" s="37">
        <f t="shared" si="7"/>
        <v>1182475</v>
      </c>
      <c r="Q24" s="37"/>
      <c r="R24" s="37">
        <v>29</v>
      </c>
      <c r="S24" s="37">
        <f t="shared" si="8"/>
        <v>337850</v>
      </c>
      <c r="T24" s="37"/>
      <c r="U24" s="37">
        <v>10.150000000000002</v>
      </c>
      <c r="V24" s="37">
        <f t="shared" si="9"/>
        <v>118247.50000000003</v>
      </c>
      <c r="W24" s="37"/>
      <c r="X24" s="21">
        <v>4.3499999999999996</v>
      </c>
      <c r="Y24" s="21">
        <f t="shared" si="10"/>
        <v>50677.499999999993</v>
      </c>
      <c r="Z24" s="21">
        <f t="shared" si="11"/>
        <v>145</v>
      </c>
      <c r="AA24" s="21">
        <f t="shared" si="12"/>
        <v>1689250</v>
      </c>
      <c r="AB24" s="21"/>
      <c r="AC24" s="38"/>
      <c r="AD24" s="38"/>
      <c r="AE24" s="38">
        <v>10700</v>
      </c>
      <c r="AF24" s="38"/>
      <c r="AG24" s="21"/>
      <c r="AH24" s="21">
        <v>112</v>
      </c>
      <c r="AI24" s="21">
        <f t="shared" si="13"/>
        <v>1521184</v>
      </c>
      <c r="AJ24" s="21">
        <v>55</v>
      </c>
      <c r="AK24" s="21">
        <f t="shared" si="14"/>
        <v>220000</v>
      </c>
      <c r="AL24" s="21">
        <v>57</v>
      </c>
      <c r="AM24" s="21">
        <f t="shared" si="15"/>
        <v>228000</v>
      </c>
      <c r="AN24" s="21">
        <v>10</v>
      </c>
      <c r="AO24" s="21">
        <f t="shared" si="16"/>
        <v>1969184</v>
      </c>
      <c r="AP24" s="21">
        <f t="shared" si="17"/>
        <v>224</v>
      </c>
      <c r="AQ24" s="38"/>
    </row>
    <row r="25" spans="1:43">
      <c r="A25" s="4" t="s">
        <v>16</v>
      </c>
      <c r="B25" s="22">
        <v>43207</v>
      </c>
      <c r="C25" s="38"/>
      <c r="D25" s="38"/>
      <c r="E25" s="21">
        <v>4.8299999999999272</v>
      </c>
      <c r="F25" s="21">
        <f t="shared" si="0"/>
        <v>9659.9999999998545</v>
      </c>
      <c r="G25" s="21">
        <f t="shared" si="1"/>
        <v>10002929.999999849</v>
      </c>
      <c r="H25" s="21">
        <v>1.0699999999999363</v>
      </c>
      <c r="I25" s="21">
        <f t="shared" si="2"/>
        <v>2139.9999999998727</v>
      </c>
      <c r="J25" s="21">
        <f t="shared" si="3"/>
        <v>3323954.9999998021</v>
      </c>
      <c r="K25" s="21">
        <f t="shared" si="4"/>
        <v>13326884.999999652</v>
      </c>
      <c r="L25" s="21">
        <f t="shared" si="5"/>
        <v>14659573.499999618</v>
      </c>
      <c r="M25" s="38">
        <f t="shared" si="6"/>
        <v>11799.999999999727</v>
      </c>
      <c r="N25" s="37"/>
      <c r="O25" s="37">
        <v>101.5</v>
      </c>
      <c r="P25" s="37">
        <f t="shared" si="7"/>
        <v>1182475</v>
      </c>
      <c r="Q25" s="37"/>
      <c r="R25" s="37">
        <v>29</v>
      </c>
      <c r="S25" s="37">
        <f t="shared" si="8"/>
        <v>337850</v>
      </c>
      <c r="T25" s="37"/>
      <c r="U25" s="37">
        <v>10.150000000000002</v>
      </c>
      <c r="V25" s="37">
        <f t="shared" si="9"/>
        <v>118247.50000000003</v>
      </c>
      <c r="W25" s="37"/>
      <c r="X25" s="21">
        <v>4.3499999999999996</v>
      </c>
      <c r="Y25" s="21">
        <f t="shared" si="10"/>
        <v>50677.499999999993</v>
      </c>
      <c r="Z25" s="21">
        <f t="shared" si="11"/>
        <v>145</v>
      </c>
      <c r="AA25" s="21">
        <f t="shared" si="12"/>
        <v>1689250</v>
      </c>
      <c r="AB25" s="21"/>
      <c r="AC25" s="38"/>
      <c r="AD25" s="38"/>
      <c r="AE25" s="38">
        <v>10700</v>
      </c>
      <c r="AF25" s="38"/>
      <c r="AG25" s="21"/>
      <c r="AH25" s="21">
        <v>135</v>
      </c>
      <c r="AI25" s="21">
        <f t="shared" si="13"/>
        <v>1833570</v>
      </c>
      <c r="AJ25" s="21">
        <v>59</v>
      </c>
      <c r="AK25" s="21">
        <f t="shared" si="14"/>
        <v>236000</v>
      </c>
      <c r="AL25" s="21">
        <v>58</v>
      </c>
      <c r="AM25" s="21">
        <f t="shared" si="15"/>
        <v>232000</v>
      </c>
      <c r="AN25" s="21">
        <v>10</v>
      </c>
      <c r="AO25" s="21">
        <f t="shared" si="16"/>
        <v>2301570</v>
      </c>
      <c r="AP25" s="21">
        <f t="shared" si="17"/>
        <v>252</v>
      </c>
      <c r="AQ25" s="38"/>
    </row>
    <row r="26" spans="1:43">
      <c r="A26" s="4" t="s">
        <v>16</v>
      </c>
      <c r="B26" s="22">
        <v>43208</v>
      </c>
      <c r="C26" s="38"/>
      <c r="D26" s="38"/>
      <c r="E26" s="21">
        <v>4.9600000000000364</v>
      </c>
      <c r="F26" s="21">
        <f t="shared" si="0"/>
        <v>9920.0000000000728</v>
      </c>
      <c r="G26" s="21">
        <f t="shared" si="1"/>
        <v>10272160.000000075</v>
      </c>
      <c r="H26" s="21">
        <v>1.0800000000000409</v>
      </c>
      <c r="I26" s="21">
        <f t="shared" si="2"/>
        <v>2160.0000000000819</v>
      </c>
      <c r="J26" s="21">
        <f t="shared" si="3"/>
        <v>3355020.0000001271</v>
      </c>
      <c r="K26" s="21">
        <f t="shared" si="4"/>
        <v>13627180.000000201</v>
      </c>
      <c r="L26" s="21">
        <f t="shared" si="5"/>
        <v>14989898.000000222</v>
      </c>
      <c r="M26" s="38">
        <f t="shared" si="6"/>
        <v>12080.000000000155</v>
      </c>
      <c r="N26" s="37"/>
      <c r="O26" s="37">
        <v>101.5</v>
      </c>
      <c r="P26" s="37">
        <f t="shared" si="7"/>
        <v>1182475</v>
      </c>
      <c r="Q26" s="37"/>
      <c r="R26" s="37">
        <v>29</v>
      </c>
      <c r="S26" s="37">
        <f t="shared" si="8"/>
        <v>337850</v>
      </c>
      <c r="T26" s="37"/>
      <c r="U26" s="37">
        <v>10.150000000000002</v>
      </c>
      <c r="V26" s="37">
        <f t="shared" si="9"/>
        <v>118247.50000000003</v>
      </c>
      <c r="W26" s="37"/>
      <c r="X26" s="21">
        <v>4.3499999999999996</v>
      </c>
      <c r="Y26" s="21">
        <f t="shared" si="10"/>
        <v>50677.499999999993</v>
      </c>
      <c r="Z26" s="21">
        <f t="shared" si="11"/>
        <v>145</v>
      </c>
      <c r="AA26" s="21">
        <f t="shared" si="12"/>
        <v>1689250</v>
      </c>
      <c r="AB26" s="21"/>
      <c r="AC26" s="38"/>
      <c r="AD26" s="38"/>
      <c r="AE26" s="38">
        <v>10700</v>
      </c>
      <c r="AF26" s="38"/>
      <c r="AG26" s="21"/>
      <c r="AH26" s="21">
        <v>134</v>
      </c>
      <c r="AI26" s="21">
        <f t="shared" si="13"/>
        <v>1819988</v>
      </c>
      <c r="AJ26" s="21">
        <v>61</v>
      </c>
      <c r="AK26" s="21">
        <f t="shared" si="14"/>
        <v>244000</v>
      </c>
      <c r="AL26" s="21">
        <v>59</v>
      </c>
      <c r="AM26" s="21">
        <f t="shared" si="15"/>
        <v>236000</v>
      </c>
      <c r="AN26" s="21">
        <v>10</v>
      </c>
      <c r="AO26" s="21">
        <f t="shared" si="16"/>
        <v>2299988</v>
      </c>
      <c r="AP26" s="21">
        <f t="shared" si="17"/>
        <v>254</v>
      </c>
      <c r="AQ26" s="38"/>
    </row>
    <row r="27" spans="1:43">
      <c r="A27" s="4" t="s">
        <v>16</v>
      </c>
      <c r="B27" s="22">
        <v>43209</v>
      </c>
      <c r="C27" s="38"/>
      <c r="D27" s="38"/>
      <c r="E27" s="21">
        <v>4.9000000000000909</v>
      </c>
      <c r="F27" s="21">
        <f t="shared" si="0"/>
        <v>9800.0000000001819</v>
      </c>
      <c r="G27" s="21">
        <f t="shared" si="1"/>
        <v>10147900.000000188</v>
      </c>
      <c r="H27" s="21">
        <v>1.0299999999999727</v>
      </c>
      <c r="I27" s="21">
        <f t="shared" si="2"/>
        <v>2059.9999999999454</v>
      </c>
      <c r="J27" s="21">
        <f t="shared" si="3"/>
        <v>3199694.9999999152</v>
      </c>
      <c r="K27" s="21">
        <f t="shared" si="4"/>
        <v>13347595.000000104</v>
      </c>
      <c r="L27" s="21">
        <f t="shared" si="5"/>
        <v>14682354.500000115</v>
      </c>
      <c r="M27" s="38">
        <f t="shared" si="6"/>
        <v>11860.000000000127</v>
      </c>
      <c r="N27" s="37"/>
      <c r="O27" s="37">
        <v>101.5</v>
      </c>
      <c r="P27" s="37">
        <f t="shared" si="7"/>
        <v>1182475</v>
      </c>
      <c r="Q27" s="37"/>
      <c r="R27" s="37">
        <v>29</v>
      </c>
      <c r="S27" s="37">
        <f t="shared" si="8"/>
        <v>337850</v>
      </c>
      <c r="T27" s="37"/>
      <c r="U27" s="37">
        <v>10.150000000000002</v>
      </c>
      <c r="V27" s="37">
        <f t="shared" si="9"/>
        <v>118247.50000000003</v>
      </c>
      <c r="W27" s="37"/>
      <c r="X27" s="21">
        <v>4.3499999999999996</v>
      </c>
      <c r="Y27" s="21">
        <f t="shared" si="10"/>
        <v>50677.499999999993</v>
      </c>
      <c r="Z27" s="21">
        <f t="shared" si="11"/>
        <v>145</v>
      </c>
      <c r="AA27" s="21">
        <f t="shared" si="12"/>
        <v>1689250</v>
      </c>
      <c r="AB27" s="21"/>
      <c r="AC27" s="38"/>
      <c r="AD27" s="38"/>
      <c r="AE27" s="38">
        <v>10700</v>
      </c>
      <c r="AF27" s="38"/>
      <c r="AG27" s="21"/>
      <c r="AH27" s="21">
        <v>132</v>
      </c>
      <c r="AI27" s="21">
        <f t="shared" si="13"/>
        <v>1792824</v>
      </c>
      <c r="AJ27" s="21">
        <v>58</v>
      </c>
      <c r="AK27" s="21">
        <f t="shared" si="14"/>
        <v>232000</v>
      </c>
      <c r="AL27" s="21">
        <v>55</v>
      </c>
      <c r="AM27" s="21">
        <f t="shared" si="15"/>
        <v>220000</v>
      </c>
      <c r="AN27" s="21">
        <v>10</v>
      </c>
      <c r="AO27" s="21">
        <f t="shared" si="16"/>
        <v>2244824</v>
      </c>
      <c r="AP27" s="21">
        <f t="shared" si="17"/>
        <v>245</v>
      </c>
      <c r="AQ27" s="38"/>
    </row>
    <row r="28" spans="1:43">
      <c r="A28" s="4" t="s">
        <v>16</v>
      </c>
      <c r="B28" s="22">
        <v>43210</v>
      </c>
      <c r="C28" s="38"/>
      <c r="D28" s="38"/>
      <c r="E28" s="21">
        <v>4.9000000000000909</v>
      </c>
      <c r="F28" s="21">
        <f t="shared" si="0"/>
        <v>9800.0000000001819</v>
      </c>
      <c r="G28" s="21">
        <f t="shared" si="1"/>
        <v>10147900.000000188</v>
      </c>
      <c r="H28" s="21">
        <v>1.0900000000000318</v>
      </c>
      <c r="I28" s="21">
        <f t="shared" si="2"/>
        <v>2180.0000000000637</v>
      </c>
      <c r="J28" s="21">
        <f t="shared" si="3"/>
        <v>3386085.0000000987</v>
      </c>
      <c r="K28" s="21">
        <f t="shared" si="4"/>
        <v>13533985.000000287</v>
      </c>
      <c r="L28" s="21">
        <f t="shared" si="5"/>
        <v>14887383.500000317</v>
      </c>
      <c r="M28" s="38">
        <f t="shared" si="6"/>
        <v>11980.000000000246</v>
      </c>
      <c r="N28" s="37"/>
      <c r="O28" s="37">
        <v>101.5</v>
      </c>
      <c r="P28" s="37">
        <f t="shared" si="7"/>
        <v>1182475</v>
      </c>
      <c r="Q28" s="37"/>
      <c r="R28" s="37">
        <v>29</v>
      </c>
      <c r="S28" s="37">
        <f t="shared" si="8"/>
        <v>337850</v>
      </c>
      <c r="T28" s="37"/>
      <c r="U28" s="37">
        <v>10.150000000000002</v>
      </c>
      <c r="V28" s="37">
        <f t="shared" si="9"/>
        <v>118247.50000000003</v>
      </c>
      <c r="W28" s="37"/>
      <c r="X28" s="21">
        <v>4.3499999999999996</v>
      </c>
      <c r="Y28" s="21">
        <f t="shared" si="10"/>
        <v>50677.499999999993</v>
      </c>
      <c r="Z28" s="21">
        <f t="shared" si="11"/>
        <v>145</v>
      </c>
      <c r="AA28" s="21">
        <f t="shared" si="12"/>
        <v>1689250</v>
      </c>
      <c r="AB28" s="21"/>
      <c r="AC28" s="38">
        <v>190</v>
      </c>
      <c r="AD28" s="38"/>
      <c r="AE28" s="38">
        <v>10700</v>
      </c>
      <c r="AF28" s="38"/>
      <c r="AG28" s="21"/>
      <c r="AH28" s="21">
        <v>168</v>
      </c>
      <c r="AI28" s="21">
        <f t="shared" si="13"/>
        <v>2281776</v>
      </c>
      <c r="AJ28" s="21">
        <v>63</v>
      </c>
      <c r="AK28" s="21">
        <f t="shared" si="14"/>
        <v>252000</v>
      </c>
      <c r="AL28" s="21">
        <v>32</v>
      </c>
      <c r="AM28" s="21">
        <f t="shared" si="15"/>
        <v>128000</v>
      </c>
      <c r="AN28" s="21">
        <v>10</v>
      </c>
      <c r="AO28" s="21">
        <f t="shared" si="16"/>
        <v>2661776</v>
      </c>
      <c r="AP28" s="21">
        <f t="shared" si="17"/>
        <v>263</v>
      </c>
      <c r="AQ28" s="38"/>
    </row>
    <row r="29" spans="1:43">
      <c r="A29" s="4" t="s">
        <v>16</v>
      </c>
      <c r="B29" s="22">
        <v>43211</v>
      </c>
      <c r="C29" s="38"/>
      <c r="D29" s="38"/>
      <c r="E29" s="21">
        <v>4.3800000000001091</v>
      </c>
      <c r="F29" s="21">
        <f t="shared" si="0"/>
        <v>8760.0000000002183</v>
      </c>
      <c r="G29" s="21">
        <f t="shared" si="1"/>
        <v>9070980.0000002254</v>
      </c>
      <c r="H29" s="21">
        <v>1.0399999999999636</v>
      </c>
      <c r="I29" s="21">
        <f t="shared" si="2"/>
        <v>2079.9999999999272</v>
      </c>
      <c r="J29" s="21">
        <f t="shared" si="3"/>
        <v>3230759.9999998868</v>
      </c>
      <c r="K29" s="21">
        <f t="shared" si="4"/>
        <v>12301740.000000112</v>
      </c>
      <c r="L29" s="21">
        <f t="shared" si="5"/>
        <v>13531914.000000125</v>
      </c>
      <c r="M29" s="38">
        <f t="shared" si="6"/>
        <v>10840.000000000146</v>
      </c>
      <c r="N29" s="37"/>
      <c r="O29" s="37">
        <v>101.5</v>
      </c>
      <c r="P29" s="37">
        <f t="shared" si="7"/>
        <v>1182475</v>
      </c>
      <c r="Q29" s="37"/>
      <c r="R29" s="37">
        <v>29</v>
      </c>
      <c r="S29" s="37">
        <f t="shared" si="8"/>
        <v>337850</v>
      </c>
      <c r="T29" s="37"/>
      <c r="U29" s="37">
        <v>10.150000000000002</v>
      </c>
      <c r="V29" s="37">
        <f t="shared" si="9"/>
        <v>118247.50000000003</v>
      </c>
      <c r="W29" s="37"/>
      <c r="X29" s="21">
        <v>4.3499999999999996</v>
      </c>
      <c r="Y29" s="21">
        <f t="shared" si="10"/>
        <v>50677.499999999993</v>
      </c>
      <c r="Z29" s="21">
        <f t="shared" si="11"/>
        <v>145</v>
      </c>
      <c r="AA29" s="21">
        <f t="shared" si="12"/>
        <v>1689250</v>
      </c>
      <c r="AB29" s="21"/>
      <c r="AC29" s="38"/>
      <c r="AD29" s="38"/>
      <c r="AE29" s="38">
        <v>10700</v>
      </c>
      <c r="AF29" s="38"/>
      <c r="AG29" s="21"/>
      <c r="AH29" s="21">
        <v>136</v>
      </c>
      <c r="AI29" s="21">
        <f t="shared" si="13"/>
        <v>1847152</v>
      </c>
      <c r="AJ29" s="21">
        <v>66</v>
      </c>
      <c r="AK29" s="21">
        <f t="shared" si="14"/>
        <v>264000</v>
      </c>
      <c r="AL29" s="21">
        <v>42</v>
      </c>
      <c r="AM29" s="21">
        <f t="shared" si="15"/>
        <v>168000</v>
      </c>
      <c r="AN29" s="21">
        <v>10</v>
      </c>
      <c r="AO29" s="21">
        <f t="shared" si="16"/>
        <v>2279152</v>
      </c>
      <c r="AP29" s="21">
        <f t="shared" si="17"/>
        <v>244</v>
      </c>
      <c r="AQ29" s="38"/>
    </row>
    <row r="30" spans="1:43">
      <c r="A30" s="4" t="s">
        <v>16</v>
      </c>
      <c r="B30" s="22">
        <v>43212</v>
      </c>
      <c r="C30" s="38"/>
      <c r="D30" s="38"/>
      <c r="E30" s="21">
        <v>5.4499999999998181</v>
      </c>
      <c r="F30" s="21">
        <f t="shared" si="0"/>
        <v>10899.999999999636</v>
      </c>
      <c r="G30" s="21">
        <f t="shared" si="1"/>
        <v>11286949.999999624</v>
      </c>
      <c r="H30" s="21">
        <v>1.0500000000000682</v>
      </c>
      <c r="I30" s="21">
        <f t="shared" si="2"/>
        <v>2100.0000000001364</v>
      </c>
      <c r="J30" s="21">
        <f t="shared" si="3"/>
        <v>3261825.0000002119</v>
      </c>
      <c r="K30" s="21">
        <f t="shared" si="4"/>
        <v>14548774.999999836</v>
      </c>
      <c r="L30" s="21">
        <f t="shared" si="5"/>
        <v>16003652.499999821</v>
      </c>
      <c r="M30" s="38">
        <f t="shared" si="6"/>
        <v>12999.999999999773</v>
      </c>
      <c r="N30" s="37"/>
      <c r="O30" s="37">
        <v>101.5</v>
      </c>
      <c r="P30" s="37">
        <f t="shared" si="7"/>
        <v>1182475</v>
      </c>
      <c r="Q30" s="37"/>
      <c r="R30" s="37">
        <v>29</v>
      </c>
      <c r="S30" s="37">
        <f t="shared" si="8"/>
        <v>337850</v>
      </c>
      <c r="T30" s="37"/>
      <c r="U30" s="37">
        <v>10.150000000000002</v>
      </c>
      <c r="V30" s="37">
        <f t="shared" si="9"/>
        <v>118247.50000000003</v>
      </c>
      <c r="W30" s="37"/>
      <c r="X30" s="21">
        <v>4.3499999999999996</v>
      </c>
      <c r="Y30" s="21">
        <f t="shared" si="10"/>
        <v>50677.499999999993</v>
      </c>
      <c r="Z30" s="21">
        <f t="shared" si="11"/>
        <v>145</v>
      </c>
      <c r="AA30" s="21">
        <f t="shared" si="12"/>
        <v>1689250</v>
      </c>
      <c r="AB30" s="21"/>
      <c r="AC30" s="38"/>
      <c r="AD30" s="38"/>
      <c r="AE30" s="38">
        <v>10700</v>
      </c>
      <c r="AF30" s="38"/>
      <c r="AG30" s="21"/>
      <c r="AH30" s="21">
        <v>109</v>
      </c>
      <c r="AI30" s="21">
        <f t="shared" si="13"/>
        <v>1480438</v>
      </c>
      <c r="AJ30" s="21">
        <v>60</v>
      </c>
      <c r="AK30" s="21">
        <f t="shared" si="14"/>
        <v>240000</v>
      </c>
      <c r="AL30" s="21">
        <v>58</v>
      </c>
      <c r="AM30" s="21">
        <f t="shared" si="15"/>
        <v>232000</v>
      </c>
      <c r="AN30" s="21">
        <v>10</v>
      </c>
      <c r="AO30" s="21">
        <f t="shared" si="16"/>
        <v>1952438</v>
      </c>
      <c r="AP30" s="21">
        <f t="shared" si="17"/>
        <v>227</v>
      </c>
      <c r="AQ30" s="38"/>
    </row>
    <row r="31" spans="1:43">
      <c r="A31" s="4" t="s">
        <v>16</v>
      </c>
      <c r="B31" s="22">
        <v>43213</v>
      </c>
      <c r="C31" s="38"/>
      <c r="D31" s="38"/>
      <c r="E31" s="21">
        <v>4.7489999999997963</v>
      </c>
      <c r="F31" s="21">
        <f t="shared" si="0"/>
        <v>9497.9999999995925</v>
      </c>
      <c r="G31" s="21">
        <f t="shared" si="1"/>
        <v>9835178.9999995772</v>
      </c>
      <c r="H31" s="21">
        <v>1.0299999999999727</v>
      </c>
      <c r="I31" s="21">
        <f t="shared" si="2"/>
        <v>2059.9999999999454</v>
      </c>
      <c r="J31" s="21">
        <f t="shared" si="3"/>
        <v>3199694.9999999152</v>
      </c>
      <c r="K31" s="21">
        <f t="shared" si="4"/>
        <v>13034873.999999493</v>
      </c>
      <c r="L31" s="21">
        <f t="shared" si="5"/>
        <v>14338361.399999443</v>
      </c>
      <c r="M31" s="38">
        <f t="shared" si="6"/>
        <v>11557.999999999538</v>
      </c>
      <c r="N31" s="37"/>
      <c r="O31" s="37">
        <v>101.5</v>
      </c>
      <c r="P31" s="37">
        <f t="shared" si="7"/>
        <v>1182475</v>
      </c>
      <c r="Q31" s="37"/>
      <c r="R31" s="37">
        <v>29</v>
      </c>
      <c r="S31" s="37">
        <f t="shared" si="8"/>
        <v>337850</v>
      </c>
      <c r="T31" s="37"/>
      <c r="U31" s="37">
        <v>10.150000000000002</v>
      </c>
      <c r="V31" s="37">
        <f t="shared" si="9"/>
        <v>118247.50000000003</v>
      </c>
      <c r="W31" s="37"/>
      <c r="X31" s="21">
        <v>4.3499999999999996</v>
      </c>
      <c r="Y31" s="21">
        <f t="shared" si="10"/>
        <v>50677.499999999993</v>
      </c>
      <c r="Z31" s="21">
        <f t="shared" si="11"/>
        <v>145</v>
      </c>
      <c r="AA31" s="21">
        <f t="shared" si="12"/>
        <v>1689250</v>
      </c>
      <c r="AB31" s="21"/>
      <c r="AD31" s="38"/>
      <c r="AE31" s="38">
        <v>10700</v>
      </c>
      <c r="AF31" s="38"/>
      <c r="AG31" s="21"/>
      <c r="AH31" s="21">
        <v>131</v>
      </c>
      <c r="AI31" s="21">
        <f t="shared" si="13"/>
        <v>1779242</v>
      </c>
      <c r="AJ31" s="21">
        <v>65</v>
      </c>
      <c r="AK31" s="21">
        <f t="shared" si="14"/>
        <v>260000</v>
      </c>
      <c r="AL31" s="21">
        <v>63</v>
      </c>
      <c r="AM31" s="21">
        <f t="shared" si="15"/>
        <v>252000</v>
      </c>
      <c r="AN31" s="21">
        <v>10</v>
      </c>
      <c r="AO31" s="21">
        <f t="shared" si="16"/>
        <v>2291242</v>
      </c>
      <c r="AP31" s="21">
        <f t="shared" si="17"/>
        <v>259</v>
      </c>
      <c r="AQ31" s="38"/>
    </row>
    <row r="32" spans="1:43">
      <c r="A32" s="4" t="s">
        <v>16</v>
      </c>
      <c r="B32" s="22">
        <v>43214</v>
      </c>
      <c r="C32" s="38"/>
      <c r="D32" s="38"/>
      <c r="E32" s="21">
        <v>4.7210000000000036</v>
      </c>
      <c r="F32" s="21">
        <f t="shared" si="0"/>
        <v>9442.0000000000073</v>
      </c>
      <c r="G32" s="21">
        <f t="shared" si="1"/>
        <v>9777191.0000000075</v>
      </c>
      <c r="H32" s="21">
        <v>1.0299999999999727</v>
      </c>
      <c r="I32" s="21">
        <f t="shared" si="2"/>
        <v>2059.9999999999454</v>
      </c>
      <c r="J32" s="21">
        <f t="shared" si="3"/>
        <v>3199694.9999999152</v>
      </c>
      <c r="K32" s="21">
        <f t="shared" si="4"/>
        <v>12976885.999999922</v>
      </c>
      <c r="L32" s="21">
        <f t="shared" si="5"/>
        <v>14274574.599999916</v>
      </c>
      <c r="M32" s="38">
        <f t="shared" si="6"/>
        <v>11501.999999999953</v>
      </c>
      <c r="N32" s="37"/>
      <c r="O32" s="37">
        <v>101.5</v>
      </c>
      <c r="P32" s="37">
        <f t="shared" si="7"/>
        <v>1182475</v>
      </c>
      <c r="Q32" s="37"/>
      <c r="R32" s="37">
        <v>29</v>
      </c>
      <c r="S32" s="37">
        <f t="shared" si="8"/>
        <v>337850</v>
      </c>
      <c r="T32" s="37"/>
      <c r="U32" s="37">
        <v>10.150000000000002</v>
      </c>
      <c r="V32" s="37">
        <f t="shared" si="9"/>
        <v>118247.50000000003</v>
      </c>
      <c r="W32" s="37"/>
      <c r="X32" s="21">
        <v>4.3499999999999996</v>
      </c>
      <c r="Y32" s="21">
        <f t="shared" si="10"/>
        <v>50677.499999999993</v>
      </c>
      <c r="Z32" s="21">
        <f t="shared" si="11"/>
        <v>145</v>
      </c>
      <c r="AA32" s="21">
        <f t="shared" si="12"/>
        <v>1689250</v>
      </c>
      <c r="AB32" s="21"/>
      <c r="AC32" s="38"/>
      <c r="AD32" s="38"/>
      <c r="AE32" s="38">
        <v>10700</v>
      </c>
      <c r="AF32" s="38"/>
      <c r="AG32" s="21"/>
      <c r="AH32" s="21">
        <v>111</v>
      </c>
      <c r="AI32" s="21">
        <f t="shared" si="13"/>
        <v>1507602</v>
      </c>
      <c r="AJ32" s="21">
        <v>61</v>
      </c>
      <c r="AK32" s="21">
        <f t="shared" si="14"/>
        <v>244000</v>
      </c>
      <c r="AL32" s="21">
        <v>49</v>
      </c>
      <c r="AM32" s="21">
        <f t="shared" si="15"/>
        <v>196000</v>
      </c>
      <c r="AN32" s="21">
        <v>10</v>
      </c>
      <c r="AO32" s="21">
        <f t="shared" si="16"/>
        <v>1947602</v>
      </c>
      <c r="AP32" s="21">
        <f t="shared" si="17"/>
        <v>221</v>
      </c>
      <c r="AQ32" s="38"/>
    </row>
    <row r="33" spans="1:43">
      <c r="A33" s="4" t="s">
        <v>16</v>
      </c>
      <c r="B33" s="22">
        <v>43215</v>
      </c>
      <c r="C33" s="38"/>
      <c r="D33" s="38"/>
      <c r="E33" s="21">
        <v>4.7800000000002001</v>
      </c>
      <c r="F33" s="21">
        <f t="shared" si="0"/>
        <v>9560.0000000004002</v>
      </c>
      <c r="G33" s="21">
        <f t="shared" si="1"/>
        <v>9899380.0000004135</v>
      </c>
      <c r="H33" s="21">
        <v>1.0399999999999636</v>
      </c>
      <c r="I33" s="21">
        <f t="shared" si="2"/>
        <v>2079.9999999999272</v>
      </c>
      <c r="J33" s="21">
        <f t="shared" si="3"/>
        <v>3230759.9999998868</v>
      </c>
      <c r="K33" s="21">
        <f t="shared" si="4"/>
        <v>13130140.0000003</v>
      </c>
      <c r="L33" s="21">
        <f t="shared" si="5"/>
        <v>14443154.000000332</v>
      </c>
      <c r="M33" s="38">
        <f t="shared" si="6"/>
        <v>11640.000000000327</v>
      </c>
      <c r="N33" s="37"/>
      <c r="O33" s="37">
        <v>101.5</v>
      </c>
      <c r="P33" s="37">
        <f t="shared" si="7"/>
        <v>1182475</v>
      </c>
      <c r="Q33" s="37"/>
      <c r="R33" s="37">
        <v>29</v>
      </c>
      <c r="S33" s="37">
        <f t="shared" si="8"/>
        <v>337850</v>
      </c>
      <c r="T33" s="37"/>
      <c r="U33" s="37">
        <v>10.150000000000002</v>
      </c>
      <c r="V33" s="37">
        <f t="shared" si="9"/>
        <v>118247.50000000003</v>
      </c>
      <c r="W33" s="37"/>
      <c r="X33" s="21">
        <v>4.3499999999999996</v>
      </c>
      <c r="Y33" s="21">
        <f t="shared" si="10"/>
        <v>50677.499999999993</v>
      </c>
      <c r="Z33" s="21">
        <f t="shared" si="11"/>
        <v>145</v>
      </c>
      <c r="AA33" s="21">
        <f t="shared" si="12"/>
        <v>1689250</v>
      </c>
      <c r="AB33" s="21"/>
      <c r="AC33" s="38"/>
      <c r="AD33" s="38"/>
      <c r="AE33" s="38">
        <v>10700</v>
      </c>
      <c r="AF33" s="38"/>
      <c r="AG33" s="21"/>
      <c r="AH33" s="21">
        <v>119</v>
      </c>
      <c r="AI33" s="21">
        <f t="shared" si="13"/>
        <v>1616258</v>
      </c>
      <c r="AJ33" s="21">
        <v>60</v>
      </c>
      <c r="AK33" s="21">
        <f t="shared" si="14"/>
        <v>240000</v>
      </c>
      <c r="AL33" s="21">
        <v>52</v>
      </c>
      <c r="AM33" s="21">
        <f t="shared" si="15"/>
        <v>208000</v>
      </c>
      <c r="AN33" s="21">
        <v>10</v>
      </c>
      <c r="AO33" s="21">
        <f t="shared" si="16"/>
        <v>2064258</v>
      </c>
      <c r="AP33" s="21">
        <f t="shared" si="17"/>
        <v>231</v>
      </c>
      <c r="AQ33" s="38"/>
    </row>
    <row r="34" spans="1:43">
      <c r="A34" s="4" t="s">
        <v>16</v>
      </c>
      <c r="B34" s="22">
        <v>43216</v>
      </c>
      <c r="C34" s="38"/>
      <c r="D34" s="38"/>
      <c r="E34" s="21">
        <v>4.7699999999999818</v>
      </c>
      <c r="F34" s="21">
        <f t="shared" si="0"/>
        <v>9539.9999999999636</v>
      </c>
      <c r="G34" s="21">
        <f t="shared" si="1"/>
        <v>9878669.9999999627</v>
      </c>
      <c r="H34" s="21">
        <v>1.07000000000005</v>
      </c>
      <c r="I34" s="21">
        <f t="shared" si="2"/>
        <v>2140.0000000001</v>
      </c>
      <c r="J34" s="21">
        <f t="shared" si="3"/>
        <v>3323955.0000001555</v>
      </c>
      <c r="K34" s="21">
        <f t="shared" si="4"/>
        <v>13202625.000000119</v>
      </c>
      <c r="L34" s="21">
        <f t="shared" si="5"/>
        <v>14522887.500000132</v>
      </c>
      <c r="M34" s="38">
        <f t="shared" si="6"/>
        <v>11680.000000000064</v>
      </c>
      <c r="N34" s="37"/>
      <c r="O34" s="37">
        <v>101.5</v>
      </c>
      <c r="P34" s="37">
        <f t="shared" si="7"/>
        <v>1182475</v>
      </c>
      <c r="Q34" s="37"/>
      <c r="R34" s="37">
        <v>29</v>
      </c>
      <c r="S34" s="37">
        <f t="shared" si="8"/>
        <v>337850</v>
      </c>
      <c r="T34" s="37"/>
      <c r="U34" s="37">
        <v>10.150000000000002</v>
      </c>
      <c r="V34" s="37">
        <f t="shared" si="9"/>
        <v>118247.50000000003</v>
      </c>
      <c r="W34" s="37"/>
      <c r="X34" s="21">
        <v>4.3499999999999996</v>
      </c>
      <c r="Y34" s="21">
        <f t="shared" si="10"/>
        <v>50677.499999999993</v>
      </c>
      <c r="Z34" s="21">
        <f t="shared" si="11"/>
        <v>145</v>
      </c>
      <c r="AA34" s="21">
        <f t="shared" si="12"/>
        <v>1689250</v>
      </c>
      <c r="AB34" s="21"/>
      <c r="AC34" s="38">
        <v>190</v>
      </c>
      <c r="AD34" s="38"/>
      <c r="AE34" s="38">
        <v>10700</v>
      </c>
      <c r="AF34" s="38"/>
      <c r="AG34" s="21"/>
      <c r="AH34" s="21">
        <v>108</v>
      </c>
      <c r="AI34" s="21">
        <f t="shared" si="13"/>
        <v>1466856</v>
      </c>
      <c r="AJ34" s="21">
        <v>55</v>
      </c>
      <c r="AK34" s="21">
        <f t="shared" si="14"/>
        <v>220000</v>
      </c>
      <c r="AL34" s="21">
        <v>58</v>
      </c>
      <c r="AM34" s="21">
        <f t="shared" si="15"/>
        <v>232000</v>
      </c>
      <c r="AN34" s="21">
        <v>10</v>
      </c>
      <c r="AO34" s="21">
        <f t="shared" si="16"/>
        <v>1918856</v>
      </c>
      <c r="AP34" s="21">
        <f t="shared" si="17"/>
        <v>221</v>
      </c>
      <c r="AQ34" s="38"/>
    </row>
    <row r="35" spans="1:43">
      <c r="A35" s="4" t="s">
        <v>16</v>
      </c>
      <c r="B35" s="22">
        <v>43217</v>
      </c>
      <c r="C35" s="38"/>
      <c r="D35" s="38"/>
      <c r="E35" s="21">
        <v>4.6500000000000909</v>
      </c>
      <c r="F35" s="21">
        <f t="shared" si="0"/>
        <v>9300.0000000001819</v>
      </c>
      <c r="G35" s="21">
        <f t="shared" si="1"/>
        <v>9630150.0000001881</v>
      </c>
      <c r="H35" s="21">
        <v>1</v>
      </c>
      <c r="I35" s="21">
        <f t="shared" si="2"/>
        <v>2000</v>
      </c>
      <c r="J35" s="21">
        <f t="shared" si="3"/>
        <v>3106500</v>
      </c>
      <c r="K35" s="21">
        <f t="shared" si="4"/>
        <v>12736650.000000188</v>
      </c>
      <c r="L35" s="21">
        <f t="shared" si="5"/>
        <v>14010315.000000209</v>
      </c>
      <c r="M35" s="38">
        <f t="shared" si="6"/>
        <v>11300.000000000182</v>
      </c>
      <c r="N35" s="37"/>
      <c r="O35" s="37">
        <v>101.5</v>
      </c>
      <c r="P35" s="37">
        <f t="shared" si="7"/>
        <v>1182475</v>
      </c>
      <c r="Q35" s="37"/>
      <c r="R35" s="37">
        <v>29</v>
      </c>
      <c r="S35" s="37">
        <f t="shared" si="8"/>
        <v>337850</v>
      </c>
      <c r="T35" s="37"/>
      <c r="U35" s="37">
        <v>10.150000000000002</v>
      </c>
      <c r="V35" s="37">
        <f t="shared" si="9"/>
        <v>118247.50000000003</v>
      </c>
      <c r="W35" s="37"/>
      <c r="X35" s="21">
        <v>4.3499999999999996</v>
      </c>
      <c r="Y35" s="21">
        <f t="shared" si="10"/>
        <v>50677.499999999993</v>
      </c>
      <c r="Z35" s="21">
        <f t="shared" si="11"/>
        <v>145</v>
      </c>
      <c r="AA35" s="21">
        <f t="shared" si="12"/>
        <v>1689250</v>
      </c>
      <c r="AB35" s="21"/>
      <c r="AC35" s="38"/>
      <c r="AD35" s="38"/>
      <c r="AE35" s="38">
        <v>10700</v>
      </c>
      <c r="AF35" s="38"/>
      <c r="AG35" s="21"/>
      <c r="AH35" s="21">
        <v>142</v>
      </c>
      <c r="AI35" s="21">
        <f t="shared" si="13"/>
        <v>1928644</v>
      </c>
      <c r="AJ35" s="21">
        <v>53</v>
      </c>
      <c r="AK35" s="21">
        <f t="shared" si="14"/>
        <v>212000</v>
      </c>
      <c r="AL35" s="21">
        <v>59</v>
      </c>
      <c r="AM35" s="21">
        <f t="shared" si="15"/>
        <v>236000</v>
      </c>
      <c r="AN35" s="21">
        <v>10</v>
      </c>
      <c r="AO35" s="21">
        <f t="shared" si="16"/>
        <v>2376644</v>
      </c>
      <c r="AP35" s="21">
        <f t="shared" si="17"/>
        <v>254</v>
      </c>
      <c r="AQ35" s="38"/>
    </row>
    <row r="36" spans="1:43">
      <c r="A36" s="4" t="s">
        <v>16</v>
      </c>
      <c r="B36" s="22">
        <v>43218</v>
      </c>
      <c r="C36" s="38"/>
      <c r="D36" s="38"/>
      <c r="E36" s="21">
        <v>5.3499999999999091</v>
      </c>
      <c r="F36" s="21">
        <f t="shared" si="0"/>
        <v>10699.999999999818</v>
      </c>
      <c r="G36" s="21">
        <f t="shared" si="1"/>
        <v>11079849.999999812</v>
      </c>
      <c r="H36" s="21">
        <v>1.0199999999999818</v>
      </c>
      <c r="I36" s="21">
        <f t="shared" si="2"/>
        <v>2039.9999999999636</v>
      </c>
      <c r="J36" s="21">
        <f t="shared" si="3"/>
        <v>3168629.9999999437</v>
      </c>
      <c r="K36" s="21">
        <f t="shared" si="4"/>
        <v>14248479.999999756</v>
      </c>
      <c r="L36" s="21">
        <f t="shared" si="5"/>
        <v>15673327.999999734</v>
      </c>
      <c r="M36" s="38">
        <f t="shared" si="6"/>
        <v>12739.999999999782</v>
      </c>
      <c r="N36" s="37"/>
      <c r="O36" s="37">
        <v>101.5</v>
      </c>
      <c r="P36" s="37">
        <f t="shared" si="7"/>
        <v>1182475</v>
      </c>
      <c r="Q36" s="37"/>
      <c r="R36" s="37">
        <v>29</v>
      </c>
      <c r="S36" s="37">
        <f t="shared" si="8"/>
        <v>337850</v>
      </c>
      <c r="T36" s="37"/>
      <c r="U36" s="37">
        <v>10.150000000000002</v>
      </c>
      <c r="V36" s="37">
        <f t="shared" si="9"/>
        <v>118247.50000000003</v>
      </c>
      <c r="W36" s="37"/>
      <c r="X36" s="21">
        <v>4.3499999999999996</v>
      </c>
      <c r="Y36" s="21">
        <f t="shared" si="10"/>
        <v>50677.499999999993</v>
      </c>
      <c r="Z36" s="21">
        <f t="shared" si="11"/>
        <v>145</v>
      </c>
      <c r="AA36" s="21">
        <f t="shared" si="12"/>
        <v>1689250</v>
      </c>
      <c r="AB36" s="21"/>
      <c r="AC36" s="38"/>
      <c r="AD36" s="38"/>
      <c r="AE36" s="38">
        <v>10700</v>
      </c>
      <c r="AF36" s="38"/>
      <c r="AG36" s="21"/>
      <c r="AH36" s="21">
        <v>111</v>
      </c>
      <c r="AI36" s="21">
        <f t="shared" si="13"/>
        <v>1507602</v>
      </c>
      <c r="AJ36" s="21">
        <v>49</v>
      </c>
      <c r="AK36" s="21">
        <f t="shared" si="14"/>
        <v>196000</v>
      </c>
      <c r="AL36" s="21">
        <v>66</v>
      </c>
      <c r="AM36" s="21">
        <f t="shared" si="15"/>
        <v>264000</v>
      </c>
      <c r="AN36" s="21">
        <v>10</v>
      </c>
      <c r="AO36" s="21">
        <f t="shared" si="16"/>
        <v>1967602</v>
      </c>
      <c r="AP36" s="21">
        <f t="shared" si="17"/>
        <v>226</v>
      </c>
      <c r="AQ36" s="38"/>
    </row>
    <row r="37" spans="1:43">
      <c r="A37" s="4" t="s">
        <v>16</v>
      </c>
      <c r="B37" s="22">
        <v>43219</v>
      </c>
      <c r="C37" s="38"/>
      <c r="D37" s="38"/>
      <c r="E37" s="21">
        <v>3.9900000000002365</v>
      </c>
      <c r="F37" s="21">
        <f t="shared" si="0"/>
        <v>7980.0000000004729</v>
      </c>
      <c r="G37" s="21">
        <f t="shared" si="1"/>
        <v>8263290.0000004899</v>
      </c>
      <c r="H37" s="21">
        <v>1.0099999999999909</v>
      </c>
      <c r="I37" s="21">
        <f t="shared" si="2"/>
        <v>2019.9999999999818</v>
      </c>
      <c r="J37" s="21">
        <f t="shared" si="3"/>
        <v>3137564.9999999716</v>
      </c>
      <c r="K37" s="21">
        <f t="shared" si="4"/>
        <v>11400855.000000462</v>
      </c>
      <c r="L37" s="21">
        <f t="shared" si="5"/>
        <v>12540940.500000509</v>
      </c>
      <c r="M37" s="38">
        <f t="shared" si="6"/>
        <v>10000.000000000455</v>
      </c>
      <c r="N37" s="39"/>
      <c r="O37" s="37">
        <v>101.5</v>
      </c>
      <c r="P37" s="37">
        <f t="shared" si="7"/>
        <v>1182475</v>
      </c>
      <c r="Q37" s="37"/>
      <c r="R37" s="37">
        <v>29</v>
      </c>
      <c r="S37" s="37">
        <f t="shared" si="8"/>
        <v>337850</v>
      </c>
      <c r="T37" s="37"/>
      <c r="U37" s="37">
        <v>10.150000000000002</v>
      </c>
      <c r="V37" s="37">
        <f t="shared" si="9"/>
        <v>118247.50000000003</v>
      </c>
      <c r="W37" s="37"/>
      <c r="X37" s="21">
        <v>4.3499999999999996</v>
      </c>
      <c r="Y37" s="21">
        <f t="shared" si="10"/>
        <v>50677.499999999993</v>
      </c>
      <c r="Z37" s="21">
        <f t="shared" si="11"/>
        <v>145</v>
      </c>
      <c r="AA37" s="21">
        <f t="shared" si="12"/>
        <v>1689250</v>
      </c>
      <c r="AB37" s="21"/>
      <c r="AC37" s="38"/>
      <c r="AD37" s="38"/>
      <c r="AE37" s="38">
        <v>10700</v>
      </c>
      <c r="AF37" s="38"/>
      <c r="AG37" s="21"/>
      <c r="AH37" s="21">
        <v>171</v>
      </c>
      <c r="AI37" s="21">
        <f t="shared" si="13"/>
        <v>2322522</v>
      </c>
      <c r="AJ37" s="21">
        <v>35</v>
      </c>
      <c r="AK37" s="21">
        <f t="shared" si="14"/>
        <v>140000</v>
      </c>
      <c r="AL37" s="21">
        <v>7</v>
      </c>
      <c r="AM37" s="21">
        <f t="shared" si="15"/>
        <v>28000</v>
      </c>
      <c r="AN37" s="21">
        <v>10</v>
      </c>
      <c r="AO37" s="21">
        <f t="shared" si="16"/>
        <v>2490522</v>
      </c>
      <c r="AP37" s="21">
        <f t="shared" si="17"/>
        <v>213</v>
      </c>
      <c r="AQ37" s="38"/>
    </row>
    <row r="38" spans="1:43">
      <c r="A38" s="4" t="s">
        <v>16</v>
      </c>
      <c r="B38" s="22">
        <v>43220</v>
      </c>
      <c r="C38" s="38"/>
      <c r="D38" s="38"/>
      <c r="E38" s="21">
        <v>4.6799999999998363</v>
      </c>
      <c r="F38" s="21">
        <f t="shared" si="0"/>
        <v>9359.9999999996726</v>
      </c>
      <c r="G38" s="21">
        <f t="shared" si="1"/>
        <v>9692279.999999661</v>
      </c>
      <c r="H38" s="21">
        <v>1.1100000000000136</v>
      </c>
      <c r="I38" s="21">
        <f t="shared" si="2"/>
        <v>2220.0000000000273</v>
      </c>
      <c r="J38" s="21">
        <f t="shared" si="3"/>
        <v>3448215.0000000424</v>
      </c>
      <c r="K38" s="21">
        <f t="shared" si="4"/>
        <v>13140494.999999704</v>
      </c>
      <c r="L38" s="21">
        <f t="shared" si="5"/>
        <v>14454544.499999676</v>
      </c>
      <c r="M38" s="38">
        <f t="shared" si="6"/>
        <v>11579.9999999997</v>
      </c>
      <c r="N38" s="39"/>
      <c r="O38" s="37">
        <v>101.5</v>
      </c>
      <c r="P38" s="37">
        <f t="shared" si="7"/>
        <v>1182475</v>
      </c>
      <c r="Q38" s="37"/>
      <c r="R38" s="37">
        <v>29</v>
      </c>
      <c r="S38" s="37">
        <f t="shared" si="8"/>
        <v>337850</v>
      </c>
      <c r="T38" s="37"/>
      <c r="U38" s="37">
        <v>10.150000000000002</v>
      </c>
      <c r="V38" s="37">
        <f t="shared" si="9"/>
        <v>118247.50000000003</v>
      </c>
      <c r="W38" s="37"/>
      <c r="X38" s="21">
        <v>4.3499999999999996</v>
      </c>
      <c r="Y38" s="21">
        <f t="shared" si="10"/>
        <v>50677.499999999993</v>
      </c>
      <c r="Z38" s="21">
        <f t="shared" si="11"/>
        <v>145</v>
      </c>
      <c r="AA38" s="21">
        <f t="shared" si="12"/>
        <v>1689250</v>
      </c>
      <c r="AB38" s="21"/>
      <c r="AD38" s="38"/>
      <c r="AE38" s="38">
        <v>10700</v>
      </c>
      <c r="AF38" s="38"/>
      <c r="AG38" s="21"/>
      <c r="AH38" s="21">
        <v>150</v>
      </c>
      <c r="AI38" s="21">
        <f t="shared" si="13"/>
        <v>2037300</v>
      </c>
      <c r="AJ38" s="21">
        <v>51</v>
      </c>
      <c r="AK38" s="21">
        <f t="shared" si="14"/>
        <v>204000</v>
      </c>
      <c r="AL38" s="21">
        <v>0</v>
      </c>
      <c r="AM38" s="21">
        <f t="shared" si="15"/>
        <v>0</v>
      </c>
      <c r="AN38" s="21">
        <v>10</v>
      </c>
      <c r="AO38" s="21">
        <f t="shared" si="16"/>
        <v>2241300</v>
      </c>
      <c r="AP38" s="21">
        <f t="shared" si="17"/>
        <v>201</v>
      </c>
      <c r="AQ38" s="38"/>
    </row>
    <row r="39" spans="1:43" s="19" customFormat="1">
      <c r="B39" s="43"/>
      <c r="C39" s="21"/>
      <c r="D39" s="21"/>
      <c r="E39" s="21">
        <f>SUM(E9:E38)</f>
        <v>142.95000000000027</v>
      </c>
      <c r="F39" s="21">
        <f>SUM(F9:F38)</f>
        <v>285900.00000000052</v>
      </c>
      <c r="G39" s="21">
        <f>SUM(G9:G38)</f>
        <v>296049450.00000054</v>
      </c>
      <c r="H39" s="21">
        <v>1.0299999999999727</v>
      </c>
      <c r="I39" s="21">
        <f>SUM(I9:I38)</f>
        <v>62740</v>
      </c>
      <c r="J39" s="21">
        <f>SUM(J9:J38)</f>
        <v>97450904.999999985</v>
      </c>
      <c r="K39" s="21">
        <f>SUM(K9:K38)</f>
        <v>393500355.0000006</v>
      </c>
      <c r="L39" s="21">
        <f>SUM(L9:L38)</f>
        <v>432850390.50000072</v>
      </c>
      <c r="M39" s="38">
        <f>F39+I39</f>
        <v>348640.00000000052</v>
      </c>
      <c r="N39" s="21">
        <f>SUM(N9:N38)</f>
        <v>3045</v>
      </c>
      <c r="O39" s="21">
        <f>SUM(O9:O38)</f>
        <v>3045</v>
      </c>
      <c r="P39" s="21">
        <f>SUM(P9:P38)</f>
        <v>35474250</v>
      </c>
      <c r="Q39" s="21">
        <f>SUM(Q9:Q38)</f>
        <v>870</v>
      </c>
      <c r="R39" s="21">
        <f>SUM(R9:R38)</f>
        <v>870</v>
      </c>
      <c r="S39" s="21">
        <f>SUM(S9:S38)</f>
        <v>10135500</v>
      </c>
      <c r="T39" s="21">
        <f>SUM(T9:T38)</f>
        <v>304.50000000000006</v>
      </c>
      <c r="U39" s="21">
        <f>SUM(U9:U38)</f>
        <v>304.5</v>
      </c>
      <c r="V39" s="21">
        <f>SUM(V9:V38)</f>
        <v>3547425.0000000005</v>
      </c>
      <c r="W39" s="21">
        <f>SUM(W9:W38)</f>
        <v>130.5</v>
      </c>
      <c r="X39" s="21">
        <f>SUM(X9:X38)</f>
        <v>130.49999999999994</v>
      </c>
      <c r="Y39" s="21">
        <f>SUM(Y9:Y38)</f>
        <v>1520324.9999999998</v>
      </c>
      <c r="Z39" s="21">
        <f t="shared" si="11"/>
        <v>4350</v>
      </c>
      <c r="AA39" s="21">
        <f>SUM(AA9:AA38)</f>
        <v>50677500</v>
      </c>
      <c r="AB39" s="21">
        <f>SUM(AB9:AB38)</f>
        <v>0</v>
      </c>
      <c r="AC39" s="21">
        <f>SUM(AC9:AC37)</f>
        <v>950</v>
      </c>
      <c r="AD39" s="21">
        <f>SUM(AD9:AD38)</f>
        <v>0</v>
      </c>
      <c r="AE39" s="21">
        <f>SUM(AE9:AE38)</f>
        <v>321000</v>
      </c>
      <c r="AF39" s="21">
        <f>SUM(AF9:AF38)</f>
        <v>0</v>
      </c>
      <c r="AG39" s="21">
        <f>SUM(AG9:AG38)</f>
        <v>0</v>
      </c>
      <c r="AH39" s="21">
        <f>SUM(AH9:AH38)</f>
        <v>3284</v>
      </c>
      <c r="AI39" s="21">
        <f>SUM(AI9:AI38)</f>
        <v>44603288</v>
      </c>
      <c r="AJ39" s="21">
        <f>SUM(AJ9:AJ38)</f>
        <v>1595</v>
      </c>
      <c r="AK39" s="21">
        <f>SUM(AK9:AK38)</f>
        <v>6380000</v>
      </c>
      <c r="AL39" s="21">
        <f>SUM(AL9:AL38)</f>
        <v>1533</v>
      </c>
      <c r="AM39" s="21">
        <f>SUM(AM9:AM38)</f>
        <v>6132000</v>
      </c>
      <c r="AN39" s="21">
        <f>SUM(AN9:AN38)</f>
        <v>300</v>
      </c>
      <c r="AO39" s="21">
        <f>SUM(AO9:AO38)</f>
        <v>57115288</v>
      </c>
      <c r="AP39" s="21">
        <f>SUM(AP9:AP38)</f>
        <v>6412</v>
      </c>
      <c r="AQ39" s="21">
        <f>SUM(AQ9:AQ38)</f>
        <v>0</v>
      </c>
    </row>
    <row r="40" spans="1:43">
      <c r="L40" s="20">
        <f>L39/M39</f>
        <v>1241.5396698600277</v>
      </c>
      <c r="AO40" s="20">
        <f>AO39/AP39</f>
        <v>8907.5620711166557</v>
      </c>
    </row>
  </sheetData>
  <mergeCells count="41"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  <mergeCell ref="B5:B7"/>
    <mergeCell ref="C5:C7"/>
    <mergeCell ref="D5:D7"/>
    <mergeCell ref="E5:G5"/>
    <mergeCell ref="H5:J5"/>
    <mergeCell ref="H6:H7"/>
    <mergeCell ref="I6:I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AG4:AG7"/>
    <mergeCell ref="AD6:AD7"/>
    <mergeCell ref="K5:K7"/>
    <mergeCell ref="L5:L7"/>
    <mergeCell ref="AC4:AE5"/>
    <mergeCell ref="AF4:AF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13025168-4589-4EEA-9165-E2C2134D79FC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