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F58DBA8C-5060-4066-8E4C-A553088999E3}" xr6:coauthVersionLast="47" xr6:coauthVersionMax="47" xr10:uidLastSave="{00000000-0000-0000-0000-000000000000}"/>
  <bookViews>
    <workbookView xWindow="-120" yWindow="-120" windowWidth="20730" windowHeight="111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Gas!$A$1:$AJ$32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E6" i="3"/>
  <c r="E7" i="3"/>
  <c r="E8" i="3"/>
  <c r="E5" i="3"/>
  <c r="AG31" i="5"/>
  <c r="AA29" i="8" s="1"/>
  <c r="AG30" i="5"/>
  <c r="AA28" i="8" s="1"/>
  <c r="AG29" i="5"/>
  <c r="AA27" i="8" s="1"/>
  <c r="AG28" i="5"/>
  <c r="AA26" i="8" s="1"/>
  <c r="AG27" i="5"/>
  <c r="AA25" i="8" s="1"/>
  <c r="AG26" i="5"/>
  <c r="AA24" i="8" s="1"/>
  <c r="AG25" i="5"/>
  <c r="AA23" i="8" s="1"/>
  <c r="AG24" i="5"/>
  <c r="AA22" i="8" s="1"/>
  <c r="AG23" i="5"/>
  <c r="AA21" i="8" s="1"/>
  <c r="AG22" i="5"/>
  <c r="AA20" i="8" s="1"/>
  <c r="AG21" i="5"/>
  <c r="AA19" i="8" s="1"/>
  <c r="AG20" i="5"/>
  <c r="AA18" i="8" s="1"/>
  <c r="AG19" i="5"/>
  <c r="AA17" i="8" s="1"/>
  <c r="AG18" i="5"/>
  <c r="AA16" i="8" s="1"/>
  <c r="AG17" i="5"/>
  <c r="AA15" i="8" s="1"/>
  <c r="AG16" i="5"/>
  <c r="AA14" i="8" s="1"/>
  <c r="AG15" i="5"/>
  <c r="AA13" i="8" s="1"/>
  <c r="AG14" i="5"/>
  <c r="AA12" i="8" s="1"/>
  <c r="AG13" i="5"/>
  <c r="AA11" i="8" s="1"/>
  <c r="AG12" i="5"/>
  <c r="AA10" i="8" s="1"/>
  <c r="AG11" i="5"/>
  <c r="AA9" i="8" s="1"/>
  <c r="AG10" i="5"/>
  <c r="AA8" i="8" s="1"/>
  <c r="AG9" i="5"/>
  <c r="AA7" i="8" s="1"/>
  <c r="AG8" i="5"/>
  <c r="AA6" i="8" s="1"/>
  <c r="AG7" i="5"/>
  <c r="AA5" i="8" s="1"/>
  <c r="AG6" i="5"/>
  <c r="AA4" i="8" s="1"/>
  <c r="AG5" i="5"/>
  <c r="AA3" i="8" s="1"/>
  <c r="AG4" i="5"/>
  <c r="AA2" i="8" s="1"/>
  <c r="AE31" i="5"/>
  <c r="Z29" i="8" s="1"/>
  <c r="AE30" i="5"/>
  <c r="Z28" i="8" s="1"/>
  <c r="AE29" i="5"/>
  <c r="Z27" i="8" s="1"/>
  <c r="AE28" i="5"/>
  <c r="Z26" i="8" s="1"/>
  <c r="AE27" i="5"/>
  <c r="Z25" i="8" s="1"/>
  <c r="AE26" i="5"/>
  <c r="Z24" i="8" s="1"/>
  <c r="AE25" i="5"/>
  <c r="Z23" i="8" s="1"/>
  <c r="AE24" i="5"/>
  <c r="Z22" i="8" s="1"/>
  <c r="AE23" i="5"/>
  <c r="Z21" i="8" s="1"/>
  <c r="AE22" i="5"/>
  <c r="Z20" i="8" s="1"/>
  <c r="AE21" i="5"/>
  <c r="Z19" i="8" s="1"/>
  <c r="AE20" i="5"/>
  <c r="Z18" i="8" s="1"/>
  <c r="AE19" i="5"/>
  <c r="Z17" i="8" s="1"/>
  <c r="AE18" i="5"/>
  <c r="Z16" i="8" s="1"/>
  <c r="AE17" i="5"/>
  <c r="Z15" i="8" s="1"/>
  <c r="AE16" i="5"/>
  <c r="Z14" i="8" s="1"/>
  <c r="AE15" i="5"/>
  <c r="Z13" i="8" s="1"/>
  <c r="AE14" i="5"/>
  <c r="Z12" i="8" s="1"/>
  <c r="AE13" i="5"/>
  <c r="Z11" i="8" s="1"/>
  <c r="AE12" i="5"/>
  <c r="Z10" i="8" s="1"/>
  <c r="AE11" i="5"/>
  <c r="Z9" i="8" s="1"/>
  <c r="AE10" i="5"/>
  <c r="Z8" i="8" s="1"/>
  <c r="AE9" i="5"/>
  <c r="Z7" i="8" s="1"/>
  <c r="AE8" i="5"/>
  <c r="Z6" i="8" s="1"/>
  <c r="AE7" i="5"/>
  <c r="Z5" i="8" s="1"/>
  <c r="AE6" i="5"/>
  <c r="Z4" i="8" s="1"/>
  <c r="AE5" i="5"/>
  <c r="Z3" i="8" s="1"/>
  <c r="AE4" i="5"/>
  <c r="Z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G6" i="5"/>
  <c r="G7" i="5"/>
  <c r="G8" i="5"/>
  <c r="N6" i="8" s="1"/>
  <c r="G9" i="5"/>
  <c r="N7" i="8" s="1"/>
  <c r="G10" i="5"/>
  <c r="G11" i="5"/>
  <c r="G12" i="5"/>
  <c r="G13" i="5"/>
  <c r="G14" i="5"/>
  <c r="G15" i="5"/>
  <c r="G16" i="5"/>
  <c r="N14" i="8" s="1"/>
  <c r="G17" i="5"/>
  <c r="N15" i="8" s="1"/>
  <c r="G18" i="5"/>
  <c r="G19" i="5"/>
  <c r="G20" i="5"/>
  <c r="G21" i="5"/>
  <c r="G22" i="5"/>
  <c r="G23" i="5"/>
  <c r="N21" i="8" s="1"/>
  <c r="G24" i="5"/>
  <c r="N22" i="8" s="1"/>
  <c r="G25" i="5"/>
  <c r="N23" i="8" s="1"/>
  <c r="G26" i="5"/>
  <c r="G27" i="5"/>
  <c r="G28" i="5"/>
  <c r="G29" i="5"/>
  <c r="G30" i="5"/>
  <c r="G31" i="5"/>
  <c r="N29" i="8" s="1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J3" i="8"/>
  <c r="K2" i="8"/>
  <c r="J2" i="8"/>
  <c r="C23" i="5"/>
  <c r="L21" i="8" s="1"/>
  <c r="E23" i="5"/>
  <c r="M21" i="8" s="1"/>
  <c r="I23" i="5"/>
  <c r="K23" i="5"/>
  <c r="M23" i="5"/>
  <c r="Q21" i="8" s="1"/>
  <c r="O23" i="5"/>
  <c r="R21" i="8" s="1"/>
  <c r="Q23" i="5"/>
  <c r="S23" i="5"/>
  <c r="T21" i="8" s="1"/>
  <c r="U23" i="5"/>
  <c r="U21" i="8" s="1"/>
  <c r="W23" i="5"/>
  <c r="V21" i="8" s="1"/>
  <c r="Y23" i="5"/>
  <c r="W21" i="8" s="1"/>
  <c r="AA23" i="5"/>
  <c r="AC23" i="5"/>
  <c r="AJ23" i="5"/>
  <c r="C24" i="5"/>
  <c r="L22" i="8" s="1"/>
  <c r="E24" i="5"/>
  <c r="M22" i="8" s="1"/>
  <c r="I24" i="5"/>
  <c r="O22" i="8" s="1"/>
  <c r="K24" i="5"/>
  <c r="P22" i="8" s="1"/>
  <c r="M24" i="5"/>
  <c r="Q22" i="8" s="1"/>
  <c r="O24" i="5"/>
  <c r="R22" i="8" s="1"/>
  <c r="Q24" i="5"/>
  <c r="S22" i="8" s="1"/>
  <c r="S24" i="5"/>
  <c r="T22" i="8" s="1"/>
  <c r="U24" i="5"/>
  <c r="U22" i="8" s="1"/>
  <c r="W24" i="5"/>
  <c r="V22" i="8" s="1"/>
  <c r="Y24" i="5"/>
  <c r="W22" i="8" s="1"/>
  <c r="AA24" i="5"/>
  <c r="X22" i="8" s="1"/>
  <c r="AC24" i="5"/>
  <c r="AJ24" i="5"/>
  <c r="C25" i="5"/>
  <c r="L23" i="8" s="1"/>
  <c r="E25" i="5"/>
  <c r="M23" i="8" s="1"/>
  <c r="I25" i="5"/>
  <c r="O23" i="8" s="1"/>
  <c r="K25" i="5"/>
  <c r="P23" i="8" s="1"/>
  <c r="M25" i="5"/>
  <c r="Q23" i="8" s="1"/>
  <c r="O25" i="5"/>
  <c r="Q25" i="5"/>
  <c r="S23" i="8" s="1"/>
  <c r="S25" i="5"/>
  <c r="U25" i="5"/>
  <c r="U23" i="8" s="1"/>
  <c r="W25" i="5"/>
  <c r="V23" i="8" s="1"/>
  <c r="Y25" i="5"/>
  <c r="W23" i="8" s="1"/>
  <c r="AA25" i="5"/>
  <c r="X23" i="8" s="1"/>
  <c r="AC25" i="5"/>
  <c r="Y23" i="8" s="1"/>
  <c r="AJ25" i="5"/>
  <c r="C26" i="5"/>
  <c r="L24" i="8" s="1"/>
  <c r="E26" i="5"/>
  <c r="M24" i="8" s="1"/>
  <c r="N24" i="8"/>
  <c r="I26" i="5"/>
  <c r="O24" i="8" s="1"/>
  <c r="K26" i="5"/>
  <c r="P24" i="8" s="1"/>
  <c r="M26" i="5"/>
  <c r="Q24" i="8" s="1"/>
  <c r="O26" i="5"/>
  <c r="R24" i="8" s="1"/>
  <c r="Q26" i="5"/>
  <c r="S24" i="8" s="1"/>
  <c r="S26" i="5"/>
  <c r="T24" i="8" s="1"/>
  <c r="U26" i="5"/>
  <c r="W26" i="5"/>
  <c r="V24" i="8"/>
  <c r="Y26" i="5"/>
  <c r="W24" i="8" s="1"/>
  <c r="AA26" i="5"/>
  <c r="X24" i="8" s="1"/>
  <c r="AC26" i="5"/>
  <c r="Y24" i="8" s="1"/>
  <c r="AJ26" i="5"/>
  <c r="C27" i="5"/>
  <c r="E27" i="5"/>
  <c r="M25" i="8" s="1"/>
  <c r="N25" i="8"/>
  <c r="I27" i="5"/>
  <c r="O25" i="8" s="1"/>
  <c r="K27" i="5"/>
  <c r="P25" i="8" s="1"/>
  <c r="M27" i="5"/>
  <c r="O27" i="5"/>
  <c r="Q27" i="5"/>
  <c r="S25" i="8" s="1"/>
  <c r="S27" i="5"/>
  <c r="T25" i="8" s="1"/>
  <c r="U27" i="5"/>
  <c r="U25" i="8" s="1"/>
  <c r="W27" i="5"/>
  <c r="Y27" i="5"/>
  <c r="W25" i="8" s="1"/>
  <c r="AA27" i="5"/>
  <c r="X25" i="8" s="1"/>
  <c r="AC27" i="5"/>
  <c r="Y25" i="8" s="1"/>
  <c r="AJ27" i="5"/>
  <c r="C28" i="5"/>
  <c r="E28" i="5"/>
  <c r="M26" i="8" s="1"/>
  <c r="N26" i="8"/>
  <c r="I28" i="5"/>
  <c r="O26" i="8" s="1"/>
  <c r="K28" i="5"/>
  <c r="P26" i="8" s="1"/>
  <c r="M28" i="5"/>
  <c r="Q26" i="8" s="1"/>
  <c r="O28" i="5"/>
  <c r="R26" i="8" s="1"/>
  <c r="Q28" i="5"/>
  <c r="S28" i="5"/>
  <c r="U28" i="5"/>
  <c r="U26" i="8" s="1"/>
  <c r="W28" i="5"/>
  <c r="V26" i="8" s="1"/>
  <c r="Y28" i="5"/>
  <c r="W26" i="8" s="1"/>
  <c r="AA28" i="5"/>
  <c r="X26" i="8" s="1"/>
  <c r="AC28" i="5"/>
  <c r="Y26" i="8" s="1"/>
  <c r="AJ28" i="5"/>
  <c r="C29" i="5"/>
  <c r="E29" i="5"/>
  <c r="M27" i="8" s="1"/>
  <c r="N27" i="8"/>
  <c r="I29" i="5"/>
  <c r="O27" i="8" s="1"/>
  <c r="K29" i="5"/>
  <c r="P27" i="8" s="1"/>
  <c r="M29" i="5"/>
  <c r="Q27" i="8" s="1"/>
  <c r="O29" i="5"/>
  <c r="Q29" i="5"/>
  <c r="S27" i="8" s="1"/>
  <c r="S29" i="5"/>
  <c r="U29" i="5"/>
  <c r="W29" i="5"/>
  <c r="V27" i="8" s="1"/>
  <c r="Y29" i="5"/>
  <c r="W27" i="8" s="1"/>
  <c r="AA29" i="5"/>
  <c r="X27" i="8" s="1"/>
  <c r="AC29" i="5"/>
  <c r="Y27" i="8" s="1"/>
  <c r="AJ29" i="5"/>
  <c r="C30" i="5"/>
  <c r="L28" i="8" s="1"/>
  <c r="E30" i="5"/>
  <c r="M28" i="8" s="1"/>
  <c r="N28" i="8"/>
  <c r="I30" i="5"/>
  <c r="K30" i="5"/>
  <c r="P28" i="8" s="1"/>
  <c r="M30" i="5"/>
  <c r="Q28" i="8" s="1"/>
  <c r="O30" i="5"/>
  <c r="R28" i="8" s="1"/>
  <c r="Q30" i="5"/>
  <c r="S28" i="8" s="1"/>
  <c r="S30" i="5"/>
  <c r="T28" i="8" s="1"/>
  <c r="U30" i="5"/>
  <c r="U28" i="8" s="1"/>
  <c r="W30" i="5"/>
  <c r="V28" i="8" s="1"/>
  <c r="Y30" i="5"/>
  <c r="W28" i="8" s="1"/>
  <c r="AA30" i="5"/>
  <c r="X28" i="8" s="1"/>
  <c r="AC30" i="5"/>
  <c r="Y28" i="8" s="1"/>
  <c r="AJ30" i="5"/>
  <c r="C31" i="5"/>
  <c r="L29" i="8" s="1"/>
  <c r="E31" i="5"/>
  <c r="M29" i="8" s="1"/>
  <c r="I31" i="5"/>
  <c r="K31" i="5"/>
  <c r="M31" i="5"/>
  <c r="Q29" i="8" s="1"/>
  <c r="O31" i="5"/>
  <c r="R29" i="8" s="1"/>
  <c r="Q31" i="5"/>
  <c r="S29" i="8" s="1"/>
  <c r="S31" i="5"/>
  <c r="T29" i="8" s="1"/>
  <c r="U31" i="5"/>
  <c r="U29" i="8" s="1"/>
  <c r="W31" i="5"/>
  <c r="V29" i="8" s="1"/>
  <c r="Y31" i="5"/>
  <c r="AA31" i="5"/>
  <c r="X29" i="8" s="1"/>
  <c r="AC31" i="5"/>
  <c r="Y29" i="8" s="1"/>
  <c r="AJ31" i="5"/>
  <c r="I29" i="8"/>
  <c r="D33" i="4"/>
  <c r="F3" i="8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I12" i="5"/>
  <c r="O10" i="8" s="1"/>
  <c r="G4" i="5"/>
  <c r="N2" i="8" s="1"/>
  <c r="W29" i="8"/>
  <c r="P29" i="8"/>
  <c r="O29" i="8"/>
  <c r="D6" i="4"/>
  <c r="H29" i="8"/>
  <c r="K2" i="9"/>
  <c r="AB2" i="8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Y22" i="8"/>
  <c r="Y21" i="8"/>
  <c r="AC22" i="5"/>
  <c r="Y20" i="8" s="1"/>
  <c r="AC21" i="5"/>
  <c r="Y19" i="8" s="1"/>
  <c r="AC20" i="5"/>
  <c r="Y18" i="8" s="1"/>
  <c r="AC19" i="5"/>
  <c r="Y17" i="8" s="1"/>
  <c r="AC18" i="5"/>
  <c r="Y16" i="8" s="1"/>
  <c r="AC17" i="5"/>
  <c r="Y15" i="8" s="1"/>
  <c r="AC16" i="5"/>
  <c r="Y14" i="8" s="1"/>
  <c r="AC15" i="5"/>
  <c r="Y13" i="8" s="1"/>
  <c r="AC14" i="5"/>
  <c r="Y12" i="8" s="1"/>
  <c r="AC13" i="5"/>
  <c r="Y11" i="8" s="1"/>
  <c r="AC12" i="5"/>
  <c r="Y10" i="8" s="1"/>
  <c r="AC11" i="5"/>
  <c r="Y9" i="8" s="1"/>
  <c r="AC10" i="5"/>
  <c r="Y8" i="8" s="1"/>
  <c r="AC9" i="5"/>
  <c r="Y7" i="8" s="1"/>
  <c r="AC8" i="5"/>
  <c r="Y6" i="8" s="1"/>
  <c r="AC7" i="5"/>
  <c r="Y5" i="8" s="1"/>
  <c r="AC6" i="5"/>
  <c r="Y4" i="8" s="1"/>
  <c r="AC5" i="5"/>
  <c r="Y3" i="8" s="1"/>
  <c r="AC4" i="5"/>
  <c r="Y2" i="8" s="1"/>
  <c r="X21" i="8"/>
  <c r="AA22" i="5"/>
  <c r="X20" i="8" s="1"/>
  <c r="AA21" i="5"/>
  <c r="X19" i="8" s="1"/>
  <c r="AA20" i="5"/>
  <c r="X18" i="8" s="1"/>
  <c r="AA19" i="5"/>
  <c r="X17" i="8" s="1"/>
  <c r="AA18" i="5"/>
  <c r="X16" i="8" s="1"/>
  <c r="AA17" i="5"/>
  <c r="X15" i="8" s="1"/>
  <c r="AA16" i="5"/>
  <c r="X14" i="8" s="1"/>
  <c r="AA15" i="5"/>
  <c r="X13" i="8" s="1"/>
  <c r="AA14" i="5"/>
  <c r="X12" i="8" s="1"/>
  <c r="AA13" i="5"/>
  <c r="X11" i="8" s="1"/>
  <c r="AA12" i="5"/>
  <c r="X10" i="8" s="1"/>
  <c r="AA11" i="5"/>
  <c r="X9" i="8" s="1"/>
  <c r="AA10" i="5"/>
  <c r="X8" i="8" s="1"/>
  <c r="AA9" i="5"/>
  <c r="X7" i="8" s="1"/>
  <c r="AA8" i="5"/>
  <c r="X6" i="8" s="1"/>
  <c r="AA7" i="5"/>
  <c r="X5" i="8" s="1"/>
  <c r="AA6" i="5"/>
  <c r="X4" i="8" s="1"/>
  <c r="AA5" i="5"/>
  <c r="X3" i="8" s="1"/>
  <c r="AA4" i="5"/>
  <c r="X2" i="8" s="1"/>
  <c r="Y22" i="5"/>
  <c r="W20" i="8" s="1"/>
  <c r="Y21" i="5"/>
  <c r="W19" i="8" s="1"/>
  <c r="Y20" i="5"/>
  <c r="W18" i="8" s="1"/>
  <c r="Y19" i="5"/>
  <c r="W17" i="8" s="1"/>
  <c r="Y18" i="5"/>
  <c r="W16" i="8" s="1"/>
  <c r="Y17" i="5"/>
  <c r="W15" i="8" s="1"/>
  <c r="Y16" i="5"/>
  <c r="W14" i="8" s="1"/>
  <c r="Y15" i="5"/>
  <c r="W13" i="8" s="1"/>
  <c r="Y14" i="5"/>
  <c r="W12" i="8" s="1"/>
  <c r="Y13" i="5"/>
  <c r="W11" i="8" s="1"/>
  <c r="Y12" i="5"/>
  <c r="W10" i="8" s="1"/>
  <c r="Y11" i="5"/>
  <c r="W9" i="8" s="1"/>
  <c r="Y10" i="5"/>
  <c r="W8" i="8" s="1"/>
  <c r="Y9" i="5"/>
  <c r="W7" i="8" s="1"/>
  <c r="Y8" i="5"/>
  <c r="W6" i="8" s="1"/>
  <c r="Y7" i="5"/>
  <c r="W5" i="8" s="1"/>
  <c r="Y6" i="5"/>
  <c r="W4" i="8" s="1"/>
  <c r="Y5" i="5"/>
  <c r="W3" i="8"/>
  <c r="Y4" i="5"/>
  <c r="W2" i="8"/>
  <c r="V25" i="8"/>
  <c r="W22" i="5"/>
  <c r="V20" i="8" s="1"/>
  <c r="W21" i="5"/>
  <c r="W20" i="5"/>
  <c r="V18" i="8" s="1"/>
  <c r="W19" i="5"/>
  <c r="V17" i="8" s="1"/>
  <c r="W18" i="5"/>
  <c r="V16" i="8" s="1"/>
  <c r="W17" i="5"/>
  <c r="V15" i="8" s="1"/>
  <c r="W16" i="5"/>
  <c r="V14" i="8" s="1"/>
  <c r="W15" i="5"/>
  <c r="V13" i="8" s="1"/>
  <c r="W14" i="5"/>
  <c r="V12" i="8" s="1"/>
  <c r="W13" i="5"/>
  <c r="V11" i="8" s="1"/>
  <c r="W12" i="5"/>
  <c r="V10" i="8" s="1"/>
  <c r="W11" i="5"/>
  <c r="V9" i="8" s="1"/>
  <c r="W10" i="5"/>
  <c r="V8" i="8" s="1"/>
  <c r="W9" i="5"/>
  <c r="V7" i="8" s="1"/>
  <c r="W8" i="5"/>
  <c r="V6" i="8" s="1"/>
  <c r="W7" i="5"/>
  <c r="V5" i="8" s="1"/>
  <c r="W6" i="5"/>
  <c r="V4" i="8" s="1"/>
  <c r="W5" i="5"/>
  <c r="V3" i="8" s="1"/>
  <c r="W4" i="5"/>
  <c r="V2" i="8" s="1"/>
  <c r="U27" i="8"/>
  <c r="U24" i="8"/>
  <c r="U22" i="5"/>
  <c r="U20" i="8" s="1"/>
  <c r="U21" i="5"/>
  <c r="U19" i="8" s="1"/>
  <c r="U20" i="5"/>
  <c r="U18" i="8" s="1"/>
  <c r="U19" i="5"/>
  <c r="U17" i="8" s="1"/>
  <c r="U18" i="5"/>
  <c r="U16" i="8" s="1"/>
  <c r="U17" i="5"/>
  <c r="U15" i="8" s="1"/>
  <c r="U16" i="5"/>
  <c r="U14" i="8" s="1"/>
  <c r="U15" i="5"/>
  <c r="U13" i="8" s="1"/>
  <c r="U14" i="5"/>
  <c r="U12" i="8" s="1"/>
  <c r="U13" i="5"/>
  <c r="U11" i="8" s="1"/>
  <c r="U12" i="5"/>
  <c r="U10" i="8" s="1"/>
  <c r="U11" i="5"/>
  <c r="U9" i="8"/>
  <c r="U10" i="5"/>
  <c r="U8" i="8" s="1"/>
  <c r="U9" i="5"/>
  <c r="U7" i="8" s="1"/>
  <c r="U8" i="5"/>
  <c r="U6" i="8" s="1"/>
  <c r="U7" i="5"/>
  <c r="U5" i="8" s="1"/>
  <c r="U6" i="5"/>
  <c r="U4" i="8" s="1"/>
  <c r="U5" i="5"/>
  <c r="U3" i="8"/>
  <c r="U4" i="5"/>
  <c r="U2" i="8" s="1"/>
  <c r="T26" i="8"/>
  <c r="S22" i="5"/>
  <c r="T20" i="8" s="1"/>
  <c r="S21" i="5"/>
  <c r="T19" i="8" s="1"/>
  <c r="S20" i="5"/>
  <c r="T18" i="8" s="1"/>
  <c r="S19" i="5"/>
  <c r="T17" i="8" s="1"/>
  <c r="S18" i="5"/>
  <c r="T16" i="8" s="1"/>
  <c r="S17" i="5"/>
  <c r="T15" i="8" s="1"/>
  <c r="S16" i="5"/>
  <c r="T14" i="8" s="1"/>
  <c r="S15" i="5"/>
  <c r="T13" i="8" s="1"/>
  <c r="S14" i="5"/>
  <c r="T12" i="8" s="1"/>
  <c r="S13" i="5"/>
  <c r="T11" i="8" s="1"/>
  <c r="S12" i="5"/>
  <c r="T10" i="8" s="1"/>
  <c r="S11" i="5"/>
  <c r="T9" i="8" s="1"/>
  <c r="S10" i="5"/>
  <c r="T8" i="8" s="1"/>
  <c r="S9" i="5"/>
  <c r="T7" i="8" s="1"/>
  <c r="S8" i="5"/>
  <c r="T6" i="8"/>
  <c r="S7" i="5"/>
  <c r="T5" i="8" s="1"/>
  <c r="S6" i="5"/>
  <c r="T4" i="8" s="1"/>
  <c r="S5" i="5"/>
  <c r="T3" i="8" s="1"/>
  <c r="S4" i="5"/>
  <c r="T2" i="8" s="1"/>
  <c r="S26" i="8"/>
  <c r="S21" i="8"/>
  <c r="Q22" i="5"/>
  <c r="S20" i="8" s="1"/>
  <c r="Q21" i="5"/>
  <c r="S19" i="8" s="1"/>
  <c r="Q20" i="5"/>
  <c r="S18" i="8" s="1"/>
  <c r="Q19" i="5"/>
  <c r="S17" i="8" s="1"/>
  <c r="Q18" i="5"/>
  <c r="S16" i="8" s="1"/>
  <c r="Q17" i="5"/>
  <c r="S15" i="8" s="1"/>
  <c r="Q16" i="5"/>
  <c r="S14" i="8" s="1"/>
  <c r="Q15" i="5"/>
  <c r="S13" i="8" s="1"/>
  <c r="Q14" i="5"/>
  <c r="S12" i="8" s="1"/>
  <c r="Q13" i="5"/>
  <c r="S11" i="8" s="1"/>
  <c r="Q12" i="5"/>
  <c r="S10" i="8" s="1"/>
  <c r="Q11" i="5"/>
  <c r="S9" i="8" s="1"/>
  <c r="Q10" i="5"/>
  <c r="S8" i="8" s="1"/>
  <c r="Q9" i="5"/>
  <c r="S7" i="8" s="1"/>
  <c r="Q8" i="5"/>
  <c r="S6" i="8" s="1"/>
  <c r="Q7" i="5"/>
  <c r="S5" i="8" s="1"/>
  <c r="Q6" i="5"/>
  <c r="S4" i="8" s="1"/>
  <c r="Q5" i="5"/>
  <c r="S3" i="8" s="1"/>
  <c r="Q4" i="5"/>
  <c r="S2" i="8" s="1"/>
  <c r="R27" i="8"/>
  <c r="R25" i="8"/>
  <c r="R23" i="8"/>
  <c r="O22" i="5"/>
  <c r="R20" i="8" s="1"/>
  <c r="O21" i="5"/>
  <c r="R19" i="8" s="1"/>
  <c r="O20" i="5"/>
  <c r="R18" i="8" s="1"/>
  <c r="O19" i="5"/>
  <c r="R17" i="8" s="1"/>
  <c r="O18" i="5"/>
  <c r="R16" i="8" s="1"/>
  <c r="O17" i="5"/>
  <c r="R15" i="8" s="1"/>
  <c r="O16" i="5"/>
  <c r="R14" i="8" s="1"/>
  <c r="O15" i="5"/>
  <c r="R13" i="8" s="1"/>
  <c r="O14" i="5"/>
  <c r="R12" i="8" s="1"/>
  <c r="O13" i="5"/>
  <c r="R11" i="8" s="1"/>
  <c r="O12" i="5"/>
  <c r="R10" i="8" s="1"/>
  <c r="O11" i="5"/>
  <c r="R9" i="8" s="1"/>
  <c r="O10" i="5"/>
  <c r="R8" i="8" s="1"/>
  <c r="O9" i="5"/>
  <c r="R7" i="8" s="1"/>
  <c r="O8" i="5"/>
  <c r="R6" i="8" s="1"/>
  <c r="O7" i="5"/>
  <c r="R5" i="8" s="1"/>
  <c r="O6" i="5"/>
  <c r="R4" i="8" s="1"/>
  <c r="O5" i="5"/>
  <c r="R3" i="8" s="1"/>
  <c r="O4" i="5"/>
  <c r="R2" i="8" s="1"/>
  <c r="M22" i="5"/>
  <c r="Q20" i="8" s="1"/>
  <c r="M21" i="5"/>
  <c r="Q19" i="8" s="1"/>
  <c r="M20" i="5"/>
  <c r="Q18" i="8" s="1"/>
  <c r="M19" i="5"/>
  <c r="Q17" i="8" s="1"/>
  <c r="M18" i="5"/>
  <c r="Q16" i="8" s="1"/>
  <c r="M17" i="5"/>
  <c r="Q15" i="8" s="1"/>
  <c r="M16" i="5"/>
  <c r="Q14" i="8" s="1"/>
  <c r="M15" i="5"/>
  <c r="Q13" i="8" s="1"/>
  <c r="M14" i="5"/>
  <c r="Q12" i="8" s="1"/>
  <c r="M13" i="5"/>
  <c r="Q11" i="8"/>
  <c r="M12" i="5"/>
  <c r="Q10" i="8" s="1"/>
  <c r="M11" i="5"/>
  <c r="Q9" i="8" s="1"/>
  <c r="M10" i="5"/>
  <c r="Q8" i="8" s="1"/>
  <c r="M9" i="5"/>
  <c r="Q7" i="8" s="1"/>
  <c r="M8" i="5"/>
  <c r="Q6" i="8" s="1"/>
  <c r="M7" i="5"/>
  <c r="Q5" i="8" s="1"/>
  <c r="M6" i="5"/>
  <c r="Q4" i="8" s="1"/>
  <c r="M5" i="5"/>
  <c r="Q3" i="8"/>
  <c r="M4" i="5"/>
  <c r="Q2" i="8"/>
  <c r="P21" i="8"/>
  <c r="K22" i="5"/>
  <c r="P20" i="8" s="1"/>
  <c r="K21" i="5"/>
  <c r="P19" i="8" s="1"/>
  <c r="K20" i="5"/>
  <c r="P18" i="8" s="1"/>
  <c r="K19" i="5"/>
  <c r="P17" i="8" s="1"/>
  <c r="K18" i="5"/>
  <c r="P16" i="8" s="1"/>
  <c r="K17" i="5"/>
  <c r="P15" i="8" s="1"/>
  <c r="K16" i="5"/>
  <c r="P14" i="8" s="1"/>
  <c r="K15" i="5"/>
  <c r="P13" i="8" s="1"/>
  <c r="K14" i="5"/>
  <c r="P12" i="8" s="1"/>
  <c r="K13" i="5"/>
  <c r="P11" i="8" s="1"/>
  <c r="K12" i="5"/>
  <c r="P10" i="8" s="1"/>
  <c r="K11" i="5"/>
  <c r="P9" i="8" s="1"/>
  <c r="K10" i="5"/>
  <c r="P8" i="8"/>
  <c r="K9" i="5"/>
  <c r="P7" i="8" s="1"/>
  <c r="K8" i="5"/>
  <c r="P6" i="8" s="1"/>
  <c r="K7" i="5"/>
  <c r="P5" i="8" s="1"/>
  <c r="K6" i="5"/>
  <c r="P4" i="8" s="1"/>
  <c r="K5" i="5"/>
  <c r="P3" i="8" s="1"/>
  <c r="K4" i="5"/>
  <c r="P2" i="8" s="1"/>
  <c r="O28" i="8"/>
  <c r="G28" i="9" s="1"/>
  <c r="I22" i="5"/>
  <c r="O20" i="8" s="1"/>
  <c r="I21" i="5"/>
  <c r="O19" i="8" s="1"/>
  <c r="I20" i="5"/>
  <c r="O18" i="8" s="1"/>
  <c r="I19" i="5"/>
  <c r="O17" i="8" s="1"/>
  <c r="I18" i="5"/>
  <c r="O16" i="8" s="1"/>
  <c r="I17" i="5"/>
  <c r="I16" i="5"/>
  <c r="I15" i="5"/>
  <c r="O13" i="8" s="1"/>
  <c r="I14" i="5"/>
  <c r="O12" i="8" s="1"/>
  <c r="I13" i="5"/>
  <c r="O11" i="8" s="1"/>
  <c r="I11" i="5"/>
  <c r="O9" i="8" s="1"/>
  <c r="I10" i="5"/>
  <c r="O8" i="8" s="1"/>
  <c r="I9" i="5"/>
  <c r="O7" i="8" s="1"/>
  <c r="I8" i="5"/>
  <c r="O6" i="8" s="1"/>
  <c r="I7" i="5"/>
  <c r="O5" i="8" s="1"/>
  <c r="I6" i="5"/>
  <c r="O4" i="8" s="1"/>
  <c r="I5" i="5"/>
  <c r="O3" i="8" s="1"/>
  <c r="I4" i="5"/>
  <c r="O2" i="8" s="1"/>
  <c r="N20" i="8"/>
  <c r="N19" i="8"/>
  <c r="N18" i="8"/>
  <c r="N17" i="8"/>
  <c r="N16" i="8"/>
  <c r="N13" i="8"/>
  <c r="N12" i="8"/>
  <c r="N11" i="8"/>
  <c r="N10" i="8"/>
  <c r="N9" i="8"/>
  <c r="N8" i="8"/>
  <c r="N5" i="8"/>
  <c r="N4" i="8"/>
  <c r="G5" i="5"/>
  <c r="N3" i="8" s="1"/>
  <c r="E22" i="5"/>
  <c r="M20" i="8" s="1"/>
  <c r="E21" i="5"/>
  <c r="M19" i="8" s="1"/>
  <c r="E20" i="5"/>
  <c r="M18" i="8" s="1"/>
  <c r="E19" i="5"/>
  <c r="M17" i="8" s="1"/>
  <c r="E18" i="5"/>
  <c r="M16" i="8" s="1"/>
  <c r="E17" i="5"/>
  <c r="M15" i="8" s="1"/>
  <c r="E16" i="5"/>
  <c r="M14" i="8" s="1"/>
  <c r="E15" i="5"/>
  <c r="M13" i="8" s="1"/>
  <c r="E14" i="5"/>
  <c r="M12" i="8" s="1"/>
  <c r="E13" i="5"/>
  <c r="M11" i="8" s="1"/>
  <c r="E12" i="5"/>
  <c r="M10" i="8" s="1"/>
  <c r="E11" i="5"/>
  <c r="M9" i="8" s="1"/>
  <c r="E10" i="5"/>
  <c r="M8" i="8" s="1"/>
  <c r="E9" i="5"/>
  <c r="M7" i="8" s="1"/>
  <c r="E8" i="5"/>
  <c r="M6" i="8" s="1"/>
  <c r="E7" i="5"/>
  <c r="M5" i="8" s="1"/>
  <c r="E6" i="5"/>
  <c r="M4" i="8" s="1"/>
  <c r="E5" i="5"/>
  <c r="M3" i="8" s="1"/>
  <c r="E4" i="5"/>
  <c r="M2" i="8" s="1"/>
  <c r="L26" i="8"/>
  <c r="C22" i="5"/>
  <c r="L20" i="8" s="1"/>
  <c r="C21" i="5"/>
  <c r="L19" i="8" s="1"/>
  <c r="C20" i="5"/>
  <c r="L18" i="8" s="1"/>
  <c r="C19" i="5"/>
  <c r="L17" i="8" s="1"/>
  <c r="G17" i="9" s="1"/>
  <c r="C18" i="5"/>
  <c r="L16" i="8" s="1"/>
  <c r="C17" i="5"/>
  <c r="L15" i="8" s="1"/>
  <c r="C16" i="5"/>
  <c r="L14" i="8" s="1"/>
  <c r="C15" i="5"/>
  <c r="L13" i="8" s="1"/>
  <c r="C14" i="5"/>
  <c r="L12" i="8" s="1"/>
  <c r="C13" i="5"/>
  <c r="L11" i="8" s="1"/>
  <c r="C12" i="5"/>
  <c r="L10" i="8" s="1"/>
  <c r="C11" i="5"/>
  <c r="L9" i="8" s="1"/>
  <c r="G9" i="9" s="1"/>
  <c r="C10" i="5"/>
  <c r="L8" i="8" s="1"/>
  <c r="C9" i="5"/>
  <c r="L7" i="8" s="1"/>
  <c r="C8" i="5"/>
  <c r="L6" i="8" s="1"/>
  <c r="C7" i="5"/>
  <c r="L5" i="8" s="1"/>
  <c r="C6" i="5"/>
  <c r="L4" i="8" s="1"/>
  <c r="C5" i="5"/>
  <c r="L3" i="8" s="1"/>
  <c r="C4" i="5"/>
  <c r="L2" i="8"/>
  <c r="G2" i="9" s="1"/>
  <c r="F6" i="4"/>
  <c r="H2" i="8" s="1"/>
  <c r="H6" i="4"/>
  <c r="D7" i="4"/>
  <c r="H3" i="8"/>
  <c r="I3" i="8"/>
  <c r="D8" i="4"/>
  <c r="H4" i="8"/>
  <c r="I4" i="8"/>
  <c r="D9" i="4"/>
  <c r="H5" i="8"/>
  <c r="I5" i="8"/>
  <c r="D10" i="4"/>
  <c r="H6" i="8"/>
  <c r="I6" i="8"/>
  <c r="D11" i="4"/>
  <c r="H7" i="8"/>
  <c r="I7" i="8"/>
  <c r="D12" i="4"/>
  <c r="H8" i="8"/>
  <c r="I8" i="8"/>
  <c r="D13" i="4"/>
  <c r="H9" i="8"/>
  <c r="I9" i="8"/>
  <c r="D14" i="4"/>
  <c r="H10" i="8"/>
  <c r="I10" i="8"/>
  <c r="D15" i="4"/>
  <c r="H11" i="8"/>
  <c r="I11" i="8"/>
  <c r="D16" i="4"/>
  <c r="H12" i="8"/>
  <c r="I12" i="8"/>
  <c r="D17" i="4"/>
  <c r="H13" i="8"/>
  <c r="I13" i="8"/>
  <c r="D18" i="4"/>
  <c r="H14" i="8"/>
  <c r="I14" i="8"/>
  <c r="D19" i="4"/>
  <c r="H15" i="8"/>
  <c r="I15" i="8"/>
  <c r="D20" i="4"/>
  <c r="H16" i="8"/>
  <c r="I16" i="8"/>
  <c r="D21" i="4"/>
  <c r="H17" i="8"/>
  <c r="I17" i="8"/>
  <c r="D22" i="4"/>
  <c r="H18" i="8"/>
  <c r="I18" i="8"/>
  <c r="D23" i="4"/>
  <c r="H19" i="8"/>
  <c r="I19" i="8"/>
  <c r="D24" i="4"/>
  <c r="H20" i="8"/>
  <c r="I20" i="8"/>
  <c r="D25" i="4"/>
  <c r="H21" i="8"/>
  <c r="I21" i="8"/>
  <c r="D26" i="4"/>
  <c r="H22" i="8"/>
  <c r="I22" i="8"/>
  <c r="D27" i="4"/>
  <c r="H23" i="8"/>
  <c r="I23" i="8"/>
  <c r="D28" i="4"/>
  <c r="H24" i="8"/>
  <c r="I24" i="8"/>
  <c r="D29" i="4"/>
  <c r="H25" i="8"/>
  <c r="I25" i="8"/>
  <c r="D30" i="4"/>
  <c r="H26" i="8"/>
  <c r="I26" i="8"/>
  <c r="D31" i="4"/>
  <c r="H27" i="8"/>
  <c r="I27" i="8"/>
  <c r="D32" i="4"/>
  <c r="H28" i="8"/>
  <c r="I28" i="8"/>
  <c r="C5" i="3"/>
  <c r="C6" i="3"/>
  <c r="E3" i="8"/>
  <c r="C7" i="3"/>
  <c r="E4" i="8"/>
  <c r="I4" i="9"/>
  <c r="C8" i="3"/>
  <c r="E5" i="8"/>
  <c r="I5" i="9" s="1"/>
  <c r="C9" i="3"/>
  <c r="E6" i="8"/>
  <c r="I6" i="9" s="1"/>
  <c r="C10" i="3"/>
  <c r="C11" i="3"/>
  <c r="E8" i="8"/>
  <c r="I8" i="9" s="1"/>
  <c r="C12" i="3"/>
  <c r="E9" i="8"/>
  <c r="I9" i="9" s="1"/>
  <c r="C13" i="3"/>
  <c r="E10" i="8"/>
  <c r="I10" i="9" s="1"/>
  <c r="C14" i="3"/>
  <c r="E11" i="8"/>
  <c r="I11" i="9" s="1"/>
  <c r="C15" i="3"/>
  <c r="E12" i="8"/>
  <c r="I12" i="9" s="1"/>
  <c r="C16" i="3"/>
  <c r="E13" i="8"/>
  <c r="I13" i="9" s="1"/>
  <c r="C17" i="3"/>
  <c r="E14" i="8"/>
  <c r="I14" i="9" s="1"/>
  <c r="C18" i="3"/>
  <c r="E15" i="8"/>
  <c r="I15" i="9" s="1"/>
  <c r="C19" i="3"/>
  <c r="E16" i="8"/>
  <c r="C20" i="3"/>
  <c r="E17" i="8"/>
  <c r="I17" i="9" s="1"/>
  <c r="C21" i="3"/>
  <c r="E18" i="8"/>
  <c r="I18" i="9" s="1"/>
  <c r="C22" i="3"/>
  <c r="E19" i="8"/>
  <c r="C23" i="3"/>
  <c r="E20" i="8"/>
  <c r="I20" i="9" s="1"/>
  <c r="C24" i="3"/>
  <c r="E21" i="8"/>
  <c r="I21" i="9" s="1"/>
  <c r="C25" i="3"/>
  <c r="E22" i="8"/>
  <c r="I22" i="9" s="1"/>
  <c r="C26" i="3"/>
  <c r="E23" i="8"/>
  <c r="I23" i="9" s="1"/>
  <c r="C27" i="3"/>
  <c r="E24" i="8"/>
  <c r="I24" i="9" s="1"/>
  <c r="C28" i="3"/>
  <c r="E25" i="8"/>
  <c r="I25" i="9" s="1"/>
  <c r="C29" i="3"/>
  <c r="E26" i="8"/>
  <c r="I26" i="9" s="1"/>
  <c r="C30" i="3"/>
  <c r="E27" i="8"/>
  <c r="I27" i="9" s="1"/>
  <c r="C31" i="3"/>
  <c r="E28" i="8"/>
  <c r="I28" i="9" s="1"/>
  <c r="C32" i="3"/>
  <c r="E29" i="8"/>
  <c r="I2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Q25" i="8"/>
  <c r="O15" i="8"/>
  <c r="E2" i="8"/>
  <c r="I2" i="9" s="1"/>
  <c r="F22" i="8"/>
  <c r="F18" i="8"/>
  <c r="F5" i="8"/>
  <c r="E7" i="8"/>
  <c r="I7" i="9" s="1"/>
  <c r="T27" i="8"/>
  <c r="V19" i="8"/>
  <c r="I11" i="4"/>
  <c r="F14" i="8"/>
  <c r="L25" i="8"/>
  <c r="K34" i="4"/>
  <c r="I27" i="4"/>
  <c r="F2" i="8"/>
  <c r="I32" i="4"/>
  <c r="F4" i="8"/>
  <c r="C33" i="3"/>
  <c r="I2" i="8"/>
  <c r="I19" i="4"/>
  <c r="I8" i="4"/>
  <c r="E33" i="3"/>
  <c r="I16" i="9"/>
  <c r="I19" i="9"/>
  <c r="I3" i="9"/>
  <c r="T23" i="8"/>
  <c r="O21" i="8"/>
  <c r="I24" i="4"/>
  <c r="I13" i="4"/>
  <c r="I14" i="4"/>
  <c r="H34" i="4"/>
  <c r="M34" i="4" l="1"/>
  <c r="K3" i="8"/>
  <c r="AH28" i="5"/>
  <c r="G24" i="9"/>
  <c r="G25" i="9"/>
  <c r="L27" i="8"/>
  <c r="AH29" i="5"/>
  <c r="AH4" i="5"/>
  <c r="AH6" i="5"/>
  <c r="AH7" i="5"/>
  <c r="AH8" i="5"/>
  <c r="AH11" i="5"/>
  <c r="AH14" i="5"/>
  <c r="AH15" i="5"/>
  <c r="AH16" i="5"/>
  <c r="AH19" i="5"/>
  <c r="AH22" i="5"/>
  <c r="AH23" i="5"/>
  <c r="AH24" i="5"/>
  <c r="AH27" i="5"/>
  <c r="AH30" i="5"/>
  <c r="AH31" i="5"/>
  <c r="AH5" i="5"/>
  <c r="AH12" i="5"/>
  <c r="AH13" i="5"/>
  <c r="AH20" i="5"/>
  <c r="AH21" i="5"/>
  <c r="I29" i="4"/>
  <c r="I26" i="4"/>
  <c r="I25" i="4"/>
  <c r="I18" i="4"/>
  <c r="I10" i="4"/>
  <c r="E2" i="9"/>
  <c r="G3" i="9"/>
  <c r="G11" i="9"/>
  <c r="G19" i="9"/>
  <c r="G27" i="9"/>
  <c r="G21" i="9"/>
  <c r="G18" i="9"/>
  <c r="G4" i="9"/>
  <c r="G12" i="9"/>
  <c r="G20" i="9"/>
  <c r="G5" i="9"/>
  <c r="G13" i="9"/>
  <c r="G26" i="9"/>
  <c r="G29" i="9"/>
  <c r="G22" i="9"/>
  <c r="G10" i="9"/>
  <c r="G6" i="9"/>
  <c r="G7" i="9"/>
  <c r="G15" i="9"/>
  <c r="G23" i="9"/>
  <c r="G8" i="9"/>
  <c r="G16" i="9"/>
  <c r="AH10" i="5"/>
  <c r="AH18" i="5"/>
  <c r="AH26" i="5"/>
  <c r="AH9" i="5"/>
  <c r="AH25" i="5"/>
  <c r="AH17" i="5"/>
  <c r="O14" i="8"/>
  <c r="G14" i="9" s="1"/>
  <c r="I20" i="4"/>
  <c r="I31" i="4"/>
  <c r="I23" i="4"/>
  <c r="I7" i="4"/>
  <c r="I12" i="4"/>
  <c r="I15" i="4"/>
  <c r="I30" i="4"/>
  <c r="I16" i="4"/>
  <c r="D34" i="4"/>
  <c r="G2" i="8"/>
  <c r="I6" i="4"/>
  <c r="I22" i="4"/>
  <c r="F34" i="4"/>
  <c r="I9" i="4"/>
  <c r="I17" i="4"/>
  <c r="I21" i="4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I28" i="4"/>
  <c r="I33" i="4"/>
  <c r="I34" i="4" l="1"/>
</calcChain>
</file>

<file path=xl/sharedStrings.xml><?xml version="1.0" encoding="utf-8"?>
<sst xmlns="http://schemas.openxmlformats.org/spreadsheetml/2006/main" count="170" uniqueCount="73">
  <si>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</si>
  <si>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</si>
  <si>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</si>
  <si>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</si>
  <si>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</si>
  <si>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</si>
  <si>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</si>
  <si>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</si>
  <si>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</si>
  <si>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</si>
  <si>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</si>
  <si>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</si>
  <si>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</si>
  <si>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</si>
  <si>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</si>
  <si>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</si>
  <si>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</si>
  <si>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Marina 1 - KWh</t>
  </si>
  <si>
    <t>Marina 2 - KWh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</si>
  <si>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</si>
  <si>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</si>
  <si>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</si>
  <si>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</si>
  <si>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</si>
  <si>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</si>
  <si>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</si>
  <si>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</si>
  <si>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</si>
  <si>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</si>
  <si>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</si>
  <si>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</si>
  <si>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</si>
  <si>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</si>
  <si>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Beach Kitchen - m3</t>
  </si>
  <si>
    <t>Beach Laundry - m3</t>
  </si>
  <si>
    <t>Room Night</t>
  </si>
  <si>
    <t>Hotel FEB 2023</t>
  </si>
  <si>
    <t>Main Reading</t>
  </si>
  <si>
    <t>Cons.</t>
  </si>
  <si>
    <t>Beach Water</t>
  </si>
  <si>
    <t>Last</t>
  </si>
  <si>
    <t>Total</t>
  </si>
  <si>
    <t>Feeders and transformers Electrity cons. FEB 23</t>
  </si>
  <si>
    <t>Hotel</t>
  </si>
  <si>
    <t>Room Sold</t>
  </si>
  <si>
    <t>Trans-1</t>
  </si>
  <si>
    <t>Trans-2</t>
  </si>
  <si>
    <t>Trans-3</t>
  </si>
  <si>
    <t>Marina 1</t>
  </si>
  <si>
    <t>Marina 2</t>
  </si>
  <si>
    <t>Readings</t>
  </si>
  <si>
    <t>Reading</t>
  </si>
  <si>
    <t>Cons</t>
  </si>
  <si>
    <t>Gas Con. FEB 2023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</si>
  <si>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</si>
  <si>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</si>
  <si>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</si>
  <si>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</si>
  <si>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</si>
  <si>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</si>
  <si>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</si>
  <si>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</si>
  <si>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</si>
  <si>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</si>
  <si>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</si>
  <si>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</si>
  <si>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</si>
  <si>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</si>
  <si>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Beach Kitchen</t>
  </si>
  <si>
    <t>Beach Laundry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</si>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</sst>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16"/>
      <color rgb="FF000000"/>
      <name val="Arial"/>
      <charset val="1"/>
    </font>
    <font>
      <b/>
      <sz val="2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uble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31" fillId="10" borderId="46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27" xfId="2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29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2" fillId="11" borderId="32" xfId="2" applyFont="1" applyFill="1" applyBorder="1" applyAlignment="1">
      <alignment horizontal="center" vertical="center"/>
    </xf>
    <xf numFmtId="0" fontId="32" fillId="11" borderId="33" xfId="2" applyFont="1" applyFill="1" applyBorder="1" applyAlignment="1">
      <alignment horizontal="center" vertical="center"/>
    </xf>
    <xf numFmtId="0" fontId="33" fillId="11" borderId="30" xfId="2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8" fillId="11" borderId="37" xfId="2" applyFont="1" applyFill="1" applyBorder="1" applyAlignment="1">
      <alignment horizontal="center" vertical="center"/>
    </xf>
    <xf numFmtId="0" fontId="8" fillId="11" borderId="38" xfId="2" applyFont="1" applyFill="1" applyBorder="1" applyAlignment="1">
      <alignment horizontal="center" vertical="center"/>
    </xf>
    <xf numFmtId="0" fontId="8" fillId="11" borderId="39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12" borderId="48" xfId="0" applyFont="1" applyFill="1" applyBorder="1"/>
    <xf numFmtId="0" fontId="35" fillId="12" borderId="47" xfId="0" applyFont="1" applyFill="1" applyBorder="1"/>
    <xf numFmtId="0" fontId="35" fillId="0" borderId="0" xfId="0" applyFont="1"/>
    <xf numFmtId="0" fontId="35" fillId="0" borderId="44" xfId="0" applyFont="1" applyBorder="1"/>
    <xf numFmtId="0" fontId="17" fillId="4" borderId="49" xfId="0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164" fontId="5" fillId="0" borderId="40" xfId="0" applyNumberFormat="1" applyFont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8" fillId="13" borderId="51" xfId="0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4" fillId="13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4" fillId="11" borderId="44" xfId="2" applyFont="1" applyFill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8" borderId="48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30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9"/>
  <sheetViews>
    <sheetView topLeftCell="A14" zoomScale="85" zoomScaleNormal="85" workbookViewId="0">
      <selection activeCell="C42" sqref="C4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0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</row>
    <row r="2" spans="1:11">
      <c r="A2" s="11" t="s">
        <v>11</v>
      </c>
      <c r="B2" s="14">
        <v>1</v>
      </c>
      <c r="C2" s="14">
        <v>2</v>
      </c>
      <c r="D2" s="14">
        <v>2023</v>
      </c>
      <c r="E2" s="7">
        <f>ELECT.!D6+ELECT.!F6+ELECT.!H6</f>
        <v>18332</v>
      </c>
      <c r="F2" s="19">
        <v>1.56</v>
      </c>
      <c r="G2" s="7">
        <f>Submetering!L2+Submetering!M2+Submetering!N2+Submetering!O2+Submetering!P2+Submetering!Q2+Submetering!R2+Submetering!S2+Submetering!T2+Submetering!U2+Submetering!V2+Submetering!W2+Submetering!X2+Submetering!Y2+Submetering!Z2+Submetering!AA2</f>
        <v>1871</v>
      </c>
      <c r="H2" s="20">
        <v>3.6</v>
      </c>
      <c r="I2" s="7">
        <f>Submetering!E2+Water!E5</f>
        <v>256</v>
      </c>
      <c r="J2" s="20">
        <v>9.1</v>
      </c>
      <c r="K2" s="7">
        <f>ELECT.!B6</f>
        <v>96</v>
      </c>
    </row>
    <row r="3" spans="1:11">
      <c r="A3" s="11" t="s">
        <v>11</v>
      </c>
      <c r="B3" s="14">
        <f>B2+1</f>
        <v>2</v>
      </c>
      <c r="C3" s="14">
        <v>2</v>
      </c>
      <c r="D3" s="14">
        <v>2023</v>
      </c>
      <c r="E3" s="7">
        <f>ELECT.!D7+ELECT.!F7+ELECT.!H7</f>
        <v>19585</v>
      </c>
      <c r="F3" s="19">
        <v>1.56</v>
      </c>
      <c r="G3" s="7">
        <f>Submetering!L3+Submetering!M3+Submetering!N3+Submetering!O3+Submetering!P3+Submetering!Q3+Submetering!R3+Submetering!S3+Submetering!T3+Submetering!U3+Submetering!V3+Submetering!W3+Submetering!X3+Submetering!Y3+Submetering!Z3+Submetering!AA3</f>
        <v>1853</v>
      </c>
      <c r="H3" s="20">
        <v>3.6</v>
      </c>
      <c r="I3" s="7">
        <f>Submetering!E3+Water!E6</f>
        <v>248</v>
      </c>
      <c r="J3" s="20">
        <v>9.1</v>
      </c>
      <c r="K3" s="7">
        <f>ELECT.!B7</f>
        <v>107</v>
      </c>
    </row>
    <row r="4" spans="1:11">
      <c r="A4" s="11" t="s">
        <v>11</v>
      </c>
      <c r="B4" s="14">
        <f t="shared" ref="B4:B29" si="0">B3+1</f>
        <v>3</v>
      </c>
      <c r="C4" s="14">
        <v>2</v>
      </c>
      <c r="D4" s="14">
        <v>2023</v>
      </c>
      <c r="E4" s="7">
        <f>ELECT.!D8+ELECT.!F8+ELECT.!H8</f>
        <v>16407</v>
      </c>
      <c r="F4" s="19">
        <v>1.56</v>
      </c>
      <c r="G4" s="7">
        <f>Submetering!L4+Submetering!M4+Submetering!N4+Submetering!O4+Submetering!P4+Submetering!Q4+Submetering!R4+Submetering!S4+Submetering!T4+Submetering!U4+Submetering!V4+Submetering!W4+Submetering!X4+Submetering!Y4+Submetering!Z4+Submetering!AA4</f>
        <v>1789</v>
      </c>
      <c r="H4" s="20">
        <v>3.6</v>
      </c>
      <c r="I4" s="7">
        <f>Submetering!E4+Water!E7</f>
        <v>245</v>
      </c>
      <c r="J4" s="20">
        <v>9.1</v>
      </c>
      <c r="K4" s="7">
        <f>ELECT.!B8</f>
        <v>92</v>
      </c>
    </row>
    <row r="5" spans="1:11">
      <c r="A5" s="11" t="s">
        <v>11</v>
      </c>
      <c r="B5" s="14">
        <f t="shared" si="0"/>
        <v>4</v>
      </c>
      <c r="C5" s="14">
        <v>2</v>
      </c>
      <c r="D5" s="14">
        <v>2023</v>
      </c>
      <c r="E5" s="7">
        <f>ELECT.!D9+ELECT.!F9+ELECT.!H9</f>
        <v>17820</v>
      </c>
      <c r="F5" s="19">
        <v>1.56</v>
      </c>
      <c r="G5" s="7">
        <f>Submetering!L5+Submetering!M5+Submetering!N5+Submetering!O5+Submetering!P5+Submetering!Q5+Submetering!R5+Submetering!S5+Submetering!T5+Submetering!U5+Submetering!V5+Submetering!W5+Submetering!X5+Submetering!Y5+Submetering!Z5+Submetering!AA5</f>
        <v>1876</v>
      </c>
      <c r="H5" s="20">
        <v>3.6</v>
      </c>
      <c r="I5" s="7">
        <f>Submetering!E5+Water!E8</f>
        <v>238</v>
      </c>
      <c r="J5" s="20">
        <v>9.1</v>
      </c>
      <c r="K5" s="7">
        <f>ELECT.!B9</f>
        <v>84</v>
      </c>
    </row>
    <row r="6" spans="1:11">
      <c r="A6" s="11" t="s">
        <v>11</v>
      </c>
      <c r="B6" s="14">
        <f t="shared" si="0"/>
        <v>5</v>
      </c>
      <c r="C6" s="14">
        <v>2</v>
      </c>
      <c r="D6" s="14">
        <v>2023</v>
      </c>
      <c r="E6" s="7">
        <f>ELECT.!D10+ELECT.!F10+ELECT.!H10</f>
        <v>18098</v>
      </c>
      <c r="F6" s="19">
        <v>1.56</v>
      </c>
      <c r="G6" s="7">
        <f>Submetering!L6+Submetering!M6+Submetering!N6+Submetering!O6+Submetering!P6+Submetering!Q6+Submetering!R6+Submetering!S6+Submetering!T6+Submetering!U6+Submetering!V6+Submetering!W6+Submetering!X6+Submetering!Y6+Submetering!Z6+Submetering!AA6</f>
        <v>1707</v>
      </c>
      <c r="H6" s="20">
        <v>3.6</v>
      </c>
      <c r="I6" s="7">
        <f>Submetering!E6+Water!E9</f>
        <v>315</v>
      </c>
      <c r="J6" s="20">
        <v>9.1</v>
      </c>
      <c r="K6" s="7">
        <f>ELECT.!B10</f>
        <v>84</v>
      </c>
    </row>
    <row r="7" spans="1:11">
      <c r="A7" s="11" t="s">
        <v>11</v>
      </c>
      <c r="B7" s="14">
        <f t="shared" si="0"/>
        <v>6</v>
      </c>
      <c r="C7" s="14">
        <v>2</v>
      </c>
      <c r="D7" s="14">
        <v>2023</v>
      </c>
      <c r="E7" s="7">
        <f>ELECT.!D11+ELECT.!F11+ELECT.!H11</f>
        <v>18303</v>
      </c>
      <c r="F7" s="19">
        <v>1.56</v>
      </c>
      <c r="G7" s="7">
        <f>Submetering!L7+Submetering!M7+Submetering!N7+Submetering!O7+Submetering!P7+Submetering!Q7+Submetering!R7+Submetering!S7+Submetering!T7+Submetering!U7+Submetering!V7+Submetering!W7+Submetering!X7+Submetering!Y7+Submetering!Z7+Submetering!AA7</f>
        <v>1820</v>
      </c>
      <c r="H7" s="20">
        <v>3.6</v>
      </c>
      <c r="I7" s="7">
        <f>Submetering!E7+Water!E10</f>
        <v>266</v>
      </c>
      <c r="J7" s="20">
        <v>9.1</v>
      </c>
      <c r="K7" s="7">
        <f>ELECT.!B11</f>
        <v>98</v>
      </c>
    </row>
    <row r="8" spans="1:11">
      <c r="A8" s="11" t="s">
        <v>11</v>
      </c>
      <c r="B8" s="14">
        <f t="shared" si="0"/>
        <v>7</v>
      </c>
      <c r="C8" s="14">
        <v>2</v>
      </c>
      <c r="D8" s="14">
        <v>2023</v>
      </c>
      <c r="E8" s="7">
        <f>ELECT.!D12+ELECT.!F12+ELECT.!H12</f>
        <v>18341</v>
      </c>
      <c r="F8" s="19">
        <v>1.56</v>
      </c>
      <c r="G8" s="7">
        <f>Submetering!L8+Submetering!M8+Submetering!N8+Submetering!O8+Submetering!P8+Submetering!Q8+Submetering!R8+Submetering!S8+Submetering!T8+Submetering!U8+Submetering!V8+Submetering!W8+Submetering!X8+Submetering!Y8+Submetering!Z8+Submetering!AA8</f>
        <v>1817</v>
      </c>
      <c r="H8" s="20">
        <v>3.6</v>
      </c>
      <c r="I8" s="7">
        <f>Submetering!E8+Water!E11</f>
        <v>247</v>
      </c>
      <c r="J8" s="20">
        <v>9.1</v>
      </c>
      <c r="K8" s="7">
        <f>ELECT.!B12</f>
        <v>121</v>
      </c>
    </row>
    <row r="9" spans="1:11">
      <c r="A9" s="11" t="s">
        <v>11</v>
      </c>
      <c r="B9" s="14">
        <f t="shared" si="0"/>
        <v>8</v>
      </c>
      <c r="C9" s="14">
        <v>2</v>
      </c>
      <c r="D9" s="14">
        <v>2023</v>
      </c>
      <c r="E9" s="7">
        <f>ELECT.!D13+ELECT.!F13+ELECT.!H13</f>
        <v>20372</v>
      </c>
      <c r="F9" s="19">
        <v>1.56</v>
      </c>
      <c r="G9" s="7">
        <f>Submetering!L9+Submetering!M9+Submetering!N9+Submetering!O9+Submetering!P9+Submetering!Q9+Submetering!R9+Submetering!S9+Submetering!T9+Submetering!U9+Submetering!V9+Submetering!W9+Submetering!X9+Submetering!Y9+Submetering!Z9+Submetering!AA9</f>
        <v>2071</v>
      </c>
      <c r="H9" s="20">
        <v>3.6</v>
      </c>
      <c r="I9" s="7">
        <f>Submetering!E9+Water!E12</f>
        <v>245</v>
      </c>
      <c r="J9" s="20">
        <v>9.1</v>
      </c>
      <c r="K9" s="7">
        <f>ELECT.!B13</f>
        <v>115</v>
      </c>
    </row>
    <row r="10" spans="1:11">
      <c r="A10" s="11" t="s">
        <v>11</v>
      </c>
      <c r="B10" s="14">
        <f t="shared" si="0"/>
        <v>9</v>
      </c>
      <c r="C10" s="14">
        <v>2</v>
      </c>
      <c r="D10" s="14">
        <v>2023</v>
      </c>
      <c r="E10" s="7">
        <f>ELECT.!D14+ELECT.!F14+ELECT.!H14</f>
        <v>19402</v>
      </c>
      <c r="F10" s="19">
        <v>1.56</v>
      </c>
      <c r="G10" s="7">
        <f>Submetering!L10+Submetering!M10+Submetering!N10+Submetering!O10+Submetering!P10+Submetering!Q10+Submetering!R10+Submetering!S10+Submetering!T10+Submetering!U10+Submetering!V10+Submetering!W10+Submetering!X10+Submetering!Y10+Submetering!Z10+Submetering!AA10</f>
        <v>2172</v>
      </c>
      <c r="H10" s="20">
        <v>3.6</v>
      </c>
      <c r="I10" s="7">
        <f>Submetering!E10+Water!E13</f>
        <v>291</v>
      </c>
      <c r="J10" s="20">
        <v>9.1</v>
      </c>
      <c r="K10" s="7">
        <f>ELECT.!B14</f>
        <v>70</v>
      </c>
    </row>
    <row r="11" spans="1:11">
      <c r="A11" s="11" t="s">
        <v>11</v>
      </c>
      <c r="B11" s="14">
        <f t="shared" si="0"/>
        <v>10</v>
      </c>
      <c r="C11" s="14">
        <v>2</v>
      </c>
      <c r="D11" s="14">
        <v>2023</v>
      </c>
      <c r="E11" s="7">
        <f>ELECT.!D15+ELECT.!F15+ELECT.!H15</f>
        <v>20021</v>
      </c>
      <c r="F11" s="19">
        <v>1.56</v>
      </c>
      <c r="G11" s="7">
        <f>Submetering!L11+Submetering!M11+Submetering!N11+Submetering!O11+Submetering!P11+Submetering!Q11+Submetering!R11+Submetering!S11+Submetering!T11+Submetering!U11+Submetering!V11+Submetering!W11+Submetering!X11+Submetering!Y11+Submetering!Z11+Submetering!AA11</f>
        <v>2038</v>
      </c>
      <c r="H11" s="20">
        <v>3.6</v>
      </c>
      <c r="I11" s="7">
        <f>Submetering!E11+Water!E14</f>
        <v>275</v>
      </c>
      <c r="J11" s="20">
        <v>9.1</v>
      </c>
      <c r="K11" s="7">
        <f>ELECT.!B15</f>
        <v>73</v>
      </c>
    </row>
    <row r="12" spans="1:11">
      <c r="A12" s="11" t="s">
        <v>11</v>
      </c>
      <c r="B12" s="14">
        <f t="shared" si="0"/>
        <v>11</v>
      </c>
      <c r="C12" s="14">
        <v>2</v>
      </c>
      <c r="D12" s="14">
        <v>2023</v>
      </c>
      <c r="E12" s="7">
        <f>ELECT.!D16+ELECT.!F16+ELECT.!H16</f>
        <v>16631</v>
      </c>
      <c r="F12" s="19">
        <v>1.56</v>
      </c>
      <c r="G12" s="7">
        <f>Submetering!L12+Submetering!M12+Submetering!N12+Submetering!O12+Submetering!P12+Submetering!Q12+Submetering!R12+Submetering!S12+Submetering!T12+Submetering!U12+Submetering!V12+Submetering!W12+Submetering!X12+Submetering!Y12+Submetering!Z12+Submetering!AA12</f>
        <v>2053</v>
      </c>
      <c r="H12" s="20">
        <v>3.6</v>
      </c>
      <c r="I12" s="7">
        <f>Submetering!E12+Water!E15</f>
        <v>240</v>
      </c>
      <c r="J12" s="20">
        <v>9.1</v>
      </c>
      <c r="K12" s="7">
        <f>ELECT.!B16</f>
        <v>114</v>
      </c>
    </row>
    <row r="13" spans="1:11">
      <c r="A13" s="11" t="s">
        <v>11</v>
      </c>
      <c r="B13" s="14">
        <f t="shared" si="0"/>
        <v>12</v>
      </c>
      <c r="C13" s="14">
        <v>2</v>
      </c>
      <c r="D13" s="14">
        <v>2023</v>
      </c>
      <c r="E13" s="7">
        <f>ELECT.!D17+ELECT.!F17+ELECT.!H17</f>
        <v>18620</v>
      </c>
      <c r="F13" s="19">
        <v>1.56</v>
      </c>
      <c r="G13" s="7">
        <f>Submetering!L13+Submetering!M13+Submetering!N13+Submetering!O13+Submetering!P13+Submetering!Q13+Submetering!R13+Submetering!S13+Submetering!T13+Submetering!U13+Submetering!V13+Submetering!W13+Submetering!X13+Submetering!Y13+Submetering!Z13+Submetering!AA13</f>
        <v>2013</v>
      </c>
      <c r="H13" s="20">
        <v>3.6</v>
      </c>
      <c r="I13" s="7">
        <f>Submetering!E13+Water!E16</f>
        <v>312</v>
      </c>
      <c r="J13" s="20">
        <v>9.1</v>
      </c>
      <c r="K13" s="7">
        <f>ELECT.!B17</f>
        <v>115</v>
      </c>
    </row>
    <row r="14" spans="1:11">
      <c r="A14" s="11" t="s">
        <v>11</v>
      </c>
      <c r="B14" s="14">
        <f t="shared" si="0"/>
        <v>13</v>
      </c>
      <c r="C14" s="14">
        <v>2</v>
      </c>
      <c r="D14" s="14">
        <v>2023</v>
      </c>
      <c r="E14" s="7">
        <f>ELECT.!D18+ELECT.!F18+ELECT.!H18</f>
        <v>17962</v>
      </c>
      <c r="F14" s="19">
        <v>1.56</v>
      </c>
      <c r="G14" s="7">
        <f>Submetering!L14+Submetering!M14+Submetering!N14+Submetering!O14+Submetering!P14+Submetering!Q14+Submetering!R14+Submetering!S14+Submetering!T14+Submetering!U14+Submetering!V14+Submetering!W14+Submetering!X14+Submetering!Y14+Submetering!Z14+Submetering!AA14</f>
        <v>1843</v>
      </c>
      <c r="H14" s="20">
        <v>3.6</v>
      </c>
      <c r="I14" s="7">
        <f>Submetering!E14+Water!E17</f>
        <v>261</v>
      </c>
      <c r="J14" s="20">
        <v>9.1</v>
      </c>
      <c r="K14" s="7">
        <f>ELECT.!B18</f>
        <v>74</v>
      </c>
    </row>
    <row r="15" spans="1:11">
      <c r="A15" s="11" t="s">
        <v>11</v>
      </c>
      <c r="B15" s="14">
        <f t="shared" si="0"/>
        <v>14</v>
      </c>
      <c r="C15" s="14">
        <v>2</v>
      </c>
      <c r="D15" s="14">
        <v>2023</v>
      </c>
      <c r="E15" s="7">
        <f>ELECT.!D19+ELECT.!F19+ELECT.!H19</f>
        <v>19724</v>
      </c>
      <c r="F15" s="19">
        <v>1.56</v>
      </c>
      <c r="G15" s="7">
        <f>Submetering!L15+Submetering!M15+Submetering!N15+Submetering!O15+Submetering!P15+Submetering!Q15+Submetering!R15+Submetering!S15+Submetering!T15+Submetering!U15+Submetering!V15+Submetering!W15+Submetering!X15+Submetering!Y15+Submetering!Z15+Submetering!AA15</f>
        <v>2229</v>
      </c>
      <c r="H15" s="20">
        <v>3.6</v>
      </c>
      <c r="I15" s="7">
        <f>Submetering!E15+Water!E18</f>
        <v>378</v>
      </c>
      <c r="J15" s="20">
        <v>9.1</v>
      </c>
      <c r="K15" s="7">
        <f>ELECT.!B19</f>
        <v>72</v>
      </c>
    </row>
    <row r="16" spans="1:11">
      <c r="A16" s="11" t="s">
        <v>11</v>
      </c>
      <c r="B16" s="14">
        <f t="shared" si="0"/>
        <v>15</v>
      </c>
      <c r="C16" s="14">
        <v>2</v>
      </c>
      <c r="D16" s="14">
        <v>2023</v>
      </c>
      <c r="E16" s="7">
        <f>ELECT.!D20+ELECT.!F20+ELECT.!H20</f>
        <v>18853</v>
      </c>
      <c r="F16" s="19">
        <v>1.56</v>
      </c>
      <c r="G16" s="7">
        <f>Submetering!L16+Submetering!M16+Submetering!N16+Submetering!O16+Submetering!P16+Submetering!Q16+Submetering!R16+Submetering!S16+Submetering!T16+Submetering!U16+Submetering!V16+Submetering!W16+Submetering!X16+Submetering!Y16+Submetering!Z16+Submetering!AA16</f>
        <v>1757</v>
      </c>
      <c r="H16" s="20">
        <v>3.6</v>
      </c>
      <c r="I16" s="7">
        <f>Submetering!E16+Water!E19</f>
        <v>322</v>
      </c>
      <c r="J16" s="20">
        <v>9.1</v>
      </c>
      <c r="K16" s="7">
        <f>ELECT.!B20</f>
        <v>82</v>
      </c>
    </row>
    <row r="17" spans="1:11">
      <c r="A17" s="11" t="s">
        <v>11</v>
      </c>
      <c r="B17" s="14">
        <f t="shared" si="0"/>
        <v>16</v>
      </c>
      <c r="C17" s="14">
        <v>2</v>
      </c>
      <c r="D17" s="14">
        <v>2023</v>
      </c>
      <c r="E17" s="7">
        <f>ELECT.!D21+ELECT.!F21+ELECT.!H21</f>
        <v>18841</v>
      </c>
      <c r="F17" s="19">
        <v>1.56</v>
      </c>
      <c r="G17" s="7">
        <f>Submetering!L17+Submetering!M17+Submetering!N17+Submetering!O17+Submetering!P17+Submetering!Q17+Submetering!R17+Submetering!S17+Submetering!T17+Submetering!U17+Submetering!V17+Submetering!W17+Submetering!X17+Submetering!Y17+Submetering!Z17+Submetering!AA17</f>
        <v>1949</v>
      </c>
      <c r="H17" s="20">
        <v>3.6</v>
      </c>
      <c r="I17" s="7">
        <f>Submetering!E17+Water!E20</f>
        <v>260</v>
      </c>
      <c r="J17" s="20">
        <v>9.1</v>
      </c>
      <c r="K17" s="7">
        <f>ELECT.!B21</f>
        <v>87</v>
      </c>
    </row>
    <row r="18" spans="1:11">
      <c r="A18" s="11" t="s">
        <v>11</v>
      </c>
      <c r="B18" s="14">
        <f t="shared" si="0"/>
        <v>17</v>
      </c>
      <c r="C18" s="14">
        <v>2</v>
      </c>
      <c r="D18" s="14">
        <v>2023</v>
      </c>
      <c r="E18" s="7">
        <f>ELECT.!D22+ELECT.!F22+ELECT.!H22</f>
        <v>18787</v>
      </c>
      <c r="F18" s="19">
        <v>1.56</v>
      </c>
      <c r="G18" s="7">
        <f>Submetering!L18+Submetering!M18+Submetering!N18+Submetering!O18+Submetering!P18+Submetering!Q18+Submetering!R18+Submetering!S18+Submetering!T18+Submetering!U18+Submetering!V18+Submetering!W18+Submetering!X18+Submetering!Y18+Submetering!Z18+Submetering!AA18</f>
        <v>2069</v>
      </c>
      <c r="H18" s="20">
        <v>3.6</v>
      </c>
      <c r="I18" s="7">
        <f>Submetering!E18+Water!E21</f>
        <v>251</v>
      </c>
      <c r="J18" s="20">
        <v>9.1</v>
      </c>
      <c r="K18" s="7">
        <f>ELECT.!B22</f>
        <v>92</v>
      </c>
    </row>
    <row r="19" spans="1:11">
      <c r="A19" s="11" t="s">
        <v>11</v>
      </c>
      <c r="B19" s="14">
        <f t="shared" si="0"/>
        <v>18</v>
      </c>
      <c r="C19" s="14">
        <v>2</v>
      </c>
      <c r="D19" s="14">
        <v>2023</v>
      </c>
      <c r="E19" s="7">
        <f>ELECT.!D23+ELECT.!F23+ELECT.!H23</f>
        <v>17753</v>
      </c>
      <c r="F19" s="19">
        <v>1.56</v>
      </c>
      <c r="G19" s="7">
        <f>Submetering!L19+Submetering!M19+Submetering!N19+Submetering!O19+Submetering!P19+Submetering!Q19+Submetering!R19+Submetering!S19+Submetering!T19+Submetering!U19+Submetering!V19+Submetering!W19+Submetering!X19+Submetering!Y19+Submetering!Z19+Submetering!AA19</f>
        <v>1966</v>
      </c>
      <c r="H19" s="20">
        <v>3.6</v>
      </c>
      <c r="I19" s="7">
        <f>Submetering!E19+Water!E22</f>
        <v>330</v>
      </c>
      <c r="J19" s="20">
        <v>9.1</v>
      </c>
      <c r="K19" s="7">
        <f>ELECT.!B23</f>
        <v>82</v>
      </c>
    </row>
    <row r="20" spans="1:11">
      <c r="A20" s="11" t="s">
        <v>11</v>
      </c>
      <c r="B20" s="14">
        <f t="shared" si="0"/>
        <v>19</v>
      </c>
      <c r="C20" s="14">
        <v>2</v>
      </c>
      <c r="D20" s="14">
        <v>2023</v>
      </c>
      <c r="E20" s="7">
        <f>ELECT.!D24+ELECT.!F24+ELECT.!H24</f>
        <v>18162</v>
      </c>
      <c r="F20" s="19">
        <v>1.56</v>
      </c>
      <c r="G20" s="7">
        <f>Submetering!L20+Submetering!M20+Submetering!N20+Submetering!O20+Submetering!P20+Submetering!Q20+Submetering!R20+Submetering!S20+Submetering!T20+Submetering!U20+Submetering!V20+Submetering!W20+Submetering!X20+Submetering!Y20+Submetering!Z20+Submetering!AA20</f>
        <v>1868</v>
      </c>
      <c r="H20" s="20">
        <v>3.6</v>
      </c>
      <c r="I20" s="7">
        <f>Submetering!E20+Water!E23</f>
        <v>286</v>
      </c>
      <c r="J20" s="20">
        <v>9.1</v>
      </c>
      <c r="K20" s="7">
        <f>ELECT.!B24</f>
        <v>63</v>
      </c>
    </row>
    <row r="21" spans="1:11">
      <c r="A21" s="11" t="s">
        <v>11</v>
      </c>
      <c r="B21" s="14">
        <f t="shared" si="0"/>
        <v>20</v>
      </c>
      <c r="C21" s="14">
        <v>2</v>
      </c>
      <c r="D21" s="14">
        <v>2023</v>
      </c>
      <c r="E21" s="7">
        <f>ELECT.!D25+ELECT.!F25+ELECT.!H25</f>
        <v>18393</v>
      </c>
      <c r="F21" s="19">
        <v>1.56</v>
      </c>
      <c r="G21" s="7">
        <f>Submetering!L21+Submetering!M21+Submetering!N21+Submetering!O21+Submetering!P21+Submetering!Q21+Submetering!R21+Submetering!S21+Submetering!T21+Submetering!U21+Submetering!V21+Submetering!W21+Submetering!X21+Submetering!Y21+Submetering!Z21+Submetering!AA21</f>
        <v>1803</v>
      </c>
      <c r="H21" s="20">
        <v>3.6</v>
      </c>
      <c r="I21" s="7">
        <f>Submetering!E21+Water!E24</f>
        <v>358</v>
      </c>
      <c r="J21" s="20">
        <v>9.1</v>
      </c>
      <c r="K21" s="7">
        <f>ELECT.!B25</f>
        <v>63</v>
      </c>
    </row>
    <row r="22" spans="1:11">
      <c r="A22" s="11" t="s">
        <v>11</v>
      </c>
      <c r="B22" s="14">
        <f t="shared" si="0"/>
        <v>21</v>
      </c>
      <c r="C22" s="14">
        <v>2</v>
      </c>
      <c r="D22" s="14">
        <v>2023</v>
      </c>
      <c r="E22" s="7">
        <f>ELECT.!D26+ELECT.!F26+ELECT.!H26</f>
        <v>16686</v>
      </c>
      <c r="F22" s="19">
        <v>1.56</v>
      </c>
      <c r="G22" s="7">
        <f>Submetering!L22+Submetering!M22+Submetering!N22+Submetering!O22+Submetering!P22+Submetering!Q22+Submetering!R22+Submetering!S22+Submetering!T22+Submetering!U22+Submetering!V22+Submetering!W22+Submetering!X22+Submetering!Y22+Submetering!Z22+Submetering!AA22</f>
        <v>1823</v>
      </c>
      <c r="H22" s="20">
        <v>3.6</v>
      </c>
      <c r="I22" s="7">
        <f>Submetering!E22+Water!E25</f>
        <v>352</v>
      </c>
      <c r="J22" s="20">
        <v>9.1</v>
      </c>
      <c r="K22" s="7">
        <f>ELECT.!B26</f>
        <v>66</v>
      </c>
    </row>
    <row r="23" spans="1:11">
      <c r="A23" s="11" t="s">
        <v>11</v>
      </c>
      <c r="B23" s="14">
        <f t="shared" si="0"/>
        <v>22</v>
      </c>
      <c r="C23" s="14">
        <v>2</v>
      </c>
      <c r="D23" s="14">
        <v>2023</v>
      </c>
      <c r="E23" s="7">
        <f>ELECT.!D27+ELECT.!F27+ELECT.!H27</f>
        <v>20491</v>
      </c>
      <c r="F23" s="19">
        <v>1.56</v>
      </c>
      <c r="G23" s="7">
        <f>Submetering!L23+Submetering!M23+Submetering!N23+Submetering!O23+Submetering!P23+Submetering!Q23+Submetering!R23+Submetering!S23+Submetering!T23+Submetering!U23+Submetering!V23+Submetering!W23+Submetering!X23+Submetering!Y23+Submetering!Z23+Submetering!AA23</f>
        <v>1892</v>
      </c>
      <c r="H23" s="20">
        <v>3.6</v>
      </c>
      <c r="I23" s="7">
        <f>Submetering!E23+Water!E26</f>
        <v>390</v>
      </c>
      <c r="J23" s="20">
        <v>9.1</v>
      </c>
      <c r="K23" s="7">
        <f>ELECT.!B27</f>
        <v>91</v>
      </c>
    </row>
    <row r="24" spans="1:11">
      <c r="A24" s="11" t="s">
        <v>11</v>
      </c>
      <c r="B24" s="14">
        <f t="shared" si="0"/>
        <v>23</v>
      </c>
      <c r="C24" s="14">
        <v>2</v>
      </c>
      <c r="D24" s="14">
        <v>2023</v>
      </c>
      <c r="E24" s="7">
        <f>ELECT.!D28+ELECT.!F28+ELECT.!H28</f>
        <v>16726</v>
      </c>
      <c r="F24" s="19">
        <v>1.56</v>
      </c>
      <c r="G24" s="7">
        <f>Submetering!L24+Submetering!M24+Submetering!N24+Submetering!O24+Submetering!P24+Submetering!Q24+Submetering!R24+Submetering!S24+Submetering!T24+Submetering!U24+Submetering!V24+Submetering!W24+Submetering!X24+Submetering!Y24+Submetering!Z24+Submetering!AA24</f>
        <v>1882</v>
      </c>
      <c r="H24" s="20">
        <v>3.6</v>
      </c>
      <c r="I24" s="7">
        <f>Submetering!E24+Water!E27</f>
        <v>330</v>
      </c>
      <c r="J24" s="20">
        <v>9.1</v>
      </c>
      <c r="K24" s="7">
        <f>ELECT.!B28</f>
        <v>103</v>
      </c>
    </row>
    <row r="25" spans="1:11">
      <c r="A25" s="11" t="s">
        <v>11</v>
      </c>
      <c r="B25" s="14">
        <f t="shared" si="0"/>
        <v>24</v>
      </c>
      <c r="C25" s="14">
        <v>2</v>
      </c>
      <c r="D25" s="14">
        <v>2023</v>
      </c>
      <c r="E25" s="7">
        <f>ELECT.!D29+ELECT.!F29+ELECT.!H29</f>
        <v>18212</v>
      </c>
      <c r="F25" s="19">
        <v>1.56</v>
      </c>
      <c r="G25" s="7">
        <f>Submetering!L25+Submetering!M25+Submetering!N25+Submetering!O25+Submetering!P25+Submetering!Q25+Submetering!R25+Submetering!S25+Submetering!T25+Submetering!U25+Submetering!V25+Submetering!W25+Submetering!X25+Submetering!Y25+Submetering!Z25+Submetering!AA25</f>
        <v>1893</v>
      </c>
      <c r="H25" s="20">
        <v>3.6</v>
      </c>
      <c r="I25" s="7">
        <f>Submetering!E25+Water!E28</f>
        <v>412</v>
      </c>
      <c r="J25" s="20">
        <v>9.1</v>
      </c>
      <c r="K25" s="7">
        <f>ELECT.!B29</f>
        <v>110</v>
      </c>
    </row>
    <row r="26" spans="1:11">
      <c r="A26" s="11" t="s">
        <v>11</v>
      </c>
      <c r="B26" s="14">
        <f>B25+1</f>
        <v>25</v>
      </c>
      <c r="C26" s="14">
        <v>2</v>
      </c>
      <c r="D26" s="14">
        <v>2023</v>
      </c>
      <c r="E26" s="7">
        <f>ELECT.!D30+ELECT.!F30+ELECT.!H30</f>
        <v>17270</v>
      </c>
      <c r="F26" s="19">
        <v>1.56</v>
      </c>
      <c r="G26" s="7">
        <f>Submetering!L26+Submetering!M26+Submetering!N26+Submetering!O26+Submetering!P26+Submetering!Q26+Submetering!R26+Submetering!S26+Submetering!T26+Submetering!U26+Submetering!V26+Submetering!W26+Submetering!X26+Submetering!Y26+Submetering!Z26+Submetering!AA26</f>
        <v>1783</v>
      </c>
      <c r="H26" s="20">
        <v>3.6</v>
      </c>
      <c r="I26" s="7">
        <f>Submetering!E26+Water!E29</f>
        <v>370</v>
      </c>
      <c r="J26" s="20">
        <v>9.1</v>
      </c>
      <c r="K26" s="7">
        <f>ELECT.!B30</f>
        <v>84</v>
      </c>
    </row>
    <row r="27" spans="1:11">
      <c r="A27" s="11" t="s">
        <v>11</v>
      </c>
      <c r="B27" s="14">
        <f t="shared" si="0"/>
        <v>26</v>
      </c>
      <c r="C27" s="14">
        <v>2</v>
      </c>
      <c r="D27" s="14">
        <v>2023</v>
      </c>
      <c r="E27" s="7">
        <f>ELECT.!D31+ELECT.!F31+ELECT.!H31</f>
        <v>17658</v>
      </c>
      <c r="F27" s="19">
        <v>1.56</v>
      </c>
      <c r="G27" s="7">
        <f>Submetering!L27+Submetering!M27+Submetering!N27+Submetering!O27+Submetering!P27+Submetering!Q27+Submetering!R27+Submetering!S27+Submetering!T27+Submetering!U27+Submetering!V27+Submetering!W27+Submetering!X27+Submetering!Y27+Submetering!Z27+Submetering!AA27</f>
        <v>1664</v>
      </c>
      <c r="H27" s="20">
        <v>3.6</v>
      </c>
      <c r="I27" s="7">
        <f>Submetering!E27+Water!E30</f>
        <v>314</v>
      </c>
      <c r="J27" s="20">
        <v>9.1</v>
      </c>
      <c r="K27" s="7">
        <f>ELECT.!B31</f>
        <v>99</v>
      </c>
    </row>
    <row r="28" spans="1:11">
      <c r="A28" s="11" t="s">
        <v>11</v>
      </c>
      <c r="B28" s="14">
        <f t="shared" si="0"/>
        <v>27</v>
      </c>
      <c r="C28" s="14">
        <v>2</v>
      </c>
      <c r="D28" s="14">
        <v>2023</v>
      </c>
      <c r="E28" s="7">
        <f>ELECT.!D32+ELECT.!F32+ELECT.!H32</f>
        <v>17348</v>
      </c>
      <c r="F28" s="19">
        <v>1.56</v>
      </c>
      <c r="G28" s="7">
        <f>Submetering!L28+Submetering!M28+Submetering!N28+Submetering!O28+Submetering!P28+Submetering!Q28+Submetering!R28+Submetering!S28+Submetering!T28+Submetering!U28+Submetering!V28+Submetering!W28+Submetering!X28+Submetering!Y28+Submetering!Z28+Submetering!AA28</f>
        <v>1773</v>
      </c>
      <c r="H28" s="20">
        <v>3.6</v>
      </c>
      <c r="I28" s="7">
        <f>Submetering!E28+Water!E31</f>
        <v>375</v>
      </c>
      <c r="J28" s="20">
        <v>9.1</v>
      </c>
      <c r="K28" s="7">
        <f>ELECT.!B32</f>
        <v>70</v>
      </c>
    </row>
    <row r="29" spans="1:11">
      <c r="A29" s="11" t="s">
        <v>11</v>
      </c>
      <c r="B29" s="14">
        <f t="shared" si="0"/>
        <v>28</v>
      </c>
      <c r="C29" s="14">
        <v>2</v>
      </c>
      <c r="D29" s="14">
        <v>2023</v>
      </c>
      <c r="E29" s="7">
        <f>ELECT.!D33+ELECT.!F33+ELECT.!H33</f>
        <v>17772</v>
      </c>
      <c r="F29" s="19">
        <v>1.56</v>
      </c>
      <c r="G29" s="7">
        <f>Submetering!L29+Submetering!M29+Submetering!N29+Submetering!O29+Submetering!P29+Submetering!Q29+Submetering!R29+Submetering!S29+Submetering!T29+Submetering!U29+Submetering!V29+Submetering!W29+Submetering!X29+Submetering!Y29+Submetering!Z29+Submetering!AA29</f>
        <v>1827</v>
      </c>
      <c r="H29" s="20">
        <v>3.6</v>
      </c>
      <c r="I29" s="7">
        <f>Submetering!E29+Water!E32</f>
        <v>414</v>
      </c>
      <c r="J29" s="20">
        <v>9.1</v>
      </c>
      <c r="K29" s="7">
        <f>ELECT.!B33</f>
        <v>84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29"/>
  <sheetViews>
    <sheetView topLeftCell="A13" zoomScale="85" zoomScaleNormal="85" workbookViewId="0">
      <selection activeCell="D38" sqref="D38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11" width="12.5703125" style="7" customWidth="1"/>
    <col min="12" max="12" width="11.42578125" style="8" customWidth="1"/>
    <col min="13" max="14" width="12.5703125" style="8" customWidth="1"/>
    <col min="15" max="15" width="11.5703125" style="6"/>
  </cols>
  <sheetData>
    <row r="1" spans="1:28" s="5" customFormat="1" ht="45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</row>
    <row r="2" spans="1:28">
      <c r="A2" s="11" t="s">
        <v>11</v>
      </c>
      <c r="B2" s="14">
        <v>1</v>
      </c>
      <c r="C2" s="14">
        <v>2</v>
      </c>
      <c r="D2" s="14">
        <v>2023</v>
      </c>
      <c r="E2" s="7">
        <f>Water!C5</f>
        <v>250</v>
      </c>
      <c r="F2" s="7">
        <f>Water!E5</f>
        <v>6</v>
      </c>
      <c r="G2" s="7">
        <f>ELECT.!D6</f>
        <v>4163</v>
      </c>
      <c r="H2" s="7">
        <f>ELECT.!F6</f>
        <v>8734</v>
      </c>
      <c r="I2" s="7">
        <f>ELECT.!H6</f>
        <v>5435</v>
      </c>
      <c r="J2" s="7">
        <f>ELECT.!K6</f>
        <v>600</v>
      </c>
      <c r="K2" s="7">
        <f>ELECT.!M6</f>
        <v>440</v>
      </c>
      <c r="L2" s="8">
        <f>Gas!C4</f>
        <v>293</v>
      </c>
      <c r="M2" s="8">
        <f>Gas!E4</f>
        <v>1050</v>
      </c>
      <c r="N2" s="8">
        <f>Gas!G4</f>
        <v>117</v>
      </c>
      <c r="O2" s="16">
        <f>Gas!I4</f>
        <v>31</v>
      </c>
      <c r="P2" s="16">
        <f>Gas!K4</f>
        <v>35</v>
      </c>
      <c r="Q2" s="8">
        <f>Gas!M4</f>
        <v>56</v>
      </c>
      <c r="R2" s="8">
        <f>Gas!O4</f>
        <v>46</v>
      </c>
      <c r="S2" s="8">
        <f>Gas!Q4</f>
        <v>24</v>
      </c>
      <c r="T2" s="8">
        <f>Gas!S4</f>
        <v>191</v>
      </c>
      <c r="U2" s="8">
        <f>Gas!U4</f>
        <v>28</v>
      </c>
      <c r="V2" s="8">
        <f>Gas!W4</f>
        <v>0</v>
      </c>
      <c r="W2" s="8">
        <f>Gas!Y4</f>
        <v>0</v>
      </c>
      <c r="X2" s="8">
        <f>Gas!AA4</f>
        <v>0</v>
      </c>
      <c r="Y2" s="8">
        <f>Gas!AC4</f>
        <v>0</v>
      </c>
      <c r="Z2" s="8">
        <f>Gas!AE4</f>
        <v>0</v>
      </c>
      <c r="AA2" s="8">
        <f>Gas!AG4</f>
        <v>0</v>
      </c>
      <c r="AB2" s="7">
        <f>ELECT.!B6</f>
        <v>96</v>
      </c>
    </row>
    <row r="3" spans="1:28">
      <c r="A3" s="11" t="s">
        <v>11</v>
      </c>
      <c r="B3" s="14">
        <f>B2+1</f>
        <v>2</v>
      </c>
      <c r="C3" s="14">
        <v>2</v>
      </c>
      <c r="D3" s="14">
        <v>2023</v>
      </c>
      <c r="E3" s="7">
        <f>Water!C6</f>
        <v>240</v>
      </c>
      <c r="F3" s="7">
        <f>Water!E6</f>
        <v>8</v>
      </c>
      <c r="G3" s="7">
        <f>ELECT.!D7</f>
        <v>4373</v>
      </c>
      <c r="H3" s="7">
        <f>ELECT.!F7</f>
        <v>9319</v>
      </c>
      <c r="I3" s="7">
        <f>ELECT.!H7</f>
        <v>5893</v>
      </c>
      <c r="J3" s="7">
        <f>ELECT.!K7</f>
        <v>800</v>
      </c>
      <c r="K3" s="7">
        <f>ELECT.!M7</f>
        <v>660</v>
      </c>
      <c r="L3" s="8">
        <f>Gas!C5</f>
        <v>250</v>
      </c>
      <c r="M3" s="8">
        <f>Gas!E5</f>
        <v>1050</v>
      </c>
      <c r="N3" s="8">
        <f>Gas!G5</f>
        <v>148</v>
      </c>
      <c r="O3" s="16">
        <f>Gas!I5</f>
        <v>22</v>
      </c>
      <c r="P3" s="16">
        <f>Gas!K5</f>
        <v>36</v>
      </c>
      <c r="Q3" s="8">
        <f>Gas!M5</f>
        <v>56</v>
      </c>
      <c r="R3" s="8">
        <f>Gas!O5</f>
        <v>43</v>
      </c>
      <c r="S3" s="8">
        <f>Gas!Q5</f>
        <v>22</v>
      </c>
      <c r="T3" s="8">
        <f>Gas!S5</f>
        <v>193</v>
      </c>
      <c r="U3" s="8">
        <f>Gas!U5</f>
        <v>33</v>
      </c>
      <c r="V3" s="8">
        <f>Gas!W5</f>
        <v>0</v>
      </c>
      <c r="W3" s="8">
        <f>Gas!Y5</f>
        <v>0</v>
      </c>
      <c r="X3" s="8">
        <f>Gas!AA5</f>
        <v>0</v>
      </c>
      <c r="Y3" s="8">
        <f>Gas!AC5</f>
        <v>0</v>
      </c>
      <c r="Z3" s="8">
        <f>Gas!AE5</f>
        <v>0</v>
      </c>
      <c r="AA3" s="8">
        <f>Gas!AG5</f>
        <v>0</v>
      </c>
      <c r="AB3" s="7">
        <f>ELECT.!B7</f>
        <v>107</v>
      </c>
    </row>
    <row r="4" spans="1:28">
      <c r="A4" s="11" t="s">
        <v>11</v>
      </c>
      <c r="B4" s="14">
        <f t="shared" ref="B4:B29" si="0">B3+1</f>
        <v>3</v>
      </c>
      <c r="C4" s="14">
        <v>2</v>
      </c>
      <c r="D4" s="14">
        <v>2023</v>
      </c>
      <c r="E4" s="7">
        <f>Water!C7</f>
        <v>240</v>
      </c>
      <c r="F4" s="7">
        <f>Water!E7</f>
        <v>5</v>
      </c>
      <c r="G4" s="7">
        <f>ELECT.!D8</f>
        <v>3699</v>
      </c>
      <c r="H4" s="7">
        <f>ELECT.!F8</f>
        <v>7823</v>
      </c>
      <c r="I4" s="7">
        <f>ELECT.!H8</f>
        <v>4885</v>
      </c>
      <c r="J4" s="7">
        <f>ELECT.!K8</f>
        <v>500</v>
      </c>
      <c r="K4" s="7">
        <f>ELECT.!M8</f>
        <v>390</v>
      </c>
      <c r="L4" s="8">
        <f>Gas!C6</f>
        <v>305</v>
      </c>
      <c r="M4" s="8">
        <f>Gas!E6</f>
        <v>955</v>
      </c>
      <c r="N4" s="8">
        <f>Gas!G6</f>
        <v>140</v>
      </c>
      <c r="O4" s="16">
        <f>Gas!I6</f>
        <v>27</v>
      </c>
      <c r="P4" s="16">
        <f>Gas!K6</f>
        <v>24</v>
      </c>
      <c r="Q4" s="8">
        <f>Gas!M6</f>
        <v>52</v>
      </c>
      <c r="R4" s="8">
        <f>Gas!O6</f>
        <v>38</v>
      </c>
      <c r="S4" s="8">
        <f>Gas!Q6</f>
        <v>31</v>
      </c>
      <c r="T4" s="8">
        <f>Gas!S6</f>
        <v>183</v>
      </c>
      <c r="U4" s="8">
        <f>Gas!U6</f>
        <v>34</v>
      </c>
      <c r="V4" s="8">
        <f>Gas!W6</f>
        <v>0</v>
      </c>
      <c r="W4" s="8">
        <f>Gas!Y6</f>
        <v>0</v>
      </c>
      <c r="X4" s="8">
        <f>Gas!AA6</f>
        <v>0</v>
      </c>
      <c r="Y4" s="8">
        <f>Gas!AC6</f>
        <v>0</v>
      </c>
      <c r="Z4" s="8">
        <f>Gas!AE6</f>
        <v>0</v>
      </c>
      <c r="AA4" s="8">
        <f>Gas!AG6</f>
        <v>0</v>
      </c>
      <c r="AB4" s="7">
        <f>ELECT.!B8</f>
        <v>92</v>
      </c>
    </row>
    <row r="5" spans="1:28">
      <c r="A5" s="11" t="s">
        <v>11</v>
      </c>
      <c r="B5" s="14">
        <f t="shared" si="0"/>
        <v>4</v>
      </c>
      <c r="C5" s="14">
        <v>2</v>
      </c>
      <c r="D5" s="14">
        <v>2023</v>
      </c>
      <c r="E5" s="7">
        <f>Water!C8</f>
        <v>230</v>
      </c>
      <c r="F5" s="7">
        <f>Water!E8</f>
        <v>8</v>
      </c>
      <c r="G5" s="7">
        <f>ELECT.!D9</f>
        <v>4015</v>
      </c>
      <c r="H5" s="7">
        <f>ELECT.!F9</f>
        <v>8395</v>
      </c>
      <c r="I5" s="7">
        <f>ELECT.!H9</f>
        <v>5410</v>
      </c>
      <c r="J5" s="7">
        <f>ELECT.!K9</f>
        <v>600</v>
      </c>
      <c r="K5" s="7">
        <f>ELECT.!M9</f>
        <v>530</v>
      </c>
      <c r="L5" s="8">
        <f>Gas!C7</f>
        <v>279</v>
      </c>
      <c r="M5" s="8">
        <f>Gas!E7</f>
        <v>1070</v>
      </c>
      <c r="N5" s="8">
        <f>Gas!G7</f>
        <v>131</v>
      </c>
      <c r="O5" s="16">
        <f>Gas!I7</f>
        <v>28</v>
      </c>
      <c r="P5" s="16">
        <f>Gas!K7</f>
        <v>20</v>
      </c>
      <c r="Q5" s="8">
        <f>Gas!M7</f>
        <v>51</v>
      </c>
      <c r="R5" s="8">
        <f>Gas!O7</f>
        <v>44</v>
      </c>
      <c r="S5" s="8">
        <f>Gas!Q7</f>
        <v>33</v>
      </c>
      <c r="T5" s="8">
        <f>Gas!S7</f>
        <v>190</v>
      </c>
      <c r="U5" s="8">
        <f>Gas!U7</f>
        <v>30</v>
      </c>
      <c r="V5" s="8">
        <f>Gas!W7</f>
        <v>0</v>
      </c>
      <c r="W5" s="8">
        <f>Gas!Y7</f>
        <v>0</v>
      </c>
      <c r="X5" s="8">
        <f>Gas!AA7</f>
        <v>0</v>
      </c>
      <c r="Y5" s="8">
        <f>Gas!AC7</f>
        <v>0</v>
      </c>
      <c r="Z5" s="8">
        <f>Gas!AE7</f>
        <v>0</v>
      </c>
      <c r="AA5" s="8">
        <f>Gas!AG7</f>
        <v>0</v>
      </c>
      <c r="AB5" s="7">
        <f>ELECT.!B9</f>
        <v>84</v>
      </c>
    </row>
    <row r="6" spans="1:28">
      <c r="A6" s="11" t="s">
        <v>11</v>
      </c>
      <c r="B6" s="14">
        <f t="shared" si="0"/>
        <v>5</v>
      </c>
      <c r="C6" s="14">
        <v>2</v>
      </c>
      <c r="D6" s="14">
        <v>2023</v>
      </c>
      <c r="E6" s="7">
        <f>Water!C9</f>
        <v>270</v>
      </c>
      <c r="F6" s="7">
        <f>Water!E9</f>
        <v>45</v>
      </c>
      <c r="G6" s="7">
        <f>ELECT.!D10</f>
        <v>4013</v>
      </c>
      <c r="H6" s="7">
        <f>ELECT.!F10</f>
        <v>8616</v>
      </c>
      <c r="I6" s="7">
        <f>ELECT.!H10</f>
        <v>5469</v>
      </c>
      <c r="J6" s="7">
        <f>ELECT.!K10</f>
        <v>600</v>
      </c>
      <c r="K6" s="7">
        <f>ELECT.!M10</f>
        <v>550</v>
      </c>
      <c r="L6" s="8">
        <f>Gas!C8</f>
        <v>317</v>
      </c>
      <c r="M6" s="8">
        <f>Gas!E8</f>
        <v>920</v>
      </c>
      <c r="N6" s="8">
        <f>Gas!G8</f>
        <v>143</v>
      </c>
      <c r="O6" s="16">
        <f>Gas!I8</f>
        <v>26</v>
      </c>
      <c r="P6" s="16">
        <f>Gas!K8</f>
        <v>0</v>
      </c>
      <c r="Q6" s="8">
        <f>Gas!M8</f>
        <v>41</v>
      </c>
      <c r="R6" s="8">
        <f>Gas!O8</f>
        <v>34</v>
      </c>
      <c r="S6" s="8">
        <f>Gas!Q8</f>
        <v>33</v>
      </c>
      <c r="T6" s="8">
        <f>Gas!S8</f>
        <v>168</v>
      </c>
      <c r="U6" s="8">
        <f>Gas!U8</f>
        <v>25</v>
      </c>
      <c r="V6" s="8">
        <f>Gas!W8</f>
        <v>0</v>
      </c>
      <c r="W6" s="8">
        <f>Gas!Y8</f>
        <v>0</v>
      </c>
      <c r="X6" s="8">
        <f>Gas!AA8</f>
        <v>0</v>
      </c>
      <c r="Y6" s="8">
        <f>Gas!AC8</f>
        <v>0</v>
      </c>
      <c r="Z6" s="8">
        <f>Gas!AE8</f>
        <v>0</v>
      </c>
      <c r="AA6" s="8">
        <f>Gas!AG8</f>
        <v>0</v>
      </c>
      <c r="AB6" s="7">
        <f>ELECT.!B10</f>
        <v>84</v>
      </c>
    </row>
    <row r="7" spans="1:28">
      <c r="A7" s="11" t="s">
        <v>11</v>
      </c>
      <c r="B7" s="14">
        <f t="shared" si="0"/>
        <v>6</v>
      </c>
      <c r="C7" s="14">
        <v>2</v>
      </c>
      <c r="D7" s="14">
        <v>2023</v>
      </c>
      <c r="E7" s="7">
        <f>Water!C10</f>
        <v>240</v>
      </c>
      <c r="F7" s="7">
        <f>Water!E10</f>
        <v>26</v>
      </c>
      <c r="G7" s="7">
        <f>ELECT.!D11</f>
        <v>3990</v>
      </c>
      <c r="H7" s="7">
        <f>ELECT.!F11</f>
        <v>8815</v>
      </c>
      <c r="I7" s="7">
        <f>ELECT.!H11</f>
        <v>5498</v>
      </c>
      <c r="J7" s="7">
        <f>ELECT.!K11</f>
        <v>700</v>
      </c>
      <c r="K7" s="7">
        <f>ELECT.!M11</f>
        <v>730</v>
      </c>
      <c r="L7" s="8">
        <f>Gas!C9</f>
        <v>279</v>
      </c>
      <c r="M7" s="8">
        <f>Gas!E9</f>
        <v>1087</v>
      </c>
      <c r="N7" s="8">
        <f>Gas!G9</f>
        <v>124</v>
      </c>
      <c r="O7" s="16">
        <f>Gas!I9</f>
        <v>24</v>
      </c>
      <c r="P7" s="16">
        <f>Gas!K9</f>
        <v>0</v>
      </c>
      <c r="Q7" s="8">
        <f>Gas!M9</f>
        <v>28</v>
      </c>
      <c r="R7" s="8">
        <f>Gas!O9</f>
        <v>40</v>
      </c>
      <c r="S7" s="8">
        <f>Gas!Q9</f>
        <v>33</v>
      </c>
      <c r="T7" s="8">
        <f>Gas!S9</f>
        <v>166</v>
      </c>
      <c r="U7" s="8">
        <f>Gas!U9</f>
        <v>39</v>
      </c>
      <c r="V7" s="8">
        <f>Gas!W9</f>
        <v>0</v>
      </c>
      <c r="W7" s="8">
        <f>Gas!Y9</f>
        <v>0</v>
      </c>
      <c r="X7" s="8">
        <f>Gas!AA9</f>
        <v>0</v>
      </c>
      <c r="Y7" s="8">
        <f>Gas!AC9</f>
        <v>0</v>
      </c>
      <c r="Z7" s="8">
        <f>Gas!AE9</f>
        <v>0</v>
      </c>
      <c r="AA7" s="8">
        <f>Gas!AG9</f>
        <v>0</v>
      </c>
      <c r="AB7" s="7">
        <f>ELECT.!B11</f>
        <v>98</v>
      </c>
    </row>
    <row r="8" spans="1:28">
      <c r="A8" s="11" t="s">
        <v>11</v>
      </c>
      <c r="B8" s="14">
        <f t="shared" si="0"/>
        <v>7</v>
      </c>
      <c r="C8" s="14">
        <v>2</v>
      </c>
      <c r="D8" s="14">
        <v>2023</v>
      </c>
      <c r="E8" s="7">
        <f>Water!C11</f>
        <v>220</v>
      </c>
      <c r="F8" s="7">
        <f>Water!E11</f>
        <v>27</v>
      </c>
      <c r="G8" s="7">
        <f>ELECT.!D12</f>
        <v>4181</v>
      </c>
      <c r="H8" s="7">
        <f>ELECT.!F12</f>
        <v>8694</v>
      </c>
      <c r="I8" s="7">
        <f>ELECT.!H12</f>
        <v>5466</v>
      </c>
      <c r="J8" s="7">
        <f>ELECT.!K12</f>
        <v>600</v>
      </c>
      <c r="K8" s="7">
        <f>ELECT.!M12</f>
        <v>730</v>
      </c>
      <c r="L8" s="8">
        <f>Gas!C10</f>
        <v>262</v>
      </c>
      <c r="M8" s="8">
        <f>Gas!E10</f>
        <v>1056</v>
      </c>
      <c r="N8" s="8">
        <f>Gas!G10</f>
        <v>131</v>
      </c>
      <c r="O8" s="16">
        <f>Gas!I10</f>
        <v>26</v>
      </c>
      <c r="P8" s="16">
        <f>Gas!K10</f>
        <v>32</v>
      </c>
      <c r="Q8" s="8">
        <f>Gas!M10</f>
        <v>42</v>
      </c>
      <c r="R8" s="8">
        <f>Gas!O10</f>
        <v>25</v>
      </c>
      <c r="S8" s="8">
        <f>Gas!Q10</f>
        <v>33</v>
      </c>
      <c r="T8" s="8">
        <f>Gas!S10</f>
        <v>176</v>
      </c>
      <c r="U8" s="8">
        <f>Gas!U10</f>
        <v>34</v>
      </c>
      <c r="V8" s="8">
        <f>Gas!W10</f>
        <v>0</v>
      </c>
      <c r="W8" s="8">
        <f>Gas!Y10</f>
        <v>0</v>
      </c>
      <c r="X8" s="8">
        <f>Gas!AA10</f>
        <v>0</v>
      </c>
      <c r="Y8" s="8">
        <f>Gas!AC10</f>
        <v>0</v>
      </c>
      <c r="Z8" s="8">
        <f>Gas!AE10</f>
        <v>0</v>
      </c>
      <c r="AA8" s="8">
        <f>Gas!AG10</f>
        <v>0</v>
      </c>
      <c r="AB8" s="7">
        <f>ELECT.!B12</f>
        <v>121</v>
      </c>
    </row>
    <row r="9" spans="1:28">
      <c r="A9" s="11" t="s">
        <v>11</v>
      </c>
      <c r="B9" s="14">
        <f t="shared" si="0"/>
        <v>8</v>
      </c>
      <c r="C9" s="14">
        <v>2</v>
      </c>
      <c r="D9" s="14">
        <v>2023</v>
      </c>
      <c r="E9" s="7">
        <f>Water!C12</f>
        <v>230</v>
      </c>
      <c r="F9" s="7">
        <f>Water!E12</f>
        <v>15</v>
      </c>
      <c r="G9" s="7">
        <f>ELECT.!D13</f>
        <v>4693</v>
      </c>
      <c r="H9" s="7">
        <f>ELECT.!F13</f>
        <v>9735</v>
      </c>
      <c r="I9" s="7">
        <f>ELECT.!H13</f>
        <v>5944</v>
      </c>
      <c r="J9" s="7">
        <f>ELECT.!K13</f>
        <v>600</v>
      </c>
      <c r="K9" s="7">
        <f>ELECT.!M13</f>
        <v>670</v>
      </c>
      <c r="L9" s="8">
        <f>Gas!C11</f>
        <v>347</v>
      </c>
      <c r="M9" s="8">
        <f>Gas!E11</f>
        <v>1240</v>
      </c>
      <c r="N9" s="8">
        <f>Gas!G11</f>
        <v>106</v>
      </c>
      <c r="O9" s="16">
        <f>Gas!I11</f>
        <v>25</v>
      </c>
      <c r="P9" s="16">
        <f>Gas!K11</f>
        <v>28</v>
      </c>
      <c r="Q9" s="8">
        <f>Gas!M11</f>
        <v>51</v>
      </c>
      <c r="R9" s="8">
        <f>Gas!O11</f>
        <v>17</v>
      </c>
      <c r="S9" s="8">
        <f>Gas!Q11</f>
        <v>30</v>
      </c>
      <c r="T9" s="8">
        <f>Gas!S11</f>
        <v>188</v>
      </c>
      <c r="U9" s="8">
        <f>Gas!U11</f>
        <v>39</v>
      </c>
      <c r="V9" s="8">
        <f>Gas!W11</f>
        <v>0</v>
      </c>
      <c r="W9" s="8">
        <f>Gas!Y11</f>
        <v>0</v>
      </c>
      <c r="X9" s="8">
        <f>Gas!AA11</f>
        <v>0</v>
      </c>
      <c r="Y9" s="8">
        <f>Gas!AC11</f>
        <v>0</v>
      </c>
      <c r="Z9" s="8">
        <f>Gas!AE11</f>
        <v>0</v>
      </c>
      <c r="AA9" s="8">
        <f>Gas!AG11</f>
        <v>0</v>
      </c>
      <c r="AB9" s="7">
        <f>ELECT.!B13</f>
        <v>115</v>
      </c>
    </row>
    <row r="10" spans="1:28">
      <c r="A10" s="11" t="s">
        <v>11</v>
      </c>
      <c r="B10" s="14">
        <f t="shared" si="0"/>
        <v>9</v>
      </c>
      <c r="C10" s="14">
        <v>2</v>
      </c>
      <c r="D10" s="14">
        <v>2023</v>
      </c>
      <c r="E10" s="7">
        <f>Water!C13</f>
        <v>240</v>
      </c>
      <c r="F10" s="7">
        <f>Water!E13</f>
        <v>51</v>
      </c>
      <c r="G10" s="7">
        <f>ELECT.!D14</f>
        <v>4490</v>
      </c>
      <c r="H10" s="7">
        <f>ELECT.!F14</f>
        <v>9279</v>
      </c>
      <c r="I10" s="7">
        <f>ELECT.!H14</f>
        <v>5633</v>
      </c>
      <c r="J10" s="7">
        <f>ELECT.!K14</f>
        <v>600</v>
      </c>
      <c r="K10" s="7">
        <f>ELECT.!M14</f>
        <v>600</v>
      </c>
      <c r="L10" s="8">
        <f>Gas!C12</f>
        <v>294</v>
      </c>
      <c r="M10" s="8">
        <f>Gas!E12</f>
        <v>1260</v>
      </c>
      <c r="N10" s="8">
        <f>Gas!G12</f>
        <v>148</v>
      </c>
      <c r="O10" s="16">
        <f>Gas!I12</f>
        <v>21</v>
      </c>
      <c r="P10" s="16">
        <f>Gas!K12</f>
        <v>29</v>
      </c>
      <c r="Q10" s="8">
        <f>Gas!M12</f>
        <v>49</v>
      </c>
      <c r="R10" s="8">
        <f>Gas!O12</f>
        <v>127</v>
      </c>
      <c r="S10" s="8">
        <f>Gas!Q12</f>
        <v>32</v>
      </c>
      <c r="T10" s="8">
        <f>Gas!S12</f>
        <v>185</v>
      </c>
      <c r="U10" s="8">
        <f>Gas!U12</f>
        <v>27</v>
      </c>
      <c r="V10" s="8">
        <f>Gas!W12</f>
        <v>0</v>
      </c>
      <c r="W10" s="8">
        <f>Gas!Y12</f>
        <v>0</v>
      </c>
      <c r="X10" s="8">
        <f>Gas!AA12</f>
        <v>0</v>
      </c>
      <c r="Y10" s="8">
        <f>Gas!AC12</f>
        <v>0</v>
      </c>
      <c r="Z10" s="8">
        <f>Gas!AE12</f>
        <v>0</v>
      </c>
      <c r="AA10" s="8">
        <f>Gas!AG12</f>
        <v>0</v>
      </c>
      <c r="AB10" s="7">
        <f>ELECT.!B14</f>
        <v>70</v>
      </c>
    </row>
    <row r="11" spans="1:28">
      <c r="A11" s="11" t="s">
        <v>11</v>
      </c>
      <c r="B11" s="14">
        <f t="shared" si="0"/>
        <v>10</v>
      </c>
      <c r="C11" s="14">
        <v>2</v>
      </c>
      <c r="D11" s="14">
        <v>2023</v>
      </c>
      <c r="E11" s="7">
        <f>Water!C14</f>
        <v>230</v>
      </c>
      <c r="F11" s="7">
        <f>Water!E14</f>
        <v>45</v>
      </c>
      <c r="G11" s="7">
        <f>ELECT.!D15</f>
        <v>4753</v>
      </c>
      <c r="H11" s="7">
        <f>ELECT.!F15</f>
        <v>9344</v>
      </c>
      <c r="I11" s="7">
        <f>ELECT.!H15</f>
        <v>5924</v>
      </c>
      <c r="J11" s="7">
        <f>ELECT.!K15</f>
        <v>500</v>
      </c>
      <c r="K11" s="7">
        <f>ELECT.!M15</f>
        <v>530</v>
      </c>
      <c r="L11" s="8">
        <f>Gas!C13</f>
        <v>223</v>
      </c>
      <c r="M11" s="8">
        <f>Gas!E13</f>
        <v>1281</v>
      </c>
      <c r="N11" s="8">
        <f>Gas!G13</f>
        <v>147</v>
      </c>
      <c r="O11" s="16">
        <f>Gas!I13</f>
        <v>24</v>
      </c>
      <c r="P11" s="16">
        <f>Gas!K13</f>
        <v>26</v>
      </c>
      <c r="Q11" s="8">
        <f>Gas!M13</f>
        <v>43</v>
      </c>
      <c r="R11" s="8">
        <f>Gas!O13</f>
        <v>17</v>
      </c>
      <c r="S11" s="8">
        <f>Gas!Q13</f>
        <v>33</v>
      </c>
      <c r="T11" s="8">
        <f>Gas!S13</f>
        <v>214</v>
      </c>
      <c r="U11" s="8">
        <f>Gas!U13</f>
        <v>30</v>
      </c>
      <c r="V11" s="8">
        <f>Gas!W13</f>
        <v>0</v>
      </c>
      <c r="W11" s="8">
        <f>Gas!Y13</f>
        <v>0</v>
      </c>
      <c r="X11" s="8">
        <f>Gas!AA13</f>
        <v>0</v>
      </c>
      <c r="Y11" s="8">
        <f>Gas!AC13</f>
        <v>0</v>
      </c>
      <c r="Z11" s="8">
        <f>Gas!AE13</f>
        <v>0</v>
      </c>
      <c r="AA11" s="8">
        <f>Gas!AG13</f>
        <v>0</v>
      </c>
      <c r="AB11" s="7">
        <f>ELECT.!B15</f>
        <v>73</v>
      </c>
    </row>
    <row r="12" spans="1:28">
      <c r="A12" s="11" t="s">
        <v>11</v>
      </c>
      <c r="B12" s="14">
        <f t="shared" si="0"/>
        <v>11</v>
      </c>
      <c r="C12" s="14">
        <v>2</v>
      </c>
      <c r="D12" s="14">
        <v>2023</v>
      </c>
      <c r="E12" s="7">
        <f>Water!C15</f>
        <v>230</v>
      </c>
      <c r="F12" s="7">
        <f>Water!E15</f>
        <v>10</v>
      </c>
      <c r="G12" s="7">
        <f>ELECT.!D16</f>
        <v>3602</v>
      </c>
      <c r="H12" s="7">
        <f>ELECT.!F16</f>
        <v>8117</v>
      </c>
      <c r="I12" s="7">
        <f>ELECT.!H16</f>
        <v>4912</v>
      </c>
      <c r="J12" s="7">
        <f>ELECT.!K16</f>
        <v>500</v>
      </c>
      <c r="K12" s="7">
        <f>ELECT.!M16</f>
        <v>590</v>
      </c>
      <c r="L12" s="8">
        <f>Gas!C14</f>
        <v>253</v>
      </c>
      <c r="M12" s="8">
        <f>Gas!E14</f>
        <v>1298</v>
      </c>
      <c r="N12" s="8">
        <f>Gas!G14</f>
        <v>126</v>
      </c>
      <c r="O12" s="16">
        <f>Gas!I14</f>
        <v>24</v>
      </c>
      <c r="P12" s="16">
        <f>Gas!K14</f>
        <v>30</v>
      </c>
      <c r="Q12" s="8">
        <f>Gas!M14</f>
        <v>50</v>
      </c>
      <c r="R12" s="8">
        <f>Gas!O14</f>
        <v>6</v>
      </c>
      <c r="S12" s="8">
        <f>Gas!Q14</f>
        <v>35</v>
      </c>
      <c r="T12" s="8">
        <f>Gas!S14</f>
        <v>200</v>
      </c>
      <c r="U12" s="8">
        <f>Gas!U14</f>
        <v>31</v>
      </c>
      <c r="V12" s="8">
        <f>Gas!W14</f>
        <v>0</v>
      </c>
      <c r="W12" s="8">
        <f>Gas!Y14</f>
        <v>0</v>
      </c>
      <c r="X12" s="8">
        <f>Gas!AA14</f>
        <v>0</v>
      </c>
      <c r="Y12" s="8">
        <f>Gas!AC14</f>
        <v>0</v>
      </c>
      <c r="Z12" s="8">
        <f>Gas!AE14</f>
        <v>0</v>
      </c>
      <c r="AA12" s="8">
        <f>Gas!AG14</f>
        <v>0</v>
      </c>
      <c r="AB12" s="7">
        <f>ELECT.!B16</f>
        <v>114</v>
      </c>
    </row>
    <row r="13" spans="1:28">
      <c r="A13" s="11" t="s">
        <v>11</v>
      </c>
      <c r="B13" s="14">
        <f t="shared" si="0"/>
        <v>12</v>
      </c>
      <c r="C13" s="14">
        <v>2</v>
      </c>
      <c r="D13" s="14">
        <v>2023</v>
      </c>
      <c r="E13" s="7">
        <f>Water!C16</f>
        <v>270</v>
      </c>
      <c r="F13" s="7">
        <f>Water!E16</f>
        <v>42</v>
      </c>
      <c r="G13" s="7">
        <f>ELECT.!D17</f>
        <v>4096</v>
      </c>
      <c r="H13" s="7">
        <f>ELECT.!F17</f>
        <v>9073</v>
      </c>
      <c r="I13" s="7">
        <f>ELECT.!H17</f>
        <v>5451</v>
      </c>
      <c r="J13" s="7">
        <f>ELECT.!K17</f>
        <v>600</v>
      </c>
      <c r="K13" s="7">
        <f>ELECT.!M17</f>
        <v>840</v>
      </c>
      <c r="L13" s="8">
        <f>Gas!C15</f>
        <v>316</v>
      </c>
      <c r="M13" s="8">
        <f>Gas!E15</f>
        <v>1246</v>
      </c>
      <c r="N13" s="8">
        <f>Gas!G15</f>
        <v>114</v>
      </c>
      <c r="O13" s="16">
        <f>Gas!I15</f>
        <v>22</v>
      </c>
      <c r="P13" s="16">
        <f>Gas!K15</f>
        <v>1</v>
      </c>
      <c r="Q13" s="8">
        <f>Gas!M15</f>
        <v>38</v>
      </c>
      <c r="R13" s="8">
        <f>Gas!O15</f>
        <v>43</v>
      </c>
      <c r="S13" s="8">
        <f>Gas!Q15</f>
        <v>27</v>
      </c>
      <c r="T13" s="8">
        <f>Gas!S15</f>
        <v>184</v>
      </c>
      <c r="U13" s="8">
        <f>Gas!U15</f>
        <v>22</v>
      </c>
      <c r="V13" s="8">
        <f>Gas!W15</f>
        <v>0</v>
      </c>
      <c r="W13" s="8">
        <f>Gas!Y15</f>
        <v>0</v>
      </c>
      <c r="X13" s="8">
        <f>Gas!AA15</f>
        <v>0</v>
      </c>
      <c r="Y13" s="8">
        <f>Gas!AC15</f>
        <v>0</v>
      </c>
      <c r="Z13" s="8">
        <f>Gas!AE15</f>
        <v>0</v>
      </c>
      <c r="AA13" s="8">
        <f>Gas!AG15</f>
        <v>0</v>
      </c>
      <c r="AB13" s="7">
        <f>ELECT.!B17</f>
        <v>115</v>
      </c>
    </row>
    <row r="14" spans="1:28">
      <c r="A14" s="11" t="s">
        <v>11</v>
      </c>
      <c r="B14" s="14">
        <f t="shared" si="0"/>
        <v>13</v>
      </c>
      <c r="C14" s="14">
        <v>2</v>
      </c>
      <c r="D14" s="14">
        <v>2023</v>
      </c>
      <c r="E14" s="7">
        <f>Water!C17</f>
        <v>250</v>
      </c>
      <c r="F14" s="7">
        <f>Water!E17</f>
        <v>11</v>
      </c>
      <c r="G14" s="7">
        <f>ELECT.!D18</f>
        <v>3914</v>
      </c>
      <c r="H14" s="7">
        <f>ELECT.!F18</f>
        <v>8713</v>
      </c>
      <c r="I14" s="7">
        <f>ELECT.!H18</f>
        <v>5335</v>
      </c>
      <c r="J14" s="7">
        <f>ELECT.!K18</f>
        <v>700</v>
      </c>
      <c r="K14" s="7">
        <f>ELECT.!M18</f>
        <v>670</v>
      </c>
      <c r="L14" s="8">
        <f>Gas!C16</f>
        <v>252</v>
      </c>
      <c r="M14" s="8">
        <f>Gas!E16</f>
        <v>1119</v>
      </c>
      <c r="N14" s="8">
        <f>Gas!G16</f>
        <v>106</v>
      </c>
      <c r="O14" s="16">
        <f>Gas!I16</f>
        <v>20</v>
      </c>
      <c r="P14" s="16">
        <f>Gas!K16</f>
        <v>21</v>
      </c>
      <c r="Q14" s="8">
        <f>Gas!M16</f>
        <v>41</v>
      </c>
      <c r="R14" s="8">
        <f>Gas!O16</f>
        <v>43</v>
      </c>
      <c r="S14" s="8">
        <f>Gas!Q16</f>
        <v>38</v>
      </c>
      <c r="T14" s="8">
        <f>Gas!S16</f>
        <v>167</v>
      </c>
      <c r="U14" s="8">
        <f>Gas!U16</f>
        <v>36</v>
      </c>
      <c r="V14" s="8">
        <f>Gas!W16</f>
        <v>0</v>
      </c>
      <c r="W14" s="8">
        <f>Gas!Y16</f>
        <v>0</v>
      </c>
      <c r="X14" s="8">
        <f>Gas!AA16</f>
        <v>0</v>
      </c>
      <c r="Y14" s="8">
        <f>Gas!AC16</f>
        <v>0</v>
      </c>
      <c r="Z14" s="8">
        <f>Gas!AE16</f>
        <v>0</v>
      </c>
      <c r="AA14" s="8">
        <f>Gas!AG16</f>
        <v>0</v>
      </c>
      <c r="AB14" s="7">
        <f>ELECT.!B18</f>
        <v>74</v>
      </c>
    </row>
    <row r="15" spans="1:28">
      <c r="A15" s="11" t="s">
        <v>11</v>
      </c>
      <c r="B15" s="14">
        <f t="shared" si="0"/>
        <v>14</v>
      </c>
      <c r="C15" s="14">
        <v>2</v>
      </c>
      <c r="D15" s="14">
        <v>2023</v>
      </c>
      <c r="E15" s="7">
        <f>Water!C18</f>
        <v>360</v>
      </c>
      <c r="F15" s="7">
        <f>Water!E18</f>
        <v>18</v>
      </c>
      <c r="G15" s="7">
        <f>ELECT.!D19</f>
        <v>4491</v>
      </c>
      <c r="H15" s="7">
        <f>ELECT.!F19</f>
        <v>9538</v>
      </c>
      <c r="I15" s="7">
        <f>ELECT.!H19</f>
        <v>5695</v>
      </c>
      <c r="J15" s="7">
        <f>ELECT.!K19</f>
        <v>600</v>
      </c>
      <c r="K15" s="7">
        <f>ELECT.!M19</f>
        <v>720</v>
      </c>
      <c r="L15" s="8">
        <f>Gas!C17</f>
        <v>290</v>
      </c>
      <c r="M15" s="8">
        <f>Gas!E17</f>
        <v>1418</v>
      </c>
      <c r="N15" s="8">
        <f>Gas!G17</f>
        <v>119</v>
      </c>
      <c r="O15" s="16">
        <f>Gas!I17</f>
        <v>33</v>
      </c>
      <c r="P15" s="16">
        <f>Gas!K17</f>
        <v>39</v>
      </c>
      <c r="Q15" s="8">
        <f>Gas!M17</f>
        <v>44</v>
      </c>
      <c r="R15" s="8">
        <f>Gas!O17</f>
        <v>33</v>
      </c>
      <c r="S15" s="8">
        <f>Gas!Q17</f>
        <v>34</v>
      </c>
      <c r="T15" s="8">
        <f>Gas!S17</f>
        <v>183</v>
      </c>
      <c r="U15" s="8">
        <f>Gas!U17</f>
        <v>36</v>
      </c>
      <c r="V15" s="8">
        <f>Gas!W17</f>
        <v>0</v>
      </c>
      <c r="W15" s="8">
        <f>Gas!Y17</f>
        <v>0</v>
      </c>
      <c r="X15" s="8">
        <f>Gas!AA17</f>
        <v>0</v>
      </c>
      <c r="Y15" s="8">
        <f>Gas!AC17</f>
        <v>0</v>
      </c>
      <c r="Z15" s="8">
        <f>Gas!AE17</f>
        <v>0</v>
      </c>
      <c r="AA15" s="8">
        <f>Gas!AG17</f>
        <v>0</v>
      </c>
      <c r="AB15" s="7">
        <f>ELECT.!B19</f>
        <v>72</v>
      </c>
    </row>
    <row r="16" spans="1:28">
      <c r="A16" s="11" t="s">
        <v>11</v>
      </c>
      <c r="B16" s="14">
        <f t="shared" si="0"/>
        <v>15</v>
      </c>
      <c r="C16" s="14">
        <v>2</v>
      </c>
      <c r="D16" s="14">
        <v>2023</v>
      </c>
      <c r="E16" s="7">
        <f>Water!C19</f>
        <v>300</v>
      </c>
      <c r="F16" s="7">
        <f>Water!E19</f>
        <v>22</v>
      </c>
      <c r="G16" s="7">
        <f>ELECT.!D20</f>
        <v>4244</v>
      </c>
      <c r="H16" s="7">
        <f>ELECT.!F20</f>
        <v>9196</v>
      </c>
      <c r="I16" s="7">
        <f>ELECT.!H20</f>
        <v>5413</v>
      </c>
      <c r="J16" s="7">
        <f>ELECT.!K20</f>
        <v>600</v>
      </c>
      <c r="K16" s="7">
        <f>ELECT.!M20</f>
        <v>330</v>
      </c>
      <c r="L16" s="8">
        <f>Gas!C18</f>
        <v>249</v>
      </c>
      <c r="M16" s="8">
        <f>Gas!E18</f>
        <v>1029</v>
      </c>
      <c r="N16" s="8">
        <f>Gas!G18</f>
        <v>128</v>
      </c>
      <c r="O16" s="16">
        <f>Gas!I18</f>
        <v>25</v>
      </c>
      <c r="P16" s="16">
        <f>Gas!K18</f>
        <v>30</v>
      </c>
      <c r="Q16" s="8">
        <f>Gas!M18</f>
        <v>48</v>
      </c>
      <c r="R16" s="8">
        <f>Gas!O18</f>
        <v>33</v>
      </c>
      <c r="S16" s="8">
        <f>Gas!Q18</f>
        <v>31</v>
      </c>
      <c r="T16" s="8">
        <f>Gas!S18</f>
        <v>162</v>
      </c>
      <c r="U16" s="8">
        <f>Gas!U18</f>
        <v>22</v>
      </c>
      <c r="V16" s="8">
        <f>Gas!W18</f>
        <v>0</v>
      </c>
      <c r="W16" s="8">
        <f>Gas!Y18</f>
        <v>0</v>
      </c>
      <c r="X16" s="8">
        <f>Gas!AA18</f>
        <v>0</v>
      </c>
      <c r="Y16" s="8">
        <f>Gas!AC18</f>
        <v>0</v>
      </c>
      <c r="Z16" s="8">
        <f>Gas!AE18</f>
        <v>0</v>
      </c>
      <c r="AA16" s="8">
        <f>Gas!AG18</f>
        <v>0</v>
      </c>
      <c r="AB16" s="7">
        <f>ELECT.!B20</f>
        <v>82</v>
      </c>
    </row>
    <row r="17" spans="1:28">
      <c r="A17" s="11" t="s">
        <v>11</v>
      </c>
      <c r="B17" s="14">
        <f t="shared" si="0"/>
        <v>16</v>
      </c>
      <c r="C17" s="14">
        <v>2</v>
      </c>
      <c r="D17" s="14">
        <v>2023</v>
      </c>
      <c r="E17" s="7">
        <f>Water!C20</f>
        <v>250</v>
      </c>
      <c r="F17" s="7">
        <f>Water!E20</f>
        <v>10</v>
      </c>
      <c r="G17" s="7">
        <f>ELECT.!D21</f>
        <v>4460</v>
      </c>
      <c r="H17" s="7">
        <f>ELECT.!F21</f>
        <v>8884</v>
      </c>
      <c r="I17" s="7">
        <f>ELECT.!H21</f>
        <v>5497</v>
      </c>
      <c r="J17" s="7">
        <f>ELECT.!K21</f>
        <v>700</v>
      </c>
      <c r="K17" s="7">
        <f>ELECT.!M21</f>
        <v>550</v>
      </c>
      <c r="L17" s="8">
        <f>Gas!C19</f>
        <v>310</v>
      </c>
      <c r="M17" s="8">
        <f>Gas!E19</f>
        <v>1131</v>
      </c>
      <c r="N17" s="8">
        <f>Gas!G19</f>
        <v>132</v>
      </c>
      <c r="O17" s="16">
        <f>Gas!I19</f>
        <v>28</v>
      </c>
      <c r="P17" s="16">
        <f>Gas!K19</f>
        <v>33</v>
      </c>
      <c r="Q17" s="8">
        <f>Gas!M19</f>
        <v>56</v>
      </c>
      <c r="R17" s="8">
        <f>Gas!O19</f>
        <v>30</v>
      </c>
      <c r="S17" s="8">
        <f>Gas!Q19</f>
        <v>32</v>
      </c>
      <c r="T17" s="8">
        <f>Gas!S19</f>
        <v>170</v>
      </c>
      <c r="U17" s="8">
        <f>Gas!U19</f>
        <v>27</v>
      </c>
      <c r="V17" s="8">
        <f>Gas!W19</f>
        <v>0</v>
      </c>
      <c r="W17" s="8">
        <f>Gas!Y19</f>
        <v>0</v>
      </c>
      <c r="X17" s="8">
        <f>Gas!AA19</f>
        <v>0</v>
      </c>
      <c r="Y17" s="8">
        <f>Gas!AC19</f>
        <v>0</v>
      </c>
      <c r="Z17" s="8">
        <f>Gas!AE19</f>
        <v>0</v>
      </c>
      <c r="AA17" s="8">
        <f>Gas!AG19</f>
        <v>0</v>
      </c>
      <c r="AB17" s="7">
        <f>ELECT.!B21</f>
        <v>87</v>
      </c>
    </row>
    <row r="18" spans="1:28">
      <c r="A18" s="11" t="s">
        <v>11</v>
      </c>
      <c r="B18" s="14">
        <f t="shared" si="0"/>
        <v>17</v>
      </c>
      <c r="C18" s="14">
        <v>2</v>
      </c>
      <c r="D18" s="14">
        <v>2023</v>
      </c>
      <c r="E18" s="7">
        <f>Water!C21</f>
        <v>230</v>
      </c>
      <c r="F18" s="7">
        <f>Water!E21</f>
        <v>21</v>
      </c>
      <c r="G18" s="7">
        <f>ELECT.!D22</f>
        <v>4453</v>
      </c>
      <c r="H18" s="7">
        <f>ELECT.!F22</f>
        <v>8792</v>
      </c>
      <c r="I18" s="7">
        <f>ELECT.!H22</f>
        <v>5542</v>
      </c>
      <c r="J18" s="7">
        <f>ELECT.!K22</f>
        <v>500</v>
      </c>
      <c r="K18" s="7">
        <f>ELECT.!M22</f>
        <v>510</v>
      </c>
      <c r="L18" s="8">
        <f>Gas!C20</f>
        <v>258</v>
      </c>
      <c r="M18" s="8">
        <f>Gas!E20</f>
        <v>1278</v>
      </c>
      <c r="N18" s="8">
        <f>Gas!G20</f>
        <v>144</v>
      </c>
      <c r="O18" s="16">
        <f>Gas!I20</f>
        <v>29</v>
      </c>
      <c r="P18" s="16">
        <f>Gas!K20</f>
        <v>26</v>
      </c>
      <c r="Q18" s="8">
        <f>Gas!M20</f>
        <v>41</v>
      </c>
      <c r="R18" s="8">
        <f>Gas!O20</f>
        <v>43</v>
      </c>
      <c r="S18" s="8">
        <f>Gas!Q20</f>
        <v>30</v>
      </c>
      <c r="T18" s="8">
        <f>Gas!S20</f>
        <v>183</v>
      </c>
      <c r="U18" s="8">
        <f>Gas!U20</f>
        <v>37</v>
      </c>
      <c r="V18" s="8">
        <f>Gas!W20</f>
        <v>0</v>
      </c>
      <c r="W18" s="8">
        <f>Gas!Y20</f>
        <v>0</v>
      </c>
      <c r="X18" s="8">
        <f>Gas!AA20</f>
        <v>0</v>
      </c>
      <c r="Y18" s="8">
        <f>Gas!AC20</f>
        <v>0</v>
      </c>
      <c r="Z18" s="8">
        <f>Gas!AE20</f>
        <v>0</v>
      </c>
      <c r="AA18" s="8">
        <f>Gas!AG20</f>
        <v>0</v>
      </c>
      <c r="AB18" s="7">
        <f>ELECT.!B22</f>
        <v>92</v>
      </c>
    </row>
    <row r="19" spans="1:28">
      <c r="A19" s="11" t="s">
        <v>11</v>
      </c>
      <c r="B19" s="14">
        <f t="shared" si="0"/>
        <v>18</v>
      </c>
      <c r="C19" s="14">
        <v>2</v>
      </c>
      <c r="D19" s="14">
        <v>2023</v>
      </c>
      <c r="E19" s="7">
        <f>Water!C22</f>
        <v>230</v>
      </c>
      <c r="F19" s="7">
        <f>Water!E22</f>
        <v>100</v>
      </c>
      <c r="G19" s="7">
        <f>ELECT.!D23</f>
        <v>4318</v>
      </c>
      <c r="H19" s="7">
        <f>ELECT.!F23</f>
        <v>8303</v>
      </c>
      <c r="I19" s="7">
        <f>ELECT.!H23</f>
        <v>5132</v>
      </c>
      <c r="J19" s="7">
        <f>ELECT.!K23</f>
        <v>600</v>
      </c>
      <c r="K19" s="7">
        <f>ELECT.!M23</f>
        <v>470</v>
      </c>
      <c r="L19" s="8">
        <f>Gas!C21</f>
        <v>316</v>
      </c>
      <c r="M19" s="8">
        <f>Gas!E21</f>
        <v>1121</v>
      </c>
      <c r="N19" s="8">
        <f>Gas!G21</f>
        <v>110</v>
      </c>
      <c r="O19" s="16">
        <f>Gas!I21</f>
        <v>21</v>
      </c>
      <c r="P19" s="16">
        <f>Gas!K21</f>
        <v>27</v>
      </c>
      <c r="Q19" s="8">
        <f>Gas!M21</f>
        <v>49</v>
      </c>
      <c r="R19" s="8">
        <f>Gas!O21</f>
        <v>99</v>
      </c>
      <c r="S19" s="8">
        <f>Gas!Q21</f>
        <v>31</v>
      </c>
      <c r="T19" s="8">
        <f>Gas!S21</f>
        <v>172</v>
      </c>
      <c r="U19" s="8">
        <f>Gas!U21</f>
        <v>20</v>
      </c>
      <c r="V19" s="8">
        <f>Gas!W21</f>
        <v>0</v>
      </c>
      <c r="W19" s="8">
        <f>Gas!Y21</f>
        <v>0</v>
      </c>
      <c r="X19" s="8">
        <f>Gas!AA21</f>
        <v>0</v>
      </c>
      <c r="Y19" s="8">
        <f>Gas!AC21</f>
        <v>0</v>
      </c>
      <c r="Z19" s="8">
        <f>Gas!AE21</f>
        <v>0</v>
      </c>
      <c r="AA19" s="8">
        <f>Gas!AG21</f>
        <v>0</v>
      </c>
      <c r="AB19" s="7">
        <f>ELECT.!B23</f>
        <v>82</v>
      </c>
    </row>
    <row r="20" spans="1:28">
      <c r="A20" s="11" t="s">
        <v>11</v>
      </c>
      <c r="B20" s="14">
        <f t="shared" si="0"/>
        <v>19</v>
      </c>
      <c r="C20" s="14">
        <v>2</v>
      </c>
      <c r="D20" s="14">
        <v>2023</v>
      </c>
      <c r="E20" s="7">
        <f>Water!C23</f>
        <v>260</v>
      </c>
      <c r="F20" s="7">
        <f>Water!E23</f>
        <v>26</v>
      </c>
      <c r="G20" s="7">
        <f>ELECT.!D24</f>
        <v>4293</v>
      </c>
      <c r="H20" s="7">
        <f>ELECT.!F24</f>
        <v>8437</v>
      </c>
      <c r="I20" s="7">
        <f>ELECT.!H24</f>
        <v>5432</v>
      </c>
      <c r="J20" s="7">
        <f>ELECT.!K24</f>
        <v>600</v>
      </c>
      <c r="K20" s="7">
        <f>ELECT.!M24</f>
        <v>440</v>
      </c>
      <c r="L20" s="8">
        <f>Gas!C22</f>
        <v>297</v>
      </c>
      <c r="M20" s="8">
        <f>Gas!E22</f>
        <v>1077</v>
      </c>
      <c r="N20" s="8">
        <f>Gas!G22</f>
        <v>99</v>
      </c>
      <c r="O20" s="16">
        <f>Gas!I22</f>
        <v>18</v>
      </c>
      <c r="P20" s="16">
        <f>Gas!K22</f>
        <v>0</v>
      </c>
      <c r="Q20" s="8">
        <f>Gas!M22</f>
        <v>55</v>
      </c>
      <c r="R20" s="8">
        <f>Gas!O22</f>
        <v>89</v>
      </c>
      <c r="S20" s="8">
        <f>Gas!Q22</f>
        <v>31</v>
      </c>
      <c r="T20" s="8">
        <f>Gas!S22</f>
        <v>170</v>
      </c>
      <c r="U20" s="8">
        <f>Gas!U22</f>
        <v>32</v>
      </c>
      <c r="V20" s="8">
        <f>Gas!W22</f>
        <v>0</v>
      </c>
      <c r="W20" s="8">
        <f>Gas!Y22</f>
        <v>0</v>
      </c>
      <c r="X20" s="8">
        <f>Gas!AA22</f>
        <v>0</v>
      </c>
      <c r="Y20" s="8">
        <f>Gas!AC22</f>
        <v>0</v>
      </c>
      <c r="Z20" s="8">
        <f>Gas!AE22</f>
        <v>0</v>
      </c>
      <c r="AA20" s="8">
        <f>Gas!AG22</f>
        <v>0</v>
      </c>
      <c r="AB20" s="7">
        <f>ELECT.!B24</f>
        <v>63</v>
      </c>
    </row>
    <row r="21" spans="1:28">
      <c r="A21" s="11" t="s">
        <v>11</v>
      </c>
      <c r="B21" s="14">
        <f t="shared" si="0"/>
        <v>20</v>
      </c>
      <c r="C21" s="14">
        <v>2</v>
      </c>
      <c r="D21" s="14">
        <v>2023</v>
      </c>
      <c r="E21" s="7">
        <f>Water!C24</f>
        <v>210</v>
      </c>
      <c r="F21" s="7">
        <f>Water!E24</f>
        <v>148</v>
      </c>
      <c r="G21" s="7">
        <f>ELECT.!D25</f>
        <v>4320</v>
      </c>
      <c r="H21" s="7">
        <f>ELECT.!F25</f>
        <v>8751</v>
      </c>
      <c r="I21" s="7">
        <f>ELECT.!H25</f>
        <v>5322</v>
      </c>
      <c r="J21" s="7">
        <f>ELECT.!K25</f>
        <v>600</v>
      </c>
      <c r="K21" s="7">
        <f>ELECT.!M25</f>
        <v>450</v>
      </c>
      <c r="L21" s="8">
        <f>Gas!C23</f>
        <v>235</v>
      </c>
      <c r="M21" s="8">
        <f>Gas!E23</f>
        <v>1107</v>
      </c>
      <c r="N21" s="8">
        <f>Gas!G23</f>
        <v>114</v>
      </c>
      <c r="O21" s="16">
        <f>Gas!I23</f>
        <v>30</v>
      </c>
      <c r="P21" s="16">
        <f>Gas!K23</f>
        <v>0</v>
      </c>
      <c r="Q21" s="8">
        <f>Gas!M23</f>
        <v>45</v>
      </c>
      <c r="R21" s="8">
        <f>Gas!O23</f>
        <v>49</v>
      </c>
      <c r="S21" s="8">
        <f>Gas!Q23</f>
        <v>30</v>
      </c>
      <c r="T21" s="8">
        <f>Gas!S23</f>
        <v>176</v>
      </c>
      <c r="U21" s="8">
        <f>Gas!U23</f>
        <v>17</v>
      </c>
      <c r="V21" s="8">
        <f>Gas!W23</f>
        <v>0</v>
      </c>
      <c r="W21" s="8">
        <f>Gas!Y23</f>
        <v>0</v>
      </c>
      <c r="X21" s="8">
        <f>Gas!AA23</f>
        <v>0</v>
      </c>
      <c r="Y21" s="8">
        <f>Gas!AC23</f>
        <v>0</v>
      </c>
      <c r="Z21" s="8">
        <f>Gas!AE23</f>
        <v>0</v>
      </c>
      <c r="AA21" s="8">
        <f>Gas!AG23</f>
        <v>0</v>
      </c>
      <c r="AB21" s="7">
        <f>ELECT.!B25</f>
        <v>63</v>
      </c>
    </row>
    <row r="22" spans="1:28">
      <c r="A22" s="11" t="s">
        <v>11</v>
      </c>
      <c r="B22" s="14">
        <f t="shared" si="0"/>
        <v>21</v>
      </c>
      <c r="C22" s="14">
        <v>2</v>
      </c>
      <c r="D22" s="14">
        <v>2023</v>
      </c>
      <c r="E22" s="7">
        <f>Water!C25</f>
        <v>240</v>
      </c>
      <c r="F22" s="7">
        <f>Water!E25</f>
        <v>112</v>
      </c>
      <c r="G22" s="7">
        <f>ELECT.!D26</f>
        <v>3978</v>
      </c>
      <c r="H22" s="7">
        <f>ELECT.!F26</f>
        <v>7820</v>
      </c>
      <c r="I22" s="7">
        <f>ELECT.!H26</f>
        <v>4888</v>
      </c>
      <c r="J22" s="7">
        <f>ELECT.!K26</f>
        <v>700</v>
      </c>
      <c r="K22" s="7">
        <f>ELECT.!M26</f>
        <v>450</v>
      </c>
      <c r="L22" s="8">
        <f>Gas!C24</f>
        <v>288</v>
      </c>
      <c r="M22" s="8">
        <f>Gas!E24</f>
        <v>1117</v>
      </c>
      <c r="N22" s="8">
        <f>Gas!G24</f>
        <v>120</v>
      </c>
      <c r="O22" s="16">
        <f>Gas!I24</f>
        <v>29</v>
      </c>
      <c r="P22" s="16">
        <f>Gas!K24</f>
        <v>27</v>
      </c>
      <c r="Q22" s="8">
        <f>Gas!M24</f>
        <v>45</v>
      </c>
      <c r="R22" s="8">
        <f>Gas!O24</f>
        <v>74</v>
      </c>
      <c r="S22" s="8">
        <f>Gas!Q24</f>
        <v>29</v>
      </c>
      <c r="T22" s="8">
        <f>Gas!S24</f>
        <v>56</v>
      </c>
      <c r="U22" s="8">
        <f>Gas!U24</f>
        <v>38</v>
      </c>
      <c r="V22" s="8">
        <f>Gas!W24</f>
        <v>0</v>
      </c>
      <c r="W22" s="8">
        <f>Gas!Y24</f>
        <v>0</v>
      </c>
      <c r="X22" s="8">
        <f>Gas!AA24</f>
        <v>0</v>
      </c>
      <c r="Y22" s="8">
        <f>Gas!AC24</f>
        <v>0</v>
      </c>
      <c r="Z22" s="8">
        <f>Gas!AE24</f>
        <v>0</v>
      </c>
      <c r="AA22" s="8">
        <f>Gas!AG24</f>
        <v>0</v>
      </c>
      <c r="AB22" s="7">
        <f>ELECT.!B26</f>
        <v>66</v>
      </c>
    </row>
    <row r="23" spans="1:28">
      <c r="A23" s="11" t="s">
        <v>11</v>
      </c>
      <c r="B23" s="14">
        <f t="shared" si="0"/>
        <v>22</v>
      </c>
      <c r="C23" s="14">
        <v>2</v>
      </c>
      <c r="D23" s="14">
        <v>2023</v>
      </c>
      <c r="E23" s="7">
        <f>Water!C26</f>
        <v>220</v>
      </c>
      <c r="F23" s="7">
        <f>Water!E26</f>
        <v>170</v>
      </c>
      <c r="G23" s="7">
        <f>ELECT.!D27</f>
        <v>5104</v>
      </c>
      <c r="H23" s="7">
        <f>ELECT.!F27</f>
        <v>9155</v>
      </c>
      <c r="I23" s="7">
        <f>ELECT.!H27</f>
        <v>6232</v>
      </c>
      <c r="J23" s="7">
        <f>ELECT.!K27</f>
        <v>700</v>
      </c>
      <c r="K23" s="7">
        <f>ELECT.!M27</f>
        <v>480</v>
      </c>
      <c r="L23" s="8">
        <f>Gas!C25</f>
        <v>286</v>
      </c>
      <c r="M23" s="8">
        <f>Gas!E25</f>
        <v>973</v>
      </c>
      <c r="N23" s="8">
        <f>Gas!G25</f>
        <v>106</v>
      </c>
      <c r="O23" s="16">
        <f>Gas!I25</f>
        <v>24</v>
      </c>
      <c r="P23" s="16">
        <f>Gas!K25</f>
        <v>30</v>
      </c>
      <c r="Q23" s="8">
        <f>Gas!M25</f>
        <v>47</v>
      </c>
      <c r="R23" s="8">
        <f>Gas!O25</f>
        <v>103</v>
      </c>
      <c r="S23" s="8">
        <f>Gas!Q25</f>
        <v>29</v>
      </c>
      <c r="T23" s="8">
        <f>Gas!S25</f>
        <v>274</v>
      </c>
      <c r="U23" s="8">
        <f>Gas!U25</f>
        <v>20</v>
      </c>
      <c r="V23" s="8">
        <f>Gas!W25</f>
        <v>0</v>
      </c>
      <c r="W23" s="8">
        <f>Gas!Y25</f>
        <v>0</v>
      </c>
      <c r="X23" s="8">
        <f>Gas!AA25</f>
        <v>0</v>
      </c>
      <c r="Y23" s="8">
        <f>Gas!AC25</f>
        <v>0</v>
      </c>
      <c r="Z23" s="8">
        <f>Gas!AE25</f>
        <v>0</v>
      </c>
      <c r="AA23" s="8">
        <f>Gas!AG25</f>
        <v>0</v>
      </c>
      <c r="AB23" s="7">
        <f>ELECT.!B27</f>
        <v>91</v>
      </c>
    </row>
    <row r="24" spans="1:28">
      <c r="A24" s="11" t="s">
        <v>11</v>
      </c>
      <c r="B24" s="14">
        <f t="shared" si="0"/>
        <v>23</v>
      </c>
      <c r="C24" s="14">
        <v>2</v>
      </c>
      <c r="D24" s="14">
        <v>2023</v>
      </c>
      <c r="E24" s="7">
        <f>Water!C27</f>
        <v>240</v>
      </c>
      <c r="F24" s="7">
        <f>Water!E27</f>
        <v>90</v>
      </c>
      <c r="G24" s="7">
        <f>ELECT.!D28</f>
        <v>4157</v>
      </c>
      <c r="H24" s="7">
        <f>ELECT.!F28</f>
        <v>7433</v>
      </c>
      <c r="I24" s="7">
        <f>ELECT.!H28</f>
        <v>5136</v>
      </c>
      <c r="J24" s="7">
        <f>ELECT.!K28</f>
        <v>500</v>
      </c>
      <c r="K24" s="7">
        <f>ELECT.!M28</f>
        <v>370</v>
      </c>
      <c r="L24" s="8">
        <f>Gas!C26</f>
        <v>282</v>
      </c>
      <c r="M24" s="8">
        <f>Gas!E26</f>
        <v>1001</v>
      </c>
      <c r="N24" s="8">
        <f>Gas!G26</f>
        <v>125</v>
      </c>
      <c r="O24" s="16">
        <f>Gas!I26</f>
        <v>26</v>
      </c>
      <c r="P24" s="16">
        <f>Gas!K26</f>
        <v>28</v>
      </c>
      <c r="Q24" s="8">
        <f>Gas!M26</f>
        <v>49</v>
      </c>
      <c r="R24" s="8">
        <f>Gas!O26</f>
        <v>94</v>
      </c>
      <c r="S24" s="8">
        <f>Gas!Q26</f>
        <v>33</v>
      </c>
      <c r="T24" s="8">
        <f>Gas!S26</f>
        <v>222</v>
      </c>
      <c r="U24" s="8">
        <f>Gas!U26</f>
        <v>22</v>
      </c>
      <c r="V24" s="8">
        <f>Gas!W26</f>
        <v>0</v>
      </c>
      <c r="W24" s="8">
        <f>Gas!Y26</f>
        <v>0</v>
      </c>
      <c r="X24" s="8">
        <f>Gas!AA26</f>
        <v>0</v>
      </c>
      <c r="Y24" s="8">
        <f>Gas!AC26</f>
        <v>0</v>
      </c>
      <c r="Z24" s="8">
        <f>Gas!AE26</f>
        <v>0</v>
      </c>
      <c r="AA24" s="8">
        <f>Gas!AG26</f>
        <v>0</v>
      </c>
      <c r="AB24" s="7">
        <f>ELECT.!B28</f>
        <v>103</v>
      </c>
    </row>
    <row r="25" spans="1:28">
      <c r="A25" s="11" t="s">
        <v>11</v>
      </c>
      <c r="B25" s="14">
        <f t="shared" si="0"/>
        <v>24</v>
      </c>
      <c r="C25" s="14">
        <v>2</v>
      </c>
      <c r="D25" s="14">
        <v>2023</v>
      </c>
      <c r="E25" s="7">
        <f>Water!C28</f>
        <v>250</v>
      </c>
      <c r="F25" s="7">
        <f>Water!E28</f>
        <v>162</v>
      </c>
      <c r="G25" s="7">
        <f>ELECT.!D29</f>
        <v>4716</v>
      </c>
      <c r="H25" s="7">
        <f>ELECT.!F29</f>
        <v>7997</v>
      </c>
      <c r="I25" s="7">
        <f>ELECT.!H29</f>
        <v>5499</v>
      </c>
      <c r="J25" s="7">
        <f>ELECT.!K29</f>
        <v>700</v>
      </c>
      <c r="K25" s="7">
        <f>ELECT.!M29</f>
        <v>410</v>
      </c>
      <c r="L25" s="8">
        <f>Gas!C27</f>
        <v>299</v>
      </c>
      <c r="M25" s="8">
        <f>Gas!E27</f>
        <v>1107</v>
      </c>
      <c r="N25" s="8">
        <f>Gas!G27</f>
        <v>107</v>
      </c>
      <c r="O25" s="16">
        <f>Gas!I27</f>
        <v>22</v>
      </c>
      <c r="P25" s="16">
        <f>Gas!K27</f>
        <v>31</v>
      </c>
      <c r="Q25" s="8">
        <f>Gas!M27</f>
        <v>52</v>
      </c>
      <c r="R25" s="8">
        <f>Gas!O27</f>
        <v>32</v>
      </c>
      <c r="S25" s="8">
        <f>Gas!Q27</f>
        <v>29</v>
      </c>
      <c r="T25" s="8">
        <f>Gas!S27</f>
        <v>189</v>
      </c>
      <c r="U25" s="8">
        <f>Gas!U27</f>
        <v>25</v>
      </c>
      <c r="V25" s="8">
        <f>Gas!W27</f>
        <v>0</v>
      </c>
      <c r="W25" s="8">
        <f>Gas!Y27</f>
        <v>0</v>
      </c>
      <c r="X25" s="8">
        <f>Gas!AA27</f>
        <v>0</v>
      </c>
      <c r="Y25" s="8">
        <f>Gas!AC27</f>
        <v>0</v>
      </c>
      <c r="Z25" s="8">
        <f>Gas!AE27</f>
        <v>0</v>
      </c>
      <c r="AA25" s="8">
        <f>Gas!AG27</f>
        <v>0</v>
      </c>
      <c r="AB25" s="7">
        <f>ELECT.!B29</f>
        <v>110</v>
      </c>
    </row>
    <row r="26" spans="1:28">
      <c r="A26" s="11" t="s">
        <v>11</v>
      </c>
      <c r="B26" s="14">
        <f>B25+1</f>
        <v>25</v>
      </c>
      <c r="C26" s="14">
        <v>2</v>
      </c>
      <c r="D26" s="14">
        <v>2023</v>
      </c>
      <c r="E26" s="7">
        <f>Water!C29</f>
        <v>240</v>
      </c>
      <c r="F26" s="7">
        <f>Water!E29</f>
        <v>130</v>
      </c>
      <c r="G26" s="7">
        <f>ELECT.!D30</f>
        <v>4379</v>
      </c>
      <c r="H26" s="7">
        <f>ELECT.!F30</f>
        <v>7615</v>
      </c>
      <c r="I26" s="7">
        <f>ELECT.!H30</f>
        <v>5276</v>
      </c>
      <c r="J26" s="7">
        <f>ELECT.!K30</f>
        <v>600</v>
      </c>
      <c r="K26" s="7">
        <f>ELECT.!M30</f>
        <v>410</v>
      </c>
      <c r="L26" s="8">
        <f>Gas!C28</f>
        <v>269</v>
      </c>
      <c r="M26" s="8">
        <f>Gas!E28</f>
        <v>978</v>
      </c>
      <c r="N26" s="8">
        <f>Gas!G28</f>
        <v>128</v>
      </c>
      <c r="O26" s="16">
        <f>Gas!I28</f>
        <v>20</v>
      </c>
      <c r="P26" s="16">
        <f>Gas!K28</f>
        <v>28</v>
      </c>
      <c r="Q26" s="8">
        <f>Gas!M28</f>
        <v>47</v>
      </c>
      <c r="R26" s="8">
        <f>Gas!O28</f>
        <v>47</v>
      </c>
      <c r="S26" s="8">
        <f>Gas!Q28</f>
        <v>34</v>
      </c>
      <c r="T26" s="8">
        <f>Gas!S28</f>
        <v>209</v>
      </c>
      <c r="U26" s="8">
        <f>Gas!U28</f>
        <v>23</v>
      </c>
      <c r="V26" s="8">
        <f>Gas!W28</f>
        <v>0</v>
      </c>
      <c r="W26" s="8">
        <f>Gas!Y28</f>
        <v>0</v>
      </c>
      <c r="X26" s="8">
        <f>Gas!AA28</f>
        <v>0</v>
      </c>
      <c r="Y26" s="8">
        <f>Gas!AC28</f>
        <v>0</v>
      </c>
      <c r="Z26" s="8">
        <f>Gas!AE28</f>
        <v>0</v>
      </c>
      <c r="AA26" s="8">
        <f>Gas!AG28</f>
        <v>0</v>
      </c>
      <c r="AB26" s="7">
        <f>ELECT.!B30</f>
        <v>84</v>
      </c>
    </row>
    <row r="27" spans="1:28">
      <c r="A27" s="11" t="s">
        <v>11</v>
      </c>
      <c r="B27" s="14">
        <f t="shared" si="0"/>
        <v>26</v>
      </c>
      <c r="C27" s="14">
        <v>2</v>
      </c>
      <c r="D27" s="14">
        <v>2023</v>
      </c>
      <c r="E27" s="7">
        <f>Water!C30</f>
        <v>260</v>
      </c>
      <c r="F27" s="7">
        <f>Water!E30</f>
        <v>54</v>
      </c>
      <c r="G27" s="7">
        <f>ELECT.!D31</f>
        <v>4381</v>
      </c>
      <c r="H27" s="7">
        <f>ELECT.!F31</f>
        <v>7840</v>
      </c>
      <c r="I27" s="7">
        <f>ELECT.!H31</f>
        <v>5437</v>
      </c>
      <c r="J27" s="7">
        <f>ELECT.!K31</f>
        <v>600</v>
      </c>
      <c r="K27" s="7">
        <f>ELECT.!M31</f>
        <v>430</v>
      </c>
      <c r="L27" s="8">
        <f>Gas!C29</f>
        <v>293</v>
      </c>
      <c r="M27" s="8">
        <f>Gas!E29</f>
        <v>957</v>
      </c>
      <c r="N27" s="8">
        <f>Gas!G29</f>
        <v>140</v>
      </c>
      <c r="O27" s="16">
        <f>Gas!I29</f>
        <v>20</v>
      </c>
      <c r="P27" s="16">
        <f>Gas!K29</f>
        <v>0</v>
      </c>
      <c r="Q27" s="8">
        <f>Gas!M29</f>
        <v>55</v>
      </c>
      <c r="R27" s="8">
        <f>Gas!O29</f>
        <v>30</v>
      </c>
      <c r="S27" s="8">
        <f>Gas!Q29</f>
        <v>33</v>
      </c>
      <c r="T27" s="8">
        <f>Gas!S29</f>
        <v>108</v>
      </c>
      <c r="U27" s="8">
        <f>Gas!U29</f>
        <v>28</v>
      </c>
      <c r="V27" s="8">
        <f>Gas!W29</f>
        <v>0</v>
      </c>
      <c r="W27" s="8">
        <f>Gas!Y29</f>
        <v>0</v>
      </c>
      <c r="X27" s="8">
        <f>Gas!AA29</f>
        <v>0</v>
      </c>
      <c r="Y27" s="8">
        <f>Gas!AC29</f>
        <v>0</v>
      </c>
      <c r="Z27" s="8">
        <f>Gas!AE29</f>
        <v>0</v>
      </c>
      <c r="AA27" s="8">
        <f>Gas!AG29</f>
        <v>0</v>
      </c>
      <c r="AB27" s="7">
        <f>ELECT.!B31</f>
        <v>99</v>
      </c>
    </row>
    <row r="28" spans="1:28">
      <c r="A28" s="11" t="s">
        <v>11</v>
      </c>
      <c r="B28" s="14">
        <f t="shared" si="0"/>
        <v>27</v>
      </c>
      <c r="C28" s="14">
        <v>2</v>
      </c>
      <c r="D28" s="14">
        <v>2023</v>
      </c>
      <c r="E28" s="7">
        <f>Water!C31</f>
        <v>250</v>
      </c>
      <c r="F28" s="7">
        <f>Water!E31</f>
        <v>125</v>
      </c>
      <c r="G28" s="7">
        <f>ELECT.!D32</f>
        <v>4247</v>
      </c>
      <c r="H28" s="7">
        <f>ELECT.!F32</f>
        <v>7515</v>
      </c>
      <c r="I28" s="7">
        <f>ELECT.!H32</f>
        <v>5586</v>
      </c>
      <c r="J28" s="7">
        <f>ELECT.!K32</f>
        <v>700</v>
      </c>
      <c r="K28" s="7">
        <f>ELECT.!M32</f>
        <v>450</v>
      </c>
      <c r="L28" s="8">
        <f>Gas!C30</f>
        <v>275</v>
      </c>
      <c r="M28" s="8">
        <f>Gas!E30</f>
        <v>877</v>
      </c>
      <c r="N28" s="8">
        <f>Gas!G30</f>
        <v>129</v>
      </c>
      <c r="O28" s="16">
        <f>Gas!I30</f>
        <v>24</v>
      </c>
      <c r="P28" s="16">
        <f>Gas!K30</f>
        <v>0</v>
      </c>
      <c r="Q28" s="8">
        <f>Gas!M30</f>
        <v>51</v>
      </c>
      <c r="R28" s="8">
        <f>Gas!O30</f>
        <v>45</v>
      </c>
      <c r="S28" s="8">
        <f>Gas!Q30</f>
        <v>32</v>
      </c>
      <c r="T28" s="8">
        <f>Gas!S30</f>
        <v>306</v>
      </c>
      <c r="U28" s="8">
        <f>Gas!U30</f>
        <v>34</v>
      </c>
      <c r="V28" s="8">
        <f>Gas!W30</f>
        <v>0</v>
      </c>
      <c r="W28" s="8">
        <f>Gas!Y30</f>
        <v>0</v>
      </c>
      <c r="X28" s="8">
        <f>Gas!AA30</f>
        <v>0</v>
      </c>
      <c r="Y28" s="8">
        <f>Gas!AC30</f>
        <v>0</v>
      </c>
      <c r="Z28" s="8">
        <f>Gas!AE30</f>
        <v>0</v>
      </c>
      <c r="AA28" s="8">
        <f>Gas!AG30</f>
        <v>0</v>
      </c>
      <c r="AB28" s="7">
        <f>ELECT.!B32</f>
        <v>70</v>
      </c>
    </row>
    <row r="29" spans="1:28">
      <c r="A29" s="11" t="s">
        <v>11</v>
      </c>
      <c r="B29" s="14">
        <f t="shared" si="0"/>
        <v>28</v>
      </c>
      <c r="C29" s="14">
        <v>2</v>
      </c>
      <c r="D29" s="14">
        <v>2023</v>
      </c>
      <c r="E29" s="7">
        <f>Water!C32</f>
        <v>240</v>
      </c>
      <c r="F29" s="7">
        <f>Water!E32</f>
        <v>174</v>
      </c>
      <c r="G29" s="7">
        <f>ELECT.!D33</f>
        <v>4424</v>
      </c>
      <c r="H29" s="7">
        <f>ELECT.!F33</f>
        <v>7911</v>
      </c>
      <c r="I29" s="7">
        <f>ELECT.!H33</f>
        <v>5437</v>
      </c>
      <c r="J29" s="7">
        <f>ELECT.!K33</f>
        <v>600</v>
      </c>
      <c r="K29" s="7">
        <f>ELECT.!M33</f>
        <v>410</v>
      </c>
      <c r="L29" s="8">
        <f>Gas!C31</f>
        <v>284</v>
      </c>
      <c r="M29" s="8">
        <f>Gas!E31</f>
        <v>991</v>
      </c>
      <c r="N29" s="8">
        <f>Gas!G31</f>
        <v>138</v>
      </c>
      <c r="O29" s="16">
        <f>Gas!I31</f>
        <v>35</v>
      </c>
      <c r="P29" s="16">
        <f>Gas!K31</f>
        <v>26</v>
      </c>
      <c r="Q29" s="8">
        <f>Gas!M31</f>
        <v>54</v>
      </c>
      <c r="R29" s="8">
        <f>Gas!O31</f>
        <v>65</v>
      </c>
      <c r="S29" s="8">
        <f>Gas!Q31</f>
        <v>34</v>
      </c>
      <c r="T29" s="8">
        <f>Gas!S31</f>
        <v>178</v>
      </c>
      <c r="U29" s="8">
        <f>Gas!U31</f>
        <v>22</v>
      </c>
      <c r="V29" s="8">
        <f>Gas!W31</f>
        <v>0</v>
      </c>
      <c r="W29" s="8">
        <f>Gas!Y31</f>
        <v>0</v>
      </c>
      <c r="X29" s="8">
        <f>Gas!AA31</f>
        <v>0</v>
      </c>
      <c r="Y29" s="8">
        <f>Gas!AC31</f>
        <v>0</v>
      </c>
      <c r="Z29" s="8">
        <f>Gas!AE31</f>
        <v>0</v>
      </c>
      <c r="AA29" s="8">
        <f>Gas!AG31</f>
        <v>0</v>
      </c>
      <c r="AB29" s="7">
        <f>ELECT.!B33</f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3"/>
  <sheetViews>
    <sheetView topLeftCell="A24" zoomScale="70" zoomScaleNormal="70" workbookViewId="0">
      <selection activeCell="E8" sqref="E8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05" t="s">
        <v>36</v>
      </c>
      <c r="B1" s="106"/>
      <c r="C1" s="106"/>
      <c r="D1" s="106"/>
      <c r="E1" s="107"/>
    </row>
    <row r="2" spans="1:5" ht="18.75">
      <c r="A2" s="27" t="s">
        <v>1</v>
      </c>
      <c r="B2" s="108"/>
      <c r="C2" s="109"/>
      <c r="D2" s="109"/>
      <c r="E2" s="110"/>
    </row>
    <row r="3" spans="1:5" ht="18.75">
      <c r="A3" s="28"/>
      <c r="B3" s="29" t="s">
        <v>37</v>
      </c>
      <c r="C3" s="103" t="s">
        <v>38</v>
      </c>
      <c r="D3" s="80" t="s">
        <v>39</v>
      </c>
      <c r="E3" s="30" t="s">
        <v>38</v>
      </c>
    </row>
    <row r="4" spans="1:5" ht="26.25">
      <c r="A4" s="46" t="s">
        <v>40</v>
      </c>
      <c r="B4" s="118">
        <v>73899</v>
      </c>
      <c r="C4" s="101">
        <v>0</v>
      </c>
      <c r="D4" s="121">
        <v>737923</v>
      </c>
      <c r="E4" s="76">
        <v>0</v>
      </c>
    </row>
    <row r="5" spans="1:5" ht="26.25">
      <c r="A5" s="46">
        <v>44958</v>
      </c>
      <c r="B5" s="118">
        <v>73924</v>
      </c>
      <c r="C5" s="102">
        <f>(IF((B5-B4)&lt;0,"0",(B5-B4)))*10</f>
        <v>250</v>
      </c>
      <c r="D5" s="121">
        <v>737929</v>
      </c>
      <c r="E5" s="76">
        <f>SUM(D5-D4)</f>
        <v>6</v>
      </c>
    </row>
    <row r="6" spans="1:5" ht="26.25">
      <c r="A6" s="46">
        <v>44959</v>
      </c>
      <c r="B6" s="119">
        <v>73948</v>
      </c>
      <c r="C6" s="102">
        <f t="shared" ref="C6:C32" si="0">(IF((B6-B5)&lt;0,"0",(B6-B5)))*10</f>
        <v>240</v>
      </c>
      <c r="D6" s="122">
        <v>737937</v>
      </c>
      <c r="E6" s="76">
        <f t="shared" ref="E6:E8" si="1">SUM(D6-D5)</f>
        <v>8</v>
      </c>
    </row>
    <row r="7" spans="1:5" ht="26.25">
      <c r="A7" s="46">
        <v>44960</v>
      </c>
      <c r="B7" s="119">
        <v>73972</v>
      </c>
      <c r="C7" s="102">
        <f t="shared" si="0"/>
        <v>240</v>
      </c>
      <c r="D7" s="122">
        <v>737942</v>
      </c>
      <c r="E7" s="76">
        <f t="shared" si="1"/>
        <v>5</v>
      </c>
    </row>
    <row r="8" spans="1:5" ht="26.25">
      <c r="A8" s="46">
        <v>44961</v>
      </c>
      <c r="B8" s="119">
        <v>73995</v>
      </c>
      <c r="C8" s="102">
        <f t="shared" si="0"/>
        <v>230</v>
      </c>
      <c r="D8" s="122">
        <v>737950</v>
      </c>
      <c r="E8" s="76">
        <f t="shared" si="1"/>
        <v>8</v>
      </c>
    </row>
    <row r="9" spans="1:5" ht="26.25">
      <c r="A9" s="46">
        <v>44962</v>
      </c>
      <c r="B9" s="119">
        <v>74022</v>
      </c>
      <c r="C9" s="102">
        <f t="shared" si="0"/>
        <v>270</v>
      </c>
      <c r="D9" s="122">
        <v>737995</v>
      </c>
      <c r="E9" s="76">
        <f t="shared" ref="E7:E32" si="2">(IF((D9-D8)&lt;0,"0",(D9-D8)))</f>
        <v>45</v>
      </c>
    </row>
    <row r="10" spans="1:5" ht="26.25">
      <c r="A10" s="46">
        <v>44963</v>
      </c>
      <c r="B10" s="120">
        <v>74046</v>
      </c>
      <c r="C10" s="102">
        <f t="shared" si="0"/>
        <v>240</v>
      </c>
      <c r="D10" s="123">
        <v>738021</v>
      </c>
      <c r="E10" s="76">
        <f t="shared" si="2"/>
        <v>26</v>
      </c>
    </row>
    <row r="11" spans="1:5" ht="26.25">
      <c r="A11" s="46">
        <v>44964</v>
      </c>
      <c r="B11" s="120">
        <v>74068</v>
      </c>
      <c r="C11" s="102">
        <f t="shared" si="0"/>
        <v>220</v>
      </c>
      <c r="D11" s="124">
        <v>738048</v>
      </c>
      <c r="E11" s="76">
        <f t="shared" si="2"/>
        <v>27</v>
      </c>
    </row>
    <row r="12" spans="1:5" ht="26.25">
      <c r="A12" s="46">
        <v>44965</v>
      </c>
      <c r="B12" s="120">
        <v>74091</v>
      </c>
      <c r="C12" s="102">
        <f t="shared" si="0"/>
        <v>230</v>
      </c>
      <c r="D12" s="125">
        <v>738063</v>
      </c>
      <c r="E12" s="76">
        <f t="shared" si="2"/>
        <v>15</v>
      </c>
    </row>
    <row r="13" spans="1:5" ht="26.25">
      <c r="A13" s="46">
        <v>44966</v>
      </c>
      <c r="B13" s="120">
        <v>74115</v>
      </c>
      <c r="C13" s="102">
        <f t="shared" si="0"/>
        <v>240</v>
      </c>
      <c r="D13" s="125">
        <v>738114</v>
      </c>
      <c r="E13" s="76">
        <f t="shared" si="2"/>
        <v>51</v>
      </c>
    </row>
    <row r="14" spans="1:5" ht="26.25">
      <c r="A14" s="46">
        <v>44967</v>
      </c>
      <c r="B14" s="120">
        <v>74138</v>
      </c>
      <c r="C14" s="102">
        <f t="shared" si="0"/>
        <v>230</v>
      </c>
      <c r="D14" s="125">
        <v>738159</v>
      </c>
      <c r="E14" s="76">
        <f t="shared" si="2"/>
        <v>45</v>
      </c>
    </row>
    <row r="15" spans="1:5" ht="26.25">
      <c r="A15" s="46">
        <v>44968</v>
      </c>
      <c r="B15" s="120">
        <v>74161</v>
      </c>
      <c r="C15" s="102">
        <f t="shared" si="0"/>
        <v>230</v>
      </c>
      <c r="D15" s="125">
        <v>738169</v>
      </c>
      <c r="E15" s="76">
        <f t="shared" si="2"/>
        <v>10</v>
      </c>
    </row>
    <row r="16" spans="1:5" ht="26.25">
      <c r="A16" s="46">
        <v>44969</v>
      </c>
      <c r="B16" s="120">
        <v>74188</v>
      </c>
      <c r="C16" s="102">
        <f t="shared" si="0"/>
        <v>270</v>
      </c>
      <c r="D16" s="125">
        <v>738211</v>
      </c>
      <c r="E16" s="77">
        <f t="shared" si="2"/>
        <v>42</v>
      </c>
    </row>
    <row r="17" spans="1:11" ht="26.25">
      <c r="A17" s="46">
        <v>44970</v>
      </c>
      <c r="B17" s="120">
        <v>74213</v>
      </c>
      <c r="C17" s="102">
        <f t="shared" si="0"/>
        <v>250</v>
      </c>
      <c r="D17" s="125">
        <v>738222</v>
      </c>
      <c r="E17" s="79">
        <f t="shared" si="2"/>
        <v>11</v>
      </c>
    </row>
    <row r="18" spans="1:11" ht="26.25">
      <c r="A18" s="46">
        <v>44971</v>
      </c>
      <c r="B18" s="120">
        <v>74249</v>
      </c>
      <c r="C18" s="102">
        <f t="shared" si="0"/>
        <v>360</v>
      </c>
      <c r="D18" s="125">
        <v>738240</v>
      </c>
      <c r="E18" s="76">
        <f t="shared" si="2"/>
        <v>18</v>
      </c>
    </row>
    <row r="19" spans="1:11" ht="26.25">
      <c r="A19" s="46">
        <v>44972</v>
      </c>
      <c r="B19" s="120">
        <v>74279</v>
      </c>
      <c r="C19" s="102">
        <f t="shared" si="0"/>
        <v>300</v>
      </c>
      <c r="D19" s="125">
        <v>738262</v>
      </c>
      <c r="E19" s="76">
        <f t="shared" si="2"/>
        <v>22</v>
      </c>
    </row>
    <row r="20" spans="1:11" ht="26.25">
      <c r="A20" s="46">
        <v>44973</v>
      </c>
      <c r="B20" s="120">
        <v>74304</v>
      </c>
      <c r="C20" s="102">
        <f t="shared" si="0"/>
        <v>250</v>
      </c>
      <c r="D20" s="125">
        <v>738272</v>
      </c>
      <c r="E20" s="76">
        <f t="shared" si="2"/>
        <v>10</v>
      </c>
    </row>
    <row r="21" spans="1:11" ht="26.25">
      <c r="A21" s="46">
        <v>44974</v>
      </c>
      <c r="B21" s="120">
        <v>74327</v>
      </c>
      <c r="C21" s="102">
        <f t="shared" si="0"/>
        <v>230</v>
      </c>
      <c r="D21" s="125">
        <v>738293</v>
      </c>
      <c r="E21" s="76">
        <f t="shared" si="2"/>
        <v>21</v>
      </c>
    </row>
    <row r="22" spans="1:11" ht="26.25">
      <c r="A22" s="46">
        <v>44975</v>
      </c>
      <c r="B22" s="120">
        <v>74350</v>
      </c>
      <c r="C22" s="102">
        <f t="shared" si="0"/>
        <v>230</v>
      </c>
      <c r="D22" s="125">
        <v>738393</v>
      </c>
      <c r="E22" s="76">
        <f t="shared" si="2"/>
        <v>100</v>
      </c>
    </row>
    <row r="23" spans="1:11" ht="26.25">
      <c r="A23" s="46">
        <v>44976</v>
      </c>
      <c r="B23" s="120">
        <v>74376</v>
      </c>
      <c r="C23" s="102">
        <f t="shared" si="0"/>
        <v>260</v>
      </c>
      <c r="D23" s="125">
        <v>738419</v>
      </c>
      <c r="E23" s="76">
        <f t="shared" si="2"/>
        <v>26</v>
      </c>
    </row>
    <row r="24" spans="1:11" ht="26.25">
      <c r="A24" s="46">
        <v>44977</v>
      </c>
      <c r="B24" s="120">
        <v>74397</v>
      </c>
      <c r="C24" s="102">
        <f t="shared" si="0"/>
        <v>210</v>
      </c>
      <c r="D24" s="125">
        <v>738567</v>
      </c>
      <c r="E24" s="76">
        <f t="shared" si="2"/>
        <v>148</v>
      </c>
    </row>
    <row r="25" spans="1:11" ht="26.25">
      <c r="A25" s="46">
        <v>44978</v>
      </c>
      <c r="B25" s="120">
        <v>74421</v>
      </c>
      <c r="C25" s="102">
        <f t="shared" si="0"/>
        <v>240</v>
      </c>
      <c r="D25" s="125">
        <v>738679</v>
      </c>
      <c r="E25" s="76">
        <f t="shared" si="2"/>
        <v>112</v>
      </c>
    </row>
    <row r="26" spans="1:11" ht="26.25">
      <c r="A26" s="46">
        <v>44979</v>
      </c>
      <c r="B26" s="120">
        <v>74443</v>
      </c>
      <c r="C26" s="102">
        <f t="shared" si="0"/>
        <v>220</v>
      </c>
      <c r="D26" s="125">
        <v>738849</v>
      </c>
      <c r="E26" s="76">
        <f t="shared" si="2"/>
        <v>170</v>
      </c>
    </row>
    <row r="27" spans="1:11" ht="27.75">
      <c r="A27" s="46">
        <v>44980</v>
      </c>
      <c r="B27" s="120">
        <v>74467</v>
      </c>
      <c r="C27" s="102">
        <f t="shared" si="0"/>
        <v>240</v>
      </c>
      <c r="D27" s="126">
        <v>738939</v>
      </c>
      <c r="E27" s="76">
        <f t="shared" si="2"/>
        <v>90</v>
      </c>
      <c r="K27" s="23"/>
    </row>
    <row r="28" spans="1:11" ht="26.25">
      <c r="A28" s="46">
        <v>44981</v>
      </c>
      <c r="B28" s="120">
        <v>74492</v>
      </c>
      <c r="C28" s="102">
        <f t="shared" si="0"/>
        <v>250</v>
      </c>
      <c r="D28" s="125">
        <v>739101</v>
      </c>
      <c r="E28" s="76">
        <f t="shared" si="2"/>
        <v>162</v>
      </c>
    </row>
    <row r="29" spans="1:11" ht="26.25">
      <c r="A29" s="46">
        <v>44982</v>
      </c>
      <c r="B29" s="120">
        <v>74516</v>
      </c>
      <c r="C29" s="102">
        <f t="shared" si="0"/>
        <v>240</v>
      </c>
      <c r="D29" s="125">
        <v>739231</v>
      </c>
      <c r="E29" s="76">
        <f t="shared" si="2"/>
        <v>130</v>
      </c>
    </row>
    <row r="30" spans="1:11" ht="26.25">
      <c r="A30" s="46">
        <v>44983</v>
      </c>
      <c r="B30" s="120">
        <v>74542</v>
      </c>
      <c r="C30" s="102">
        <f t="shared" si="0"/>
        <v>260</v>
      </c>
      <c r="D30" s="125">
        <v>739285</v>
      </c>
      <c r="E30" s="76">
        <f t="shared" si="2"/>
        <v>54</v>
      </c>
    </row>
    <row r="31" spans="1:11" ht="26.25">
      <c r="A31" s="46">
        <v>44984</v>
      </c>
      <c r="B31" s="120">
        <v>74567</v>
      </c>
      <c r="C31" s="102">
        <f t="shared" si="0"/>
        <v>250</v>
      </c>
      <c r="D31" s="125">
        <v>739410</v>
      </c>
      <c r="E31" s="76">
        <f t="shared" si="2"/>
        <v>125</v>
      </c>
    </row>
    <row r="32" spans="1:11" ht="26.25">
      <c r="A32" s="46">
        <v>44985</v>
      </c>
      <c r="B32" s="120">
        <v>74591</v>
      </c>
      <c r="C32" s="102">
        <f t="shared" si="0"/>
        <v>240</v>
      </c>
      <c r="D32" s="125">
        <v>739584</v>
      </c>
      <c r="E32" s="76">
        <f t="shared" si="2"/>
        <v>174</v>
      </c>
    </row>
    <row r="33" spans="1:5" ht="27">
      <c r="A33" s="73" t="s">
        <v>41</v>
      </c>
      <c r="B33" s="74"/>
      <c r="C33" s="104">
        <f>SUM(C5:C32)</f>
        <v>6920</v>
      </c>
      <c r="D33" s="75"/>
      <c r="E33" s="78">
        <f>SUM(E5:E32)</f>
        <v>1661</v>
      </c>
    </row>
  </sheetData>
  <mergeCells count="2">
    <mergeCell ref="A1:E1"/>
    <mergeCell ref="B2:E2"/>
  </mergeCells>
  <phoneticPr fontId="0" type="noConversion"/>
  <conditionalFormatting sqref="B33 C4:C32 E4:E32">
    <cfRule type="cellIs" dxfId="29" priority="113" stopIfTrue="1" operator="lessThan">
      <formula>0</formula>
    </cfRule>
  </conditionalFormatting>
  <conditionalFormatting sqref="D33">
    <cfRule type="cellIs" dxfId="28" priority="111" stopIfTrue="1" operator="lessThan">
      <formula>0</formula>
    </cfRule>
  </conditionalFormatting>
  <conditionalFormatting sqref="B4:B32">
    <cfRule type="cellIs" dxfId="27" priority="3" stopIfTrue="1" operator="lessThan">
      <formula>0</formula>
    </cfRule>
  </conditionalFormatting>
  <conditionalFormatting sqref="D4:D10">
    <cfRule type="cellIs" dxfId="26" priority="1" stopIfTrue="1" operator="lessThan">
      <formula>0</formula>
    </cfRule>
  </conditionalFormatting>
  <conditionalFormatting sqref="D12:D32">
    <cfRule type="cellIs" dxfId="25" priority="2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51"/>
  <sheetViews>
    <sheetView tabSelected="1" topLeftCell="E27" zoomScale="60" zoomScaleNormal="60" workbookViewId="0">
      <selection activeCell="M6" sqref="M6:M33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21.5703125" style="3" customWidth="1"/>
    <col min="14" max="16384" width="41.85546875" style="3"/>
  </cols>
  <sheetData>
    <row r="1" spans="1:13" ht="16.5" thickBot="1">
      <c r="A1" s="111" t="s">
        <v>42</v>
      </c>
      <c r="B1" s="112"/>
      <c r="C1" s="112"/>
      <c r="D1" s="112"/>
      <c r="E1" s="112"/>
      <c r="F1" s="112"/>
      <c r="G1" s="112"/>
      <c r="H1" s="112"/>
      <c r="I1" s="113"/>
    </row>
    <row r="2" spans="1:13" ht="15.75" customHeight="1" thickTop="1" thickBot="1">
      <c r="A2" s="114" t="s">
        <v>43</v>
      </c>
      <c r="B2" s="115"/>
      <c r="C2" s="115"/>
      <c r="D2" s="115"/>
      <c r="E2" s="115"/>
      <c r="F2" s="115"/>
      <c r="G2" s="115"/>
      <c r="H2" s="115"/>
      <c r="I2" s="116"/>
      <c r="J2" s="88"/>
      <c r="K2" s="89"/>
      <c r="L2" s="88"/>
      <c r="M2" s="89"/>
    </row>
    <row r="3" spans="1:13" ht="16.5" thickBot="1">
      <c r="A3" s="44" t="s">
        <v>1</v>
      </c>
      <c r="B3" s="45" t="s">
        <v>44</v>
      </c>
      <c r="C3" s="95" t="s">
        <v>45</v>
      </c>
      <c r="D3" s="38" t="s">
        <v>38</v>
      </c>
      <c r="E3" s="38" t="s">
        <v>46</v>
      </c>
      <c r="F3" s="96" t="s">
        <v>38</v>
      </c>
      <c r="G3" s="38" t="s">
        <v>47</v>
      </c>
      <c r="H3" s="31" t="s">
        <v>38</v>
      </c>
      <c r="I3" s="83" t="s">
        <v>41</v>
      </c>
      <c r="J3" s="90" t="s">
        <v>48</v>
      </c>
      <c r="K3" s="38"/>
      <c r="L3" s="90" t="s">
        <v>49</v>
      </c>
      <c r="M3" s="38"/>
    </row>
    <row r="4" spans="1:13" ht="16.5" thickBot="1">
      <c r="A4" s="43"/>
      <c r="B4" s="36"/>
      <c r="C4" s="40" t="s">
        <v>50</v>
      </c>
      <c r="D4" s="39" t="s">
        <v>38</v>
      </c>
      <c r="E4" s="39" t="s">
        <v>50</v>
      </c>
      <c r="F4" s="40" t="s">
        <v>38</v>
      </c>
      <c r="G4" s="39" t="s">
        <v>50</v>
      </c>
      <c r="H4" s="37" t="s">
        <v>38</v>
      </c>
      <c r="I4" s="84" t="s">
        <v>50</v>
      </c>
      <c r="J4" s="91" t="s">
        <v>51</v>
      </c>
      <c r="K4" s="39" t="s">
        <v>52</v>
      </c>
      <c r="L4" s="91" t="s">
        <v>51</v>
      </c>
      <c r="M4" s="39" t="s">
        <v>52</v>
      </c>
    </row>
    <row r="5" spans="1:13" ht="26.25">
      <c r="A5" s="35" t="s">
        <v>40</v>
      </c>
      <c r="B5" s="33">
        <v>70</v>
      </c>
      <c r="C5" s="127">
        <v>51288184</v>
      </c>
      <c r="D5" s="41">
        <v>0</v>
      </c>
      <c r="E5" s="127">
        <v>52256521</v>
      </c>
      <c r="F5" s="69">
        <v>0</v>
      </c>
      <c r="G5" s="127">
        <v>39279561</v>
      </c>
      <c r="H5" s="69">
        <v>0</v>
      </c>
      <c r="I5" s="85"/>
      <c r="J5" s="128">
        <v>311970</v>
      </c>
      <c r="K5" s="92"/>
      <c r="L5" s="128">
        <v>92029</v>
      </c>
      <c r="M5" s="92"/>
    </row>
    <row r="6" spans="1:13" ht="26.25">
      <c r="A6" s="32">
        <v>44958</v>
      </c>
      <c r="B6" s="34">
        <v>96</v>
      </c>
      <c r="C6" s="127">
        <v>51292347</v>
      </c>
      <c r="D6" s="42">
        <f>IF((C6-C5)&lt;0,"0",(C6-C5))</f>
        <v>4163</v>
      </c>
      <c r="E6" s="127">
        <v>52265255</v>
      </c>
      <c r="F6" s="42">
        <f>IF((E6-E5)&lt;0,"0",(E6-E5))</f>
        <v>8734</v>
      </c>
      <c r="G6" s="127">
        <v>39284996</v>
      </c>
      <c r="H6" s="42">
        <f>IF((G6-G5)&lt;0,"0",(G6-G5))</f>
        <v>5435</v>
      </c>
      <c r="I6" s="86">
        <f>D6+F6+H6</f>
        <v>18332</v>
      </c>
      <c r="J6" s="128">
        <v>312030</v>
      </c>
      <c r="K6" s="92">
        <f>IF(J6-J5&lt;0,0,J6-J5)*10</f>
        <v>600</v>
      </c>
      <c r="L6" s="128">
        <v>92073</v>
      </c>
      <c r="M6" s="92">
        <f>IF(L6-L5&lt;0,0,L6-L5)*10</f>
        <v>440</v>
      </c>
    </row>
    <row r="7" spans="1:13" ht="26.25">
      <c r="A7" s="32">
        <v>44959</v>
      </c>
      <c r="B7" s="34">
        <v>107</v>
      </c>
      <c r="C7" s="127">
        <v>51296720</v>
      </c>
      <c r="D7" s="42">
        <f t="shared" ref="D7:D32" si="0">IF((C7-C6)&lt;0,"0",(C7-C6))</f>
        <v>4373</v>
      </c>
      <c r="E7" s="127">
        <v>52274574</v>
      </c>
      <c r="F7" s="42">
        <f t="shared" ref="F7:F33" si="1">IF((E7-E6)&lt;0,"0",(E7-E6))</f>
        <v>9319</v>
      </c>
      <c r="G7" s="127">
        <v>39290889</v>
      </c>
      <c r="H7" s="42">
        <f t="shared" ref="H7:H33" si="2">IF((G7-G6)&lt;0,"0",(G7-G6))</f>
        <v>5893</v>
      </c>
      <c r="I7" s="86">
        <f t="shared" ref="I7:I34" si="3">D7+F7+H7</f>
        <v>19585</v>
      </c>
      <c r="J7" s="128">
        <v>312110</v>
      </c>
      <c r="K7" s="92">
        <f t="shared" ref="K7:K33" si="4">IF(J7-J6&lt;0,0,J7-J6)*10</f>
        <v>800</v>
      </c>
      <c r="L7" s="128">
        <v>92139</v>
      </c>
      <c r="M7" s="92">
        <f t="shared" ref="M7:M33" si="5">IF(L7-L6&lt;0,0,L7-L6)*10</f>
        <v>660</v>
      </c>
    </row>
    <row r="8" spans="1:13" ht="26.25">
      <c r="A8" s="32">
        <v>44960</v>
      </c>
      <c r="B8" s="34">
        <v>92</v>
      </c>
      <c r="C8" s="127">
        <v>51300419</v>
      </c>
      <c r="D8" s="42">
        <f t="shared" si="0"/>
        <v>3699</v>
      </c>
      <c r="E8" s="127">
        <v>52282397</v>
      </c>
      <c r="F8" s="42">
        <f t="shared" si="1"/>
        <v>7823</v>
      </c>
      <c r="G8" s="127">
        <v>39295774</v>
      </c>
      <c r="H8" s="42">
        <f t="shared" si="2"/>
        <v>4885</v>
      </c>
      <c r="I8" s="86">
        <f t="shared" si="3"/>
        <v>16407</v>
      </c>
      <c r="J8" s="128">
        <v>312160</v>
      </c>
      <c r="K8" s="92">
        <f t="shared" si="4"/>
        <v>500</v>
      </c>
      <c r="L8" s="128">
        <v>92178</v>
      </c>
      <c r="M8" s="92">
        <f t="shared" si="5"/>
        <v>390</v>
      </c>
    </row>
    <row r="9" spans="1:13" ht="26.25">
      <c r="A9" s="32">
        <v>44961</v>
      </c>
      <c r="B9" s="34">
        <v>84</v>
      </c>
      <c r="C9" s="127">
        <v>51304434</v>
      </c>
      <c r="D9" s="42">
        <f t="shared" si="0"/>
        <v>4015</v>
      </c>
      <c r="E9" s="127">
        <v>52290792</v>
      </c>
      <c r="F9" s="42">
        <f t="shared" si="1"/>
        <v>8395</v>
      </c>
      <c r="G9" s="127">
        <v>39301184</v>
      </c>
      <c r="H9" s="42">
        <f t="shared" si="2"/>
        <v>5410</v>
      </c>
      <c r="I9" s="86">
        <f t="shared" si="3"/>
        <v>17820</v>
      </c>
      <c r="J9" s="128">
        <v>312220</v>
      </c>
      <c r="K9" s="92">
        <f t="shared" si="4"/>
        <v>600</v>
      </c>
      <c r="L9" s="128">
        <v>92231</v>
      </c>
      <c r="M9" s="92">
        <f t="shared" si="5"/>
        <v>530</v>
      </c>
    </row>
    <row r="10" spans="1:13" ht="26.25">
      <c r="A10" s="32">
        <v>44962</v>
      </c>
      <c r="B10" s="34">
        <v>84</v>
      </c>
      <c r="C10" s="127">
        <v>51308447</v>
      </c>
      <c r="D10" s="42">
        <f t="shared" si="0"/>
        <v>4013</v>
      </c>
      <c r="E10" s="127">
        <v>52299408</v>
      </c>
      <c r="F10" s="42">
        <f t="shared" si="1"/>
        <v>8616</v>
      </c>
      <c r="G10" s="127">
        <v>39306653</v>
      </c>
      <c r="H10" s="42">
        <f t="shared" si="2"/>
        <v>5469</v>
      </c>
      <c r="I10" s="86">
        <f t="shared" si="3"/>
        <v>18098</v>
      </c>
      <c r="J10" s="128">
        <v>312280</v>
      </c>
      <c r="K10" s="92">
        <f t="shared" si="4"/>
        <v>600</v>
      </c>
      <c r="L10" s="128">
        <v>92286</v>
      </c>
      <c r="M10" s="92">
        <f t="shared" si="5"/>
        <v>550</v>
      </c>
    </row>
    <row r="11" spans="1:13" ht="26.25">
      <c r="A11" s="32">
        <v>44963</v>
      </c>
      <c r="B11" s="34">
        <v>98</v>
      </c>
      <c r="C11" s="127">
        <v>51312437</v>
      </c>
      <c r="D11" s="42">
        <f t="shared" si="0"/>
        <v>3990</v>
      </c>
      <c r="E11" s="127">
        <v>52308223</v>
      </c>
      <c r="F11" s="42">
        <f t="shared" si="1"/>
        <v>8815</v>
      </c>
      <c r="G11" s="127">
        <v>39312151</v>
      </c>
      <c r="H11" s="42">
        <f t="shared" si="2"/>
        <v>5498</v>
      </c>
      <c r="I11" s="86">
        <f t="shared" si="3"/>
        <v>18303</v>
      </c>
      <c r="J11" s="128">
        <v>312350</v>
      </c>
      <c r="K11" s="92">
        <f t="shared" si="4"/>
        <v>700</v>
      </c>
      <c r="L11" s="128">
        <v>92359</v>
      </c>
      <c r="M11" s="92">
        <f t="shared" si="5"/>
        <v>730</v>
      </c>
    </row>
    <row r="12" spans="1:13" ht="26.25">
      <c r="A12" s="32">
        <v>44964</v>
      </c>
      <c r="B12" s="34">
        <v>121</v>
      </c>
      <c r="C12" s="127">
        <v>51316618</v>
      </c>
      <c r="D12" s="42">
        <f t="shared" si="0"/>
        <v>4181</v>
      </c>
      <c r="E12" s="127">
        <v>52316917</v>
      </c>
      <c r="F12" s="42">
        <f t="shared" si="1"/>
        <v>8694</v>
      </c>
      <c r="G12" s="127">
        <v>39317617</v>
      </c>
      <c r="H12" s="42">
        <f t="shared" si="2"/>
        <v>5466</v>
      </c>
      <c r="I12" s="86">
        <f t="shared" si="3"/>
        <v>18341</v>
      </c>
      <c r="J12" s="128">
        <v>312410</v>
      </c>
      <c r="K12" s="92">
        <f t="shared" si="4"/>
        <v>600</v>
      </c>
      <c r="L12" s="128">
        <v>92432</v>
      </c>
      <c r="M12" s="92">
        <f t="shared" si="5"/>
        <v>730</v>
      </c>
    </row>
    <row r="13" spans="1:13" ht="26.25">
      <c r="A13" s="32">
        <v>44965</v>
      </c>
      <c r="B13" s="34">
        <v>115</v>
      </c>
      <c r="C13" s="127">
        <v>51321311</v>
      </c>
      <c r="D13" s="42">
        <f t="shared" si="0"/>
        <v>4693</v>
      </c>
      <c r="E13" s="127">
        <v>52326652</v>
      </c>
      <c r="F13" s="42">
        <f t="shared" si="1"/>
        <v>9735</v>
      </c>
      <c r="G13" s="127">
        <v>39323561</v>
      </c>
      <c r="H13" s="42">
        <f t="shared" si="2"/>
        <v>5944</v>
      </c>
      <c r="I13" s="86">
        <f t="shared" si="3"/>
        <v>20372</v>
      </c>
      <c r="J13" s="128">
        <v>312470</v>
      </c>
      <c r="K13" s="92">
        <f t="shared" si="4"/>
        <v>600</v>
      </c>
      <c r="L13" s="128">
        <v>92499</v>
      </c>
      <c r="M13" s="92">
        <f t="shared" si="5"/>
        <v>670</v>
      </c>
    </row>
    <row r="14" spans="1:13" ht="26.25">
      <c r="A14" s="32">
        <v>44966</v>
      </c>
      <c r="B14" s="34">
        <v>70</v>
      </c>
      <c r="C14" s="127">
        <v>51325801</v>
      </c>
      <c r="D14" s="42">
        <f t="shared" si="0"/>
        <v>4490</v>
      </c>
      <c r="E14" s="127">
        <v>52335931</v>
      </c>
      <c r="F14" s="42">
        <f t="shared" si="1"/>
        <v>9279</v>
      </c>
      <c r="G14" s="127">
        <v>39329194</v>
      </c>
      <c r="H14" s="42">
        <f t="shared" si="2"/>
        <v>5633</v>
      </c>
      <c r="I14" s="86">
        <f t="shared" si="3"/>
        <v>19402</v>
      </c>
      <c r="J14" s="128">
        <v>312530</v>
      </c>
      <c r="K14" s="92">
        <f t="shared" si="4"/>
        <v>600</v>
      </c>
      <c r="L14" s="128">
        <v>92559</v>
      </c>
      <c r="M14" s="92">
        <f t="shared" si="5"/>
        <v>600</v>
      </c>
    </row>
    <row r="15" spans="1:13" ht="26.25">
      <c r="A15" s="32">
        <v>44967</v>
      </c>
      <c r="B15" s="34">
        <v>73</v>
      </c>
      <c r="C15" s="127">
        <v>51330554</v>
      </c>
      <c r="D15" s="42">
        <f t="shared" ref="D15:D27" si="6">IF((C15-C14)&lt;0,"0",(C15-C14))</f>
        <v>4753</v>
      </c>
      <c r="E15" s="127">
        <v>52345275</v>
      </c>
      <c r="F15" s="42">
        <f t="shared" si="1"/>
        <v>9344</v>
      </c>
      <c r="G15" s="127">
        <v>39335118</v>
      </c>
      <c r="H15" s="42">
        <f t="shared" si="2"/>
        <v>5924</v>
      </c>
      <c r="I15" s="86">
        <f t="shared" si="3"/>
        <v>20021</v>
      </c>
      <c r="J15" s="128">
        <v>312580</v>
      </c>
      <c r="K15" s="92">
        <f t="shared" si="4"/>
        <v>500</v>
      </c>
      <c r="L15" s="128">
        <v>92612</v>
      </c>
      <c r="M15" s="92">
        <f t="shared" si="5"/>
        <v>530</v>
      </c>
    </row>
    <row r="16" spans="1:13" ht="26.25">
      <c r="A16" s="32">
        <v>44968</v>
      </c>
      <c r="B16" s="34">
        <v>114</v>
      </c>
      <c r="C16" s="127">
        <v>51334156</v>
      </c>
      <c r="D16" s="42">
        <f t="shared" si="6"/>
        <v>3602</v>
      </c>
      <c r="E16" s="127">
        <v>52353392</v>
      </c>
      <c r="F16" s="42">
        <f t="shared" si="1"/>
        <v>8117</v>
      </c>
      <c r="G16" s="127">
        <v>39340030</v>
      </c>
      <c r="H16" s="42">
        <f t="shared" si="2"/>
        <v>4912</v>
      </c>
      <c r="I16" s="86">
        <f t="shared" si="3"/>
        <v>16631</v>
      </c>
      <c r="J16" s="128">
        <v>312630</v>
      </c>
      <c r="K16" s="92">
        <f t="shared" si="4"/>
        <v>500</v>
      </c>
      <c r="L16" s="128">
        <v>92671</v>
      </c>
      <c r="M16" s="92">
        <f t="shared" si="5"/>
        <v>590</v>
      </c>
    </row>
    <row r="17" spans="1:13" ht="26.25">
      <c r="A17" s="32">
        <v>44969</v>
      </c>
      <c r="B17" s="34">
        <v>115</v>
      </c>
      <c r="C17" s="127">
        <v>51338252</v>
      </c>
      <c r="D17" s="42">
        <f t="shared" si="6"/>
        <v>4096</v>
      </c>
      <c r="E17" s="127">
        <v>52362465</v>
      </c>
      <c r="F17" s="42">
        <f t="shared" si="1"/>
        <v>9073</v>
      </c>
      <c r="G17" s="127">
        <v>39345481</v>
      </c>
      <c r="H17" s="42">
        <f t="shared" si="2"/>
        <v>5451</v>
      </c>
      <c r="I17" s="86">
        <f t="shared" si="3"/>
        <v>18620</v>
      </c>
      <c r="J17" s="128">
        <v>312690</v>
      </c>
      <c r="K17" s="92">
        <f t="shared" si="4"/>
        <v>600</v>
      </c>
      <c r="L17" s="128">
        <v>92755</v>
      </c>
      <c r="M17" s="92">
        <f t="shared" si="5"/>
        <v>840</v>
      </c>
    </row>
    <row r="18" spans="1:13" ht="26.25">
      <c r="A18" s="32">
        <v>44970</v>
      </c>
      <c r="B18" s="34">
        <v>74</v>
      </c>
      <c r="C18" s="127">
        <v>51342166</v>
      </c>
      <c r="D18" s="42">
        <f t="shared" si="6"/>
        <v>3914</v>
      </c>
      <c r="E18" s="127">
        <v>52371178</v>
      </c>
      <c r="F18" s="42">
        <f t="shared" si="1"/>
        <v>8713</v>
      </c>
      <c r="G18" s="127">
        <v>39350816</v>
      </c>
      <c r="H18" s="42">
        <f t="shared" si="2"/>
        <v>5335</v>
      </c>
      <c r="I18" s="86">
        <f t="shared" si="3"/>
        <v>17962</v>
      </c>
      <c r="J18" s="128">
        <v>312760</v>
      </c>
      <c r="K18" s="92">
        <f t="shared" si="4"/>
        <v>700</v>
      </c>
      <c r="L18" s="128">
        <v>92822</v>
      </c>
      <c r="M18" s="92">
        <f t="shared" si="5"/>
        <v>670</v>
      </c>
    </row>
    <row r="19" spans="1:13" ht="26.25">
      <c r="A19" s="32">
        <v>44971</v>
      </c>
      <c r="B19" s="34">
        <v>72</v>
      </c>
      <c r="C19" s="127">
        <v>51346657</v>
      </c>
      <c r="D19" s="42">
        <f t="shared" si="6"/>
        <v>4491</v>
      </c>
      <c r="E19" s="127">
        <v>52380716</v>
      </c>
      <c r="F19" s="42">
        <f t="shared" si="1"/>
        <v>9538</v>
      </c>
      <c r="G19" s="127">
        <v>39356511</v>
      </c>
      <c r="H19" s="42">
        <f t="shared" si="2"/>
        <v>5695</v>
      </c>
      <c r="I19" s="86">
        <f t="shared" si="3"/>
        <v>19724</v>
      </c>
      <c r="J19" s="128">
        <v>312820</v>
      </c>
      <c r="K19" s="92">
        <f t="shared" si="4"/>
        <v>600</v>
      </c>
      <c r="L19" s="128">
        <v>92894</v>
      </c>
      <c r="M19" s="92">
        <f t="shared" si="5"/>
        <v>720</v>
      </c>
    </row>
    <row r="20" spans="1:13" ht="26.25">
      <c r="A20" s="32">
        <v>44972</v>
      </c>
      <c r="B20" s="34">
        <v>82</v>
      </c>
      <c r="C20" s="127">
        <v>51350901</v>
      </c>
      <c r="D20" s="42">
        <f t="shared" si="6"/>
        <v>4244</v>
      </c>
      <c r="E20" s="127">
        <v>52389912</v>
      </c>
      <c r="F20" s="42">
        <f t="shared" si="1"/>
        <v>9196</v>
      </c>
      <c r="G20" s="127">
        <v>39361924</v>
      </c>
      <c r="H20" s="42">
        <f t="shared" si="2"/>
        <v>5413</v>
      </c>
      <c r="I20" s="86">
        <f t="shared" si="3"/>
        <v>18853</v>
      </c>
      <c r="J20" s="128">
        <v>312880</v>
      </c>
      <c r="K20" s="92">
        <f t="shared" si="4"/>
        <v>600</v>
      </c>
      <c r="L20" s="128">
        <v>92927</v>
      </c>
      <c r="M20" s="92">
        <f t="shared" si="5"/>
        <v>330</v>
      </c>
    </row>
    <row r="21" spans="1:13" ht="26.25">
      <c r="A21" s="32">
        <v>44973</v>
      </c>
      <c r="B21" s="34">
        <v>87</v>
      </c>
      <c r="C21" s="127">
        <v>51355361</v>
      </c>
      <c r="D21" s="42">
        <f t="shared" si="6"/>
        <v>4460</v>
      </c>
      <c r="E21" s="127">
        <v>52398796</v>
      </c>
      <c r="F21" s="42">
        <f t="shared" si="1"/>
        <v>8884</v>
      </c>
      <c r="G21" s="127">
        <v>39367421</v>
      </c>
      <c r="H21" s="42">
        <f t="shared" si="2"/>
        <v>5497</v>
      </c>
      <c r="I21" s="86">
        <f t="shared" si="3"/>
        <v>18841</v>
      </c>
      <c r="J21" s="128">
        <v>312950</v>
      </c>
      <c r="K21" s="92">
        <f t="shared" si="4"/>
        <v>700</v>
      </c>
      <c r="L21" s="128">
        <v>92982</v>
      </c>
      <c r="M21" s="92">
        <f t="shared" si="5"/>
        <v>550</v>
      </c>
    </row>
    <row r="22" spans="1:13" ht="26.25">
      <c r="A22" s="32">
        <v>44974</v>
      </c>
      <c r="B22" s="34">
        <v>92</v>
      </c>
      <c r="C22" s="127">
        <v>51359814</v>
      </c>
      <c r="D22" s="42">
        <f t="shared" si="6"/>
        <v>4453</v>
      </c>
      <c r="E22" s="127">
        <v>52407588</v>
      </c>
      <c r="F22" s="42">
        <f t="shared" si="1"/>
        <v>8792</v>
      </c>
      <c r="G22" s="127">
        <v>39372963</v>
      </c>
      <c r="H22" s="42">
        <f t="shared" si="2"/>
        <v>5542</v>
      </c>
      <c r="I22" s="86">
        <f t="shared" si="3"/>
        <v>18787</v>
      </c>
      <c r="J22" s="128">
        <v>313000</v>
      </c>
      <c r="K22" s="92">
        <f t="shared" si="4"/>
        <v>500</v>
      </c>
      <c r="L22" s="128">
        <v>93033</v>
      </c>
      <c r="M22" s="92">
        <f t="shared" si="5"/>
        <v>510</v>
      </c>
    </row>
    <row r="23" spans="1:13" ht="26.25">
      <c r="A23" s="32">
        <v>44975</v>
      </c>
      <c r="B23" s="34">
        <v>82</v>
      </c>
      <c r="C23" s="127">
        <v>51364132</v>
      </c>
      <c r="D23" s="42">
        <f t="shared" si="6"/>
        <v>4318</v>
      </c>
      <c r="E23" s="127">
        <v>52415891</v>
      </c>
      <c r="F23" s="42">
        <f t="shared" si="1"/>
        <v>8303</v>
      </c>
      <c r="G23" s="127">
        <v>39378095</v>
      </c>
      <c r="H23" s="42">
        <f t="shared" si="2"/>
        <v>5132</v>
      </c>
      <c r="I23" s="86">
        <f t="shared" si="3"/>
        <v>17753</v>
      </c>
      <c r="J23" s="128">
        <v>313060</v>
      </c>
      <c r="K23" s="92">
        <f t="shared" si="4"/>
        <v>600</v>
      </c>
      <c r="L23" s="128">
        <v>93080</v>
      </c>
      <c r="M23" s="92">
        <f t="shared" si="5"/>
        <v>470</v>
      </c>
    </row>
    <row r="24" spans="1:13" ht="26.25">
      <c r="A24" s="32">
        <v>44976</v>
      </c>
      <c r="B24" s="34">
        <v>63</v>
      </c>
      <c r="C24" s="127">
        <v>51368425</v>
      </c>
      <c r="D24" s="42">
        <f t="shared" si="6"/>
        <v>4293</v>
      </c>
      <c r="E24" s="127">
        <v>52424328</v>
      </c>
      <c r="F24" s="42">
        <f t="shared" si="1"/>
        <v>8437</v>
      </c>
      <c r="G24" s="127">
        <v>39383527</v>
      </c>
      <c r="H24" s="42">
        <f t="shared" si="2"/>
        <v>5432</v>
      </c>
      <c r="I24" s="86">
        <f t="shared" si="3"/>
        <v>18162</v>
      </c>
      <c r="J24" s="128">
        <v>313120</v>
      </c>
      <c r="K24" s="92">
        <f t="shared" si="4"/>
        <v>600</v>
      </c>
      <c r="L24" s="128">
        <v>93124</v>
      </c>
      <c r="M24" s="92">
        <f t="shared" si="5"/>
        <v>440</v>
      </c>
    </row>
    <row r="25" spans="1:13" ht="26.25">
      <c r="A25" s="32">
        <v>44977</v>
      </c>
      <c r="B25" s="34">
        <v>63</v>
      </c>
      <c r="C25" s="127">
        <v>51372745</v>
      </c>
      <c r="D25" s="42">
        <f t="shared" si="6"/>
        <v>4320</v>
      </c>
      <c r="E25" s="127">
        <v>52433079</v>
      </c>
      <c r="F25" s="42">
        <f t="shared" si="1"/>
        <v>8751</v>
      </c>
      <c r="G25" s="127">
        <v>39388849</v>
      </c>
      <c r="H25" s="42">
        <f t="shared" si="2"/>
        <v>5322</v>
      </c>
      <c r="I25" s="86">
        <f t="shared" si="3"/>
        <v>18393</v>
      </c>
      <c r="J25" s="128">
        <v>313180</v>
      </c>
      <c r="K25" s="92">
        <f t="shared" si="4"/>
        <v>600</v>
      </c>
      <c r="L25" s="128">
        <v>93169</v>
      </c>
      <c r="M25" s="92">
        <f t="shared" si="5"/>
        <v>450</v>
      </c>
    </row>
    <row r="26" spans="1:13" ht="26.25">
      <c r="A26" s="32">
        <v>44978</v>
      </c>
      <c r="B26" s="34">
        <v>66</v>
      </c>
      <c r="C26" s="127">
        <v>51376723</v>
      </c>
      <c r="D26" s="42">
        <f t="shared" si="6"/>
        <v>3978</v>
      </c>
      <c r="E26" s="127">
        <v>52440899</v>
      </c>
      <c r="F26" s="42">
        <f t="shared" si="1"/>
        <v>7820</v>
      </c>
      <c r="G26" s="127">
        <v>39393737</v>
      </c>
      <c r="H26" s="42">
        <f t="shared" si="2"/>
        <v>4888</v>
      </c>
      <c r="I26" s="86">
        <f t="shared" si="3"/>
        <v>16686</v>
      </c>
      <c r="J26" s="128">
        <v>313250</v>
      </c>
      <c r="K26" s="92">
        <f t="shared" si="4"/>
        <v>700</v>
      </c>
      <c r="L26" s="128">
        <v>93214</v>
      </c>
      <c r="M26" s="92">
        <f t="shared" si="5"/>
        <v>450</v>
      </c>
    </row>
    <row r="27" spans="1:13" ht="26.25">
      <c r="A27" s="32">
        <v>44979</v>
      </c>
      <c r="B27" s="34">
        <v>91</v>
      </c>
      <c r="C27" s="127">
        <v>51381827</v>
      </c>
      <c r="D27" s="42">
        <f t="shared" si="6"/>
        <v>5104</v>
      </c>
      <c r="E27" s="127">
        <v>52450054</v>
      </c>
      <c r="F27" s="42">
        <f t="shared" si="1"/>
        <v>9155</v>
      </c>
      <c r="G27" s="127">
        <v>39399969</v>
      </c>
      <c r="H27" s="42">
        <f t="shared" si="2"/>
        <v>6232</v>
      </c>
      <c r="I27" s="86">
        <f t="shared" si="3"/>
        <v>20491</v>
      </c>
      <c r="J27" s="128">
        <v>313320</v>
      </c>
      <c r="K27" s="92">
        <f t="shared" si="4"/>
        <v>700</v>
      </c>
      <c r="L27" s="128">
        <v>93262</v>
      </c>
      <c r="M27" s="92">
        <f t="shared" si="5"/>
        <v>480</v>
      </c>
    </row>
    <row r="28" spans="1:13" ht="26.25">
      <c r="A28" s="32">
        <v>44980</v>
      </c>
      <c r="B28" s="34">
        <v>103</v>
      </c>
      <c r="C28" s="127">
        <v>51385984</v>
      </c>
      <c r="D28" s="42">
        <f t="shared" si="0"/>
        <v>4157</v>
      </c>
      <c r="E28" s="127">
        <v>52457487</v>
      </c>
      <c r="F28" s="42">
        <f t="shared" si="1"/>
        <v>7433</v>
      </c>
      <c r="G28" s="127">
        <v>39405105</v>
      </c>
      <c r="H28" s="42">
        <f t="shared" si="2"/>
        <v>5136</v>
      </c>
      <c r="I28" s="86">
        <f t="shared" si="3"/>
        <v>16726</v>
      </c>
      <c r="J28" s="128">
        <v>313370</v>
      </c>
      <c r="K28" s="92">
        <f t="shared" si="4"/>
        <v>500</v>
      </c>
      <c r="L28" s="128">
        <v>93299</v>
      </c>
      <c r="M28" s="92">
        <f t="shared" si="5"/>
        <v>370</v>
      </c>
    </row>
    <row r="29" spans="1:13" ht="26.25">
      <c r="A29" s="32">
        <v>44981</v>
      </c>
      <c r="B29" s="34">
        <v>110</v>
      </c>
      <c r="C29" s="127">
        <v>51390700</v>
      </c>
      <c r="D29" s="42">
        <f t="shared" si="0"/>
        <v>4716</v>
      </c>
      <c r="E29" s="127">
        <v>52465484</v>
      </c>
      <c r="F29" s="42">
        <f t="shared" si="1"/>
        <v>7997</v>
      </c>
      <c r="G29" s="127">
        <v>39410604</v>
      </c>
      <c r="H29" s="42">
        <f t="shared" si="2"/>
        <v>5499</v>
      </c>
      <c r="I29" s="86">
        <f t="shared" si="3"/>
        <v>18212</v>
      </c>
      <c r="J29" s="128">
        <v>313440</v>
      </c>
      <c r="K29" s="92">
        <f t="shared" si="4"/>
        <v>700</v>
      </c>
      <c r="L29" s="128">
        <v>93340</v>
      </c>
      <c r="M29" s="92">
        <f t="shared" si="5"/>
        <v>410</v>
      </c>
    </row>
    <row r="30" spans="1:13" ht="26.25">
      <c r="A30" s="32">
        <v>44982</v>
      </c>
      <c r="B30" s="34">
        <v>84</v>
      </c>
      <c r="C30" s="127">
        <v>51395079</v>
      </c>
      <c r="D30" s="42">
        <f t="shared" si="0"/>
        <v>4379</v>
      </c>
      <c r="E30" s="127">
        <v>52473099</v>
      </c>
      <c r="F30" s="42">
        <f t="shared" si="1"/>
        <v>7615</v>
      </c>
      <c r="G30" s="127">
        <v>39415880</v>
      </c>
      <c r="H30" s="42">
        <f t="shared" si="2"/>
        <v>5276</v>
      </c>
      <c r="I30" s="86">
        <f t="shared" si="3"/>
        <v>17270</v>
      </c>
      <c r="J30" s="128">
        <v>313500</v>
      </c>
      <c r="K30" s="92">
        <f t="shared" si="4"/>
        <v>600</v>
      </c>
      <c r="L30" s="128">
        <v>93381</v>
      </c>
      <c r="M30" s="92">
        <f t="shared" si="5"/>
        <v>410</v>
      </c>
    </row>
    <row r="31" spans="1:13" ht="26.25">
      <c r="A31" s="32">
        <v>44983</v>
      </c>
      <c r="B31" s="34">
        <v>99</v>
      </c>
      <c r="C31" s="127">
        <v>51399460</v>
      </c>
      <c r="D31" s="42">
        <f t="shared" si="0"/>
        <v>4381</v>
      </c>
      <c r="E31" s="127">
        <v>52480939</v>
      </c>
      <c r="F31" s="42">
        <f t="shared" si="1"/>
        <v>7840</v>
      </c>
      <c r="G31" s="127">
        <v>39421317</v>
      </c>
      <c r="H31" s="42">
        <f t="shared" si="2"/>
        <v>5437</v>
      </c>
      <c r="I31" s="86">
        <f t="shared" si="3"/>
        <v>17658</v>
      </c>
      <c r="J31" s="128">
        <v>313560</v>
      </c>
      <c r="K31" s="92">
        <f t="shared" si="4"/>
        <v>600</v>
      </c>
      <c r="L31" s="128">
        <v>93424</v>
      </c>
      <c r="M31" s="92">
        <f t="shared" si="5"/>
        <v>430</v>
      </c>
    </row>
    <row r="32" spans="1:13" ht="26.25">
      <c r="A32" s="32">
        <v>44984</v>
      </c>
      <c r="B32" s="34">
        <v>70</v>
      </c>
      <c r="C32" s="127">
        <v>51403707</v>
      </c>
      <c r="D32" s="42">
        <f t="shared" si="0"/>
        <v>4247</v>
      </c>
      <c r="E32" s="127">
        <v>52488454</v>
      </c>
      <c r="F32" s="42">
        <f t="shared" si="1"/>
        <v>7515</v>
      </c>
      <c r="G32" s="127">
        <v>39426903</v>
      </c>
      <c r="H32" s="42">
        <f t="shared" si="2"/>
        <v>5586</v>
      </c>
      <c r="I32" s="86">
        <f t="shared" si="3"/>
        <v>17348</v>
      </c>
      <c r="J32" s="128">
        <v>313630</v>
      </c>
      <c r="K32" s="92">
        <f t="shared" si="4"/>
        <v>700</v>
      </c>
      <c r="L32" s="128">
        <v>93469</v>
      </c>
      <c r="M32" s="92">
        <f t="shared" si="5"/>
        <v>450</v>
      </c>
    </row>
    <row r="33" spans="1:13" ht="26.25">
      <c r="A33" s="32">
        <v>44985</v>
      </c>
      <c r="B33" s="34">
        <v>84</v>
      </c>
      <c r="C33" s="127">
        <v>51408131</v>
      </c>
      <c r="D33" s="42">
        <f>C33-C32</f>
        <v>4424</v>
      </c>
      <c r="E33" s="127">
        <v>52496365</v>
      </c>
      <c r="F33" s="42">
        <f t="shared" si="1"/>
        <v>7911</v>
      </c>
      <c r="G33" s="127">
        <v>39432340</v>
      </c>
      <c r="H33" s="42">
        <f t="shared" si="2"/>
        <v>5437</v>
      </c>
      <c r="I33" s="86">
        <f>D33+F33+H33</f>
        <v>17772</v>
      </c>
      <c r="J33" s="128">
        <v>313690</v>
      </c>
      <c r="K33" s="92">
        <f t="shared" si="4"/>
        <v>600</v>
      </c>
      <c r="L33" s="128">
        <v>93510</v>
      </c>
      <c r="M33" s="92">
        <f t="shared" si="5"/>
        <v>410</v>
      </c>
    </row>
    <row r="34" spans="1:13" s="21" customFormat="1" ht="27.75" thickBot="1">
      <c r="A34" s="44" t="s">
        <v>41</v>
      </c>
      <c r="B34" s="45"/>
      <c r="C34" s="71"/>
      <c r="D34" s="67">
        <f>SUM(D5:D33)</f>
        <v>119947</v>
      </c>
      <c r="E34" s="72"/>
      <c r="F34" s="67">
        <f>SUM(F5:F33)</f>
        <v>239844</v>
      </c>
      <c r="G34" s="70"/>
      <c r="H34" s="67">
        <f>SUM(H5:H33)</f>
        <v>152779</v>
      </c>
      <c r="I34" s="87">
        <f t="shared" si="3"/>
        <v>512570</v>
      </c>
      <c r="J34" s="93"/>
      <c r="K34" s="94">
        <f>SUM(K5:K33)</f>
        <v>17200</v>
      </c>
      <c r="L34" s="93"/>
      <c r="M34" s="94">
        <f>SUM(M5:M33)</f>
        <v>14810</v>
      </c>
    </row>
    <row r="35" spans="1:13" ht="37.5">
      <c r="J35" s="81"/>
      <c r="K35" s="81"/>
      <c r="L35" s="81"/>
      <c r="M35" s="81"/>
    </row>
    <row r="36" spans="1:13" ht="26.25">
      <c r="A36" s="3"/>
      <c r="B36" s="25"/>
      <c r="J36"/>
      <c r="K36" s="82"/>
      <c r="L36"/>
      <c r="M36" s="82"/>
    </row>
    <row r="51" spans="1:2" ht="15">
      <c r="A51" s="3"/>
      <c r="B51" s="25"/>
    </row>
  </sheetData>
  <mergeCells count="2">
    <mergeCell ref="A1:I1"/>
    <mergeCell ref="A2:I2"/>
  </mergeCells>
  <phoneticPr fontId="0" type="noConversion"/>
  <conditionalFormatting sqref="A3:B34 D5:D33 F5:F33 D34:M34 H5:I33 K5:K33 M5:M33">
    <cfRule type="cellIs" dxfId="24" priority="216" stopIfTrue="1" operator="lessThan">
      <formula>0</formula>
    </cfRule>
  </conditionalFormatting>
  <conditionalFormatting sqref="C5:C33">
    <cfRule type="cellIs" dxfId="23" priority="5" stopIfTrue="1" operator="lessThan">
      <formula>0</formula>
    </cfRule>
  </conditionalFormatting>
  <conditionalFormatting sqref="E5:E33">
    <cfRule type="cellIs" dxfId="22" priority="4" stopIfTrue="1" operator="lessThan">
      <formula>0</formula>
    </cfRule>
  </conditionalFormatting>
  <conditionalFormatting sqref="G5:G33">
    <cfRule type="cellIs" dxfId="21" priority="3" stopIfTrue="1" operator="lessThan">
      <formula>0</formula>
    </cfRule>
  </conditionalFormatting>
  <conditionalFormatting sqref="J5:J33">
    <cfRule type="cellIs" dxfId="20" priority="2" stopIfTrue="1" operator="lessThan">
      <formula>0</formula>
    </cfRule>
  </conditionalFormatting>
  <conditionalFormatting sqref="L5:L33">
    <cfRule type="cellIs" dxfId="19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2"/>
  <sheetViews>
    <sheetView view="pageBreakPreview" zoomScale="50" zoomScaleNormal="55" zoomScaleSheetLayoutView="50" workbookViewId="0">
      <selection activeCell="H40" sqref="H40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26.140625" style="9" bestFit="1" customWidth="1"/>
    <col min="31" max="31" width="11.140625" style="9" customWidth="1"/>
    <col min="32" max="32" width="27" style="9" bestFit="1" customWidth="1"/>
    <col min="33" max="33" width="11.140625" style="9" customWidth="1"/>
    <col min="34" max="34" width="37.140625" style="9" customWidth="1"/>
    <col min="35" max="35" width="32.7109375" bestFit="1" customWidth="1"/>
    <col min="36" max="36" width="11.140625" style="9" bestFit="1" customWidth="1"/>
    <col min="37" max="38" width="8.5703125" bestFit="1" customWidth="1"/>
    <col min="40" max="40" width="8.5703125" bestFit="1" customWidth="1"/>
  </cols>
  <sheetData>
    <row r="1" spans="1:42" ht="33" customHeight="1" thickBot="1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42">
      <c r="A2" s="55" t="s">
        <v>1</v>
      </c>
      <c r="B2" s="57" t="s">
        <v>54</v>
      </c>
      <c r="C2" s="56" t="s">
        <v>38</v>
      </c>
      <c r="D2" s="56" t="s">
        <v>55</v>
      </c>
      <c r="E2" s="56" t="s">
        <v>38</v>
      </c>
      <c r="F2" s="56" t="s">
        <v>56</v>
      </c>
      <c r="G2" s="56" t="s">
        <v>38</v>
      </c>
      <c r="H2" s="56" t="s">
        <v>57</v>
      </c>
      <c r="I2" s="56" t="s">
        <v>38</v>
      </c>
      <c r="J2" s="56" t="s">
        <v>58</v>
      </c>
      <c r="K2" s="56" t="s">
        <v>38</v>
      </c>
      <c r="L2" s="56" t="s">
        <v>59</v>
      </c>
      <c r="M2" s="56" t="s">
        <v>38</v>
      </c>
      <c r="N2" s="56" t="s">
        <v>60</v>
      </c>
      <c r="O2" s="56" t="s">
        <v>38</v>
      </c>
      <c r="P2" s="56" t="s">
        <v>61</v>
      </c>
      <c r="Q2" s="56" t="s">
        <v>38</v>
      </c>
      <c r="R2" s="56" t="s">
        <v>62</v>
      </c>
      <c r="S2" s="56" t="s">
        <v>38</v>
      </c>
      <c r="T2" s="56" t="s">
        <v>63</v>
      </c>
      <c r="U2" s="56" t="s">
        <v>38</v>
      </c>
      <c r="V2" s="56" t="s">
        <v>64</v>
      </c>
      <c r="W2" s="56" t="s">
        <v>38</v>
      </c>
      <c r="X2" s="56" t="s">
        <v>65</v>
      </c>
      <c r="Y2" s="56" t="s">
        <v>38</v>
      </c>
      <c r="Z2" s="56" t="s">
        <v>66</v>
      </c>
      <c r="AA2" s="56" t="s">
        <v>38</v>
      </c>
      <c r="AB2" s="56" t="s">
        <v>67</v>
      </c>
      <c r="AC2" s="56" t="s">
        <v>38</v>
      </c>
      <c r="AD2" s="56" t="s">
        <v>68</v>
      </c>
      <c r="AE2" s="56" t="s">
        <v>38</v>
      </c>
      <c r="AF2" s="56" t="s">
        <v>69</v>
      </c>
      <c r="AG2" s="56"/>
      <c r="AH2" s="64" t="s">
        <v>70</v>
      </c>
      <c r="AI2" s="65" t="s">
        <v>71</v>
      </c>
      <c r="AJ2" s="54" t="s">
        <v>38</v>
      </c>
    </row>
    <row r="3" spans="1:42">
      <c r="A3" s="53" t="s">
        <v>40</v>
      </c>
      <c r="B3" s="129">
        <v>1636680</v>
      </c>
      <c r="C3" s="60"/>
      <c r="D3" s="129">
        <v>33795520</v>
      </c>
      <c r="E3" s="59"/>
      <c r="F3" s="130">
        <v>97100</v>
      </c>
      <c r="G3" s="59"/>
      <c r="H3" s="130">
        <v>102720</v>
      </c>
      <c r="I3" s="58"/>
      <c r="J3" s="131">
        <v>186371</v>
      </c>
      <c r="K3" s="60"/>
      <c r="L3" s="130">
        <v>122096</v>
      </c>
      <c r="M3" s="59"/>
      <c r="N3" s="130">
        <v>664633</v>
      </c>
      <c r="O3" s="60"/>
      <c r="P3" s="130">
        <v>170449</v>
      </c>
      <c r="Q3" s="59"/>
      <c r="R3" s="130">
        <v>24601</v>
      </c>
      <c r="S3" s="60"/>
      <c r="T3" s="130">
        <v>86761</v>
      </c>
      <c r="U3" s="59"/>
      <c r="V3" s="130">
        <v>305810</v>
      </c>
      <c r="W3" s="60"/>
      <c r="X3" s="97">
        <v>34599</v>
      </c>
      <c r="Y3" s="59"/>
      <c r="Z3" s="98">
        <v>744261</v>
      </c>
      <c r="AA3" s="60"/>
      <c r="AB3" s="68">
        <v>1410</v>
      </c>
      <c r="AC3" s="59"/>
      <c r="AD3" s="99">
        <v>126483</v>
      </c>
      <c r="AE3" s="59"/>
      <c r="AF3" s="100">
        <v>1982</v>
      </c>
      <c r="AG3" s="59"/>
      <c r="AH3" s="62"/>
      <c r="AI3" s="66"/>
      <c r="AJ3" s="52"/>
    </row>
    <row r="4" spans="1:42">
      <c r="A4" s="51">
        <v>44958</v>
      </c>
      <c r="B4" s="129">
        <v>1636973</v>
      </c>
      <c r="C4" s="61">
        <f>IF((B4-B3)&lt;0,"0",(B4-B3))</f>
        <v>293</v>
      </c>
      <c r="D4" s="129">
        <v>33796570</v>
      </c>
      <c r="E4" s="59">
        <f>IF((D4-D3)&lt;0,"0",(D4-D3))</f>
        <v>1050</v>
      </c>
      <c r="F4" s="130">
        <v>97217</v>
      </c>
      <c r="G4" s="59">
        <f>IF((F4-F3)&lt;0,"0",(F4-F3))</f>
        <v>117</v>
      </c>
      <c r="H4" s="130">
        <v>102751</v>
      </c>
      <c r="I4" s="59">
        <f>IF((H4-H3)&lt;0,"0",(H4-H3))</f>
        <v>31</v>
      </c>
      <c r="J4" s="131">
        <v>186406</v>
      </c>
      <c r="K4" s="61">
        <f>IF((J4-J3)&lt;0,"0",(J4-J3))</f>
        <v>35</v>
      </c>
      <c r="L4" s="130">
        <v>122152</v>
      </c>
      <c r="M4" s="59">
        <f>IF((L4-L3)&lt;0,"0",(L4-L3))</f>
        <v>56</v>
      </c>
      <c r="N4" s="130">
        <v>664679</v>
      </c>
      <c r="O4" s="61">
        <f>IF((N4-N3)&lt;0,"0",(N4-N3))</f>
        <v>46</v>
      </c>
      <c r="P4" s="130">
        <v>170473</v>
      </c>
      <c r="Q4" s="59">
        <f>IF((P4-P3)&lt;0,"0",(P4-P3))</f>
        <v>24</v>
      </c>
      <c r="R4" s="130">
        <v>24792</v>
      </c>
      <c r="S4" s="61">
        <f>IF((R4-R3)&lt;0,"0",(R4-R3))</f>
        <v>191</v>
      </c>
      <c r="T4" s="130">
        <v>86789</v>
      </c>
      <c r="U4" s="59">
        <f>IF((T4-T3)&lt;0,"0",(T4-T3))</f>
        <v>28</v>
      </c>
      <c r="V4" s="130">
        <v>305810</v>
      </c>
      <c r="W4" s="61">
        <f>IF((V4-V3)&lt;0,"0",(V4-V3))</f>
        <v>0</v>
      </c>
      <c r="X4" s="97">
        <v>34599</v>
      </c>
      <c r="Y4" s="59">
        <f>IF((X4-X3)&lt;0,"0",(X4-X3))</f>
        <v>0</v>
      </c>
      <c r="Z4" s="97">
        <v>744261</v>
      </c>
      <c r="AA4" s="61">
        <f>IF((Z4-Z3)&lt;0,"0",(Z4-Z3))</f>
        <v>0</v>
      </c>
      <c r="AB4" s="68">
        <v>1410</v>
      </c>
      <c r="AC4" s="59">
        <f>IF((AB4-AB3)&lt;0,"0",(AB4-AB3))</f>
        <v>0</v>
      </c>
      <c r="AD4" s="100">
        <v>126483</v>
      </c>
      <c r="AE4" s="59">
        <f>IF((AD4-AD3)&lt;0,"0",(AD4-AD3))</f>
        <v>0</v>
      </c>
      <c r="AF4" s="100">
        <v>1982</v>
      </c>
      <c r="AG4" s="59">
        <f t="shared" ref="AC4:AG31" si="0">IF((AF4-AF3)&lt;0,"0",(AF4-AF3))</f>
        <v>0</v>
      </c>
      <c r="AH4" s="63">
        <f>C4+E4+G4+I4+K4+M4+O4+Q4+S4+U4+W4+Y4+AA4+AC4+AE4+AG4</f>
        <v>1871</v>
      </c>
      <c r="AI4" s="18">
        <v>0</v>
      </c>
      <c r="AJ4" s="52">
        <f>IF((AI4-AI3)&lt;0,"0",(AI4-AI3))</f>
        <v>0</v>
      </c>
    </row>
    <row r="5" spans="1:42">
      <c r="A5" s="51">
        <v>44959</v>
      </c>
      <c r="B5" s="129">
        <v>1637223</v>
      </c>
      <c r="C5" s="61">
        <f t="shared" ref="C5:C31" si="1">IF((B5-B4)&lt;0,"0",(B5-B4))</f>
        <v>250</v>
      </c>
      <c r="D5" s="129">
        <v>33797620</v>
      </c>
      <c r="E5" s="59">
        <f t="shared" ref="E5:E31" si="2">IF((D5-D4)&lt;0,"0",(D5-D4))</f>
        <v>1050</v>
      </c>
      <c r="F5" s="130">
        <v>97365</v>
      </c>
      <c r="G5" s="59">
        <f t="shared" ref="G5:G31" si="3">IF((F5-F4)&lt;0,"0",(F5-F4))</f>
        <v>148</v>
      </c>
      <c r="H5" s="130">
        <v>102773</v>
      </c>
      <c r="I5" s="59">
        <f t="shared" ref="I5:I31" si="4">IF((H5-H4)&lt;0,"0",(H5-H4))</f>
        <v>22</v>
      </c>
      <c r="J5" s="131">
        <v>186442</v>
      </c>
      <c r="K5" s="61">
        <f t="shared" ref="K5:K31" si="5">IF((J5-J4)&lt;0,"0",(J5-J4))</f>
        <v>36</v>
      </c>
      <c r="L5" s="130">
        <v>122208</v>
      </c>
      <c r="M5" s="59">
        <f t="shared" ref="M5:M31" si="6">IF((L5-L4)&lt;0,"0",(L5-L4))</f>
        <v>56</v>
      </c>
      <c r="N5" s="130">
        <v>664722</v>
      </c>
      <c r="O5" s="61">
        <f t="shared" ref="O5:O31" si="7">IF((N5-N4)&lt;0,"0",(N5-N4))</f>
        <v>43</v>
      </c>
      <c r="P5" s="130">
        <v>170495</v>
      </c>
      <c r="Q5" s="59">
        <f t="shared" ref="Q5:Q31" si="8">IF((P5-P4)&lt;0,"0",(P5-P4))</f>
        <v>22</v>
      </c>
      <c r="R5" s="130">
        <v>24985</v>
      </c>
      <c r="S5" s="61">
        <f t="shared" ref="S5:S31" si="9">IF((R5-R4)&lt;0,"0",(R5-R4))</f>
        <v>193</v>
      </c>
      <c r="T5" s="130">
        <v>86822</v>
      </c>
      <c r="U5" s="59">
        <f t="shared" ref="U5:U31" si="10">IF((T5-T4)&lt;0,"0",(T5-T4))</f>
        <v>33</v>
      </c>
      <c r="V5" s="130">
        <v>305810</v>
      </c>
      <c r="W5" s="61">
        <f t="shared" ref="W5:W31" si="11">IF((V5-V4)&lt;0,"0",(V5-V4))</f>
        <v>0</v>
      </c>
      <c r="X5" s="97">
        <v>34599</v>
      </c>
      <c r="Y5" s="59">
        <f t="shared" ref="Y5:Y31" si="12">IF((X5-X4)&lt;0,"0",(X5-X4))</f>
        <v>0</v>
      </c>
      <c r="Z5" s="97">
        <v>744261</v>
      </c>
      <c r="AA5" s="61">
        <f t="shared" ref="AA5:AA31" si="13">IF((Z5-Z4)&lt;0,"0",(Z5-Z4))</f>
        <v>0</v>
      </c>
      <c r="AB5" s="68">
        <v>1410</v>
      </c>
      <c r="AC5" s="59">
        <f t="shared" si="0"/>
        <v>0</v>
      </c>
      <c r="AD5" s="100">
        <v>126483</v>
      </c>
      <c r="AE5" s="59">
        <f t="shared" si="0"/>
        <v>0</v>
      </c>
      <c r="AF5" s="100">
        <v>1982</v>
      </c>
      <c r="AG5" s="59">
        <f t="shared" si="0"/>
        <v>0</v>
      </c>
      <c r="AH5" s="63">
        <f t="shared" ref="AH5:AH31" si="14">C5+E5+G5+I5+K5+M5+O5+Q5+S5+U5+W5+Y5+AA5+AC5+AE5+AG5</f>
        <v>1853</v>
      </c>
      <c r="AI5" s="18">
        <v>0</v>
      </c>
      <c r="AJ5" s="52">
        <f t="shared" ref="AJ5:AJ31" si="15">IF((AI5-AI4)&lt;0,"0",(AI5-AI4))</f>
        <v>0</v>
      </c>
    </row>
    <row r="6" spans="1:42">
      <c r="A6" s="51">
        <v>44960</v>
      </c>
      <c r="B6" s="129">
        <v>1637528</v>
      </c>
      <c r="C6" s="61">
        <f t="shared" si="1"/>
        <v>305</v>
      </c>
      <c r="D6" s="129">
        <v>33798575</v>
      </c>
      <c r="E6" s="59">
        <f t="shared" si="2"/>
        <v>955</v>
      </c>
      <c r="F6" s="130">
        <v>97505</v>
      </c>
      <c r="G6" s="59">
        <f t="shared" si="3"/>
        <v>140</v>
      </c>
      <c r="H6" s="130">
        <v>102800</v>
      </c>
      <c r="I6" s="59">
        <f t="shared" si="4"/>
        <v>27</v>
      </c>
      <c r="J6" s="131">
        <v>186466</v>
      </c>
      <c r="K6" s="61">
        <f t="shared" si="5"/>
        <v>24</v>
      </c>
      <c r="L6" s="130">
        <v>122260</v>
      </c>
      <c r="M6" s="59">
        <f t="shared" si="6"/>
        <v>52</v>
      </c>
      <c r="N6" s="130">
        <v>664760</v>
      </c>
      <c r="O6" s="61">
        <f t="shared" si="7"/>
        <v>38</v>
      </c>
      <c r="P6" s="130">
        <v>170526</v>
      </c>
      <c r="Q6" s="59">
        <f t="shared" si="8"/>
        <v>31</v>
      </c>
      <c r="R6" s="130">
        <v>25168</v>
      </c>
      <c r="S6" s="61">
        <f t="shared" si="9"/>
        <v>183</v>
      </c>
      <c r="T6" s="130">
        <v>86856</v>
      </c>
      <c r="U6" s="59">
        <f t="shared" si="10"/>
        <v>34</v>
      </c>
      <c r="V6" s="130">
        <v>305810</v>
      </c>
      <c r="W6" s="61">
        <f t="shared" si="11"/>
        <v>0</v>
      </c>
      <c r="X6" s="97">
        <v>34599</v>
      </c>
      <c r="Y6" s="59">
        <f t="shared" si="12"/>
        <v>0</v>
      </c>
      <c r="Z6" s="97">
        <v>744261</v>
      </c>
      <c r="AA6" s="61">
        <f t="shared" si="13"/>
        <v>0</v>
      </c>
      <c r="AB6" s="68">
        <v>1410</v>
      </c>
      <c r="AC6" s="59">
        <f t="shared" si="0"/>
        <v>0</v>
      </c>
      <c r="AD6" s="100">
        <v>126483</v>
      </c>
      <c r="AE6" s="59">
        <f t="shared" si="0"/>
        <v>0</v>
      </c>
      <c r="AF6" s="100">
        <v>1982</v>
      </c>
      <c r="AG6" s="59">
        <f t="shared" si="0"/>
        <v>0</v>
      </c>
      <c r="AH6" s="63">
        <f t="shared" si="14"/>
        <v>1789</v>
      </c>
      <c r="AI6" s="18">
        <v>0</v>
      </c>
      <c r="AJ6" s="52">
        <f t="shared" si="15"/>
        <v>0</v>
      </c>
    </row>
    <row r="7" spans="1:42">
      <c r="A7" s="51">
        <v>44961</v>
      </c>
      <c r="B7" s="129">
        <v>1637807</v>
      </c>
      <c r="C7" s="61">
        <f t="shared" si="1"/>
        <v>279</v>
      </c>
      <c r="D7" s="129">
        <v>33799645</v>
      </c>
      <c r="E7" s="59">
        <f t="shared" si="2"/>
        <v>1070</v>
      </c>
      <c r="F7" s="130">
        <v>97636</v>
      </c>
      <c r="G7" s="59">
        <f t="shared" si="3"/>
        <v>131</v>
      </c>
      <c r="H7" s="130">
        <v>102828</v>
      </c>
      <c r="I7" s="59">
        <f t="shared" si="4"/>
        <v>28</v>
      </c>
      <c r="J7" s="131">
        <v>186486</v>
      </c>
      <c r="K7" s="61">
        <f t="shared" si="5"/>
        <v>20</v>
      </c>
      <c r="L7" s="130">
        <v>122311</v>
      </c>
      <c r="M7" s="59">
        <f t="shared" si="6"/>
        <v>51</v>
      </c>
      <c r="N7" s="130">
        <v>664804</v>
      </c>
      <c r="O7" s="61">
        <f t="shared" si="7"/>
        <v>44</v>
      </c>
      <c r="P7" s="130">
        <v>170559</v>
      </c>
      <c r="Q7" s="59">
        <f t="shared" si="8"/>
        <v>33</v>
      </c>
      <c r="R7" s="130">
        <v>25358</v>
      </c>
      <c r="S7" s="61">
        <f t="shared" si="9"/>
        <v>190</v>
      </c>
      <c r="T7" s="130">
        <v>86886</v>
      </c>
      <c r="U7" s="59">
        <f t="shared" si="10"/>
        <v>30</v>
      </c>
      <c r="V7" s="130">
        <v>305810</v>
      </c>
      <c r="W7" s="61">
        <f t="shared" si="11"/>
        <v>0</v>
      </c>
      <c r="X7" s="97">
        <v>34599</v>
      </c>
      <c r="Y7" s="59">
        <f t="shared" si="12"/>
        <v>0</v>
      </c>
      <c r="Z7" s="97">
        <v>744261</v>
      </c>
      <c r="AA7" s="61">
        <f t="shared" si="13"/>
        <v>0</v>
      </c>
      <c r="AB7" s="68">
        <v>1410</v>
      </c>
      <c r="AC7" s="59">
        <f t="shared" si="0"/>
        <v>0</v>
      </c>
      <c r="AD7" s="100">
        <v>126483</v>
      </c>
      <c r="AE7" s="59">
        <f t="shared" si="0"/>
        <v>0</v>
      </c>
      <c r="AF7" s="100">
        <v>1982</v>
      </c>
      <c r="AG7" s="59">
        <f t="shared" si="0"/>
        <v>0</v>
      </c>
      <c r="AH7" s="63">
        <f t="shared" si="14"/>
        <v>1876</v>
      </c>
      <c r="AI7" s="18">
        <v>0</v>
      </c>
      <c r="AJ7" s="52">
        <f t="shared" si="15"/>
        <v>0</v>
      </c>
    </row>
    <row r="8" spans="1:42">
      <c r="A8" s="51">
        <v>44962</v>
      </c>
      <c r="B8" s="129">
        <v>1638124</v>
      </c>
      <c r="C8" s="61">
        <f t="shared" si="1"/>
        <v>317</v>
      </c>
      <c r="D8" s="129">
        <v>33800565</v>
      </c>
      <c r="E8" s="59">
        <f t="shared" si="2"/>
        <v>920</v>
      </c>
      <c r="F8" s="130">
        <v>97779</v>
      </c>
      <c r="G8" s="59">
        <f t="shared" si="3"/>
        <v>143</v>
      </c>
      <c r="H8" s="130">
        <v>102854</v>
      </c>
      <c r="I8" s="59">
        <f t="shared" si="4"/>
        <v>26</v>
      </c>
      <c r="J8" s="131">
        <v>186486</v>
      </c>
      <c r="K8" s="61">
        <f t="shared" si="5"/>
        <v>0</v>
      </c>
      <c r="L8" s="130">
        <v>122352</v>
      </c>
      <c r="M8" s="59">
        <f t="shared" si="6"/>
        <v>41</v>
      </c>
      <c r="N8" s="130">
        <v>664838</v>
      </c>
      <c r="O8" s="61">
        <f t="shared" si="7"/>
        <v>34</v>
      </c>
      <c r="P8" s="130">
        <v>170592</v>
      </c>
      <c r="Q8" s="59">
        <f t="shared" si="8"/>
        <v>33</v>
      </c>
      <c r="R8" s="130">
        <v>25526</v>
      </c>
      <c r="S8" s="61">
        <f t="shared" si="9"/>
        <v>168</v>
      </c>
      <c r="T8" s="130">
        <v>86911</v>
      </c>
      <c r="U8" s="59">
        <f t="shared" si="10"/>
        <v>25</v>
      </c>
      <c r="V8" s="130">
        <v>305810</v>
      </c>
      <c r="W8" s="61">
        <f t="shared" si="11"/>
        <v>0</v>
      </c>
      <c r="X8" s="97">
        <v>34599</v>
      </c>
      <c r="Y8" s="59">
        <f t="shared" si="12"/>
        <v>0</v>
      </c>
      <c r="Z8" s="97">
        <v>744261</v>
      </c>
      <c r="AA8" s="61">
        <f t="shared" si="13"/>
        <v>0</v>
      </c>
      <c r="AB8" s="68">
        <v>1410</v>
      </c>
      <c r="AC8" s="59">
        <f t="shared" si="0"/>
        <v>0</v>
      </c>
      <c r="AD8" s="100">
        <v>126483</v>
      </c>
      <c r="AE8" s="59">
        <f t="shared" si="0"/>
        <v>0</v>
      </c>
      <c r="AF8" s="100">
        <v>1982</v>
      </c>
      <c r="AG8" s="59">
        <f t="shared" si="0"/>
        <v>0</v>
      </c>
      <c r="AH8" s="63">
        <f t="shared" si="14"/>
        <v>1707</v>
      </c>
      <c r="AI8" s="18">
        <v>0</v>
      </c>
      <c r="AJ8" s="52">
        <f t="shared" si="15"/>
        <v>0</v>
      </c>
    </row>
    <row r="9" spans="1:42">
      <c r="A9" s="51">
        <v>44963</v>
      </c>
      <c r="B9" s="129">
        <v>1638403</v>
      </c>
      <c r="C9" s="61">
        <f t="shared" si="1"/>
        <v>279</v>
      </c>
      <c r="D9" s="129">
        <v>33801652</v>
      </c>
      <c r="E9" s="59">
        <f t="shared" si="2"/>
        <v>1087</v>
      </c>
      <c r="F9" s="130">
        <v>97903</v>
      </c>
      <c r="G9" s="59">
        <f t="shared" si="3"/>
        <v>124</v>
      </c>
      <c r="H9" s="130">
        <v>102878</v>
      </c>
      <c r="I9" s="59">
        <f t="shared" si="4"/>
        <v>24</v>
      </c>
      <c r="J9" s="131">
        <v>186486</v>
      </c>
      <c r="K9" s="61">
        <f t="shared" si="5"/>
        <v>0</v>
      </c>
      <c r="L9" s="130">
        <v>122380</v>
      </c>
      <c r="M9" s="59">
        <f t="shared" si="6"/>
        <v>28</v>
      </c>
      <c r="N9" s="130">
        <v>664878</v>
      </c>
      <c r="O9" s="61">
        <f t="shared" si="7"/>
        <v>40</v>
      </c>
      <c r="P9" s="130">
        <v>170625</v>
      </c>
      <c r="Q9" s="59">
        <f t="shared" si="8"/>
        <v>33</v>
      </c>
      <c r="R9" s="130">
        <v>25692</v>
      </c>
      <c r="S9" s="61">
        <f t="shared" si="9"/>
        <v>166</v>
      </c>
      <c r="T9" s="130">
        <v>86950</v>
      </c>
      <c r="U9" s="59">
        <f t="shared" si="10"/>
        <v>39</v>
      </c>
      <c r="V9" s="130">
        <v>305810</v>
      </c>
      <c r="W9" s="61">
        <f t="shared" si="11"/>
        <v>0</v>
      </c>
      <c r="X9" s="97">
        <v>34599</v>
      </c>
      <c r="Y9" s="59">
        <f t="shared" si="12"/>
        <v>0</v>
      </c>
      <c r="Z9" s="97">
        <v>744261</v>
      </c>
      <c r="AA9" s="61">
        <f t="shared" si="13"/>
        <v>0</v>
      </c>
      <c r="AB9" s="68">
        <v>1410</v>
      </c>
      <c r="AC9" s="59">
        <f t="shared" si="0"/>
        <v>0</v>
      </c>
      <c r="AD9" s="100">
        <v>126483</v>
      </c>
      <c r="AE9" s="59">
        <f t="shared" si="0"/>
        <v>0</v>
      </c>
      <c r="AF9" s="100">
        <v>1982</v>
      </c>
      <c r="AG9" s="59">
        <f t="shared" si="0"/>
        <v>0</v>
      </c>
      <c r="AH9" s="63">
        <f t="shared" si="14"/>
        <v>1820</v>
      </c>
      <c r="AI9" s="18">
        <v>0</v>
      </c>
      <c r="AJ9" s="52">
        <f t="shared" si="15"/>
        <v>0</v>
      </c>
    </row>
    <row r="10" spans="1:42">
      <c r="A10" s="51">
        <v>44964</v>
      </c>
      <c r="B10" s="129">
        <v>1638665</v>
      </c>
      <c r="C10" s="61">
        <f t="shared" si="1"/>
        <v>262</v>
      </c>
      <c r="D10" s="129">
        <v>33802708</v>
      </c>
      <c r="E10" s="59">
        <f t="shared" si="2"/>
        <v>1056</v>
      </c>
      <c r="F10" s="130">
        <v>98034</v>
      </c>
      <c r="G10" s="59">
        <f t="shared" si="3"/>
        <v>131</v>
      </c>
      <c r="H10" s="130">
        <v>102904</v>
      </c>
      <c r="I10" s="59">
        <f t="shared" si="4"/>
        <v>26</v>
      </c>
      <c r="J10" s="131">
        <v>186518</v>
      </c>
      <c r="K10" s="61">
        <f t="shared" si="5"/>
        <v>32</v>
      </c>
      <c r="L10" s="130">
        <v>122422</v>
      </c>
      <c r="M10" s="59">
        <f t="shared" si="6"/>
        <v>42</v>
      </c>
      <c r="N10" s="130">
        <v>664903</v>
      </c>
      <c r="O10" s="61">
        <f t="shared" si="7"/>
        <v>25</v>
      </c>
      <c r="P10" s="130">
        <v>170658</v>
      </c>
      <c r="Q10" s="59">
        <f t="shared" si="8"/>
        <v>33</v>
      </c>
      <c r="R10" s="130">
        <v>25868</v>
      </c>
      <c r="S10" s="61">
        <f t="shared" si="9"/>
        <v>176</v>
      </c>
      <c r="T10" s="130">
        <v>86984</v>
      </c>
      <c r="U10" s="59">
        <f t="shared" si="10"/>
        <v>34</v>
      </c>
      <c r="V10" s="130">
        <v>305810</v>
      </c>
      <c r="W10" s="61">
        <f t="shared" si="11"/>
        <v>0</v>
      </c>
      <c r="X10" s="97">
        <v>34599</v>
      </c>
      <c r="Y10" s="59">
        <f t="shared" si="12"/>
        <v>0</v>
      </c>
      <c r="Z10" s="97">
        <v>744261</v>
      </c>
      <c r="AA10" s="61">
        <f t="shared" si="13"/>
        <v>0</v>
      </c>
      <c r="AB10" s="68">
        <v>1410</v>
      </c>
      <c r="AC10" s="59">
        <f t="shared" si="0"/>
        <v>0</v>
      </c>
      <c r="AD10" s="100">
        <v>126483</v>
      </c>
      <c r="AE10" s="59">
        <f t="shared" si="0"/>
        <v>0</v>
      </c>
      <c r="AF10" s="100">
        <v>1982</v>
      </c>
      <c r="AG10" s="59">
        <f t="shared" si="0"/>
        <v>0</v>
      </c>
      <c r="AH10" s="63">
        <f t="shared" si="14"/>
        <v>1817</v>
      </c>
      <c r="AI10" s="18">
        <v>0</v>
      </c>
      <c r="AJ10" s="52">
        <f t="shared" si="15"/>
        <v>0</v>
      </c>
    </row>
    <row r="11" spans="1:42">
      <c r="A11" s="51">
        <v>44965</v>
      </c>
      <c r="B11" s="129">
        <v>1639012</v>
      </c>
      <c r="C11" s="61">
        <f t="shared" si="1"/>
        <v>347</v>
      </c>
      <c r="D11" s="129">
        <v>33803948</v>
      </c>
      <c r="E11" s="59">
        <f>IF((D11-D10)&lt;0,"0",(D11-D10))</f>
        <v>1240</v>
      </c>
      <c r="F11" s="130">
        <v>98140</v>
      </c>
      <c r="G11" s="59">
        <f t="shared" si="3"/>
        <v>106</v>
      </c>
      <c r="H11" s="130">
        <v>102929</v>
      </c>
      <c r="I11" s="59">
        <f t="shared" si="4"/>
        <v>25</v>
      </c>
      <c r="J11" s="131">
        <v>186546</v>
      </c>
      <c r="K11" s="61">
        <f t="shared" si="5"/>
        <v>28</v>
      </c>
      <c r="L11" s="130">
        <v>122473</v>
      </c>
      <c r="M11" s="59">
        <f t="shared" si="6"/>
        <v>51</v>
      </c>
      <c r="N11" s="130">
        <v>664920</v>
      </c>
      <c r="O11" s="61">
        <f t="shared" si="7"/>
        <v>17</v>
      </c>
      <c r="P11" s="130">
        <v>170688</v>
      </c>
      <c r="Q11" s="59">
        <f t="shared" si="8"/>
        <v>30</v>
      </c>
      <c r="R11" s="130">
        <v>26056</v>
      </c>
      <c r="S11" s="61">
        <f t="shared" si="9"/>
        <v>188</v>
      </c>
      <c r="T11" s="130">
        <v>87023</v>
      </c>
      <c r="U11" s="59">
        <f t="shared" si="10"/>
        <v>39</v>
      </c>
      <c r="V11" s="130">
        <v>305810</v>
      </c>
      <c r="W11" s="61">
        <f t="shared" si="11"/>
        <v>0</v>
      </c>
      <c r="X11" s="97">
        <v>34599</v>
      </c>
      <c r="Y11" s="59">
        <f t="shared" si="12"/>
        <v>0</v>
      </c>
      <c r="Z11" s="97">
        <v>744261</v>
      </c>
      <c r="AA11" s="61">
        <f t="shared" si="13"/>
        <v>0</v>
      </c>
      <c r="AB11" s="68">
        <v>1410</v>
      </c>
      <c r="AC11" s="59">
        <f t="shared" si="0"/>
        <v>0</v>
      </c>
      <c r="AD11" s="100">
        <v>126483</v>
      </c>
      <c r="AE11" s="59">
        <f t="shared" si="0"/>
        <v>0</v>
      </c>
      <c r="AF11" s="100">
        <v>1982</v>
      </c>
      <c r="AG11" s="59">
        <f t="shared" si="0"/>
        <v>0</v>
      </c>
      <c r="AH11" s="63">
        <f t="shared" si="14"/>
        <v>2071</v>
      </c>
      <c r="AI11" s="18">
        <v>0</v>
      </c>
      <c r="AJ11" s="52">
        <f t="shared" si="15"/>
        <v>0</v>
      </c>
    </row>
    <row r="12" spans="1:42">
      <c r="A12" s="51">
        <v>44966</v>
      </c>
      <c r="B12" s="129">
        <v>1639306</v>
      </c>
      <c r="C12" s="61">
        <f t="shared" si="1"/>
        <v>294</v>
      </c>
      <c r="D12" s="129">
        <v>33805208</v>
      </c>
      <c r="E12" s="59">
        <f>IF((D12-D11)&lt;0,"0",(D12-D11))</f>
        <v>1260</v>
      </c>
      <c r="F12" s="130">
        <v>98288</v>
      </c>
      <c r="G12" s="59">
        <f t="shared" si="3"/>
        <v>148</v>
      </c>
      <c r="H12" s="130">
        <v>102950</v>
      </c>
      <c r="I12" s="59">
        <f t="shared" si="4"/>
        <v>21</v>
      </c>
      <c r="J12" s="131">
        <v>186575</v>
      </c>
      <c r="K12" s="61">
        <f t="shared" si="5"/>
        <v>29</v>
      </c>
      <c r="L12" s="130">
        <v>122522</v>
      </c>
      <c r="M12" s="59">
        <f t="shared" si="6"/>
        <v>49</v>
      </c>
      <c r="N12" s="130">
        <v>665047</v>
      </c>
      <c r="O12" s="61">
        <f t="shared" si="7"/>
        <v>127</v>
      </c>
      <c r="P12" s="130">
        <v>170720</v>
      </c>
      <c r="Q12" s="59">
        <f t="shared" si="8"/>
        <v>32</v>
      </c>
      <c r="R12" s="130">
        <v>26241</v>
      </c>
      <c r="S12" s="61">
        <f t="shared" si="9"/>
        <v>185</v>
      </c>
      <c r="T12" s="130">
        <v>87050</v>
      </c>
      <c r="U12" s="59">
        <f t="shared" si="10"/>
        <v>27</v>
      </c>
      <c r="V12" s="130">
        <v>305810</v>
      </c>
      <c r="W12" s="61">
        <f t="shared" si="11"/>
        <v>0</v>
      </c>
      <c r="X12" s="97">
        <v>34599</v>
      </c>
      <c r="Y12" s="59">
        <f t="shared" si="12"/>
        <v>0</v>
      </c>
      <c r="Z12" s="97">
        <v>744261</v>
      </c>
      <c r="AA12" s="61">
        <f t="shared" si="13"/>
        <v>0</v>
      </c>
      <c r="AB12" s="68">
        <v>1410</v>
      </c>
      <c r="AC12" s="59">
        <f t="shared" si="0"/>
        <v>0</v>
      </c>
      <c r="AD12" s="100">
        <v>126483</v>
      </c>
      <c r="AE12" s="59">
        <f t="shared" si="0"/>
        <v>0</v>
      </c>
      <c r="AF12" s="100">
        <v>1982</v>
      </c>
      <c r="AG12" s="59">
        <f t="shared" si="0"/>
        <v>0</v>
      </c>
      <c r="AH12" s="63">
        <f t="shared" si="14"/>
        <v>2172</v>
      </c>
      <c r="AI12" s="18">
        <v>0</v>
      </c>
      <c r="AJ12" s="52">
        <f t="shared" si="15"/>
        <v>0</v>
      </c>
    </row>
    <row r="13" spans="1:42">
      <c r="A13" s="51">
        <v>44967</v>
      </c>
      <c r="B13" s="129">
        <v>1639529</v>
      </c>
      <c r="C13" s="61">
        <f t="shared" si="1"/>
        <v>223</v>
      </c>
      <c r="D13" s="129">
        <v>33806489</v>
      </c>
      <c r="E13" s="59">
        <f>IF((D13-D12)&lt;0,"0",(D13-D12))</f>
        <v>1281</v>
      </c>
      <c r="F13" s="130">
        <v>98435</v>
      </c>
      <c r="G13" s="59">
        <f t="shared" si="3"/>
        <v>147</v>
      </c>
      <c r="H13" s="130">
        <v>102974</v>
      </c>
      <c r="I13" s="59">
        <f t="shared" si="4"/>
        <v>24</v>
      </c>
      <c r="J13" s="131">
        <v>186601</v>
      </c>
      <c r="K13" s="61">
        <f t="shared" si="5"/>
        <v>26</v>
      </c>
      <c r="L13" s="130">
        <v>122565</v>
      </c>
      <c r="M13" s="59">
        <f t="shared" si="6"/>
        <v>43</v>
      </c>
      <c r="N13" s="130">
        <v>665064</v>
      </c>
      <c r="O13" s="61">
        <f t="shared" si="7"/>
        <v>17</v>
      </c>
      <c r="P13" s="130">
        <v>170753</v>
      </c>
      <c r="Q13" s="59">
        <f t="shared" si="8"/>
        <v>33</v>
      </c>
      <c r="R13" s="130">
        <v>26455</v>
      </c>
      <c r="S13" s="61">
        <f t="shared" si="9"/>
        <v>214</v>
      </c>
      <c r="T13" s="130">
        <v>87080</v>
      </c>
      <c r="U13" s="59">
        <f t="shared" si="10"/>
        <v>30</v>
      </c>
      <c r="V13" s="130">
        <v>305810</v>
      </c>
      <c r="W13" s="61">
        <f t="shared" si="11"/>
        <v>0</v>
      </c>
      <c r="X13" s="97">
        <v>34599</v>
      </c>
      <c r="Y13" s="59">
        <f t="shared" si="12"/>
        <v>0</v>
      </c>
      <c r="Z13" s="97">
        <v>744261</v>
      </c>
      <c r="AA13" s="61">
        <f t="shared" si="13"/>
        <v>0</v>
      </c>
      <c r="AB13" s="68">
        <v>1410</v>
      </c>
      <c r="AC13" s="59">
        <f t="shared" si="0"/>
        <v>0</v>
      </c>
      <c r="AD13" s="100">
        <v>126483</v>
      </c>
      <c r="AE13" s="59">
        <f t="shared" si="0"/>
        <v>0</v>
      </c>
      <c r="AF13" s="100">
        <v>1982</v>
      </c>
      <c r="AG13" s="59">
        <f t="shared" si="0"/>
        <v>0</v>
      </c>
      <c r="AH13" s="63">
        <f t="shared" si="14"/>
        <v>2038</v>
      </c>
      <c r="AI13" s="18">
        <v>0</v>
      </c>
      <c r="AJ13" s="52">
        <f t="shared" si="15"/>
        <v>0</v>
      </c>
    </row>
    <row r="14" spans="1:42">
      <c r="A14" s="51">
        <v>44968</v>
      </c>
      <c r="B14" s="129">
        <v>1639782</v>
      </c>
      <c r="C14" s="61">
        <f t="shared" si="1"/>
        <v>253</v>
      </c>
      <c r="D14" s="129">
        <v>33807787</v>
      </c>
      <c r="E14" s="59">
        <f t="shared" si="2"/>
        <v>1298</v>
      </c>
      <c r="F14" s="130">
        <v>98561</v>
      </c>
      <c r="G14" s="59">
        <f t="shared" si="3"/>
        <v>126</v>
      </c>
      <c r="H14" s="130">
        <v>102998</v>
      </c>
      <c r="I14" s="59">
        <f t="shared" si="4"/>
        <v>24</v>
      </c>
      <c r="J14" s="131">
        <v>186631</v>
      </c>
      <c r="K14" s="61">
        <f t="shared" si="5"/>
        <v>30</v>
      </c>
      <c r="L14" s="130">
        <v>122615</v>
      </c>
      <c r="M14" s="59">
        <f t="shared" si="6"/>
        <v>50</v>
      </c>
      <c r="N14" s="130">
        <v>665070</v>
      </c>
      <c r="O14" s="61">
        <f t="shared" si="7"/>
        <v>6</v>
      </c>
      <c r="P14" s="130">
        <v>170788</v>
      </c>
      <c r="Q14" s="59">
        <f t="shared" si="8"/>
        <v>35</v>
      </c>
      <c r="R14" s="130">
        <v>26655</v>
      </c>
      <c r="S14" s="61">
        <f t="shared" si="9"/>
        <v>200</v>
      </c>
      <c r="T14" s="130">
        <v>87111</v>
      </c>
      <c r="U14" s="59">
        <f t="shared" si="10"/>
        <v>31</v>
      </c>
      <c r="V14" s="130">
        <v>305810</v>
      </c>
      <c r="W14" s="61">
        <f t="shared" si="11"/>
        <v>0</v>
      </c>
      <c r="X14" s="97">
        <v>34599</v>
      </c>
      <c r="Y14" s="59">
        <f t="shared" si="12"/>
        <v>0</v>
      </c>
      <c r="Z14" s="97">
        <v>744261</v>
      </c>
      <c r="AA14" s="61">
        <f t="shared" si="13"/>
        <v>0</v>
      </c>
      <c r="AB14" s="68">
        <v>1410</v>
      </c>
      <c r="AC14" s="59">
        <f t="shared" si="0"/>
        <v>0</v>
      </c>
      <c r="AD14" s="100">
        <v>126483</v>
      </c>
      <c r="AE14" s="59">
        <f t="shared" si="0"/>
        <v>0</v>
      </c>
      <c r="AF14" s="100">
        <v>1982</v>
      </c>
      <c r="AG14" s="59">
        <f t="shared" si="0"/>
        <v>0</v>
      </c>
      <c r="AH14" s="63">
        <f t="shared" si="14"/>
        <v>2053</v>
      </c>
      <c r="AI14" s="18">
        <v>0</v>
      </c>
      <c r="AJ14" s="52">
        <f t="shared" si="15"/>
        <v>0</v>
      </c>
    </row>
    <row r="15" spans="1:42">
      <c r="A15" s="51">
        <v>44969</v>
      </c>
      <c r="B15" s="129">
        <v>1640098</v>
      </c>
      <c r="C15" s="61">
        <f t="shared" si="1"/>
        <v>316</v>
      </c>
      <c r="D15" s="129">
        <v>33809033</v>
      </c>
      <c r="E15" s="59">
        <f t="shared" si="2"/>
        <v>1246</v>
      </c>
      <c r="F15" s="130">
        <v>98675</v>
      </c>
      <c r="G15" s="59">
        <f t="shared" si="3"/>
        <v>114</v>
      </c>
      <c r="H15" s="130">
        <v>103020</v>
      </c>
      <c r="I15" s="59">
        <f t="shared" si="4"/>
        <v>22</v>
      </c>
      <c r="J15" s="131">
        <v>186632</v>
      </c>
      <c r="K15" s="61">
        <f t="shared" si="5"/>
        <v>1</v>
      </c>
      <c r="L15" s="130">
        <v>122653</v>
      </c>
      <c r="M15" s="59">
        <f t="shared" si="6"/>
        <v>38</v>
      </c>
      <c r="N15" s="130">
        <v>665113</v>
      </c>
      <c r="O15" s="61">
        <f t="shared" si="7"/>
        <v>43</v>
      </c>
      <c r="P15" s="130">
        <v>170815</v>
      </c>
      <c r="Q15" s="59">
        <f t="shared" si="8"/>
        <v>27</v>
      </c>
      <c r="R15" s="130">
        <v>26839</v>
      </c>
      <c r="S15" s="61">
        <f t="shared" si="9"/>
        <v>184</v>
      </c>
      <c r="T15" s="130">
        <v>87133</v>
      </c>
      <c r="U15" s="59">
        <f t="shared" si="10"/>
        <v>22</v>
      </c>
      <c r="V15" s="130">
        <v>305810</v>
      </c>
      <c r="W15" s="61">
        <f t="shared" si="11"/>
        <v>0</v>
      </c>
      <c r="X15" s="97">
        <v>34599</v>
      </c>
      <c r="Y15" s="59">
        <f t="shared" si="12"/>
        <v>0</v>
      </c>
      <c r="Z15" s="97">
        <v>744261</v>
      </c>
      <c r="AA15" s="61">
        <f t="shared" si="13"/>
        <v>0</v>
      </c>
      <c r="AB15" s="68">
        <v>1410</v>
      </c>
      <c r="AC15" s="59">
        <f t="shared" si="0"/>
        <v>0</v>
      </c>
      <c r="AD15" s="100">
        <v>126483</v>
      </c>
      <c r="AE15" s="59">
        <f t="shared" si="0"/>
        <v>0</v>
      </c>
      <c r="AF15" s="100">
        <v>1982</v>
      </c>
      <c r="AG15" s="59">
        <f t="shared" si="0"/>
        <v>0</v>
      </c>
      <c r="AH15" s="63">
        <f t="shared" si="14"/>
        <v>2013</v>
      </c>
      <c r="AI15" s="18">
        <v>0</v>
      </c>
      <c r="AJ15" s="52">
        <f t="shared" si="15"/>
        <v>0</v>
      </c>
    </row>
    <row r="16" spans="1:42">
      <c r="A16" s="51">
        <v>44970</v>
      </c>
      <c r="B16" s="129">
        <v>1640350</v>
      </c>
      <c r="C16" s="61">
        <f t="shared" si="1"/>
        <v>252</v>
      </c>
      <c r="D16" s="129">
        <v>33810152</v>
      </c>
      <c r="E16" s="59">
        <f t="shared" si="2"/>
        <v>1119</v>
      </c>
      <c r="F16" s="130">
        <v>98781</v>
      </c>
      <c r="G16" s="59">
        <f t="shared" si="3"/>
        <v>106</v>
      </c>
      <c r="H16" s="130">
        <v>103040</v>
      </c>
      <c r="I16" s="59">
        <f t="shared" si="4"/>
        <v>20</v>
      </c>
      <c r="J16" s="131">
        <v>186653</v>
      </c>
      <c r="K16" s="61">
        <f t="shared" si="5"/>
        <v>21</v>
      </c>
      <c r="L16" s="130">
        <v>122694</v>
      </c>
      <c r="M16" s="59">
        <f t="shared" si="6"/>
        <v>41</v>
      </c>
      <c r="N16" s="130">
        <v>665156</v>
      </c>
      <c r="O16" s="61">
        <f t="shared" si="7"/>
        <v>43</v>
      </c>
      <c r="P16" s="130">
        <v>170853</v>
      </c>
      <c r="Q16" s="59">
        <f t="shared" si="8"/>
        <v>38</v>
      </c>
      <c r="R16" s="130">
        <v>27006</v>
      </c>
      <c r="S16" s="61">
        <f t="shared" si="9"/>
        <v>167</v>
      </c>
      <c r="T16" s="130">
        <v>87169</v>
      </c>
      <c r="U16" s="59">
        <f t="shared" si="10"/>
        <v>36</v>
      </c>
      <c r="V16" s="130">
        <v>305810</v>
      </c>
      <c r="W16" s="61">
        <f t="shared" si="11"/>
        <v>0</v>
      </c>
      <c r="X16" s="97">
        <v>34599</v>
      </c>
      <c r="Y16" s="59">
        <f t="shared" si="12"/>
        <v>0</v>
      </c>
      <c r="Z16" s="97">
        <v>744261</v>
      </c>
      <c r="AA16" s="61">
        <f t="shared" si="13"/>
        <v>0</v>
      </c>
      <c r="AB16" s="68">
        <v>1410</v>
      </c>
      <c r="AC16" s="59">
        <f t="shared" si="0"/>
        <v>0</v>
      </c>
      <c r="AD16" s="100">
        <v>126483</v>
      </c>
      <c r="AE16" s="59">
        <f t="shared" si="0"/>
        <v>0</v>
      </c>
      <c r="AF16" s="100">
        <v>1982</v>
      </c>
      <c r="AG16" s="59">
        <f t="shared" si="0"/>
        <v>0</v>
      </c>
      <c r="AH16" s="63">
        <f t="shared" si="14"/>
        <v>1843</v>
      </c>
      <c r="AI16" s="18">
        <v>0</v>
      </c>
      <c r="AJ16" s="52">
        <f t="shared" si="15"/>
        <v>0</v>
      </c>
      <c r="AP16" t="s">
        <v>72</v>
      </c>
    </row>
    <row r="17" spans="1:42">
      <c r="A17" s="51">
        <v>44971</v>
      </c>
      <c r="B17" s="129">
        <v>1640640</v>
      </c>
      <c r="C17" s="61">
        <f t="shared" si="1"/>
        <v>290</v>
      </c>
      <c r="D17" s="129">
        <v>33811570</v>
      </c>
      <c r="E17" s="59">
        <f t="shared" si="2"/>
        <v>1418</v>
      </c>
      <c r="F17" s="130">
        <v>98900</v>
      </c>
      <c r="G17" s="59">
        <f t="shared" si="3"/>
        <v>119</v>
      </c>
      <c r="H17" s="130">
        <v>103073</v>
      </c>
      <c r="I17" s="59">
        <f t="shared" si="4"/>
        <v>33</v>
      </c>
      <c r="J17" s="131">
        <v>186692</v>
      </c>
      <c r="K17" s="61">
        <f t="shared" si="5"/>
        <v>39</v>
      </c>
      <c r="L17" s="130">
        <v>122738</v>
      </c>
      <c r="M17" s="59">
        <f t="shared" si="6"/>
        <v>44</v>
      </c>
      <c r="N17" s="130">
        <v>665189</v>
      </c>
      <c r="O17" s="61">
        <f t="shared" si="7"/>
        <v>33</v>
      </c>
      <c r="P17" s="130">
        <v>170887</v>
      </c>
      <c r="Q17" s="59">
        <f t="shared" si="8"/>
        <v>34</v>
      </c>
      <c r="R17" s="130">
        <v>27189</v>
      </c>
      <c r="S17" s="61">
        <f t="shared" si="9"/>
        <v>183</v>
      </c>
      <c r="T17" s="130">
        <v>87205</v>
      </c>
      <c r="U17" s="59">
        <f t="shared" si="10"/>
        <v>36</v>
      </c>
      <c r="V17" s="130">
        <v>305810</v>
      </c>
      <c r="W17" s="61">
        <f t="shared" si="11"/>
        <v>0</v>
      </c>
      <c r="X17" s="97">
        <v>34599</v>
      </c>
      <c r="Y17" s="59">
        <f t="shared" si="12"/>
        <v>0</v>
      </c>
      <c r="Z17" s="97">
        <v>744261</v>
      </c>
      <c r="AA17" s="61">
        <f t="shared" si="13"/>
        <v>0</v>
      </c>
      <c r="AB17" s="68">
        <v>1410</v>
      </c>
      <c r="AC17" s="59">
        <f t="shared" si="0"/>
        <v>0</v>
      </c>
      <c r="AD17" s="100">
        <v>126483</v>
      </c>
      <c r="AE17" s="59">
        <f t="shared" si="0"/>
        <v>0</v>
      </c>
      <c r="AF17" s="100">
        <v>1982</v>
      </c>
      <c r="AG17" s="59">
        <f t="shared" si="0"/>
        <v>0</v>
      </c>
      <c r="AH17" s="63">
        <f t="shared" si="14"/>
        <v>2229</v>
      </c>
      <c r="AI17" s="18">
        <v>0</v>
      </c>
      <c r="AJ17" s="52">
        <f t="shared" si="15"/>
        <v>0</v>
      </c>
    </row>
    <row r="18" spans="1:42">
      <c r="A18" s="51">
        <v>44972</v>
      </c>
      <c r="B18" s="129">
        <v>1640889</v>
      </c>
      <c r="C18" s="61">
        <f t="shared" si="1"/>
        <v>249</v>
      </c>
      <c r="D18" s="129">
        <v>33812599</v>
      </c>
      <c r="E18" s="59">
        <f t="shared" si="2"/>
        <v>1029</v>
      </c>
      <c r="F18" s="130">
        <v>99028</v>
      </c>
      <c r="G18" s="59">
        <f t="shared" si="3"/>
        <v>128</v>
      </c>
      <c r="H18" s="130">
        <v>103098</v>
      </c>
      <c r="I18" s="59">
        <f t="shared" si="4"/>
        <v>25</v>
      </c>
      <c r="J18" s="131">
        <v>186722</v>
      </c>
      <c r="K18" s="61">
        <f t="shared" si="5"/>
        <v>30</v>
      </c>
      <c r="L18" s="132">
        <v>122786</v>
      </c>
      <c r="M18" s="59">
        <f t="shared" si="6"/>
        <v>48</v>
      </c>
      <c r="N18" s="130">
        <v>665222</v>
      </c>
      <c r="O18" s="61">
        <f t="shared" si="7"/>
        <v>33</v>
      </c>
      <c r="P18" s="130">
        <v>170918</v>
      </c>
      <c r="Q18" s="59">
        <f t="shared" si="8"/>
        <v>31</v>
      </c>
      <c r="R18" s="130">
        <v>27351</v>
      </c>
      <c r="S18" s="61">
        <f t="shared" si="9"/>
        <v>162</v>
      </c>
      <c r="T18" s="130">
        <v>87227</v>
      </c>
      <c r="U18" s="59">
        <f t="shared" si="10"/>
        <v>22</v>
      </c>
      <c r="V18" s="130">
        <v>305810</v>
      </c>
      <c r="W18" s="61">
        <f t="shared" si="11"/>
        <v>0</v>
      </c>
      <c r="X18" s="97">
        <v>34599</v>
      </c>
      <c r="Y18" s="59">
        <f t="shared" si="12"/>
        <v>0</v>
      </c>
      <c r="Z18" s="97">
        <v>744261</v>
      </c>
      <c r="AA18" s="61">
        <f t="shared" si="13"/>
        <v>0</v>
      </c>
      <c r="AB18" s="68">
        <v>1410</v>
      </c>
      <c r="AC18" s="59">
        <f t="shared" si="0"/>
        <v>0</v>
      </c>
      <c r="AD18" s="100">
        <v>126483</v>
      </c>
      <c r="AE18" s="59">
        <f t="shared" si="0"/>
        <v>0</v>
      </c>
      <c r="AF18" s="100">
        <v>1982</v>
      </c>
      <c r="AG18" s="59">
        <f t="shared" si="0"/>
        <v>0</v>
      </c>
      <c r="AH18" s="63">
        <f t="shared" si="14"/>
        <v>1757</v>
      </c>
      <c r="AI18" s="18">
        <v>0</v>
      </c>
      <c r="AJ18" s="52">
        <f t="shared" si="15"/>
        <v>0</v>
      </c>
    </row>
    <row r="19" spans="1:42">
      <c r="A19" s="51">
        <v>44973</v>
      </c>
      <c r="B19" s="129">
        <v>1641199</v>
      </c>
      <c r="C19" s="61">
        <f t="shared" si="1"/>
        <v>310</v>
      </c>
      <c r="D19" s="129">
        <v>33813730</v>
      </c>
      <c r="E19" s="59">
        <f t="shared" si="2"/>
        <v>1131</v>
      </c>
      <c r="F19" s="130">
        <v>99160</v>
      </c>
      <c r="G19" s="59">
        <f t="shared" si="3"/>
        <v>132</v>
      </c>
      <c r="H19" s="130">
        <v>103126</v>
      </c>
      <c r="I19" s="59">
        <f t="shared" si="4"/>
        <v>28</v>
      </c>
      <c r="J19" s="131">
        <v>186755</v>
      </c>
      <c r="K19" s="61">
        <f t="shared" si="5"/>
        <v>33</v>
      </c>
      <c r="L19" s="130">
        <v>122842</v>
      </c>
      <c r="M19" s="59">
        <f t="shared" si="6"/>
        <v>56</v>
      </c>
      <c r="N19" s="130">
        <v>665252</v>
      </c>
      <c r="O19" s="61">
        <f t="shared" si="7"/>
        <v>30</v>
      </c>
      <c r="P19" s="130">
        <v>170950</v>
      </c>
      <c r="Q19" s="59">
        <f t="shared" si="8"/>
        <v>32</v>
      </c>
      <c r="R19" s="130">
        <v>27521</v>
      </c>
      <c r="S19" s="61">
        <f t="shared" si="9"/>
        <v>170</v>
      </c>
      <c r="T19" s="130">
        <v>87254</v>
      </c>
      <c r="U19" s="59">
        <f t="shared" si="10"/>
        <v>27</v>
      </c>
      <c r="V19" s="130">
        <v>305810</v>
      </c>
      <c r="W19" s="61">
        <f t="shared" si="11"/>
        <v>0</v>
      </c>
      <c r="X19" s="97">
        <v>34599</v>
      </c>
      <c r="Y19" s="59">
        <f t="shared" si="12"/>
        <v>0</v>
      </c>
      <c r="Z19" s="97">
        <v>744261</v>
      </c>
      <c r="AA19" s="61">
        <f t="shared" si="13"/>
        <v>0</v>
      </c>
      <c r="AB19" s="68">
        <v>1410</v>
      </c>
      <c r="AC19" s="59">
        <f t="shared" si="0"/>
        <v>0</v>
      </c>
      <c r="AD19" s="100">
        <v>126483</v>
      </c>
      <c r="AE19" s="59">
        <f t="shared" si="0"/>
        <v>0</v>
      </c>
      <c r="AF19" s="100">
        <v>1982</v>
      </c>
      <c r="AG19" s="59">
        <f t="shared" si="0"/>
        <v>0</v>
      </c>
      <c r="AH19" s="63">
        <f t="shared" si="14"/>
        <v>1949</v>
      </c>
      <c r="AI19" s="18">
        <v>0</v>
      </c>
      <c r="AJ19" s="52">
        <f t="shared" si="15"/>
        <v>0</v>
      </c>
    </row>
    <row r="20" spans="1:42">
      <c r="A20" s="51">
        <v>44974</v>
      </c>
      <c r="B20" s="129">
        <v>1641457</v>
      </c>
      <c r="C20" s="61">
        <f t="shared" si="1"/>
        <v>258</v>
      </c>
      <c r="D20" s="129">
        <v>33815008</v>
      </c>
      <c r="E20" s="59">
        <f t="shared" si="2"/>
        <v>1278</v>
      </c>
      <c r="F20" s="130">
        <v>99304</v>
      </c>
      <c r="G20" s="59">
        <f t="shared" si="3"/>
        <v>144</v>
      </c>
      <c r="H20" s="130">
        <v>103155</v>
      </c>
      <c r="I20" s="59">
        <f t="shared" si="4"/>
        <v>29</v>
      </c>
      <c r="J20" s="131">
        <v>186781</v>
      </c>
      <c r="K20" s="61">
        <f t="shared" si="5"/>
        <v>26</v>
      </c>
      <c r="L20" s="130">
        <v>122883</v>
      </c>
      <c r="M20" s="59">
        <f t="shared" si="6"/>
        <v>41</v>
      </c>
      <c r="N20" s="130">
        <v>665295</v>
      </c>
      <c r="O20" s="61">
        <f t="shared" si="7"/>
        <v>43</v>
      </c>
      <c r="P20" s="130">
        <v>170980</v>
      </c>
      <c r="Q20" s="59">
        <f t="shared" si="8"/>
        <v>30</v>
      </c>
      <c r="R20" s="130">
        <v>27704</v>
      </c>
      <c r="S20" s="61">
        <f t="shared" si="9"/>
        <v>183</v>
      </c>
      <c r="T20" s="130">
        <v>87291</v>
      </c>
      <c r="U20" s="59">
        <f t="shared" si="10"/>
        <v>37</v>
      </c>
      <c r="V20" s="130">
        <v>305810</v>
      </c>
      <c r="W20" s="61">
        <f t="shared" si="11"/>
        <v>0</v>
      </c>
      <c r="X20" s="97">
        <v>34599</v>
      </c>
      <c r="Y20" s="59">
        <f t="shared" si="12"/>
        <v>0</v>
      </c>
      <c r="Z20" s="97">
        <v>744261</v>
      </c>
      <c r="AA20" s="61">
        <f t="shared" si="13"/>
        <v>0</v>
      </c>
      <c r="AB20" s="68">
        <v>1410</v>
      </c>
      <c r="AC20" s="59">
        <f t="shared" si="0"/>
        <v>0</v>
      </c>
      <c r="AD20" s="100">
        <v>126483</v>
      </c>
      <c r="AE20" s="59">
        <f t="shared" si="0"/>
        <v>0</v>
      </c>
      <c r="AF20" s="100">
        <v>1982</v>
      </c>
      <c r="AG20" s="59">
        <f t="shared" si="0"/>
        <v>0</v>
      </c>
      <c r="AH20" s="63">
        <f t="shared" si="14"/>
        <v>2069</v>
      </c>
      <c r="AI20" s="18">
        <v>0</v>
      </c>
      <c r="AJ20" s="52">
        <f t="shared" si="15"/>
        <v>0</v>
      </c>
    </row>
    <row r="21" spans="1:42">
      <c r="A21" s="51">
        <v>44975</v>
      </c>
      <c r="B21" s="129">
        <v>1641773</v>
      </c>
      <c r="C21" s="61">
        <f t="shared" si="1"/>
        <v>316</v>
      </c>
      <c r="D21" s="129">
        <v>33816129</v>
      </c>
      <c r="E21" s="59">
        <f t="shared" si="2"/>
        <v>1121</v>
      </c>
      <c r="F21" s="130">
        <v>99414</v>
      </c>
      <c r="G21" s="59">
        <f t="shared" si="3"/>
        <v>110</v>
      </c>
      <c r="H21" s="130">
        <v>103176</v>
      </c>
      <c r="I21" s="59">
        <f t="shared" si="4"/>
        <v>21</v>
      </c>
      <c r="J21" s="131">
        <v>186808</v>
      </c>
      <c r="K21" s="61">
        <f t="shared" si="5"/>
        <v>27</v>
      </c>
      <c r="L21" s="130">
        <v>122932</v>
      </c>
      <c r="M21" s="59">
        <f t="shared" si="6"/>
        <v>49</v>
      </c>
      <c r="N21" s="130">
        <v>665394</v>
      </c>
      <c r="O21" s="61">
        <f t="shared" si="7"/>
        <v>99</v>
      </c>
      <c r="P21" s="130">
        <v>171011</v>
      </c>
      <c r="Q21" s="59">
        <f t="shared" si="8"/>
        <v>31</v>
      </c>
      <c r="R21" s="130">
        <v>27876</v>
      </c>
      <c r="S21" s="61">
        <f t="shared" si="9"/>
        <v>172</v>
      </c>
      <c r="T21" s="130">
        <v>87311</v>
      </c>
      <c r="U21" s="59">
        <f t="shared" si="10"/>
        <v>20</v>
      </c>
      <c r="V21" s="130">
        <v>305810</v>
      </c>
      <c r="W21" s="61">
        <f t="shared" si="11"/>
        <v>0</v>
      </c>
      <c r="X21" s="97">
        <v>34599</v>
      </c>
      <c r="Y21" s="59">
        <f t="shared" si="12"/>
        <v>0</v>
      </c>
      <c r="Z21" s="97">
        <v>744261</v>
      </c>
      <c r="AA21" s="61">
        <f t="shared" si="13"/>
        <v>0</v>
      </c>
      <c r="AB21" s="68">
        <v>1410</v>
      </c>
      <c r="AC21" s="59">
        <f t="shared" si="0"/>
        <v>0</v>
      </c>
      <c r="AD21" s="100">
        <v>126483</v>
      </c>
      <c r="AE21" s="59">
        <f t="shared" si="0"/>
        <v>0</v>
      </c>
      <c r="AF21" s="100">
        <v>1982</v>
      </c>
      <c r="AG21" s="59">
        <f t="shared" si="0"/>
        <v>0</v>
      </c>
      <c r="AH21" s="63">
        <f t="shared" si="14"/>
        <v>1966</v>
      </c>
      <c r="AI21" s="18">
        <v>0</v>
      </c>
      <c r="AJ21" s="52">
        <f t="shared" si="15"/>
        <v>0</v>
      </c>
    </row>
    <row r="22" spans="1:42">
      <c r="A22" s="51">
        <v>44976</v>
      </c>
      <c r="B22" s="129">
        <v>1642070</v>
      </c>
      <c r="C22" s="61">
        <f t="shared" si="1"/>
        <v>297</v>
      </c>
      <c r="D22" s="129">
        <v>33817206</v>
      </c>
      <c r="E22" s="59">
        <f t="shared" si="2"/>
        <v>1077</v>
      </c>
      <c r="F22" s="130">
        <v>99513</v>
      </c>
      <c r="G22" s="59">
        <f t="shared" si="3"/>
        <v>99</v>
      </c>
      <c r="H22" s="130">
        <v>103194</v>
      </c>
      <c r="I22" s="59">
        <f t="shared" si="4"/>
        <v>18</v>
      </c>
      <c r="J22" s="131">
        <v>186808</v>
      </c>
      <c r="K22" s="61">
        <f t="shared" si="5"/>
        <v>0</v>
      </c>
      <c r="L22" s="130">
        <v>122987</v>
      </c>
      <c r="M22" s="59">
        <f t="shared" si="6"/>
        <v>55</v>
      </c>
      <c r="N22" s="130">
        <v>665483</v>
      </c>
      <c r="O22" s="61">
        <f t="shared" si="7"/>
        <v>89</v>
      </c>
      <c r="P22" s="130">
        <v>171042</v>
      </c>
      <c r="Q22" s="59">
        <f t="shared" si="8"/>
        <v>31</v>
      </c>
      <c r="R22" s="130">
        <v>28046</v>
      </c>
      <c r="S22" s="61">
        <f t="shared" si="9"/>
        <v>170</v>
      </c>
      <c r="T22" s="130">
        <v>87343</v>
      </c>
      <c r="U22" s="59">
        <f t="shared" si="10"/>
        <v>32</v>
      </c>
      <c r="V22" s="130">
        <v>305810</v>
      </c>
      <c r="W22" s="61">
        <f t="shared" si="11"/>
        <v>0</v>
      </c>
      <c r="X22" s="97">
        <v>34599</v>
      </c>
      <c r="Y22" s="59">
        <f t="shared" si="12"/>
        <v>0</v>
      </c>
      <c r="Z22" s="97">
        <v>744261</v>
      </c>
      <c r="AA22" s="61">
        <f t="shared" si="13"/>
        <v>0</v>
      </c>
      <c r="AB22" s="68">
        <v>1410</v>
      </c>
      <c r="AC22" s="59">
        <f t="shared" si="0"/>
        <v>0</v>
      </c>
      <c r="AD22" s="100">
        <v>126483</v>
      </c>
      <c r="AE22" s="59">
        <f t="shared" si="0"/>
        <v>0</v>
      </c>
      <c r="AF22" s="100">
        <v>1982</v>
      </c>
      <c r="AG22" s="59">
        <f t="shared" si="0"/>
        <v>0</v>
      </c>
      <c r="AH22" s="63">
        <f t="shared" si="14"/>
        <v>1868</v>
      </c>
      <c r="AI22" s="18">
        <v>0</v>
      </c>
      <c r="AJ22" s="52">
        <f t="shared" si="15"/>
        <v>0</v>
      </c>
    </row>
    <row r="23" spans="1:42">
      <c r="A23" s="51">
        <v>44977</v>
      </c>
      <c r="B23" s="129">
        <v>1642305</v>
      </c>
      <c r="C23" s="61">
        <f t="shared" si="1"/>
        <v>235</v>
      </c>
      <c r="D23" s="129">
        <v>33818313</v>
      </c>
      <c r="E23" s="59">
        <f t="shared" si="2"/>
        <v>1107</v>
      </c>
      <c r="F23" s="130">
        <v>99627</v>
      </c>
      <c r="G23" s="59">
        <f t="shared" si="3"/>
        <v>114</v>
      </c>
      <c r="H23" s="130">
        <v>103224</v>
      </c>
      <c r="I23" s="59">
        <f t="shared" si="4"/>
        <v>30</v>
      </c>
      <c r="J23" s="131">
        <v>186808</v>
      </c>
      <c r="K23" s="61">
        <f t="shared" si="5"/>
        <v>0</v>
      </c>
      <c r="L23" s="130">
        <v>123032</v>
      </c>
      <c r="M23" s="59">
        <f t="shared" si="6"/>
        <v>45</v>
      </c>
      <c r="N23" s="130">
        <v>665532</v>
      </c>
      <c r="O23" s="61">
        <f t="shared" si="7"/>
        <v>49</v>
      </c>
      <c r="P23" s="130">
        <v>171072</v>
      </c>
      <c r="Q23" s="59">
        <f t="shared" si="8"/>
        <v>30</v>
      </c>
      <c r="R23" s="130">
        <v>28222</v>
      </c>
      <c r="S23" s="61">
        <f t="shared" si="9"/>
        <v>176</v>
      </c>
      <c r="T23" s="130">
        <v>87360</v>
      </c>
      <c r="U23" s="59">
        <f t="shared" si="10"/>
        <v>17</v>
      </c>
      <c r="V23" s="130">
        <v>305810</v>
      </c>
      <c r="W23" s="61">
        <f t="shared" si="11"/>
        <v>0</v>
      </c>
      <c r="X23" s="97">
        <v>34599</v>
      </c>
      <c r="Y23" s="59">
        <f t="shared" si="12"/>
        <v>0</v>
      </c>
      <c r="Z23" s="97">
        <v>744261</v>
      </c>
      <c r="AA23" s="61">
        <f t="shared" si="13"/>
        <v>0</v>
      </c>
      <c r="AB23" s="68">
        <v>1410</v>
      </c>
      <c r="AC23" s="59">
        <f t="shared" si="0"/>
        <v>0</v>
      </c>
      <c r="AD23" s="100">
        <v>126483</v>
      </c>
      <c r="AE23" s="59">
        <f t="shared" si="0"/>
        <v>0</v>
      </c>
      <c r="AF23" s="100">
        <v>1982</v>
      </c>
      <c r="AG23" s="59">
        <f t="shared" si="0"/>
        <v>0</v>
      </c>
      <c r="AH23" s="63">
        <f t="shared" si="14"/>
        <v>1803</v>
      </c>
      <c r="AI23" s="18">
        <v>0</v>
      </c>
      <c r="AJ23" s="52">
        <f t="shared" si="15"/>
        <v>0</v>
      </c>
    </row>
    <row r="24" spans="1:42">
      <c r="A24" s="51">
        <v>44978</v>
      </c>
      <c r="B24" s="129">
        <v>1642593</v>
      </c>
      <c r="C24" s="61">
        <f t="shared" si="1"/>
        <v>288</v>
      </c>
      <c r="D24" s="129">
        <v>33819430</v>
      </c>
      <c r="E24" s="59">
        <f t="shared" si="2"/>
        <v>1117</v>
      </c>
      <c r="F24" s="130">
        <v>99747</v>
      </c>
      <c r="G24" s="59">
        <f t="shared" si="3"/>
        <v>120</v>
      </c>
      <c r="H24" s="130">
        <v>103253</v>
      </c>
      <c r="I24" s="59">
        <f t="shared" si="4"/>
        <v>29</v>
      </c>
      <c r="J24" s="131">
        <v>186835</v>
      </c>
      <c r="K24" s="61">
        <f t="shared" si="5"/>
        <v>27</v>
      </c>
      <c r="L24" s="130">
        <v>123077</v>
      </c>
      <c r="M24" s="59">
        <f t="shared" si="6"/>
        <v>45</v>
      </c>
      <c r="N24" s="130">
        <v>665606</v>
      </c>
      <c r="O24" s="61">
        <f t="shared" si="7"/>
        <v>74</v>
      </c>
      <c r="P24" s="130">
        <v>171101</v>
      </c>
      <c r="Q24" s="59">
        <f t="shared" si="8"/>
        <v>29</v>
      </c>
      <c r="R24" s="130">
        <v>28278</v>
      </c>
      <c r="S24" s="61">
        <f t="shared" si="9"/>
        <v>56</v>
      </c>
      <c r="T24" s="130">
        <v>87398</v>
      </c>
      <c r="U24" s="59">
        <f t="shared" si="10"/>
        <v>38</v>
      </c>
      <c r="V24" s="130">
        <v>305810</v>
      </c>
      <c r="W24" s="61">
        <f t="shared" si="11"/>
        <v>0</v>
      </c>
      <c r="X24" s="97">
        <v>34599</v>
      </c>
      <c r="Y24" s="59">
        <f t="shared" si="12"/>
        <v>0</v>
      </c>
      <c r="Z24" s="97">
        <v>744261</v>
      </c>
      <c r="AA24" s="61">
        <f t="shared" si="13"/>
        <v>0</v>
      </c>
      <c r="AB24" s="68">
        <v>1410</v>
      </c>
      <c r="AC24" s="59">
        <f t="shared" si="0"/>
        <v>0</v>
      </c>
      <c r="AD24" s="100">
        <v>126483</v>
      </c>
      <c r="AE24" s="59">
        <f t="shared" si="0"/>
        <v>0</v>
      </c>
      <c r="AF24" s="100">
        <v>1982</v>
      </c>
      <c r="AG24" s="59">
        <f t="shared" si="0"/>
        <v>0</v>
      </c>
      <c r="AH24" s="63">
        <f t="shared" si="14"/>
        <v>1823</v>
      </c>
      <c r="AI24" s="18">
        <v>0</v>
      </c>
      <c r="AJ24" s="52">
        <f t="shared" si="15"/>
        <v>0</v>
      </c>
      <c r="AM24" t="s">
        <v>72</v>
      </c>
    </row>
    <row r="25" spans="1:42">
      <c r="A25" s="51">
        <v>44979</v>
      </c>
      <c r="B25" s="129">
        <v>1642879</v>
      </c>
      <c r="C25" s="61">
        <f t="shared" si="1"/>
        <v>286</v>
      </c>
      <c r="D25" s="129">
        <v>33820403</v>
      </c>
      <c r="E25" s="59">
        <f t="shared" si="2"/>
        <v>973</v>
      </c>
      <c r="F25" s="130">
        <v>99853</v>
      </c>
      <c r="G25" s="59">
        <f t="shared" si="3"/>
        <v>106</v>
      </c>
      <c r="H25" s="130">
        <v>103277</v>
      </c>
      <c r="I25" s="59">
        <f t="shared" si="4"/>
        <v>24</v>
      </c>
      <c r="J25" s="131">
        <v>186865</v>
      </c>
      <c r="K25" s="61">
        <f t="shared" si="5"/>
        <v>30</v>
      </c>
      <c r="L25" s="130">
        <v>123124</v>
      </c>
      <c r="M25" s="59">
        <f t="shared" si="6"/>
        <v>47</v>
      </c>
      <c r="N25" s="130">
        <v>665709</v>
      </c>
      <c r="O25" s="61">
        <f t="shared" si="7"/>
        <v>103</v>
      </c>
      <c r="P25" s="130">
        <v>171130</v>
      </c>
      <c r="Q25" s="59">
        <f t="shared" si="8"/>
        <v>29</v>
      </c>
      <c r="R25" s="130">
        <v>28552</v>
      </c>
      <c r="S25" s="61">
        <f t="shared" si="9"/>
        <v>274</v>
      </c>
      <c r="T25" s="130">
        <v>87418</v>
      </c>
      <c r="U25" s="59">
        <f t="shared" si="10"/>
        <v>20</v>
      </c>
      <c r="V25" s="130">
        <v>305810</v>
      </c>
      <c r="W25" s="61">
        <f t="shared" si="11"/>
        <v>0</v>
      </c>
      <c r="X25" s="97">
        <v>34599</v>
      </c>
      <c r="Y25" s="59">
        <f t="shared" si="12"/>
        <v>0</v>
      </c>
      <c r="Z25" s="97">
        <v>744261</v>
      </c>
      <c r="AA25" s="61">
        <f t="shared" si="13"/>
        <v>0</v>
      </c>
      <c r="AB25" s="68">
        <v>1410</v>
      </c>
      <c r="AC25" s="59">
        <f t="shared" si="0"/>
        <v>0</v>
      </c>
      <c r="AD25" s="100">
        <v>126483</v>
      </c>
      <c r="AE25" s="59">
        <f t="shared" si="0"/>
        <v>0</v>
      </c>
      <c r="AF25" s="100">
        <v>1982</v>
      </c>
      <c r="AG25" s="59">
        <f t="shared" si="0"/>
        <v>0</v>
      </c>
      <c r="AH25" s="63">
        <f t="shared" si="14"/>
        <v>1892</v>
      </c>
      <c r="AI25" s="18">
        <v>0</v>
      </c>
      <c r="AJ25" s="52">
        <f t="shared" si="15"/>
        <v>0</v>
      </c>
      <c r="AL25" t="s">
        <v>72</v>
      </c>
    </row>
    <row r="26" spans="1:42">
      <c r="A26" s="51">
        <v>44980</v>
      </c>
      <c r="B26" s="129">
        <v>1643161</v>
      </c>
      <c r="C26" s="61">
        <f t="shared" si="1"/>
        <v>282</v>
      </c>
      <c r="D26" s="129">
        <v>33821404</v>
      </c>
      <c r="E26" s="59">
        <f t="shared" si="2"/>
        <v>1001</v>
      </c>
      <c r="F26" s="130">
        <v>99978</v>
      </c>
      <c r="G26" s="59">
        <f t="shared" si="3"/>
        <v>125</v>
      </c>
      <c r="H26" s="130">
        <v>103303</v>
      </c>
      <c r="I26" s="59">
        <f t="shared" si="4"/>
        <v>26</v>
      </c>
      <c r="J26" s="131">
        <v>186893</v>
      </c>
      <c r="K26" s="61">
        <f t="shared" si="5"/>
        <v>28</v>
      </c>
      <c r="L26" s="130">
        <v>123173</v>
      </c>
      <c r="M26" s="59">
        <f t="shared" si="6"/>
        <v>49</v>
      </c>
      <c r="N26" s="130">
        <v>665803</v>
      </c>
      <c r="O26" s="61">
        <f t="shared" si="7"/>
        <v>94</v>
      </c>
      <c r="P26" s="130">
        <v>171163</v>
      </c>
      <c r="Q26" s="59">
        <f t="shared" si="8"/>
        <v>33</v>
      </c>
      <c r="R26" s="130">
        <v>28774</v>
      </c>
      <c r="S26" s="61">
        <f t="shared" si="9"/>
        <v>222</v>
      </c>
      <c r="T26" s="130">
        <v>87440</v>
      </c>
      <c r="U26" s="59">
        <f t="shared" si="10"/>
        <v>22</v>
      </c>
      <c r="V26" s="130">
        <v>305810</v>
      </c>
      <c r="W26" s="61">
        <f t="shared" si="11"/>
        <v>0</v>
      </c>
      <c r="X26" s="97">
        <v>34599</v>
      </c>
      <c r="Y26" s="59">
        <f t="shared" si="12"/>
        <v>0</v>
      </c>
      <c r="Z26" s="97">
        <v>744261</v>
      </c>
      <c r="AA26" s="61">
        <f t="shared" si="13"/>
        <v>0</v>
      </c>
      <c r="AB26" s="68">
        <v>1410</v>
      </c>
      <c r="AC26" s="59">
        <f t="shared" si="0"/>
        <v>0</v>
      </c>
      <c r="AD26" s="100">
        <v>126483</v>
      </c>
      <c r="AE26" s="59">
        <f t="shared" si="0"/>
        <v>0</v>
      </c>
      <c r="AF26" s="100">
        <v>1982</v>
      </c>
      <c r="AG26" s="59">
        <f t="shared" si="0"/>
        <v>0</v>
      </c>
      <c r="AH26" s="63">
        <f t="shared" si="14"/>
        <v>1882</v>
      </c>
      <c r="AI26" s="18">
        <v>0</v>
      </c>
      <c r="AJ26" s="52">
        <f t="shared" si="15"/>
        <v>0</v>
      </c>
    </row>
    <row r="27" spans="1:42">
      <c r="A27" s="51">
        <v>44981</v>
      </c>
      <c r="B27" s="129">
        <v>1643460</v>
      </c>
      <c r="C27" s="61">
        <f t="shared" si="1"/>
        <v>299</v>
      </c>
      <c r="D27" s="129">
        <v>33822511</v>
      </c>
      <c r="E27" s="59">
        <f t="shared" si="2"/>
        <v>1107</v>
      </c>
      <c r="F27" s="130">
        <v>100085</v>
      </c>
      <c r="G27" s="59">
        <f t="shared" si="3"/>
        <v>107</v>
      </c>
      <c r="H27" s="130">
        <v>103325</v>
      </c>
      <c r="I27" s="59">
        <f t="shared" si="4"/>
        <v>22</v>
      </c>
      <c r="J27" s="131">
        <v>186924</v>
      </c>
      <c r="K27" s="61">
        <f t="shared" si="5"/>
        <v>31</v>
      </c>
      <c r="L27" s="130">
        <v>123225</v>
      </c>
      <c r="M27" s="59">
        <f t="shared" si="6"/>
        <v>52</v>
      </c>
      <c r="N27" s="130">
        <v>665835</v>
      </c>
      <c r="O27" s="61">
        <f t="shared" si="7"/>
        <v>32</v>
      </c>
      <c r="P27" s="130">
        <v>171192</v>
      </c>
      <c r="Q27" s="59">
        <f t="shared" si="8"/>
        <v>29</v>
      </c>
      <c r="R27" s="130">
        <v>28963</v>
      </c>
      <c r="S27" s="61">
        <f t="shared" si="9"/>
        <v>189</v>
      </c>
      <c r="T27" s="130">
        <v>87465</v>
      </c>
      <c r="U27" s="59">
        <f t="shared" si="10"/>
        <v>25</v>
      </c>
      <c r="V27" s="130">
        <v>305810</v>
      </c>
      <c r="W27" s="61">
        <f t="shared" si="11"/>
        <v>0</v>
      </c>
      <c r="X27" s="97">
        <v>34599</v>
      </c>
      <c r="Y27" s="59">
        <f t="shared" si="12"/>
        <v>0</v>
      </c>
      <c r="Z27" s="97">
        <v>744261</v>
      </c>
      <c r="AA27" s="61">
        <f t="shared" si="13"/>
        <v>0</v>
      </c>
      <c r="AB27" s="68">
        <v>1410</v>
      </c>
      <c r="AC27" s="59">
        <f t="shared" si="0"/>
        <v>0</v>
      </c>
      <c r="AD27" s="100">
        <v>126483</v>
      </c>
      <c r="AE27" s="59">
        <f t="shared" si="0"/>
        <v>0</v>
      </c>
      <c r="AF27" s="100">
        <v>1982</v>
      </c>
      <c r="AG27" s="59">
        <f t="shared" si="0"/>
        <v>0</v>
      </c>
      <c r="AH27" s="63">
        <f t="shared" si="14"/>
        <v>1893</v>
      </c>
      <c r="AI27" s="18">
        <v>0</v>
      </c>
      <c r="AJ27" s="52">
        <f t="shared" si="15"/>
        <v>0</v>
      </c>
    </row>
    <row r="28" spans="1:42">
      <c r="A28" s="51">
        <v>44982</v>
      </c>
      <c r="B28" s="129">
        <v>1643729</v>
      </c>
      <c r="C28" s="61">
        <f t="shared" si="1"/>
        <v>269</v>
      </c>
      <c r="D28" s="129">
        <v>33823489</v>
      </c>
      <c r="E28" s="59">
        <f t="shared" si="2"/>
        <v>978</v>
      </c>
      <c r="F28" s="130">
        <v>100213</v>
      </c>
      <c r="G28" s="59">
        <f t="shared" si="3"/>
        <v>128</v>
      </c>
      <c r="H28" s="130">
        <v>103345</v>
      </c>
      <c r="I28" s="59">
        <f t="shared" si="4"/>
        <v>20</v>
      </c>
      <c r="J28" s="131">
        <v>186952</v>
      </c>
      <c r="K28" s="61">
        <f t="shared" si="5"/>
        <v>28</v>
      </c>
      <c r="L28" s="130">
        <v>123272</v>
      </c>
      <c r="M28" s="59">
        <f t="shared" si="6"/>
        <v>47</v>
      </c>
      <c r="N28" s="130">
        <v>665882</v>
      </c>
      <c r="O28" s="61">
        <f t="shared" si="7"/>
        <v>47</v>
      </c>
      <c r="P28" s="130">
        <v>171226</v>
      </c>
      <c r="Q28" s="59">
        <f t="shared" si="8"/>
        <v>34</v>
      </c>
      <c r="R28" s="130">
        <v>29172</v>
      </c>
      <c r="S28" s="61">
        <f t="shared" si="9"/>
        <v>209</v>
      </c>
      <c r="T28" s="130">
        <v>87488</v>
      </c>
      <c r="U28" s="59">
        <f t="shared" si="10"/>
        <v>23</v>
      </c>
      <c r="V28" s="130">
        <v>305810</v>
      </c>
      <c r="W28" s="61">
        <f t="shared" si="11"/>
        <v>0</v>
      </c>
      <c r="X28" s="97">
        <v>34599</v>
      </c>
      <c r="Y28" s="59">
        <f t="shared" si="12"/>
        <v>0</v>
      </c>
      <c r="Z28" s="97">
        <v>744261</v>
      </c>
      <c r="AA28" s="61">
        <f t="shared" si="13"/>
        <v>0</v>
      </c>
      <c r="AB28" s="68">
        <v>1410</v>
      </c>
      <c r="AC28" s="59">
        <f t="shared" si="0"/>
        <v>0</v>
      </c>
      <c r="AD28" s="100">
        <v>126483</v>
      </c>
      <c r="AE28" s="59">
        <f t="shared" si="0"/>
        <v>0</v>
      </c>
      <c r="AF28" s="100">
        <v>1982</v>
      </c>
      <c r="AG28" s="59">
        <f t="shared" si="0"/>
        <v>0</v>
      </c>
      <c r="AH28" s="63">
        <f t="shared" si="14"/>
        <v>1783</v>
      </c>
      <c r="AI28" s="18">
        <v>0</v>
      </c>
      <c r="AJ28" s="52">
        <f t="shared" si="15"/>
        <v>0</v>
      </c>
    </row>
    <row r="29" spans="1:42">
      <c r="A29" s="51">
        <v>44983</v>
      </c>
      <c r="B29" s="129">
        <v>1644022</v>
      </c>
      <c r="C29" s="61">
        <f t="shared" si="1"/>
        <v>293</v>
      </c>
      <c r="D29" s="129">
        <v>33824446</v>
      </c>
      <c r="E29" s="59">
        <f t="shared" si="2"/>
        <v>957</v>
      </c>
      <c r="F29" s="130">
        <v>100353</v>
      </c>
      <c r="G29" s="59">
        <f t="shared" si="3"/>
        <v>140</v>
      </c>
      <c r="H29" s="130">
        <v>103365</v>
      </c>
      <c r="I29" s="59">
        <f t="shared" si="4"/>
        <v>20</v>
      </c>
      <c r="J29" s="131">
        <v>186952</v>
      </c>
      <c r="K29" s="61">
        <f t="shared" si="5"/>
        <v>0</v>
      </c>
      <c r="L29" s="130">
        <v>123327</v>
      </c>
      <c r="M29" s="59">
        <f t="shared" si="6"/>
        <v>55</v>
      </c>
      <c r="N29" s="130">
        <v>665912</v>
      </c>
      <c r="O29" s="61">
        <f t="shared" si="7"/>
        <v>30</v>
      </c>
      <c r="P29" s="130">
        <v>171259</v>
      </c>
      <c r="Q29" s="59">
        <f t="shared" si="8"/>
        <v>33</v>
      </c>
      <c r="R29" s="130">
        <v>29280</v>
      </c>
      <c r="S29" s="61">
        <f t="shared" si="9"/>
        <v>108</v>
      </c>
      <c r="T29" s="130">
        <v>87516</v>
      </c>
      <c r="U29" s="59">
        <f t="shared" si="10"/>
        <v>28</v>
      </c>
      <c r="V29" s="130">
        <v>305810</v>
      </c>
      <c r="W29" s="61">
        <f t="shared" si="11"/>
        <v>0</v>
      </c>
      <c r="X29" s="97">
        <v>34599</v>
      </c>
      <c r="Y29" s="59">
        <f t="shared" si="12"/>
        <v>0</v>
      </c>
      <c r="Z29" s="97">
        <v>744261</v>
      </c>
      <c r="AA29" s="61">
        <f t="shared" si="13"/>
        <v>0</v>
      </c>
      <c r="AB29" s="68">
        <v>1410</v>
      </c>
      <c r="AC29" s="59">
        <f t="shared" si="0"/>
        <v>0</v>
      </c>
      <c r="AD29" s="100">
        <v>126483</v>
      </c>
      <c r="AE29" s="59">
        <f t="shared" si="0"/>
        <v>0</v>
      </c>
      <c r="AF29" s="100">
        <v>1982</v>
      </c>
      <c r="AG29" s="59">
        <f t="shared" si="0"/>
        <v>0</v>
      </c>
      <c r="AH29" s="63">
        <f t="shared" si="14"/>
        <v>1664</v>
      </c>
      <c r="AI29" s="18">
        <v>0</v>
      </c>
      <c r="AJ29" s="52">
        <f t="shared" si="15"/>
        <v>0</v>
      </c>
      <c r="AP29" t="s">
        <v>72</v>
      </c>
    </row>
    <row r="30" spans="1:42">
      <c r="A30" s="51">
        <v>44984</v>
      </c>
      <c r="B30" s="129">
        <v>1644297</v>
      </c>
      <c r="C30" s="61">
        <f t="shared" si="1"/>
        <v>275</v>
      </c>
      <c r="D30" s="129">
        <v>33825323</v>
      </c>
      <c r="E30" s="59">
        <f t="shared" si="2"/>
        <v>877</v>
      </c>
      <c r="F30" s="130">
        <v>100482</v>
      </c>
      <c r="G30" s="59">
        <f t="shared" si="3"/>
        <v>129</v>
      </c>
      <c r="H30" s="130">
        <v>103389</v>
      </c>
      <c r="I30" s="59">
        <f t="shared" si="4"/>
        <v>24</v>
      </c>
      <c r="J30" s="131">
        <v>186952</v>
      </c>
      <c r="K30" s="61">
        <f t="shared" si="5"/>
        <v>0</v>
      </c>
      <c r="L30" s="130">
        <v>123378</v>
      </c>
      <c r="M30" s="59">
        <f t="shared" si="6"/>
        <v>51</v>
      </c>
      <c r="N30" s="130">
        <v>665957</v>
      </c>
      <c r="O30" s="61">
        <f t="shared" si="7"/>
        <v>45</v>
      </c>
      <c r="P30" s="130">
        <v>171291</v>
      </c>
      <c r="Q30" s="59">
        <f t="shared" si="8"/>
        <v>32</v>
      </c>
      <c r="R30" s="130">
        <v>29586</v>
      </c>
      <c r="S30" s="61">
        <f t="shared" si="9"/>
        <v>306</v>
      </c>
      <c r="T30" s="130">
        <v>87550</v>
      </c>
      <c r="U30" s="59">
        <f t="shared" si="10"/>
        <v>34</v>
      </c>
      <c r="V30" s="130">
        <v>305810</v>
      </c>
      <c r="W30" s="61">
        <f t="shared" si="11"/>
        <v>0</v>
      </c>
      <c r="X30" s="97">
        <v>34599</v>
      </c>
      <c r="Y30" s="59">
        <f t="shared" si="12"/>
        <v>0</v>
      </c>
      <c r="Z30" s="97">
        <v>744261</v>
      </c>
      <c r="AA30" s="61">
        <f t="shared" si="13"/>
        <v>0</v>
      </c>
      <c r="AB30" s="68">
        <v>1410</v>
      </c>
      <c r="AC30" s="59">
        <f t="shared" si="0"/>
        <v>0</v>
      </c>
      <c r="AD30" s="100">
        <v>126483</v>
      </c>
      <c r="AE30" s="59">
        <f t="shared" si="0"/>
        <v>0</v>
      </c>
      <c r="AF30" s="100">
        <v>1982</v>
      </c>
      <c r="AG30" s="59">
        <f t="shared" si="0"/>
        <v>0</v>
      </c>
      <c r="AH30" s="63">
        <f t="shared" si="14"/>
        <v>1773</v>
      </c>
      <c r="AI30" s="18">
        <v>0</v>
      </c>
      <c r="AJ30" s="52">
        <f t="shared" si="15"/>
        <v>0</v>
      </c>
    </row>
    <row r="31" spans="1:42">
      <c r="A31" s="51">
        <v>44985</v>
      </c>
      <c r="B31" s="129">
        <v>1644581</v>
      </c>
      <c r="C31" s="61">
        <f t="shared" si="1"/>
        <v>284</v>
      </c>
      <c r="D31" s="129">
        <v>33826314</v>
      </c>
      <c r="E31" s="59">
        <f t="shared" si="2"/>
        <v>991</v>
      </c>
      <c r="F31" s="130">
        <v>100620</v>
      </c>
      <c r="G31" s="59">
        <f t="shared" si="3"/>
        <v>138</v>
      </c>
      <c r="H31" s="130">
        <v>103424</v>
      </c>
      <c r="I31" s="59">
        <f t="shared" si="4"/>
        <v>35</v>
      </c>
      <c r="J31" s="131">
        <v>186978</v>
      </c>
      <c r="K31" s="61">
        <f t="shared" si="5"/>
        <v>26</v>
      </c>
      <c r="L31" s="130">
        <v>123432</v>
      </c>
      <c r="M31" s="59">
        <f t="shared" si="6"/>
        <v>54</v>
      </c>
      <c r="N31" s="130">
        <v>666022</v>
      </c>
      <c r="O31" s="61">
        <f t="shared" si="7"/>
        <v>65</v>
      </c>
      <c r="P31" s="130">
        <v>171325</v>
      </c>
      <c r="Q31" s="59">
        <f t="shared" si="8"/>
        <v>34</v>
      </c>
      <c r="R31" s="130">
        <v>29764</v>
      </c>
      <c r="S31" s="61">
        <f t="shared" si="9"/>
        <v>178</v>
      </c>
      <c r="T31" s="130">
        <v>87572</v>
      </c>
      <c r="U31" s="59">
        <f t="shared" si="10"/>
        <v>22</v>
      </c>
      <c r="V31" s="130">
        <v>305810</v>
      </c>
      <c r="W31" s="61">
        <f t="shared" si="11"/>
        <v>0</v>
      </c>
      <c r="X31" s="97">
        <v>34599</v>
      </c>
      <c r="Y31" s="59">
        <f t="shared" si="12"/>
        <v>0</v>
      </c>
      <c r="Z31" s="97">
        <v>744261</v>
      </c>
      <c r="AA31" s="61">
        <f t="shared" si="13"/>
        <v>0</v>
      </c>
      <c r="AB31" s="68">
        <v>1410</v>
      </c>
      <c r="AC31" s="59">
        <f t="shared" si="0"/>
        <v>0</v>
      </c>
      <c r="AD31" s="100">
        <v>126483</v>
      </c>
      <c r="AE31" s="59">
        <f t="shared" si="0"/>
        <v>0</v>
      </c>
      <c r="AF31" s="100">
        <v>1982</v>
      </c>
      <c r="AG31" s="59">
        <f t="shared" si="0"/>
        <v>0</v>
      </c>
      <c r="AH31" s="63">
        <f t="shared" si="14"/>
        <v>1827</v>
      </c>
      <c r="AI31" s="18">
        <v>0</v>
      </c>
      <c r="AJ31" s="52">
        <f t="shared" si="15"/>
        <v>0</v>
      </c>
    </row>
    <row r="32" spans="1:42">
      <c r="C32" s="17"/>
      <c r="E32" s="17"/>
      <c r="G32" s="17"/>
      <c r="I32" s="17"/>
      <c r="K32" s="17"/>
      <c r="M32" s="17"/>
      <c r="O32" s="17"/>
      <c r="Q32" s="17"/>
      <c r="S32" s="17"/>
      <c r="U32" s="17"/>
      <c r="W32" s="17"/>
      <c r="Y32" s="17"/>
      <c r="AA32" s="17"/>
      <c r="AC32" s="17"/>
      <c r="AD32" s="17"/>
      <c r="AE32" s="17"/>
      <c r="AF32" s="17"/>
      <c r="AG32" s="17"/>
      <c r="AJ32" s="17"/>
    </row>
  </sheetData>
  <mergeCells count="1">
    <mergeCell ref="A1:AJ1"/>
  </mergeCells>
  <phoneticPr fontId="0" type="noConversion"/>
  <conditionalFormatting sqref="A2:A31 C3:C31 E3:E31 G3:G31 I3:I31 K3:K31 M3:M31 O3:O31 Q3:Q31 S3:S31 U3:U31 W3:W31 Y3:Y31 AA3:AC31 AE3:AE31 AG3:AG31 AH3 AH4:AI31">
    <cfRule type="cellIs" dxfId="18" priority="358" stopIfTrue="1" operator="lessThan">
      <formula>0</formula>
    </cfRule>
  </conditionalFormatting>
  <conditionalFormatting sqref="B3">
    <cfRule type="duplicateValues" dxfId="17" priority="16"/>
  </conditionalFormatting>
  <conditionalFormatting sqref="B3:B31">
    <cfRule type="cellIs" dxfId="16" priority="17" stopIfTrue="1" operator="lessThan">
      <formula>0</formula>
    </cfRule>
  </conditionalFormatting>
  <conditionalFormatting sqref="B4:B31">
    <cfRule type="duplicateValues" dxfId="15" priority="18"/>
  </conditionalFormatting>
  <conditionalFormatting sqref="D3">
    <cfRule type="duplicateValues" dxfId="14" priority="13"/>
  </conditionalFormatting>
  <conditionalFormatting sqref="D3:D31">
    <cfRule type="cellIs" dxfId="13" priority="14" stopIfTrue="1" operator="lessThan">
      <formula>0</formula>
    </cfRule>
  </conditionalFormatting>
  <conditionalFormatting sqref="D4:D31">
    <cfRule type="duplicateValues" dxfId="12" priority="15"/>
  </conditionalFormatting>
  <conditionalFormatting sqref="F3">
    <cfRule type="duplicateValues" dxfId="11" priority="10"/>
  </conditionalFormatting>
  <conditionalFormatting sqref="F3:F31">
    <cfRule type="cellIs" dxfId="10" priority="11" stopIfTrue="1" operator="lessThan">
      <formula>0</formula>
    </cfRule>
  </conditionalFormatting>
  <conditionalFormatting sqref="F4:F31">
    <cfRule type="duplicateValues" dxfId="9" priority="12"/>
  </conditionalFormatting>
  <conditionalFormatting sqref="H3:H31">
    <cfRule type="cellIs" dxfId="8" priority="9" stopIfTrue="1" operator="lessThan">
      <formula>0</formula>
    </cfRule>
  </conditionalFormatting>
  <conditionalFormatting sqref="J3:J31">
    <cfRule type="cellIs" dxfId="7" priority="8" stopIfTrue="1" operator="lessThan">
      <formula>0</formula>
    </cfRule>
  </conditionalFormatting>
  <conditionalFormatting sqref="L3:L17">
    <cfRule type="cellIs" dxfId="6" priority="6" stopIfTrue="1" operator="lessThan">
      <formula>0</formula>
    </cfRule>
  </conditionalFormatting>
  <conditionalFormatting sqref="L19:L31">
    <cfRule type="cellIs" dxfId="5" priority="7" stopIfTrue="1" operator="lessThan">
      <formula>0</formula>
    </cfRule>
  </conditionalFormatting>
  <conditionalFormatting sqref="N3:N31">
    <cfRule type="cellIs" dxfId="4" priority="5" stopIfTrue="1" operator="lessThan">
      <formula>0</formula>
    </cfRule>
  </conditionalFormatting>
  <conditionalFormatting sqref="P3:P31">
    <cfRule type="cellIs" dxfId="3" priority="4" stopIfTrue="1" operator="lessThan">
      <formula>0</formula>
    </cfRule>
  </conditionalFormatting>
  <conditionalFormatting sqref="R3:R31">
    <cfRule type="cellIs" dxfId="2" priority="3" stopIfTrue="1" operator="lessThan">
      <formula>0</formula>
    </cfRule>
  </conditionalFormatting>
  <conditionalFormatting sqref="T3:T31">
    <cfRule type="cellIs" dxfId="1" priority="2" stopIfTrue="1" operator="lessThan">
      <formula>0</formula>
    </cfRule>
  </conditionalFormatting>
  <conditionalFormatting sqref="V3:V31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4b4a5-31e9-439c-ad4b-ef06b9d19991">
      <Terms xmlns="http://schemas.microsoft.com/office/infopath/2007/PartnerControls"/>
    </lcf76f155ced4ddcb4097134ff3c332f>
    <TaxCatchAll xmlns="2d8748ec-992c-4be6-818f-09daf1d5c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5" ma:contentTypeDescription="Create a new document." ma:contentTypeScope="" ma:versionID="3ef84a2ea14c76d28649e2f379f65ab4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4f8fd83ac234093313865e3b5cd9b979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9af1a0-7e35-4d9c-ae9b-a76c9248c791}" ma:internalName="TaxCatchAll" ma:showField="CatchAllData" ma:web="2d8748ec-992c-4be6-818f-09daf1d5c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82F225-777A-4888-9A31-0A32E87666FF}"/>
</file>

<file path=customXml/itemProps2.xml><?xml version="1.0" encoding="utf-8"?>
<ds:datastoreItem xmlns:ds="http://schemas.openxmlformats.org/officeDocument/2006/customXml" ds:itemID="{32E01D12-ED81-4A01-B5B8-2A82682A7D75}"/>
</file>

<file path=customXml/itemProps3.xml><?xml version="1.0" encoding="utf-8"?>
<ds:datastoreItem xmlns:ds="http://schemas.openxmlformats.org/officeDocument/2006/customXml" ds:itemID="{58BF515C-4528-4ED8-AEAC-76A276950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2023-03-02T07:27:09Z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  <property fmtid="{D5CDD505-2E9C-101B-9397-08002B2CF9AE}" pid="3" name="MediaServiceImageTags">
    <vt:lpwstr/>
  </property>
</Properties>
</file>