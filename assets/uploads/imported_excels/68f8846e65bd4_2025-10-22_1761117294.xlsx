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8_{6A156BC0-EBE9-4DDA-9133-6EB05A8D031A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1" i="1" l="1"/>
  <c r="Z5" i="1"/>
  <c r="Z6" i="1"/>
  <c r="N12" i="1"/>
  <c r="N13" i="1"/>
  <c r="N14" i="1"/>
  <c r="N15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T12" i="1" l="1"/>
  <c r="T5" i="1"/>
  <c r="N26" i="1"/>
  <c r="N5" i="1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32" i="1"/>
  <c r="AC5" i="1" l="1"/>
  <c r="D32" i="1" l="1"/>
  <c r="L2" i="1"/>
  <c r="L3" i="1"/>
  <c r="L4" i="1"/>
  <c r="L5" i="1"/>
  <c r="L6" i="1"/>
  <c r="L7" i="1"/>
  <c r="L8" i="1"/>
  <c r="L9" i="1"/>
  <c r="L10" i="1"/>
  <c r="L11" i="1"/>
  <c r="N11" i="1" s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N24" i="1" s="1"/>
  <c r="L25" i="1"/>
  <c r="L26" i="1"/>
  <c r="L27" i="1"/>
  <c r="L28" i="1"/>
  <c r="L29" i="1"/>
  <c r="L30" i="1"/>
  <c r="L31" i="1"/>
  <c r="N10" i="1" l="1"/>
  <c r="N22" i="1"/>
  <c r="N23" i="1"/>
  <c r="N9" i="1"/>
  <c r="N8" i="1"/>
  <c r="N7" i="1"/>
  <c r="N30" i="1"/>
  <c r="N18" i="1"/>
  <c r="N6" i="1"/>
  <c r="N4" i="1"/>
  <c r="N29" i="1"/>
  <c r="N28" i="1"/>
  <c r="N27" i="1"/>
  <c r="N25" i="1"/>
  <c r="N20" i="1"/>
  <c r="N19" i="1"/>
  <c r="N16" i="1"/>
  <c r="N17" i="1"/>
  <c r="N21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7" i="1" l="1"/>
  <c r="Z8" i="1"/>
  <c r="Z9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AC2" i="1" l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24" i="1" l="1"/>
  <c r="T10" i="1"/>
  <c r="T6" i="1"/>
  <c r="T23" i="1"/>
  <c r="T16" i="1"/>
  <c r="T4" i="1"/>
  <c r="T22" i="1"/>
  <c r="T15" i="1"/>
  <c r="T14" i="1"/>
  <c r="T13" i="1"/>
  <c r="T31" i="1"/>
  <c r="T11" i="1"/>
  <c r="T9" i="1"/>
  <c r="T8" i="1"/>
  <c r="T7" i="1"/>
  <c r="T25" i="1"/>
  <c r="T26" i="1"/>
  <c r="T30" i="1"/>
  <c r="T29" i="1"/>
  <c r="T27" i="1"/>
  <c r="T28" i="1"/>
  <c r="T19" i="1"/>
  <c r="T17" i="1"/>
  <c r="T18" i="1"/>
  <c r="T21" i="1"/>
  <c r="T20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32" i="1"/>
  <c r="N31" i="1" s="1"/>
  <c r="S34" i="1"/>
  <c r="N2" i="1" l="1"/>
  <c r="G2" i="2" s="1"/>
  <c r="U21" i="1"/>
  <c r="Z26" i="1"/>
  <c r="K26" i="2" s="1"/>
  <c r="N3" i="1"/>
  <c r="U3" i="1" s="1"/>
  <c r="U31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20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<sst xmlns="http://schemas.openxmlformats.org/spreadsheetml/2006/main" count="79" uniqueCount="39">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</sst>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1" fontId="5" fillId="0" borderId="1" xfId="0" applyNumberFormat="1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3" fontId="2" fillId="0" borderId="5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" fontId="21" fillId="4" borderId="11" xfId="0" applyNumberFormat="1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1" fontId="21" fillId="5" borderId="11" xfId="0" applyNumberFormat="1" applyFont="1" applyFill="1" applyBorder="1" applyAlignment="1">
      <alignment horizontal="center" vertical="center" wrapText="1"/>
    </xf>
    <xf numFmtId="165" fontId="21" fillId="5" borderId="11" xfId="0" applyNumberFormat="1" applyFont="1" applyFill="1" applyBorder="1" applyAlignment="1">
      <alignment horizontal="center" vertical="center" wrapText="1"/>
    </xf>
    <xf numFmtId="0" fontId="21" fillId="6" borderId="11" xfId="0" applyFont="1" applyFill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11" xfId="0" applyNumberFormat="1" applyFont="1" applyFill="1" applyBorder="1" applyAlignment="1">
      <alignment horizontal="center" vertical="center" wrapText="1"/>
    </xf>
    <xf numFmtId="166" fontId="24" fillId="9" borderId="1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3" fontId="2" fillId="2" borderId="12" xfId="0" applyNumberFormat="1" applyFont="1" applyFill="1" applyBorder="1" applyAlignment="1">
      <alignment horizontal="center" vertical="center" wrapText="1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/>
    </xf>
    <xf numFmtId="9" fontId="4" fillId="0" borderId="1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/>
    </xf>
    <xf numFmtId="9" fontId="4" fillId="0" borderId="19" xfId="0" applyNumberFormat="1" applyFont="1" applyBorder="1" applyAlignment="1">
      <alignment horizontal="center" vertical="center"/>
    </xf>
    <xf numFmtId="9" fontId="4" fillId="0" borderId="10" xfId="0" applyNumberFormat="1" applyFont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/>
    </xf>
    <xf numFmtId="1" fontId="3" fillId="0" borderId="19" xfId="0" applyNumberFormat="1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3" fontId="10" fillId="2" borderId="22" xfId="0" applyNumberFormat="1" applyFont="1" applyFill="1" applyBorder="1" applyAlignment="1">
      <alignment horizontal="center" vertical="center" textRotation="90" wrapText="1"/>
    </xf>
    <xf numFmtId="1" fontId="12" fillId="0" borderId="23" xfId="0" applyNumberFormat="1" applyFont="1" applyBorder="1" applyAlignment="1">
      <alignment horizontal="center" vertical="center" wrapText="1"/>
    </xf>
    <xf numFmtId="1" fontId="12" fillId="0" borderId="24" xfId="0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1" fontId="13" fillId="0" borderId="24" xfId="0" applyNumberFormat="1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164" fontId="0" fillId="3" borderId="26" xfId="0" applyNumberFormat="1" applyFill="1" applyBorder="1" applyAlignment="1">
      <alignment horizontal="right" vertical="center"/>
    </xf>
    <xf numFmtId="1" fontId="7" fillId="0" borderId="27" xfId="0" applyNumberFormat="1" applyFont="1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9" fontId="4" fillId="0" borderId="30" xfId="0" applyNumberFormat="1" applyFont="1" applyBorder="1" applyAlignment="1">
      <alignment horizontal="center" vertical="center"/>
    </xf>
    <xf numFmtId="9" fontId="4" fillId="0" borderId="31" xfId="0" applyNumberFormat="1" applyFont="1" applyBorder="1" applyAlignment="1">
      <alignment horizontal="center" vertical="center"/>
    </xf>
    <xf numFmtId="1" fontId="4" fillId="0" borderId="31" xfId="0" applyNumberFormat="1" applyFont="1" applyBorder="1" applyAlignment="1">
      <alignment horizontal="center"/>
    </xf>
    <xf numFmtId="1" fontId="3" fillId="0" borderId="30" xfId="0" applyNumberFormat="1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center" vertical="center"/>
    </xf>
    <xf numFmtId="164" fontId="0" fillId="3" borderId="32" xfId="0" applyNumberFormat="1" applyFill="1" applyBorder="1" applyAlignment="1">
      <alignment horizontal="right" vertical="center"/>
    </xf>
    <xf numFmtId="164" fontId="0" fillId="3" borderId="33" xfId="0" applyNumberFormat="1" applyFill="1" applyBorder="1" applyAlignment="1">
      <alignment horizontal="right" vertical="center"/>
    </xf>
    <xf numFmtId="164" fontId="0" fillId="3" borderId="34" xfId="0" applyNumberFormat="1" applyFill="1" applyBorder="1" applyAlignment="1">
      <alignment horizontal="right" vertical="center"/>
    </xf>
    <xf numFmtId="1" fontId="7" fillId="0" borderId="31" xfId="0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/>
    </xf>
    <xf numFmtId="1" fontId="4" fillId="3" borderId="36" xfId="0" applyNumberFormat="1" applyFont="1" applyFill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28" xfId="0" applyNumberFormat="1" applyFont="1" applyBorder="1" applyAlignment="1">
      <alignment horizontal="center" vertical="center"/>
    </xf>
    <xf numFmtId="3" fontId="2" fillId="2" borderId="37" xfId="0" applyNumberFormat="1" applyFont="1" applyFill="1" applyBorder="1" applyAlignment="1">
      <alignment horizontal="center"/>
    </xf>
    <xf numFmtId="1" fontId="5" fillId="0" borderId="31" xfId="0" applyNumberFormat="1" applyFont="1" applyBorder="1" applyAlignment="1">
      <alignment horizontal="center"/>
    </xf>
    <xf numFmtId="3" fontId="2" fillId="2" borderId="37" xfId="0" applyNumberFormat="1" applyFont="1" applyFill="1" applyBorder="1" applyAlignment="1">
      <alignment horizontal="center" vertical="center" wrapText="1"/>
    </xf>
    <xf numFmtId="1" fontId="4" fillId="3" borderId="31" xfId="0" applyNumberFormat="1" applyFont="1" applyFill="1" applyBorder="1" applyAlignment="1">
      <alignment horizontal="center" vertical="center"/>
    </xf>
    <xf numFmtId="3" fontId="2" fillId="2" borderId="38" xfId="0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4" fontId="0" fillId="3" borderId="40" xfId="0" applyNumberFormat="1" applyFill="1" applyBorder="1" applyAlignment="1">
      <alignment horizontal="right" vertical="center"/>
    </xf>
    <xf numFmtId="1" fontId="7" fillId="0" borderId="41" xfId="0" applyNumberFormat="1" applyFont="1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  <xf numFmtId="1" fontId="5" fillId="0" borderId="45" xfId="0" applyNumberFormat="1" applyFont="1" applyBorder="1" applyAlignment="1">
      <alignment horizontal="center"/>
    </xf>
    <xf numFmtId="1" fontId="5" fillId="0" borderId="46" xfId="0" applyNumberFormat="1" applyFont="1" applyBorder="1" applyAlignment="1">
      <alignment horizontal="center"/>
    </xf>
    <xf numFmtId="9" fontId="4" fillId="0" borderId="45" xfId="0" applyNumberFormat="1" applyFont="1" applyBorder="1" applyAlignment="1">
      <alignment horizontal="center" vertical="center"/>
    </xf>
    <xf numFmtId="9" fontId="4" fillId="0" borderId="46" xfId="0" applyNumberFormat="1" applyFont="1" applyBorder="1" applyAlignment="1">
      <alignment horizontal="center" vertical="center"/>
    </xf>
    <xf numFmtId="1" fontId="4" fillId="3" borderId="46" xfId="0" applyNumberFormat="1" applyFont="1" applyFill="1" applyBorder="1" applyAlignment="1">
      <alignment horizontal="center" vertical="center"/>
    </xf>
    <xf numFmtId="1" fontId="4" fillId="0" borderId="46" xfId="0" applyNumberFormat="1" applyFont="1" applyBorder="1" applyAlignment="1">
      <alignment horizontal="center"/>
    </xf>
    <xf numFmtId="3" fontId="2" fillId="2" borderId="47" xfId="0" applyNumberFormat="1" applyFont="1" applyFill="1" applyBorder="1" applyAlignment="1">
      <alignment horizontal="center" vertical="center" wrapText="1"/>
    </xf>
    <xf numFmtId="1" fontId="3" fillId="0" borderId="45" xfId="0" applyNumberFormat="1" applyFont="1" applyBorder="1" applyAlignment="1">
      <alignment horizontal="center" vertical="center"/>
    </xf>
    <xf numFmtId="1" fontId="3" fillId="0" borderId="42" xfId="0" applyNumberFormat="1" applyFont="1" applyBorder="1" applyAlignment="1">
      <alignment horizontal="center" vertical="center"/>
    </xf>
    <xf numFmtId="1" fontId="3" fillId="0" borderId="46" xfId="0" applyNumberFormat="1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1" fontId="6" fillId="0" borderId="46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4" fontId="0" fillId="3" borderId="49" xfId="0" applyNumberFormat="1" applyFill="1" applyBorder="1" applyAlignment="1">
      <alignment horizontal="right" vertical="center"/>
    </xf>
    <xf numFmtId="1" fontId="7" fillId="0" borderId="50" xfId="0" applyNumberFormat="1" applyFont="1" applyBorder="1" applyAlignment="1">
      <alignment horizontal="center" vertical="center"/>
    </xf>
    <xf numFmtId="1" fontId="7" fillId="0" borderId="51" xfId="0" applyNumberFormat="1" applyFont="1" applyBorder="1" applyAlignment="1">
      <alignment horizontal="center" vertical="center"/>
    </xf>
    <xf numFmtId="1" fontId="7" fillId="0" borderId="52" xfId="0" applyNumberFormat="1" applyFont="1" applyBorder="1" applyAlignment="1">
      <alignment horizontal="center" vertical="center"/>
    </xf>
    <xf numFmtId="3" fontId="2" fillId="2" borderId="53" xfId="0" applyNumberFormat="1" applyFont="1" applyFill="1" applyBorder="1" applyAlignment="1">
      <alignment horizontal="center"/>
    </xf>
    <xf numFmtId="1" fontId="5" fillId="0" borderId="54" xfId="0" applyNumberFormat="1" applyFont="1" applyBorder="1" applyAlignment="1">
      <alignment horizontal="center"/>
    </xf>
    <xf numFmtId="1" fontId="5" fillId="0" borderId="55" xfId="0" applyNumberFormat="1" applyFont="1" applyBorder="1" applyAlignment="1">
      <alignment horizontal="center"/>
    </xf>
    <xf numFmtId="3" fontId="2" fillId="2" borderId="53" xfId="0" applyNumberFormat="1" applyFont="1" applyFill="1" applyBorder="1" applyAlignment="1">
      <alignment horizontal="center" vertical="center" wrapText="1"/>
    </xf>
    <xf numFmtId="9" fontId="4" fillId="0" borderId="54" xfId="0" applyNumberFormat="1" applyFont="1" applyBorder="1" applyAlignment="1">
      <alignment horizontal="center" vertical="center"/>
    </xf>
    <xf numFmtId="9" fontId="4" fillId="0" borderId="55" xfId="0" applyNumberFormat="1" applyFont="1" applyBorder="1" applyAlignment="1">
      <alignment horizontal="center" vertical="center"/>
    </xf>
    <xf numFmtId="1" fontId="4" fillId="3" borderId="55" xfId="0" applyNumberFormat="1" applyFont="1" applyFill="1" applyBorder="1" applyAlignment="1">
      <alignment horizontal="center" vertical="center"/>
    </xf>
    <xf numFmtId="1" fontId="4" fillId="0" borderId="55" xfId="0" applyNumberFormat="1" applyFont="1" applyBorder="1" applyAlignment="1">
      <alignment horizontal="center"/>
    </xf>
    <xf numFmtId="3" fontId="2" fillId="2" borderId="56" xfId="0" applyNumberFormat="1" applyFont="1" applyFill="1" applyBorder="1" applyAlignment="1">
      <alignment horizontal="center" vertical="center" wrapText="1"/>
    </xf>
    <xf numFmtId="1" fontId="3" fillId="0" borderId="54" xfId="0" applyNumberFormat="1" applyFont="1" applyBorder="1" applyAlignment="1">
      <alignment horizontal="center" vertical="center"/>
    </xf>
    <xf numFmtId="1" fontId="3" fillId="0" borderId="51" xfId="0" applyNumberFormat="1" applyFont="1" applyBorder="1" applyAlignment="1">
      <alignment horizontal="center" vertical="center"/>
    </xf>
    <xf numFmtId="1" fontId="3" fillId="0" borderId="55" xfId="0" applyNumberFormat="1" applyFont="1" applyBorder="1" applyAlignment="1">
      <alignment horizontal="center" vertical="center"/>
    </xf>
    <xf numFmtId="1" fontId="6" fillId="0" borderId="54" xfId="0" applyNumberFormat="1" applyFont="1" applyBorder="1" applyAlignment="1">
      <alignment horizontal="center" vertical="center"/>
    </xf>
    <xf numFmtId="1" fontId="6" fillId="0" borderId="55" xfId="0" applyNumberFormat="1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0" customWidth="1"/>
    <col min="6" max="6" width="12.5703125" style="52" customWidth="1"/>
    <col min="7" max="7" width="8.85546875" style="42"/>
    <col min="8" max="8" width="8.85546875" style="48"/>
    <col min="9" max="9" width="8.85546875" style="44" customWidth="1"/>
    <col min="10" max="10" width="8.85546875" style="57"/>
    <col min="11" max="12" width="8.85546875" style="50"/>
    <col min="13" max="14" width="12.28515625" style="60" bestFit="1" customWidth="1"/>
    <col min="15" max="15" width="8.85546875" style="51"/>
    <col min="16" max="16" width="11.5703125" style="51" customWidth="1"/>
    <col min="17" max="16384" width="8.85546875" style="4"/>
  </cols>
  <sheetData>
    <row r="1" spans="1:16" ht="75.75" thickBot="1" x14ac:dyDescent="0.25">
      <c r="A1" s="31" t="s">
        <v>22</v>
      </c>
      <c r="B1" s="31" t="s">
        <v>23</v>
      </c>
      <c r="C1" s="31" t="s">
        <v>24</v>
      </c>
      <c r="D1" s="31" t="s">
        <v>25</v>
      </c>
      <c r="E1" s="32" t="s">
        <v>26</v>
      </c>
      <c r="F1" s="33" t="s">
        <v>27</v>
      </c>
      <c r="G1" s="34" t="s">
        <v>28</v>
      </c>
      <c r="H1" s="35" t="s">
        <v>38</v>
      </c>
      <c r="I1" s="53" t="s">
        <v>36</v>
      </c>
      <c r="J1" s="54" t="s">
        <v>37</v>
      </c>
      <c r="K1" s="36" t="s">
        <v>29</v>
      </c>
      <c r="L1" s="36" t="s">
        <v>30</v>
      </c>
      <c r="M1" s="37" t="s">
        <v>31</v>
      </c>
      <c r="N1" s="37" t="s">
        <v>32</v>
      </c>
      <c r="O1" s="38" t="s">
        <v>0</v>
      </c>
      <c r="P1" s="38" t="s">
        <v>33</v>
      </c>
    </row>
    <row r="2" spans="1:16" ht="15.75" thickTop="1" x14ac:dyDescent="0.25">
      <c r="A2" s="39" t="s">
        <v>34</v>
      </c>
      <c r="B2" s="4">
        <v>1</v>
      </c>
      <c r="C2" s="4">
        <v>9</v>
      </c>
      <c r="D2" s="3">
        <v>2024</v>
      </c>
      <c r="E2" s="40">
        <f>Anassa!D3-Anassa!D2</f>
        <v>17761.299999998882</v>
      </c>
      <c r="F2" s="41">
        <f>0.2563</f>
        <v>0.25629999999999997</v>
      </c>
      <c r="G2" s="42">
        <f>Anassa!N2</f>
        <v>450.00000000000182</v>
      </c>
      <c r="H2" s="43">
        <v>0.626</v>
      </c>
      <c r="I2" s="55">
        <f>Anassa!AC2*5.04</f>
        <v>2741.76</v>
      </c>
      <c r="J2" s="56">
        <v>8.2900000000000001E-2</v>
      </c>
      <c r="K2" s="44">
        <f>Anassa!Z2</f>
        <v>148</v>
      </c>
      <c r="L2" s="45">
        <v>1.25</v>
      </c>
      <c r="M2" s="58">
        <f>Anassa!H2</f>
        <v>0</v>
      </c>
      <c r="N2" s="59">
        <v>0.88</v>
      </c>
      <c r="O2" s="46">
        <f>Anassa!AD2</f>
        <v>70</v>
      </c>
      <c r="P2" s="46">
        <f>Anassa!AE2</f>
        <v>140</v>
      </c>
    </row>
    <row r="3" spans="1:16" ht="15" x14ac:dyDescent="0.25">
      <c r="A3" s="39" t="s">
        <v>34</v>
      </c>
      <c r="B3" s="4">
        <f>B2+1</f>
        <v>2</v>
      </c>
      <c r="C3" s="4">
        <v>9</v>
      </c>
      <c r="D3" s="3">
        <v>2024</v>
      </c>
      <c r="E3" s="40">
        <f>Anassa!D4-Anassa!D3</f>
        <v>18602.700000001118</v>
      </c>
      <c r="F3" s="41">
        <f t="shared" ref="F3:F32" si="0">0.2563</f>
        <v>0.25629999999999997</v>
      </c>
      <c r="G3" s="42">
        <f>Anassa!N3</f>
        <v>149.99999999999909</v>
      </c>
      <c r="H3" s="43">
        <v>0.626</v>
      </c>
      <c r="I3" s="55">
        <f>Anassa!AC3*5.04</f>
        <v>1608.465599999997</v>
      </c>
      <c r="J3" s="56">
        <v>8.2900000000000001E-2</v>
      </c>
      <c r="K3" s="44">
        <f>Anassa!Z3</f>
        <v>23</v>
      </c>
      <c r="L3" s="45">
        <v>1.25</v>
      </c>
      <c r="M3" s="58">
        <f>Anassa!H3</f>
        <v>276</v>
      </c>
      <c r="N3" s="59">
        <v>0.88</v>
      </c>
      <c r="O3" s="46">
        <f>Anassa!AD3</f>
        <v>77</v>
      </c>
      <c r="P3" s="46">
        <f>Anassa!AE3</f>
        <v>150</v>
      </c>
    </row>
    <row r="4" spans="1:16" ht="15" x14ac:dyDescent="0.25">
      <c r="A4" s="39" t="s">
        <v>34</v>
      </c>
      <c r="B4" s="4">
        <f t="shared" ref="B4:B32" si="1">B3+1</f>
        <v>3</v>
      </c>
      <c r="C4" s="4">
        <v>9</v>
      </c>
      <c r="D4" s="3">
        <v>2024</v>
      </c>
      <c r="E4" s="40">
        <f>Anassa!D5-Anassa!D4</f>
        <v>18349.199999999255</v>
      </c>
      <c r="F4" s="41">
        <f t="shared" si="0"/>
        <v>0.25629999999999997</v>
      </c>
      <c r="G4" s="42">
        <f>Anassa!N4</f>
        <v>600</v>
      </c>
      <c r="H4" s="43">
        <v>0.626</v>
      </c>
      <c r="I4" s="55">
        <f>Anassa!AC4*5.04</f>
        <v>1608.4656000000061</v>
      </c>
      <c r="J4" s="56">
        <v>8.2900000000000001E-2</v>
      </c>
      <c r="K4" s="44">
        <f>Anassa!Z4</f>
        <v>146</v>
      </c>
      <c r="L4" s="45">
        <v>1.25</v>
      </c>
      <c r="M4" s="58">
        <f>Anassa!H4</f>
        <v>275</v>
      </c>
      <c r="N4" s="59">
        <v>0.88</v>
      </c>
      <c r="O4" s="46">
        <f>Anassa!AD4</f>
        <v>106</v>
      </c>
      <c r="P4" s="46">
        <f>Anassa!AE4</f>
        <v>203</v>
      </c>
    </row>
    <row r="5" spans="1:16" ht="15" x14ac:dyDescent="0.25">
      <c r="A5" s="39" t="s">
        <v>34</v>
      </c>
      <c r="B5" s="4">
        <f t="shared" si="1"/>
        <v>4</v>
      </c>
      <c r="C5" s="4">
        <v>9</v>
      </c>
      <c r="D5" s="3">
        <v>2024</v>
      </c>
      <c r="E5" s="40">
        <f>Anassa!D6-Anassa!D5</f>
        <v>18574.900000000373</v>
      </c>
      <c r="F5" s="41">
        <f t="shared" si="0"/>
        <v>0.25629999999999997</v>
      </c>
      <c r="G5" s="42">
        <f>Anassa!N5</f>
        <v>333.69000000000005</v>
      </c>
      <c r="H5" s="43">
        <v>0.626</v>
      </c>
      <c r="I5" s="55">
        <f>Anassa!AC5*5.04</f>
        <v>1608.465599999997</v>
      </c>
      <c r="J5" s="56">
        <v>8.2900000000000001E-2</v>
      </c>
      <c r="K5" s="44">
        <f>Anassa!Z5</f>
        <v>182</v>
      </c>
      <c r="L5" s="45">
        <v>1.25</v>
      </c>
      <c r="M5" s="58">
        <f>Anassa!H5</f>
        <v>0</v>
      </c>
      <c r="N5" s="59">
        <v>0.88</v>
      </c>
      <c r="O5" s="46">
        <f>Anassa!AD5</f>
        <v>130</v>
      </c>
      <c r="P5" s="46">
        <f>Anassa!AE5</f>
        <v>247</v>
      </c>
    </row>
    <row r="6" spans="1:16" ht="15" x14ac:dyDescent="0.25">
      <c r="A6" s="39" t="s">
        <v>34</v>
      </c>
      <c r="B6" s="4">
        <f t="shared" si="1"/>
        <v>5</v>
      </c>
      <c r="C6" s="4">
        <v>9</v>
      </c>
      <c r="D6" s="3">
        <v>2024</v>
      </c>
      <c r="E6" s="40">
        <f>Anassa!D7-Anassa!D6</f>
        <v>18785.900000000373</v>
      </c>
      <c r="F6" s="41">
        <f t="shared" si="0"/>
        <v>0.25629999999999997</v>
      </c>
      <c r="G6" s="42">
        <f>Anassa!N6</f>
        <v>250</v>
      </c>
      <c r="H6" s="43">
        <v>0.626</v>
      </c>
      <c r="I6" s="55">
        <f>Anassa!AC6*5.04</f>
        <v>1608.465599999997</v>
      </c>
      <c r="J6" s="56">
        <v>8.2900000000000001E-2</v>
      </c>
      <c r="K6" s="44">
        <f>Anassa!Z6</f>
        <v>178</v>
      </c>
      <c r="L6" s="45">
        <v>1.25</v>
      </c>
      <c r="M6" s="58">
        <f>Anassa!H6</f>
        <v>274</v>
      </c>
      <c r="N6" s="59">
        <v>0.88</v>
      </c>
      <c r="O6" s="46">
        <f>Anassa!AD6</f>
        <v>134</v>
      </c>
      <c r="P6" s="46">
        <f>Anassa!AE6</f>
        <v>259</v>
      </c>
    </row>
    <row r="7" spans="1:16" ht="15" x14ac:dyDescent="0.25">
      <c r="A7" s="39" t="s">
        <v>34</v>
      </c>
      <c r="B7" s="4">
        <f t="shared" si="1"/>
        <v>6</v>
      </c>
      <c r="C7" s="4">
        <v>9</v>
      </c>
      <c r="D7" s="3">
        <v>2024</v>
      </c>
      <c r="E7" s="40">
        <f>Anassa!D8-Anassa!D7</f>
        <v>18993.099999999627</v>
      </c>
      <c r="F7" s="41">
        <f t="shared" si="0"/>
        <v>0.25629999999999997</v>
      </c>
      <c r="G7" s="42">
        <f>Anassa!N7</f>
        <v>124.99999999999909</v>
      </c>
      <c r="H7" s="43">
        <v>0.626</v>
      </c>
      <c r="I7" s="55">
        <f>Anassa!AC7*5.04</f>
        <v>1608.4656000000061</v>
      </c>
      <c r="J7" s="56">
        <v>8.2900000000000001E-2</v>
      </c>
      <c r="K7" s="44">
        <f>Anassa!Z7</f>
        <v>185</v>
      </c>
      <c r="L7" s="45">
        <v>1.25</v>
      </c>
      <c r="M7" s="58">
        <f>Anassa!H7</f>
        <v>137</v>
      </c>
      <c r="N7" s="59">
        <v>0.88</v>
      </c>
      <c r="O7" s="46">
        <f>Anassa!AD7</f>
        <v>119</v>
      </c>
      <c r="P7" s="46">
        <f>Anassa!AE7</f>
        <v>233</v>
      </c>
    </row>
    <row r="8" spans="1:16" ht="15" x14ac:dyDescent="0.25">
      <c r="A8" s="39" t="s">
        <v>34</v>
      </c>
      <c r="B8" s="4">
        <f t="shared" si="1"/>
        <v>7</v>
      </c>
      <c r="C8" s="4">
        <v>9</v>
      </c>
      <c r="D8" s="3">
        <v>2024</v>
      </c>
      <c r="E8" s="40">
        <f>Anassa!D9-Anassa!D8</f>
        <v>16062.900000000373</v>
      </c>
      <c r="F8" s="41">
        <f t="shared" si="0"/>
        <v>0.25629999999999997</v>
      </c>
      <c r="G8" s="42">
        <f>Anassa!N8</f>
        <v>625.00000000000091</v>
      </c>
      <c r="H8" s="43">
        <v>0.626</v>
      </c>
      <c r="I8" s="55">
        <f>Anassa!AC8*5.04</f>
        <v>1608.465599999997</v>
      </c>
      <c r="J8" s="56">
        <v>8.2900000000000001E-2</v>
      </c>
      <c r="K8" s="44">
        <f>Anassa!Z8</f>
        <v>151</v>
      </c>
      <c r="L8" s="45">
        <v>1.25</v>
      </c>
      <c r="M8" s="58">
        <f>Anassa!H8</f>
        <v>0</v>
      </c>
      <c r="N8" s="59">
        <v>0.88</v>
      </c>
      <c r="O8" s="46">
        <f>Anassa!AD8</f>
        <v>67</v>
      </c>
      <c r="P8" s="46">
        <f>Anassa!AE8</f>
        <v>122</v>
      </c>
    </row>
    <row r="9" spans="1:16" ht="15" x14ac:dyDescent="0.25">
      <c r="A9" s="39" t="s">
        <v>34</v>
      </c>
      <c r="B9" s="4">
        <f t="shared" si="1"/>
        <v>8</v>
      </c>
      <c r="C9" s="4">
        <v>9</v>
      </c>
      <c r="D9" s="3">
        <v>2024</v>
      </c>
      <c r="E9" s="40">
        <f>Anassa!D10-Anassa!D9</f>
        <v>16580.799999998882</v>
      </c>
      <c r="F9" s="41">
        <f t="shared" si="0"/>
        <v>0.25629999999999997</v>
      </c>
      <c r="G9" s="42">
        <f>Anassa!N9</f>
        <v>250.00000000000091</v>
      </c>
      <c r="H9" s="43">
        <v>0.626</v>
      </c>
      <c r="I9" s="55">
        <f>Anassa!AC9*5.04</f>
        <v>1608.465599999997</v>
      </c>
      <c r="J9" s="56">
        <v>8.2900000000000001E-2</v>
      </c>
      <c r="K9" s="44">
        <f>Anassa!Z9</f>
        <v>153</v>
      </c>
      <c r="L9" s="45">
        <v>1.25</v>
      </c>
      <c r="M9" s="58">
        <f>Anassa!H9</f>
        <v>0</v>
      </c>
      <c r="N9" s="59">
        <v>0.88</v>
      </c>
      <c r="O9" s="46">
        <f>Anassa!AD9</f>
        <v>72</v>
      </c>
      <c r="P9" s="46">
        <f>Anassa!AE9</f>
        <v>135</v>
      </c>
    </row>
    <row r="10" spans="1:16" ht="15" x14ac:dyDescent="0.25">
      <c r="A10" s="39" t="s">
        <v>34</v>
      </c>
      <c r="B10" s="4">
        <f t="shared" si="1"/>
        <v>9</v>
      </c>
      <c r="C10" s="4">
        <v>9</v>
      </c>
      <c r="D10" s="3">
        <v>2024</v>
      </c>
      <c r="E10" s="40">
        <f>Anassa!D11-Anassa!D10</f>
        <v>16415.900000000373</v>
      </c>
      <c r="F10" s="41">
        <f t="shared" si="0"/>
        <v>0.25629999999999997</v>
      </c>
      <c r="G10" s="42">
        <f>Anassa!N10</f>
        <v>249.99999999999909</v>
      </c>
      <c r="H10" s="43">
        <v>0.626</v>
      </c>
      <c r="I10" s="55">
        <f>Anassa!AC10*5.04</f>
        <v>1608.4656000000016</v>
      </c>
      <c r="J10" s="56">
        <v>8.2900000000000001E-2</v>
      </c>
      <c r="K10" s="44">
        <f>Anassa!Z10</f>
        <v>149</v>
      </c>
      <c r="L10" s="45">
        <v>1.25</v>
      </c>
      <c r="M10" s="58">
        <f>Anassa!H10</f>
        <v>271</v>
      </c>
      <c r="N10" s="59">
        <v>0.88</v>
      </c>
      <c r="O10" s="46">
        <f>Anassa!AD10</f>
        <v>63</v>
      </c>
      <c r="P10" s="46">
        <f>Anassa!AE10</f>
        <v>121</v>
      </c>
    </row>
    <row r="11" spans="1:16" ht="15" x14ac:dyDescent="0.25">
      <c r="A11" s="39" t="s">
        <v>34</v>
      </c>
      <c r="B11" s="4">
        <f t="shared" si="1"/>
        <v>10</v>
      </c>
      <c r="C11" s="4">
        <v>9</v>
      </c>
      <c r="D11" s="3">
        <v>2024</v>
      </c>
      <c r="E11" s="40">
        <f>Anassa!D12-Anassa!D11</f>
        <v>17643</v>
      </c>
      <c r="F11" s="41">
        <f t="shared" si="0"/>
        <v>0.25629999999999997</v>
      </c>
      <c r="G11" s="42">
        <f>Anassa!N11</f>
        <v>250</v>
      </c>
      <c r="H11" s="43">
        <v>0.626</v>
      </c>
      <c r="I11" s="55">
        <f>Anassa!AC11*5.04</f>
        <v>1608.4656000000016</v>
      </c>
      <c r="J11" s="56">
        <v>8.2900000000000001E-2</v>
      </c>
      <c r="K11" s="44">
        <f>Anassa!Z11</f>
        <v>143</v>
      </c>
      <c r="L11" s="45">
        <v>1.25</v>
      </c>
      <c r="M11" s="58">
        <f>Anassa!H11</f>
        <v>0</v>
      </c>
      <c r="N11" s="59">
        <v>0.88</v>
      </c>
      <c r="O11" s="46">
        <f>Anassa!AD11</f>
        <v>68</v>
      </c>
      <c r="P11" s="46">
        <f>Anassa!AE11</f>
        <v>131</v>
      </c>
    </row>
    <row r="12" spans="1:16" ht="15" x14ac:dyDescent="0.25">
      <c r="A12" s="39" t="s">
        <v>34</v>
      </c>
      <c r="B12" s="4">
        <f t="shared" si="1"/>
        <v>11</v>
      </c>
      <c r="C12" s="4">
        <v>9</v>
      </c>
      <c r="D12" s="3">
        <v>2024</v>
      </c>
      <c r="E12" s="40">
        <f>Anassa!D13-Anassa!D12</f>
        <v>18660.599999999627</v>
      </c>
      <c r="F12" s="41">
        <f t="shared" si="0"/>
        <v>0.25629999999999997</v>
      </c>
      <c r="G12" s="42">
        <f>Anassa!N12</f>
        <v>44.699999999999818</v>
      </c>
      <c r="H12" s="43">
        <v>0.626</v>
      </c>
      <c r="I12" s="55">
        <f>Anassa!AC12*5.04</f>
        <v>1608.465599999997</v>
      </c>
      <c r="J12" s="56">
        <v>8.2900000000000001E-2</v>
      </c>
      <c r="K12" s="44">
        <f>Anassa!Z12</f>
        <v>142</v>
      </c>
      <c r="L12" s="45">
        <v>1.25</v>
      </c>
      <c r="M12" s="58">
        <f>Anassa!H12</f>
        <v>270</v>
      </c>
      <c r="N12" s="59">
        <v>0.88</v>
      </c>
      <c r="O12" s="46">
        <f>Anassa!AD12</f>
        <v>142</v>
      </c>
      <c r="P12" s="46">
        <f>Anassa!AE12</f>
        <v>282</v>
      </c>
    </row>
    <row r="13" spans="1:16" ht="15" x14ac:dyDescent="0.25">
      <c r="A13" s="39" t="s">
        <v>34</v>
      </c>
      <c r="B13" s="4">
        <f t="shared" si="1"/>
        <v>12</v>
      </c>
      <c r="C13" s="4">
        <v>9</v>
      </c>
      <c r="D13" s="3">
        <v>2024</v>
      </c>
      <c r="E13" s="40">
        <f>Anassa!D14-Anassa!D13</f>
        <v>18745.700000001118</v>
      </c>
      <c r="F13" s="41">
        <f t="shared" si="0"/>
        <v>0.25629999999999997</v>
      </c>
      <c r="G13" s="42">
        <f>Anassa!N13</f>
        <v>249.99999999999909</v>
      </c>
      <c r="H13" s="43">
        <v>0.626</v>
      </c>
      <c r="I13" s="55">
        <f>Anassa!AC13*5.04</f>
        <v>1608.4656000000016</v>
      </c>
      <c r="J13" s="56">
        <v>8.2900000000000001E-2</v>
      </c>
      <c r="K13" s="44">
        <f>Anassa!Z13</f>
        <v>22</v>
      </c>
      <c r="L13" s="45">
        <v>1.25</v>
      </c>
      <c r="M13" s="58">
        <f>Anassa!H13</f>
        <v>0</v>
      </c>
      <c r="N13" s="59">
        <v>0.88</v>
      </c>
      <c r="O13" s="46">
        <f>Anassa!AD13</f>
        <v>167</v>
      </c>
      <c r="P13" s="46">
        <f>Anassa!AE13</f>
        <v>332</v>
      </c>
    </row>
    <row r="14" spans="1:16" ht="15" x14ac:dyDescent="0.25">
      <c r="A14" s="39" t="s">
        <v>34</v>
      </c>
      <c r="B14" s="4">
        <f t="shared" si="1"/>
        <v>13</v>
      </c>
      <c r="C14" s="4">
        <v>9</v>
      </c>
      <c r="D14" s="3">
        <v>2024</v>
      </c>
      <c r="E14" s="40">
        <f>Anassa!D15-Anassa!D14</f>
        <v>18981.599999999627</v>
      </c>
      <c r="F14" s="41">
        <f t="shared" si="0"/>
        <v>0.25629999999999997</v>
      </c>
      <c r="G14" s="42">
        <f>Anassa!N14</f>
        <v>125</v>
      </c>
      <c r="H14" s="43">
        <v>0.626</v>
      </c>
      <c r="I14" s="55">
        <f>Anassa!AC14*5.04</f>
        <v>1608.4656000000016</v>
      </c>
      <c r="J14" s="56">
        <v>8.2900000000000001E-2</v>
      </c>
      <c r="K14" s="44">
        <f>Anassa!Z14</f>
        <v>168</v>
      </c>
      <c r="L14" s="45">
        <v>1.25</v>
      </c>
      <c r="M14" s="58">
        <f>Anassa!H14</f>
        <v>135</v>
      </c>
      <c r="N14" s="59">
        <v>0.88</v>
      </c>
      <c r="O14" s="46">
        <f>Anassa!AD14</f>
        <v>104</v>
      </c>
      <c r="P14" s="46">
        <f>Anassa!AE14</f>
        <v>208</v>
      </c>
    </row>
    <row r="15" spans="1:16" ht="15" x14ac:dyDescent="0.25">
      <c r="A15" s="39" t="s">
        <v>34</v>
      </c>
      <c r="B15" s="4">
        <f t="shared" si="1"/>
        <v>14</v>
      </c>
      <c r="C15" s="4">
        <v>9</v>
      </c>
      <c r="D15" s="3">
        <v>2024</v>
      </c>
      <c r="E15" s="40">
        <f>Anassa!D16-Anassa!D15</f>
        <v>16810.900000000373</v>
      </c>
      <c r="F15" s="41">
        <f t="shared" si="0"/>
        <v>0.25629999999999997</v>
      </c>
      <c r="G15" s="42">
        <f>Anassa!N15</f>
        <v>125.00000000000091</v>
      </c>
      <c r="H15" s="43">
        <v>0.626</v>
      </c>
      <c r="I15" s="55">
        <f>Anassa!AC15*5.04</f>
        <v>1608.465599999997</v>
      </c>
      <c r="J15" s="56">
        <v>8.2900000000000001E-2</v>
      </c>
      <c r="K15" s="44">
        <f>Anassa!Z15</f>
        <v>145</v>
      </c>
      <c r="L15" s="45">
        <v>1.25</v>
      </c>
      <c r="M15" s="58">
        <f>Anassa!H15</f>
        <v>134</v>
      </c>
      <c r="N15" s="59">
        <v>0.88</v>
      </c>
      <c r="O15" s="46">
        <f>Anassa!AD15</f>
        <v>96</v>
      </c>
      <c r="P15" s="46">
        <f>Anassa!AE15</f>
        <v>177</v>
      </c>
    </row>
    <row r="16" spans="1:16" ht="15" x14ac:dyDescent="0.25">
      <c r="A16" s="39" t="s">
        <v>34</v>
      </c>
      <c r="B16" s="4">
        <f t="shared" si="1"/>
        <v>15</v>
      </c>
      <c r="C16" s="4">
        <v>9</v>
      </c>
      <c r="D16" s="3">
        <v>2024</v>
      </c>
      <c r="E16" s="40">
        <f>Anassa!D17-Anassa!D16</f>
        <v>16277.599999999627</v>
      </c>
      <c r="F16" s="41">
        <f t="shared" si="0"/>
        <v>0.25629999999999997</v>
      </c>
      <c r="G16" s="42">
        <f>Anassa!N16</f>
        <v>125</v>
      </c>
      <c r="H16" s="43">
        <v>0.626</v>
      </c>
      <c r="I16" s="55">
        <f>Anassa!AC16*5.04</f>
        <v>1608.4656000000016</v>
      </c>
      <c r="J16" s="56">
        <v>8.2900000000000001E-2</v>
      </c>
      <c r="K16" s="44">
        <f>Anassa!Z16</f>
        <v>144</v>
      </c>
      <c r="L16" s="45">
        <v>1.25</v>
      </c>
      <c r="M16" s="58">
        <f>Anassa!H16</f>
        <v>131</v>
      </c>
      <c r="N16" s="59">
        <v>1.25</v>
      </c>
      <c r="O16" s="46">
        <f>Anassa!AD16</f>
        <v>71</v>
      </c>
      <c r="P16" s="46">
        <f>Anassa!AE16</f>
        <v>140</v>
      </c>
    </row>
    <row r="17" spans="1:16" ht="15" x14ac:dyDescent="0.25">
      <c r="A17" s="39" t="s">
        <v>34</v>
      </c>
      <c r="B17" s="4">
        <f t="shared" si="1"/>
        <v>16</v>
      </c>
      <c r="C17" s="4">
        <v>9</v>
      </c>
      <c r="D17" s="3">
        <v>2024</v>
      </c>
      <c r="E17" s="40">
        <f>Anassa!D18-Anassa!D17</f>
        <v>16109.5</v>
      </c>
      <c r="F17" s="41">
        <f t="shared" si="0"/>
        <v>0.25629999999999997</v>
      </c>
      <c r="G17" s="42">
        <f>Anassa!N17</f>
        <v>625.00000000000091</v>
      </c>
      <c r="H17" s="43">
        <v>0.626</v>
      </c>
      <c r="I17" s="55">
        <f>Anassa!AC17*5.04</f>
        <v>1608.4656000000016</v>
      </c>
      <c r="J17" s="56">
        <v>8.2900000000000001E-2</v>
      </c>
      <c r="K17" s="44">
        <f>Anassa!Z17</f>
        <v>162</v>
      </c>
      <c r="L17" s="45">
        <v>1.25</v>
      </c>
      <c r="M17" s="58">
        <f>Anassa!H17</f>
        <v>3</v>
      </c>
      <c r="N17" s="59">
        <v>0.88</v>
      </c>
      <c r="O17" s="46">
        <f>Anassa!AD17</f>
        <v>85</v>
      </c>
      <c r="P17" s="46">
        <f>Anassa!AE17</f>
        <v>155</v>
      </c>
    </row>
    <row r="18" spans="1:16" ht="15" x14ac:dyDescent="0.25">
      <c r="A18" s="39" t="s">
        <v>34</v>
      </c>
      <c r="B18" s="4">
        <f t="shared" si="1"/>
        <v>17</v>
      </c>
      <c r="C18" s="4">
        <v>9</v>
      </c>
      <c r="D18" s="3">
        <v>2024</v>
      </c>
      <c r="E18" s="40">
        <f>Anassa!D19-Anassa!D18</f>
        <v>16425.599999999627</v>
      </c>
      <c r="F18" s="41">
        <f t="shared" si="0"/>
        <v>0.25629999999999997</v>
      </c>
      <c r="G18" s="42">
        <f>Anassa!N18</f>
        <v>374.99999999999909</v>
      </c>
      <c r="H18" s="43">
        <v>0.626</v>
      </c>
      <c r="I18" s="55">
        <f>Anassa!AC18*5.04</f>
        <v>1608.465599999997</v>
      </c>
      <c r="J18" s="56">
        <v>8.2900000000000001E-2</v>
      </c>
      <c r="K18" s="44">
        <f>Anassa!Z18</f>
        <v>137</v>
      </c>
      <c r="L18" s="45">
        <v>1.25</v>
      </c>
      <c r="M18" s="58">
        <f>Anassa!H18</f>
        <v>0</v>
      </c>
      <c r="N18" s="59">
        <v>0.88</v>
      </c>
      <c r="O18" s="46">
        <f>Anassa!AD18</f>
        <v>76</v>
      </c>
      <c r="P18" s="46">
        <f>Anassa!AE18</f>
        <v>141</v>
      </c>
    </row>
    <row r="19" spans="1:16" ht="15" x14ac:dyDescent="0.25">
      <c r="A19" s="39" t="s">
        <v>34</v>
      </c>
      <c r="B19" s="4">
        <f t="shared" si="1"/>
        <v>18</v>
      </c>
      <c r="C19" s="4">
        <v>9</v>
      </c>
      <c r="D19" s="3">
        <v>2024</v>
      </c>
      <c r="E19" s="40">
        <f>Anassa!D20-Anassa!D19</f>
        <v>17619</v>
      </c>
      <c r="F19" s="41">
        <f t="shared" si="0"/>
        <v>0.25629999999999997</v>
      </c>
      <c r="G19" s="42">
        <f>Anassa!N19</f>
        <v>105.57999999999902</v>
      </c>
      <c r="H19" s="43">
        <v>0.626</v>
      </c>
      <c r="I19" s="55">
        <f>Anassa!AC19*5.04</f>
        <v>1608.4656000000016</v>
      </c>
      <c r="J19" s="56">
        <v>8.2900000000000001E-2</v>
      </c>
      <c r="K19" s="44">
        <f>Anassa!Z19</f>
        <v>147</v>
      </c>
      <c r="L19" s="45">
        <v>1.25</v>
      </c>
      <c r="M19" s="58">
        <f>Anassa!H19</f>
        <v>0</v>
      </c>
      <c r="N19" s="59">
        <v>0.88</v>
      </c>
      <c r="O19" s="46">
        <f>Anassa!AD19</f>
        <v>103</v>
      </c>
      <c r="P19" s="46">
        <f>Anassa!AE19</f>
        <v>182</v>
      </c>
    </row>
    <row r="20" spans="1:16" ht="15" x14ac:dyDescent="0.25">
      <c r="A20" s="39" t="s">
        <v>34</v>
      </c>
      <c r="B20" s="4">
        <f t="shared" si="1"/>
        <v>19</v>
      </c>
      <c r="C20" s="4">
        <v>9</v>
      </c>
      <c r="D20" s="3">
        <v>2024</v>
      </c>
      <c r="E20" s="40">
        <f>Anassa!D21-Anassa!D20</f>
        <v>15232.700000001118</v>
      </c>
      <c r="F20" s="41">
        <f t="shared" si="0"/>
        <v>0.25629999999999997</v>
      </c>
      <c r="G20" s="42">
        <f>Anassa!N20</f>
        <v>125</v>
      </c>
      <c r="H20" s="43">
        <v>0.626</v>
      </c>
      <c r="I20" s="55">
        <f>Anassa!AC20*5.04</f>
        <v>1608.4656000000016</v>
      </c>
      <c r="J20" s="56">
        <v>8.2900000000000001E-2</v>
      </c>
      <c r="K20" s="44">
        <f>Anassa!Z20</f>
        <v>94</v>
      </c>
      <c r="L20" s="45">
        <v>1.25</v>
      </c>
      <c r="M20" s="58">
        <f>Anassa!H20</f>
        <v>0</v>
      </c>
      <c r="N20" s="59">
        <v>0.88</v>
      </c>
      <c r="O20" s="46">
        <f>Anassa!AD20</f>
        <v>115</v>
      </c>
      <c r="P20" s="46">
        <f>Anassa!AE20</f>
        <v>203</v>
      </c>
    </row>
    <row r="21" spans="1:16" ht="15" x14ac:dyDescent="0.25">
      <c r="A21" s="39" t="s">
        <v>34</v>
      </c>
      <c r="B21" s="4">
        <f t="shared" si="1"/>
        <v>20</v>
      </c>
      <c r="C21" s="4">
        <v>9</v>
      </c>
      <c r="D21" s="3">
        <v>2024</v>
      </c>
      <c r="E21" s="40">
        <f>Anassa!D22-Anassa!D21</f>
        <v>15659.099999999627</v>
      </c>
      <c r="F21" s="41">
        <f t="shared" si="0"/>
        <v>0.25629999999999997</v>
      </c>
      <c r="G21" s="42">
        <f>Anassa!N21</f>
        <v>250.00000000000091</v>
      </c>
      <c r="H21" s="43">
        <v>0.626</v>
      </c>
      <c r="I21" s="55">
        <f>Anassa!AC21*5.04</f>
        <v>1608.465599999997</v>
      </c>
      <c r="J21" s="56">
        <v>8.2900000000000001E-2</v>
      </c>
      <c r="K21" s="44">
        <f>Anassa!Z21</f>
        <v>195</v>
      </c>
      <c r="L21" s="45">
        <v>1.25</v>
      </c>
      <c r="M21" s="58">
        <f>Anassa!H21</f>
        <v>266</v>
      </c>
      <c r="N21" s="59">
        <v>0.88</v>
      </c>
      <c r="O21" s="46">
        <f>Anassa!AD21</f>
        <v>137</v>
      </c>
      <c r="P21" s="46">
        <f>Anassa!AE21</f>
        <v>259</v>
      </c>
    </row>
    <row r="22" spans="1:16" ht="15" x14ac:dyDescent="0.25">
      <c r="A22" s="39" t="s">
        <v>34</v>
      </c>
      <c r="B22" s="4">
        <f t="shared" si="1"/>
        <v>21</v>
      </c>
      <c r="C22" s="4">
        <v>9</v>
      </c>
      <c r="D22" s="3">
        <v>2024</v>
      </c>
      <c r="E22" s="40">
        <f>Anassa!D23-Anassa!D22</f>
        <v>14933.599999999627</v>
      </c>
      <c r="F22" s="41">
        <f t="shared" si="0"/>
        <v>0.25629999999999997</v>
      </c>
      <c r="G22" s="42">
        <f>Anassa!N22</f>
        <v>125</v>
      </c>
      <c r="H22" s="43">
        <v>0.626</v>
      </c>
      <c r="I22" s="55">
        <f>Anassa!AC22*5.04</f>
        <v>1608.4656000000016</v>
      </c>
      <c r="J22" s="56">
        <v>8.2900000000000001E-2</v>
      </c>
      <c r="K22" s="44">
        <f>Anassa!Z22</f>
        <v>170</v>
      </c>
      <c r="L22" s="45">
        <v>1.25</v>
      </c>
      <c r="M22" s="58">
        <f>Anassa!H22</f>
        <v>0</v>
      </c>
      <c r="N22" s="59">
        <v>0.88</v>
      </c>
      <c r="O22" s="46">
        <f>Anassa!AD22</f>
        <v>111</v>
      </c>
      <c r="P22" s="46">
        <f>Anassa!AE22</f>
        <v>213</v>
      </c>
    </row>
    <row r="23" spans="1:16" ht="15" x14ac:dyDescent="0.25">
      <c r="A23" s="39" t="s">
        <v>34</v>
      </c>
      <c r="B23" s="4">
        <f t="shared" si="1"/>
        <v>22</v>
      </c>
      <c r="C23" s="4">
        <v>9</v>
      </c>
      <c r="D23" s="3">
        <v>2024</v>
      </c>
      <c r="E23" s="40">
        <f>Anassa!D24-Anassa!D23</f>
        <v>14581.599999999627</v>
      </c>
      <c r="F23" s="41">
        <f t="shared" si="0"/>
        <v>0.25629999999999997</v>
      </c>
      <c r="G23" s="42">
        <f>Anassa!N23</f>
        <v>375.00000000000091</v>
      </c>
      <c r="H23" s="43">
        <v>0.626</v>
      </c>
      <c r="I23" s="55">
        <f>Anassa!AC23*5.04</f>
        <v>1608.4655999999993</v>
      </c>
      <c r="J23" s="56">
        <v>8.2900000000000001E-2</v>
      </c>
      <c r="K23" s="44">
        <f>Anassa!Z23</f>
        <v>173</v>
      </c>
      <c r="L23" s="45">
        <v>1.25</v>
      </c>
      <c r="M23" s="58">
        <f>Anassa!H23</f>
        <v>0</v>
      </c>
      <c r="N23" s="59">
        <v>0.88</v>
      </c>
      <c r="O23" s="46">
        <f>Anassa!AD23</f>
        <v>114</v>
      </c>
      <c r="P23" s="46">
        <f>Anassa!AE23</f>
        <v>219</v>
      </c>
    </row>
    <row r="24" spans="1:16" ht="15" x14ac:dyDescent="0.25">
      <c r="A24" s="39" t="s">
        <v>34</v>
      </c>
      <c r="B24" s="4">
        <f t="shared" si="1"/>
        <v>23</v>
      </c>
      <c r="C24" s="4">
        <v>9</v>
      </c>
      <c r="D24" s="3">
        <v>2024</v>
      </c>
      <c r="E24" s="40">
        <f>Anassa!D25-Anassa!D24</f>
        <v>14775.599999999627</v>
      </c>
      <c r="F24" s="41">
        <f t="shared" si="0"/>
        <v>0.25629999999999997</v>
      </c>
      <c r="G24" s="42">
        <f>Anassa!N24</f>
        <v>125</v>
      </c>
      <c r="H24" s="43">
        <v>0.626</v>
      </c>
      <c r="I24" s="55">
        <f>Anassa!AC24*5.04</f>
        <v>1608.4655999999993</v>
      </c>
      <c r="J24" s="56">
        <v>8.2900000000000001E-2</v>
      </c>
      <c r="K24" s="44">
        <f>Anassa!Z24</f>
        <v>32</v>
      </c>
      <c r="L24" s="45">
        <v>1.25</v>
      </c>
      <c r="M24" s="58">
        <f>Anassa!H24</f>
        <v>0</v>
      </c>
      <c r="N24" s="59">
        <v>0.88</v>
      </c>
      <c r="O24" s="46">
        <f>Anassa!AD24</f>
        <v>112</v>
      </c>
      <c r="P24" s="46">
        <f>Anassa!AE24</f>
        <v>206</v>
      </c>
    </row>
    <row r="25" spans="1:16" ht="15" x14ac:dyDescent="0.25">
      <c r="A25" s="39" t="s">
        <v>34</v>
      </c>
      <c r="B25" s="4">
        <f t="shared" si="1"/>
        <v>24</v>
      </c>
      <c r="C25" s="4">
        <v>9</v>
      </c>
      <c r="D25" s="3">
        <v>2024</v>
      </c>
      <c r="E25" s="40">
        <f>Anassa!D26-Anassa!D25</f>
        <v>15966.700000001118</v>
      </c>
      <c r="F25" s="41">
        <f t="shared" si="0"/>
        <v>0.25629999999999997</v>
      </c>
      <c r="G25" s="42">
        <f>Anassa!N25</f>
        <v>374.99999999999909</v>
      </c>
      <c r="H25" s="43">
        <v>0.626</v>
      </c>
      <c r="I25" s="55">
        <f>Anassa!AC25*5.04</f>
        <v>1608.4655999999993</v>
      </c>
      <c r="J25" s="56">
        <v>8.2900000000000001E-2</v>
      </c>
      <c r="K25" s="44">
        <f>Anassa!Z25</f>
        <v>158</v>
      </c>
      <c r="L25" s="45">
        <v>1.25</v>
      </c>
      <c r="M25" s="58">
        <f>Anassa!H25</f>
        <v>0</v>
      </c>
      <c r="N25" s="59">
        <v>0.88</v>
      </c>
      <c r="O25" s="46">
        <f>Anassa!AD25</f>
        <v>100</v>
      </c>
      <c r="P25" s="46">
        <f>Anassa!AE25</f>
        <v>189</v>
      </c>
    </row>
    <row r="26" spans="1:16" ht="15" x14ac:dyDescent="0.25">
      <c r="A26" s="39" t="s">
        <v>34</v>
      </c>
      <c r="B26" s="4">
        <f>B25+1</f>
        <v>25</v>
      </c>
      <c r="C26" s="4">
        <v>9</v>
      </c>
      <c r="D26" s="3">
        <v>2024</v>
      </c>
      <c r="E26" s="40">
        <f>Anassa!D27-Anassa!D26</f>
        <v>15617.5</v>
      </c>
      <c r="F26" s="41">
        <f t="shared" si="0"/>
        <v>0.25629999999999997</v>
      </c>
      <c r="G26" s="42">
        <f>Anassa!N26</f>
        <v>337.28999999999996</v>
      </c>
      <c r="H26" s="43">
        <v>0.626</v>
      </c>
      <c r="I26" s="55">
        <f>Anassa!AC26*5.04</f>
        <v>1608.4656000000016</v>
      </c>
      <c r="J26" s="56">
        <v>8.2900000000000001E-2</v>
      </c>
      <c r="K26" s="44">
        <f>Anassa!Z26</f>
        <v>180</v>
      </c>
      <c r="L26" s="45">
        <v>1.25</v>
      </c>
      <c r="M26" s="58">
        <f>Anassa!H26</f>
        <v>132</v>
      </c>
      <c r="N26" s="59">
        <v>0.88</v>
      </c>
      <c r="O26" s="46">
        <f>Anassa!AD26</f>
        <v>104</v>
      </c>
      <c r="P26" s="46">
        <f>Anassa!AE26</f>
        <v>199</v>
      </c>
    </row>
    <row r="27" spans="1:16" ht="15" x14ac:dyDescent="0.25">
      <c r="A27" s="39" t="s">
        <v>34</v>
      </c>
      <c r="B27" s="4">
        <f t="shared" si="1"/>
        <v>26</v>
      </c>
      <c r="C27" s="4">
        <v>9</v>
      </c>
      <c r="D27" s="3">
        <v>2024</v>
      </c>
      <c r="E27" s="40">
        <f>Anassa!D28-Anassa!D27</f>
        <v>16336.599999999627</v>
      </c>
      <c r="F27" s="41">
        <f t="shared" si="0"/>
        <v>0.25629999999999997</v>
      </c>
      <c r="G27" s="42">
        <f>Anassa!N27</f>
        <v>624.99999999999909</v>
      </c>
      <c r="H27" s="43">
        <v>0.626</v>
      </c>
      <c r="I27" s="55">
        <f>Anassa!AC27*5.04</f>
        <v>1608.4655999999993</v>
      </c>
      <c r="J27" s="56">
        <v>8.2900000000000001E-2</v>
      </c>
      <c r="K27" s="44">
        <f>Anassa!Z27</f>
        <v>180</v>
      </c>
      <c r="L27" s="45">
        <v>1.25</v>
      </c>
      <c r="M27" s="58">
        <f>Anassa!H27</f>
        <v>0</v>
      </c>
      <c r="N27" s="59">
        <v>0.88</v>
      </c>
      <c r="O27" s="46">
        <f>Anassa!AD27</f>
        <v>128</v>
      </c>
      <c r="P27" s="46">
        <f>Anassa!AE27</f>
        <v>253</v>
      </c>
    </row>
    <row r="28" spans="1:16" ht="15" x14ac:dyDescent="0.25">
      <c r="A28" s="39" t="s">
        <v>34</v>
      </c>
      <c r="B28" s="4">
        <f t="shared" si="1"/>
        <v>27</v>
      </c>
      <c r="C28" s="4">
        <v>9</v>
      </c>
      <c r="D28" s="3">
        <v>2024</v>
      </c>
      <c r="E28" s="40">
        <f>Anassa!D29-Anassa!D28</f>
        <v>16877.199999999255</v>
      </c>
      <c r="F28" s="41">
        <f t="shared" si="0"/>
        <v>0.25629999999999997</v>
      </c>
      <c r="G28" s="42">
        <f>Anassa!N28</f>
        <v>250.00000000000091</v>
      </c>
      <c r="H28" s="43">
        <v>0.626</v>
      </c>
      <c r="I28" s="55">
        <f>Anassa!AC28*5.04</f>
        <v>1608.4656000000004</v>
      </c>
      <c r="J28" s="56">
        <v>8.2900000000000001E-2</v>
      </c>
      <c r="K28" s="44">
        <f>Anassa!Z28</f>
        <v>197</v>
      </c>
      <c r="L28" s="45">
        <v>1.25</v>
      </c>
      <c r="M28" s="58">
        <f>Anassa!H28</f>
        <v>524</v>
      </c>
      <c r="N28" s="59">
        <v>0.88</v>
      </c>
      <c r="O28" s="46">
        <f>Anassa!AD28</f>
        <v>129</v>
      </c>
      <c r="P28" s="46">
        <f>Anassa!AE28</f>
        <v>259</v>
      </c>
    </row>
    <row r="29" spans="1:16" ht="15" x14ac:dyDescent="0.25">
      <c r="A29" s="39" t="s">
        <v>34</v>
      </c>
      <c r="B29" s="4">
        <f t="shared" si="1"/>
        <v>28</v>
      </c>
      <c r="C29" s="4">
        <v>9</v>
      </c>
      <c r="D29" s="3">
        <v>2024</v>
      </c>
      <c r="E29" s="40">
        <f>Anassa!D30-Anassa!D29</f>
        <v>13661.400000000373</v>
      </c>
      <c r="F29" s="41">
        <f t="shared" si="0"/>
        <v>0.25629999999999997</v>
      </c>
      <c r="G29" s="42">
        <f>Anassa!N29</f>
        <v>250</v>
      </c>
      <c r="H29" s="43">
        <v>0.626</v>
      </c>
      <c r="I29" s="55">
        <f>Anassa!AC29*5.04</f>
        <v>1608.4655999999993</v>
      </c>
      <c r="J29" s="56">
        <v>8.2900000000000001E-2</v>
      </c>
      <c r="K29" s="44">
        <f>Anassa!Z29</f>
        <v>155</v>
      </c>
      <c r="L29" s="45">
        <v>1.25</v>
      </c>
      <c r="M29" s="58">
        <f>Anassa!H29</f>
        <v>515</v>
      </c>
      <c r="N29" s="59">
        <v>0.88</v>
      </c>
      <c r="O29" s="46">
        <f>Anassa!AD29</f>
        <v>79</v>
      </c>
      <c r="P29" s="46">
        <f>Anassa!AE29</f>
        <v>152</v>
      </c>
    </row>
    <row r="30" spans="1:16" ht="15" x14ac:dyDescent="0.25">
      <c r="A30" s="39" t="s">
        <v>34</v>
      </c>
      <c r="B30" s="4">
        <f t="shared" si="1"/>
        <v>29</v>
      </c>
      <c r="C30" s="4">
        <v>9</v>
      </c>
      <c r="D30" s="3">
        <v>2024</v>
      </c>
      <c r="E30" s="40">
        <f>Anassa!D31-Anassa!D30</f>
        <v>14594.800000000745</v>
      </c>
      <c r="F30" s="41">
        <f t="shared" si="0"/>
        <v>0.25629999999999997</v>
      </c>
      <c r="G30" s="42">
        <f>Anassa!N30</f>
        <v>375.00000000000091</v>
      </c>
      <c r="H30" s="43">
        <v>0.626</v>
      </c>
      <c r="I30" s="55">
        <f>Anassa!AC30*5.04</f>
        <v>1608.8688000000002</v>
      </c>
      <c r="J30" s="56">
        <v>8.2900000000000001E-2</v>
      </c>
      <c r="K30" s="44">
        <f>Anassa!Z30</f>
        <v>143</v>
      </c>
      <c r="L30" s="45">
        <v>1.25</v>
      </c>
      <c r="M30" s="58">
        <f>Anassa!H30</f>
        <v>380</v>
      </c>
      <c r="N30" s="59">
        <v>0.88</v>
      </c>
      <c r="O30" s="46">
        <f>Anassa!AD30</f>
        <v>80</v>
      </c>
      <c r="P30" s="46">
        <f>Anassa!AE30</f>
        <v>154</v>
      </c>
    </row>
    <row r="31" spans="1:16" ht="15" x14ac:dyDescent="0.25">
      <c r="A31" s="39" t="s">
        <v>34</v>
      </c>
      <c r="B31" s="4">
        <f t="shared" si="1"/>
        <v>30</v>
      </c>
      <c r="C31" s="4">
        <v>9</v>
      </c>
      <c r="D31" s="3">
        <v>2024</v>
      </c>
      <c r="E31" s="40">
        <f>Anassa!D32-Anassa!D31</f>
        <v>14232.799999998882</v>
      </c>
      <c r="F31" s="41">
        <f t="shared" si="0"/>
        <v>0.25629999999999997</v>
      </c>
      <c r="G31" s="42">
        <f>Anassa!N31</f>
        <v>374.99999999999909</v>
      </c>
      <c r="H31" s="43">
        <v>0.626</v>
      </c>
      <c r="I31" s="55">
        <f>Anassa!AC31*5.04</f>
        <v>1587.6</v>
      </c>
      <c r="J31" s="56">
        <v>8.2900000000000001E-2</v>
      </c>
      <c r="K31" s="44">
        <f>Anassa!Z31</f>
        <v>106</v>
      </c>
      <c r="L31" s="45">
        <v>1.25</v>
      </c>
      <c r="M31" s="58">
        <f>Anassa!H31</f>
        <v>909</v>
      </c>
      <c r="N31" s="59">
        <v>0.88</v>
      </c>
      <c r="O31" s="46">
        <f>Anassa!AD31</f>
        <v>81</v>
      </c>
      <c r="P31" s="46">
        <f>Anassa!AE31</f>
        <v>154</v>
      </c>
    </row>
    <row r="32" spans="1:16" ht="15" x14ac:dyDescent="0.25">
      <c r="A32" s="39" t="s">
        <v>34</v>
      </c>
      <c r="B32" s="4">
        <f t="shared" si="1"/>
        <v>31</v>
      </c>
      <c r="C32" s="4">
        <v>9</v>
      </c>
      <c r="D32" s="3">
        <v>2024</v>
      </c>
      <c r="E32" s="40">
        <f>Anassa!D33-Anassa!D32</f>
        <v>-16681934.699999999</v>
      </c>
      <c r="F32" s="41">
        <f t="shared" si="0"/>
        <v>0.25629999999999997</v>
      </c>
      <c r="G32" s="42">
        <f>Anassa!N32</f>
        <v>0</v>
      </c>
      <c r="H32" s="43">
        <v>0.626</v>
      </c>
      <c r="I32" s="55">
        <f>Anassa!AC32*5.04</f>
        <v>0</v>
      </c>
      <c r="J32" s="56">
        <v>8.2900000000000001E-2</v>
      </c>
      <c r="K32" s="44">
        <f>Anassa!Z32</f>
        <v>0</v>
      </c>
      <c r="L32" s="45">
        <v>1.25</v>
      </c>
      <c r="M32" s="58">
        <f>Anassa!H32</f>
        <v>0</v>
      </c>
      <c r="N32" s="59">
        <v>0.88</v>
      </c>
      <c r="O32" s="46">
        <f>Anassa!AD32</f>
        <v>0</v>
      </c>
      <c r="P32" s="46">
        <f>Anassa!AE32</f>
        <v>0</v>
      </c>
    </row>
    <row r="33" spans="4:16" x14ac:dyDescent="0.2">
      <c r="D33" s="47"/>
      <c r="E33" s="40" t="s">
        <v>35</v>
      </c>
      <c r="F33" s="41"/>
      <c r="I33" s="55"/>
      <c r="J33" s="56"/>
      <c r="K33" s="45"/>
      <c r="L33" s="45"/>
      <c r="O33" s="49"/>
      <c r="P33" s="49"/>
    </row>
    <row r="34" spans="4:16" x14ac:dyDescent="0.2">
      <c r="D34" s="47"/>
      <c r="F34" s="41"/>
      <c r="I34" s="55"/>
      <c r="J34" s="56"/>
      <c r="K34" s="45"/>
      <c r="L34" s="45"/>
      <c r="O34" s="49"/>
      <c r="P34" s="49"/>
    </row>
    <row r="35" spans="4:16" x14ac:dyDescent="0.2">
      <c r="D35" s="47"/>
      <c r="F35" s="41"/>
      <c r="I35" s="55"/>
      <c r="J35" s="56"/>
      <c r="K35" s="45"/>
      <c r="L35" s="45"/>
      <c r="O35" s="49"/>
      <c r="P35" s="49"/>
    </row>
    <row r="36" spans="4:16" x14ac:dyDescent="0.2">
      <c r="D36" s="47"/>
      <c r="F36" s="41"/>
      <c r="I36" s="55"/>
      <c r="J36" s="56"/>
      <c r="K36" s="45"/>
      <c r="L36" s="45"/>
      <c r="O36" s="49"/>
      <c r="P36" s="49"/>
    </row>
    <row r="37" spans="4:16" x14ac:dyDescent="0.2">
      <c r="D37" s="47"/>
      <c r="F37" s="41"/>
      <c r="I37" s="55"/>
      <c r="J37" s="56"/>
      <c r="K37" s="45"/>
      <c r="L37" s="45"/>
      <c r="O37" s="49"/>
      <c r="P37" s="49"/>
    </row>
    <row r="38" spans="4:16" x14ac:dyDescent="0.2">
      <c r="D38" s="47"/>
      <c r="F38" s="41"/>
      <c r="I38" s="55"/>
      <c r="J38" s="56"/>
      <c r="K38" s="45"/>
      <c r="L38" s="45"/>
      <c r="O38" s="49"/>
      <c r="P38" s="49"/>
    </row>
    <row r="39" spans="4:16" x14ac:dyDescent="0.2">
      <c r="D39" s="47"/>
      <c r="F39" s="41"/>
      <c r="I39" s="55"/>
      <c r="J39" s="56"/>
      <c r="K39" s="45"/>
      <c r="L39" s="45"/>
      <c r="O39" s="49"/>
      <c r="P39" s="49"/>
    </row>
    <row r="40" spans="4:16" x14ac:dyDescent="0.2">
      <c r="F40" s="41"/>
      <c r="I40" s="55"/>
      <c r="J40" s="56"/>
    </row>
    <row r="41" spans="4:16" x14ac:dyDescent="0.2">
      <c r="F41" s="41"/>
      <c r="I41" s="55"/>
      <c r="J41" s="56"/>
    </row>
    <row r="42" spans="4:16" x14ac:dyDescent="0.2">
      <c r="F42" s="41"/>
      <c r="I42" s="55"/>
      <c r="J42" s="56"/>
    </row>
    <row r="43" spans="4:16" x14ac:dyDescent="0.2">
      <c r="F43" s="41"/>
      <c r="I43" s="55"/>
      <c r="J43" s="56"/>
    </row>
    <row r="44" spans="4:16" x14ac:dyDescent="0.2">
      <c r="I44" s="55"/>
      <c r="J44" s="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Normal="100" workbookViewId="0">
      <selection activeCell="AF28" sqref="AF28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23" customFormat="1" ht="91.5" thickTop="1" thickBot="1" x14ac:dyDescent="0.25">
      <c r="A1" s="100" t="s">
        <v>1</v>
      </c>
      <c r="B1" s="83" t="s">
        <v>19</v>
      </c>
      <c r="C1" s="84" t="s">
        <v>20</v>
      </c>
      <c r="D1" s="85" t="s">
        <v>12</v>
      </c>
      <c r="E1" s="86" t="s">
        <v>3</v>
      </c>
      <c r="F1" s="87" t="s">
        <v>2</v>
      </c>
      <c r="G1" s="88" t="s">
        <v>8</v>
      </c>
      <c r="H1" s="86" t="s">
        <v>3</v>
      </c>
      <c r="I1" s="89" t="s">
        <v>4</v>
      </c>
      <c r="J1" s="90" t="s">
        <v>5</v>
      </c>
      <c r="K1" s="90" t="s">
        <v>13</v>
      </c>
      <c r="L1" s="91" t="s">
        <v>9</v>
      </c>
      <c r="M1" s="92" t="s">
        <v>7</v>
      </c>
      <c r="N1" s="86" t="s">
        <v>3</v>
      </c>
      <c r="O1" s="89" t="s">
        <v>4</v>
      </c>
      <c r="P1" s="90" t="s">
        <v>5</v>
      </c>
      <c r="Q1" s="90" t="s">
        <v>13</v>
      </c>
      <c r="R1" s="91" t="s">
        <v>14</v>
      </c>
      <c r="S1" s="92" t="s">
        <v>7</v>
      </c>
      <c r="T1" s="86" t="s">
        <v>3</v>
      </c>
      <c r="U1" s="86" t="s">
        <v>21</v>
      </c>
      <c r="V1" s="93" t="s">
        <v>15</v>
      </c>
      <c r="W1" s="94" t="s">
        <v>16</v>
      </c>
      <c r="X1" s="94" t="s">
        <v>17</v>
      </c>
      <c r="Y1" s="95" t="s">
        <v>18</v>
      </c>
      <c r="Z1" s="86" t="s">
        <v>3</v>
      </c>
      <c r="AA1" s="96" t="s">
        <v>10</v>
      </c>
      <c r="AB1" s="97" t="s">
        <v>11</v>
      </c>
      <c r="AC1" s="86" t="s">
        <v>3</v>
      </c>
      <c r="AD1" s="98" t="s">
        <v>0</v>
      </c>
      <c r="AE1" s="99" t="s">
        <v>6</v>
      </c>
    </row>
    <row r="2" spans="1:31" x14ac:dyDescent="0.2">
      <c r="A2" s="128">
        <v>45901</v>
      </c>
      <c r="B2" s="129">
        <v>18856146</v>
      </c>
      <c r="C2" s="130">
        <f>SUM(4140.6+1775159.5+589277+9950+266307+29247)</f>
        <v>2674081.1</v>
      </c>
      <c r="D2" s="131">
        <f>B2-C2</f>
        <v>16182064.9</v>
      </c>
      <c r="E2" s="132">
        <f t="shared" ref="E2:E31" si="0">B3-B2</f>
        <v>18361</v>
      </c>
      <c r="F2" s="133">
        <v>9021</v>
      </c>
      <c r="G2" s="134"/>
      <c r="H2" s="132">
        <f>F2+G2-F3</f>
        <v>0</v>
      </c>
      <c r="I2" s="135">
        <v>0.75</v>
      </c>
      <c r="J2" s="136">
        <v>0.78</v>
      </c>
      <c r="K2" s="136">
        <v>0.75</v>
      </c>
      <c r="L2" s="137">
        <f>SUM(I2:K2)/3*7500</f>
        <v>5700.0000000000009</v>
      </c>
      <c r="M2" s="138"/>
      <c r="N2" s="132">
        <f>SUM(L2+M2-L3)</f>
        <v>450.00000000000182</v>
      </c>
      <c r="O2" s="135">
        <v>0.65</v>
      </c>
      <c r="P2" s="136">
        <v>0.65</v>
      </c>
      <c r="Q2" s="136">
        <v>0.65</v>
      </c>
      <c r="R2" s="137">
        <f>SUM(O2:Q2)/3*1500</f>
        <v>975</v>
      </c>
      <c r="S2" s="138"/>
      <c r="T2" s="132">
        <f>SUM(R2+S2-R3)</f>
        <v>100</v>
      </c>
      <c r="U2" s="139">
        <f>SUM(N2+T2)</f>
        <v>550.00000000000182</v>
      </c>
      <c r="V2" s="140">
        <v>683490</v>
      </c>
      <c r="W2" s="141">
        <v>78924</v>
      </c>
      <c r="X2" s="141">
        <v>16952</v>
      </c>
      <c r="Y2" s="142">
        <f>SUM(V2-W2-X2)</f>
        <v>587614</v>
      </c>
      <c r="Z2" s="132">
        <f t="shared" ref="Z2:Z31" si="1">SUM(Y3-Y2)</f>
        <v>148</v>
      </c>
      <c r="AA2" s="143">
        <v>3000</v>
      </c>
      <c r="AB2" s="144"/>
      <c r="AC2" s="132">
        <f>SUM(AA2+AB2-AA3)</f>
        <v>544</v>
      </c>
      <c r="AD2" s="145">
        <v>70</v>
      </c>
      <c r="AE2" s="146">
        <v>140</v>
      </c>
    </row>
    <row r="3" spans="1:31" x14ac:dyDescent="0.2">
      <c r="A3" s="101">
        <v>45902</v>
      </c>
      <c r="B3" s="25">
        <v>18874507</v>
      </c>
      <c r="C3" s="62">
        <f>SUM(4141.6+1775549+589463+9950.2+266307+29270)</f>
        <v>2674680.8000000003</v>
      </c>
      <c r="D3" s="63">
        <f t="shared" ref="D3:D33" si="2">B3-C3</f>
        <v>16199826.199999999</v>
      </c>
      <c r="E3" s="9">
        <f t="shared" si="0"/>
        <v>19263</v>
      </c>
      <c r="F3" s="64">
        <v>9021</v>
      </c>
      <c r="G3" s="8"/>
      <c r="H3" s="12">
        <f t="shared" ref="H3:H31" si="3">F3+G3-F4</f>
        <v>276</v>
      </c>
      <c r="I3" s="65">
        <v>0.7</v>
      </c>
      <c r="J3" s="66">
        <v>0.7</v>
      </c>
      <c r="K3" s="66">
        <v>0.7</v>
      </c>
      <c r="L3" s="11">
        <f>SUM(I3:K3)/3*7500</f>
        <v>5249.9999999999991</v>
      </c>
      <c r="M3" s="10"/>
      <c r="N3" s="12">
        <f>SUM(L3+M3-L4)</f>
        <v>149.99999999999909</v>
      </c>
      <c r="O3" s="65">
        <v>0.55000000000000004</v>
      </c>
      <c r="P3" s="66">
        <v>0.6</v>
      </c>
      <c r="Q3" s="66">
        <v>0.6</v>
      </c>
      <c r="R3" s="11">
        <f t="shared" ref="R3:R32" si="4">SUM(O3:Q3)/3*1500</f>
        <v>875</v>
      </c>
      <c r="S3" s="10"/>
      <c r="T3" s="12">
        <f t="shared" ref="T3:T31" si="5">SUM(R3+S3-R4)</f>
        <v>99.999999999999886</v>
      </c>
      <c r="U3" s="24">
        <f t="shared" ref="U3:U31" si="6">SUM(N3+T3)</f>
        <v>249.99999999999898</v>
      </c>
      <c r="V3" s="67">
        <v>683749</v>
      </c>
      <c r="W3" s="68">
        <v>79024</v>
      </c>
      <c r="X3" s="68">
        <v>16963</v>
      </c>
      <c r="Y3" s="28">
        <f t="shared" ref="Y3:Y10" si="7">SUM(V3-W3-X3)</f>
        <v>587762</v>
      </c>
      <c r="Z3" s="12">
        <v>23</v>
      </c>
      <c r="AA3" s="69">
        <v>2456</v>
      </c>
      <c r="AB3" s="70">
        <v>7480</v>
      </c>
      <c r="AC3" s="12">
        <f>SUM(AA3+AB3-AA4)</f>
        <v>319.13999999999942</v>
      </c>
      <c r="AD3" s="71">
        <v>77</v>
      </c>
      <c r="AE3" s="72">
        <v>150</v>
      </c>
    </row>
    <row r="4" spans="1:31" x14ac:dyDescent="0.2">
      <c r="A4" s="101">
        <v>45903</v>
      </c>
      <c r="B4" s="25">
        <v>18893770</v>
      </c>
      <c r="C4" s="62">
        <f>SUM(4142.6+1775971.1+589675+9950.4+266307+29295)</f>
        <v>2675341.1</v>
      </c>
      <c r="D4" s="63">
        <f t="shared" si="2"/>
        <v>16218428.9</v>
      </c>
      <c r="E4" s="9">
        <f t="shared" si="0"/>
        <v>18926</v>
      </c>
      <c r="F4" s="64">
        <v>8745</v>
      </c>
      <c r="G4" s="8"/>
      <c r="H4" s="12">
        <f t="shared" si="3"/>
        <v>275</v>
      </c>
      <c r="I4" s="65">
        <v>0.68</v>
      </c>
      <c r="J4" s="66">
        <v>0.68</v>
      </c>
      <c r="K4" s="66">
        <v>0.68</v>
      </c>
      <c r="L4" s="11">
        <f t="shared" ref="L4:L32" si="8">SUM(I4:K4)/3*7500</f>
        <v>5100</v>
      </c>
      <c r="M4" s="10"/>
      <c r="N4" s="12">
        <f t="shared" ref="N4:N31" si="9">SUM(L4+M4-L5)</f>
        <v>600</v>
      </c>
      <c r="O4" s="65">
        <v>0.5</v>
      </c>
      <c r="P4" s="66">
        <v>0.55000000000000004</v>
      </c>
      <c r="Q4" s="66">
        <v>0.5</v>
      </c>
      <c r="R4" s="11">
        <f t="shared" si="4"/>
        <v>775.00000000000011</v>
      </c>
      <c r="S4" s="10"/>
      <c r="T4" s="12">
        <f t="shared" si="5"/>
        <v>150.00000000000011</v>
      </c>
      <c r="U4" s="24">
        <f t="shared" si="6"/>
        <v>750.00000000000011</v>
      </c>
      <c r="V4" s="67">
        <v>684013</v>
      </c>
      <c r="W4" s="68">
        <v>79137</v>
      </c>
      <c r="X4" s="68">
        <v>16976</v>
      </c>
      <c r="Y4" s="28">
        <f t="shared" si="7"/>
        <v>587900</v>
      </c>
      <c r="Z4" s="12">
        <f t="shared" si="1"/>
        <v>146</v>
      </c>
      <c r="AA4" s="69">
        <v>9616.86</v>
      </c>
      <c r="AB4" s="70"/>
      <c r="AC4" s="12">
        <f t="shared" ref="AC4" si="10">AA4-AA5</f>
        <v>319.14000000000124</v>
      </c>
      <c r="AD4" s="71">
        <v>106</v>
      </c>
      <c r="AE4" s="72">
        <v>203</v>
      </c>
    </row>
    <row r="5" spans="1:31" x14ac:dyDescent="0.2">
      <c r="A5" s="101">
        <v>45904</v>
      </c>
      <c r="B5" s="25">
        <v>18912696</v>
      </c>
      <c r="C5" s="62">
        <f>SUM(4143.6+1776354.5+589849+9950.8+266307+29313)</f>
        <v>2675917.9</v>
      </c>
      <c r="D5" s="63">
        <f t="shared" si="2"/>
        <v>16236778.1</v>
      </c>
      <c r="E5" s="9">
        <f t="shared" si="0"/>
        <v>19059</v>
      </c>
      <c r="F5" s="64">
        <v>8470</v>
      </c>
      <c r="G5" s="8"/>
      <c r="H5" s="12">
        <f t="shared" si="3"/>
        <v>0</v>
      </c>
      <c r="I5" s="65">
        <v>0.6</v>
      </c>
      <c r="J5" s="66">
        <v>0.6</v>
      </c>
      <c r="K5" s="66">
        <v>0.6</v>
      </c>
      <c r="L5" s="11">
        <f t="shared" si="8"/>
        <v>4500</v>
      </c>
      <c r="M5" s="10">
        <v>1666.31</v>
      </c>
      <c r="N5" s="12">
        <f>SUM(L6-L5-M5)</f>
        <v>333.69000000000005</v>
      </c>
      <c r="O5" s="65">
        <v>0.4</v>
      </c>
      <c r="P5" s="66">
        <v>0.4</v>
      </c>
      <c r="Q5" s="66">
        <v>0.45</v>
      </c>
      <c r="R5" s="11">
        <f t="shared" si="4"/>
        <v>625</v>
      </c>
      <c r="S5" s="10">
        <v>578.58000000000004</v>
      </c>
      <c r="T5" s="12">
        <f>SUM(R6-S5-R5)</f>
        <v>96.419999999999959</v>
      </c>
      <c r="U5" s="24">
        <f t="shared" si="6"/>
        <v>430.11</v>
      </c>
      <c r="V5" s="67">
        <v>684275</v>
      </c>
      <c r="W5" s="68">
        <v>79240</v>
      </c>
      <c r="X5" s="68">
        <v>16989</v>
      </c>
      <c r="Y5" s="28">
        <f t="shared" si="7"/>
        <v>588046</v>
      </c>
      <c r="Z5" s="12">
        <f t="shared" si="1"/>
        <v>182</v>
      </c>
      <c r="AA5" s="69">
        <v>9297.7199999999993</v>
      </c>
      <c r="AB5" s="70"/>
      <c r="AC5" s="12">
        <f>SUM(AA5+AB5-AA6)</f>
        <v>319.13999999999942</v>
      </c>
      <c r="AD5" s="71">
        <v>130</v>
      </c>
      <c r="AE5" s="72">
        <v>247</v>
      </c>
    </row>
    <row r="6" spans="1:31" x14ac:dyDescent="0.2">
      <c r="A6" s="101">
        <v>45905</v>
      </c>
      <c r="B6" s="25">
        <v>18931755</v>
      </c>
      <c r="C6" s="62">
        <f>SUM(4144.3+1776678.3+589945+9951.4+266353+29330)</f>
        <v>2676402</v>
      </c>
      <c r="D6" s="63">
        <f t="shared" si="2"/>
        <v>16255353</v>
      </c>
      <c r="E6" s="9">
        <f t="shared" si="0"/>
        <v>19368</v>
      </c>
      <c r="F6" s="64">
        <v>8470</v>
      </c>
      <c r="G6" s="8"/>
      <c r="H6" s="12">
        <f t="shared" si="3"/>
        <v>274</v>
      </c>
      <c r="I6" s="65">
        <v>0.85</v>
      </c>
      <c r="J6" s="66">
        <v>0.85</v>
      </c>
      <c r="K6" s="66">
        <v>0.9</v>
      </c>
      <c r="L6" s="11">
        <f t="shared" si="8"/>
        <v>6500</v>
      </c>
      <c r="M6" s="10"/>
      <c r="N6" s="12">
        <f t="shared" si="9"/>
        <v>250</v>
      </c>
      <c r="O6" s="65">
        <v>0.9</v>
      </c>
      <c r="P6" s="66">
        <v>0.85</v>
      </c>
      <c r="Q6" s="66">
        <v>0.85</v>
      </c>
      <c r="R6" s="11">
        <f t="shared" si="4"/>
        <v>1300</v>
      </c>
      <c r="S6" s="10"/>
      <c r="T6" s="12">
        <f t="shared" si="5"/>
        <v>50</v>
      </c>
      <c r="U6" s="24">
        <f t="shared" si="6"/>
        <v>300</v>
      </c>
      <c r="V6" s="67">
        <v>684559</v>
      </c>
      <c r="W6" s="68">
        <v>79328</v>
      </c>
      <c r="X6" s="68">
        <v>17003</v>
      </c>
      <c r="Y6" s="28">
        <f t="shared" si="7"/>
        <v>588228</v>
      </c>
      <c r="Z6" s="12">
        <f t="shared" si="1"/>
        <v>178</v>
      </c>
      <c r="AA6" s="69">
        <v>8978.58</v>
      </c>
      <c r="AB6" s="70"/>
      <c r="AC6" s="12">
        <f>SUM(AA6+AB6-AA7)</f>
        <v>319.13999999999942</v>
      </c>
      <c r="AD6" s="71">
        <v>134</v>
      </c>
      <c r="AE6" s="72">
        <v>259</v>
      </c>
    </row>
    <row r="7" spans="1:31" x14ac:dyDescent="0.2">
      <c r="A7" s="101">
        <v>45906</v>
      </c>
      <c r="B7" s="25">
        <v>18951123</v>
      </c>
      <c r="C7" s="62">
        <f>SUM(4145.3+1777076.2+590113+9951.6+266353+29345)</f>
        <v>2676984.1</v>
      </c>
      <c r="D7" s="63">
        <f>B7-C7</f>
        <v>16274138.9</v>
      </c>
      <c r="E7" s="9">
        <f t="shared" si="0"/>
        <v>19562</v>
      </c>
      <c r="F7" s="64">
        <v>8196</v>
      </c>
      <c r="G7" s="8"/>
      <c r="H7" s="12">
        <f t="shared" si="3"/>
        <v>137</v>
      </c>
      <c r="I7" s="65">
        <v>0.8</v>
      </c>
      <c r="J7" s="66">
        <v>0.85</v>
      </c>
      <c r="K7" s="66">
        <v>0.85</v>
      </c>
      <c r="L7" s="11">
        <f t="shared" si="8"/>
        <v>6250</v>
      </c>
      <c r="M7" s="10"/>
      <c r="N7" s="12">
        <f t="shared" si="9"/>
        <v>124.99999999999909</v>
      </c>
      <c r="O7" s="65">
        <v>0.85</v>
      </c>
      <c r="P7" s="66">
        <v>0.8</v>
      </c>
      <c r="Q7" s="66">
        <v>0.85</v>
      </c>
      <c r="R7" s="11">
        <f t="shared" si="4"/>
        <v>1250</v>
      </c>
      <c r="S7" s="10"/>
      <c r="T7" s="12">
        <f t="shared" si="5"/>
        <v>100</v>
      </c>
      <c r="U7" s="24">
        <f t="shared" si="6"/>
        <v>224.99999999999909</v>
      </c>
      <c r="V7" s="67">
        <v>684851</v>
      </c>
      <c r="W7" s="68">
        <v>79428</v>
      </c>
      <c r="X7" s="68">
        <v>17017</v>
      </c>
      <c r="Y7" s="28">
        <f t="shared" si="7"/>
        <v>588406</v>
      </c>
      <c r="Z7" s="12">
        <f t="shared" si="1"/>
        <v>185</v>
      </c>
      <c r="AA7" s="69">
        <v>8659.44</v>
      </c>
      <c r="AB7" s="70"/>
      <c r="AC7" s="12">
        <f>SUM(AA7+AB7-AA8)</f>
        <v>319.14000000000124</v>
      </c>
      <c r="AD7" s="71">
        <v>119</v>
      </c>
      <c r="AE7" s="72">
        <v>233</v>
      </c>
    </row>
    <row r="8" spans="1:31" ht="13.5" thickBot="1" x14ac:dyDescent="0.25">
      <c r="A8" s="147">
        <v>45907</v>
      </c>
      <c r="B8" s="148">
        <v>18970685</v>
      </c>
      <c r="C8" s="149">
        <f>SUM(4146.1+1777457.1+590279+9951.8+266353+29366)</f>
        <v>2677553</v>
      </c>
      <c r="D8" s="150">
        <f t="shared" si="2"/>
        <v>16293132</v>
      </c>
      <c r="E8" s="151">
        <f t="shared" si="0"/>
        <v>16573</v>
      </c>
      <c r="F8" s="152">
        <v>8059</v>
      </c>
      <c r="G8" s="153"/>
      <c r="H8" s="154">
        <f t="shared" si="3"/>
        <v>0</v>
      </c>
      <c r="I8" s="155">
        <v>0.85</v>
      </c>
      <c r="J8" s="156">
        <v>0.8</v>
      </c>
      <c r="K8" s="156">
        <v>0.8</v>
      </c>
      <c r="L8" s="157">
        <f t="shared" si="8"/>
        <v>6125.0000000000009</v>
      </c>
      <c r="M8" s="158"/>
      <c r="N8" s="154">
        <f t="shared" si="9"/>
        <v>625.00000000000091</v>
      </c>
      <c r="O8" s="155">
        <v>0.8</v>
      </c>
      <c r="P8" s="156">
        <v>0.75</v>
      </c>
      <c r="Q8" s="156">
        <v>0.75</v>
      </c>
      <c r="R8" s="157">
        <f t="shared" si="4"/>
        <v>1150</v>
      </c>
      <c r="S8" s="158"/>
      <c r="T8" s="154">
        <f t="shared" si="5"/>
        <v>150</v>
      </c>
      <c r="U8" s="159">
        <f t="shared" si="6"/>
        <v>775.00000000000091</v>
      </c>
      <c r="V8" s="160">
        <v>685162</v>
      </c>
      <c r="W8" s="161">
        <v>79539</v>
      </c>
      <c r="X8" s="161">
        <v>17032</v>
      </c>
      <c r="Y8" s="162">
        <f t="shared" si="7"/>
        <v>588591</v>
      </c>
      <c r="Z8" s="12">
        <f t="shared" si="1"/>
        <v>151</v>
      </c>
      <c r="AA8" s="163">
        <v>8340.2999999999993</v>
      </c>
      <c r="AB8" s="164"/>
      <c r="AC8" s="154">
        <f t="shared" ref="AC8:AC32" si="11">SUM(AA8+AB8-AA9)</f>
        <v>319.13999999999942</v>
      </c>
      <c r="AD8" s="165">
        <v>67</v>
      </c>
      <c r="AE8" s="166">
        <v>122</v>
      </c>
    </row>
    <row r="9" spans="1:31" x14ac:dyDescent="0.2">
      <c r="A9" s="128">
        <v>45908</v>
      </c>
      <c r="B9" s="129">
        <v>18987258</v>
      </c>
      <c r="C9" s="130">
        <f>SUM(4146.9+1777805.2+590421+9952+266353+29385)</f>
        <v>2678063.0999999996</v>
      </c>
      <c r="D9" s="131">
        <f t="shared" si="2"/>
        <v>16309194.9</v>
      </c>
      <c r="E9" s="167">
        <f t="shared" si="0"/>
        <v>17129</v>
      </c>
      <c r="F9" s="133">
        <v>8059</v>
      </c>
      <c r="G9" s="134"/>
      <c r="H9" s="132">
        <f t="shared" si="3"/>
        <v>0</v>
      </c>
      <c r="I9" s="135">
        <v>0.75</v>
      </c>
      <c r="J9" s="136">
        <v>0.75</v>
      </c>
      <c r="K9" s="136">
        <v>0.7</v>
      </c>
      <c r="L9" s="137">
        <f t="shared" si="8"/>
        <v>5500</v>
      </c>
      <c r="M9" s="138"/>
      <c r="N9" s="132">
        <f t="shared" si="9"/>
        <v>250.00000000000091</v>
      </c>
      <c r="O9" s="135">
        <v>0.7</v>
      </c>
      <c r="P9" s="136">
        <v>0.65</v>
      </c>
      <c r="Q9" s="136">
        <v>0.65</v>
      </c>
      <c r="R9" s="137">
        <f t="shared" si="4"/>
        <v>1000</v>
      </c>
      <c r="S9" s="138"/>
      <c r="T9" s="132">
        <f t="shared" si="5"/>
        <v>100</v>
      </c>
      <c r="U9" s="139">
        <f t="shared" si="6"/>
        <v>350.00000000000091</v>
      </c>
      <c r="V9" s="140">
        <v>685399</v>
      </c>
      <c r="W9" s="141">
        <v>79614</v>
      </c>
      <c r="X9" s="141">
        <v>17043</v>
      </c>
      <c r="Y9" s="142">
        <f t="shared" si="7"/>
        <v>588742</v>
      </c>
      <c r="Z9" s="132">
        <f t="shared" si="1"/>
        <v>153</v>
      </c>
      <c r="AA9" s="143">
        <v>8021.16</v>
      </c>
      <c r="AB9" s="144"/>
      <c r="AC9" s="132">
        <f t="shared" si="11"/>
        <v>319.13999999999942</v>
      </c>
      <c r="AD9" s="145">
        <v>72</v>
      </c>
      <c r="AE9" s="146">
        <v>135</v>
      </c>
    </row>
    <row r="10" spans="1:31" x14ac:dyDescent="0.2">
      <c r="A10" s="101">
        <v>45909</v>
      </c>
      <c r="B10" s="25">
        <v>19004387</v>
      </c>
      <c r="C10" s="62">
        <f>SUM(4147.8+1778181.3+590577+9952.2+266353+29400)</f>
        <v>2678611.3000000003</v>
      </c>
      <c r="D10" s="63">
        <f t="shared" si="2"/>
        <v>16325775.699999999</v>
      </c>
      <c r="E10" s="9">
        <f t="shared" si="0"/>
        <v>16996</v>
      </c>
      <c r="F10" s="64">
        <v>8059</v>
      </c>
      <c r="G10" s="8"/>
      <c r="H10" s="12">
        <f t="shared" si="3"/>
        <v>271</v>
      </c>
      <c r="I10" s="65">
        <v>0.7</v>
      </c>
      <c r="J10" s="66">
        <v>0.7</v>
      </c>
      <c r="K10" s="66">
        <v>0.7</v>
      </c>
      <c r="L10" s="11">
        <f t="shared" si="8"/>
        <v>5249.9999999999991</v>
      </c>
      <c r="M10" s="10"/>
      <c r="N10" s="12">
        <f t="shared" si="9"/>
        <v>249.99999999999909</v>
      </c>
      <c r="O10" s="65">
        <v>0.6</v>
      </c>
      <c r="P10" s="66">
        <v>0.6</v>
      </c>
      <c r="Q10" s="66">
        <v>0.6</v>
      </c>
      <c r="R10" s="11">
        <f t="shared" si="4"/>
        <v>900</v>
      </c>
      <c r="S10" s="10"/>
      <c r="T10" s="12">
        <f t="shared" si="5"/>
        <v>74.999999999999886</v>
      </c>
      <c r="U10" s="24">
        <f t="shared" si="6"/>
        <v>324.99999999999898</v>
      </c>
      <c r="V10" s="67">
        <v>685657</v>
      </c>
      <c r="W10" s="68">
        <v>79707</v>
      </c>
      <c r="X10" s="68">
        <v>17055</v>
      </c>
      <c r="Y10" s="28">
        <f t="shared" si="7"/>
        <v>588895</v>
      </c>
      <c r="Z10" s="12">
        <f t="shared" si="1"/>
        <v>149</v>
      </c>
      <c r="AA10" s="69">
        <v>7702.02</v>
      </c>
      <c r="AB10" s="70"/>
      <c r="AC10" s="12">
        <f t="shared" si="11"/>
        <v>319.14000000000033</v>
      </c>
      <c r="AD10" s="71">
        <v>63</v>
      </c>
      <c r="AE10" s="72">
        <v>121</v>
      </c>
    </row>
    <row r="11" spans="1:31" x14ac:dyDescent="0.2">
      <c r="A11" s="101">
        <v>45910</v>
      </c>
      <c r="B11" s="25">
        <v>19021383</v>
      </c>
      <c r="C11" s="62">
        <f>SUM(4148.8+1778585.2+590735+9952.4+266353+29417)</f>
        <v>2679191.4</v>
      </c>
      <c r="D11" s="63">
        <f t="shared" si="2"/>
        <v>16342191.6</v>
      </c>
      <c r="E11" s="9">
        <f t="shared" si="0"/>
        <v>18208</v>
      </c>
      <c r="F11" s="64">
        <v>7788</v>
      </c>
      <c r="G11" s="8"/>
      <c r="H11" s="12">
        <f t="shared" si="3"/>
        <v>0</v>
      </c>
      <c r="I11" s="65">
        <v>0.65</v>
      </c>
      <c r="J11" s="66">
        <v>0.7</v>
      </c>
      <c r="K11" s="66">
        <v>0.65</v>
      </c>
      <c r="L11" s="11">
        <f t="shared" si="8"/>
        <v>5000</v>
      </c>
      <c r="M11" s="10"/>
      <c r="N11" s="12">
        <f t="shared" si="9"/>
        <v>250</v>
      </c>
      <c r="O11" s="65">
        <v>0.55000000000000004</v>
      </c>
      <c r="P11" s="66">
        <v>0.55000000000000004</v>
      </c>
      <c r="Q11" s="66">
        <v>0.55000000000000004</v>
      </c>
      <c r="R11" s="11">
        <f t="shared" si="4"/>
        <v>825.00000000000011</v>
      </c>
      <c r="S11" s="10"/>
      <c r="T11" s="12">
        <f t="shared" si="5"/>
        <v>150.00000000000011</v>
      </c>
      <c r="U11" s="24">
        <f t="shared" si="6"/>
        <v>400.00000000000011</v>
      </c>
      <c r="V11" s="67">
        <v>685917</v>
      </c>
      <c r="W11" s="68">
        <v>79805</v>
      </c>
      <c r="X11" s="68">
        <v>17068</v>
      </c>
      <c r="Y11" s="28">
        <f t="shared" ref="Y11:Y33" si="12">SUM(V11-W11-X11)</f>
        <v>589044</v>
      </c>
      <c r="Z11" s="12">
        <f t="shared" si="1"/>
        <v>143</v>
      </c>
      <c r="AA11" s="69">
        <v>7382.88</v>
      </c>
      <c r="AB11" s="70"/>
      <c r="AC11" s="12">
        <f t="shared" si="11"/>
        <v>319.14000000000033</v>
      </c>
      <c r="AD11" s="71">
        <v>68</v>
      </c>
      <c r="AE11" s="72">
        <v>131</v>
      </c>
    </row>
    <row r="12" spans="1:31" x14ac:dyDescent="0.2">
      <c r="A12" s="101">
        <v>45911</v>
      </c>
      <c r="B12" s="25">
        <v>19039591</v>
      </c>
      <c r="C12" s="62">
        <f>SUM(4149.7+1778972+590895+9952.7+266353+29434)</f>
        <v>2679756.4000000004</v>
      </c>
      <c r="D12" s="63">
        <f t="shared" si="2"/>
        <v>16359834.6</v>
      </c>
      <c r="E12" s="9">
        <f t="shared" si="0"/>
        <v>19247</v>
      </c>
      <c r="F12" s="64">
        <v>7788</v>
      </c>
      <c r="G12" s="8"/>
      <c r="H12" s="12">
        <f t="shared" si="3"/>
        <v>270</v>
      </c>
      <c r="I12" s="65">
        <v>0.6</v>
      </c>
      <c r="J12" s="66">
        <v>0.65</v>
      </c>
      <c r="K12" s="66">
        <v>0.65</v>
      </c>
      <c r="L12" s="11">
        <f t="shared" si="8"/>
        <v>4750</v>
      </c>
      <c r="M12" s="10">
        <v>1580.3</v>
      </c>
      <c r="N12" s="12">
        <f>SUM(L13-M12-L12)</f>
        <v>44.699999999999818</v>
      </c>
      <c r="O12" s="65">
        <v>0.45</v>
      </c>
      <c r="P12" s="66">
        <v>0.45</v>
      </c>
      <c r="Q12" s="66">
        <v>0.45</v>
      </c>
      <c r="R12" s="11">
        <f t="shared" si="4"/>
        <v>675</v>
      </c>
      <c r="S12" s="10">
        <v>559.24</v>
      </c>
      <c r="T12" s="12">
        <f>SUM(R13-R12-S12)</f>
        <v>90.759999999999991</v>
      </c>
      <c r="U12" s="24">
        <f t="shared" si="6"/>
        <v>135.45999999999981</v>
      </c>
      <c r="V12" s="67">
        <v>686176</v>
      </c>
      <c r="W12" s="68">
        <v>79905</v>
      </c>
      <c r="X12" s="68">
        <v>17084</v>
      </c>
      <c r="Y12" s="28">
        <f t="shared" si="12"/>
        <v>589187</v>
      </c>
      <c r="Z12" s="12">
        <f t="shared" si="1"/>
        <v>142</v>
      </c>
      <c r="AA12" s="69">
        <v>7063.74</v>
      </c>
      <c r="AB12" s="70"/>
      <c r="AC12" s="12">
        <f t="shared" si="11"/>
        <v>319.13999999999942</v>
      </c>
      <c r="AD12" s="71">
        <v>142</v>
      </c>
      <c r="AE12" s="72">
        <v>282</v>
      </c>
    </row>
    <row r="13" spans="1:31" x14ac:dyDescent="0.2">
      <c r="A13" s="101">
        <v>45912</v>
      </c>
      <c r="B13" s="25">
        <v>19058838</v>
      </c>
      <c r="C13" s="62">
        <f>SUM(4150.6+1779376.3+591057+9952.9+266353+29453)</f>
        <v>2680342.8000000003</v>
      </c>
      <c r="D13" s="63">
        <f t="shared" si="2"/>
        <v>16378495.199999999</v>
      </c>
      <c r="E13" s="9">
        <f t="shared" si="0"/>
        <v>19251</v>
      </c>
      <c r="F13" s="64">
        <v>7518</v>
      </c>
      <c r="G13" s="8"/>
      <c r="H13" s="12">
        <f t="shared" si="3"/>
        <v>0</v>
      </c>
      <c r="I13" s="65">
        <v>0.85</v>
      </c>
      <c r="J13" s="66">
        <v>0.85</v>
      </c>
      <c r="K13" s="66">
        <v>0.85</v>
      </c>
      <c r="L13" s="11">
        <f t="shared" si="8"/>
        <v>6375</v>
      </c>
      <c r="M13" s="10"/>
      <c r="N13" s="12">
        <f t="shared" si="9"/>
        <v>249.99999999999909</v>
      </c>
      <c r="O13" s="65">
        <v>0.85</v>
      </c>
      <c r="P13" s="66">
        <v>0.9</v>
      </c>
      <c r="Q13" s="66">
        <v>0.9</v>
      </c>
      <c r="R13" s="11">
        <f t="shared" si="4"/>
        <v>1325</v>
      </c>
      <c r="S13" s="10"/>
      <c r="T13" s="12">
        <f t="shared" si="5"/>
        <v>45</v>
      </c>
      <c r="U13" s="24">
        <f t="shared" si="6"/>
        <v>294.99999999999909</v>
      </c>
      <c r="V13" s="67">
        <v>686438</v>
      </c>
      <c r="W13" s="68">
        <v>80011</v>
      </c>
      <c r="X13" s="68">
        <v>17098</v>
      </c>
      <c r="Y13" s="28">
        <f t="shared" si="12"/>
        <v>589329</v>
      </c>
      <c r="Z13" s="12">
        <v>22</v>
      </c>
      <c r="AA13" s="69">
        <v>6744.6</v>
      </c>
      <c r="AB13" s="70"/>
      <c r="AC13" s="12">
        <f t="shared" si="11"/>
        <v>319.14000000000033</v>
      </c>
      <c r="AD13" s="71">
        <v>167</v>
      </c>
      <c r="AE13" s="72">
        <v>332</v>
      </c>
    </row>
    <row r="14" spans="1:31" x14ac:dyDescent="0.2">
      <c r="A14" s="101">
        <v>45913</v>
      </c>
      <c r="B14" s="25">
        <v>19078089</v>
      </c>
      <c r="C14" s="62">
        <f>SUM(4151.5+1779717.5+591200+9953.1+266353+29473)</f>
        <v>2680848.1</v>
      </c>
      <c r="D14" s="63">
        <f t="shared" si="2"/>
        <v>16397240.9</v>
      </c>
      <c r="E14" s="9">
        <f t="shared" si="0"/>
        <v>19546</v>
      </c>
      <c r="F14" s="64">
        <v>7518</v>
      </c>
      <c r="G14" s="8"/>
      <c r="H14" s="12">
        <f t="shared" si="3"/>
        <v>135</v>
      </c>
      <c r="I14" s="65">
        <v>0.82</v>
      </c>
      <c r="J14" s="66">
        <v>0.8</v>
      </c>
      <c r="K14" s="66">
        <v>0.83</v>
      </c>
      <c r="L14" s="11">
        <f t="shared" si="8"/>
        <v>6125.0000000000009</v>
      </c>
      <c r="M14" s="10"/>
      <c r="N14" s="12">
        <f t="shared" si="9"/>
        <v>125</v>
      </c>
      <c r="O14" s="65">
        <v>0.83</v>
      </c>
      <c r="P14" s="66">
        <v>0.88</v>
      </c>
      <c r="Q14" s="66">
        <v>0.85</v>
      </c>
      <c r="R14" s="11">
        <f t="shared" si="4"/>
        <v>1280</v>
      </c>
      <c r="S14" s="10"/>
      <c r="T14" s="12">
        <f t="shared" si="5"/>
        <v>54.999999999999773</v>
      </c>
      <c r="U14" s="24">
        <f t="shared" si="6"/>
        <v>179.99999999999977</v>
      </c>
      <c r="V14" s="67">
        <v>686780</v>
      </c>
      <c r="W14" s="68">
        <v>80105</v>
      </c>
      <c r="X14" s="68">
        <v>17111</v>
      </c>
      <c r="Y14" s="28">
        <f t="shared" si="12"/>
        <v>589564</v>
      </c>
      <c r="Z14" s="12">
        <f t="shared" si="1"/>
        <v>168</v>
      </c>
      <c r="AA14" s="69">
        <v>6425.46</v>
      </c>
      <c r="AB14" s="70"/>
      <c r="AC14" s="12">
        <f t="shared" si="11"/>
        <v>319.14000000000033</v>
      </c>
      <c r="AD14" s="71">
        <v>104</v>
      </c>
      <c r="AE14" s="72">
        <v>208</v>
      </c>
    </row>
    <row r="15" spans="1:31" ht="13.5" thickBot="1" x14ac:dyDescent="0.25">
      <c r="A15" s="147">
        <v>45914</v>
      </c>
      <c r="B15" s="148">
        <v>19097635</v>
      </c>
      <c r="C15" s="149">
        <f>SUM(4152.4+1780104.8+591355+9953.3+266353+29494)</f>
        <v>2681412.5</v>
      </c>
      <c r="D15" s="150">
        <f t="shared" si="2"/>
        <v>16416222.5</v>
      </c>
      <c r="E15" s="151">
        <f t="shared" si="0"/>
        <v>17376</v>
      </c>
      <c r="F15" s="152">
        <v>7383</v>
      </c>
      <c r="G15" s="153"/>
      <c r="H15" s="154">
        <f t="shared" si="3"/>
        <v>134</v>
      </c>
      <c r="I15" s="155">
        <v>0.8</v>
      </c>
      <c r="J15" s="156">
        <v>0.8</v>
      </c>
      <c r="K15" s="156">
        <v>0.8</v>
      </c>
      <c r="L15" s="157">
        <f t="shared" si="8"/>
        <v>6000.0000000000009</v>
      </c>
      <c r="M15" s="158"/>
      <c r="N15" s="154">
        <f t="shared" si="9"/>
        <v>125.00000000000091</v>
      </c>
      <c r="O15" s="155">
        <v>0.8</v>
      </c>
      <c r="P15" s="156">
        <v>0.85</v>
      </c>
      <c r="Q15" s="156">
        <v>0.8</v>
      </c>
      <c r="R15" s="157">
        <f t="shared" si="4"/>
        <v>1225.0000000000002</v>
      </c>
      <c r="S15" s="158"/>
      <c r="T15" s="154">
        <f t="shared" si="5"/>
        <v>50.000000000000227</v>
      </c>
      <c r="U15" s="159">
        <f t="shared" si="6"/>
        <v>175.00000000000114</v>
      </c>
      <c r="V15" s="160">
        <v>687055</v>
      </c>
      <c r="W15" s="161">
        <v>80198</v>
      </c>
      <c r="X15" s="161">
        <v>17125</v>
      </c>
      <c r="Y15" s="162">
        <f t="shared" si="12"/>
        <v>589732</v>
      </c>
      <c r="Z15" s="154">
        <f t="shared" si="1"/>
        <v>145</v>
      </c>
      <c r="AA15" s="163">
        <v>6106.32</v>
      </c>
      <c r="AB15" s="164"/>
      <c r="AC15" s="154">
        <f t="shared" si="11"/>
        <v>319.13999999999942</v>
      </c>
      <c r="AD15" s="165">
        <v>96</v>
      </c>
      <c r="AE15" s="166">
        <v>177</v>
      </c>
    </row>
    <row r="16" spans="1:31" x14ac:dyDescent="0.2">
      <c r="A16" s="128">
        <v>45915</v>
      </c>
      <c r="B16" s="129">
        <v>19115011</v>
      </c>
      <c r="C16" s="130">
        <f>SUM(4153.3+1780489.7+591514+9953.6+266353+29514)</f>
        <v>2681977.6</v>
      </c>
      <c r="D16" s="131">
        <f t="shared" si="2"/>
        <v>16433033.4</v>
      </c>
      <c r="E16" s="167">
        <f t="shared" si="0"/>
        <v>16882</v>
      </c>
      <c r="F16" s="133">
        <v>7249</v>
      </c>
      <c r="G16" s="134"/>
      <c r="H16" s="132">
        <f t="shared" si="3"/>
        <v>131</v>
      </c>
      <c r="I16" s="135">
        <v>0.75</v>
      </c>
      <c r="J16" s="136">
        <v>0.8</v>
      </c>
      <c r="K16" s="136">
        <v>0.8</v>
      </c>
      <c r="L16" s="137">
        <f t="shared" si="8"/>
        <v>5875</v>
      </c>
      <c r="M16" s="138"/>
      <c r="N16" s="132">
        <f t="shared" si="9"/>
        <v>125</v>
      </c>
      <c r="O16" s="135">
        <v>0.8</v>
      </c>
      <c r="P16" s="136">
        <v>0.75</v>
      </c>
      <c r="Q16" s="136">
        <v>0.8</v>
      </c>
      <c r="R16" s="137">
        <f t="shared" si="4"/>
        <v>1175</v>
      </c>
      <c r="S16" s="138"/>
      <c r="T16" s="132">
        <f t="shared" si="5"/>
        <v>75</v>
      </c>
      <c r="U16" s="139">
        <f t="shared" si="6"/>
        <v>200</v>
      </c>
      <c r="V16" s="140">
        <v>687313</v>
      </c>
      <c r="W16" s="141">
        <v>80297</v>
      </c>
      <c r="X16" s="141">
        <v>17139</v>
      </c>
      <c r="Y16" s="142">
        <f t="shared" si="12"/>
        <v>589877</v>
      </c>
      <c r="Z16" s="132">
        <f t="shared" si="1"/>
        <v>144</v>
      </c>
      <c r="AA16" s="143">
        <v>5787.18</v>
      </c>
      <c r="AB16" s="144"/>
      <c r="AC16" s="132">
        <f t="shared" si="11"/>
        <v>319.14000000000033</v>
      </c>
      <c r="AD16" s="145">
        <v>71</v>
      </c>
      <c r="AE16" s="146">
        <v>140</v>
      </c>
    </row>
    <row r="17" spans="1:31" x14ac:dyDescent="0.2">
      <c r="A17" s="101">
        <v>45916</v>
      </c>
      <c r="B17" s="25">
        <v>19131893</v>
      </c>
      <c r="C17" s="62">
        <f>SUM(4154.3+1780917.4+591618+9954.3+266404+29534)</f>
        <v>2682582</v>
      </c>
      <c r="D17" s="63">
        <f t="shared" si="2"/>
        <v>16449311</v>
      </c>
      <c r="E17" s="9">
        <f t="shared" si="0"/>
        <v>16714</v>
      </c>
      <c r="F17" s="64">
        <v>7118</v>
      </c>
      <c r="G17" s="8"/>
      <c r="H17" s="12">
        <f t="shared" si="3"/>
        <v>3</v>
      </c>
      <c r="I17" s="65">
        <v>0.75</v>
      </c>
      <c r="J17" s="66">
        <v>0.75</v>
      </c>
      <c r="K17" s="66">
        <v>0.8</v>
      </c>
      <c r="L17" s="11">
        <f t="shared" si="8"/>
        <v>5750</v>
      </c>
      <c r="M17" s="10"/>
      <c r="N17" s="12">
        <f t="shared" si="9"/>
        <v>625.00000000000091</v>
      </c>
      <c r="O17" s="65">
        <v>0.7</v>
      </c>
      <c r="P17" s="66">
        <v>0.75</v>
      </c>
      <c r="Q17" s="66">
        <v>0.75</v>
      </c>
      <c r="R17" s="11">
        <f t="shared" si="4"/>
        <v>1100</v>
      </c>
      <c r="S17" s="10"/>
      <c r="T17" s="12">
        <f t="shared" si="5"/>
        <v>225</v>
      </c>
      <c r="U17" s="24">
        <f t="shared" si="6"/>
        <v>850.00000000000091</v>
      </c>
      <c r="V17" s="67">
        <v>687578</v>
      </c>
      <c r="W17" s="68">
        <v>80405</v>
      </c>
      <c r="X17" s="68">
        <v>17152</v>
      </c>
      <c r="Y17" s="28">
        <f t="shared" si="12"/>
        <v>590021</v>
      </c>
      <c r="Z17" s="12">
        <f t="shared" si="1"/>
        <v>162</v>
      </c>
      <c r="AA17" s="69">
        <v>5468.04</v>
      </c>
      <c r="AB17" s="70"/>
      <c r="AC17" s="12">
        <f t="shared" si="11"/>
        <v>319.14000000000033</v>
      </c>
      <c r="AD17" s="71">
        <v>85</v>
      </c>
      <c r="AE17" s="72">
        <v>155</v>
      </c>
    </row>
    <row r="18" spans="1:31" x14ac:dyDescent="0.2">
      <c r="A18" s="101">
        <v>45917</v>
      </c>
      <c r="B18" s="25">
        <v>19148607</v>
      </c>
      <c r="C18" s="62">
        <f>SUM(4155.3+1781348.7+591618+9954.5+266552+29558)</f>
        <v>2683186.5</v>
      </c>
      <c r="D18" s="63">
        <f t="shared" si="2"/>
        <v>16465420.5</v>
      </c>
      <c r="E18" s="9">
        <f t="shared" si="0"/>
        <v>16967</v>
      </c>
      <c r="F18" s="64">
        <v>7115</v>
      </c>
      <c r="G18" s="8"/>
      <c r="H18" s="12">
        <f>F18+G18-F19</f>
        <v>0</v>
      </c>
      <c r="I18" s="65">
        <v>0.65</v>
      </c>
      <c r="J18" s="66">
        <v>0.7</v>
      </c>
      <c r="K18" s="66">
        <v>0.7</v>
      </c>
      <c r="L18" s="11">
        <f t="shared" si="8"/>
        <v>5124.9999999999991</v>
      </c>
      <c r="M18" s="10"/>
      <c r="N18" s="12">
        <f t="shared" si="9"/>
        <v>374.99999999999909</v>
      </c>
      <c r="O18" s="65">
        <v>0.55000000000000004</v>
      </c>
      <c r="P18" s="66">
        <v>0.6</v>
      </c>
      <c r="Q18" s="66">
        <v>0.6</v>
      </c>
      <c r="R18" s="11">
        <f t="shared" si="4"/>
        <v>875</v>
      </c>
      <c r="S18" s="10"/>
      <c r="T18" s="12">
        <f t="shared" si="5"/>
        <v>150</v>
      </c>
      <c r="U18" s="24">
        <f t="shared" si="6"/>
        <v>524.99999999999909</v>
      </c>
      <c r="V18" s="67">
        <v>687851</v>
      </c>
      <c r="W18" s="68">
        <v>80502</v>
      </c>
      <c r="X18" s="68">
        <v>17166</v>
      </c>
      <c r="Y18" s="28">
        <f t="shared" si="12"/>
        <v>590183</v>
      </c>
      <c r="Z18" s="12">
        <f t="shared" si="1"/>
        <v>137</v>
      </c>
      <c r="AA18" s="69">
        <v>5148.8999999999996</v>
      </c>
      <c r="AB18" s="70"/>
      <c r="AC18" s="12">
        <f t="shared" si="11"/>
        <v>319.13999999999942</v>
      </c>
      <c r="AD18" s="71">
        <v>76</v>
      </c>
      <c r="AE18" s="72">
        <v>141</v>
      </c>
    </row>
    <row r="19" spans="1:31" x14ac:dyDescent="0.2">
      <c r="A19" s="101">
        <v>45918</v>
      </c>
      <c r="B19" s="25">
        <v>19165574</v>
      </c>
      <c r="C19" s="62">
        <f>SUM(4156.2+1781737+591618+9954.7+266682+29580)</f>
        <v>2683727.9000000004</v>
      </c>
      <c r="D19" s="63">
        <f t="shared" si="2"/>
        <v>16481846.1</v>
      </c>
      <c r="E19" s="9">
        <f t="shared" si="0"/>
        <v>18156</v>
      </c>
      <c r="F19" s="64">
        <v>7115</v>
      </c>
      <c r="G19" s="8"/>
      <c r="H19" s="12">
        <f t="shared" si="3"/>
        <v>0</v>
      </c>
      <c r="I19" s="65">
        <v>0.6</v>
      </c>
      <c r="J19" s="66">
        <v>0.65</v>
      </c>
      <c r="K19" s="66">
        <v>0.65</v>
      </c>
      <c r="L19" s="11">
        <f t="shared" si="8"/>
        <v>4750</v>
      </c>
      <c r="M19" s="10">
        <v>1480.58</v>
      </c>
      <c r="N19" s="12">
        <f t="shared" si="9"/>
        <v>105.57999999999902</v>
      </c>
      <c r="O19" s="65">
        <v>0.45</v>
      </c>
      <c r="P19" s="66">
        <v>0.5</v>
      </c>
      <c r="Q19" s="66">
        <v>0.5</v>
      </c>
      <c r="R19" s="11">
        <f t="shared" si="4"/>
        <v>725</v>
      </c>
      <c r="S19" s="10">
        <v>504.41</v>
      </c>
      <c r="T19" s="12">
        <f t="shared" si="5"/>
        <v>-60.589999999999918</v>
      </c>
      <c r="U19" s="24">
        <f t="shared" si="6"/>
        <v>44.9899999999991</v>
      </c>
      <c r="V19" s="67">
        <v>688095</v>
      </c>
      <c r="W19" s="68">
        <v>80597</v>
      </c>
      <c r="X19" s="68">
        <v>17178</v>
      </c>
      <c r="Y19" s="28">
        <f t="shared" si="12"/>
        <v>590320</v>
      </c>
      <c r="Z19" s="12">
        <f t="shared" si="1"/>
        <v>147</v>
      </c>
      <c r="AA19" s="69">
        <v>4829.76</v>
      </c>
      <c r="AB19" s="70"/>
      <c r="AC19" s="12">
        <f t="shared" si="11"/>
        <v>319.14000000000033</v>
      </c>
      <c r="AD19" s="71">
        <v>103</v>
      </c>
      <c r="AE19" s="72">
        <v>182</v>
      </c>
    </row>
    <row r="20" spans="1:31" x14ac:dyDescent="0.2">
      <c r="A20" s="101">
        <v>45919</v>
      </c>
      <c r="B20" s="25">
        <v>19183730</v>
      </c>
      <c r="C20" s="62">
        <f>SUM(4157.1+1782120.9+591618+9954.9+266812+29602)</f>
        <v>2684264.9</v>
      </c>
      <c r="D20" s="63">
        <f t="shared" si="2"/>
        <v>16499465.1</v>
      </c>
      <c r="E20" s="9">
        <f t="shared" si="0"/>
        <v>15791</v>
      </c>
      <c r="F20" s="64">
        <v>7115</v>
      </c>
      <c r="G20" s="8"/>
      <c r="H20" s="12">
        <f t="shared" si="3"/>
        <v>0</v>
      </c>
      <c r="I20" s="65">
        <v>0.8</v>
      </c>
      <c r="J20" s="66">
        <v>0.85</v>
      </c>
      <c r="K20" s="66">
        <v>0.8</v>
      </c>
      <c r="L20" s="11">
        <f t="shared" si="8"/>
        <v>6125.0000000000009</v>
      </c>
      <c r="M20" s="10"/>
      <c r="N20" s="12">
        <f t="shared" si="9"/>
        <v>125</v>
      </c>
      <c r="O20" s="65">
        <v>0.85</v>
      </c>
      <c r="P20" s="66">
        <v>0.88</v>
      </c>
      <c r="Q20" s="66">
        <v>0.85</v>
      </c>
      <c r="R20" s="11">
        <f t="shared" si="4"/>
        <v>1290</v>
      </c>
      <c r="S20" s="10"/>
      <c r="T20" s="12">
        <f t="shared" si="5"/>
        <v>64.999999999999773</v>
      </c>
      <c r="U20" s="24">
        <f t="shared" si="6"/>
        <v>189.99999999999977</v>
      </c>
      <c r="V20" s="67">
        <v>688359</v>
      </c>
      <c r="W20" s="68">
        <v>80700</v>
      </c>
      <c r="X20" s="68">
        <v>17192</v>
      </c>
      <c r="Y20" s="28">
        <f t="shared" si="12"/>
        <v>590467</v>
      </c>
      <c r="Z20" s="12">
        <v>94</v>
      </c>
      <c r="AA20" s="69">
        <v>4510.62</v>
      </c>
      <c r="AB20" s="70"/>
      <c r="AC20" s="12">
        <f t="shared" si="11"/>
        <v>319.14000000000033</v>
      </c>
      <c r="AD20" s="71">
        <v>115</v>
      </c>
      <c r="AE20" s="72">
        <v>203</v>
      </c>
    </row>
    <row r="21" spans="1:31" x14ac:dyDescent="0.2">
      <c r="A21" s="101">
        <v>45920</v>
      </c>
      <c r="B21" s="25">
        <v>19199521</v>
      </c>
      <c r="C21" s="62">
        <f>SUM(4158+1782518.1+591618+9955.1+266948+29626)</f>
        <v>2684823.2</v>
      </c>
      <c r="D21" s="63">
        <f t="shared" si="2"/>
        <v>16514697.800000001</v>
      </c>
      <c r="E21" s="9">
        <f t="shared" si="0"/>
        <v>16255</v>
      </c>
      <c r="F21" s="64">
        <v>7115</v>
      </c>
      <c r="G21" s="8"/>
      <c r="H21" s="12">
        <f t="shared" si="3"/>
        <v>266</v>
      </c>
      <c r="I21" s="65">
        <v>0.8</v>
      </c>
      <c r="J21" s="66">
        <v>0.8</v>
      </c>
      <c r="K21" s="66">
        <v>0.8</v>
      </c>
      <c r="L21" s="11">
        <f t="shared" si="8"/>
        <v>6000.0000000000009</v>
      </c>
      <c r="M21" s="10"/>
      <c r="N21" s="12">
        <f t="shared" si="9"/>
        <v>250.00000000000091</v>
      </c>
      <c r="O21" s="65">
        <v>0.8</v>
      </c>
      <c r="P21" s="66">
        <v>0.85</v>
      </c>
      <c r="Q21" s="66">
        <v>0.8</v>
      </c>
      <c r="R21" s="11">
        <f t="shared" si="4"/>
        <v>1225.0000000000002</v>
      </c>
      <c r="S21" s="10"/>
      <c r="T21" s="12">
        <f t="shared" si="5"/>
        <v>50.000000000000227</v>
      </c>
      <c r="U21" s="24">
        <f t="shared" si="6"/>
        <v>300.00000000000114</v>
      </c>
      <c r="V21" s="67">
        <v>688620</v>
      </c>
      <c r="W21" s="68">
        <v>80795</v>
      </c>
      <c r="X21" s="68">
        <v>17204</v>
      </c>
      <c r="Y21" s="28">
        <f t="shared" si="12"/>
        <v>590621</v>
      </c>
      <c r="Z21" s="12">
        <f t="shared" si="1"/>
        <v>195</v>
      </c>
      <c r="AA21" s="69">
        <v>4191.4799999999996</v>
      </c>
      <c r="AB21" s="70"/>
      <c r="AC21" s="12">
        <f t="shared" si="11"/>
        <v>319.13999999999942</v>
      </c>
      <c r="AD21" s="71">
        <v>137</v>
      </c>
      <c r="AE21" s="72">
        <v>259</v>
      </c>
    </row>
    <row r="22" spans="1:31" ht="13.5" thickBot="1" x14ac:dyDescent="0.25">
      <c r="A22" s="147">
        <v>45921</v>
      </c>
      <c r="B22" s="148">
        <v>19215776</v>
      </c>
      <c r="C22" s="149">
        <f>SUM(4158.9+1782942.9+591619+9955.3+267091+29652)</f>
        <v>2685419.0999999996</v>
      </c>
      <c r="D22" s="150">
        <f t="shared" si="2"/>
        <v>16530356.9</v>
      </c>
      <c r="E22" s="151">
        <f t="shared" si="0"/>
        <v>15460</v>
      </c>
      <c r="F22" s="152">
        <v>6849</v>
      </c>
      <c r="G22" s="153"/>
      <c r="H22" s="154">
        <f t="shared" si="3"/>
        <v>0</v>
      </c>
      <c r="I22" s="155">
        <v>0.75</v>
      </c>
      <c r="J22" s="156">
        <v>0.75</v>
      </c>
      <c r="K22" s="156">
        <v>0.8</v>
      </c>
      <c r="L22" s="157">
        <f t="shared" si="8"/>
        <v>5750</v>
      </c>
      <c r="M22" s="158"/>
      <c r="N22" s="154">
        <f t="shared" si="9"/>
        <v>125</v>
      </c>
      <c r="O22" s="155">
        <v>0.8</v>
      </c>
      <c r="P22" s="156">
        <v>0.75</v>
      </c>
      <c r="Q22" s="156">
        <v>0.8</v>
      </c>
      <c r="R22" s="157">
        <f>SUM(O22:Q22)/3*1500</f>
        <v>1175</v>
      </c>
      <c r="S22" s="158"/>
      <c r="T22" s="154">
        <f t="shared" si="5"/>
        <v>60</v>
      </c>
      <c r="U22" s="159">
        <f t="shared" si="6"/>
        <v>185</v>
      </c>
      <c r="V22" s="160">
        <v>688942</v>
      </c>
      <c r="W22" s="161">
        <v>80907</v>
      </c>
      <c r="X22" s="161">
        <v>17219</v>
      </c>
      <c r="Y22" s="162">
        <f t="shared" si="12"/>
        <v>590816</v>
      </c>
      <c r="Z22" s="154">
        <f t="shared" si="1"/>
        <v>170</v>
      </c>
      <c r="AA22" s="163">
        <v>3872.34</v>
      </c>
      <c r="AB22" s="164"/>
      <c r="AC22" s="154">
        <f t="shared" si="11"/>
        <v>319.14000000000033</v>
      </c>
      <c r="AD22" s="165">
        <v>111</v>
      </c>
      <c r="AE22" s="166">
        <v>213</v>
      </c>
    </row>
    <row r="23" spans="1:31" x14ac:dyDescent="0.2">
      <c r="A23" s="128">
        <v>45922</v>
      </c>
      <c r="B23" s="129">
        <v>19231236</v>
      </c>
      <c r="C23" s="130">
        <f>SUM(4159.7+1783311.4+591618+9955.4+267227+29674)</f>
        <v>2685945.4999999995</v>
      </c>
      <c r="D23" s="131">
        <f t="shared" si="2"/>
        <v>16545290.5</v>
      </c>
      <c r="E23" s="167">
        <f t="shared" si="0"/>
        <v>15164</v>
      </c>
      <c r="F23" s="133">
        <v>6849</v>
      </c>
      <c r="G23" s="134"/>
      <c r="H23" s="132">
        <f t="shared" si="3"/>
        <v>0</v>
      </c>
      <c r="I23" s="135">
        <v>0.75</v>
      </c>
      <c r="J23" s="136">
        <v>0.75</v>
      </c>
      <c r="K23" s="136">
        <v>0.75</v>
      </c>
      <c r="L23" s="137">
        <f t="shared" si="8"/>
        <v>5625</v>
      </c>
      <c r="M23" s="138"/>
      <c r="N23" s="132">
        <f t="shared" si="9"/>
        <v>375.00000000000091</v>
      </c>
      <c r="O23" s="135">
        <v>0.78</v>
      </c>
      <c r="P23" s="136">
        <v>0.7</v>
      </c>
      <c r="Q23" s="136">
        <v>0.75</v>
      </c>
      <c r="R23" s="137">
        <f t="shared" si="4"/>
        <v>1115</v>
      </c>
      <c r="S23" s="138"/>
      <c r="T23" s="132">
        <f t="shared" si="5"/>
        <v>129.99999999999989</v>
      </c>
      <c r="U23" s="139">
        <f t="shared" si="6"/>
        <v>505.0000000000008</v>
      </c>
      <c r="V23" s="140">
        <v>689210</v>
      </c>
      <c r="W23" s="141">
        <v>80994</v>
      </c>
      <c r="X23" s="141">
        <v>17230</v>
      </c>
      <c r="Y23" s="142">
        <f t="shared" si="12"/>
        <v>590986</v>
      </c>
      <c r="Z23" s="132">
        <f t="shared" si="1"/>
        <v>173</v>
      </c>
      <c r="AA23" s="143">
        <v>3553.2</v>
      </c>
      <c r="AB23" s="144"/>
      <c r="AC23" s="132">
        <f t="shared" si="11"/>
        <v>319.13999999999987</v>
      </c>
      <c r="AD23" s="145">
        <v>114</v>
      </c>
      <c r="AE23" s="146">
        <v>219</v>
      </c>
    </row>
    <row r="24" spans="1:31" x14ac:dyDescent="0.2">
      <c r="A24" s="101">
        <v>45923</v>
      </c>
      <c r="B24" s="25">
        <v>19246400</v>
      </c>
      <c r="C24" s="62">
        <f>SUM(4160.6+1783726.7+591618+9955.6+267369+29698)</f>
        <v>2686527.9</v>
      </c>
      <c r="D24" s="63">
        <f t="shared" si="2"/>
        <v>16559872.1</v>
      </c>
      <c r="E24" s="9">
        <f t="shared" si="0"/>
        <v>15348</v>
      </c>
      <c r="F24" s="64">
        <v>6849</v>
      </c>
      <c r="G24" s="8"/>
      <c r="H24" s="12">
        <f t="shared" si="3"/>
        <v>0</v>
      </c>
      <c r="I24" s="65">
        <v>0.7</v>
      </c>
      <c r="J24" s="66">
        <v>0.7</v>
      </c>
      <c r="K24" s="66">
        <v>0.7</v>
      </c>
      <c r="L24" s="11">
        <f t="shared" si="8"/>
        <v>5249.9999999999991</v>
      </c>
      <c r="M24" s="10"/>
      <c r="N24" s="12">
        <f t="shared" si="9"/>
        <v>125</v>
      </c>
      <c r="O24" s="65">
        <v>0.65</v>
      </c>
      <c r="P24" s="66">
        <v>0.68</v>
      </c>
      <c r="Q24" s="66">
        <v>0.64</v>
      </c>
      <c r="R24" s="11">
        <f t="shared" si="4"/>
        <v>985.00000000000011</v>
      </c>
      <c r="S24" s="10"/>
      <c r="T24" s="12">
        <f t="shared" si="5"/>
        <v>85.000000000000114</v>
      </c>
      <c r="U24" s="24">
        <f t="shared" si="6"/>
        <v>210.00000000000011</v>
      </c>
      <c r="V24" s="67">
        <v>689492</v>
      </c>
      <c r="W24" s="68">
        <v>81091</v>
      </c>
      <c r="X24" s="68">
        <v>17242</v>
      </c>
      <c r="Y24" s="28">
        <f t="shared" si="12"/>
        <v>591159</v>
      </c>
      <c r="Z24" s="12">
        <v>32</v>
      </c>
      <c r="AA24" s="69">
        <v>3234.06</v>
      </c>
      <c r="AB24" s="70"/>
      <c r="AC24" s="12">
        <f t="shared" si="11"/>
        <v>319.13999999999987</v>
      </c>
      <c r="AD24" s="71">
        <v>112</v>
      </c>
      <c r="AE24" s="72">
        <v>206</v>
      </c>
    </row>
    <row r="25" spans="1:31" x14ac:dyDescent="0.2">
      <c r="A25" s="101">
        <v>45924</v>
      </c>
      <c r="B25" s="25">
        <v>19261748</v>
      </c>
      <c r="C25" s="62">
        <f>SUM(4161.6+1784136.9+591618+9955.8+267508+29720)</f>
        <v>2687100.3</v>
      </c>
      <c r="D25" s="63">
        <f t="shared" si="2"/>
        <v>16574647.699999999</v>
      </c>
      <c r="E25" s="9">
        <f t="shared" si="0"/>
        <v>16569</v>
      </c>
      <c r="F25" s="64">
        <v>6849</v>
      </c>
      <c r="G25" s="8"/>
      <c r="H25" s="12">
        <f t="shared" si="3"/>
        <v>0</v>
      </c>
      <c r="I25" s="65">
        <v>0.7</v>
      </c>
      <c r="J25" s="66">
        <v>0.7</v>
      </c>
      <c r="K25" s="66">
        <v>0.65</v>
      </c>
      <c r="L25" s="11">
        <f t="shared" si="8"/>
        <v>5124.9999999999991</v>
      </c>
      <c r="M25" s="10"/>
      <c r="N25" s="12">
        <f t="shared" si="9"/>
        <v>374.99999999999909</v>
      </c>
      <c r="O25" s="65">
        <v>0.6</v>
      </c>
      <c r="P25" s="66">
        <v>0.6</v>
      </c>
      <c r="Q25" s="66">
        <v>0.6</v>
      </c>
      <c r="R25" s="11">
        <f t="shared" si="4"/>
        <v>900</v>
      </c>
      <c r="S25" s="10"/>
      <c r="T25" s="12">
        <f t="shared" si="5"/>
        <v>74.999999999999886</v>
      </c>
      <c r="U25" s="24">
        <f t="shared" si="6"/>
        <v>449.99999999999898</v>
      </c>
      <c r="V25" s="67">
        <v>689760</v>
      </c>
      <c r="W25" s="68">
        <v>81187</v>
      </c>
      <c r="X25" s="68">
        <v>17253</v>
      </c>
      <c r="Y25" s="28">
        <f t="shared" si="12"/>
        <v>591320</v>
      </c>
      <c r="Z25" s="12">
        <f t="shared" si="1"/>
        <v>158</v>
      </c>
      <c r="AA25" s="69">
        <v>2914.92</v>
      </c>
      <c r="AB25" s="70"/>
      <c r="AC25" s="12">
        <f t="shared" si="11"/>
        <v>319.13999999999987</v>
      </c>
      <c r="AD25" s="71">
        <v>100</v>
      </c>
      <c r="AE25" s="72">
        <v>189</v>
      </c>
    </row>
    <row r="26" spans="1:31" x14ac:dyDescent="0.2">
      <c r="A26" s="101">
        <v>45925</v>
      </c>
      <c r="B26" s="25">
        <v>19278317</v>
      </c>
      <c r="C26" s="62">
        <f>SUM(4162.5+1784539.1+591618+9956+267680+29747)</f>
        <v>2687702.6</v>
      </c>
      <c r="D26" s="63">
        <f t="shared" si="2"/>
        <v>16590614.4</v>
      </c>
      <c r="E26" s="9">
        <f t="shared" si="0"/>
        <v>16100</v>
      </c>
      <c r="F26" s="64">
        <v>6849</v>
      </c>
      <c r="G26" s="8"/>
      <c r="H26" s="12">
        <f t="shared" si="3"/>
        <v>132</v>
      </c>
      <c r="I26" s="65">
        <v>0.6</v>
      </c>
      <c r="J26" s="66">
        <v>0.65</v>
      </c>
      <c r="K26" s="66">
        <v>0.65</v>
      </c>
      <c r="L26" s="11">
        <f t="shared" si="8"/>
        <v>4750</v>
      </c>
      <c r="M26" s="10">
        <v>1537.71</v>
      </c>
      <c r="N26" s="12">
        <f>SUM(L27-M26-L26)</f>
        <v>337.28999999999996</v>
      </c>
      <c r="O26" s="65">
        <v>0.55000000000000004</v>
      </c>
      <c r="P26" s="66">
        <v>0.55000000000000004</v>
      </c>
      <c r="Q26" s="66">
        <v>0.55000000000000004</v>
      </c>
      <c r="R26" s="11">
        <f t="shared" si="4"/>
        <v>825.00000000000011</v>
      </c>
      <c r="S26" s="10">
        <v>536.24</v>
      </c>
      <c r="T26" s="12">
        <f t="shared" si="5"/>
        <v>11.240000000000236</v>
      </c>
      <c r="U26" s="24">
        <f t="shared" si="6"/>
        <v>348.5300000000002</v>
      </c>
      <c r="V26" s="67">
        <v>690030</v>
      </c>
      <c r="W26" s="68">
        <v>81287</v>
      </c>
      <c r="X26" s="68">
        <v>17265</v>
      </c>
      <c r="Y26" s="28">
        <f t="shared" si="12"/>
        <v>591478</v>
      </c>
      <c r="Z26" s="12">
        <f t="shared" si="1"/>
        <v>180</v>
      </c>
      <c r="AA26" s="69">
        <v>2595.7800000000002</v>
      </c>
      <c r="AB26" s="70"/>
      <c r="AC26" s="12">
        <f t="shared" si="11"/>
        <v>319.14000000000033</v>
      </c>
      <c r="AD26" s="71">
        <v>104</v>
      </c>
      <c r="AE26" s="72">
        <v>199</v>
      </c>
    </row>
    <row r="27" spans="1:31" x14ac:dyDescent="0.2">
      <c r="A27" s="101">
        <v>45926</v>
      </c>
      <c r="B27" s="25">
        <v>19294417</v>
      </c>
      <c r="C27" s="62">
        <f>SUM(4163.4+1784903.5+591618+9956.2+267784+29760)</f>
        <v>2688185.1</v>
      </c>
      <c r="D27" s="63">
        <f t="shared" si="2"/>
        <v>16606231.9</v>
      </c>
      <c r="E27" s="9">
        <f t="shared" si="0"/>
        <v>16965</v>
      </c>
      <c r="F27" s="64">
        <v>6717</v>
      </c>
      <c r="G27" s="8"/>
      <c r="H27" s="12">
        <f t="shared" si="3"/>
        <v>0</v>
      </c>
      <c r="I27" s="65">
        <v>0.9</v>
      </c>
      <c r="J27" s="66">
        <v>0.9</v>
      </c>
      <c r="K27" s="66">
        <v>0.85</v>
      </c>
      <c r="L27" s="11">
        <f t="shared" si="8"/>
        <v>6625</v>
      </c>
      <c r="M27" s="10"/>
      <c r="N27" s="12">
        <f t="shared" si="9"/>
        <v>624.99999999999909</v>
      </c>
      <c r="O27" s="65">
        <v>0.9</v>
      </c>
      <c r="P27" s="66">
        <v>0.9</v>
      </c>
      <c r="Q27" s="66">
        <v>0.9</v>
      </c>
      <c r="R27" s="11">
        <f t="shared" si="4"/>
        <v>1350</v>
      </c>
      <c r="S27" s="10"/>
      <c r="T27" s="12">
        <f t="shared" si="5"/>
        <v>100</v>
      </c>
      <c r="U27" s="24">
        <f t="shared" si="6"/>
        <v>724.99999999999909</v>
      </c>
      <c r="V27" s="67">
        <v>690317</v>
      </c>
      <c r="W27" s="68">
        <v>81382</v>
      </c>
      <c r="X27" s="68">
        <v>17277</v>
      </c>
      <c r="Y27" s="28">
        <f t="shared" si="12"/>
        <v>591658</v>
      </c>
      <c r="Z27" s="12">
        <f t="shared" si="1"/>
        <v>180</v>
      </c>
      <c r="AA27" s="69">
        <v>2276.64</v>
      </c>
      <c r="AB27" s="70"/>
      <c r="AC27" s="12">
        <f t="shared" si="11"/>
        <v>319.13999999999987</v>
      </c>
      <c r="AD27" s="71">
        <v>128</v>
      </c>
      <c r="AE27" s="72">
        <v>253</v>
      </c>
    </row>
    <row r="28" spans="1:31" ht="13.5" thickBot="1" x14ac:dyDescent="0.25">
      <c r="A28" s="147">
        <v>45927</v>
      </c>
      <c r="B28" s="148">
        <v>19311382</v>
      </c>
      <c r="C28" s="149">
        <f>SUM(4164.3+1785361.4+591618+9956.8+267940+29773)</f>
        <v>2688813.5</v>
      </c>
      <c r="D28" s="150">
        <f t="shared" si="2"/>
        <v>16622568.5</v>
      </c>
      <c r="E28" s="151">
        <f t="shared" si="0"/>
        <v>16910</v>
      </c>
      <c r="F28" s="152">
        <v>6717</v>
      </c>
      <c r="G28" s="153"/>
      <c r="H28" s="154">
        <f t="shared" si="3"/>
        <v>524</v>
      </c>
      <c r="I28" s="155">
        <v>0.8</v>
      </c>
      <c r="J28" s="156">
        <v>0.8</v>
      </c>
      <c r="K28" s="156">
        <v>0.8</v>
      </c>
      <c r="L28" s="157">
        <f t="shared" si="8"/>
        <v>6000.0000000000009</v>
      </c>
      <c r="M28" s="158"/>
      <c r="N28" s="154">
        <f t="shared" si="9"/>
        <v>250.00000000000091</v>
      </c>
      <c r="O28" s="155">
        <v>0.85</v>
      </c>
      <c r="P28" s="156">
        <v>0.85</v>
      </c>
      <c r="Q28" s="156">
        <v>0.8</v>
      </c>
      <c r="R28" s="157">
        <f t="shared" si="4"/>
        <v>1250</v>
      </c>
      <c r="S28" s="158"/>
      <c r="T28" s="154">
        <f t="shared" si="5"/>
        <v>100</v>
      </c>
      <c r="U28" s="159">
        <f t="shared" si="6"/>
        <v>350.00000000000091</v>
      </c>
      <c r="V28" s="160">
        <v>690613</v>
      </c>
      <c r="W28" s="161">
        <v>81486</v>
      </c>
      <c r="X28" s="161">
        <v>17289</v>
      </c>
      <c r="Y28" s="162">
        <f t="shared" si="12"/>
        <v>591838</v>
      </c>
      <c r="Z28" s="154">
        <f t="shared" si="1"/>
        <v>197</v>
      </c>
      <c r="AA28" s="163">
        <v>1957.5</v>
      </c>
      <c r="AB28" s="164"/>
      <c r="AC28" s="154">
        <f t="shared" si="11"/>
        <v>319.1400000000001</v>
      </c>
      <c r="AD28" s="165">
        <v>129</v>
      </c>
      <c r="AE28" s="166">
        <v>259</v>
      </c>
    </row>
    <row r="29" spans="1:31" x14ac:dyDescent="0.2">
      <c r="A29" s="113">
        <v>45928</v>
      </c>
      <c r="B29" s="102">
        <v>19328292</v>
      </c>
      <c r="C29" s="120">
        <f>SUM(4165.2+1785246+591618+9957.1+268074+29786)</f>
        <v>2688846.3000000003</v>
      </c>
      <c r="D29" s="103">
        <f t="shared" si="2"/>
        <v>16639445.699999999</v>
      </c>
      <c r="E29" s="121">
        <f t="shared" si="0"/>
        <v>14693</v>
      </c>
      <c r="F29" s="104">
        <v>6193</v>
      </c>
      <c r="G29" s="122"/>
      <c r="H29" s="123">
        <f t="shared" si="3"/>
        <v>515</v>
      </c>
      <c r="I29" s="105">
        <v>0.75</v>
      </c>
      <c r="J29" s="106">
        <v>0.75</v>
      </c>
      <c r="K29" s="106">
        <v>0.8</v>
      </c>
      <c r="L29" s="124">
        <f t="shared" si="8"/>
        <v>5750</v>
      </c>
      <c r="M29" s="107"/>
      <c r="N29" s="123">
        <f t="shared" si="9"/>
        <v>250</v>
      </c>
      <c r="O29" s="105">
        <v>0.8</v>
      </c>
      <c r="P29" s="106">
        <v>0.75</v>
      </c>
      <c r="Q29" s="106">
        <v>0.75</v>
      </c>
      <c r="R29" s="124">
        <f t="shared" si="4"/>
        <v>1150</v>
      </c>
      <c r="S29" s="107"/>
      <c r="T29" s="123">
        <f t="shared" si="5"/>
        <v>125.00000000000023</v>
      </c>
      <c r="U29" s="125">
        <f t="shared" si="6"/>
        <v>375.00000000000023</v>
      </c>
      <c r="V29" s="108">
        <v>690940</v>
      </c>
      <c r="W29" s="109">
        <v>81601</v>
      </c>
      <c r="X29" s="109">
        <v>17304</v>
      </c>
      <c r="Y29" s="110">
        <f t="shared" si="12"/>
        <v>592035</v>
      </c>
      <c r="Z29" s="123">
        <f t="shared" si="1"/>
        <v>155</v>
      </c>
      <c r="AA29" s="111">
        <v>1638.36</v>
      </c>
      <c r="AB29" s="112"/>
      <c r="AC29" s="123">
        <f t="shared" si="11"/>
        <v>319.13999999999987</v>
      </c>
      <c r="AD29" s="126">
        <v>79</v>
      </c>
      <c r="AE29" s="127">
        <v>152</v>
      </c>
    </row>
    <row r="30" spans="1:31" x14ac:dyDescent="0.2">
      <c r="A30" s="115">
        <v>45929</v>
      </c>
      <c r="B30" s="25">
        <v>19342985</v>
      </c>
      <c r="C30" s="62">
        <f>SUM(4166.1+1786133+591618+9957.8+268206+29797)</f>
        <v>2689877.9</v>
      </c>
      <c r="D30" s="63">
        <f t="shared" si="2"/>
        <v>16653107.1</v>
      </c>
      <c r="E30" s="9">
        <f t="shared" si="0"/>
        <v>15172</v>
      </c>
      <c r="F30" s="64">
        <v>5678</v>
      </c>
      <c r="G30" s="8"/>
      <c r="H30" s="61">
        <f t="shared" si="3"/>
        <v>380</v>
      </c>
      <c r="I30" s="65">
        <v>0.75</v>
      </c>
      <c r="J30" s="66">
        <v>0.75</v>
      </c>
      <c r="K30" s="66">
        <v>0.7</v>
      </c>
      <c r="L30" s="11">
        <f t="shared" si="8"/>
        <v>5500</v>
      </c>
      <c r="M30" s="10"/>
      <c r="N30" s="12">
        <f t="shared" si="9"/>
        <v>375.00000000000091</v>
      </c>
      <c r="O30" s="65">
        <v>0.7</v>
      </c>
      <c r="P30" s="66">
        <v>0.7</v>
      </c>
      <c r="Q30" s="66">
        <v>0.65</v>
      </c>
      <c r="R30" s="11">
        <f t="shared" si="4"/>
        <v>1024.9999999999998</v>
      </c>
      <c r="S30" s="10"/>
      <c r="T30" s="12">
        <f t="shared" si="5"/>
        <v>74.999999999999773</v>
      </c>
      <c r="U30" s="24">
        <f t="shared" si="6"/>
        <v>450.00000000000068</v>
      </c>
      <c r="V30" s="67">
        <v>691180</v>
      </c>
      <c r="W30" s="68">
        <v>81676</v>
      </c>
      <c r="X30" s="68">
        <v>17314</v>
      </c>
      <c r="Y30" s="28">
        <f t="shared" si="12"/>
        <v>592190</v>
      </c>
      <c r="Z30" s="12">
        <f t="shared" si="1"/>
        <v>143</v>
      </c>
      <c r="AA30" s="69">
        <v>1319.22</v>
      </c>
      <c r="AB30" s="70"/>
      <c r="AC30" s="12">
        <f t="shared" si="11"/>
        <v>319.22000000000003</v>
      </c>
      <c r="AD30" s="71">
        <v>80</v>
      </c>
      <c r="AE30" s="72">
        <v>154</v>
      </c>
    </row>
    <row r="31" spans="1:31" x14ac:dyDescent="0.2">
      <c r="A31" s="101">
        <v>45930</v>
      </c>
      <c r="B31" s="25">
        <v>19358157</v>
      </c>
      <c r="C31" s="62">
        <f>SUM(4167.2+1786547.7+591618+9958.2+268353+29811)</f>
        <v>2690455.1</v>
      </c>
      <c r="D31" s="63">
        <f t="shared" si="2"/>
        <v>16667701.9</v>
      </c>
      <c r="E31" s="9">
        <f t="shared" si="0"/>
        <v>14772</v>
      </c>
      <c r="F31" s="64">
        <v>5298</v>
      </c>
      <c r="G31" s="8">
        <v>11480</v>
      </c>
      <c r="H31" s="61">
        <f t="shared" si="3"/>
        <v>909</v>
      </c>
      <c r="I31" s="65">
        <v>0.7</v>
      </c>
      <c r="J31" s="66">
        <v>0.7</v>
      </c>
      <c r="K31" s="66">
        <v>0.65</v>
      </c>
      <c r="L31" s="11">
        <f t="shared" si="8"/>
        <v>5124.9999999999991</v>
      </c>
      <c r="M31" s="10"/>
      <c r="N31" s="12">
        <f t="shared" si="9"/>
        <v>374.99999999999909</v>
      </c>
      <c r="O31" s="65">
        <v>0.65</v>
      </c>
      <c r="P31" s="66">
        <v>0.65</v>
      </c>
      <c r="Q31" s="66">
        <v>0.6</v>
      </c>
      <c r="R31" s="11">
        <f t="shared" si="4"/>
        <v>950</v>
      </c>
      <c r="S31" s="10"/>
      <c r="T31" s="12">
        <f t="shared" si="5"/>
        <v>75</v>
      </c>
      <c r="U31" s="24">
        <f t="shared" si="6"/>
        <v>449.99999999999909</v>
      </c>
      <c r="V31" s="67">
        <v>691441</v>
      </c>
      <c r="W31" s="68">
        <v>81780</v>
      </c>
      <c r="X31" s="68">
        <v>17328</v>
      </c>
      <c r="Y31" s="28">
        <f t="shared" si="12"/>
        <v>592333</v>
      </c>
      <c r="Z31" s="12">
        <f t="shared" si="1"/>
        <v>106</v>
      </c>
      <c r="AA31" s="69">
        <v>1000</v>
      </c>
      <c r="AB31" s="70">
        <v>8315</v>
      </c>
      <c r="AC31" s="12">
        <f t="shared" si="11"/>
        <v>315</v>
      </c>
      <c r="AD31" s="71">
        <v>81</v>
      </c>
      <c r="AE31" s="72">
        <v>154</v>
      </c>
    </row>
    <row r="32" spans="1:31" ht="13.5" thickBot="1" x14ac:dyDescent="0.25">
      <c r="A32" s="114">
        <v>45931</v>
      </c>
      <c r="B32" s="73">
        <v>19372929</v>
      </c>
      <c r="C32" s="119">
        <f>SUM(4168+1786935.3+591618+9960+268491+29822)</f>
        <v>2690994.3</v>
      </c>
      <c r="D32" s="119">
        <f t="shared" si="2"/>
        <v>16681934.699999999</v>
      </c>
      <c r="E32" s="9"/>
      <c r="F32" s="74">
        <v>15869</v>
      </c>
      <c r="G32" s="29"/>
      <c r="H32" s="9"/>
      <c r="I32" s="75">
        <v>0.65</v>
      </c>
      <c r="J32" s="76">
        <v>0.65</v>
      </c>
      <c r="K32" s="76">
        <v>0.6</v>
      </c>
      <c r="L32" s="77">
        <f t="shared" si="8"/>
        <v>4750</v>
      </c>
      <c r="M32" s="78"/>
      <c r="N32" s="12"/>
      <c r="O32" s="75">
        <v>0.6</v>
      </c>
      <c r="P32" s="76">
        <v>0.6</v>
      </c>
      <c r="Q32" s="76">
        <v>0.55000000000000004</v>
      </c>
      <c r="R32" s="77">
        <f t="shared" si="4"/>
        <v>875</v>
      </c>
      <c r="S32" s="78"/>
      <c r="T32" s="12"/>
      <c r="U32" s="24"/>
      <c r="V32" s="79">
        <v>691651</v>
      </c>
      <c r="W32" s="80">
        <v>81873</v>
      </c>
      <c r="X32" s="80">
        <v>17339</v>
      </c>
      <c r="Y32" s="30">
        <f t="shared" si="12"/>
        <v>592439</v>
      </c>
      <c r="Z32" s="12"/>
      <c r="AA32" s="81">
        <v>9000</v>
      </c>
      <c r="AB32" s="82"/>
      <c r="AC32" s="12"/>
      <c r="AD32" s="71"/>
      <c r="AE32" s="72"/>
    </row>
    <row r="33" spans="1:31" ht="14.25" thickTop="1" thickBot="1" x14ac:dyDescent="0.25">
      <c r="A33" s="113"/>
      <c r="B33" s="102"/>
      <c r="C33" s="116"/>
      <c r="D33" s="103">
        <f t="shared" si="2"/>
        <v>0</v>
      </c>
      <c r="E33" s="15"/>
      <c r="F33" s="104"/>
      <c r="G33" s="117"/>
      <c r="H33" s="15"/>
      <c r="I33" s="105"/>
      <c r="J33" s="106"/>
      <c r="K33" s="106"/>
      <c r="L33" s="118"/>
      <c r="M33" s="107"/>
      <c r="N33" s="15"/>
      <c r="O33" s="105"/>
      <c r="P33" s="106"/>
      <c r="Q33" s="106"/>
      <c r="R33" s="118"/>
      <c r="S33" s="107"/>
      <c r="T33" s="26"/>
      <c r="U33" s="27"/>
      <c r="V33" s="108"/>
      <c r="W33" s="109"/>
      <c r="X33" s="109"/>
      <c r="Y33" s="110">
        <f t="shared" si="12"/>
        <v>0</v>
      </c>
      <c r="Z33" s="15"/>
      <c r="AA33" s="111"/>
      <c r="AB33" s="112"/>
      <c r="AC33" s="13"/>
      <c r="AD33" s="14"/>
      <c r="AE33" s="14"/>
    </row>
    <row r="34" spans="1:31" s="22" customFormat="1" ht="10.5" thickTop="1" x14ac:dyDescent="0.2">
      <c r="A34" s="16"/>
      <c r="B34" s="19"/>
      <c r="C34" s="19"/>
      <c r="D34" s="19"/>
      <c r="E34" s="17">
        <f>SUM(E2:E33)</f>
        <v>516783</v>
      </c>
      <c r="F34" s="18"/>
      <c r="G34" s="18"/>
      <c r="H34" s="17">
        <f>SUM(H2:H33)</f>
        <v>4632</v>
      </c>
      <c r="I34" s="16"/>
      <c r="J34" s="16"/>
      <c r="K34" s="16"/>
      <c r="L34" s="16"/>
      <c r="M34" s="18">
        <f>SUM(M2:M33)</f>
        <v>6264.9</v>
      </c>
      <c r="N34" s="17">
        <f>SUM(N2:N33)</f>
        <v>8646.260000000002</v>
      </c>
      <c r="O34" s="16"/>
      <c r="P34" s="16"/>
      <c r="Q34" s="16"/>
      <c r="R34" s="16"/>
      <c r="S34" s="18">
        <f>SUM(S2:S33)</f>
        <v>2178.4700000000003</v>
      </c>
      <c r="T34" s="17">
        <f>SUM(T2:T33)</f>
        <v>2652.8300000000008</v>
      </c>
      <c r="U34" s="17">
        <f>SUM(U2:U33)</f>
        <v>11299.09</v>
      </c>
      <c r="V34" s="16"/>
      <c r="W34" s="16"/>
      <c r="X34" s="16"/>
      <c r="Y34" s="16"/>
      <c r="Z34" s="17">
        <f>SUM(Z2:Z33)</f>
        <v>4308</v>
      </c>
      <c r="AA34" s="16"/>
      <c r="AB34" s="16">
        <f>SUM(AB2:AB33)</f>
        <v>15795</v>
      </c>
      <c r="AC34" s="17">
        <f>SUM(AC2:AC33)</f>
        <v>9794.9999999999982</v>
      </c>
      <c r="AD34" s="20">
        <f>SUM(AD2:AD33)</f>
        <v>3040</v>
      </c>
      <c r="AE34" s="21">
        <f>SUM(AE2:AE32)</f>
        <v>5818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 N5 N26 T5 T12 N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2025-10-22T07:06:26Z</dcterms:modified>
  <cp:category/>
  <cp:contentStatus/>
</cp:coreProperties>
</file>