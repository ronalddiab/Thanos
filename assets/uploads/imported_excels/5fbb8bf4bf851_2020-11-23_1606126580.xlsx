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AI27" i="7" s="1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G24" i="5" s="1"/>
  <c r="H24" i="9"/>
  <c r="B24" i="9"/>
  <c r="S23" i="9"/>
  <c r="P23" i="9"/>
  <c r="L23" i="9"/>
  <c r="B23" i="9"/>
  <c r="S22" i="9"/>
  <c r="B22" i="9"/>
  <c r="S21" i="9"/>
  <c r="L21" i="9"/>
  <c r="H21" i="9"/>
  <c r="B21" i="9"/>
  <c r="S20" i="9"/>
  <c r="R20" i="9"/>
  <c r="G20" i="5" s="1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B24" i="5"/>
  <c r="I23" i="5"/>
  <c r="B23" i="5"/>
  <c r="I22" i="5"/>
  <c r="B22" i="5"/>
  <c r="I21" i="5"/>
  <c r="B21" i="5"/>
  <c r="I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N23" i="9" l="1"/>
  <c r="L24" i="9"/>
  <c r="K24" i="9"/>
  <c r="K23" i="9"/>
  <c r="R23" i="9"/>
  <c r="G23" i="5" s="1"/>
  <c r="H22" i="9"/>
  <c r="O22" i="9"/>
  <c r="K22" i="9"/>
  <c r="I21" i="9"/>
  <c r="Q21" i="9"/>
  <c r="K21" i="9"/>
  <c r="J21" i="9"/>
  <c r="H20" i="9"/>
  <c r="G21" i="9"/>
  <c r="F21" i="9"/>
  <c r="L20" i="9"/>
  <c r="Q18" i="9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S26" i="7" l="1"/>
  <c r="AS23" i="7"/>
  <c r="AM38" i="7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<sst xmlns="http://schemas.openxmlformats.org/spreadsheetml/2006/main" count="128" uniqueCount="49">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</sst>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50830</v>
      </c>
      <c r="F18" s="11">
        <v>5.0000000000000001E-3</v>
      </c>
      <c r="G18" s="12">
        <f>Submetering!R18</f>
        <v>628.75660100000005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52410</v>
      </c>
      <c r="F19" s="11">
        <v>5.0000000000000001E-3</v>
      </c>
      <c r="G19" s="12">
        <f>Submetering!R19</f>
        <v>617.77891199999999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51150</v>
      </c>
      <c r="F20" s="11">
        <v>5.0000000000000001E-3</v>
      </c>
      <c r="G20" s="12">
        <f>Submetering!R20</f>
        <v>666.61070100000006</v>
      </c>
      <c r="H20" s="11">
        <v>0.52800000000000002</v>
      </c>
      <c r="I20" s="12">
        <f>Hotel!B25</f>
        <v>85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56740</v>
      </c>
      <c r="F21" s="11">
        <v>5.0000000000000001E-3</v>
      </c>
      <c r="G21" s="12">
        <f>Submetering!R21</f>
        <v>554.18402400000002</v>
      </c>
      <c r="H21" s="11">
        <v>0.52800000000000002</v>
      </c>
      <c r="I21" s="12">
        <f>Hotel!B26</f>
        <v>122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58070</v>
      </c>
      <c r="F22" s="11">
        <v>5.0000000000000001E-3</v>
      </c>
      <c r="G22" s="12">
        <f>Submetering!R22</f>
        <v>700.30084999999997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49460</v>
      </c>
      <c r="F23" s="11">
        <v>5.0000000000000001E-3</v>
      </c>
      <c r="G23" s="12">
        <f>Submetering!R23</f>
        <v>793.04339499999992</v>
      </c>
      <c r="H23" s="11">
        <v>0.52800000000000002</v>
      </c>
      <c r="I23" s="12">
        <f>Hotel!B28</f>
        <v>65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540</v>
      </c>
      <c r="F18" s="4">
        <f>Hotel!R23</f>
        <v>1870</v>
      </c>
      <c r="G18" s="4">
        <f>Hotel!S23</f>
        <v>3700</v>
      </c>
      <c r="H18" s="4">
        <f>Hotel!T23</f>
        <v>1580</v>
      </c>
      <c r="I18" s="4">
        <f>Hotel!U23</f>
        <v>4740</v>
      </c>
      <c r="J18" s="4">
        <f>Hotel!V23</f>
        <v>3350</v>
      </c>
      <c r="K18" s="4">
        <f>Hotel!W23</f>
        <v>2310</v>
      </c>
      <c r="L18" s="4">
        <f>Hotel!X23</f>
        <v>3540</v>
      </c>
      <c r="M18" s="4">
        <f>Hotel!Y23</f>
        <v>5550</v>
      </c>
      <c r="N18" s="4">
        <f>Hotel!Z23</f>
        <v>2470</v>
      </c>
      <c r="O18" s="4">
        <f>Hotel!AA23</f>
        <v>3080</v>
      </c>
      <c r="P18" s="4">
        <f>Hotel!AB23</f>
        <v>6780</v>
      </c>
      <c r="Q18" s="4">
        <f>Hotel!AC23</f>
        <v>11320</v>
      </c>
      <c r="R18" s="4">
        <f>Hotel!AV23*0.00378541*100</f>
        <v>628.75660100000005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550</v>
      </c>
      <c r="F19" s="4">
        <f>Hotel!R24</f>
        <v>1910</v>
      </c>
      <c r="G19" s="4">
        <f>Hotel!S24</f>
        <v>3550</v>
      </c>
      <c r="H19" s="4">
        <f>Hotel!T24</f>
        <v>1590</v>
      </c>
      <c r="I19" s="4">
        <f>Hotel!U24</f>
        <v>4540</v>
      </c>
      <c r="J19" s="4">
        <f>Hotel!V24</f>
        <v>3310</v>
      </c>
      <c r="K19" s="4">
        <f>Hotel!W24</f>
        <v>2360</v>
      </c>
      <c r="L19" s="4">
        <f>Hotel!X24</f>
        <v>3590</v>
      </c>
      <c r="M19" s="4">
        <f>Hotel!Y24</f>
        <v>5670</v>
      </c>
      <c r="N19" s="4">
        <f>Hotel!Z24</f>
        <v>2510</v>
      </c>
      <c r="O19" s="4">
        <f>Hotel!AA24</f>
        <v>2950</v>
      </c>
      <c r="P19" s="4">
        <f>Hotel!AB24</f>
        <v>7190</v>
      </c>
      <c r="Q19" s="4">
        <f>Hotel!AC24</f>
        <v>12690</v>
      </c>
      <c r="R19" s="4">
        <f>Hotel!AV24*0.00378541*100</f>
        <v>617.77891199999999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560</v>
      </c>
      <c r="F20" s="4">
        <f>Hotel!R25</f>
        <v>1910</v>
      </c>
      <c r="G20" s="4">
        <f>Hotel!S25</f>
        <v>3420</v>
      </c>
      <c r="H20" s="4">
        <f>Hotel!T25</f>
        <v>1580</v>
      </c>
      <c r="I20" s="4">
        <f>Hotel!U25</f>
        <v>4280</v>
      </c>
      <c r="J20" s="4">
        <f>Hotel!V25</f>
        <v>3350</v>
      </c>
      <c r="K20" s="4">
        <f>Hotel!W25</f>
        <v>2330</v>
      </c>
      <c r="L20" s="4">
        <f>Hotel!X25</f>
        <v>3570</v>
      </c>
      <c r="M20" s="4">
        <f>Hotel!Y25</f>
        <v>5660</v>
      </c>
      <c r="N20" s="4">
        <f>Hotel!Z25</f>
        <v>2470</v>
      </c>
      <c r="O20" s="4">
        <f>Hotel!AA25</f>
        <v>3090</v>
      </c>
      <c r="P20" s="4">
        <f>Hotel!AB25</f>
        <v>7180</v>
      </c>
      <c r="Q20" s="4">
        <f>Hotel!AC25</f>
        <v>11750</v>
      </c>
      <c r="R20" s="4">
        <f>Hotel!AV25*0.00378541*100</f>
        <v>666.61070100000006</v>
      </c>
      <c r="S20" s="4">
        <f>Hotel!B25</f>
        <v>85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5200</v>
      </c>
      <c r="F21" s="4">
        <f>Hotel!R26</f>
        <v>2790</v>
      </c>
      <c r="G21" s="4">
        <f>Hotel!S26</f>
        <v>3280</v>
      </c>
      <c r="H21" s="4">
        <f>Hotel!T26</f>
        <v>1560</v>
      </c>
      <c r="I21" s="4">
        <f>Hotel!U26</f>
        <v>4540</v>
      </c>
      <c r="J21" s="4">
        <f>Hotel!V26</f>
        <v>3250</v>
      </c>
      <c r="K21" s="4">
        <f>Hotel!W26</f>
        <v>2280</v>
      </c>
      <c r="L21" s="4">
        <f>Hotel!X26</f>
        <v>3780</v>
      </c>
      <c r="M21" s="4">
        <f>Hotel!Y26</f>
        <v>5730</v>
      </c>
      <c r="N21" s="4">
        <f>Hotel!Z26</f>
        <v>2590</v>
      </c>
      <c r="O21" s="4">
        <f>Hotel!AA26</f>
        <v>3460</v>
      </c>
      <c r="P21" s="4">
        <f>Hotel!AB26</f>
        <v>7140</v>
      </c>
      <c r="Q21" s="4">
        <f>Hotel!AC26</f>
        <v>11140</v>
      </c>
      <c r="R21" s="4">
        <f>Hotel!AV26*0.00378541*100</f>
        <v>554.18402400000002</v>
      </c>
      <c r="S21" s="4">
        <f>Hotel!B26</f>
        <v>122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2720</v>
      </c>
      <c r="F22" s="4">
        <f>Hotel!R27</f>
        <v>2810</v>
      </c>
      <c r="G22" s="4">
        <f>Hotel!S27</f>
        <v>3610</v>
      </c>
      <c r="H22" s="4">
        <f>Hotel!T27</f>
        <v>2330</v>
      </c>
      <c r="I22" s="4">
        <f>Hotel!U27</f>
        <v>5000</v>
      </c>
      <c r="J22" s="4">
        <f>Hotel!V27</f>
        <v>3510</v>
      </c>
      <c r="K22" s="4">
        <f>Hotel!W27</f>
        <v>2410</v>
      </c>
      <c r="L22" s="4">
        <f>Hotel!X27</f>
        <v>3770</v>
      </c>
      <c r="M22" s="4">
        <f>Hotel!Y27</f>
        <v>6310</v>
      </c>
      <c r="N22" s="4">
        <f>Hotel!Z27</f>
        <v>2770</v>
      </c>
      <c r="O22" s="4">
        <f>Hotel!AA27</f>
        <v>3500</v>
      </c>
      <c r="P22" s="4">
        <f>Hotel!AB27</f>
        <v>7440</v>
      </c>
      <c r="Q22" s="4">
        <f>Hotel!AC27</f>
        <v>11890</v>
      </c>
      <c r="R22" s="4">
        <f>Hotel!AV27*0.00378541*100</f>
        <v>700.30084999999997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>
        <f>Hotel!Q28</f>
        <v>530</v>
      </c>
      <c r="F23" s="4">
        <f>Hotel!R28</f>
        <v>1800</v>
      </c>
      <c r="G23" s="4">
        <f>Hotel!S28</f>
        <v>3350</v>
      </c>
      <c r="H23" s="4">
        <f>Hotel!T28</f>
        <v>1400</v>
      </c>
      <c r="I23" s="4">
        <f>Hotel!U28</f>
        <v>4380</v>
      </c>
      <c r="J23" s="4">
        <f>Hotel!V28</f>
        <v>3130</v>
      </c>
      <c r="K23" s="4">
        <f>Hotel!W28</f>
        <v>2270</v>
      </c>
      <c r="L23" s="4">
        <f>Hotel!X28</f>
        <v>3090</v>
      </c>
      <c r="M23" s="4">
        <f>Hotel!Y28</f>
        <v>5480</v>
      </c>
      <c r="N23" s="4">
        <f>Hotel!Z28</f>
        <v>2360</v>
      </c>
      <c r="O23" s="4">
        <f>Hotel!AA28</f>
        <v>3080</v>
      </c>
      <c r="P23" s="4">
        <f>Hotel!AB28</f>
        <v>6710</v>
      </c>
      <c r="Q23" s="4">
        <f>Hotel!AC28</f>
        <v>11880</v>
      </c>
      <c r="R23" s="4">
        <f>Hotel!AV28*0.00378541*100</f>
        <v>793.04339499999992</v>
      </c>
      <c r="S23" s="4">
        <f>Hotel!B28</f>
        <v>65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 t="str">
        <f>Hotel!Q29</f>
        <v>0</v>
      </c>
      <c r="F24" s="4" t="str">
        <f>Hotel!R29</f>
        <v>0</v>
      </c>
      <c r="G24" s="4" t="str">
        <f>Hotel!S29</f>
        <v>0</v>
      </c>
      <c r="H24" s="4" t="str">
        <f>Hotel!T29</f>
        <v>0</v>
      </c>
      <c r="I24" s="4" t="str">
        <f>Hotel!U29</f>
        <v>0</v>
      </c>
      <c r="J24" s="4" t="str">
        <f>Hotel!V29</f>
        <v>0</v>
      </c>
      <c r="K24" s="4" t="str">
        <f>Hotel!W29</f>
        <v>0</v>
      </c>
      <c r="L24" s="4" t="str">
        <f>Hotel!X29</f>
        <v>0</v>
      </c>
      <c r="M24" s="4" t="str">
        <f>Hotel!Y29</f>
        <v>0</v>
      </c>
      <c r="N24" s="4" t="str">
        <f>Hotel!Z29</f>
        <v>0</v>
      </c>
      <c r="O24" s="4" t="str">
        <f>Hotel!AA29</f>
        <v>0</v>
      </c>
      <c r="P24" s="4" t="str">
        <f>Hotel!AB29</f>
        <v>0</v>
      </c>
      <c r="Q24" s="4" t="str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J28" sqref="AJ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>
        <v>62</v>
      </c>
      <c r="C23" s="24">
        <v>6476270</v>
      </c>
      <c r="D23" s="24">
        <v>14949000</v>
      </c>
      <c r="E23" s="24">
        <v>2172650</v>
      </c>
      <c r="F23" s="24">
        <v>3122950</v>
      </c>
      <c r="G23" s="24">
        <v>9473400</v>
      </c>
      <c r="H23" s="24">
        <v>4862580</v>
      </c>
      <c r="I23" s="24">
        <v>4604100</v>
      </c>
      <c r="J23" s="24">
        <v>5217000</v>
      </c>
      <c r="K23" s="24">
        <v>8172000</v>
      </c>
      <c r="L23" s="24">
        <v>3328180</v>
      </c>
      <c r="M23" s="24">
        <v>7230920</v>
      </c>
      <c r="N23" s="24">
        <v>10654640</v>
      </c>
      <c r="O23" s="24">
        <v>14450970</v>
      </c>
      <c r="Q23" s="37">
        <f t="shared" si="16"/>
        <v>540</v>
      </c>
      <c r="R23" s="37">
        <f t="shared" si="17"/>
        <v>1870</v>
      </c>
      <c r="S23" s="37">
        <f t="shared" si="15"/>
        <v>3700</v>
      </c>
      <c r="T23" s="37">
        <f t="shared" si="18"/>
        <v>1580</v>
      </c>
      <c r="U23" s="37">
        <f t="shared" si="19"/>
        <v>4740</v>
      </c>
      <c r="V23" s="37">
        <f t="shared" si="20"/>
        <v>3350</v>
      </c>
      <c r="W23" s="37">
        <f t="shared" si="21"/>
        <v>2310</v>
      </c>
      <c r="X23" s="37">
        <f t="shared" si="22"/>
        <v>3540</v>
      </c>
      <c r="Y23" s="37">
        <f t="shared" si="23"/>
        <v>5550</v>
      </c>
      <c r="Z23" s="37">
        <f t="shared" si="24"/>
        <v>2470</v>
      </c>
      <c r="AA23" s="37">
        <f t="shared" si="25"/>
        <v>3080</v>
      </c>
      <c r="AB23" s="37">
        <f t="shared" si="26"/>
        <v>6780</v>
      </c>
      <c r="AC23" s="37">
        <f t="shared" si="27"/>
        <v>11320</v>
      </c>
      <c r="AD23" s="35">
        <f t="shared" si="28"/>
        <v>50830</v>
      </c>
      <c r="AF23" s="20">
        <f t="shared" si="1"/>
        <v>2.7</v>
      </c>
      <c r="AG23" s="20">
        <f t="shared" si="2"/>
        <v>9.35</v>
      </c>
      <c r="AH23" s="20">
        <f t="shared" si="3"/>
        <v>18.5</v>
      </c>
      <c r="AI23" s="20">
        <f t="shared" si="4"/>
        <v>7.9</v>
      </c>
      <c r="AJ23" s="20">
        <f t="shared" si="5"/>
        <v>23.7</v>
      </c>
      <c r="AK23" s="20">
        <f t="shared" si="6"/>
        <v>16.75</v>
      </c>
      <c r="AL23" s="20">
        <f t="shared" si="7"/>
        <v>11.55</v>
      </c>
      <c r="AM23" s="20">
        <f t="shared" si="8"/>
        <v>17.7</v>
      </c>
      <c r="AN23" s="20">
        <f t="shared" si="9"/>
        <v>27.75</v>
      </c>
      <c r="AO23" s="20">
        <f t="shared" si="10"/>
        <v>12.35</v>
      </c>
      <c r="AP23" s="20">
        <f t="shared" si="11"/>
        <v>15.4</v>
      </c>
      <c r="AQ23" s="20">
        <f t="shared" si="12"/>
        <v>33.9</v>
      </c>
      <c r="AR23" s="20">
        <f t="shared" si="13"/>
        <v>56.6</v>
      </c>
      <c r="AS23" s="35">
        <f t="shared" si="29"/>
        <v>254.15</v>
      </c>
      <c r="AU23" s="47">
        <v>306710</v>
      </c>
      <c r="AV23" s="37">
        <f t="shared" si="31"/>
        <v>1661</v>
      </c>
      <c r="AW23" s="35">
        <f t="shared" si="30"/>
        <v>3.3220000000000001</v>
      </c>
    </row>
    <row r="24" spans="1:49" x14ac:dyDescent="0.25">
      <c r="A24" s="23">
        <v>44153</v>
      </c>
      <c r="B24" s="40">
        <v>49</v>
      </c>
      <c r="C24" s="24">
        <v>6476820</v>
      </c>
      <c r="D24" s="24">
        <v>14950910</v>
      </c>
      <c r="E24" s="24">
        <v>2176200</v>
      </c>
      <c r="F24" s="24">
        <v>3124540</v>
      </c>
      <c r="G24" s="24">
        <v>9477940</v>
      </c>
      <c r="H24" s="24">
        <v>4865890</v>
      </c>
      <c r="I24" s="24">
        <v>4606460</v>
      </c>
      <c r="J24" s="24">
        <v>5220590</v>
      </c>
      <c r="K24" s="24">
        <v>8177670</v>
      </c>
      <c r="L24" s="24">
        <v>3330690</v>
      </c>
      <c r="M24" s="24">
        <v>7233870</v>
      </c>
      <c r="N24" s="24">
        <v>10661830</v>
      </c>
      <c r="O24" s="24">
        <v>14463660</v>
      </c>
      <c r="Q24" s="37">
        <f t="shared" si="16"/>
        <v>550</v>
      </c>
      <c r="R24" s="37">
        <f t="shared" si="17"/>
        <v>1910</v>
      </c>
      <c r="S24" s="37">
        <f t="shared" si="15"/>
        <v>3550</v>
      </c>
      <c r="T24" s="37">
        <f t="shared" si="18"/>
        <v>1590</v>
      </c>
      <c r="U24" s="37">
        <f t="shared" si="19"/>
        <v>4540</v>
      </c>
      <c r="V24" s="37">
        <f t="shared" si="20"/>
        <v>3310</v>
      </c>
      <c r="W24" s="37">
        <f t="shared" si="21"/>
        <v>2360</v>
      </c>
      <c r="X24" s="37">
        <f t="shared" si="22"/>
        <v>3590</v>
      </c>
      <c r="Y24" s="37">
        <f t="shared" si="23"/>
        <v>5670</v>
      </c>
      <c r="Z24" s="37">
        <f t="shared" si="24"/>
        <v>2510</v>
      </c>
      <c r="AA24" s="37">
        <f t="shared" si="25"/>
        <v>2950</v>
      </c>
      <c r="AB24" s="37">
        <f t="shared" si="26"/>
        <v>7190</v>
      </c>
      <c r="AC24" s="37">
        <f t="shared" si="27"/>
        <v>12690</v>
      </c>
      <c r="AD24" s="35">
        <f t="shared" si="28"/>
        <v>52410</v>
      </c>
      <c r="AF24" s="20">
        <f t="shared" si="1"/>
        <v>2.75</v>
      </c>
      <c r="AG24" s="20">
        <f t="shared" si="2"/>
        <v>9.5500000000000007</v>
      </c>
      <c r="AH24" s="20">
        <f t="shared" si="3"/>
        <v>17.75</v>
      </c>
      <c r="AI24" s="20">
        <f t="shared" si="4"/>
        <v>7.95</v>
      </c>
      <c r="AJ24" s="20">
        <f t="shared" si="5"/>
        <v>22.7</v>
      </c>
      <c r="AK24" s="20">
        <f t="shared" si="6"/>
        <v>16.55</v>
      </c>
      <c r="AL24" s="20">
        <f t="shared" si="7"/>
        <v>11.8</v>
      </c>
      <c r="AM24" s="20">
        <f t="shared" si="8"/>
        <v>17.95</v>
      </c>
      <c r="AN24" s="20">
        <f t="shared" si="9"/>
        <v>28.35</v>
      </c>
      <c r="AO24" s="20">
        <f t="shared" si="10"/>
        <v>12.55</v>
      </c>
      <c r="AP24" s="20">
        <f t="shared" si="11"/>
        <v>14.75</v>
      </c>
      <c r="AQ24" s="20">
        <f t="shared" si="12"/>
        <v>35.950000000000003</v>
      </c>
      <c r="AR24" s="20">
        <f t="shared" si="13"/>
        <v>63.45</v>
      </c>
      <c r="AS24" s="35">
        <f t="shared" si="29"/>
        <v>262.05</v>
      </c>
      <c r="AU24" s="47">
        <v>308342</v>
      </c>
      <c r="AV24" s="37">
        <f t="shared" si="31"/>
        <v>1632</v>
      </c>
      <c r="AW24" s="35">
        <f t="shared" si="30"/>
        <v>3.2640000000000002</v>
      </c>
    </row>
    <row r="25" spans="1:49" x14ac:dyDescent="0.25">
      <c r="A25" s="23">
        <v>44154</v>
      </c>
      <c r="B25" s="40">
        <v>85</v>
      </c>
      <c r="C25" s="24">
        <v>6477380</v>
      </c>
      <c r="D25" s="24">
        <v>14952820</v>
      </c>
      <c r="E25" s="24">
        <v>2179620</v>
      </c>
      <c r="F25" s="24">
        <v>3126120</v>
      </c>
      <c r="G25" s="24">
        <v>9482220</v>
      </c>
      <c r="H25" s="24">
        <v>4869240</v>
      </c>
      <c r="I25" s="24">
        <v>4608790</v>
      </c>
      <c r="J25" s="24">
        <v>5224160</v>
      </c>
      <c r="K25" s="24">
        <v>8183330</v>
      </c>
      <c r="L25" s="24">
        <v>3333160</v>
      </c>
      <c r="M25" s="24">
        <v>7236960</v>
      </c>
      <c r="N25" s="24">
        <v>10669010</v>
      </c>
      <c r="O25" s="24">
        <v>14475410</v>
      </c>
      <c r="Q25" s="37">
        <f t="shared" ref="Q25:AC27" si="33">IF((C25-C24&lt;0), "0",C25-C24)</f>
        <v>560</v>
      </c>
      <c r="R25" s="37">
        <f t="shared" si="33"/>
        <v>1910</v>
      </c>
      <c r="S25" s="37">
        <f t="shared" si="33"/>
        <v>3420</v>
      </c>
      <c r="T25" s="37">
        <f t="shared" si="33"/>
        <v>1580</v>
      </c>
      <c r="U25" s="37">
        <f t="shared" si="33"/>
        <v>4280</v>
      </c>
      <c r="V25" s="37">
        <f t="shared" si="33"/>
        <v>3350</v>
      </c>
      <c r="W25" s="37">
        <f t="shared" si="33"/>
        <v>2330</v>
      </c>
      <c r="X25" s="37">
        <f t="shared" si="33"/>
        <v>3570</v>
      </c>
      <c r="Y25" s="37">
        <f t="shared" si="33"/>
        <v>5660</v>
      </c>
      <c r="Z25" s="37">
        <f t="shared" si="33"/>
        <v>2470</v>
      </c>
      <c r="AA25" s="37">
        <f t="shared" si="33"/>
        <v>3090</v>
      </c>
      <c r="AB25" s="37">
        <f t="shared" si="33"/>
        <v>7180</v>
      </c>
      <c r="AC25" s="37">
        <f t="shared" si="33"/>
        <v>11750</v>
      </c>
      <c r="AD25" s="35">
        <f t="shared" si="28"/>
        <v>51150</v>
      </c>
      <c r="AF25" s="20">
        <f t="shared" si="1"/>
        <v>2.8000000000000003</v>
      </c>
      <c r="AG25" s="20">
        <f t="shared" si="2"/>
        <v>9.5500000000000007</v>
      </c>
      <c r="AH25" s="20">
        <f t="shared" si="3"/>
        <v>17.100000000000001</v>
      </c>
      <c r="AI25" s="20">
        <f t="shared" si="4"/>
        <v>7.9</v>
      </c>
      <c r="AJ25" s="20">
        <f t="shared" si="5"/>
        <v>21.400000000000002</v>
      </c>
      <c r="AK25" s="20">
        <f t="shared" si="6"/>
        <v>16.75</v>
      </c>
      <c r="AL25" s="20">
        <f t="shared" si="7"/>
        <v>11.65</v>
      </c>
      <c r="AM25" s="20">
        <f t="shared" si="8"/>
        <v>17.850000000000001</v>
      </c>
      <c r="AN25" s="20">
        <f t="shared" si="9"/>
        <v>28.3</v>
      </c>
      <c r="AO25" s="20">
        <f t="shared" si="10"/>
        <v>12.35</v>
      </c>
      <c r="AP25" s="20">
        <f t="shared" si="11"/>
        <v>15.450000000000001</v>
      </c>
      <c r="AQ25" s="20">
        <f t="shared" si="12"/>
        <v>35.9</v>
      </c>
      <c r="AR25" s="20">
        <f t="shared" si="13"/>
        <v>58.75</v>
      </c>
      <c r="AS25" s="35">
        <f t="shared" si="29"/>
        <v>255.75</v>
      </c>
      <c r="AU25" s="47">
        <v>310103</v>
      </c>
      <c r="AV25" s="37">
        <f t="shared" si="31"/>
        <v>1761</v>
      </c>
      <c r="AW25" s="35">
        <f t="shared" si="30"/>
        <v>3.5220000000000002</v>
      </c>
    </row>
    <row r="26" spans="1:49" x14ac:dyDescent="0.25">
      <c r="A26" s="23">
        <v>44155</v>
      </c>
      <c r="B26" s="40">
        <v>122</v>
      </c>
      <c r="C26" s="24">
        <v>6482580</v>
      </c>
      <c r="D26" s="24">
        <v>14955610</v>
      </c>
      <c r="E26" s="24">
        <v>2182900</v>
      </c>
      <c r="F26" s="24">
        <v>3127680</v>
      </c>
      <c r="G26" s="24">
        <v>9486760</v>
      </c>
      <c r="H26" s="24">
        <v>4872490</v>
      </c>
      <c r="I26" s="24">
        <v>4611070</v>
      </c>
      <c r="J26" s="24">
        <v>5227940</v>
      </c>
      <c r="K26" s="24">
        <v>8189060</v>
      </c>
      <c r="L26" s="24">
        <v>3335750</v>
      </c>
      <c r="M26" s="24">
        <v>7240420</v>
      </c>
      <c r="N26" s="24">
        <v>10676150</v>
      </c>
      <c r="O26" s="24">
        <v>14486550</v>
      </c>
      <c r="Q26" s="37">
        <f t="shared" si="33"/>
        <v>5200</v>
      </c>
      <c r="R26" s="37">
        <f t="shared" si="33"/>
        <v>2790</v>
      </c>
      <c r="S26" s="37">
        <f t="shared" si="33"/>
        <v>3280</v>
      </c>
      <c r="T26" s="37">
        <f t="shared" si="33"/>
        <v>1560</v>
      </c>
      <c r="U26" s="37">
        <f t="shared" si="33"/>
        <v>4540</v>
      </c>
      <c r="V26" s="37">
        <f t="shared" si="33"/>
        <v>3250</v>
      </c>
      <c r="W26" s="37">
        <f t="shared" si="33"/>
        <v>2280</v>
      </c>
      <c r="X26" s="37">
        <f t="shared" si="33"/>
        <v>3780</v>
      </c>
      <c r="Y26" s="37">
        <f t="shared" si="33"/>
        <v>5730</v>
      </c>
      <c r="Z26" s="37">
        <f t="shared" si="33"/>
        <v>2590</v>
      </c>
      <c r="AA26" s="37">
        <f t="shared" si="33"/>
        <v>3460</v>
      </c>
      <c r="AB26" s="37">
        <f t="shared" si="33"/>
        <v>7140</v>
      </c>
      <c r="AC26" s="37">
        <f t="shared" si="33"/>
        <v>11140</v>
      </c>
      <c r="AD26" s="35">
        <f t="shared" si="28"/>
        <v>56740</v>
      </c>
      <c r="AF26" s="20">
        <f t="shared" si="1"/>
        <v>26</v>
      </c>
      <c r="AG26" s="20">
        <f t="shared" si="2"/>
        <v>13.950000000000001</v>
      </c>
      <c r="AH26" s="20">
        <f t="shared" si="3"/>
        <v>16.399999999999999</v>
      </c>
      <c r="AI26" s="20">
        <f t="shared" si="4"/>
        <v>7.8</v>
      </c>
      <c r="AJ26" s="20">
        <f t="shared" si="5"/>
        <v>22.7</v>
      </c>
      <c r="AK26" s="20">
        <f t="shared" si="6"/>
        <v>16.25</v>
      </c>
      <c r="AL26" s="20">
        <f t="shared" si="7"/>
        <v>11.4</v>
      </c>
      <c r="AM26" s="20">
        <f t="shared" si="8"/>
        <v>18.900000000000002</v>
      </c>
      <c r="AN26" s="20">
        <f t="shared" si="9"/>
        <v>28.650000000000002</v>
      </c>
      <c r="AO26" s="20">
        <f t="shared" si="10"/>
        <v>12.950000000000001</v>
      </c>
      <c r="AP26" s="20">
        <f t="shared" si="11"/>
        <v>17.3</v>
      </c>
      <c r="AQ26" s="20">
        <f t="shared" si="12"/>
        <v>35.700000000000003</v>
      </c>
      <c r="AR26" s="20">
        <f t="shared" si="13"/>
        <v>55.7</v>
      </c>
      <c r="AS26" s="35">
        <f t="shared" si="29"/>
        <v>283.7</v>
      </c>
      <c r="AU26" s="47">
        <v>311567</v>
      </c>
      <c r="AV26" s="37">
        <f t="shared" si="31"/>
        <v>1464</v>
      </c>
      <c r="AW26" s="35">
        <f t="shared" si="30"/>
        <v>2.9279999999999999</v>
      </c>
    </row>
    <row r="27" spans="1:49" x14ac:dyDescent="0.25">
      <c r="A27" s="23">
        <v>44156</v>
      </c>
      <c r="B27" s="40">
        <v>70</v>
      </c>
      <c r="C27" s="24">
        <v>6485300</v>
      </c>
      <c r="D27" s="24">
        <v>14958420</v>
      </c>
      <c r="E27" s="24">
        <v>2186510</v>
      </c>
      <c r="F27" s="24">
        <v>3130010</v>
      </c>
      <c r="G27" s="24">
        <v>9491760</v>
      </c>
      <c r="H27" s="24">
        <v>4876000</v>
      </c>
      <c r="I27" s="24">
        <v>4613480</v>
      </c>
      <c r="J27" s="24">
        <v>5231710</v>
      </c>
      <c r="K27" s="24">
        <v>8195370</v>
      </c>
      <c r="L27" s="24">
        <v>3338520</v>
      </c>
      <c r="M27" s="24">
        <v>7243920</v>
      </c>
      <c r="N27" s="24">
        <v>10683590</v>
      </c>
      <c r="O27" s="24">
        <v>14498440</v>
      </c>
      <c r="Q27" s="37">
        <f t="shared" si="33"/>
        <v>2720</v>
      </c>
      <c r="R27" s="37">
        <f t="shared" si="33"/>
        <v>2810</v>
      </c>
      <c r="S27" s="37">
        <f t="shared" si="33"/>
        <v>3610</v>
      </c>
      <c r="T27" s="37">
        <f t="shared" si="33"/>
        <v>2330</v>
      </c>
      <c r="U27" s="37">
        <f t="shared" si="33"/>
        <v>5000</v>
      </c>
      <c r="V27" s="37">
        <f t="shared" si="33"/>
        <v>3510</v>
      </c>
      <c r="W27" s="37">
        <f t="shared" si="33"/>
        <v>2410</v>
      </c>
      <c r="X27" s="37">
        <f t="shared" si="33"/>
        <v>3770</v>
      </c>
      <c r="Y27" s="37">
        <f t="shared" si="33"/>
        <v>6310</v>
      </c>
      <c r="Z27" s="37">
        <f t="shared" si="33"/>
        <v>2770</v>
      </c>
      <c r="AA27" s="37">
        <f t="shared" si="33"/>
        <v>3500</v>
      </c>
      <c r="AB27" s="37">
        <f t="shared" si="33"/>
        <v>7440</v>
      </c>
      <c r="AC27" s="37">
        <f t="shared" si="33"/>
        <v>11890</v>
      </c>
      <c r="AD27" s="35">
        <f t="shared" si="28"/>
        <v>58070</v>
      </c>
      <c r="AF27" s="20">
        <f t="shared" si="1"/>
        <v>13.6</v>
      </c>
      <c r="AG27" s="20">
        <f t="shared" si="2"/>
        <v>14.05</v>
      </c>
      <c r="AH27" s="20">
        <f t="shared" si="3"/>
        <v>18.05</v>
      </c>
      <c r="AI27" s="20">
        <f t="shared" si="4"/>
        <v>11.65</v>
      </c>
      <c r="AJ27" s="20">
        <f t="shared" si="5"/>
        <v>25</v>
      </c>
      <c r="AK27" s="20">
        <f t="shared" si="6"/>
        <v>17.55</v>
      </c>
      <c r="AL27" s="20">
        <f t="shared" si="7"/>
        <v>12.05</v>
      </c>
      <c r="AM27" s="20">
        <f t="shared" si="8"/>
        <v>18.850000000000001</v>
      </c>
      <c r="AN27" s="20">
        <f t="shared" si="9"/>
        <v>31.55</v>
      </c>
      <c r="AO27" s="20">
        <f t="shared" si="10"/>
        <v>13.85</v>
      </c>
      <c r="AP27" s="20">
        <f t="shared" si="11"/>
        <v>17.5</v>
      </c>
      <c r="AQ27" s="20">
        <f t="shared" si="12"/>
        <v>37.200000000000003</v>
      </c>
      <c r="AR27" s="20">
        <f t="shared" si="13"/>
        <v>59.45</v>
      </c>
      <c r="AS27" s="35">
        <f t="shared" si="29"/>
        <v>290.34999999999997</v>
      </c>
      <c r="AU27" s="47">
        <v>313417</v>
      </c>
      <c r="AV27" s="37">
        <f>IF((AU27-AU26&lt;0),"0",AU27-AU26)</f>
        <v>1850</v>
      </c>
      <c r="AW27" s="35">
        <f t="shared" si="30"/>
        <v>3.7</v>
      </c>
    </row>
    <row r="28" spans="1:49" x14ac:dyDescent="0.25">
      <c r="A28" s="23">
        <v>44157</v>
      </c>
      <c r="B28" s="40">
        <v>65</v>
      </c>
      <c r="C28" s="24">
        <v>6485830</v>
      </c>
      <c r="D28" s="24">
        <v>14960220</v>
      </c>
      <c r="E28" s="24">
        <v>2189860</v>
      </c>
      <c r="F28" s="24">
        <v>3131410</v>
      </c>
      <c r="G28" s="24">
        <v>9496140</v>
      </c>
      <c r="H28" s="24">
        <v>4879130</v>
      </c>
      <c r="I28" s="24">
        <v>4615750</v>
      </c>
      <c r="J28" s="24">
        <v>5234800</v>
      </c>
      <c r="K28" s="24">
        <v>8200850</v>
      </c>
      <c r="L28" s="24">
        <v>3340880</v>
      </c>
      <c r="M28" s="24">
        <v>7247000</v>
      </c>
      <c r="N28" s="24">
        <v>10690300</v>
      </c>
      <c r="O28" s="24">
        <v>14510320</v>
      </c>
      <c r="Q28" s="37">
        <f t="shared" si="16"/>
        <v>530</v>
      </c>
      <c r="R28" s="37">
        <f t="shared" si="17"/>
        <v>1800</v>
      </c>
      <c r="S28" s="37">
        <f t="shared" si="15"/>
        <v>3350</v>
      </c>
      <c r="T28" s="37">
        <f t="shared" si="18"/>
        <v>1400</v>
      </c>
      <c r="U28" s="37">
        <f t="shared" si="19"/>
        <v>4380</v>
      </c>
      <c r="V28" s="37">
        <f t="shared" si="20"/>
        <v>3130</v>
      </c>
      <c r="W28" s="37">
        <f t="shared" si="21"/>
        <v>2270</v>
      </c>
      <c r="X28" s="37">
        <f t="shared" si="22"/>
        <v>3090</v>
      </c>
      <c r="Y28" s="37">
        <f t="shared" si="23"/>
        <v>5480</v>
      </c>
      <c r="Z28" s="37">
        <f t="shared" si="24"/>
        <v>2360</v>
      </c>
      <c r="AA28" s="37">
        <f t="shared" si="25"/>
        <v>3080</v>
      </c>
      <c r="AB28" s="37">
        <f t="shared" si="26"/>
        <v>6710</v>
      </c>
      <c r="AC28" s="37">
        <f t="shared" si="27"/>
        <v>11880</v>
      </c>
      <c r="AD28" s="35">
        <f t="shared" si="28"/>
        <v>49460</v>
      </c>
      <c r="AF28" s="20">
        <f t="shared" si="1"/>
        <v>2.65</v>
      </c>
      <c r="AG28" s="20">
        <f t="shared" si="2"/>
        <v>9</v>
      </c>
      <c r="AH28" s="20">
        <f t="shared" si="3"/>
        <v>16.75</v>
      </c>
      <c r="AI28" s="20">
        <f t="shared" si="4"/>
        <v>7</v>
      </c>
      <c r="AJ28" s="20">
        <f t="shared" si="5"/>
        <v>21.900000000000002</v>
      </c>
      <c r="AK28" s="20">
        <f t="shared" si="6"/>
        <v>15.65</v>
      </c>
      <c r="AL28" s="20">
        <f t="shared" si="7"/>
        <v>11.35</v>
      </c>
      <c r="AM28" s="20">
        <f t="shared" si="8"/>
        <v>15.450000000000001</v>
      </c>
      <c r="AN28" s="20">
        <f t="shared" si="9"/>
        <v>27.400000000000002</v>
      </c>
      <c r="AO28" s="20">
        <f t="shared" si="10"/>
        <v>11.8</v>
      </c>
      <c r="AP28" s="20">
        <f t="shared" si="11"/>
        <v>15.4</v>
      </c>
      <c r="AQ28" s="20">
        <f t="shared" si="12"/>
        <v>33.549999999999997</v>
      </c>
      <c r="AR28" s="20">
        <f t="shared" si="13"/>
        <v>59.4</v>
      </c>
      <c r="AS28" s="35">
        <f t="shared" si="29"/>
        <v>247.30000000000004</v>
      </c>
      <c r="AU28" s="47">
        <v>315512</v>
      </c>
      <c r="AV28" s="37">
        <f>IF((AU28-AU27&lt;0),"0",AU28-AU27)</f>
        <v>2095</v>
      </c>
      <c r="AW28" s="35">
        <f t="shared" si="30"/>
        <v>4.1900000000000004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 t="str">
        <f t="shared" si="16"/>
        <v>0</v>
      </c>
      <c r="R29" s="37" t="str">
        <f t="shared" si="17"/>
        <v>0</v>
      </c>
      <c r="S29" s="37" t="str">
        <f t="shared" si="15"/>
        <v>0</v>
      </c>
      <c r="T29" s="37" t="str">
        <f t="shared" si="18"/>
        <v>0</v>
      </c>
      <c r="U29" s="37" t="str">
        <f t="shared" si="19"/>
        <v>0</v>
      </c>
      <c r="V29" s="37" t="str">
        <f t="shared" si="20"/>
        <v>0</v>
      </c>
      <c r="W29" s="37" t="str">
        <f t="shared" si="21"/>
        <v>0</v>
      </c>
      <c r="X29" s="37" t="str">
        <f t="shared" si="22"/>
        <v>0</v>
      </c>
      <c r="Y29" s="37" t="str">
        <f t="shared" si="23"/>
        <v>0</v>
      </c>
      <c r="Z29" s="37" t="str">
        <f t="shared" si="24"/>
        <v>0</v>
      </c>
      <c r="AA29" s="37" t="str">
        <f t="shared" si="25"/>
        <v>0</v>
      </c>
      <c r="AB29" s="37" t="str">
        <f t="shared" si="26"/>
        <v>0</v>
      </c>
      <c r="AC29" s="37" t="str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 t="str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83190</v>
      </c>
      <c r="R38" s="30">
        <f t="shared" si="38"/>
        <v>223310</v>
      </c>
      <c r="S38" s="30">
        <f t="shared" si="38"/>
        <v>23940</v>
      </c>
      <c r="T38" s="30">
        <f t="shared" si="38"/>
        <v>35170</v>
      </c>
      <c r="U38" s="30">
        <f t="shared" si="38"/>
        <v>102660</v>
      </c>
      <c r="V38" s="30">
        <f t="shared" si="38"/>
        <v>73088</v>
      </c>
      <c r="W38" s="30">
        <f t="shared" si="38"/>
        <v>52150</v>
      </c>
      <c r="X38" s="30">
        <f t="shared" si="38"/>
        <v>82050</v>
      </c>
      <c r="Y38" s="30">
        <f t="shared" si="38"/>
        <v>123870</v>
      </c>
      <c r="Z38" s="30">
        <f t="shared" si="38"/>
        <v>56230</v>
      </c>
      <c r="AA38" s="30">
        <f t="shared" si="38"/>
        <v>70980</v>
      </c>
      <c r="AB38" s="30">
        <f t="shared" si="38"/>
        <v>155800</v>
      </c>
      <c r="AC38" s="30">
        <f t="shared" si="38"/>
        <v>247770</v>
      </c>
      <c r="AD38" s="35">
        <f t="shared" si="38"/>
        <v>1330208</v>
      </c>
      <c r="AF38" s="35">
        <f t="shared" ref="AF38:AS38" si="39">SUM(AF7:AF34)</f>
        <v>415.95000000000005</v>
      </c>
      <c r="AG38" s="35">
        <f t="shared" si="39"/>
        <v>1116.5499999999997</v>
      </c>
      <c r="AH38" s="35">
        <f t="shared" si="39"/>
        <v>119.7</v>
      </c>
      <c r="AI38" s="35">
        <f t="shared" si="39"/>
        <v>175.85000000000002</v>
      </c>
      <c r="AJ38" s="35">
        <f t="shared" si="39"/>
        <v>513.29999999999995</v>
      </c>
      <c r="AK38" s="35">
        <f t="shared" si="39"/>
        <v>365.44</v>
      </c>
      <c r="AL38" s="35">
        <f t="shared" si="39"/>
        <v>260.75000000000006</v>
      </c>
      <c r="AM38" s="35">
        <f t="shared" si="39"/>
        <v>410.25</v>
      </c>
      <c r="AN38" s="35">
        <f t="shared" si="39"/>
        <v>619.35</v>
      </c>
      <c r="AO38" s="35">
        <f t="shared" si="39"/>
        <v>281.14999999999998</v>
      </c>
      <c r="AP38" s="35">
        <f t="shared" si="39"/>
        <v>354.9</v>
      </c>
      <c r="AQ38" s="35">
        <f t="shared" si="39"/>
        <v>779</v>
      </c>
      <c r="AR38" s="35">
        <f t="shared" si="39"/>
        <v>1238.8500000000004</v>
      </c>
      <c r="AS38" s="35">
        <f t="shared" si="39"/>
        <v>6651.0399999999991</v>
      </c>
      <c r="AU38" s="48"/>
      <c r="AV38" s="35">
        <f>SUM(AV7:AV34)</f>
        <v>40172</v>
      </c>
      <c r="AW38" s="35">
        <f>SUM(AW7:AW34)</f>
        <v>72.564000000000007</v>
      </c>
    </row>
    <row r="39" spans="1:49" x14ac:dyDescent="0.25">
      <c r="D39">
        <v>5.0000000000000001E-3</v>
      </c>
      <c r="AV39" s="36">
        <f>AV38*0.00378541*1000</f>
        <v>152067.49052000002</v>
      </c>
    </row>
    <row r="40" spans="1:49" x14ac:dyDescent="0.25">
      <c r="D40">
        <v>2E-3</v>
      </c>
      <c r="AV40">
        <f>AV39/31</f>
        <v>4905.4029200000004</v>
      </c>
    </row>
    <row r="41" spans="1:49" x14ac:dyDescent="0.25">
      <c r="AV41">
        <f>AV38*0.00378541</f>
        <v>152.06749052000001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2020-11-23T10:15:40Z</dcterms:modified>
</cp:coreProperties>
</file>