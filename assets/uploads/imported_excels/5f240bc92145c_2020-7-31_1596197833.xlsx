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<sst xmlns="http://schemas.openxmlformats.org/spreadsheetml/2006/main" count="308" uniqueCount="145">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</sst>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3409.9999999995148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15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2870.0000000001983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9.0999999999999943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3080.0000000004975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17.300000000000011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3469.9999999995071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37.699999999999989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3579.9999999998222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42.100000000000023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3340.0000000004675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29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799.99999999991189</v>
      </c>
      <c r="F26" s="32">
        <f>'FS Desroches Daily'!F28</f>
        <v>499.99999999972289</v>
      </c>
      <c r="G26" s="31">
        <f>'FS Desroches Daily'!H28</f>
        <v>1300.0000000000789</v>
      </c>
      <c r="H26" s="32">
        <f>'FS Desroches Daily'!J28</f>
        <v>699.99999999992292</v>
      </c>
      <c r="I26" s="31">
        <f>'FS Desroches Daily'!L28</f>
        <v>1400.0000000000678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4</v>
      </c>
      <c r="M26" s="31">
        <f>'FS Desroches Daily'!T28</f>
        <v>37.799999999930151</v>
      </c>
      <c r="N26" s="31">
        <f>'FS Desroches Daily'!V28</f>
        <v>23.699999999953434</v>
      </c>
      <c r="O26" s="31">
        <f>'FS Desroches Daily'!X28</f>
        <v>69.999999999993179</v>
      </c>
      <c r="P26" s="31">
        <f>'FS Desroches Daily'!Z28</f>
        <v>399.99999999995595</v>
      </c>
      <c r="Q26" s="31">
        <f>'FS Desroches Daily'!AB28</f>
        <v>49.999999999954525</v>
      </c>
      <c r="R26" s="31">
        <f>'FS Desroches Daily'!AD28</f>
        <v>99.999999999965894</v>
      </c>
      <c r="S26" s="31">
        <f>'FS Desroches Daily'!AF28</f>
        <v>150.00000000003411</v>
      </c>
      <c r="T26" s="31">
        <f>'FS Desroches Daily'!AH28</f>
        <v>1.7000000000000455</v>
      </c>
      <c r="U26" s="35">
        <f>'FS Desroches Daily'!AJ28</f>
        <v>219.99999999997044</v>
      </c>
      <c r="V26" s="35">
        <f>'FS Desroches Daily'!AL28</f>
        <v>120.00000000000455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19.99999999998181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19.99999999998181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22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9.9999999999909051</v>
      </c>
      <c r="AK26" s="32">
        <f>'FS Desroches Daily'!BP28</f>
        <v>19.99999999998181</v>
      </c>
      <c r="AL26" s="32">
        <f>'FS Desroches Daily'!BR28</f>
        <v>12</v>
      </c>
      <c r="AM26" s="32">
        <f>'FS Desroches Daily'!BT28</f>
        <v>0</v>
      </c>
      <c r="AN26" s="32">
        <f>'FS Desroches Daily'!BV28</f>
        <v>16</v>
      </c>
      <c r="AO26" s="32">
        <f>'FS Desroches Daily'!BX28</f>
        <v>10.000000000019327</v>
      </c>
      <c r="AP26" s="32">
        <f>'FS Desroches Daily'!BZ28</f>
        <v>11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38.900000000001455</v>
      </c>
      <c r="AU26" s="31">
        <f>'FS Desroches Daily'!CJ28</f>
        <v>201</v>
      </c>
      <c r="AV26" s="31">
        <f>'FS Desroches Daily'!CL28</f>
        <v>290.00000000007731</v>
      </c>
      <c r="AW26" s="31">
        <f>'FS Desroches Daily'!CM28</f>
        <v>15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600.00000000015598</v>
      </c>
      <c r="F27" s="32">
        <f>'FS Desroches Daily'!F29</f>
        <v>500.00000000016701</v>
      </c>
      <c r="G27" s="31">
        <f>'FS Desroches Daily'!H29</f>
        <v>999.99999999988984</v>
      </c>
      <c r="H27" s="32">
        <f>'FS Desroches Daily'!J29</f>
        <v>599.99999999993395</v>
      </c>
      <c r="I27" s="31">
        <f>'FS Desroches Daily'!L29</f>
        <v>1499.9999999998347</v>
      </c>
      <c r="J27" s="32">
        <f>'FS Desroches Daily'!N29</f>
        <v>399.99999999995595</v>
      </c>
      <c r="K27" s="13">
        <f>'FS Desroches Daily'!P29</f>
        <v>2</v>
      </c>
      <c r="L27" s="31">
        <f>'FS Desroches Daily'!R29</f>
        <v>3</v>
      </c>
      <c r="M27" s="31">
        <f>'FS Desroches Daily'!T29</f>
        <v>69</v>
      </c>
      <c r="N27" s="31">
        <f>'FS Desroches Daily'!V29</f>
        <v>34.400000000023283</v>
      </c>
      <c r="O27" s="31">
        <f>'FS Desroches Daily'!X29</f>
        <v>60.000000000002274</v>
      </c>
      <c r="P27" s="31">
        <f>'FS Desroches Daily'!Z29</f>
        <v>199.99999999997797</v>
      </c>
      <c r="Q27" s="31">
        <f>'FS Desroches Daily'!AB29</f>
        <v>50.000000000011369</v>
      </c>
      <c r="R27" s="31">
        <f>'FS Desroches Daily'!AD29</f>
        <v>100.00000000002274</v>
      </c>
      <c r="S27" s="31">
        <f>'FS Desroches Daily'!AF29</f>
        <v>120.00000000000455</v>
      </c>
      <c r="T27" s="31">
        <f>'FS Desroches Daily'!AH29</f>
        <v>1.5999999999999091</v>
      </c>
      <c r="U27" s="35">
        <f>'FS Desroches Daily'!AJ29</f>
        <v>189.99999999999773</v>
      </c>
      <c r="V27" s="35">
        <f>'FS Desroches Daily'!AL29</f>
        <v>69.999999999993179</v>
      </c>
      <c r="W27" s="35">
        <f>'FS Desroches Daily'!AN29</f>
        <v>50.000000000011369</v>
      </c>
      <c r="X27" s="35">
        <f>'FS Desroches Daily'!AP29</f>
        <v>50.000000000011369</v>
      </c>
      <c r="Y27" s="35">
        <f>'FS Desroches Daily'!AR29</f>
        <v>10.000000000019327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9.9999999999909051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23</v>
      </c>
      <c r="AG27" s="32">
        <f>'FS Desroches Daily'!BH29</f>
        <v>9.9999999999909051</v>
      </c>
      <c r="AH27" s="32">
        <f>'FS Desroches Daily'!BJ29</f>
        <v>10.000000000047748</v>
      </c>
      <c r="AI27" s="32">
        <f>'FS Desroches Daily'!BL29</f>
        <v>0</v>
      </c>
      <c r="AJ27" s="32">
        <f>'FS Desroches Daily'!BN29</f>
        <v>10.000000000019327</v>
      </c>
      <c r="AK27" s="32">
        <f>'FS Desroches Daily'!BP29</f>
        <v>9.9999999999909051</v>
      </c>
      <c r="AL27" s="32">
        <f>'FS Desroches Daily'!BR29</f>
        <v>11</v>
      </c>
      <c r="AM27" s="32">
        <f>'FS Desroches Daily'!BT29</f>
        <v>0</v>
      </c>
      <c r="AN27" s="32">
        <f>'FS Desroches Daily'!BV29</f>
        <v>17</v>
      </c>
      <c r="AO27" s="32">
        <f>'FS Desroches Daily'!BX29</f>
        <v>9.9999999999909051</v>
      </c>
      <c r="AP27" s="32">
        <f>'FS Desroches Daily'!BZ29</f>
        <v>10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35</v>
      </c>
      <c r="AU27" s="31">
        <f>'FS Desroches Daily'!CJ29</f>
        <v>176</v>
      </c>
      <c r="AV27" s="31">
        <f>'FS Desroches Daily'!CL29</f>
        <v>229.9999999999045</v>
      </c>
      <c r="AW27" s="31">
        <f>'FS Desroches Daily'!CM29</f>
        <v>9.0999999999999943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699.99999999992292</v>
      </c>
      <c r="F28" s="32">
        <f>'FS Desroches Daily'!F30</f>
        <v>399.99999999995595</v>
      </c>
      <c r="G28" s="31">
        <f>'FS Desroches Daily'!H30</f>
        <v>1200.000000000312</v>
      </c>
      <c r="H28" s="32">
        <f>'FS Desroches Daily'!J30</f>
        <v>600.00000000015598</v>
      </c>
      <c r="I28" s="31">
        <f>'FS Desroches Daily'!L30</f>
        <v>1500.000000000279</v>
      </c>
      <c r="J28" s="32">
        <f>'FS Desroches Daily'!N30</f>
        <v>400.00000000017798</v>
      </c>
      <c r="K28" s="13">
        <f>'FS Desroches Daily'!P30</f>
        <v>0</v>
      </c>
      <c r="L28" s="31">
        <f>'FS Desroches Daily'!R30</f>
        <v>1</v>
      </c>
      <c r="M28" s="31">
        <f>'FS Desroches Daily'!T30</f>
        <v>126</v>
      </c>
      <c r="N28" s="31">
        <f>'FS Desroches Daily'!V30</f>
        <v>52.099999999976717</v>
      </c>
      <c r="O28" s="31">
        <f>'FS Desroches Daily'!X30</f>
        <v>80.000000000040927</v>
      </c>
      <c r="P28" s="31">
        <f>'FS Desroches Daily'!Z30</f>
        <v>299.99999999974489</v>
      </c>
      <c r="Q28" s="31">
        <f>'FS Desroches Daily'!AB30</f>
        <v>40.000000000020464</v>
      </c>
      <c r="R28" s="31">
        <f>'FS Desroches Daily'!AD30</f>
        <v>79.999999999984084</v>
      </c>
      <c r="S28" s="31">
        <f>'FS Desroches Daily'!AF30</f>
        <v>139.99999999998636</v>
      </c>
      <c r="T28" s="31">
        <f>'FS Desroches Daily'!AH30</f>
        <v>1.2999999999999545</v>
      </c>
      <c r="U28" s="35">
        <f>'FS Desroches Daily'!AJ30</f>
        <v>189.99999999999773</v>
      </c>
      <c r="V28" s="35">
        <f>'FS Desroches Daily'!AL30</f>
        <v>50.000000000011369</v>
      </c>
      <c r="W28" s="35">
        <f>'FS Desroches Daily'!AN30</f>
        <v>69.999999999993179</v>
      </c>
      <c r="X28" s="35">
        <f>'FS Desroches Daily'!AP30</f>
        <v>30.000000000001137</v>
      </c>
      <c r="Y28" s="35">
        <f>'FS Desroches Daily'!AR30</f>
        <v>30.000000000001137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20.000000000038654</v>
      </c>
      <c r="AC28" s="35">
        <f>'FS Desroches Daily'!AZ30</f>
        <v>19.99999999998181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14</v>
      </c>
      <c r="AG28" s="32">
        <f>'FS Desroches Daily'!BH30</f>
        <v>10.000000000019327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9.9999999999909051</v>
      </c>
      <c r="AK28" s="32">
        <f>'FS Desroches Daily'!BP30</f>
        <v>9.9999999999909051</v>
      </c>
      <c r="AL28" s="32">
        <f>'FS Desroches Daily'!BR30</f>
        <v>10</v>
      </c>
      <c r="AM28" s="32">
        <f>'FS Desroches Daily'!BT30</f>
        <v>0</v>
      </c>
      <c r="AN28" s="32">
        <f>'FS Desroches Daily'!BV30</f>
        <v>14</v>
      </c>
      <c r="AO28" s="32">
        <f>'FS Desroches Daily'!BX30</f>
        <v>9.9999999999909051</v>
      </c>
      <c r="AP28" s="32">
        <f>'FS Desroches Daily'!BZ30</f>
        <v>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39.30000000000291</v>
      </c>
      <c r="AU28" s="31">
        <f>'FS Desroches Daily'!CJ30</f>
        <v>177</v>
      </c>
      <c r="AV28" s="31">
        <f>'FS Desroches Daily'!CL30</f>
        <v>220.00000000002728</v>
      </c>
      <c r="AW28" s="31">
        <f>'FS Desroches Daily'!CM30</f>
        <v>17.300000000000011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699.99999999992292</v>
      </c>
      <c r="F29" s="32">
        <f>'FS Desroches Daily'!F31</f>
        <v>599.99999999993395</v>
      </c>
      <c r="G29" s="31">
        <f>'FS Desroches Daily'!H31</f>
        <v>1399.9999999998458</v>
      </c>
      <c r="H29" s="32">
        <f>'FS Desroches Daily'!J31</f>
        <v>599.99999999993395</v>
      </c>
      <c r="I29" s="31">
        <f>'FS Desroches Daily'!L31</f>
        <v>1499.9999999996128</v>
      </c>
      <c r="J29" s="32">
        <f>'FS Desroches Daily'!N31</f>
        <v>599.99999999993395</v>
      </c>
      <c r="K29" s="13">
        <f>'FS Desroches Daily'!P31</f>
        <v>1</v>
      </c>
      <c r="L29" s="31">
        <f>'FS Desroches Daily'!R31</f>
        <v>5</v>
      </c>
      <c r="M29" s="31">
        <f>'FS Desroches Daily'!T31</f>
        <v>246.40000000002328</v>
      </c>
      <c r="N29" s="31">
        <f>'FS Desroches Daily'!V31</f>
        <v>135.30000000004657</v>
      </c>
      <c r="O29" s="31">
        <f>'FS Desroches Daily'!X31</f>
        <v>89.999999999974989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149.99999999997726</v>
      </c>
      <c r="S29" s="31">
        <f>'FS Desroches Daily'!AF31</f>
        <v>300.00000000001137</v>
      </c>
      <c r="T29" s="31">
        <f>'FS Desroches Daily'!AH31</f>
        <v>1.6000000000001364</v>
      </c>
      <c r="U29" s="35">
        <f>'FS Desroches Daily'!AJ31</f>
        <v>250</v>
      </c>
      <c r="V29" s="35">
        <f>'FS Desroches Daily'!AL31</f>
        <v>90.000000000003411</v>
      </c>
      <c r="W29" s="35">
        <f>'FS Desroches Daily'!AN31</f>
        <v>79.999999999984084</v>
      </c>
      <c r="X29" s="35">
        <f>'FS Desroches Daily'!AP31</f>
        <v>39.999999999992042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10.000000000047748</v>
      </c>
      <c r="AE29" s="35">
        <f>'FS Desroches Daily'!BD31</f>
        <v>9.9999999999909051</v>
      </c>
      <c r="AF29" s="31">
        <f>'FS Desroches Daily'!BF31</f>
        <v>21</v>
      </c>
      <c r="AG29" s="32">
        <f>'FS Desroches Daily'!BH31</f>
        <v>0</v>
      </c>
      <c r="AH29" s="32">
        <f>'FS Desroches Daily'!BJ31</f>
        <v>9.9999999999909051</v>
      </c>
      <c r="AI29" s="32">
        <f>'FS Desroches Daily'!BL31</f>
        <v>0</v>
      </c>
      <c r="AJ29" s="32">
        <f>'FS Desroches Daily'!BN31</f>
        <v>20.000000000010232</v>
      </c>
      <c r="AK29" s="32">
        <f>'FS Desroches Daily'!BP31</f>
        <v>9.9999999999909051</v>
      </c>
      <c r="AL29" s="32">
        <f>'FS Desroches Daily'!BR31</f>
        <v>14</v>
      </c>
      <c r="AM29" s="32">
        <f>'FS Desroches Daily'!BT31</f>
        <v>9.9999999999909051</v>
      </c>
      <c r="AN29" s="32">
        <f>'FS Desroches Daily'!BV31</f>
        <v>19</v>
      </c>
      <c r="AO29" s="32">
        <f>'FS Desroches Daily'!BX31</f>
        <v>20.000000000010232</v>
      </c>
      <c r="AP29" s="32">
        <f>'FS Desroches Daily'!BZ31</f>
        <v>6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25.19999999999709</v>
      </c>
      <c r="AU29" s="31">
        <f>'FS Desroches Daily'!CJ31</f>
        <v>183</v>
      </c>
      <c r="AV29" s="31">
        <f>'FS Desroches Daily'!CL31</f>
        <v>430.00000000006366</v>
      </c>
      <c r="AW29" s="31">
        <f>'FS Desroches Daily'!CM31</f>
        <v>37.699999999999989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900.0000000001229</v>
      </c>
      <c r="F30" s="32">
        <f>'FS Desroches Daily'!F32</f>
        <v>399.99999999995595</v>
      </c>
      <c r="G30" s="31">
        <f>'FS Desroches Daily'!H32</f>
        <v>1399.9999999998458</v>
      </c>
      <c r="H30" s="32">
        <f>'FS Desroches Daily'!J32</f>
        <v>799.99999999991189</v>
      </c>
      <c r="I30" s="31">
        <f>'FS Desroches Daily'!L32</f>
        <v>1600.0000000002678</v>
      </c>
      <c r="J30" s="32">
        <f>'FS Desroches Daily'!N32</f>
        <v>499.99999999994492</v>
      </c>
      <c r="K30" s="13">
        <f>'FS Desroches Daily'!P32</f>
        <v>0</v>
      </c>
      <c r="L30" s="31">
        <f>'FS Desroches Daily'!R32</f>
        <v>2</v>
      </c>
      <c r="M30" s="31">
        <f>'FS Desroches Daily'!T32</f>
        <v>73.800000000046566</v>
      </c>
      <c r="N30" s="31">
        <f>'FS Desroches Daily'!V32</f>
        <v>43.099999999976717</v>
      </c>
      <c r="O30" s="31">
        <f>'FS Desroches Daily'!X32</f>
        <v>79.999999999984084</v>
      </c>
      <c r="P30" s="31">
        <f>'FS Desroches Daily'!Z32</f>
        <v>299.99999999974489</v>
      </c>
      <c r="Q30" s="31">
        <f>'FS Desroches Daily'!AB32</f>
        <v>60.000000000002274</v>
      </c>
      <c r="R30" s="31">
        <f>'FS Desroches Daily'!AD32</f>
        <v>140.0000000000432</v>
      </c>
      <c r="S30" s="31">
        <f>'FS Desroches Daily'!AF32</f>
        <v>189.99999999999773</v>
      </c>
      <c r="T30" s="31">
        <f>'FS Desroches Daily'!AH32</f>
        <v>1.5</v>
      </c>
      <c r="U30" s="35">
        <f>'FS Desroches Daily'!AJ32</f>
        <v>259.99999999999091</v>
      </c>
      <c r="V30" s="35">
        <f>'FS Desroches Daily'!AL32</f>
        <v>99.999999999994316</v>
      </c>
      <c r="W30" s="35">
        <f>'FS Desroches Daily'!AN32</f>
        <v>90.000000000003411</v>
      </c>
      <c r="X30" s="35">
        <f>'FS Desroches Daily'!AP32</f>
        <v>30.000000000001137</v>
      </c>
      <c r="Y30" s="35">
        <f>'FS Desroches Daily'!AR32</f>
        <v>19.99999999998181</v>
      </c>
      <c r="Z30" s="35">
        <f>'FS Desroches Daily'!AT32</f>
        <v>19.99999999998181</v>
      </c>
      <c r="AA30" s="35">
        <f>'FS Desroches Daily'!AT32</f>
        <v>19.99999999998181</v>
      </c>
      <c r="AB30" s="35">
        <f>'FS Desroches Daily'!AV32</f>
        <v>9.9999999999909051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20.000000000010232</v>
      </c>
      <c r="AF30" s="31">
        <f>'FS Desroches Daily'!BF32</f>
        <v>29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0</v>
      </c>
      <c r="AJ30" s="32">
        <f>'FS Desroches Daily'!BN32</f>
        <v>19.99999999998181</v>
      </c>
      <c r="AK30" s="32">
        <f>'FS Desroches Daily'!BP32</f>
        <v>20.000000000038654</v>
      </c>
      <c r="AL30" s="32">
        <f>'FS Desroches Daily'!BR32</f>
        <v>15</v>
      </c>
      <c r="AM30" s="32">
        <f>'FS Desroches Daily'!BT32</f>
        <v>0</v>
      </c>
      <c r="AN30" s="32">
        <f>'FS Desroches Daily'!BV32</f>
        <v>20</v>
      </c>
      <c r="AO30" s="32">
        <f>'FS Desroches Daily'!BX32</f>
        <v>9.9999999999909051</v>
      </c>
      <c r="AP30" s="32">
        <f>'FS Desroches Daily'!BZ32</f>
        <v>8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30.69999999999709</v>
      </c>
      <c r="AU30" s="31">
        <f>'FS Desroches Daily'!CJ32</f>
        <v>184</v>
      </c>
      <c r="AV30" s="31">
        <f>'FS Desroches Daily'!CL32</f>
        <v>419.99999999995907</v>
      </c>
      <c r="AW30" s="31">
        <f>'FS Desroches Daily'!CM32</f>
        <v>42.100000000000023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699.99999999992292</v>
      </c>
      <c r="F31" s="32">
        <f>'FS Desroches Daily'!F33</f>
        <v>500.00000000016701</v>
      </c>
      <c r="G31" s="31">
        <f>'FS Desroches Daily'!H33</f>
        <v>1400.0000000002899</v>
      </c>
      <c r="H31" s="32">
        <f>'FS Desroches Daily'!J33</f>
        <v>700.00000000014495</v>
      </c>
      <c r="I31" s="31">
        <f>'FS Desroches Daily'!L33</f>
        <v>1500.0000000000568</v>
      </c>
      <c r="J31" s="32">
        <f>'FS Desroches Daily'!N33</f>
        <v>399.99999999995595</v>
      </c>
      <c r="K31" s="13">
        <f>'FS Desroches Daily'!P33</f>
        <v>2</v>
      </c>
      <c r="L31" s="31">
        <f>'FS Desroches Daily'!R33</f>
        <v>2</v>
      </c>
      <c r="M31" s="31">
        <f>'FS Desroches Daily'!T33</f>
        <v>108.59999999997672</v>
      </c>
      <c r="N31" s="31">
        <f>'FS Desroches Daily'!V33</f>
        <v>61.599999999976717</v>
      </c>
      <c r="O31" s="31">
        <f>'FS Desroches Daily'!X33</f>
        <v>90.000000000031832</v>
      </c>
      <c r="P31" s="31">
        <f>'FS Desroches Daily'!Z33</f>
        <v>300.000000000189</v>
      </c>
      <c r="Q31" s="31">
        <f>'FS Desroches Daily'!AB33</f>
        <v>60.000000000002274</v>
      </c>
      <c r="R31" s="31">
        <f>'FS Desroches Daily'!AD33</f>
        <v>99.999999999965894</v>
      </c>
      <c r="S31" s="31">
        <f>'FS Desroches Daily'!AF33</f>
        <v>139.99999999998636</v>
      </c>
      <c r="T31" s="31">
        <f>'FS Desroches Daily'!AH33</f>
        <v>1.3999999999998636</v>
      </c>
      <c r="U31" s="35">
        <f>'FS Desroches Daily'!AJ33</f>
        <v>220.00000000002728</v>
      </c>
      <c r="V31" s="35">
        <f>'FS Desroches Daily'!AL33</f>
        <v>80.000000000012506</v>
      </c>
      <c r="W31" s="35">
        <f>'FS Desroches Daily'!AN33</f>
        <v>80.000000000012506</v>
      </c>
      <c r="X31" s="35">
        <f>'FS Desroches Daily'!AP33</f>
        <v>30.000000000001137</v>
      </c>
      <c r="Y31" s="35">
        <f>'FS Desroches Daily'!AR33</f>
        <v>30.000000000001137</v>
      </c>
      <c r="Z31" s="35">
        <f>'FS Desroches Daily'!AT33</f>
        <v>19.99999999998181</v>
      </c>
      <c r="AA31" s="35">
        <f>'FS Desroches Daily'!AT33</f>
        <v>19.99999999998181</v>
      </c>
      <c r="AB31" s="35">
        <f>'FS Desroches Daily'!AV33</f>
        <v>19.99999999998181</v>
      </c>
      <c r="AC31" s="35">
        <f>'FS Desroches Daily'!AZ33</f>
        <v>9.9999999999909051</v>
      </c>
      <c r="AD31" s="35">
        <f>'FS Desroches Daily'!BB33</f>
        <v>19.99999999998181</v>
      </c>
      <c r="AE31" s="35">
        <f>'FS Desroches Daily'!BD33</f>
        <v>20.000000000010232</v>
      </c>
      <c r="AF31" s="31">
        <f>'FS Desroches Daily'!BF33</f>
        <v>19</v>
      </c>
      <c r="AG31" s="32">
        <f>'FS Desroches Daily'!BH33</f>
        <v>20.000000000010232</v>
      </c>
      <c r="AH31" s="32">
        <f>'FS Desroches Daily'!BJ33</f>
        <v>9.9999999999909051</v>
      </c>
      <c r="AI31" s="32">
        <f>'FS Desroches Daily'!BL33</f>
        <v>9.9999999999909051</v>
      </c>
      <c r="AJ31" s="32">
        <f>'FS Desroches Daily'!BN33</f>
        <v>20.000000000010232</v>
      </c>
      <c r="AK31" s="32">
        <f>'FS Desroches Daily'!BP33</f>
        <v>19.99999999998181</v>
      </c>
      <c r="AL31" s="32">
        <f>'FS Desroches Daily'!BR33</f>
        <v>15</v>
      </c>
      <c r="AM31" s="32">
        <f>'FS Desroches Daily'!BT33</f>
        <v>9.9999999999909051</v>
      </c>
      <c r="AN31" s="32">
        <f>'FS Desroches Daily'!BV33</f>
        <v>21</v>
      </c>
      <c r="AO31" s="32">
        <f>'FS Desroches Daily'!BX33</f>
        <v>20.000000000010232</v>
      </c>
      <c r="AP31" s="32">
        <f>'FS Desroches Daily'!BZ33</f>
        <v>8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38.30000000000291</v>
      </c>
      <c r="AU31" s="31">
        <f>'FS Desroches Daily'!CJ33</f>
        <v>191</v>
      </c>
      <c r="AV31" s="31">
        <f>'FS Desroches Daily'!CL33</f>
        <v>360.00000000001364</v>
      </c>
      <c r="AW31" s="31">
        <f>'FS Desroches Daily'!CM33</f>
        <v>29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23600.00000000008</v>
      </c>
      <c r="F33" s="17">
        <f t="shared" ref="F33:BC33" si="1">SUM(F2:F32)</f>
        <v>15600.000000000065</v>
      </c>
      <c r="G33" s="17">
        <f t="shared" si="1"/>
        <v>42899.999999999956</v>
      </c>
      <c r="H33" s="17">
        <f t="shared" si="1"/>
        <v>21500.000000000084</v>
      </c>
      <c r="I33" s="17">
        <f t="shared" si="1"/>
        <v>48900.000000000175</v>
      </c>
      <c r="J33" s="17">
        <f t="shared" si="1"/>
        <v>12499.999999999962</v>
      </c>
      <c r="K33" s="17">
        <f t="shared" si="1"/>
        <v>21</v>
      </c>
      <c r="L33" s="17">
        <f t="shared" si="1"/>
        <v>83</v>
      </c>
      <c r="M33" s="17">
        <f t="shared" si="1"/>
        <v>4978.4000000000233</v>
      </c>
      <c r="N33" s="17">
        <f t="shared" si="1"/>
        <v>2203.3999999999651</v>
      </c>
      <c r="O33" s="17">
        <f t="shared" si="1"/>
        <v>2290.0000000000205</v>
      </c>
      <c r="P33" s="17">
        <f t="shared" si="1"/>
        <v>10199.999999999769</v>
      </c>
      <c r="Q33" s="17">
        <f t="shared" si="1"/>
        <v>1590.0000000000318</v>
      </c>
      <c r="R33" s="17">
        <f t="shared" si="1"/>
        <v>3000</v>
      </c>
      <c r="S33" s="17">
        <f t="shared" si="1"/>
        <v>4740.00000000001</v>
      </c>
      <c r="T33" s="17">
        <f t="shared" si="1"/>
        <v>38.199999999999818</v>
      </c>
      <c r="U33" s="35">
        <f t="shared" si="1"/>
        <v>10139.999999999991</v>
      </c>
      <c r="V33" s="35">
        <f t="shared" si="1"/>
        <v>1720.0000000000273</v>
      </c>
      <c r="W33" s="35">
        <f t="shared" si="1"/>
        <v>1490.0000000000091</v>
      </c>
      <c r="X33" s="35">
        <f t="shared" si="1"/>
        <v>990.00000000000909</v>
      </c>
      <c r="Y33" s="35">
        <f t="shared" si="1"/>
        <v>639.99999999998636</v>
      </c>
      <c r="Z33" s="35">
        <f t="shared" si="1"/>
        <v>826.32000000000221</v>
      </c>
      <c r="AA33" s="35">
        <f t="shared" si="1"/>
        <v>826.32000000000221</v>
      </c>
      <c r="AB33" s="35">
        <f t="shared" si="1"/>
        <v>529.99999999997272</v>
      </c>
      <c r="AC33" s="35">
        <f t="shared" si="1"/>
        <v>540.00000000002046</v>
      </c>
      <c r="AD33" s="35">
        <f t="shared" si="1"/>
        <v>439.99999999999773</v>
      </c>
      <c r="AE33" s="35">
        <f t="shared" si="1"/>
        <v>520.00000000001023</v>
      </c>
      <c r="AF33" s="17">
        <f t="shared" si="1"/>
        <v>607</v>
      </c>
      <c r="AG33" s="32">
        <f t="shared" si="1"/>
        <v>340.00000000000341</v>
      </c>
      <c r="AH33" s="32">
        <f t="shared" si="1"/>
        <v>469.99999999997044</v>
      </c>
      <c r="AI33" s="32">
        <f t="shared" si="1"/>
        <v>159.99999999999659</v>
      </c>
      <c r="AJ33" s="32">
        <f t="shared" si="1"/>
        <v>539.99999999999204</v>
      </c>
      <c r="AK33" s="32">
        <f t="shared" si="1"/>
        <v>610.00000000001364</v>
      </c>
      <c r="AL33" s="32">
        <f t="shared" si="1"/>
        <v>361</v>
      </c>
      <c r="AM33" s="32">
        <f t="shared" si="1"/>
        <v>139.99999999998636</v>
      </c>
      <c r="AN33" s="32">
        <f t="shared" si="1"/>
        <v>493</v>
      </c>
      <c r="AO33" s="32">
        <f t="shared" si="1"/>
        <v>430.00000000000682</v>
      </c>
      <c r="AP33" s="32">
        <f t="shared" si="1"/>
        <v>282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1197</v>
      </c>
      <c r="AU33" s="17">
        <f t="shared" si="1"/>
        <v>5716</v>
      </c>
      <c r="AV33" s="17">
        <f t="shared" si="1"/>
        <v>10490.000000000011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152.01449999999997</v>
      </c>
      <c r="BC33" s="17">
        <f t="shared" si="1"/>
        <v>0</v>
      </c>
    </row>
    <row r="35" spans="5:55" x14ac:dyDescent="0.25">
      <c r="E35" s="38">
        <f>E33/E37</f>
        <v>0.22007124340252568</v>
      </c>
      <c r="G35" s="29">
        <f>G33-M36</f>
        <v>35718.199999999968</v>
      </c>
      <c r="AE35" s="35">
        <f>SUM(U33:AE33)</f>
        <v>18662.640000000029</v>
      </c>
      <c r="AG35" s="32">
        <f>SUM(AG33:AP33)</f>
        <v>3825.9999999999695</v>
      </c>
    </row>
    <row r="36" spans="5:55" x14ac:dyDescent="0.25">
      <c r="G36" s="29">
        <f>G35-633*14</f>
        <v>26856.199999999968</v>
      </c>
      <c r="M36" s="29">
        <f>M33+N33</f>
        <v>7181.7999999999884</v>
      </c>
    </row>
    <row r="37" spans="5:55" x14ac:dyDescent="0.25">
      <c r="E37" s="17">
        <f>E33+F33+G33+H33+J33-633*14</f>
        <v>107238.00000000015</v>
      </c>
      <c r="G37" s="37">
        <f>M36/E37</f>
        <v>6.6970663384247925E-2</v>
      </c>
      <c r="M37" s="35">
        <f>AE35</f>
        <v>18662.640000000029</v>
      </c>
    </row>
    <row r="38" spans="5:55" x14ac:dyDescent="0.25">
      <c r="L38" s="27">
        <f>M38/E37</f>
        <v>3.5677651578731089E-2</v>
      </c>
      <c r="M38" s="29">
        <f>AG35</f>
        <v>3825.9999999999695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H1" zoomScale="80" zoomScaleNormal="80" workbookViewId="0">
      <pane ySplit="1" topLeftCell="A19" activePane="bottomLeft" state="frozen"/>
      <selection pane="bottomLeft" activeCell="CH38" sqref="CH3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>
        <v>1.7497</v>
      </c>
      <c r="D27" s="64">
        <f t="shared" si="0"/>
        <v>699.99999999992292</v>
      </c>
      <c r="E27" s="58">
        <v>2.7404000000000002</v>
      </c>
      <c r="F27" s="64">
        <f t="shared" si="1"/>
        <v>399.99999999995595</v>
      </c>
      <c r="G27" s="58">
        <v>2.6339999999999999</v>
      </c>
      <c r="H27" s="64">
        <f t="shared" si="2"/>
        <v>1399.9999999998458</v>
      </c>
      <c r="I27" s="58">
        <v>1.2757000000000001</v>
      </c>
      <c r="J27" s="64">
        <f t="shared" si="3"/>
        <v>600.00000000015598</v>
      </c>
      <c r="K27" s="58">
        <v>1.9959</v>
      </c>
      <c r="L27" s="64">
        <f t="shared" si="4"/>
        <v>1800.0000000000239</v>
      </c>
      <c r="M27" s="58">
        <v>1.2238</v>
      </c>
      <c r="N27" s="64">
        <f t="shared" si="5"/>
        <v>299.99999999996697</v>
      </c>
      <c r="O27" s="58">
        <v>12612</v>
      </c>
      <c r="P27" s="67">
        <f t="shared" si="44"/>
        <v>0</v>
      </c>
      <c r="Q27" s="58">
        <v>5603</v>
      </c>
      <c r="R27" s="67">
        <f t="shared" si="6"/>
        <v>2</v>
      </c>
      <c r="S27" s="58">
        <v>840535.8</v>
      </c>
      <c r="T27" s="67">
        <f t="shared" si="7"/>
        <v>178.40000000002328</v>
      </c>
      <c r="U27" s="58">
        <v>342687.4</v>
      </c>
      <c r="V27" s="67">
        <f t="shared" si="8"/>
        <v>78.900000000023283</v>
      </c>
      <c r="W27" s="58">
        <v>336.33</v>
      </c>
      <c r="X27" s="65">
        <f t="shared" si="9"/>
        <v>60.000000000002274</v>
      </c>
      <c r="Y27" s="58">
        <v>2.4117000000000002</v>
      </c>
      <c r="Z27" s="65">
        <f t="shared" si="10"/>
        <v>199.99999999997797</v>
      </c>
      <c r="AA27" s="58">
        <v>330.04</v>
      </c>
      <c r="AB27" s="65">
        <f t="shared" si="11"/>
        <v>40.000000000020464</v>
      </c>
      <c r="AC27" s="58">
        <v>313.85000000000002</v>
      </c>
      <c r="AD27" s="65">
        <f t="shared" si="12"/>
        <v>80.000000000040927</v>
      </c>
      <c r="AE27" s="58">
        <v>491.21</v>
      </c>
      <c r="AF27" s="65">
        <f t="shared" si="13"/>
        <v>139.99999999998636</v>
      </c>
      <c r="AG27" s="58">
        <v>1298.5</v>
      </c>
      <c r="AH27" s="67">
        <f t="shared" si="14"/>
        <v>1.5</v>
      </c>
      <c r="AI27" s="58">
        <v>433.85</v>
      </c>
      <c r="AJ27" s="65">
        <f t="shared" si="15"/>
        <v>210.00000000003638</v>
      </c>
      <c r="AK27" s="58">
        <v>152.6</v>
      </c>
      <c r="AL27" s="65">
        <f t="shared" si="15"/>
        <v>79.999999999984084</v>
      </c>
      <c r="AM27" s="58">
        <v>151.97999999999999</v>
      </c>
      <c r="AN27" s="65">
        <f t="shared" si="15"/>
        <v>79.999999999984084</v>
      </c>
      <c r="AO27" s="58">
        <v>148.13999999999999</v>
      </c>
      <c r="AP27" s="65">
        <f t="shared" si="15"/>
        <v>49.999999999982947</v>
      </c>
      <c r="AQ27" s="58">
        <v>219.02</v>
      </c>
      <c r="AR27" s="65">
        <f t="shared" si="16"/>
        <v>20.000000000010232</v>
      </c>
      <c r="AS27" s="58">
        <v>345.33</v>
      </c>
      <c r="AT27" s="65">
        <f t="shared" si="17"/>
        <v>19.99999999998181</v>
      </c>
      <c r="AU27" s="58">
        <v>266.43</v>
      </c>
      <c r="AV27" s="65">
        <f t="shared" si="18"/>
        <v>9.9999999999909051</v>
      </c>
      <c r="AW27" s="58">
        <v>293.97000000000003</v>
      </c>
      <c r="AX27" s="65">
        <f t="shared" si="19"/>
        <v>20.000000000038654</v>
      </c>
      <c r="AY27" s="58">
        <v>345.25</v>
      </c>
      <c r="AZ27" s="65">
        <f t="shared" si="20"/>
        <v>9.9999999999909051</v>
      </c>
      <c r="BA27" s="58">
        <v>364.98</v>
      </c>
      <c r="BB27" s="65">
        <f t="shared" si="21"/>
        <v>9.9999999999909051</v>
      </c>
      <c r="BC27" s="58">
        <v>231.7</v>
      </c>
      <c r="BD27" s="65">
        <f t="shared" si="22"/>
        <v>19.99999999998181</v>
      </c>
      <c r="BE27" s="59">
        <v>30080</v>
      </c>
      <c r="BF27" s="67">
        <f t="shared" si="39"/>
        <v>32</v>
      </c>
      <c r="BG27" s="60">
        <v>225.4</v>
      </c>
      <c r="BH27" s="65">
        <f t="shared" si="23"/>
        <v>0</v>
      </c>
      <c r="BI27" s="60">
        <v>283.32</v>
      </c>
      <c r="BJ27" s="65">
        <f t="shared" si="40"/>
        <v>9.9999999999909051</v>
      </c>
      <c r="BK27" s="60">
        <v>230.78</v>
      </c>
      <c r="BL27" s="65">
        <f t="shared" si="24"/>
        <v>9.9999999999909051</v>
      </c>
      <c r="BM27" s="60">
        <v>214.38</v>
      </c>
      <c r="BN27" s="65">
        <f t="shared" si="25"/>
        <v>9.9999999999909051</v>
      </c>
      <c r="BO27" s="60">
        <v>279.29000000000002</v>
      </c>
      <c r="BP27" s="65">
        <f t="shared" si="26"/>
        <v>20.000000000038654</v>
      </c>
      <c r="BQ27" s="60">
        <v>39285</v>
      </c>
      <c r="BR27" s="65">
        <f t="shared" si="27"/>
        <v>9</v>
      </c>
      <c r="BS27" s="60">
        <v>193.55</v>
      </c>
      <c r="BT27" s="65">
        <f t="shared" si="43"/>
        <v>0</v>
      </c>
      <c r="BU27" s="60">
        <v>30592</v>
      </c>
      <c r="BV27" s="65">
        <f t="shared" si="29"/>
        <v>20</v>
      </c>
      <c r="BW27" s="60">
        <v>224.45</v>
      </c>
      <c r="BX27" s="65">
        <f t="shared" si="30"/>
        <v>9.9999999999909051</v>
      </c>
      <c r="BY27" s="60">
        <v>49367</v>
      </c>
      <c r="BZ27" s="67">
        <f t="shared" si="31"/>
        <v>8</v>
      </c>
      <c r="CA27" s="60">
        <v>27508.400000000001</v>
      </c>
      <c r="CB27" s="67">
        <f t="shared" si="32"/>
        <v>0</v>
      </c>
      <c r="CC27" s="60">
        <v>11251.4</v>
      </c>
      <c r="CD27" s="67">
        <f t="shared" si="33"/>
        <v>0</v>
      </c>
      <c r="CE27" s="60">
        <v>5488.9</v>
      </c>
      <c r="CF27" s="67">
        <f t="shared" si="34"/>
        <v>0</v>
      </c>
      <c r="CG27" s="60">
        <v>47989.599999999999</v>
      </c>
      <c r="CH27" s="67">
        <f t="shared" si="35"/>
        <v>42.599999999998545</v>
      </c>
      <c r="CI27" s="60">
        <v>866960</v>
      </c>
      <c r="CJ27" s="67">
        <f t="shared" si="36"/>
        <v>182</v>
      </c>
      <c r="CK27" s="60">
        <v>587.4</v>
      </c>
      <c r="CL27" s="64">
        <f t="shared" si="37"/>
        <v>279.99999999997272</v>
      </c>
      <c r="CM27" s="65">
        <f t="shared" si="41"/>
        <v>14.599999999999994</v>
      </c>
      <c r="CN27" s="62">
        <v>0</v>
      </c>
      <c r="CO27" s="62">
        <v>0</v>
      </c>
      <c r="CP27" s="68">
        <v>204.4</v>
      </c>
      <c r="CQ27" s="67">
        <f t="shared" si="38"/>
        <v>10.599999999999994</v>
      </c>
      <c r="CR27" s="68">
        <v>9808</v>
      </c>
      <c r="CS27" s="67">
        <f t="shared" si="38"/>
        <v>4</v>
      </c>
      <c r="CT27" s="75">
        <v>2278</v>
      </c>
      <c r="CU27" s="67">
        <f t="shared" si="38"/>
        <v>10</v>
      </c>
      <c r="CV27" s="68">
        <v>5718</v>
      </c>
      <c r="CW27" s="67">
        <f t="shared" si="38"/>
        <v>26</v>
      </c>
    </row>
    <row r="28" spans="1:101" ht="25.5" customHeight="1" thickBot="1" x14ac:dyDescent="0.45">
      <c r="A28" s="63">
        <v>44037</v>
      </c>
      <c r="B28" s="44"/>
      <c r="C28" s="58">
        <v>1.7504999999999999</v>
      </c>
      <c r="D28" s="64">
        <f t="shared" si="0"/>
        <v>799.99999999991189</v>
      </c>
      <c r="E28" s="58">
        <v>2.7408999999999999</v>
      </c>
      <c r="F28" s="64">
        <f t="shared" si="1"/>
        <v>499.99999999972289</v>
      </c>
      <c r="G28" s="58">
        <v>2.6353</v>
      </c>
      <c r="H28" s="64">
        <f t="shared" si="2"/>
        <v>1300.0000000000789</v>
      </c>
      <c r="I28" s="58">
        <v>1.2764</v>
      </c>
      <c r="J28" s="64">
        <f t="shared" si="3"/>
        <v>699.99999999992292</v>
      </c>
      <c r="K28" s="58">
        <v>1.9973000000000001</v>
      </c>
      <c r="L28" s="64">
        <f t="shared" si="4"/>
        <v>1400.0000000000678</v>
      </c>
      <c r="M28" s="58">
        <v>1.2242</v>
      </c>
      <c r="N28" s="64">
        <f t="shared" si="5"/>
        <v>399.99999999995595</v>
      </c>
      <c r="O28" s="58">
        <v>12612</v>
      </c>
      <c r="P28" s="67">
        <f t="shared" si="44"/>
        <v>0</v>
      </c>
      <c r="Q28" s="58">
        <v>5607</v>
      </c>
      <c r="R28" s="67">
        <f t="shared" si="6"/>
        <v>4</v>
      </c>
      <c r="S28" s="58">
        <v>840573.6</v>
      </c>
      <c r="T28" s="67">
        <f t="shared" si="7"/>
        <v>37.799999999930151</v>
      </c>
      <c r="U28" s="58">
        <v>342711.1</v>
      </c>
      <c r="V28" s="67">
        <f t="shared" si="8"/>
        <v>23.699999999953434</v>
      </c>
      <c r="W28" s="58">
        <v>336.4</v>
      </c>
      <c r="X28" s="65">
        <f t="shared" si="9"/>
        <v>69.999999999993179</v>
      </c>
      <c r="Y28" s="58">
        <v>2.4121000000000001</v>
      </c>
      <c r="Z28" s="65">
        <f t="shared" si="10"/>
        <v>399.99999999995595</v>
      </c>
      <c r="AA28" s="58">
        <v>330.09</v>
      </c>
      <c r="AB28" s="65">
        <f t="shared" si="11"/>
        <v>49.999999999954525</v>
      </c>
      <c r="AC28" s="58">
        <v>313.95</v>
      </c>
      <c r="AD28" s="65">
        <f t="shared" si="12"/>
        <v>99.999999999965894</v>
      </c>
      <c r="AE28" s="58">
        <v>491.36</v>
      </c>
      <c r="AF28" s="65">
        <f t="shared" si="13"/>
        <v>150.00000000003411</v>
      </c>
      <c r="AG28" s="58">
        <v>1300.2</v>
      </c>
      <c r="AH28" s="67">
        <f t="shared" si="14"/>
        <v>1.7000000000000455</v>
      </c>
      <c r="AI28" s="58">
        <v>434.07</v>
      </c>
      <c r="AJ28" s="65">
        <f t="shared" si="15"/>
        <v>219.99999999997044</v>
      </c>
      <c r="AK28" s="58">
        <v>152.72</v>
      </c>
      <c r="AL28" s="65">
        <f t="shared" si="15"/>
        <v>120.00000000000455</v>
      </c>
      <c r="AM28" s="58">
        <v>152.06</v>
      </c>
      <c r="AN28" s="65">
        <f t="shared" si="15"/>
        <v>80.000000000012506</v>
      </c>
      <c r="AO28" s="58">
        <v>148.19999999999999</v>
      </c>
      <c r="AP28" s="65">
        <f t="shared" si="15"/>
        <v>60.000000000002274</v>
      </c>
      <c r="AQ28" s="58">
        <v>219.04</v>
      </c>
      <c r="AR28" s="65">
        <f t="shared" si="16"/>
        <v>19.99999999998181</v>
      </c>
      <c r="AS28" s="58">
        <v>345.35</v>
      </c>
      <c r="AT28" s="65">
        <f t="shared" si="17"/>
        <v>20.000000000038654</v>
      </c>
      <c r="AU28" s="58">
        <v>266.45</v>
      </c>
      <c r="AV28" s="65">
        <f t="shared" si="18"/>
        <v>19.99999999998181</v>
      </c>
      <c r="AW28" s="58">
        <v>293.99</v>
      </c>
      <c r="AX28" s="65">
        <f t="shared" si="19"/>
        <v>19.99999999998181</v>
      </c>
      <c r="AY28" s="58">
        <v>345.27</v>
      </c>
      <c r="AZ28" s="65">
        <f t="shared" si="20"/>
        <v>19.99999999998181</v>
      </c>
      <c r="BA28" s="58">
        <v>365</v>
      </c>
      <c r="BB28" s="65">
        <f t="shared" si="21"/>
        <v>19.99999999998181</v>
      </c>
      <c r="BC28" s="58">
        <v>231.72</v>
      </c>
      <c r="BD28" s="65">
        <f t="shared" si="22"/>
        <v>20.000000000010232</v>
      </c>
      <c r="BE28" s="59">
        <v>30102</v>
      </c>
      <c r="BF28" s="67">
        <f t="shared" si="39"/>
        <v>22</v>
      </c>
      <c r="BG28" s="60">
        <v>225.41</v>
      </c>
      <c r="BH28" s="65">
        <f t="shared" si="23"/>
        <v>9.9999999999909051</v>
      </c>
      <c r="BI28" s="60">
        <v>283.33999999999997</v>
      </c>
      <c r="BJ28" s="65">
        <f t="shared" si="40"/>
        <v>19.99999999998181</v>
      </c>
      <c r="BK28" s="60">
        <v>230.78</v>
      </c>
      <c r="BL28" s="65">
        <f t="shared" si="24"/>
        <v>0</v>
      </c>
      <c r="BM28" s="60">
        <v>214.39</v>
      </c>
      <c r="BN28" s="65">
        <f t="shared" si="25"/>
        <v>9.9999999999909051</v>
      </c>
      <c r="BO28" s="60">
        <v>279.31</v>
      </c>
      <c r="BP28" s="65">
        <f t="shared" si="26"/>
        <v>19.99999999998181</v>
      </c>
      <c r="BQ28" s="60">
        <v>39297</v>
      </c>
      <c r="BR28" s="65">
        <f t="shared" si="27"/>
        <v>12</v>
      </c>
      <c r="BS28" s="60">
        <v>193.55</v>
      </c>
      <c r="BT28" s="65">
        <f t="shared" si="43"/>
        <v>0</v>
      </c>
      <c r="BU28" s="60">
        <v>30608</v>
      </c>
      <c r="BV28" s="65">
        <f t="shared" si="29"/>
        <v>16</v>
      </c>
      <c r="BW28" s="60">
        <v>224.46</v>
      </c>
      <c r="BX28" s="65">
        <f t="shared" si="30"/>
        <v>10.000000000019327</v>
      </c>
      <c r="BY28" s="60">
        <v>49378</v>
      </c>
      <c r="BZ28" s="67">
        <f t="shared" si="31"/>
        <v>11</v>
      </c>
      <c r="CA28" s="60">
        <v>27508.400000000001</v>
      </c>
      <c r="CB28" s="67">
        <f t="shared" si="32"/>
        <v>0</v>
      </c>
      <c r="CC28" s="60">
        <v>11251.4</v>
      </c>
      <c r="CD28" s="67">
        <f t="shared" si="33"/>
        <v>0</v>
      </c>
      <c r="CE28" s="60">
        <v>5488.9</v>
      </c>
      <c r="CF28" s="67">
        <f t="shared" si="34"/>
        <v>0</v>
      </c>
      <c r="CG28" s="60">
        <v>48028.5</v>
      </c>
      <c r="CH28" s="67">
        <f t="shared" si="35"/>
        <v>38.900000000001455</v>
      </c>
      <c r="CI28" s="60">
        <v>867161</v>
      </c>
      <c r="CJ28" s="67">
        <f t="shared" si="36"/>
        <v>201</v>
      </c>
      <c r="CK28" s="60">
        <v>587.69000000000005</v>
      </c>
      <c r="CL28" s="64">
        <f t="shared" si="37"/>
        <v>290.00000000007731</v>
      </c>
      <c r="CM28" s="65">
        <f t="shared" si="41"/>
        <v>15</v>
      </c>
      <c r="CN28" s="62">
        <v>0</v>
      </c>
      <c r="CO28" s="62">
        <v>0</v>
      </c>
      <c r="CP28" s="68">
        <v>213.4</v>
      </c>
      <c r="CQ28" s="67">
        <f t="shared" si="38"/>
        <v>9</v>
      </c>
      <c r="CR28" s="68">
        <v>9814</v>
      </c>
      <c r="CS28" s="67">
        <f t="shared" si="38"/>
        <v>6</v>
      </c>
      <c r="CT28" s="75">
        <v>2290</v>
      </c>
      <c r="CU28" s="67">
        <f t="shared" si="38"/>
        <v>12</v>
      </c>
      <c r="CV28" s="68">
        <v>5748</v>
      </c>
      <c r="CW28" s="67">
        <f t="shared" si="38"/>
        <v>30</v>
      </c>
    </row>
    <row r="29" spans="1:101" ht="25.5" customHeight="1" thickBot="1" x14ac:dyDescent="0.45">
      <c r="A29" s="63">
        <v>44038</v>
      </c>
      <c r="B29" s="44"/>
      <c r="C29" s="58">
        <v>1.7511000000000001</v>
      </c>
      <c r="D29" s="64">
        <f t="shared" si="0"/>
        <v>600.00000000015598</v>
      </c>
      <c r="E29" s="58">
        <v>2.7414000000000001</v>
      </c>
      <c r="F29" s="64">
        <f t="shared" si="1"/>
        <v>500.00000000016701</v>
      </c>
      <c r="G29" s="58">
        <v>2.6362999999999999</v>
      </c>
      <c r="H29" s="64">
        <f t="shared" si="2"/>
        <v>999.99999999988984</v>
      </c>
      <c r="I29" s="58">
        <v>1.2769999999999999</v>
      </c>
      <c r="J29" s="64">
        <f t="shared" si="3"/>
        <v>599.99999999993395</v>
      </c>
      <c r="K29" s="58">
        <v>1.9987999999999999</v>
      </c>
      <c r="L29" s="64">
        <f t="shared" si="4"/>
        <v>1499.9999999998347</v>
      </c>
      <c r="M29" s="58">
        <v>1.2245999999999999</v>
      </c>
      <c r="N29" s="64">
        <f t="shared" si="5"/>
        <v>399.99999999995595</v>
      </c>
      <c r="O29" s="58">
        <v>12614</v>
      </c>
      <c r="P29" s="67">
        <f t="shared" si="44"/>
        <v>2</v>
      </c>
      <c r="Q29" s="58">
        <v>5610</v>
      </c>
      <c r="R29" s="67">
        <f t="shared" si="6"/>
        <v>3</v>
      </c>
      <c r="S29" s="58">
        <v>840642.6</v>
      </c>
      <c r="T29" s="67">
        <f t="shared" si="7"/>
        <v>69</v>
      </c>
      <c r="U29" s="58">
        <v>342745.5</v>
      </c>
      <c r="V29" s="67">
        <f t="shared" si="8"/>
        <v>34.400000000023283</v>
      </c>
      <c r="W29" s="58">
        <v>336.46</v>
      </c>
      <c r="X29" s="65">
        <f t="shared" si="9"/>
        <v>60.000000000002274</v>
      </c>
      <c r="Y29" s="58">
        <v>2.4123000000000001</v>
      </c>
      <c r="Z29" s="65">
        <f t="shared" si="10"/>
        <v>199.99999999997797</v>
      </c>
      <c r="AA29" s="58">
        <v>330.14</v>
      </c>
      <c r="AB29" s="65">
        <f t="shared" si="11"/>
        <v>50.000000000011369</v>
      </c>
      <c r="AC29" s="58">
        <v>314.05</v>
      </c>
      <c r="AD29" s="65">
        <f t="shared" si="12"/>
        <v>100.00000000002274</v>
      </c>
      <c r="AE29" s="58">
        <v>491.48</v>
      </c>
      <c r="AF29" s="65">
        <f t="shared" si="13"/>
        <v>120.00000000000455</v>
      </c>
      <c r="AG29" s="58">
        <v>1301.8</v>
      </c>
      <c r="AH29" s="67">
        <f t="shared" si="14"/>
        <v>1.5999999999999091</v>
      </c>
      <c r="AI29" s="58">
        <v>434.26</v>
      </c>
      <c r="AJ29" s="65">
        <f t="shared" si="15"/>
        <v>189.99999999999773</v>
      </c>
      <c r="AK29" s="58">
        <v>152.79</v>
      </c>
      <c r="AL29" s="65">
        <f t="shared" si="15"/>
        <v>69.999999999993179</v>
      </c>
      <c r="AM29" s="58">
        <v>152.11000000000001</v>
      </c>
      <c r="AN29" s="65">
        <f t="shared" si="15"/>
        <v>50.000000000011369</v>
      </c>
      <c r="AO29" s="58">
        <v>148.25</v>
      </c>
      <c r="AP29" s="65">
        <f t="shared" si="15"/>
        <v>50.000000000011369</v>
      </c>
      <c r="AQ29" s="58">
        <v>219.05</v>
      </c>
      <c r="AR29" s="65">
        <f t="shared" si="16"/>
        <v>10.000000000019327</v>
      </c>
      <c r="AS29" s="58">
        <v>345.37</v>
      </c>
      <c r="AT29" s="65">
        <f t="shared" si="17"/>
        <v>19.99999999998181</v>
      </c>
      <c r="AU29" s="58">
        <v>266.45999999999998</v>
      </c>
      <c r="AV29" s="65">
        <f t="shared" si="18"/>
        <v>9.9999999999909051</v>
      </c>
      <c r="AW29" s="58">
        <v>294</v>
      </c>
      <c r="AX29" s="65">
        <f t="shared" si="19"/>
        <v>9.9999999999909051</v>
      </c>
      <c r="AY29" s="58">
        <v>345.29</v>
      </c>
      <c r="AZ29" s="65">
        <f t="shared" si="20"/>
        <v>20.000000000038654</v>
      </c>
      <c r="BA29" s="58">
        <v>365.01</v>
      </c>
      <c r="BB29" s="65">
        <f t="shared" si="21"/>
        <v>9.9999999999909051</v>
      </c>
      <c r="BC29" s="58">
        <v>231.73</v>
      </c>
      <c r="BD29" s="65">
        <f t="shared" si="22"/>
        <v>9.9999999999909051</v>
      </c>
      <c r="BE29" s="59">
        <v>30125</v>
      </c>
      <c r="BF29" s="67">
        <f t="shared" si="39"/>
        <v>23</v>
      </c>
      <c r="BG29" s="60">
        <v>225.42</v>
      </c>
      <c r="BH29" s="65">
        <f t="shared" si="23"/>
        <v>9.9999999999909051</v>
      </c>
      <c r="BI29" s="60">
        <v>283.35000000000002</v>
      </c>
      <c r="BJ29" s="65">
        <f t="shared" si="40"/>
        <v>10.000000000047748</v>
      </c>
      <c r="BK29" s="60">
        <v>230.78</v>
      </c>
      <c r="BL29" s="65">
        <f t="shared" si="24"/>
        <v>0</v>
      </c>
      <c r="BM29" s="60">
        <v>214.4</v>
      </c>
      <c r="BN29" s="65">
        <f t="shared" si="25"/>
        <v>10.000000000019327</v>
      </c>
      <c r="BO29" s="60">
        <v>279.32</v>
      </c>
      <c r="BP29" s="65">
        <f t="shared" si="26"/>
        <v>9.9999999999909051</v>
      </c>
      <c r="BQ29" s="60">
        <v>39308</v>
      </c>
      <c r="BR29" s="65">
        <f t="shared" si="27"/>
        <v>11</v>
      </c>
      <c r="BS29" s="60">
        <v>193.55</v>
      </c>
      <c r="BT29" s="65">
        <f t="shared" si="43"/>
        <v>0</v>
      </c>
      <c r="BU29" s="60">
        <v>30625</v>
      </c>
      <c r="BV29" s="65">
        <f t="shared" si="29"/>
        <v>17</v>
      </c>
      <c r="BW29" s="60">
        <v>224.47</v>
      </c>
      <c r="BX29" s="65">
        <f t="shared" si="30"/>
        <v>9.9999999999909051</v>
      </c>
      <c r="BY29" s="60">
        <v>49388</v>
      </c>
      <c r="BZ29" s="67">
        <f t="shared" si="31"/>
        <v>10</v>
      </c>
      <c r="CA29" s="60">
        <v>27508.400000000001</v>
      </c>
      <c r="CB29" s="67">
        <f t="shared" si="32"/>
        <v>0</v>
      </c>
      <c r="CC29" s="60">
        <v>11251.4</v>
      </c>
      <c r="CD29" s="67">
        <f t="shared" si="33"/>
        <v>0</v>
      </c>
      <c r="CE29" s="60">
        <v>5488.9</v>
      </c>
      <c r="CF29" s="67">
        <f t="shared" si="34"/>
        <v>0</v>
      </c>
      <c r="CG29" s="60">
        <v>48063.5</v>
      </c>
      <c r="CH29" s="67">
        <f t="shared" si="35"/>
        <v>35</v>
      </c>
      <c r="CI29" s="60">
        <v>867337</v>
      </c>
      <c r="CJ29" s="67">
        <f t="shared" si="36"/>
        <v>176</v>
      </c>
      <c r="CK29" s="60">
        <v>587.91999999999996</v>
      </c>
      <c r="CL29" s="64">
        <f t="shared" si="37"/>
        <v>229.9999999999045</v>
      </c>
      <c r="CM29" s="65">
        <f t="shared" si="41"/>
        <v>9.0999999999999943</v>
      </c>
      <c r="CN29" s="62">
        <v>0</v>
      </c>
      <c r="CO29" s="62">
        <v>0</v>
      </c>
      <c r="CP29" s="68">
        <v>217.5</v>
      </c>
      <c r="CQ29" s="67">
        <f t="shared" si="38"/>
        <v>4.0999999999999943</v>
      </c>
      <c r="CR29" s="68">
        <v>9819</v>
      </c>
      <c r="CS29" s="67">
        <f t="shared" si="38"/>
        <v>5</v>
      </c>
      <c r="CT29" s="75">
        <v>2301</v>
      </c>
      <c r="CU29" s="67">
        <f t="shared" si="38"/>
        <v>11</v>
      </c>
      <c r="CV29" s="68">
        <v>5774</v>
      </c>
      <c r="CW29" s="67">
        <f t="shared" si="38"/>
        <v>26</v>
      </c>
    </row>
    <row r="30" spans="1:101" ht="25.5" customHeight="1" thickBot="1" x14ac:dyDescent="0.45">
      <c r="A30" s="63">
        <v>44039</v>
      </c>
      <c r="B30" s="44"/>
      <c r="C30" s="58">
        <v>1.7518</v>
      </c>
      <c r="D30" s="64">
        <f t="shared" si="0"/>
        <v>699.99999999992292</v>
      </c>
      <c r="E30" s="58">
        <v>2.7418</v>
      </c>
      <c r="F30" s="64">
        <f t="shared" si="1"/>
        <v>399.99999999995595</v>
      </c>
      <c r="G30" s="58">
        <v>2.6375000000000002</v>
      </c>
      <c r="H30" s="64">
        <f t="shared" si="2"/>
        <v>1200.000000000312</v>
      </c>
      <c r="I30" s="58">
        <v>1.2776000000000001</v>
      </c>
      <c r="J30" s="64">
        <f t="shared" si="3"/>
        <v>600.00000000015598</v>
      </c>
      <c r="K30" s="58">
        <v>2.0003000000000002</v>
      </c>
      <c r="L30" s="64">
        <f t="shared" si="4"/>
        <v>1500.000000000279</v>
      </c>
      <c r="M30" s="58">
        <v>1.2250000000000001</v>
      </c>
      <c r="N30" s="64">
        <f t="shared" si="5"/>
        <v>400.00000000017798</v>
      </c>
      <c r="O30" s="58">
        <v>12614</v>
      </c>
      <c r="P30" s="67">
        <f t="shared" si="44"/>
        <v>0</v>
      </c>
      <c r="Q30" s="58">
        <v>5611</v>
      </c>
      <c r="R30" s="67">
        <f t="shared" si="6"/>
        <v>1</v>
      </c>
      <c r="S30" s="58">
        <v>840768.6</v>
      </c>
      <c r="T30" s="67">
        <f t="shared" si="7"/>
        <v>126</v>
      </c>
      <c r="U30" s="58">
        <v>342797.6</v>
      </c>
      <c r="V30" s="67">
        <f t="shared" si="8"/>
        <v>52.099999999976717</v>
      </c>
      <c r="W30" s="58">
        <v>336.54</v>
      </c>
      <c r="X30" s="65">
        <f t="shared" si="9"/>
        <v>80.000000000040927</v>
      </c>
      <c r="Y30" s="58">
        <v>2.4125999999999999</v>
      </c>
      <c r="Z30" s="65">
        <f t="shared" si="10"/>
        <v>299.99999999974489</v>
      </c>
      <c r="AA30" s="58">
        <v>330.18</v>
      </c>
      <c r="AB30" s="65">
        <f t="shared" si="11"/>
        <v>40.000000000020464</v>
      </c>
      <c r="AC30" s="58">
        <v>314.13</v>
      </c>
      <c r="AD30" s="65">
        <f t="shared" si="12"/>
        <v>79.999999999984084</v>
      </c>
      <c r="AE30" s="58">
        <v>491.62</v>
      </c>
      <c r="AF30" s="65">
        <f t="shared" si="13"/>
        <v>139.99999999998636</v>
      </c>
      <c r="AG30" s="58">
        <v>1303.0999999999999</v>
      </c>
      <c r="AH30" s="67">
        <f t="shared" si="14"/>
        <v>1.2999999999999545</v>
      </c>
      <c r="AI30" s="58">
        <v>434.45</v>
      </c>
      <c r="AJ30" s="65">
        <f t="shared" si="15"/>
        <v>189.99999999999773</v>
      </c>
      <c r="AK30" s="58">
        <v>152.84</v>
      </c>
      <c r="AL30" s="65">
        <f t="shared" si="15"/>
        <v>50.000000000011369</v>
      </c>
      <c r="AM30" s="58">
        <v>152.18</v>
      </c>
      <c r="AN30" s="65">
        <f t="shared" si="15"/>
        <v>69.999999999993179</v>
      </c>
      <c r="AO30" s="58">
        <v>148.28</v>
      </c>
      <c r="AP30" s="65">
        <f t="shared" si="15"/>
        <v>30.000000000001137</v>
      </c>
      <c r="AQ30" s="58">
        <v>219.08</v>
      </c>
      <c r="AR30" s="65">
        <f t="shared" si="16"/>
        <v>30.000000000001137</v>
      </c>
      <c r="AS30" s="58">
        <v>345.39</v>
      </c>
      <c r="AT30" s="65">
        <f t="shared" si="17"/>
        <v>19.99999999998181</v>
      </c>
      <c r="AU30" s="58">
        <v>266.48</v>
      </c>
      <c r="AV30" s="65">
        <f t="shared" si="18"/>
        <v>20.000000000038654</v>
      </c>
      <c r="AW30" s="58">
        <v>294.02</v>
      </c>
      <c r="AX30" s="65">
        <f t="shared" si="19"/>
        <v>19.99999999998181</v>
      </c>
      <c r="AY30" s="58">
        <v>345.31</v>
      </c>
      <c r="AZ30" s="65">
        <f t="shared" si="20"/>
        <v>19.99999999998181</v>
      </c>
      <c r="BA30" s="58">
        <v>365.03</v>
      </c>
      <c r="BB30" s="65">
        <f t="shared" si="21"/>
        <v>19.99999999998181</v>
      </c>
      <c r="BC30" s="58">
        <v>231.75</v>
      </c>
      <c r="BD30" s="65">
        <f t="shared" si="22"/>
        <v>20.000000000010232</v>
      </c>
      <c r="BE30" s="59">
        <v>30139</v>
      </c>
      <c r="BF30" s="67">
        <f t="shared" si="39"/>
        <v>14</v>
      </c>
      <c r="BG30" s="60">
        <v>225.43</v>
      </c>
      <c r="BH30" s="65">
        <f t="shared" si="23"/>
        <v>10.000000000019327</v>
      </c>
      <c r="BI30" s="60">
        <v>283.35000000000002</v>
      </c>
      <c r="BJ30" s="65">
        <f t="shared" si="40"/>
        <v>0</v>
      </c>
      <c r="BK30" s="60">
        <v>230.78</v>
      </c>
      <c r="BL30" s="65">
        <f t="shared" si="24"/>
        <v>0</v>
      </c>
      <c r="BM30" s="60">
        <v>214.41</v>
      </c>
      <c r="BN30" s="65">
        <f t="shared" si="25"/>
        <v>9.9999999999909051</v>
      </c>
      <c r="BO30" s="60">
        <v>279.33</v>
      </c>
      <c r="BP30" s="65">
        <f t="shared" si="26"/>
        <v>9.9999999999909051</v>
      </c>
      <c r="BQ30" s="60">
        <v>39318</v>
      </c>
      <c r="BR30" s="65">
        <f t="shared" si="27"/>
        <v>10</v>
      </c>
      <c r="BS30" s="60">
        <v>193.55</v>
      </c>
      <c r="BT30" s="65">
        <f t="shared" si="43"/>
        <v>0</v>
      </c>
      <c r="BU30" s="60">
        <v>30639</v>
      </c>
      <c r="BV30" s="65">
        <f t="shared" si="29"/>
        <v>14</v>
      </c>
      <c r="BW30" s="60">
        <v>224.48</v>
      </c>
      <c r="BX30" s="65">
        <f t="shared" si="30"/>
        <v>9.9999999999909051</v>
      </c>
      <c r="BY30" s="60">
        <v>49393</v>
      </c>
      <c r="BZ30" s="67">
        <f t="shared" si="31"/>
        <v>5</v>
      </c>
      <c r="CA30" s="60">
        <v>27508.400000000001</v>
      </c>
      <c r="CB30" s="67">
        <f t="shared" si="32"/>
        <v>0</v>
      </c>
      <c r="CC30" s="60">
        <v>11251.4</v>
      </c>
      <c r="CD30" s="67">
        <f t="shared" si="33"/>
        <v>0</v>
      </c>
      <c r="CE30" s="60">
        <v>5488.9</v>
      </c>
      <c r="CF30" s="67">
        <f t="shared" si="34"/>
        <v>0</v>
      </c>
      <c r="CG30" s="60">
        <v>48102.8</v>
      </c>
      <c r="CH30" s="67">
        <f t="shared" si="35"/>
        <v>39.30000000000291</v>
      </c>
      <c r="CI30" s="60">
        <v>867514</v>
      </c>
      <c r="CJ30" s="67">
        <f t="shared" si="36"/>
        <v>177</v>
      </c>
      <c r="CK30" s="60">
        <v>588.14</v>
      </c>
      <c r="CL30" s="64">
        <f t="shared" si="37"/>
        <v>220.00000000002728</v>
      </c>
      <c r="CM30" s="65">
        <f t="shared" si="41"/>
        <v>17.300000000000011</v>
      </c>
      <c r="CN30" s="62">
        <v>0</v>
      </c>
      <c r="CO30" s="62">
        <v>0</v>
      </c>
      <c r="CP30" s="68">
        <v>224.8</v>
      </c>
      <c r="CQ30" s="67">
        <f t="shared" si="38"/>
        <v>7.3000000000000114</v>
      </c>
      <c r="CR30" s="68">
        <v>9829</v>
      </c>
      <c r="CS30" s="67">
        <f t="shared" si="38"/>
        <v>10</v>
      </c>
      <c r="CT30" s="75">
        <v>2311</v>
      </c>
      <c r="CU30" s="67">
        <f t="shared" si="38"/>
        <v>10</v>
      </c>
      <c r="CV30" s="68">
        <v>5796</v>
      </c>
      <c r="CW30" s="67">
        <f t="shared" si="38"/>
        <v>22</v>
      </c>
    </row>
    <row r="31" spans="1:101" ht="25.5" customHeight="1" thickBot="1" x14ac:dyDescent="0.45">
      <c r="A31" s="63">
        <v>44040</v>
      </c>
      <c r="B31" s="66"/>
      <c r="C31" s="58">
        <v>1.7524999999999999</v>
      </c>
      <c r="D31" s="64">
        <f t="shared" si="0"/>
        <v>699.99999999992292</v>
      </c>
      <c r="E31" s="58">
        <v>2.7423999999999999</v>
      </c>
      <c r="F31" s="64">
        <f t="shared" si="1"/>
        <v>599.99999999993395</v>
      </c>
      <c r="G31" s="58">
        <v>2.6389</v>
      </c>
      <c r="H31" s="64">
        <f t="shared" si="2"/>
        <v>1399.9999999998458</v>
      </c>
      <c r="I31" s="58">
        <v>1.2782</v>
      </c>
      <c r="J31" s="64">
        <f t="shared" si="3"/>
        <v>599.99999999993395</v>
      </c>
      <c r="K31" s="58">
        <v>2.0017999999999998</v>
      </c>
      <c r="L31" s="64">
        <f t="shared" si="4"/>
        <v>1499.9999999996128</v>
      </c>
      <c r="M31" s="58">
        <v>1.2256</v>
      </c>
      <c r="N31" s="64">
        <f t="shared" si="5"/>
        <v>599.99999999993395</v>
      </c>
      <c r="O31" s="58">
        <v>12615</v>
      </c>
      <c r="P31" s="67">
        <f t="shared" si="44"/>
        <v>1</v>
      </c>
      <c r="Q31" s="58">
        <v>5616</v>
      </c>
      <c r="R31" s="67">
        <f t="shared" si="6"/>
        <v>5</v>
      </c>
      <c r="S31" s="58">
        <v>841015</v>
      </c>
      <c r="T31" s="67">
        <f t="shared" si="7"/>
        <v>246.40000000002328</v>
      </c>
      <c r="U31" s="58">
        <v>342932.9</v>
      </c>
      <c r="V31" s="67">
        <f t="shared" si="8"/>
        <v>135.30000000004657</v>
      </c>
      <c r="W31" s="58">
        <v>336.63</v>
      </c>
      <c r="X31" s="65">
        <f t="shared" si="9"/>
        <v>89.999999999974989</v>
      </c>
      <c r="Y31" s="58">
        <v>2.4129</v>
      </c>
      <c r="Z31" s="65">
        <f t="shared" si="10"/>
        <v>300.000000000189</v>
      </c>
      <c r="AA31" s="58">
        <v>330.23</v>
      </c>
      <c r="AB31" s="65">
        <f t="shared" si="11"/>
        <v>50.000000000011369</v>
      </c>
      <c r="AC31" s="58">
        <v>314.27999999999997</v>
      </c>
      <c r="AD31" s="65">
        <f t="shared" si="12"/>
        <v>149.99999999997726</v>
      </c>
      <c r="AE31" s="58">
        <v>491.92</v>
      </c>
      <c r="AF31" s="65">
        <f t="shared" si="13"/>
        <v>300.00000000001137</v>
      </c>
      <c r="AG31" s="58">
        <v>1304.7</v>
      </c>
      <c r="AH31" s="67">
        <f t="shared" si="14"/>
        <v>1.6000000000001364</v>
      </c>
      <c r="AI31" s="58">
        <v>434.7</v>
      </c>
      <c r="AJ31" s="65">
        <f t="shared" si="15"/>
        <v>250</v>
      </c>
      <c r="AK31" s="58">
        <v>152.93</v>
      </c>
      <c r="AL31" s="65">
        <f t="shared" si="15"/>
        <v>90.000000000003411</v>
      </c>
      <c r="AM31" s="58">
        <v>152.26</v>
      </c>
      <c r="AN31" s="65">
        <f t="shared" si="15"/>
        <v>79.999999999984084</v>
      </c>
      <c r="AO31" s="58">
        <v>148.32</v>
      </c>
      <c r="AP31" s="65">
        <f t="shared" si="15"/>
        <v>39.999999999992042</v>
      </c>
      <c r="AQ31" s="58">
        <v>219.11</v>
      </c>
      <c r="AR31" s="65">
        <f t="shared" si="16"/>
        <v>30.000000000001137</v>
      </c>
      <c r="AS31" s="58">
        <v>345.41</v>
      </c>
      <c r="AT31" s="65">
        <f t="shared" si="17"/>
        <v>20.000000000038654</v>
      </c>
      <c r="AU31" s="58">
        <v>266.5</v>
      </c>
      <c r="AV31" s="65">
        <f t="shared" si="18"/>
        <v>19.99999999998181</v>
      </c>
      <c r="AW31" s="58">
        <v>294.04000000000002</v>
      </c>
      <c r="AX31" s="65">
        <f t="shared" si="19"/>
        <v>20.000000000038654</v>
      </c>
      <c r="AY31" s="58">
        <v>345.32</v>
      </c>
      <c r="AZ31" s="65">
        <f t="shared" si="20"/>
        <v>9.9999999999909051</v>
      </c>
      <c r="BA31" s="58">
        <v>365.04</v>
      </c>
      <c r="BB31" s="65">
        <f t="shared" si="21"/>
        <v>10.000000000047748</v>
      </c>
      <c r="BC31" s="58">
        <v>231.76</v>
      </c>
      <c r="BD31" s="65">
        <f t="shared" si="22"/>
        <v>9.9999999999909051</v>
      </c>
      <c r="BE31" s="59">
        <v>30160</v>
      </c>
      <c r="BF31" s="67">
        <f t="shared" si="39"/>
        <v>21</v>
      </c>
      <c r="BG31" s="60">
        <v>225.43</v>
      </c>
      <c r="BH31" s="65">
        <f t="shared" si="23"/>
        <v>0</v>
      </c>
      <c r="BI31" s="60">
        <v>283.36</v>
      </c>
      <c r="BJ31" s="65">
        <f t="shared" si="40"/>
        <v>9.9999999999909051</v>
      </c>
      <c r="BK31" s="60">
        <v>230.78</v>
      </c>
      <c r="BL31" s="65">
        <f t="shared" si="24"/>
        <v>0</v>
      </c>
      <c r="BM31" s="60">
        <v>214.43</v>
      </c>
      <c r="BN31" s="65">
        <f t="shared" si="25"/>
        <v>20.000000000010232</v>
      </c>
      <c r="BO31" s="60">
        <v>279.33999999999997</v>
      </c>
      <c r="BP31" s="65">
        <f t="shared" si="26"/>
        <v>9.9999999999909051</v>
      </c>
      <c r="BQ31" s="60">
        <v>39332</v>
      </c>
      <c r="BR31" s="65">
        <f t="shared" si="27"/>
        <v>14</v>
      </c>
      <c r="BS31" s="60">
        <v>193.56</v>
      </c>
      <c r="BT31" s="65">
        <f t="shared" si="43"/>
        <v>9.9999999999909051</v>
      </c>
      <c r="BU31" s="60">
        <v>30658</v>
      </c>
      <c r="BV31" s="65">
        <f t="shared" si="29"/>
        <v>19</v>
      </c>
      <c r="BW31" s="60">
        <v>224.5</v>
      </c>
      <c r="BX31" s="65">
        <f t="shared" si="30"/>
        <v>20.000000000010232</v>
      </c>
      <c r="BY31" s="60">
        <v>49399</v>
      </c>
      <c r="BZ31" s="67">
        <f t="shared" si="31"/>
        <v>6</v>
      </c>
      <c r="CA31" s="60">
        <v>27508.400000000001</v>
      </c>
      <c r="CB31" s="67">
        <f t="shared" si="32"/>
        <v>0</v>
      </c>
      <c r="CC31" s="60">
        <v>11251.4</v>
      </c>
      <c r="CD31" s="67">
        <f t="shared" si="33"/>
        <v>0</v>
      </c>
      <c r="CE31" s="60">
        <v>5488.9</v>
      </c>
      <c r="CF31" s="67">
        <f t="shared" si="34"/>
        <v>0</v>
      </c>
      <c r="CG31" s="60">
        <v>48128</v>
      </c>
      <c r="CH31" s="67">
        <f t="shared" si="35"/>
        <v>25.19999999999709</v>
      </c>
      <c r="CI31" s="60">
        <v>867697</v>
      </c>
      <c r="CJ31" s="67">
        <f t="shared" si="36"/>
        <v>183</v>
      </c>
      <c r="CK31" s="60">
        <v>588.57000000000005</v>
      </c>
      <c r="CL31" s="64">
        <f t="shared" si="37"/>
        <v>430.00000000006366</v>
      </c>
      <c r="CM31" s="65">
        <f t="shared" si="41"/>
        <v>37.699999999999989</v>
      </c>
      <c r="CN31" s="62">
        <v>0</v>
      </c>
      <c r="CO31" s="62">
        <v>0</v>
      </c>
      <c r="CP31" s="68">
        <v>244.5</v>
      </c>
      <c r="CQ31" s="67">
        <f t="shared" si="38"/>
        <v>19.699999999999989</v>
      </c>
      <c r="CR31" s="68">
        <v>9847</v>
      </c>
      <c r="CS31" s="67">
        <f t="shared" si="38"/>
        <v>18</v>
      </c>
      <c r="CT31" s="75">
        <v>2322</v>
      </c>
      <c r="CU31" s="67">
        <f t="shared" si="38"/>
        <v>11</v>
      </c>
      <c r="CV31" s="68">
        <v>5820</v>
      </c>
      <c r="CW31" s="67">
        <f t="shared" si="38"/>
        <v>24</v>
      </c>
    </row>
    <row r="32" spans="1:101" ht="25.5" customHeight="1" thickBot="1" x14ac:dyDescent="0.45">
      <c r="A32" s="63">
        <v>44041</v>
      </c>
      <c r="B32" s="68"/>
      <c r="C32" s="58">
        <v>1.7534000000000001</v>
      </c>
      <c r="D32" s="64">
        <f t="shared" si="0"/>
        <v>900.0000000001229</v>
      </c>
      <c r="E32" s="58">
        <v>2.7427999999999999</v>
      </c>
      <c r="F32" s="64">
        <f t="shared" si="1"/>
        <v>399.99999999995595</v>
      </c>
      <c r="G32" s="58">
        <v>2.6402999999999999</v>
      </c>
      <c r="H32" s="64">
        <f t="shared" si="2"/>
        <v>1399.9999999998458</v>
      </c>
      <c r="I32" s="58">
        <v>1.2789999999999999</v>
      </c>
      <c r="J32" s="64">
        <f t="shared" si="3"/>
        <v>799.99999999991189</v>
      </c>
      <c r="K32" s="58">
        <v>2.0034000000000001</v>
      </c>
      <c r="L32" s="64">
        <f t="shared" si="4"/>
        <v>1600.0000000002678</v>
      </c>
      <c r="M32" s="58">
        <v>1.2261</v>
      </c>
      <c r="N32" s="64">
        <f t="shared" si="5"/>
        <v>499.99999999994492</v>
      </c>
      <c r="O32" s="58">
        <v>12615</v>
      </c>
      <c r="P32" s="67">
        <f t="shared" si="44"/>
        <v>0</v>
      </c>
      <c r="Q32" s="58">
        <v>5618</v>
      </c>
      <c r="R32" s="67">
        <f t="shared" si="6"/>
        <v>2</v>
      </c>
      <c r="S32" s="58">
        <v>841088.8</v>
      </c>
      <c r="T32" s="67">
        <f t="shared" si="7"/>
        <v>73.800000000046566</v>
      </c>
      <c r="U32" s="58">
        <v>342976</v>
      </c>
      <c r="V32" s="67">
        <f t="shared" si="8"/>
        <v>43.099999999976717</v>
      </c>
      <c r="W32" s="58">
        <v>336.71</v>
      </c>
      <c r="X32" s="65">
        <f t="shared" si="9"/>
        <v>79.999999999984084</v>
      </c>
      <c r="Y32" s="58">
        <v>2.4131999999999998</v>
      </c>
      <c r="Z32" s="65">
        <f t="shared" si="10"/>
        <v>299.99999999974489</v>
      </c>
      <c r="AA32" s="58">
        <v>330.29</v>
      </c>
      <c r="AB32" s="65">
        <f t="shared" si="11"/>
        <v>60.000000000002274</v>
      </c>
      <c r="AC32" s="58">
        <v>314.42</v>
      </c>
      <c r="AD32" s="65">
        <f t="shared" si="12"/>
        <v>140.0000000000432</v>
      </c>
      <c r="AE32" s="58">
        <v>492.11</v>
      </c>
      <c r="AF32" s="65">
        <f t="shared" si="13"/>
        <v>189.99999999999773</v>
      </c>
      <c r="AG32" s="58">
        <v>1306.2</v>
      </c>
      <c r="AH32" s="67">
        <f t="shared" si="14"/>
        <v>1.5</v>
      </c>
      <c r="AI32" s="58">
        <v>434.96</v>
      </c>
      <c r="AJ32" s="65">
        <f t="shared" si="15"/>
        <v>259.99999999999091</v>
      </c>
      <c r="AK32" s="58">
        <v>153.03</v>
      </c>
      <c r="AL32" s="65">
        <f t="shared" si="15"/>
        <v>99.999999999994316</v>
      </c>
      <c r="AM32" s="58">
        <v>152.35</v>
      </c>
      <c r="AN32" s="65">
        <f t="shared" si="15"/>
        <v>90.000000000003411</v>
      </c>
      <c r="AO32" s="58">
        <v>148.35</v>
      </c>
      <c r="AP32" s="65">
        <f t="shared" si="15"/>
        <v>30.000000000001137</v>
      </c>
      <c r="AQ32" s="58">
        <v>219.13</v>
      </c>
      <c r="AR32" s="65">
        <f t="shared" si="16"/>
        <v>19.99999999998181</v>
      </c>
      <c r="AS32" s="58">
        <v>345.43</v>
      </c>
      <c r="AT32" s="65">
        <f t="shared" si="17"/>
        <v>19.99999999998181</v>
      </c>
      <c r="AU32" s="58">
        <v>266.51</v>
      </c>
      <c r="AV32" s="65">
        <f t="shared" si="18"/>
        <v>9.9999999999909051</v>
      </c>
      <c r="AW32" s="58">
        <v>294.07</v>
      </c>
      <c r="AX32" s="65">
        <f t="shared" si="19"/>
        <v>29.999999999972715</v>
      </c>
      <c r="AY32" s="58">
        <v>345.35</v>
      </c>
      <c r="AZ32" s="65">
        <f t="shared" si="20"/>
        <v>30.000000000029559</v>
      </c>
      <c r="BA32" s="58">
        <v>365.06</v>
      </c>
      <c r="BB32" s="65">
        <f t="shared" si="21"/>
        <v>19.99999999998181</v>
      </c>
      <c r="BC32" s="58">
        <v>231.78</v>
      </c>
      <c r="BD32" s="65">
        <f t="shared" si="22"/>
        <v>20.000000000010232</v>
      </c>
      <c r="BE32" s="59">
        <v>30189</v>
      </c>
      <c r="BF32" s="67">
        <f t="shared" si="39"/>
        <v>29</v>
      </c>
      <c r="BG32" s="60">
        <v>225.44</v>
      </c>
      <c r="BH32" s="65">
        <f t="shared" si="23"/>
        <v>9.9999999999909051</v>
      </c>
      <c r="BI32" s="60">
        <v>283.37</v>
      </c>
      <c r="BJ32" s="65">
        <f t="shared" si="40"/>
        <v>9.9999999999909051</v>
      </c>
      <c r="BK32" s="60">
        <v>230.78</v>
      </c>
      <c r="BL32" s="65">
        <f t="shared" si="24"/>
        <v>0</v>
      </c>
      <c r="BM32" s="60">
        <v>214.45</v>
      </c>
      <c r="BN32" s="65">
        <f t="shared" si="25"/>
        <v>19.99999999998181</v>
      </c>
      <c r="BO32" s="60">
        <v>279.36</v>
      </c>
      <c r="BP32" s="65">
        <f t="shared" si="26"/>
        <v>20.000000000038654</v>
      </c>
      <c r="BQ32" s="60">
        <v>39347</v>
      </c>
      <c r="BR32" s="65">
        <f t="shared" si="27"/>
        <v>15</v>
      </c>
      <c r="BS32" s="60">
        <v>193.56</v>
      </c>
      <c r="BT32" s="65">
        <f t="shared" si="43"/>
        <v>0</v>
      </c>
      <c r="BU32" s="60">
        <v>30678</v>
      </c>
      <c r="BV32" s="65">
        <f t="shared" si="29"/>
        <v>20</v>
      </c>
      <c r="BW32" s="60">
        <v>224.51</v>
      </c>
      <c r="BX32" s="65">
        <f t="shared" si="30"/>
        <v>9.9999999999909051</v>
      </c>
      <c r="BY32" s="60">
        <v>49407</v>
      </c>
      <c r="BZ32" s="67">
        <f t="shared" si="31"/>
        <v>8</v>
      </c>
      <c r="CA32" s="60">
        <v>27508.400000000001</v>
      </c>
      <c r="CB32" s="67">
        <f t="shared" si="32"/>
        <v>0</v>
      </c>
      <c r="CC32" s="60">
        <v>11251.4</v>
      </c>
      <c r="CD32" s="67">
        <f t="shared" si="33"/>
        <v>0</v>
      </c>
      <c r="CE32" s="60">
        <v>5488.9</v>
      </c>
      <c r="CF32" s="67">
        <f t="shared" si="34"/>
        <v>0</v>
      </c>
      <c r="CG32" s="60">
        <v>48158.7</v>
      </c>
      <c r="CH32" s="67">
        <f t="shared" si="35"/>
        <v>30.69999999999709</v>
      </c>
      <c r="CI32" s="60">
        <v>867881</v>
      </c>
      <c r="CJ32" s="67">
        <f t="shared" si="36"/>
        <v>184</v>
      </c>
      <c r="CK32" s="60">
        <v>588.99</v>
      </c>
      <c r="CL32" s="64">
        <f t="shared" si="37"/>
        <v>419.99999999995907</v>
      </c>
      <c r="CM32" s="65">
        <f t="shared" si="41"/>
        <v>42.100000000000023</v>
      </c>
      <c r="CN32" s="62">
        <v>0</v>
      </c>
      <c r="CO32" s="62">
        <v>0</v>
      </c>
      <c r="CP32" s="68">
        <v>265.60000000000002</v>
      </c>
      <c r="CQ32" s="67">
        <f t="shared" si="38"/>
        <v>21.100000000000023</v>
      </c>
      <c r="CR32" s="68">
        <v>9868</v>
      </c>
      <c r="CS32" s="67">
        <f t="shared" si="38"/>
        <v>21</v>
      </c>
      <c r="CT32" s="75">
        <v>2334</v>
      </c>
      <c r="CU32" s="67">
        <f t="shared" si="38"/>
        <v>12</v>
      </c>
      <c r="CV32" s="68">
        <v>5858</v>
      </c>
      <c r="CW32" s="67">
        <f t="shared" si="38"/>
        <v>38</v>
      </c>
    </row>
    <row r="33" spans="1:101" ht="25.5" customHeight="1" thickBot="1" x14ac:dyDescent="0.45">
      <c r="A33" s="63">
        <v>44042</v>
      </c>
      <c r="B33" s="68"/>
      <c r="C33" s="58">
        <v>1.7541</v>
      </c>
      <c r="D33" s="64">
        <f t="shared" si="0"/>
        <v>699.99999999992292</v>
      </c>
      <c r="E33" s="58">
        <v>2.7433000000000001</v>
      </c>
      <c r="F33" s="64">
        <f t="shared" si="1"/>
        <v>500.00000000016701</v>
      </c>
      <c r="G33" s="58">
        <v>2.6417000000000002</v>
      </c>
      <c r="H33" s="64">
        <f t="shared" si="2"/>
        <v>1400.0000000002899</v>
      </c>
      <c r="I33" s="58">
        <v>1.2797000000000001</v>
      </c>
      <c r="J33" s="64">
        <f t="shared" si="3"/>
        <v>700.00000000014495</v>
      </c>
      <c r="K33" s="58">
        <v>2.0049000000000001</v>
      </c>
      <c r="L33" s="64">
        <f t="shared" si="4"/>
        <v>1500.0000000000568</v>
      </c>
      <c r="M33" s="58">
        <v>1.2264999999999999</v>
      </c>
      <c r="N33" s="64">
        <f t="shared" si="5"/>
        <v>399.99999999995595</v>
      </c>
      <c r="O33" s="58">
        <v>12617</v>
      </c>
      <c r="P33" s="67">
        <f t="shared" si="44"/>
        <v>2</v>
      </c>
      <c r="Q33" s="58">
        <v>5620</v>
      </c>
      <c r="R33" s="67">
        <f t="shared" si="6"/>
        <v>2</v>
      </c>
      <c r="S33" s="58">
        <v>841197.4</v>
      </c>
      <c r="T33" s="67">
        <f t="shared" si="7"/>
        <v>108.59999999997672</v>
      </c>
      <c r="U33" s="58">
        <v>343037.6</v>
      </c>
      <c r="V33" s="67">
        <f t="shared" si="8"/>
        <v>61.599999999976717</v>
      </c>
      <c r="W33" s="58">
        <v>336.8</v>
      </c>
      <c r="X33" s="65">
        <f t="shared" si="9"/>
        <v>90.000000000031832</v>
      </c>
      <c r="Y33" s="58">
        <v>2.4135</v>
      </c>
      <c r="Z33" s="65">
        <f t="shared" si="10"/>
        <v>300.000000000189</v>
      </c>
      <c r="AA33" s="58">
        <v>330.35</v>
      </c>
      <c r="AB33" s="65">
        <f t="shared" si="11"/>
        <v>60.000000000002274</v>
      </c>
      <c r="AC33" s="58">
        <v>314.52</v>
      </c>
      <c r="AD33" s="65">
        <f t="shared" si="12"/>
        <v>99.999999999965894</v>
      </c>
      <c r="AE33" s="58">
        <v>492.25</v>
      </c>
      <c r="AF33" s="65">
        <f t="shared" si="13"/>
        <v>139.99999999998636</v>
      </c>
      <c r="AG33" s="58">
        <v>1307.5999999999999</v>
      </c>
      <c r="AH33" s="67">
        <f t="shared" si="14"/>
        <v>1.3999999999998636</v>
      </c>
      <c r="AI33" s="58">
        <v>435.18</v>
      </c>
      <c r="AJ33" s="65">
        <f t="shared" si="15"/>
        <v>220.00000000002728</v>
      </c>
      <c r="AK33" s="58">
        <v>153.11000000000001</v>
      </c>
      <c r="AL33" s="65">
        <f t="shared" si="15"/>
        <v>80.000000000012506</v>
      </c>
      <c r="AM33" s="58">
        <v>152.43</v>
      </c>
      <c r="AN33" s="65">
        <f t="shared" si="15"/>
        <v>80.000000000012506</v>
      </c>
      <c r="AO33" s="58">
        <v>148.38</v>
      </c>
      <c r="AP33" s="65">
        <f t="shared" si="15"/>
        <v>30.000000000001137</v>
      </c>
      <c r="AQ33" s="58">
        <v>219.16</v>
      </c>
      <c r="AR33" s="65">
        <f t="shared" si="16"/>
        <v>30.000000000001137</v>
      </c>
      <c r="AS33" s="58">
        <v>345.45</v>
      </c>
      <c r="AT33" s="65">
        <f t="shared" si="17"/>
        <v>19.99999999998181</v>
      </c>
      <c r="AU33" s="58">
        <v>266.52999999999997</v>
      </c>
      <c r="AV33" s="65">
        <f t="shared" si="18"/>
        <v>19.99999999998181</v>
      </c>
      <c r="AW33" s="58">
        <v>294.08999999999997</v>
      </c>
      <c r="AX33" s="65">
        <f t="shared" si="19"/>
        <v>19.99999999998181</v>
      </c>
      <c r="AY33" s="58">
        <v>345.36</v>
      </c>
      <c r="AZ33" s="65">
        <f t="shared" si="20"/>
        <v>9.9999999999909051</v>
      </c>
      <c r="BA33" s="58">
        <v>365.08</v>
      </c>
      <c r="BB33" s="65">
        <f t="shared" si="21"/>
        <v>19.99999999998181</v>
      </c>
      <c r="BC33" s="58">
        <v>231.8</v>
      </c>
      <c r="BD33" s="65">
        <f t="shared" si="22"/>
        <v>20.000000000010232</v>
      </c>
      <c r="BE33" s="59">
        <v>30208</v>
      </c>
      <c r="BF33" s="67">
        <f t="shared" si="39"/>
        <v>19</v>
      </c>
      <c r="BG33" s="60">
        <v>225.46</v>
      </c>
      <c r="BH33" s="65">
        <f t="shared" si="23"/>
        <v>20.000000000010232</v>
      </c>
      <c r="BI33" s="60">
        <v>283.38</v>
      </c>
      <c r="BJ33" s="65">
        <f t="shared" si="40"/>
        <v>9.9999999999909051</v>
      </c>
      <c r="BK33" s="60">
        <v>230.79</v>
      </c>
      <c r="BL33" s="65">
        <f t="shared" si="24"/>
        <v>9.9999999999909051</v>
      </c>
      <c r="BM33" s="60">
        <v>214.47</v>
      </c>
      <c r="BN33" s="65">
        <f t="shared" si="25"/>
        <v>20.000000000010232</v>
      </c>
      <c r="BO33" s="60">
        <v>279.38</v>
      </c>
      <c r="BP33" s="65">
        <f t="shared" si="26"/>
        <v>19.99999999998181</v>
      </c>
      <c r="BQ33" s="60">
        <v>39362</v>
      </c>
      <c r="BR33" s="65">
        <f t="shared" si="27"/>
        <v>15</v>
      </c>
      <c r="BS33" s="60">
        <v>193.57</v>
      </c>
      <c r="BT33" s="65">
        <f t="shared" si="43"/>
        <v>9.9999999999909051</v>
      </c>
      <c r="BU33" s="60">
        <v>30699</v>
      </c>
      <c r="BV33" s="65">
        <f t="shared" si="29"/>
        <v>21</v>
      </c>
      <c r="BW33" s="60">
        <v>224.53</v>
      </c>
      <c r="BX33" s="65">
        <f t="shared" si="30"/>
        <v>20.000000000010232</v>
      </c>
      <c r="BY33" s="60">
        <v>49415</v>
      </c>
      <c r="BZ33" s="67">
        <f t="shared" si="31"/>
        <v>8</v>
      </c>
      <c r="CA33" s="60">
        <v>27508.400000000001</v>
      </c>
      <c r="CB33" s="67">
        <f t="shared" si="32"/>
        <v>0</v>
      </c>
      <c r="CC33" s="60">
        <v>11251.4</v>
      </c>
      <c r="CD33" s="67">
        <f t="shared" si="33"/>
        <v>0</v>
      </c>
      <c r="CE33" s="60">
        <v>5488.9</v>
      </c>
      <c r="CF33" s="67">
        <f t="shared" si="34"/>
        <v>0</v>
      </c>
      <c r="CG33" s="60">
        <v>48197</v>
      </c>
      <c r="CH33" s="67">
        <f t="shared" si="35"/>
        <v>38.30000000000291</v>
      </c>
      <c r="CI33" s="60">
        <v>868072</v>
      </c>
      <c r="CJ33" s="67">
        <f t="shared" si="36"/>
        <v>191</v>
      </c>
      <c r="CK33" s="60">
        <v>589.35</v>
      </c>
      <c r="CL33" s="64">
        <f t="shared" si="37"/>
        <v>360.00000000001364</v>
      </c>
      <c r="CM33" s="65">
        <f t="shared" si="41"/>
        <v>29</v>
      </c>
      <c r="CN33" s="62">
        <v>0</v>
      </c>
      <c r="CO33" s="62">
        <v>0</v>
      </c>
      <c r="CP33" s="68">
        <v>275.60000000000002</v>
      </c>
      <c r="CQ33" s="67">
        <f t="shared" si="38"/>
        <v>10</v>
      </c>
      <c r="CR33" s="68">
        <v>9887</v>
      </c>
      <c r="CS33" s="67">
        <f t="shared" si="38"/>
        <v>19</v>
      </c>
      <c r="CT33" s="75">
        <v>2344</v>
      </c>
      <c r="CU33" s="67">
        <f t="shared" si="38"/>
        <v>10</v>
      </c>
      <c r="CV33" s="68">
        <v>5882</v>
      </c>
      <c r="CW33" s="67">
        <f t="shared" si="38"/>
        <v>24</v>
      </c>
    </row>
    <row r="34" spans="1:101" ht="25.5" customHeight="1" thickBot="1" x14ac:dyDescent="0.45">
      <c r="A34" s="63">
        <v>44043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3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5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6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 t="e">
        <f t="shared" si="41"/>
        <v>#VALUE!</v>
      </c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T41" sqref="T4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87</v>
      </c>
      <c r="P32" s="39">
        <v>66</v>
      </c>
      <c r="Q32" s="39">
        <v>2689</v>
      </c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87</v>
      </c>
      <c r="P33" s="39">
        <v>64</v>
      </c>
      <c r="Q33" s="39">
        <v>2692</v>
      </c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87</v>
      </c>
      <c r="P34" s="39">
        <v>61</v>
      </c>
      <c r="Q34" s="39">
        <v>2695</v>
      </c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84</v>
      </c>
      <c r="O35" s="39">
        <v>87</v>
      </c>
      <c r="P35" s="39">
        <v>57</v>
      </c>
      <c r="Q35" s="39">
        <v>2698</v>
      </c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84</v>
      </c>
      <c r="O36" s="39">
        <v>87</v>
      </c>
      <c r="P36" s="39">
        <v>54</v>
      </c>
      <c r="Q36" s="39">
        <v>2700</v>
      </c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84</v>
      </c>
      <c r="O37" s="39">
        <v>87</v>
      </c>
      <c r="P37" s="39">
        <v>51</v>
      </c>
      <c r="Q37" s="39">
        <v>2703</v>
      </c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>
        <v>84</v>
      </c>
      <c r="O38" s="39">
        <v>87</v>
      </c>
      <c r="P38" s="39">
        <v>49</v>
      </c>
      <c r="Q38" s="39">
        <v>2705</v>
      </c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2020-07-31T12:12:57Z</dcterms:modified>
</cp:coreProperties>
</file>