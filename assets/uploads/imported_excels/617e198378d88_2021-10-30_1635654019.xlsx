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32" i="2" l="1"/>
  <c r="I32" i="2"/>
  <c r="H32" i="2"/>
  <c r="F32" i="2"/>
  <c r="E32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<sst xmlns="http://schemas.openxmlformats.org/spreadsheetml/2006/main" count="107" uniqueCount="38">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</sst>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H37" sqref="H3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9729</v>
      </c>
      <c r="F25" s="16">
        <v>0.11799999999999999</v>
      </c>
      <c r="G25" s="18">
        <f>'10 - 2021'!D31-'10 - 2021'!D30+'10 - 2021'!E31-'10 - 2021'!E30</f>
        <v>25.550000000000182</v>
      </c>
      <c r="H25" s="16">
        <v>0.99</v>
      </c>
      <c r="I25" s="18">
        <f>'10 - 2021'!J31-'10 - 2021'!J30</f>
        <v>30270</v>
      </c>
      <c r="J25" s="16">
        <v>8.1000000000000003E-2</v>
      </c>
      <c r="K25" s="33">
        <f>'10 - 2021'!H31-'10 - 2021'!H30</f>
        <v>0</v>
      </c>
      <c r="L25" s="18">
        <f>'10 - 2021'!I31-'10 - 2021'!I30</f>
        <v>111</v>
      </c>
      <c r="M25" s="17">
        <v>4.393629424766913</v>
      </c>
      <c r="N25" s="18">
        <v>80</v>
      </c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9709</v>
      </c>
      <c r="F26" s="16">
        <v>0.11799999999999999</v>
      </c>
      <c r="G26" s="18">
        <f>'10 - 2021'!D32-'10 - 2021'!D31+'10 - 2021'!E32-'10 - 2021'!E31</f>
        <v>23.140000000000327</v>
      </c>
      <c r="H26" s="16">
        <v>0.99</v>
      </c>
      <c r="I26" s="18">
        <f>'10 - 2021'!J32-'10 - 2021'!J31</f>
        <v>29739</v>
      </c>
      <c r="J26" s="16">
        <v>8.1000000000000003E-2</v>
      </c>
      <c r="K26" s="33">
        <f>'10 - 2021'!H32-'10 - 2021'!H31</f>
        <v>0</v>
      </c>
      <c r="L26" s="18">
        <f>'10 - 2021'!I32-'10 - 2021'!I31</f>
        <v>111</v>
      </c>
      <c r="M26" s="17">
        <v>4.393629424766913</v>
      </c>
      <c r="N26" s="29">
        <v>87</v>
      </c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9880</v>
      </c>
      <c r="F27" s="16">
        <v>0.11799999999999999</v>
      </c>
      <c r="G27" s="18">
        <f>'10 - 2021'!D33-'10 - 2021'!D32+'10 - 2021'!E33-'10 - 2021'!E32</f>
        <v>24.859999999999673</v>
      </c>
      <c r="H27" s="16">
        <v>0.99</v>
      </c>
      <c r="I27" s="18">
        <f>'10 - 2021'!J33-'10 - 2021'!J32</f>
        <v>30653</v>
      </c>
      <c r="J27" s="16">
        <v>8.1000000000000003E-2</v>
      </c>
      <c r="K27" s="33">
        <f>'10 - 2021'!H33-'10 - 2021'!H32</f>
        <v>0</v>
      </c>
      <c r="L27" s="18">
        <f>'10 - 2021'!I33-'10 - 2021'!I32</f>
        <v>120</v>
      </c>
      <c r="M27" s="17">
        <v>4.393629424766913</v>
      </c>
      <c r="N27" s="29">
        <v>94</v>
      </c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9696</v>
      </c>
      <c r="F28" s="16">
        <v>0.11799999999999999</v>
      </c>
      <c r="G28" s="18">
        <f>'10 - 2021'!D34-'10 - 2021'!D33+'10 - 2021'!E34-'10 - 2021'!E33</f>
        <v>23.110000000000582</v>
      </c>
      <c r="H28" s="16">
        <v>0.99</v>
      </c>
      <c r="I28" s="18">
        <f>'10 - 2021'!J34-'10 - 2021'!J33</f>
        <v>27285</v>
      </c>
      <c r="J28" s="16">
        <v>8.1000000000000003E-2</v>
      </c>
      <c r="K28" s="33">
        <f>'10 - 2021'!H34-'10 - 2021'!H33</f>
        <v>0</v>
      </c>
      <c r="L28" s="18">
        <f>'10 - 2021'!I34-'10 - 2021'!I33</f>
        <v>110</v>
      </c>
      <c r="M28" s="17">
        <v>4.393629424766913</v>
      </c>
      <c r="N28" s="29">
        <v>88</v>
      </c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9857</v>
      </c>
      <c r="F29" s="16">
        <v>0.11799999999999999</v>
      </c>
      <c r="G29" s="18">
        <f>'10 - 2021'!D35-'10 - 2021'!D34+'10 - 2021'!E35-'10 - 2021'!E34</f>
        <v>24.529999999999745</v>
      </c>
      <c r="H29" s="16">
        <v>0.99</v>
      </c>
      <c r="I29" s="18">
        <f>'10 - 2021'!J35-'10 - 2021'!J34</f>
        <v>26107</v>
      </c>
      <c r="J29" s="16">
        <v>8.1000000000000003E-2</v>
      </c>
      <c r="K29" s="33">
        <f>'10 - 2021'!H35-'10 - 2021'!H34</f>
        <v>0</v>
      </c>
      <c r="L29" s="18">
        <f>'10 - 2021'!I35-'10 - 2021'!I34</f>
        <v>108</v>
      </c>
      <c r="M29" s="17">
        <v>4.393629424766913</v>
      </c>
      <c r="N29" s="29">
        <v>98</v>
      </c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9858</v>
      </c>
      <c r="F30" s="16">
        <v>0.11799999999999999</v>
      </c>
      <c r="G30" s="18">
        <f>'10 - 2021'!D36-'10 - 2021'!D35+'10 - 2021'!E36-'10 - 2021'!E35</f>
        <v>20.079999999999927</v>
      </c>
      <c r="H30" s="16">
        <v>0.99</v>
      </c>
      <c r="I30" s="18">
        <f>'10 - 2021'!J36-'10 - 2021'!J35</f>
        <v>26188</v>
      </c>
      <c r="J30" s="16">
        <v>8.1000000000000003E-2</v>
      </c>
      <c r="K30" s="33">
        <f>'10 - 2021'!H36-'10 - 2021'!H35</f>
        <v>0</v>
      </c>
      <c r="L30" s="18">
        <f>'10 - 2021'!I36-'10 - 2021'!I35</f>
        <v>117</v>
      </c>
      <c r="M30" s="17">
        <v>4.393629424766913</v>
      </c>
      <c r="N30" s="29">
        <v>99</v>
      </c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9911</v>
      </c>
      <c r="F31" s="16">
        <v>0.11799999999999999</v>
      </c>
      <c r="G31" s="18">
        <f>'10 - 2021'!D37-'10 - 2021'!D36+'10 - 2021'!E37-'10 - 2021'!E36</f>
        <v>18.170000000000982</v>
      </c>
      <c r="H31" s="16">
        <v>0.99</v>
      </c>
      <c r="I31" s="18">
        <f>'10 - 2021'!J37-'10 - 2021'!J36</f>
        <v>24859</v>
      </c>
      <c r="J31" s="16">
        <v>8.1000000000000003E-2</v>
      </c>
      <c r="K31" s="33">
        <f>'10 - 2021'!H37-'10 - 2021'!H36</f>
        <v>0</v>
      </c>
      <c r="L31" s="18">
        <f>'10 - 2021'!I37-'10 - 2021'!I36</f>
        <v>109</v>
      </c>
      <c r="M31" s="17">
        <v>4.393629424766913</v>
      </c>
      <c r="N31" s="30">
        <v>101</v>
      </c>
    </row>
    <row r="32" spans="1:17" x14ac:dyDescent="0.25">
      <c r="A32" s="16" t="s">
        <v>27</v>
      </c>
      <c r="B32">
        <v>31</v>
      </c>
      <c r="C32">
        <v>10</v>
      </c>
      <c r="D32" s="16">
        <v>2021</v>
      </c>
      <c r="E32" s="18">
        <f>'10 - 2021'!B38-'10 - 2021'!B37+'10 - 2021'!C38-'10 - 2021'!C37</f>
        <v>9752</v>
      </c>
      <c r="F32" s="16">
        <v>0.11799999999999999</v>
      </c>
      <c r="G32" s="18">
        <f>'10 - 2021'!D38-'10 - 2021'!D37+'10 - 2021'!E38-'10 - 2021'!E37</f>
        <v>18.539999999999964</v>
      </c>
      <c r="H32" s="16">
        <v>0.99</v>
      </c>
      <c r="I32" s="18">
        <f>'10 - 2021'!J38-'10 - 2021'!J37</f>
        <v>23227</v>
      </c>
      <c r="J32" s="16">
        <v>8.1000000000000003E-2</v>
      </c>
      <c r="K32" s="33">
        <f>'10 - 2021'!H38-'10 - 2021'!H37</f>
        <v>0</v>
      </c>
      <c r="L32" s="18">
        <f>'10 - 2021'!I38-'10 - 2021'!I37</f>
        <v>111</v>
      </c>
      <c r="M32" s="17">
        <v>4.393629424766913</v>
      </c>
      <c r="N32" s="30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A10" workbookViewId="0">
      <selection activeCell="D36" sqref="D3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</f>
        <v>3972</v>
      </c>
      <c r="F25" s="18">
        <f>'10 - 2021'!C31-'10 - 2021'!C30</f>
        <v>5757</v>
      </c>
      <c r="G25" s="16">
        <v>0.11799999999999999</v>
      </c>
      <c r="H25" s="18">
        <f>'10 - 2021'!E31-'10 - 2021'!E30</f>
        <v>25.050000000000182</v>
      </c>
      <c r="I25" s="18">
        <f>'10 - 2021'!F31-'10 - 2021'!F30</f>
        <v>7.2000000000000455</v>
      </c>
      <c r="J25" s="18">
        <f>'10 - 2021'!G31-'10 - 2021'!G30</f>
        <v>37</v>
      </c>
      <c r="K25" s="16">
        <v>0.74</v>
      </c>
      <c r="L25" s="6">
        <v>80</v>
      </c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</f>
        <v>3976</v>
      </c>
      <c r="F26" s="18">
        <f>'10 - 2021'!C32-'10 - 2021'!C31</f>
        <v>5733</v>
      </c>
      <c r="G26" s="16">
        <v>0.11799999999999999</v>
      </c>
      <c r="H26" s="18">
        <f>'10 - 2021'!E32-'10 - 2021'!E31</f>
        <v>23.220000000000255</v>
      </c>
      <c r="I26" s="18">
        <f>'10 - 2021'!F32-'10 - 2021'!F31</f>
        <v>7.5099999999999909</v>
      </c>
      <c r="J26" s="18">
        <f>'10 - 2021'!G32-'10 - 2021'!G31</f>
        <v>33.19999999999709</v>
      </c>
      <c r="K26" s="16">
        <v>0.74</v>
      </c>
      <c r="L26" s="6">
        <v>87</v>
      </c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</f>
        <v>4046</v>
      </c>
      <c r="F27" s="18">
        <f>'10 - 2021'!C33-'10 - 2021'!C32</f>
        <v>5834</v>
      </c>
      <c r="G27" s="16">
        <v>0.11799999999999999</v>
      </c>
      <c r="H27" s="18">
        <f>'10 - 2021'!E33-'10 - 2021'!E32</f>
        <v>24.9399999999996</v>
      </c>
      <c r="I27" s="18">
        <f>'10 - 2021'!F33-'10 - 2021'!F32</f>
        <v>7.6000000000000227</v>
      </c>
      <c r="J27" s="18">
        <f>'10 - 2021'!G33-'10 - 2021'!G32</f>
        <v>30.25</v>
      </c>
      <c r="K27" s="16">
        <v>0.74</v>
      </c>
      <c r="L27" s="18">
        <v>94</v>
      </c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</f>
        <v>4044</v>
      </c>
      <c r="F28" s="18">
        <f>'10 - 2021'!C34-'10 - 2021'!C33</f>
        <v>5652</v>
      </c>
      <c r="G28" s="16">
        <v>0.11799999999999999</v>
      </c>
      <c r="H28" s="18">
        <f>'10 - 2021'!E34-'10 - 2021'!E33</f>
        <v>23.180000000000291</v>
      </c>
      <c r="I28" s="18">
        <f>'10 - 2021'!F34-'10 - 2021'!F33</f>
        <v>7.3600000000000136</v>
      </c>
      <c r="J28" s="18">
        <f>'10 - 2021'!G34-'10 - 2021'!G33</f>
        <v>33.060000000004948</v>
      </c>
      <c r="K28" s="16">
        <v>0.74</v>
      </c>
      <c r="L28" s="6">
        <v>88</v>
      </c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</f>
        <v>4052</v>
      </c>
      <c r="F29" s="18">
        <f>'10 - 2021'!C35-'10 - 2021'!C34</f>
        <v>5805</v>
      </c>
      <c r="G29" s="16">
        <v>0.11799999999999999</v>
      </c>
      <c r="H29" s="18">
        <f>'10 - 2021'!E35-'10 - 2021'!E34</f>
        <v>24.599999999999454</v>
      </c>
      <c r="I29" s="18">
        <f>'10 - 2021'!F35-'10 - 2021'!F34</f>
        <v>7.7300000000000182</v>
      </c>
      <c r="J29" s="18">
        <f>'10 - 2021'!G35-'10 - 2021'!G34</f>
        <v>32.629999999997381</v>
      </c>
      <c r="K29" s="16">
        <v>0.74</v>
      </c>
      <c r="L29" s="6">
        <v>98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</f>
        <v>4105</v>
      </c>
      <c r="F30" s="18">
        <f>'10 - 2021'!C36-'10 - 2021'!C35</f>
        <v>5753</v>
      </c>
      <c r="G30" s="16">
        <v>0.11799999999999999</v>
      </c>
      <c r="H30" s="18">
        <f>'10 - 2021'!E36-'10 - 2021'!E35</f>
        <v>20.159999999999854</v>
      </c>
      <c r="I30" s="18">
        <f>'10 - 2021'!F36-'10 - 2021'!F35</f>
        <v>7.0599999999999454</v>
      </c>
      <c r="J30" s="18">
        <f>'10 - 2021'!G36-'10 - 2021'!G35</f>
        <v>34.400000000001455</v>
      </c>
      <c r="K30" s="16">
        <v>0.74</v>
      </c>
      <c r="L30" s="18">
        <v>99</v>
      </c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4093</v>
      </c>
      <c r="F31" s="18">
        <f>'10 - 2021'!C37-'10 - 2021'!C36</f>
        <v>5818</v>
      </c>
      <c r="G31" s="16">
        <v>0.11799999999999999</v>
      </c>
      <c r="H31" s="18">
        <f>'10 - 2021'!E37-'10 - 2021'!E36</f>
        <v>18.240000000000691</v>
      </c>
      <c r="I31" s="18">
        <f>'10 - 2021'!F37-'10 - 2021'!F36</f>
        <v>7.0900000000000318</v>
      </c>
      <c r="J31" s="18">
        <f>'10 - 2021'!G37-'10 - 2021'!G36</f>
        <v>33.599999999998545</v>
      </c>
      <c r="K31" s="16">
        <v>0.74</v>
      </c>
      <c r="L31" s="18">
        <v>101</v>
      </c>
    </row>
    <row r="32" spans="1:13" x14ac:dyDescent="0.25">
      <c r="A32" s="16" t="s">
        <v>27</v>
      </c>
      <c r="B32">
        <v>31</v>
      </c>
      <c r="C32" s="16">
        <v>10</v>
      </c>
      <c r="D32" s="16">
        <v>2021</v>
      </c>
      <c r="E32" s="42">
        <f>'10 - 2021'!B38-'10 - 2021'!B37</f>
        <v>4065</v>
      </c>
      <c r="F32" s="18">
        <f>'10 - 2021'!C38-'10 - 2021'!C37</f>
        <v>5687</v>
      </c>
      <c r="G32" s="16">
        <v>0.11799999999999999</v>
      </c>
      <c r="H32" s="18">
        <f>'10 - 2021'!E38-'10 - 2021'!E37</f>
        <v>18.069999999999709</v>
      </c>
      <c r="I32" s="18">
        <f>'10 - 2021'!F38-'10 - 2021'!F37</f>
        <v>8.2599999999999909</v>
      </c>
      <c r="J32" s="18">
        <f>'10 - 2021'!G38-'10 - 2021'!G37</f>
        <v>34.959999999999127</v>
      </c>
      <c r="K32" s="16">
        <v>0.74</v>
      </c>
      <c r="L32" s="18">
        <v>89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E40" sqref="E40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2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2"/>
      <c r="L7" s="68"/>
      <c r="M7" s="26"/>
    </row>
    <row r="8" spans="1:17" s="50" customFormat="1" ht="12.95" customHeight="1" x14ac:dyDescent="0.25">
      <c r="A8" s="25">
        <f>A7+1</f>
        <v>44470</v>
      </c>
      <c r="B8" s="83">
        <v>1169308</v>
      </c>
      <c r="C8" s="83">
        <v>520265</v>
      </c>
      <c r="D8" s="47">
        <v>0.38</v>
      </c>
      <c r="E8" s="80">
        <v>5838</v>
      </c>
      <c r="F8" s="48">
        <v>440.06</v>
      </c>
      <c r="G8" s="83">
        <v>33408.53</v>
      </c>
      <c r="H8" s="83">
        <v>14528</v>
      </c>
      <c r="I8" s="83">
        <v>132511</v>
      </c>
      <c r="J8" s="83">
        <v>51019892</v>
      </c>
      <c r="K8" s="84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0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2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1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2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1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5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1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1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6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7">
        <v>1202499</v>
      </c>
      <c r="C16" s="53">
        <v>566299</v>
      </c>
      <c r="D16" s="52">
        <v>0.35</v>
      </c>
      <c r="E16" s="37">
        <v>6050.31</v>
      </c>
      <c r="F16" s="86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6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7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>
        <v>4100</v>
      </c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>
        <v>1263607</v>
      </c>
      <c r="C31" s="39">
        <v>653761</v>
      </c>
      <c r="D31" s="52">
        <v>0.78</v>
      </c>
      <c r="E31" s="38">
        <v>6430.05</v>
      </c>
      <c r="F31" s="37">
        <v>612.99</v>
      </c>
      <c r="G31" s="38">
        <v>34186</v>
      </c>
      <c r="H31" s="53">
        <v>14528</v>
      </c>
      <c r="I31" s="39">
        <v>135204</v>
      </c>
      <c r="J31" s="39">
        <v>51782342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>
        <v>1267583</v>
      </c>
      <c r="C32" s="39">
        <v>659494</v>
      </c>
      <c r="D32" s="52">
        <v>0.7</v>
      </c>
      <c r="E32" s="38">
        <v>6453.27</v>
      </c>
      <c r="F32" s="37">
        <v>620.5</v>
      </c>
      <c r="G32" s="38">
        <v>34219.199999999997</v>
      </c>
      <c r="H32" s="53">
        <v>14528</v>
      </c>
      <c r="I32" s="39">
        <v>135315</v>
      </c>
      <c r="J32" s="39">
        <v>51812081</v>
      </c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>
        <v>1271629</v>
      </c>
      <c r="C33" s="39">
        <v>665328</v>
      </c>
      <c r="D33" s="52">
        <v>0.62</v>
      </c>
      <c r="E33" s="38">
        <v>6478.21</v>
      </c>
      <c r="F33" s="37">
        <v>628.1</v>
      </c>
      <c r="G33" s="38">
        <v>34249.449999999997</v>
      </c>
      <c r="H33" s="53">
        <v>14528</v>
      </c>
      <c r="I33" s="39">
        <v>135435</v>
      </c>
      <c r="J33" s="39">
        <v>51842734</v>
      </c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>
        <v>1275673</v>
      </c>
      <c r="C34" s="39">
        <v>670980</v>
      </c>
      <c r="D34" s="52">
        <v>0.55000000000000004</v>
      </c>
      <c r="E34" s="38">
        <v>6501.39</v>
      </c>
      <c r="F34" s="37">
        <v>635.46</v>
      </c>
      <c r="G34" s="38">
        <v>34282.51</v>
      </c>
      <c r="H34" s="53">
        <v>14528</v>
      </c>
      <c r="I34" s="38">
        <v>135545</v>
      </c>
      <c r="J34" s="38">
        <v>51870019</v>
      </c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>
        <v>1279725</v>
      </c>
      <c r="C35" s="61">
        <v>676785</v>
      </c>
      <c r="D35" s="52">
        <v>0.48</v>
      </c>
      <c r="E35" s="38">
        <v>6525.99</v>
      </c>
      <c r="F35" s="37">
        <v>643.19000000000005</v>
      </c>
      <c r="G35" s="37">
        <v>34315.14</v>
      </c>
      <c r="H35" s="53">
        <v>14528</v>
      </c>
      <c r="I35" s="53">
        <v>135653</v>
      </c>
      <c r="J35" s="53">
        <v>51896126</v>
      </c>
      <c r="K35" s="82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>
        <v>1283830</v>
      </c>
      <c r="C36" s="61">
        <v>682538</v>
      </c>
      <c r="D36" s="52">
        <v>0.4</v>
      </c>
      <c r="E36" s="41">
        <v>6546.15</v>
      </c>
      <c r="F36" s="37">
        <v>650.25</v>
      </c>
      <c r="G36" s="37">
        <v>34349.54</v>
      </c>
      <c r="H36" s="53">
        <v>14528</v>
      </c>
      <c r="I36" s="53">
        <v>135770</v>
      </c>
      <c r="J36" s="53">
        <v>51922314</v>
      </c>
      <c r="K36" s="82"/>
      <c r="L36" s="72"/>
    </row>
    <row r="37" spans="1:16" s="62" customFormat="1" x14ac:dyDescent="0.25">
      <c r="A37" s="43">
        <f t="shared" si="0"/>
        <v>44499</v>
      </c>
      <c r="B37" s="53">
        <v>1287923</v>
      </c>
      <c r="C37" s="61">
        <v>688356</v>
      </c>
      <c r="D37" s="52">
        <v>0.33</v>
      </c>
      <c r="E37" s="41">
        <v>6564.39</v>
      </c>
      <c r="F37" s="37">
        <v>657.34</v>
      </c>
      <c r="G37" s="37">
        <v>34383.14</v>
      </c>
      <c r="H37" s="53">
        <v>14528</v>
      </c>
      <c r="I37" s="53">
        <v>135879</v>
      </c>
      <c r="J37" s="53">
        <v>51947173</v>
      </c>
      <c r="K37" s="82">
        <v>3850</v>
      </c>
      <c r="L37" s="65"/>
    </row>
    <row r="38" spans="1:16" ht="15.75" thickBot="1" x14ac:dyDescent="0.3">
      <c r="A38" s="73">
        <f>A37+1</f>
        <v>44500</v>
      </c>
      <c r="B38" s="74">
        <v>1291988</v>
      </c>
      <c r="C38" s="75">
        <v>694043</v>
      </c>
      <c r="D38" s="76">
        <v>0.8</v>
      </c>
      <c r="E38" s="77">
        <v>6582.46</v>
      </c>
      <c r="F38" s="78">
        <v>665.6</v>
      </c>
      <c r="G38" s="78">
        <v>34418.1</v>
      </c>
      <c r="H38" s="74">
        <v>14528</v>
      </c>
      <c r="I38" s="74">
        <v>135990</v>
      </c>
      <c r="J38" s="74">
        <v>51970400</v>
      </c>
      <c r="K38" s="96"/>
      <c r="L38" s="79"/>
    </row>
    <row r="39" spans="1:16" x14ac:dyDescent="0.25">
      <c r="A39" s="27" t="s">
        <v>35</v>
      </c>
      <c r="B39" s="20">
        <f>B38-B7</f>
        <v>126728</v>
      </c>
      <c r="C39" s="20">
        <f>C38-C7</f>
        <v>179580</v>
      </c>
      <c r="D39" s="20"/>
      <c r="E39" s="20">
        <f t="shared" ref="E39:J39" si="1">E38-E7</f>
        <v>769.51000000000022</v>
      </c>
      <c r="F39" s="20">
        <f t="shared" si="1"/>
        <v>233.11</v>
      </c>
      <c r="G39" s="20">
        <f t="shared" si="1"/>
        <v>1043.1999999999971</v>
      </c>
      <c r="H39" s="20">
        <f t="shared" si="1"/>
        <v>0</v>
      </c>
      <c r="I39" s="20">
        <f t="shared" si="1"/>
        <v>3592</v>
      </c>
      <c r="J39" s="20">
        <f t="shared" si="1"/>
        <v>988544</v>
      </c>
      <c r="K39" s="20">
        <f>SUM(K7:K38)</f>
        <v>18350</v>
      </c>
    </row>
    <row r="40" spans="1:16" x14ac:dyDescent="0.25">
      <c r="C40" s="20"/>
      <c r="E40" s="18"/>
      <c r="F40" s="18"/>
      <c r="G40" s="18"/>
      <c r="H40" s="15">
        <f>H39*219.969</f>
        <v>0</v>
      </c>
      <c r="I40" s="20">
        <f>I39*219.969</f>
        <v>790128.64799999993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2021-10-31T04:15:26Z</dcterms:modified>
</cp:coreProperties>
</file>