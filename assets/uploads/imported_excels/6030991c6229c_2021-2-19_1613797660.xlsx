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E26" i="1"/>
  <c r="E27" i="1" s="1"/>
  <c r="L19" i="3" l="1"/>
  <c r="K19" i="3"/>
  <c r="I19" i="3"/>
  <c r="G19" i="3"/>
  <c r="E19" i="3"/>
  <c r="J19" i="2"/>
  <c r="I19" i="2"/>
  <c r="H19" i="2"/>
  <c r="F19" i="2"/>
  <c r="E19" i="2"/>
  <c r="E25" i="1"/>
  <c r="L18" i="3" l="1"/>
  <c r="K18" i="3"/>
  <c r="I18" i="3"/>
  <c r="G18" i="3"/>
  <c r="E18" i="3"/>
  <c r="J18" i="2"/>
  <c r="I18" i="2"/>
  <c r="H18" i="2"/>
  <c r="F18" i="2"/>
  <c r="E18" i="2"/>
  <c r="E24" i="1"/>
  <c r="L17" i="3" l="1"/>
  <c r="K17" i="3"/>
  <c r="I17" i="3"/>
  <c r="G17" i="3"/>
  <c r="E17" i="3"/>
  <c r="J17" i="2"/>
  <c r="I17" i="2"/>
  <c r="H17" i="2"/>
  <c r="F17" i="2"/>
  <c r="E17" i="2"/>
  <c r="E23" i="1"/>
  <c r="E22" i="1" l="1"/>
  <c r="G16" i="3" s="1"/>
  <c r="L16" i="3"/>
  <c r="K16" i="3"/>
  <c r="I16" i="3"/>
  <c r="E16" i="3"/>
  <c r="J16" i="2"/>
  <c r="I16" i="2"/>
  <c r="H16" i="2"/>
  <c r="F16" i="2"/>
  <c r="E16" i="2"/>
  <c r="E21" i="1" l="1"/>
  <c r="G15" i="3" s="1"/>
  <c r="L15" i="3"/>
  <c r="K15" i="3"/>
  <c r="I15" i="3"/>
  <c r="E15" i="3"/>
  <c r="J15" i="2"/>
  <c r="I15" i="2"/>
  <c r="H15" i="2"/>
  <c r="F15" i="2"/>
  <c r="E15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E19" i="1"/>
  <c r="E20" i="1" s="1"/>
  <c r="L12" i="3" l="1"/>
  <c r="K12" i="3"/>
  <c r="I12" i="3"/>
  <c r="G12" i="3"/>
  <c r="E12" i="3"/>
  <c r="J12" i="2"/>
  <c r="I12" i="2"/>
  <c r="H12" i="2"/>
  <c r="F12" i="2"/>
  <c r="E12" i="2"/>
  <c r="E18" i="1"/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1" i="3" l="1"/>
  <c r="K21" i="3"/>
  <c r="I21" i="3"/>
  <c r="G21" i="3"/>
  <c r="E21" i="3"/>
  <c r="L14" i="3" l="1"/>
  <c r="K14" i="3"/>
  <c r="I14" i="3"/>
  <c r="G14" i="3"/>
  <c r="E14" i="3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<sst xmlns="http://schemas.openxmlformats.org/spreadsheetml/2006/main" count="102" uniqueCount="39">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</sst>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12" sqref="T1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8112</v>
      </c>
      <c r="F12" s="22">
        <v>0.11799999999999999</v>
      </c>
      <c r="G12" s="24">
        <f>(('2 - 2020'!E18-'2 - 2020'!E17)+('2 - 2020'!F18-'2 - 2020'!F17)+('2 - 2020'!G18-'2 - 2020'!G17))*1.81</f>
        <v>66.97</v>
      </c>
      <c r="H12" s="22">
        <v>0.99</v>
      </c>
      <c r="I12" s="24">
        <f>'2 - 2020'!J18-'2 - 2020'!J17</f>
        <v>11837</v>
      </c>
      <c r="J12" s="22">
        <v>8.1000000000000003E-2</v>
      </c>
      <c r="K12" s="46">
        <f>'2 - 2020'!H18-'2 - 2020'!H17</f>
        <v>0</v>
      </c>
      <c r="L12" s="24">
        <f>'2 - 2020'!I18-'2 - 2020'!I17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8225</v>
      </c>
      <c r="F13" s="22">
        <v>0.11799999999999999</v>
      </c>
      <c r="G13" s="24">
        <f>(('2 - 2020'!E19-'2 - 2020'!E18)+('2 - 2020'!F19-'2 - 2020'!F18)+('2 - 2020'!G19-'2 - 2020'!G18))*1.81</f>
        <v>72.400000000000006</v>
      </c>
      <c r="H13" s="22">
        <v>0.99</v>
      </c>
      <c r="I13" s="24">
        <f>'2 - 2020'!J19-'2 - 2020'!J18</f>
        <v>12106</v>
      </c>
      <c r="J13" s="22">
        <v>8.1000000000000003E-2</v>
      </c>
      <c r="K13" s="46">
        <f>'2 - 2020'!H19-'2 - 2020'!H18</f>
        <v>0</v>
      </c>
      <c r="L13" s="24">
        <f>'2 - 2020'!I19-'2 - 2020'!I18</f>
        <v>73</v>
      </c>
      <c r="M13" s="23">
        <v>4.393629424766913</v>
      </c>
      <c r="N13" s="24">
        <v>63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8282</v>
      </c>
      <c r="F14" s="22">
        <v>0.11799999999999999</v>
      </c>
      <c r="G14" s="24">
        <f>(('2 - 2020'!E20-'2 - 2020'!E19)+('2 - 2020'!F20-'2 - 2020'!F19)+('2 - 2020'!G20-'2 - 2020'!G19))*1.81</f>
        <v>68.78</v>
      </c>
      <c r="H14" s="22">
        <v>0.99</v>
      </c>
      <c r="I14" s="24">
        <f>'2 - 2020'!J20-'2 - 2020'!J19</f>
        <v>10950</v>
      </c>
      <c r="J14" s="22">
        <v>8.1000000000000003E-2</v>
      </c>
      <c r="K14" s="46">
        <f>'2 - 2020'!H20-'2 - 2020'!H19</f>
        <v>0</v>
      </c>
      <c r="L14" s="24">
        <f>'2 - 2020'!I20-'2 - 2020'!I19</f>
        <v>78</v>
      </c>
      <c r="M14" s="23">
        <v>4.393629424766913</v>
      </c>
      <c r="N14" s="24">
        <v>56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8176</v>
      </c>
      <c r="F15" s="22">
        <v>0.11799999999999999</v>
      </c>
      <c r="G15" s="24">
        <f>(('2 - 2020'!E21-'2 - 2020'!E20)+('2 - 2020'!F21-'2 - 2020'!F20)+('2 - 2020'!G21-'2 - 2020'!G20))*1.81</f>
        <v>65.16</v>
      </c>
      <c r="H15" s="22">
        <v>0.99</v>
      </c>
      <c r="I15" s="24">
        <f>'2 - 2020'!J21-'2 - 2020'!J20</f>
        <v>11133</v>
      </c>
      <c r="J15" s="22">
        <v>8.1000000000000003E-2</v>
      </c>
      <c r="K15" s="46">
        <f>'2 - 2020'!H21-'2 - 2020'!H20</f>
        <v>0</v>
      </c>
      <c r="L15" s="24">
        <f>'2 - 2020'!I21-'2 - 2020'!I20</f>
        <v>71</v>
      </c>
      <c r="M15" s="23">
        <v>4.393629424766913</v>
      </c>
      <c r="N15" s="24">
        <v>63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8476</v>
      </c>
      <c r="F16" s="22">
        <v>0.11799999999999999</v>
      </c>
      <c r="G16" s="24">
        <f>(('2 - 2020'!E22-'2 - 2020'!E21)+('2 - 2020'!F22-'2 - 2020'!F21)+('2 - 2020'!G22-'2 - 2020'!G21))*1.81</f>
        <v>66.933800000000033</v>
      </c>
      <c r="H16" s="22">
        <v>0.99</v>
      </c>
      <c r="I16" s="24">
        <f>'2 - 2020'!J22-'2 - 2020'!J21</f>
        <v>12217</v>
      </c>
      <c r="J16" s="22">
        <v>8.1000000000000003E-2</v>
      </c>
      <c r="K16" s="46">
        <f>'2 - 2020'!H22-'2 - 2020'!H21</f>
        <v>0</v>
      </c>
      <c r="L16" s="24">
        <f>'2 - 2020'!I22-'2 - 2020'!I21</f>
        <v>71</v>
      </c>
      <c r="M16" s="23">
        <v>4.393629424766913</v>
      </c>
      <c r="N16" s="24">
        <v>70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7836</v>
      </c>
      <c r="F17" s="22">
        <v>0.11799999999999999</v>
      </c>
      <c r="G17" s="24">
        <f>(('2 - 2020'!E23-'2 - 2020'!E22)+('2 - 2020'!F23-'2 - 2020'!F22)+('2 - 2020'!G23-'2 - 2020'!G22))*1.81</f>
        <v>65.196199999999962</v>
      </c>
      <c r="H17" s="22">
        <v>0.99</v>
      </c>
      <c r="I17" s="24">
        <f>'2 - 2020'!J23-'2 - 2020'!J22</f>
        <v>10543</v>
      </c>
      <c r="J17" s="22">
        <v>8.1000000000000003E-2</v>
      </c>
      <c r="K17" s="46">
        <f>'2 - 2020'!H23-'2 - 2020'!H22</f>
        <v>0</v>
      </c>
      <c r="L17" s="24">
        <f>'2 - 2020'!I23-'2 - 2020'!I22</f>
        <v>85</v>
      </c>
      <c r="M17" s="23">
        <v>4.393629424766913</v>
      </c>
      <c r="N17" s="24">
        <v>52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8281</v>
      </c>
      <c r="F18" s="22">
        <v>0.11799999999999999</v>
      </c>
      <c r="G18" s="24">
        <f>(('2 - 2020'!E24-'2 - 2020'!E23)+('2 - 2020'!F24-'2 - 2020'!F23)+('2 - 2020'!G24-'2 - 2020'!G23))*1.81</f>
        <v>70.59</v>
      </c>
      <c r="H18" s="22">
        <v>0.99</v>
      </c>
      <c r="I18" s="24">
        <f>'2 - 2020'!J24-'2 - 2020'!J23</f>
        <v>10734</v>
      </c>
      <c r="J18" s="22">
        <v>8.1000000000000003E-2</v>
      </c>
      <c r="K18" s="46">
        <f>'2 - 2020'!H24-'2 - 2020'!H23</f>
        <v>0</v>
      </c>
      <c r="L18" s="24">
        <f>'2 - 2020'!I24-'2 - 2020'!I23</f>
        <v>77</v>
      </c>
      <c r="M18" s="23">
        <v>4.393629424766913</v>
      </c>
      <c r="N18" s="24">
        <v>49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8093</v>
      </c>
      <c r="F19" s="22">
        <v>0.11799999999999999</v>
      </c>
      <c r="G19" s="24">
        <f>(('2 - 2020'!E25-'2 - 2020'!E24)+('2 - 2020'!F25-'2 - 2020'!F24)+('2 - 2020'!G25-'2 - 2020'!G24))*1.81</f>
        <v>72.400000000000006</v>
      </c>
      <c r="H19" s="22">
        <v>0.99</v>
      </c>
      <c r="I19" s="24">
        <f>'2 - 2020'!J25-'2 - 2020'!J24</f>
        <v>12836</v>
      </c>
      <c r="J19" s="22">
        <v>8.1000000000000003E-2</v>
      </c>
      <c r="K19" s="46">
        <f>'2 - 2020'!H25-'2 - 2020'!H24</f>
        <v>0</v>
      </c>
      <c r="L19" s="24">
        <f>'2 - 2020'!I25-'2 - 2020'!I24</f>
        <v>74</v>
      </c>
      <c r="M19" s="23">
        <v>4.393629424766913</v>
      </c>
      <c r="N19" s="40">
        <v>53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8328</v>
      </c>
      <c r="F20" s="22">
        <v>0.11799999999999999</v>
      </c>
      <c r="G20" s="24">
        <f>(('2 - 2020'!E26-'2 - 2020'!E25)+('2 - 2020'!F26-'2 - 2020'!F25)+('2 - 2020'!G26-'2 - 2020'!G25))*1.81</f>
        <v>72.400000000000006</v>
      </c>
      <c r="H20" s="22">
        <v>0.99</v>
      </c>
      <c r="I20" s="24">
        <f>'2 - 2020'!J26-'2 - 2020'!J25</f>
        <v>12883</v>
      </c>
      <c r="J20" s="22">
        <v>8.1000000000000003E-2</v>
      </c>
      <c r="K20" s="46">
        <f>'2 - 2020'!H26-'2 - 2020'!H25</f>
        <v>0</v>
      </c>
      <c r="L20" s="24">
        <f>'2 - 2020'!I26-'2 - 2020'!I25</f>
        <v>82</v>
      </c>
      <c r="M20" s="23">
        <v>4.393629424766913</v>
      </c>
      <c r="N20" s="40">
        <v>56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8353</v>
      </c>
      <c r="F21" s="22">
        <v>0.11799999999999999</v>
      </c>
      <c r="G21" s="24">
        <f>(('2 - 2020'!E27-'2 - 2020'!E26)+('2 - 2020'!F27-'2 - 2020'!F26)+('2 - 2020'!G27-'2 - 2020'!G26))*1.81</f>
        <v>76.02</v>
      </c>
      <c r="H21" s="22">
        <v>0.99</v>
      </c>
      <c r="I21" s="24">
        <f>'2 - 2020'!J27-'2 - 2020'!J26</f>
        <v>13746</v>
      </c>
      <c r="J21" s="22">
        <v>8.1000000000000003E-2</v>
      </c>
      <c r="K21" s="46">
        <f>'2 - 2020'!H27-'2 - 2020'!H26</f>
        <v>0</v>
      </c>
      <c r="L21" s="24">
        <f>'2 - 2020'!I27-'2 - 2020'!I26</f>
        <v>83</v>
      </c>
      <c r="M21" s="23">
        <v>4.393629424766913</v>
      </c>
      <c r="N21" s="40">
        <v>57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v>0</v>
      </c>
      <c r="F22" s="22">
        <v>0.11799999999999999</v>
      </c>
      <c r="G22" s="24">
        <v>0</v>
      </c>
      <c r="H22" s="22">
        <v>0.99</v>
      </c>
      <c r="I22" s="24">
        <v>0</v>
      </c>
      <c r="J22" s="22">
        <v>8.1000000000000003E-2</v>
      </c>
      <c r="K22" s="46">
        <v>0</v>
      </c>
      <c r="L22" s="24"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L21" sqref="L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2893</v>
      </c>
      <c r="F12" s="24">
        <f>'2 - 2020'!C18-'2 - 2020'!C17</f>
        <v>5219</v>
      </c>
      <c r="G12" s="22">
        <v>0.11799999999999999</v>
      </c>
      <c r="H12" s="24">
        <f>'2 - 2020'!E18-'2 - 2020'!E17</f>
        <v>5</v>
      </c>
      <c r="I12" s="24">
        <f>'2 - 2020'!F18-'2 - 2020'!F17</f>
        <v>4</v>
      </c>
      <c r="J12" s="24">
        <f>'2 - 2020'!G18-'2 - 2020'!G17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2997</v>
      </c>
      <c r="F13" s="24">
        <f>'2 - 2020'!C19-'2 - 2020'!C18</f>
        <v>5228</v>
      </c>
      <c r="G13" s="22">
        <v>0.11799999999999999</v>
      </c>
      <c r="H13" s="24">
        <f>'2 - 2020'!E19-'2 - 2020'!E18</f>
        <v>5</v>
      </c>
      <c r="I13" s="24">
        <f>'2 - 2020'!F19-'2 - 2020'!F18</f>
        <v>5</v>
      </c>
      <c r="J13" s="24">
        <f>'2 - 2020'!G19-'2 - 2020'!G18</f>
        <v>30</v>
      </c>
      <c r="K13" s="22">
        <v>0.74</v>
      </c>
      <c r="L13" s="24">
        <v>63</v>
      </c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2946</v>
      </c>
      <c r="F14" s="24">
        <f>'2 - 2020'!C20-'2 - 2020'!C19</f>
        <v>5336</v>
      </c>
      <c r="G14" s="22">
        <v>0.11799999999999999</v>
      </c>
      <c r="H14" s="24">
        <f>'2 - 2020'!E20-'2 - 2020'!E19</f>
        <v>5</v>
      </c>
      <c r="I14" s="24">
        <f>'2 - 2020'!F20-'2 - 2020'!F19</f>
        <v>4</v>
      </c>
      <c r="J14" s="24">
        <f>'2 - 2020'!G20-'2 - 2020'!G19</f>
        <v>29</v>
      </c>
      <c r="K14" s="22">
        <v>0.74</v>
      </c>
      <c r="L14" s="24">
        <v>56</v>
      </c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3012</v>
      </c>
      <c r="F15" s="24">
        <f>'2 - 2020'!C21-'2 - 2020'!C20</f>
        <v>5164</v>
      </c>
      <c r="G15" s="22">
        <v>0.11799999999999999</v>
      </c>
      <c r="H15" s="24">
        <f>'2 - 2020'!E21-'2 - 2020'!E20</f>
        <v>5</v>
      </c>
      <c r="I15" s="24">
        <f>'2 - 2020'!F21-'2 - 2020'!F20</f>
        <v>4</v>
      </c>
      <c r="J15" s="24">
        <f>'2 - 2020'!G21-'2 - 2020'!G20</f>
        <v>27</v>
      </c>
      <c r="K15" s="22">
        <v>0.74</v>
      </c>
      <c r="L15" s="24">
        <v>63</v>
      </c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3112</v>
      </c>
      <c r="F16" s="24">
        <f>'2 - 2020'!C22-'2 - 2020'!C21</f>
        <v>5364</v>
      </c>
      <c r="G16" s="22">
        <v>0.11799999999999999</v>
      </c>
      <c r="H16" s="24">
        <f>'2 - 2020'!E22-'2 - 2020'!E21</f>
        <v>5</v>
      </c>
      <c r="I16" s="24">
        <f>'2 - 2020'!F22-'2 - 2020'!F21</f>
        <v>5.9800000000000182</v>
      </c>
      <c r="J16" s="24">
        <f>'2 - 2020'!G22-'2 - 2020'!G21</f>
        <v>26</v>
      </c>
      <c r="K16" s="22">
        <v>0.74</v>
      </c>
      <c r="L16" s="24">
        <v>70</v>
      </c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2835</v>
      </c>
      <c r="F17" s="24">
        <f>'2 - 2020'!C23-'2 - 2020'!C22</f>
        <v>5001</v>
      </c>
      <c r="G17" s="22">
        <v>0.11799999999999999</v>
      </c>
      <c r="H17" s="24">
        <f>'2 - 2020'!E23-'2 - 2020'!E22</f>
        <v>5</v>
      </c>
      <c r="I17" s="24">
        <f>'2 - 2020'!F23-'2 - 2020'!F22</f>
        <v>4.0199999999999818</v>
      </c>
      <c r="J17" s="24">
        <f>'2 - 2020'!G23-'2 - 2020'!G22</f>
        <v>27</v>
      </c>
      <c r="K17" s="22">
        <v>0.74</v>
      </c>
      <c r="L17" s="24">
        <v>52</v>
      </c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2951</v>
      </c>
      <c r="F18" s="24">
        <f>'2 - 2020'!C24-'2 - 2020'!C23</f>
        <v>5330</v>
      </c>
      <c r="G18" s="22">
        <v>0.11799999999999999</v>
      </c>
      <c r="H18" s="24">
        <f>'2 - 2020'!E24-'2 - 2020'!E23</f>
        <v>5</v>
      </c>
      <c r="I18" s="24">
        <f>'2 - 2020'!F24-'2 - 2020'!F23</f>
        <v>4</v>
      </c>
      <c r="J18" s="24">
        <f>'2 - 2020'!G24-'2 - 2020'!G23</f>
        <v>30</v>
      </c>
      <c r="K18" s="22">
        <v>0.74</v>
      </c>
      <c r="L18" s="24">
        <v>49</v>
      </c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2964</v>
      </c>
      <c r="F19" s="24">
        <f>'2 - 2020'!C25-'2 - 2020'!C24</f>
        <v>5129</v>
      </c>
      <c r="G19" s="22">
        <v>0.11799999999999999</v>
      </c>
      <c r="H19" s="24">
        <f>'2 - 2020'!E25-'2 - 2020'!E24</f>
        <v>5</v>
      </c>
      <c r="I19" s="24">
        <f>'2 - 2020'!F25-'2 - 2020'!F24</f>
        <v>4</v>
      </c>
      <c r="J19" s="24">
        <f>'2 - 2020'!G25-'2 - 2020'!G24</f>
        <v>31</v>
      </c>
      <c r="K19" s="22">
        <v>0.74</v>
      </c>
      <c r="L19" s="24">
        <v>53</v>
      </c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3003</v>
      </c>
      <c r="F20" s="24">
        <f>'2 - 2020'!C26-'2 - 2020'!C25</f>
        <v>5325</v>
      </c>
      <c r="G20" s="22">
        <v>0.11799999999999999</v>
      </c>
      <c r="H20" s="24">
        <f>'2 - 2020'!E26-'2 - 2020'!E25</f>
        <v>5</v>
      </c>
      <c r="I20" s="24">
        <f>'2 - 2020'!F26-'2 - 2020'!F25</f>
        <v>4</v>
      </c>
      <c r="J20" s="24">
        <f>'2 - 2020'!G26-'2 - 2020'!G25</f>
        <v>31</v>
      </c>
      <c r="K20" s="22">
        <v>0.74</v>
      </c>
      <c r="L20" s="6">
        <v>56</v>
      </c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3029</v>
      </c>
      <c r="F21" s="24">
        <f>'2 - 2020'!C27-'2 - 2020'!C26</f>
        <v>5324</v>
      </c>
      <c r="G21" s="22">
        <v>0.11799999999999999</v>
      </c>
      <c r="H21" s="24">
        <f>'2 - 2020'!E27-'2 - 2020'!E26</f>
        <v>5</v>
      </c>
      <c r="I21" s="24">
        <f>'2 - 2020'!F27-'2 - 2020'!F26</f>
        <v>5</v>
      </c>
      <c r="J21" s="24">
        <f>'2 - 2020'!G27-'2 - 2020'!G26</f>
        <v>32</v>
      </c>
      <c r="K21" s="22">
        <v>0.74</v>
      </c>
      <c r="L21" s="6">
        <v>57</v>
      </c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v>0</v>
      </c>
      <c r="F22" s="24">
        <v>0</v>
      </c>
      <c r="G22" s="22">
        <v>0.11799999999999999</v>
      </c>
      <c r="H22" s="24">
        <v>0</v>
      </c>
      <c r="I22" s="24">
        <v>0</v>
      </c>
      <c r="J22" s="24"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4" zoomScaleNormal="100" workbookViewId="0">
      <selection activeCell="E24" sqref="E24:E27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27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>
        <v>356677</v>
      </c>
      <c r="C19" s="47">
        <v>203296</v>
      </c>
      <c r="D19" s="16">
        <v>0.82</v>
      </c>
      <c r="E19" s="19">
        <f t="shared" si="1"/>
        <v>13625</v>
      </c>
      <c r="F19" s="21">
        <v>3058</v>
      </c>
      <c r="G19" s="48">
        <v>26045</v>
      </c>
      <c r="H19" s="15">
        <v>14528</v>
      </c>
      <c r="I19" s="47">
        <v>110168</v>
      </c>
      <c r="J19" s="47">
        <v>44302296</v>
      </c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>
        <v>359623</v>
      </c>
      <c r="C20" s="47">
        <v>208632</v>
      </c>
      <c r="D20" s="16">
        <v>0.77</v>
      </c>
      <c r="E20" s="19">
        <f t="shared" si="1"/>
        <v>13630</v>
      </c>
      <c r="F20" s="21">
        <v>3062</v>
      </c>
      <c r="G20" s="48">
        <v>26074</v>
      </c>
      <c r="H20" s="15">
        <v>14528</v>
      </c>
      <c r="I20" s="47">
        <v>110246</v>
      </c>
      <c r="J20" s="47">
        <v>44313246</v>
      </c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>
        <v>362635</v>
      </c>
      <c r="C21" s="47">
        <v>213796</v>
      </c>
      <c r="D21" s="16">
        <v>0.72</v>
      </c>
      <c r="E21" s="19">
        <f t="shared" si="1"/>
        <v>13635</v>
      </c>
      <c r="F21" s="21">
        <v>3066</v>
      </c>
      <c r="G21" s="48">
        <v>26101</v>
      </c>
      <c r="H21" s="15">
        <v>14528</v>
      </c>
      <c r="I21" s="47">
        <v>110317</v>
      </c>
      <c r="J21" s="47">
        <v>44324379</v>
      </c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>
        <v>365747</v>
      </c>
      <c r="C22" s="47">
        <v>219160</v>
      </c>
      <c r="D22" s="16">
        <v>0.67</v>
      </c>
      <c r="E22" s="19">
        <f t="shared" si="1"/>
        <v>13640</v>
      </c>
      <c r="F22" s="21">
        <v>3071.98</v>
      </c>
      <c r="G22" s="48">
        <v>26127</v>
      </c>
      <c r="H22" s="15">
        <v>14528</v>
      </c>
      <c r="I22" s="48">
        <v>110388</v>
      </c>
      <c r="J22" s="47">
        <v>44336596</v>
      </c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>
        <v>368582</v>
      </c>
      <c r="C23" s="47">
        <v>224161</v>
      </c>
      <c r="D23" s="16">
        <v>0.6</v>
      </c>
      <c r="E23" s="19">
        <f t="shared" si="1"/>
        <v>13645</v>
      </c>
      <c r="F23" s="21">
        <v>3076</v>
      </c>
      <c r="G23" s="48">
        <v>26154</v>
      </c>
      <c r="H23" s="15">
        <v>14528</v>
      </c>
      <c r="I23" s="47">
        <v>110473</v>
      </c>
      <c r="J23" s="47">
        <v>44347139</v>
      </c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>
        <v>371533</v>
      </c>
      <c r="C24" s="47">
        <v>229491</v>
      </c>
      <c r="D24" s="16">
        <v>0.55000000000000004</v>
      </c>
      <c r="E24" s="19">
        <f t="shared" si="1"/>
        <v>13650</v>
      </c>
      <c r="F24" s="21">
        <v>3080</v>
      </c>
      <c r="G24" s="48">
        <v>26184</v>
      </c>
      <c r="H24" s="15">
        <v>14528</v>
      </c>
      <c r="I24" s="47">
        <v>110550</v>
      </c>
      <c r="J24" s="47">
        <v>44357873</v>
      </c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>
        <v>374497</v>
      </c>
      <c r="C25" s="48">
        <v>234620</v>
      </c>
      <c r="D25" s="25">
        <v>0.5</v>
      </c>
      <c r="E25" s="19">
        <f t="shared" si="1"/>
        <v>13655</v>
      </c>
      <c r="F25" s="21">
        <v>3084</v>
      </c>
      <c r="G25" s="48">
        <v>26215</v>
      </c>
      <c r="H25" s="15">
        <v>14528</v>
      </c>
      <c r="I25" s="47">
        <v>110624</v>
      </c>
      <c r="J25" s="47">
        <v>44370709</v>
      </c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>
        <v>377500</v>
      </c>
      <c r="C26" s="48">
        <v>239945</v>
      </c>
      <c r="D26" s="25">
        <v>0.43</v>
      </c>
      <c r="E26" s="19">
        <f t="shared" si="1"/>
        <v>13660</v>
      </c>
      <c r="F26" s="21">
        <v>3088</v>
      </c>
      <c r="G26" s="48">
        <v>26246</v>
      </c>
      <c r="H26" s="15">
        <v>14528</v>
      </c>
      <c r="I26" s="47">
        <v>110706</v>
      </c>
      <c r="J26" s="47">
        <v>44383592</v>
      </c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>
        <v>380529</v>
      </c>
      <c r="C27" s="47">
        <v>245269</v>
      </c>
      <c r="D27" s="16">
        <v>0.35</v>
      </c>
      <c r="E27" s="19">
        <f t="shared" si="1"/>
        <v>13665</v>
      </c>
      <c r="F27" s="21">
        <v>3093</v>
      </c>
      <c r="G27" s="48">
        <v>26278</v>
      </c>
      <c r="H27" s="15">
        <v>14528</v>
      </c>
      <c r="I27" s="47">
        <v>110789</v>
      </c>
      <c r="J27" s="47">
        <v>44397338</v>
      </c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2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2"/>
        <v>-14528</v>
      </c>
      <c r="I39" s="30">
        <f>I38-I7</f>
        <v>-109234</v>
      </c>
      <c r="J39" s="30">
        <f>J38-J7</f>
        <v>-44171258</v>
      </c>
      <c r="K39" s="30">
        <f t="shared" ref="K39" si="3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4">E32-E10</f>
        <v>-13580</v>
      </c>
      <c r="F42" s="58">
        <f t="shared" si="4"/>
        <v>-3017</v>
      </c>
      <c r="G42" s="58">
        <f t="shared" si="4"/>
        <v>-25778</v>
      </c>
      <c r="H42" s="58">
        <f t="shared" si="4"/>
        <v>-14528</v>
      </c>
      <c r="I42" s="58">
        <f t="shared" si="4"/>
        <v>-109493</v>
      </c>
      <c r="J42" s="58">
        <f t="shared" si="4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2021-02-20T05:06:36Z</dcterms:modified>
</cp:coreProperties>
</file>