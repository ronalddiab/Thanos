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9B3F2F4-9209-45C8-8743-2064DDB90E1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13" i="2"/>
  <c r="Y12" i="2"/>
  <c r="O32" i="3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H20" i="2" l="1"/>
  <c r="F2" i="3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<sst xmlns="http://schemas.openxmlformats.org/spreadsheetml/2006/main" count="77" uniqueCount="40">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</sst>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0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4080</v>
      </c>
      <c r="F13" s="113">
        <f>(December!C13*0.27)/(December!C13+December!E13)</f>
        <v>0.23168382352941178</v>
      </c>
      <c r="G13" s="100">
        <f>December!U13</f>
        <v>50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34</v>
      </c>
      <c r="P13" s="103">
        <f>December!AD13</f>
        <v>46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4185</v>
      </c>
      <c r="F14" s="113">
        <f>(December!C14*0.27)/(December!C14+December!E14)</f>
        <v>0.22580645161290325</v>
      </c>
      <c r="G14" s="100">
        <f>December!U14</f>
        <v>125</v>
      </c>
      <c r="H14" s="116">
        <v>0.62</v>
      </c>
      <c r="I14" s="101">
        <f>December!W14</f>
        <v>58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39</v>
      </c>
      <c r="P14" s="103">
        <f>December!AD14</f>
        <v>60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4514</v>
      </c>
      <c r="F15" s="113">
        <f>(December!C15*0.27)/(December!C15+December!E15)</f>
        <v>0.228907842268498</v>
      </c>
      <c r="G15" s="100">
        <f>December!U15</f>
        <v>125</v>
      </c>
      <c r="H15" s="116">
        <v>0.62</v>
      </c>
      <c r="I15" s="101">
        <f>December!W15</f>
        <v>59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87</v>
      </c>
      <c r="P15" s="103">
        <f>December!AD15</f>
        <v>148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4184</v>
      </c>
      <c r="F16" s="113">
        <f>(December!C16*0.27)/(December!C16+December!E16)</f>
        <v>0.2288934034416826</v>
      </c>
      <c r="G16" s="100">
        <f>December!U16</f>
        <v>25</v>
      </c>
      <c r="H16" s="116">
        <v>0.62</v>
      </c>
      <c r="I16" s="101">
        <f>December!W16</f>
        <v>59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35</v>
      </c>
      <c r="P16" s="103">
        <f>December!AD16</f>
        <v>47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4145</v>
      </c>
      <c r="F17" s="113">
        <f>(December!C17*0.27)/(December!C17+December!E17)</f>
        <v>0.25150060313630879</v>
      </c>
      <c r="G17" s="100">
        <f>December!U17</f>
        <v>50</v>
      </c>
      <c r="H17" s="116">
        <v>0.62</v>
      </c>
      <c r="I17" s="101">
        <f>December!W17</f>
        <v>50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28</v>
      </c>
      <c r="P17" s="103">
        <f>December!AD17</f>
        <v>38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4045</v>
      </c>
      <c r="F18" s="113">
        <f>(December!C18*0.27)/(December!C18+December!E18)</f>
        <v>0.22487762669962919</v>
      </c>
      <c r="G18" s="100">
        <f>December!U18</f>
        <v>75</v>
      </c>
      <c r="H18" s="116">
        <v>0.62</v>
      </c>
      <c r="I18" s="101">
        <f>December!W18</f>
        <v>37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29</v>
      </c>
      <c r="P18" s="103">
        <f>December!AD18</f>
        <v>39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4624</v>
      </c>
      <c r="F19" s="113">
        <f>(December!C19*0.27)/(December!C19+December!E19)</f>
        <v>0.23023572664359865</v>
      </c>
      <c r="G19" s="100">
        <f>December!U19</f>
        <v>100</v>
      </c>
      <c r="H19" s="116">
        <v>0.62</v>
      </c>
      <c r="I19" s="101">
        <f>December!W19</f>
        <v>50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8000</v>
      </c>
      <c r="N19" s="122">
        <v>0.88</v>
      </c>
      <c r="O19" s="103">
        <f>December!AC19</f>
        <v>34</v>
      </c>
      <c r="P19" s="103">
        <f>December!AD19</f>
        <v>50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4335</v>
      </c>
      <c r="F20" s="113">
        <f>(December!C20*0.27)/(December!C20+December!E20)</f>
        <v>0.22777162629757788</v>
      </c>
      <c r="G20" s="100">
        <f>December!U20</f>
        <v>50</v>
      </c>
      <c r="H20" s="116">
        <v>0.62</v>
      </c>
      <c r="I20" s="101">
        <f>December!W20</f>
        <v>44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36</v>
      </c>
      <c r="P20" s="103">
        <f>December!AD20</f>
        <v>55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 t="str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H9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-831.97000000000844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-41224.26</v>
      </c>
      <c r="J3" s="32">
        <f t="shared" si="0"/>
        <v>7.7399999999979627</v>
      </c>
      <c r="K3" s="20">
        <f t="shared" si="1"/>
        <v>45628</v>
      </c>
      <c r="L3" s="33">
        <v>6296</v>
      </c>
      <c r="M3" s="31">
        <v>0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1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1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1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1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1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1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1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1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45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>
        <f t="shared" si="2"/>
        <v>3501</v>
      </c>
      <c r="D13" s="11">
        <v>612870</v>
      </c>
      <c r="E13" s="14">
        <f t="shared" si="3"/>
        <v>579</v>
      </c>
      <c r="F13" s="27">
        <v>1704</v>
      </c>
      <c r="G13" s="70">
        <f t="shared" si="4"/>
        <v>0</v>
      </c>
      <c r="H13" s="72">
        <f t="shared" si="5"/>
        <v>4080</v>
      </c>
      <c r="I13" s="76">
        <f t="shared" si="6"/>
        <v>-41559.519999999997</v>
      </c>
      <c r="J13" s="32">
        <f t="shared" si="0"/>
        <v>104.0199999999968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>
        <f t="shared" si="8"/>
        <v>50</v>
      </c>
      <c r="V13" s="44">
        <v>121807</v>
      </c>
      <c r="W13" s="32" t="str">
        <f t="shared" si="9"/>
        <v>0</v>
      </c>
      <c r="X13" s="47">
        <v>61237</v>
      </c>
      <c r="Y13" s="14">
        <f t="shared" si="10"/>
        <v>1</v>
      </c>
      <c r="Z13" s="50">
        <v>2400</v>
      </c>
      <c r="AA13" s="55">
        <v>0</v>
      </c>
      <c r="AB13" s="32">
        <f t="shared" si="11"/>
        <v>0</v>
      </c>
      <c r="AC13" s="13">
        <v>34</v>
      </c>
      <c r="AD13" s="18">
        <v>46</v>
      </c>
    </row>
    <row r="14" spans="1:30" ht="20.7" customHeight="1" x14ac:dyDescent="0.2">
      <c r="A14" s="19">
        <v>45639</v>
      </c>
      <c r="B14" s="10">
        <v>13334342</v>
      </c>
      <c r="C14" s="14">
        <f t="shared" si="2"/>
        <v>3500</v>
      </c>
      <c r="D14" s="11">
        <v>613449</v>
      </c>
      <c r="E14" s="14">
        <f t="shared" si="3"/>
        <v>685</v>
      </c>
      <c r="F14" s="27">
        <v>1704</v>
      </c>
      <c r="G14" s="70">
        <f t="shared" si="4"/>
        <v>0</v>
      </c>
      <c r="H14" s="72">
        <f t="shared" si="5"/>
        <v>4185</v>
      </c>
      <c r="I14" s="76">
        <f t="shared" si="6"/>
        <v>-41455.5</v>
      </c>
      <c r="J14" s="32">
        <f t="shared" si="0"/>
        <v>328.02999999999884</v>
      </c>
      <c r="K14" s="20">
        <f t="shared" si="1"/>
        <v>45639</v>
      </c>
      <c r="L14" s="33">
        <v>2703</v>
      </c>
      <c r="M14" s="34">
        <v>0</v>
      </c>
      <c r="N14" s="35">
        <v>0</v>
      </c>
      <c r="O14" s="88">
        <v>0.79</v>
      </c>
      <c r="P14" s="89">
        <v>0.77</v>
      </c>
      <c r="Q14" s="88">
        <v>0.71</v>
      </c>
      <c r="R14" s="89">
        <v>0.7</v>
      </c>
      <c r="S14" s="39">
        <f t="shared" si="7"/>
        <v>4605</v>
      </c>
      <c r="T14" s="126"/>
      <c r="U14" s="32">
        <f t="shared" si="8"/>
        <v>125</v>
      </c>
      <c r="V14" s="44">
        <v>27</v>
      </c>
      <c r="W14" s="32">
        <f t="shared" si="9"/>
        <v>58</v>
      </c>
      <c r="X14" s="47">
        <v>61238</v>
      </c>
      <c r="Y14" s="14">
        <f t="shared" si="10"/>
        <v>3</v>
      </c>
      <c r="Z14" s="50">
        <v>2400</v>
      </c>
      <c r="AA14" s="55">
        <v>0</v>
      </c>
      <c r="AB14" s="32">
        <f t="shared" si="11"/>
        <v>0</v>
      </c>
      <c r="AC14" s="13">
        <v>39</v>
      </c>
      <c r="AD14" s="18">
        <v>60</v>
      </c>
    </row>
    <row r="15" spans="1:30" ht="20.7" customHeight="1" x14ac:dyDescent="0.2">
      <c r="A15" s="20">
        <v>45640</v>
      </c>
      <c r="B15" s="10">
        <v>13337842</v>
      </c>
      <c r="C15" s="14">
        <f t="shared" si="2"/>
        <v>3827</v>
      </c>
      <c r="D15" s="11">
        <v>614134</v>
      </c>
      <c r="E15" s="14">
        <f t="shared" si="3"/>
        <v>687</v>
      </c>
      <c r="F15" s="27">
        <v>1704</v>
      </c>
      <c r="G15" s="70">
        <f t="shared" si="4"/>
        <v>0</v>
      </c>
      <c r="H15" s="72">
        <f t="shared" si="5"/>
        <v>4514</v>
      </c>
      <c r="I15" s="76">
        <f t="shared" si="6"/>
        <v>-41127.47</v>
      </c>
      <c r="J15" s="32">
        <f t="shared" si="0"/>
        <v>-330.97999999999593</v>
      </c>
      <c r="K15" s="20">
        <f t="shared" si="1"/>
        <v>45640</v>
      </c>
      <c r="L15" s="33">
        <v>2423</v>
      </c>
      <c r="M15" s="34">
        <v>0</v>
      </c>
      <c r="N15" s="35">
        <v>0</v>
      </c>
      <c r="O15" s="88">
        <v>0.76</v>
      </c>
      <c r="P15" s="89">
        <v>0.75</v>
      </c>
      <c r="Q15" s="88">
        <v>0.71</v>
      </c>
      <c r="R15" s="89">
        <v>0.7</v>
      </c>
      <c r="S15" s="39">
        <f t="shared" si="7"/>
        <v>4480</v>
      </c>
      <c r="T15" s="126"/>
      <c r="U15" s="32">
        <f t="shared" si="8"/>
        <v>125</v>
      </c>
      <c r="V15" s="44">
        <v>85</v>
      </c>
      <c r="W15" s="32">
        <f t="shared" si="9"/>
        <v>59</v>
      </c>
      <c r="X15" s="47">
        <v>61241</v>
      </c>
      <c r="Y15" s="14">
        <f t="shared" si="10"/>
        <v>0</v>
      </c>
      <c r="Z15" s="50">
        <v>2400</v>
      </c>
      <c r="AA15" s="55">
        <v>0</v>
      </c>
      <c r="AB15" s="32">
        <f t="shared" si="11"/>
        <v>0</v>
      </c>
      <c r="AC15" s="13">
        <v>87</v>
      </c>
      <c r="AD15" s="18">
        <v>148</v>
      </c>
    </row>
    <row r="16" spans="1:30" ht="20.7" customHeight="1" x14ac:dyDescent="0.2">
      <c r="A16" s="19">
        <v>45641</v>
      </c>
      <c r="B16" s="10">
        <v>13341669</v>
      </c>
      <c r="C16" s="14">
        <f t="shared" si="2"/>
        <v>3547</v>
      </c>
      <c r="D16" s="11">
        <v>614821</v>
      </c>
      <c r="E16" s="14">
        <f t="shared" si="3"/>
        <v>637</v>
      </c>
      <c r="F16" s="27">
        <v>1704</v>
      </c>
      <c r="G16" s="70">
        <f t="shared" si="4"/>
        <v>0</v>
      </c>
      <c r="H16" s="72">
        <f t="shared" si="5"/>
        <v>4184</v>
      </c>
      <c r="I16" s="76">
        <f t="shared" si="6"/>
        <v>-41458.449999999997</v>
      </c>
      <c r="J16" s="32">
        <f t="shared" si="0"/>
        <v>-39.990000000005239</v>
      </c>
      <c r="K16" s="20">
        <f t="shared" si="1"/>
        <v>45641</v>
      </c>
      <c r="L16" s="33">
        <v>2098</v>
      </c>
      <c r="M16" s="34">
        <v>0</v>
      </c>
      <c r="N16" s="35">
        <v>0</v>
      </c>
      <c r="O16" s="88">
        <v>0.74</v>
      </c>
      <c r="P16" s="89">
        <v>0.72</v>
      </c>
      <c r="Q16" s="88">
        <v>0.71</v>
      </c>
      <c r="R16" s="89">
        <v>0.7</v>
      </c>
      <c r="S16" s="39">
        <f t="shared" si="7"/>
        <v>4355</v>
      </c>
      <c r="T16" s="126"/>
      <c r="U16" s="32">
        <f t="shared" si="8"/>
        <v>25</v>
      </c>
      <c r="V16" s="44">
        <v>144</v>
      </c>
      <c r="W16" s="32">
        <f t="shared" si="9"/>
        <v>59</v>
      </c>
      <c r="X16" s="47">
        <v>61241</v>
      </c>
      <c r="Y16" s="14">
        <f t="shared" si="10"/>
        <v>0</v>
      </c>
      <c r="Z16" s="50">
        <v>2400</v>
      </c>
      <c r="AA16" s="55">
        <v>0</v>
      </c>
      <c r="AB16" s="32">
        <f t="shared" si="11"/>
        <v>0</v>
      </c>
      <c r="AC16" s="13">
        <v>35</v>
      </c>
      <c r="AD16" s="18">
        <v>47</v>
      </c>
    </row>
    <row r="17" spans="1:30" ht="20.7" customHeight="1" x14ac:dyDescent="0.2">
      <c r="A17" s="20">
        <v>45642</v>
      </c>
      <c r="B17" s="10">
        <v>13345216</v>
      </c>
      <c r="C17" s="14">
        <f t="shared" si="2"/>
        <v>3861</v>
      </c>
      <c r="D17" s="11">
        <v>615458</v>
      </c>
      <c r="E17" s="14">
        <f t="shared" si="3"/>
        <v>284</v>
      </c>
      <c r="F17" s="27">
        <v>1704</v>
      </c>
      <c r="G17" s="70">
        <f t="shared" si="4"/>
        <v>0</v>
      </c>
      <c r="H17" s="72">
        <f t="shared" si="5"/>
        <v>4145</v>
      </c>
      <c r="I17" s="76">
        <f t="shared" si="6"/>
        <v>-41498.44</v>
      </c>
      <c r="J17" s="32">
        <f t="shared" si="0"/>
        <v>-100.98999999999796</v>
      </c>
      <c r="K17" s="20">
        <f t="shared" si="1"/>
        <v>45642</v>
      </c>
      <c r="L17" s="33">
        <v>1782</v>
      </c>
      <c r="M17" s="34">
        <v>0</v>
      </c>
      <c r="N17" s="35">
        <v>0</v>
      </c>
      <c r="O17" s="88">
        <v>0.73</v>
      </c>
      <c r="P17" s="89">
        <v>0.72</v>
      </c>
      <c r="Q17" s="88">
        <v>0.71</v>
      </c>
      <c r="R17" s="89">
        <v>0.7</v>
      </c>
      <c r="S17" s="39">
        <f t="shared" si="7"/>
        <v>4330</v>
      </c>
      <c r="T17" s="126"/>
      <c r="U17" s="32">
        <f t="shared" si="8"/>
        <v>50</v>
      </c>
      <c r="V17" s="44">
        <v>203</v>
      </c>
      <c r="W17" s="32">
        <f t="shared" si="9"/>
        <v>50</v>
      </c>
      <c r="X17" s="47">
        <v>61241</v>
      </c>
      <c r="Y17" s="14">
        <f t="shared" si="10"/>
        <v>3</v>
      </c>
      <c r="Z17" s="50">
        <v>2400</v>
      </c>
      <c r="AA17" s="55">
        <v>0</v>
      </c>
      <c r="AB17" s="32">
        <f t="shared" si="11"/>
        <v>0</v>
      </c>
      <c r="AC17" s="13">
        <v>28</v>
      </c>
      <c r="AD17" s="18">
        <v>38</v>
      </c>
    </row>
    <row r="18" spans="1:30" ht="20.7" customHeight="1" x14ac:dyDescent="0.2">
      <c r="A18" s="19">
        <v>45643</v>
      </c>
      <c r="B18" s="10">
        <v>13349077</v>
      </c>
      <c r="C18" s="14">
        <f t="shared" si="2"/>
        <v>3369</v>
      </c>
      <c r="D18" s="11">
        <v>615742</v>
      </c>
      <c r="E18" s="14">
        <f t="shared" si="3"/>
        <v>676</v>
      </c>
      <c r="F18" s="27">
        <v>1704</v>
      </c>
      <c r="G18" s="70">
        <f t="shared" si="4"/>
        <v>0</v>
      </c>
      <c r="H18" s="72">
        <f t="shared" si="5"/>
        <v>4045</v>
      </c>
      <c r="I18" s="76">
        <f t="shared" si="6"/>
        <v>-41599.43</v>
      </c>
      <c r="J18" s="32">
        <f t="shared" si="0"/>
        <v>-7421.9799999999959</v>
      </c>
      <c r="K18" s="20">
        <f t="shared" si="1"/>
        <v>45643</v>
      </c>
      <c r="L18" s="33">
        <v>2400</v>
      </c>
      <c r="M18" s="34">
        <v>0</v>
      </c>
      <c r="N18" s="35">
        <v>0</v>
      </c>
      <c r="O18" s="88">
        <v>0.72</v>
      </c>
      <c r="P18" s="89">
        <v>0.71</v>
      </c>
      <c r="Q18" s="88">
        <v>0.71</v>
      </c>
      <c r="R18" s="89">
        <v>0.7</v>
      </c>
      <c r="S18" s="39">
        <f t="shared" si="7"/>
        <v>4280</v>
      </c>
      <c r="T18" s="126"/>
      <c r="U18" s="32">
        <f t="shared" si="8"/>
        <v>75</v>
      </c>
      <c r="V18" s="44">
        <v>253</v>
      </c>
      <c r="W18" s="32">
        <f t="shared" si="9"/>
        <v>37</v>
      </c>
      <c r="X18" s="47">
        <v>61244</v>
      </c>
      <c r="Y18" s="14">
        <f t="shared" si="10"/>
        <v>0</v>
      </c>
      <c r="Z18" s="50">
        <v>2400</v>
      </c>
      <c r="AA18" s="55">
        <v>0</v>
      </c>
      <c r="AB18" s="32">
        <f t="shared" si="11"/>
        <v>0</v>
      </c>
      <c r="AC18" s="13">
        <v>29</v>
      </c>
      <c r="AD18" s="18">
        <v>39</v>
      </c>
    </row>
    <row r="19" spans="1:30" ht="20.7" customHeight="1" x14ac:dyDescent="0.2">
      <c r="A19" s="20">
        <v>45644</v>
      </c>
      <c r="B19" s="10">
        <v>13352446</v>
      </c>
      <c r="C19" s="14">
        <f t="shared" si="2"/>
        <v>3943</v>
      </c>
      <c r="D19" s="11">
        <v>616418</v>
      </c>
      <c r="E19" s="14">
        <f t="shared" si="3"/>
        <v>681</v>
      </c>
      <c r="F19" s="27">
        <v>1704</v>
      </c>
      <c r="G19" s="70">
        <f t="shared" si="4"/>
        <v>0</v>
      </c>
      <c r="H19" s="72">
        <f t="shared" si="5"/>
        <v>4624</v>
      </c>
      <c r="I19" s="76">
        <f t="shared" si="6"/>
        <v>-49021.409999999996</v>
      </c>
      <c r="J19" s="32">
        <f t="shared" si="0"/>
        <v>7710.0299999999988</v>
      </c>
      <c r="K19" s="20">
        <f t="shared" si="1"/>
        <v>45644</v>
      </c>
      <c r="L19" s="33">
        <v>1151</v>
      </c>
      <c r="M19" s="34">
        <v>8000</v>
      </c>
      <c r="N19" s="35">
        <v>0</v>
      </c>
      <c r="O19" s="88">
        <v>0.7</v>
      </c>
      <c r="P19" s="89">
        <v>0.7</v>
      </c>
      <c r="Q19" s="88">
        <v>0.71</v>
      </c>
      <c r="R19" s="89">
        <v>0.7</v>
      </c>
      <c r="S19" s="39">
        <f t="shared" si="7"/>
        <v>4205</v>
      </c>
      <c r="T19" s="126"/>
      <c r="U19" s="32">
        <f t="shared" si="8"/>
        <v>100</v>
      </c>
      <c r="V19" s="44">
        <v>290</v>
      </c>
      <c r="W19" s="32">
        <f t="shared" si="9"/>
        <v>50</v>
      </c>
      <c r="X19" s="47">
        <v>61244</v>
      </c>
      <c r="Y19" s="14">
        <f t="shared" si="10"/>
        <v>0</v>
      </c>
      <c r="Z19" s="50">
        <v>2400</v>
      </c>
      <c r="AA19" s="55">
        <v>0</v>
      </c>
      <c r="AB19" s="32">
        <f t="shared" si="11"/>
        <v>0</v>
      </c>
      <c r="AC19" s="13">
        <v>34</v>
      </c>
      <c r="AD19" s="18">
        <v>50</v>
      </c>
    </row>
    <row r="20" spans="1:30" ht="20.7" customHeight="1" x14ac:dyDescent="0.2">
      <c r="A20" s="19">
        <v>45645</v>
      </c>
      <c r="B20" s="10">
        <v>13356389</v>
      </c>
      <c r="C20" s="14">
        <f t="shared" si="2"/>
        <v>3657</v>
      </c>
      <c r="D20" s="11">
        <v>617099</v>
      </c>
      <c r="E20" s="14">
        <f t="shared" si="3"/>
        <v>678</v>
      </c>
      <c r="F20" s="27">
        <v>1704</v>
      </c>
      <c r="G20" s="70">
        <f t="shared" si="4"/>
        <v>0</v>
      </c>
      <c r="H20" s="72">
        <f t="shared" si="5"/>
        <v>4335</v>
      </c>
      <c r="I20" s="76">
        <f t="shared" si="6"/>
        <v>-41311.379999999997</v>
      </c>
      <c r="J20" s="32">
        <f t="shared" si="0"/>
        <v>-4336</v>
      </c>
      <c r="K20" s="20">
        <f t="shared" si="1"/>
        <v>45645</v>
      </c>
      <c r="L20" s="33">
        <v>8823</v>
      </c>
      <c r="M20" s="34">
        <v>0</v>
      </c>
      <c r="N20" s="35">
        <v>0</v>
      </c>
      <c r="O20" s="88">
        <v>0.67</v>
      </c>
      <c r="P20" s="89">
        <v>0.69</v>
      </c>
      <c r="Q20" s="88">
        <v>0.71</v>
      </c>
      <c r="R20" s="89">
        <v>0.7</v>
      </c>
      <c r="S20" s="39">
        <f t="shared" si="7"/>
        <v>4105</v>
      </c>
      <c r="T20" s="126"/>
      <c r="U20" s="32">
        <f t="shared" si="8"/>
        <v>50</v>
      </c>
      <c r="V20" s="44">
        <v>340</v>
      </c>
      <c r="W20" s="32">
        <f t="shared" si="9"/>
        <v>44</v>
      </c>
      <c r="X20" s="47">
        <v>61244</v>
      </c>
      <c r="Y20" s="14">
        <f t="shared" si="10"/>
        <v>0</v>
      </c>
      <c r="Z20" s="50">
        <v>2400</v>
      </c>
      <c r="AA20" s="55">
        <v>0</v>
      </c>
      <c r="AB20" s="32">
        <f t="shared" si="11"/>
        <v>0</v>
      </c>
      <c r="AC20" s="13">
        <v>36</v>
      </c>
      <c r="AD20" s="18">
        <v>55</v>
      </c>
    </row>
    <row r="21" spans="1:30" ht="20.7" customHeight="1" x14ac:dyDescent="0.2">
      <c r="A21" s="20">
        <v>45646</v>
      </c>
      <c r="B21" s="10">
        <v>13360046</v>
      </c>
      <c r="C21" s="14" t="str">
        <f t="shared" si="2"/>
        <v>0</v>
      </c>
      <c r="D21" s="11">
        <v>617777</v>
      </c>
      <c r="E21" s="14" t="str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-45647.38</v>
      </c>
      <c r="J21" s="32">
        <f t="shared" si="0"/>
        <v>0.37999999999738066</v>
      </c>
      <c r="K21" s="20">
        <f t="shared" si="1"/>
        <v>45646</v>
      </c>
      <c r="L21" s="33">
        <v>8432</v>
      </c>
      <c r="M21" s="34">
        <v>0</v>
      </c>
      <c r="N21" s="35">
        <v>0</v>
      </c>
      <c r="O21" s="88">
        <v>0.67</v>
      </c>
      <c r="P21" s="89">
        <v>0.67</v>
      </c>
      <c r="Q21" s="88">
        <v>0.71</v>
      </c>
      <c r="R21" s="89">
        <v>0.7</v>
      </c>
      <c r="S21" s="40">
        <f t="shared" si="7"/>
        <v>4055</v>
      </c>
      <c r="T21" s="126"/>
      <c r="U21" s="32" t="str">
        <f t="shared" si="8"/>
        <v>0</v>
      </c>
      <c r="V21" s="44">
        <v>384</v>
      </c>
      <c r="W21" s="32" t="str">
        <f t="shared" si="9"/>
        <v>0</v>
      </c>
      <c r="X21" s="47">
        <v>61244</v>
      </c>
      <c r="Y21" s="14" t="str">
        <f t="shared" si="10"/>
        <v>0</v>
      </c>
      <c r="Z21" s="50">
        <v>2400</v>
      </c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71473</v>
      </c>
      <c r="D33" s="80"/>
      <c r="E33" s="79">
        <f>SUM(E2:E32)</f>
        <v>11153</v>
      </c>
      <c r="F33" s="81"/>
      <c r="G33" s="79">
        <f>SUM(G2:G32)</f>
        <v>0</v>
      </c>
      <c r="H33" s="80">
        <f>SUM(H2:H32)</f>
        <v>82626</v>
      </c>
      <c r="I33" s="79">
        <f>SUM(I2:I31)</f>
        <v>-1294648.04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1195</v>
      </c>
      <c r="V33" s="78"/>
      <c r="W33" s="79">
        <f>SUM(W2:W32)</f>
        <v>387</v>
      </c>
      <c r="X33" s="78"/>
      <c r="Y33" s="79">
        <f>SUM(Y2:Y32)</f>
        <v>25</v>
      </c>
      <c r="Z33" s="78"/>
      <c r="AA33" s="78">
        <f>SUM(AA2:AA32)</f>
        <v>0</v>
      </c>
      <c r="AB33" s="79">
        <f>SUM(AB2:AB32)</f>
        <v>0</v>
      </c>
      <c r="AC33" s="82">
        <f>SUM(AC2:AC32)</f>
        <v>1078</v>
      </c>
      <c r="AD33" s="83">
        <f>SUM(AD2:AD32)</f>
        <v>1751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2024-12-20T06:50:20Z</dcterms:modified>
  <cp:category/>
  <cp:contentStatus/>
</cp:coreProperties>
</file>