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 activeTab="3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" i="5" l="1"/>
  <c r="I10" i="5"/>
  <c r="I6" i="5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J4" i="9"/>
  <c r="H4" i="10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H11" i="10"/>
  <c r="H10" i="10"/>
  <c r="I11" i="10" s="1"/>
  <c r="H9" i="10"/>
  <c r="H8" i="10"/>
  <c r="H7" i="10"/>
  <c r="I6" i="10"/>
  <c r="H6" i="10"/>
  <c r="H5" i="10"/>
  <c r="I5" i="10" s="1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J27" i="9" s="1"/>
  <c r="G27" i="9"/>
  <c r="G26" i="9"/>
  <c r="I26" i="9" s="1"/>
  <c r="G25" i="9"/>
  <c r="I25" i="9" s="1"/>
  <c r="J25" i="9" s="1"/>
  <c r="G24" i="9"/>
  <c r="I24" i="9" s="1"/>
  <c r="J24" i="9" s="1"/>
  <c r="I23" i="9"/>
  <c r="G23" i="9"/>
  <c r="G22" i="9"/>
  <c r="I22" i="9" s="1"/>
  <c r="J22" i="9" s="1"/>
  <c r="G21" i="9"/>
  <c r="I21" i="9" s="1"/>
  <c r="G20" i="9"/>
  <c r="I20" i="9" s="1"/>
  <c r="J20" i="9" s="1"/>
  <c r="I19" i="9"/>
  <c r="G19" i="9"/>
  <c r="G18" i="9"/>
  <c r="I18" i="9" s="1"/>
  <c r="G17" i="9"/>
  <c r="I17" i="9" s="1"/>
  <c r="J17" i="9" s="1"/>
  <c r="G16" i="9"/>
  <c r="I16" i="9" s="1"/>
  <c r="J16" i="9" s="1"/>
  <c r="I15" i="9"/>
  <c r="J15" i="9" s="1"/>
  <c r="G15" i="9"/>
  <c r="G14" i="9"/>
  <c r="I14" i="9" s="1"/>
  <c r="J14" i="9" s="1"/>
  <c r="G13" i="9"/>
  <c r="I13" i="9" s="1"/>
  <c r="G12" i="9"/>
  <c r="I12" i="9" s="1"/>
  <c r="J12" i="9" s="1"/>
  <c r="I11" i="9"/>
  <c r="G11" i="9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I9" i="5" s="1"/>
  <c r="H10" i="8"/>
  <c r="I8" i="5" s="1"/>
  <c r="H9" i="8"/>
  <c r="I7" i="5" s="1"/>
  <c r="H8" i="8"/>
  <c r="H7" i="8"/>
  <c r="H5" i="8"/>
  <c r="I10" i="10" l="1"/>
  <c r="J11" i="9"/>
  <c r="I9" i="10"/>
  <c r="I36" i="10" s="1"/>
  <c r="J9" i="9"/>
  <c r="I8" i="10"/>
  <c r="I7" i="10"/>
  <c r="J8" i="9"/>
  <c r="H6" i="8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J35" i="9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<sst xmlns="http://schemas.openxmlformats.org/spreadsheetml/2006/main" count="73" uniqueCount="38">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</sst>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zoomScale="110" zoomScaleNormal="110" workbookViewId="0">
      <selection activeCell="I3" sqref="I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1.9</v>
      </c>
      <c r="G2" s="13">
        <v>0</v>
      </c>
      <c r="H2" s="3">
        <v>4.12</v>
      </c>
      <c r="I2" s="13">
        <v>0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1.9</v>
      </c>
      <c r="G3" s="13">
        <f>Gas!J5</f>
        <v>0</v>
      </c>
      <c r="H3" s="3">
        <v>4.12</v>
      </c>
      <c r="I3" s="13">
        <f>Water!H5</f>
        <v>8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1.9</v>
      </c>
      <c r="G4" s="13">
        <f>Gas!J6</f>
        <v>0</v>
      </c>
      <c r="H4" s="3">
        <v>4.12</v>
      </c>
      <c r="I4" s="13">
        <f>Water!H6</f>
        <v>2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1.9</v>
      </c>
      <c r="G5" s="13">
        <f>Gas!J7</f>
        <v>0</v>
      </c>
      <c r="H5" s="3">
        <v>4.12</v>
      </c>
      <c r="I5" s="13">
        <f>Water!H7</f>
        <v>9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1.9</v>
      </c>
      <c r="G6" s="13">
        <f>Gas!J8</f>
        <v>253.07092799991369</v>
      </c>
      <c r="H6" s="3">
        <v>4.12</v>
      </c>
      <c r="I6" s="13">
        <f>Water!H8</f>
        <v>20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2194.2000000011176</v>
      </c>
      <c r="F7" s="3">
        <v>1.9</v>
      </c>
      <c r="G7" s="13">
        <f>Gas!J9</f>
        <v>383.44079999998212</v>
      </c>
      <c r="H7" s="3">
        <v>4.12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2141.7600000016391</v>
      </c>
      <c r="F8" s="3">
        <v>1.9</v>
      </c>
      <c r="G8" s="13">
        <f>Gas!J10</f>
        <v>296.52755200001411</v>
      </c>
      <c r="H8" s="3">
        <v>4.12</v>
      </c>
      <c r="I8" s="13">
        <f>Water!H10</f>
        <v>11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-13411400.280000001</v>
      </c>
      <c r="F9" s="3">
        <v>1.9</v>
      </c>
      <c r="G9" s="13">
        <f>Gas!J11</f>
        <v>-1193353.4047119999</v>
      </c>
      <c r="H9" s="3">
        <v>4.12</v>
      </c>
      <c r="I9" s="13">
        <f>Water!H11</f>
        <v>-12278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0</v>
      </c>
      <c r="F10" s="3">
        <v>1.9</v>
      </c>
      <c r="G10" s="13">
        <f>Gas!J12</f>
        <v>0</v>
      </c>
      <c r="H10" s="3">
        <v>4.12</v>
      </c>
      <c r="I10" s="13">
        <f>Water!H12</f>
        <v>0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0</v>
      </c>
      <c r="F11" s="3">
        <v>1.9</v>
      </c>
      <c r="G11" s="13">
        <f>Gas!J13</f>
        <v>0</v>
      </c>
      <c r="H11" s="3">
        <v>4.12</v>
      </c>
      <c r="I11" s="13">
        <f>Water!H13</f>
        <v>0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0</v>
      </c>
      <c r="F12" s="3">
        <v>1.9</v>
      </c>
      <c r="G12" s="13">
        <f>Gas!J14</f>
        <v>0</v>
      </c>
      <c r="H12" s="3">
        <v>4.12</v>
      </c>
      <c r="I12" s="13">
        <f>Water!E14</f>
        <v>0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0</v>
      </c>
      <c r="F13" s="3">
        <v>1.9</v>
      </c>
      <c r="G13" s="13">
        <f>Gas!J15</f>
        <v>0</v>
      </c>
      <c r="H13" s="3">
        <v>4.12</v>
      </c>
      <c r="I13" s="13">
        <f>Water!E15</f>
        <v>0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0</v>
      </c>
      <c r="F14" s="3">
        <v>1.9</v>
      </c>
      <c r="G14" s="13">
        <f>Gas!J16</f>
        <v>0</v>
      </c>
      <c r="H14" s="3">
        <v>4.12</v>
      </c>
      <c r="I14" s="13">
        <f>Water!E16</f>
        <v>0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0</v>
      </c>
      <c r="F15" s="3">
        <v>1.9</v>
      </c>
      <c r="G15" s="13">
        <f>Gas!J17</f>
        <v>0</v>
      </c>
      <c r="H15" s="3">
        <v>4.12</v>
      </c>
      <c r="I15" s="13">
        <f>Water!E17</f>
        <v>0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0</v>
      </c>
      <c r="F16" s="3">
        <v>1.9</v>
      </c>
      <c r="G16" s="13">
        <f>Gas!J18</f>
        <v>0</v>
      </c>
      <c r="H16" s="3">
        <v>4.12</v>
      </c>
      <c r="I16" s="13">
        <f>Water!E18</f>
        <v>0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0</v>
      </c>
      <c r="F17" s="3">
        <v>1.9</v>
      </c>
      <c r="G17" s="13">
        <f>Gas!J19</f>
        <v>0</v>
      </c>
      <c r="H17" s="3">
        <v>4.12</v>
      </c>
      <c r="I17" s="13">
        <f>Water!E19</f>
        <v>0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0</v>
      </c>
      <c r="F18" s="3">
        <v>1.9</v>
      </c>
      <c r="G18" s="13">
        <f>Gas!J20</f>
        <v>0</v>
      </c>
      <c r="H18" s="3">
        <v>4.12</v>
      </c>
      <c r="I18" s="13">
        <f>Water!E20</f>
        <v>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0</v>
      </c>
      <c r="F19" s="3">
        <v>1.9</v>
      </c>
      <c r="G19" s="13">
        <f>Gas!J21</f>
        <v>0</v>
      </c>
      <c r="H19" s="3">
        <v>4.12</v>
      </c>
      <c r="I19" s="13">
        <f>Water!E21</f>
        <v>0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0</v>
      </c>
      <c r="F20" s="3">
        <v>1.9</v>
      </c>
      <c r="G20" s="13">
        <f>Gas!J22</f>
        <v>0</v>
      </c>
      <c r="H20" s="3">
        <v>4.12</v>
      </c>
      <c r="I20" s="13">
        <f>Water!E22</f>
        <v>0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0</v>
      </c>
      <c r="F21" s="3">
        <v>1.9</v>
      </c>
      <c r="G21" s="13">
        <f>Gas!J23</f>
        <v>0</v>
      </c>
      <c r="H21" s="3">
        <v>4.12</v>
      </c>
      <c r="I21" s="13">
        <f>Water!E23</f>
        <v>0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0</v>
      </c>
      <c r="F22" s="3">
        <v>1.9</v>
      </c>
      <c r="G22" s="13">
        <f>Gas!J24</f>
        <v>0</v>
      </c>
      <c r="H22" s="3">
        <v>4.12</v>
      </c>
      <c r="I22" s="13">
        <f>Water!E24</f>
        <v>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4.12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4.12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4.12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4.12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4.12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4.12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4.12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4.12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4.12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1.9</v>
      </c>
      <c r="G32" s="13">
        <f>Gas!J34</f>
        <v>0</v>
      </c>
      <c r="H32" s="3">
        <v>4.12</v>
      </c>
      <c r="I32" s="13">
        <f>Water!E34</f>
        <v>0</v>
      </c>
      <c r="J32" s="3">
        <v>18.03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opLeftCell="B1" workbookViewId="0">
      <selection activeCell="F10" sqref="F1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>
        <v>12267</v>
      </c>
      <c r="F9" s="24">
        <v>1065</v>
      </c>
      <c r="G9" s="24">
        <f t="shared" si="0"/>
        <v>13332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>
        <v>12278</v>
      </c>
      <c r="F10" s="24">
        <v>1065</v>
      </c>
      <c r="G10" s="24">
        <f t="shared" si="0"/>
        <v>13343</v>
      </c>
      <c r="H10" s="25">
        <f>G10-G9</f>
        <v>11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/>
      <c r="F11" s="24">
        <v>1065</v>
      </c>
      <c r="G11" s="24">
        <f t="shared" si="0"/>
        <v>1065</v>
      </c>
      <c r="H11" s="25">
        <f t="shared" si="1"/>
        <v>-12278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/>
      <c r="F12" s="24">
        <v>1065</v>
      </c>
      <c r="G12" s="24">
        <f t="shared" si="0"/>
        <v>1065</v>
      </c>
      <c r="H12" s="25">
        <f t="shared" si="1"/>
        <v>0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/>
      <c r="F13" s="24">
        <v>1065</v>
      </c>
      <c r="G13" s="24">
        <f t="shared" si="0"/>
        <v>1065</v>
      </c>
      <c r="H13" s="25">
        <f t="shared" si="1"/>
        <v>0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/>
      <c r="F14" s="24">
        <v>1065</v>
      </c>
      <c r="G14" s="24">
        <f t="shared" si="0"/>
        <v>1065</v>
      </c>
      <c r="H14" s="25">
        <f t="shared" si="1"/>
        <v>0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E11" sqref="E1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1.2781359999999999</v>
      </c>
      <c r="I7" s="24">
        <f t="shared" si="0"/>
        <v>1192420.365432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1.2781359999999999</v>
      </c>
      <c r="I8" s="24">
        <f t="shared" si="0"/>
        <v>1192673.4363599999</v>
      </c>
      <c r="J8" s="25">
        <f t="shared" si="2"/>
        <v>253.07092799991369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>
        <v>761293</v>
      </c>
      <c r="F9" s="24">
        <v>172142</v>
      </c>
      <c r="G9" s="24">
        <f t="shared" si="1"/>
        <v>933435</v>
      </c>
      <c r="H9" s="18">
        <v>1.2781359999999999</v>
      </c>
      <c r="I9" s="24">
        <f t="shared" si="0"/>
        <v>1193056.8771599999</v>
      </c>
      <c r="J9" s="25">
        <f t="shared" si="2"/>
        <v>383.44079999998212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>
        <v>761525</v>
      </c>
      <c r="F10" s="24">
        <v>172142</v>
      </c>
      <c r="G10" s="24">
        <f t="shared" si="1"/>
        <v>933667</v>
      </c>
      <c r="H10" s="18">
        <v>1.2781359999999999</v>
      </c>
      <c r="I10" s="24">
        <f t="shared" si="0"/>
        <v>1193353.4047119999</v>
      </c>
      <c r="J10" s="25">
        <f t="shared" si="2"/>
        <v>296.52755200001411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/>
      <c r="F11" s="24"/>
      <c r="G11" s="24">
        <f t="shared" si="1"/>
        <v>0</v>
      </c>
      <c r="H11" s="18">
        <v>1.2781359999999999</v>
      </c>
      <c r="I11" s="24">
        <f>H11*G11</f>
        <v>0</v>
      </c>
      <c r="J11" s="25">
        <f t="shared" si="2"/>
        <v>-1193353.4047119999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/>
      <c r="F12" s="24"/>
      <c r="G12" s="24">
        <f t="shared" si="1"/>
        <v>0</v>
      </c>
      <c r="H12" s="18">
        <v>1.2781359999999999</v>
      </c>
      <c r="I12" s="24">
        <f t="shared" si="0"/>
        <v>0</v>
      </c>
      <c r="J12" s="25">
        <f t="shared" si="2"/>
        <v>0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/>
      <c r="F13" s="24"/>
      <c r="G13" s="24">
        <f t="shared" si="1"/>
        <v>0</v>
      </c>
      <c r="H13" s="18">
        <v>1.2781359999999999</v>
      </c>
      <c r="I13" s="24">
        <f t="shared" si="0"/>
        <v>0</v>
      </c>
      <c r="J13" s="25">
        <f t="shared" si="2"/>
        <v>0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/>
      <c r="F14" s="24"/>
      <c r="G14" s="24">
        <f t="shared" si="1"/>
        <v>0</v>
      </c>
      <c r="H14" s="18">
        <v>1.2781359999999999</v>
      </c>
      <c r="I14" s="24">
        <f t="shared" si="0"/>
        <v>0</v>
      </c>
      <c r="J14" s="25">
        <f t="shared" si="2"/>
        <v>0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/>
      <c r="F15" s="24"/>
      <c r="G15" s="24">
        <f>E15+F15</f>
        <v>0</v>
      </c>
      <c r="H15" s="18">
        <v>1.2781359999999999</v>
      </c>
      <c r="I15" s="24">
        <f t="shared" si="0"/>
        <v>0</v>
      </c>
      <c r="J15" s="25">
        <f t="shared" si="2"/>
        <v>0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/>
      <c r="F16" s="24"/>
      <c r="G16" s="24">
        <f t="shared" si="1"/>
        <v>0</v>
      </c>
      <c r="H16" s="18">
        <v>1.2781359999999999</v>
      </c>
      <c r="I16" s="24">
        <f t="shared" si="0"/>
        <v>0</v>
      </c>
      <c r="J16" s="25">
        <f t="shared" si="2"/>
        <v>0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/>
      <c r="F17" s="24"/>
      <c r="G17" s="24">
        <f>E17+F17</f>
        <v>0</v>
      </c>
      <c r="H17" s="18">
        <v>1.2781359999999999</v>
      </c>
      <c r="I17" s="24">
        <f t="shared" si="0"/>
        <v>0</v>
      </c>
      <c r="J17" s="25">
        <f t="shared" si="2"/>
        <v>0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/>
      <c r="F18" s="24"/>
      <c r="G18" s="24">
        <f t="shared" si="1"/>
        <v>0</v>
      </c>
      <c r="H18" s="18">
        <v>1.2781359999999999</v>
      </c>
      <c r="I18" s="24">
        <f t="shared" si="0"/>
        <v>0</v>
      </c>
      <c r="J18" s="25">
        <f t="shared" si="2"/>
        <v>0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/>
      <c r="F19" s="24"/>
      <c r="G19" s="24">
        <f t="shared" si="1"/>
        <v>0</v>
      </c>
      <c r="H19" s="18">
        <v>1.2781359999999999</v>
      </c>
      <c r="I19" s="24">
        <f t="shared" si="0"/>
        <v>0</v>
      </c>
      <c r="J19" s="25">
        <f t="shared" si="2"/>
        <v>0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/>
      <c r="F20" s="24"/>
      <c r="G20" s="24">
        <f t="shared" si="1"/>
        <v>0</v>
      </c>
      <c r="H20" s="18">
        <v>1.2781359999999999</v>
      </c>
      <c r="I20" s="24">
        <f t="shared" si="0"/>
        <v>0</v>
      </c>
      <c r="J20" s="25">
        <f t="shared" si="2"/>
        <v>0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/>
      <c r="F21" s="24"/>
      <c r="G21" s="24">
        <f t="shared" si="1"/>
        <v>0</v>
      </c>
      <c r="H21" s="18">
        <v>1.2781359999999999</v>
      </c>
      <c r="I21" s="24">
        <f t="shared" si="0"/>
        <v>0</v>
      </c>
      <c r="J21" s="25">
        <f t="shared" si="2"/>
        <v>0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/>
      <c r="F22" s="24"/>
      <c r="G22" s="24">
        <f t="shared" si="1"/>
        <v>0</v>
      </c>
      <c r="H22" s="18">
        <v>1.2781359999999999</v>
      </c>
      <c r="I22" s="24">
        <f t="shared" si="0"/>
        <v>0</v>
      </c>
      <c r="J22" s="25">
        <f t="shared" si="2"/>
        <v>0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/>
      <c r="F23" s="24"/>
      <c r="G23" s="24">
        <f t="shared" si="1"/>
        <v>0</v>
      </c>
      <c r="H23" s="18">
        <v>1.2781359999999999</v>
      </c>
      <c r="I23" s="24">
        <f t="shared" si="0"/>
        <v>0</v>
      </c>
      <c r="J23" s="25">
        <f t="shared" si="2"/>
        <v>0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/>
      <c r="F24" s="24"/>
      <c r="G24" s="24">
        <f t="shared" si="1"/>
        <v>0</v>
      </c>
      <c r="H24" s="18">
        <v>1.2781359999999999</v>
      </c>
      <c r="I24" s="24">
        <f t="shared" si="0"/>
        <v>0</v>
      </c>
      <c r="J24" s="25">
        <f t="shared" si="2"/>
        <v>0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0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abSelected="1" topLeftCell="A7" workbookViewId="0">
      <selection activeCell="F11" sqref="F11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>
        <v>4858.4269999999997</v>
      </c>
      <c r="G9" s="23">
        <v>2760</v>
      </c>
      <c r="H9" s="24">
        <f t="shared" si="1"/>
        <v>13409258.52</v>
      </c>
      <c r="I9" s="25">
        <f t="shared" si="2"/>
        <v>2194.2000000011176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>
        <v>4859.2030000000004</v>
      </c>
      <c r="G10" s="23">
        <v>2760</v>
      </c>
      <c r="H10" s="24">
        <f t="shared" si="1"/>
        <v>13411400.280000001</v>
      </c>
      <c r="I10" s="25">
        <f t="shared" si="2"/>
        <v>2141.7600000016391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/>
      <c r="G11" s="23">
        <v>2760</v>
      </c>
      <c r="H11" s="24">
        <f t="shared" si="1"/>
        <v>0</v>
      </c>
      <c r="I11" s="25">
        <f t="shared" si="2"/>
        <v>-13411400.280000001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/>
      <c r="G12" s="23">
        <v>2760</v>
      </c>
      <c r="H12" s="24">
        <f t="shared" si="1"/>
        <v>0</v>
      </c>
      <c r="I12" s="25">
        <f t="shared" si="2"/>
        <v>0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/>
      <c r="G13" s="23">
        <v>2760</v>
      </c>
      <c r="H13" s="24">
        <f t="shared" si="1"/>
        <v>0</v>
      </c>
      <c r="I13" s="25">
        <f t="shared" si="2"/>
        <v>0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/>
      <c r="G14" s="23">
        <v>2760</v>
      </c>
      <c r="H14" s="24">
        <f t="shared" si="1"/>
        <v>0</v>
      </c>
      <c r="I14" s="25">
        <f t="shared" si="2"/>
        <v>0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/>
      <c r="G15" s="23">
        <v>2760</v>
      </c>
      <c r="H15" s="24">
        <f t="shared" si="1"/>
        <v>0</v>
      </c>
      <c r="I15" s="25">
        <f t="shared" si="2"/>
        <v>0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/>
      <c r="G16" s="23">
        <v>2760</v>
      </c>
      <c r="H16" s="24">
        <f>G16*F16</f>
        <v>0</v>
      </c>
      <c r="I16" s="25">
        <f>H16-H15</f>
        <v>0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/>
      <c r="G17" s="23">
        <v>2760</v>
      </c>
      <c r="H17" s="24">
        <f t="shared" si="1"/>
        <v>0</v>
      </c>
      <c r="I17" s="25">
        <f>H17-H16</f>
        <v>0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/>
      <c r="G18" s="23">
        <v>2760</v>
      </c>
      <c r="H18" s="24">
        <f t="shared" si="1"/>
        <v>0</v>
      </c>
      <c r="I18" s="25">
        <f t="shared" si="2"/>
        <v>0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/>
      <c r="G19" s="23">
        <v>2760</v>
      </c>
      <c r="H19" s="24">
        <f t="shared" si="1"/>
        <v>0</v>
      </c>
      <c r="I19" s="25">
        <f t="shared" si="2"/>
        <v>0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/>
      <c r="G20" s="23">
        <v>2760</v>
      </c>
      <c r="H20" s="24">
        <f>G20*F20</f>
        <v>0</v>
      </c>
      <c r="I20" s="25">
        <f>H20-H19</f>
        <v>0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/>
      <c r="G21" s="23">
        <v>2760</v>
      </c>
      <c r="H21" s="24">
        <f t="shared" si="1"/>
        <v>0</v>
      </c>
      <c r="I21" s="25">
        <f t="shared" si="2"/>
        <v>0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/>
      <c r="G22" s="23">
        <v>2760</v>
      </c>
      <c r="H22" s="24">
        <f t="shared" si="1"/>
        <v>0</v>
      </c>
      <c r="I22" s="25">
        <f t="shared" si="2"/>
        <v>0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/>
      <c r="G23" s="23">
        <v>2760</v>
      </c>
      <c r="H23" s="24">
        <f t="shared" si="1"/>
        <v>0</v>
      </c>
      <c r="I23" s="25">
        <f t="shared" si="2"/>
        <v>0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/>
      <c r="G24" s="23">
        <v>2760</v>
      </c>
      <c r="H24" s="24">
        <f t="shared" si="1"/>
        <v>0</v>
      </c>
      <c r="I24" s="25">
        <f t="shared" si="2"/>
        <v>0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0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2022-05-07T03:02:43Z</dcterms:modified>
</cp:coreProperties>
</file>