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  <externalReference r:id="rId9"/>
  </externalReferenc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10" l="1"/>
  <c r="E4" i="5" s="1"/>
  <c r="I7" i="10"/>
  <c r="I8" i="10"/>
  <c r="E6" i="5" s="1"/>
  <c r="I9" i="10"/>
  <c r="I10" i="10"/>
  <c r="I11" i="10"/>
  <c r="I12" i="10"/>
  <c r="I13" i="10"/>
  <c r="E11" i="5" s="1"/>
  <c r="I14" i="10"/>
  <c r="E12" i="5" s="1"/>
  <c r="I15" i="10"/>
  <c r="I16" i="10"/>
  <c r="E14" i="5" s="1"/>
  <c r="I17" i="10"/>
  <c r="I18" i="10"/>
  <c r="I19" i="10"/>
  <c r="I20" i="10"/>
  <c r="I21" i="10"/>
  <c r="E19" i="5" s="1"/>
  <c r="I22" i="10"/>
  <c r="E20" i="5" s="1"/>
  <c r="I23" i="10"/>
  <c r="I24" i="10"/>
  <c r="E22" i="5" s="1"/>
  <c r="I25" i="10"/>
  <c r="I26" i="10"/>
  <c r="I27" i="10"/>
  <c r="I28" i="10"/>
  <c r="I29" i="10"/>
  <c r="E27" i="5" s="1"/>
  <c r="I30" i="10"/>
  <c r="E28" i="5" s="1"/>
  <c r="I31" i="10"/>
  <c r="I32" i="10"/>
  <c r="E30" i="5" s="1"/>
  <c r="I33" i="10"/>
  <c r="I34" i="10"/>
  <c r="I35" i="10"/>
  <c r="I5" i="10"/>
  <c r="J6" i="9"/>
  <c r="J7" i="9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J33" i="9"/>
  <c r="J34" i="9"/>
  <c r="J5" i="9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5" i="8"/>
  <c r="E3" i="5"/>
  <c r="E5" i="5"/>
  <c r="E7" i="5"/>
  <c r="E8" i="5"/>
  <c r="E9" i="5"/>
  <c r="E10" i="5"/>
  <c r="E13" i="5"/>
  <c r="E15" i="5"/>
  <c r="E16" i="5"/>
  <c r="E17" i="5"/>
  <c r="E18" i="5"/>
  <c r="E21" i="5"/>
  <c r="E23" i="5"/>
  <c r="E24" i="5"/>
  <c r="E25" i="5"/>
  <c r="E26" i="5"/>
  <c r="E29" i="5"/>
  <c r="E31" i="5"/>
  <c r="E32" i="5"/>
  <c r="E2" i="5"/>
  <c r="AD4" i="10" l="1"/>
  <c r="I4" i="10"/>
  <c r="H4" i="8"/>
  <c r="J36" i="10" l="1"/>
  <c r="AX35" i="10"/>
  <c r="AV35" i="10"/>
  <c r="AS35" i="10"/>
  <c r="AT35" i="10" s="1"/>
  <c r="AQ35" i="10"/>
  <c r="AO35" i="10"/>
  <c r="AC35" i="10"/>
  <c r="T35" i="10"/>
  <c r="H35" i="10"/>
  <c r="AX34" i="10"/>
  <c r="AV34" i="10"/>
  <c r="AS34" i="10"/>
  <c r="AQ34" i="10"/>
  <c r="AR35" i="10" s="1"/>
  <c r="AO34" i="10"/>
  <c r="AP34" i="10" s="1"/>
  <c r="AU34" i="10" s="1"/>
  <c r="AC34" i="10"/>
  <c r="T34" i="10"/>
  <c r="H34" i="10"/>
  <c r="AX33" i="10"/>
  <c r="AV33" i="10"/>
  <c r="AS33" i="10"/>
  <c r="AQ33" i="10"/>
  <c r="AR34" i="10" s="1"/>
  <c r="AO33" i="10"/>
  <c r="AC33" i="10"/>
  <c r="AD34" i="10" s="1"/>
  <c r="T33" i="10"/>
  <c r="H33" i="10"/>
  <c r="AX32" i="10"/>
  <c r="AV32" i="10"/>
  <c r="AS32" i="10"/>
  <c r="AQ32" i="10"/>
  <c r="AR32" i="10" s="1"/>
  <c r="AO32" i="10"/>
  <c r="AC32" i="10"/>
  <c r="T32" i="10"/>
  <c r="U33" i="10" s="1"/>
  <c r="H32" i="10"/>
  <c r="AX31" i="10"/>
  <c r="AV31" i="10"/>
  <c r="AS31" i="10"/>
  <c r="AT32" i="10" s="1"/>
  <c r="AQ31" i="10"/>
  <c r="AO31" i="10"/>
  <c r="AC31" i="10"/>
  <c r="AD32" i="10" s="1"/>
  <c r="T31" i="10"/>
  <c r="H31" i="10"/>
  <c r="AX30" i="10"/>
  <c r="AV30" i="10"/>
  <c r="AS30" i="10"/>
  <c r="AQ30" i="10"/>
  <c r="AR31" i="10" s="1"/>
  <c r="AO30" i="10"/>
  <c r="AP31" i="10" s="1"/>
  <c r="AU31" i="10" s="1"/>
  <c r="AC30" i="10"/>
  <c r="T30" i="10"/>
  <c r="H30" i="10"/>
  <c r="AX29" i="10"/>
  <c r="AV29" i="10"/>
  <c r="AS29" i="10"/>
  <c r="AQ29" i="10"/>
  <c r="AR30" i="10" s="1"/>
  <c r="AO29" i="10"/>
  <c r="AC29" i="10"/>
  <c r="AD30" i="10" s="1"/>
  <c r="T29" i="10"/>
  <c r="H29" i="10"/>
  <c r="AX28" i="10"/>
  <c r="AV28" i="10"/>
  <c r="AS28" i="10"/>
  <c r="AQ28" i="10"/>
  <c r="AR28" i="10" s="1"/>
  <c r="AO28" i="10"/>
  <c r="AC28" i="10"/>
  <c r="T28" i="10"/>
  <c r="U29" i="10" s="1"/>
  <c r="H28" i="10"/>
  <c r="AX27" i="10"/>
  <c r="AV27" i="10"/>
  <c r="AS27" i="10"/>
  <c r="AT28" i="10" s="1"/>
  <c r="AQ27" i="10"/>
  <c r="AO27" i="10"/>
  <c r="AC27" i="10"/>
  <c r="AD28" i="10" s="1"/>
  <c r="T27" i="10"/>
  <c r="H27" i="10"/>
  <c r="AX26" i="10"/>
  <c r="AV26" i="10"/>
  <c r="AS26" i="10"/>
  <c r="AQ26" i="10"/>
  <c r="AR27" i="10" s="1"/>
  <c r="AO26" i="10"/>
  <c r="AP27" i="10" s="1"/>
  <c r="AU27" i="10" s="1"/>
  <c r="AC26" i="10"/>
  <c r="T26" i="10"/>
  <c r="H26" i="10"/>
  <c r="AX25" i="10"/>
  <c r="AV25" i="10"/>
  <c r="AS25" i="10"/>
  <c r="AQ25" i="10"/>
  <c r="AR26" i="10" s="1"/>
  <c r="AO25" i="10"/>
  <c r="AC25" i="10"/>
  <c r="AD26" i="10" s="1"/>
  <c r="T25" i="10"/>
  <c r="H25" i="10"/>
  <c r="AX24" i="10"/>
  <c r="AV24" i="10"/>
  <c r="AS24" i="10"/>
  <c r="AQ24" i="10"/>
  <c r="AR24" i="10" s="1"/>
  <c r="AO24" i="10"/>
  <c r="AC24" i="10"/>
  <c r="T24" i="10"/>
  <c r="U25" i="10" s="1"/>
  <c r="H24" i="10"/>
  <c r="AX23" i="10"/>
  <c r="AV23" i="10"/>
  <c r="AS23" i="10"/>
  <c r="AT24" i="10" s="1"/>
  <c r="AQ23" i="10"/>
  <c r="AO23" i="10"/>
  <c r="AC23" i="10"/>
  <c r="AD24" i="10" s="1"/>
  <c r="T23" i="10"/>
  <c r="H23" i="10"/>
  <c r="AX22" i="10"/>
  <c r="AV22" i="10"/>
  <c r="AS22" i="10"/>
  <c r="AQ22" i="10"/>
  <c r="AR23" i="10" s="1"/>
  <c r="AO22" i="10"/>
  <c r="AP22" i="10" s="1"/>
  <c r="AU22" i="10" s="1"/>
  <c r="AC22" i="10"/>
  <c r="T22" i="10"/>
  <c r="H22" i="10"/>
  <c r="AX21" i="10"/>
  <c r="AV21" i="10"/>
  <c r="AS21" i="10"/>
  <c r="AQ21" i="10"/>
  <c r="AR22" i="10" s="1"/>
  <c r="AO21" i="10"/>
  <c r="AC21" i="10"/>
  <c r="AD22" i="10" s="1"/>
  <c r="T21" i="10"/>
  <c r="H21" i="10"/>
  <c r="AX20" i="10"/>
  <c r="AV20" i="10"/>
  <c r="AS20" i="10"/>
  <c r="AQ20" i="10"/>
  <c r="AR20" i="10" s="1"/>
  <c r="AO20" i="10"/>
  <c r="AC20" i="10"/>
  <c r="T20" i="10"/>
  <c r="U21" i="10" s="1"/>
  <c r="H20" i="10"/>
  <c r="AX19" i="10"/>
  <c r="AV19" i="10"/>
  <c r="AS19" i="10"/>
  <c r="AT20" i="10" s="1"/>
  <c r="AQ19" i="10"/>
  <c r="AO19" i="10"/>
  <c r="AC19" i="10"/>
  <c r="AD20" i="10" s="1"/>
  <c r="T19" i="10"/>
  <c r="H19" i="10"/>
  <c r="AX18" i="10"/>
  <c r="AV18" i="10"/>
  <c r="AS18" i="10"/>
  <c r="AQ18" i="10"/>
  <c r="AR19" i="10" s="1"/>
  <c r="AO18" i="10"/>
  <c r="AP18" i="10" s="1"/>
  <c r="AU18" i="10" s="1"/>
  <c r="AC18" i="10"/>
  <c r="T18" i="10"/>
  <c r="H18" i="10"/>
  <c r="AX17" i="10"/>
  <c r="AV17" i="10"/>
  <c r="AS17" i="10"/>
  <c r="AQ17" i="10"/>
  <c r="AR18" i="10" s="1"/>
  <c r="AO17" i="10"/>
  <c r="AC17" i="10"/>
  <c r="AD18" i="10" s="1"/>
  <c r="T17" i="10"/>
  <c r="H17" i="10"/>
  <c r="AX16" i="10"/>
  <c r="AV16" i="10"/>
  <c r="AS16" i="10"/>
  <c r="AQ16" i="10"/>
  <c r="AR16" i="10" s="1"/>
  <c r="AU16" i="10" s="1"/>
  <c r="AO16" i="10"/>
  <c r="AC16" i="10"/>
  <c r="T16" i="10"/>
  <c r="U16" i="10" s="1"/>
  <c r="H16" i="10"/>
  <c r="AX15" i="10"/>
  <c r="AV15" i="10"/>
  <c r="AS15" i="10"/>
  <c r="AT15" i="10" s="1"/>
  <c r="AQ15" i="10"/>
  <c r="AO15" i="10"/>
  <c r="AC15" i="10"/>
  <c r="AD15" i="10" s="1"/>
  <c r="U15" i="10"/>
  <c r="T15" i="10"/>
  <c r="H15" i="10"/>
  <c r="AX14" i="10"/>
  <c r="AV14" i="10"/>
  <c r="AS14" i="10"/>
  <c r="AQ14" i="10"/>
  <c r="AR15" i="10" s="1"/>
  <c r="AR14" i="10"/>
  <c r="AO14" i="10"/>
  <c r="AC14" i="10"/>
  <c r="T14" i="10"/>
  <c r="H14" i="10"/>
  <c r="AX13" i="10"/>
  <c r="AV13" i="10"/>
  <c r="AS13" i="10"/>
  <c r="AT13" i="10"/>
  <c r="AQ13" i="10"/>
  <c r="AO13" i="10"/>
  <c r="AP13" i="10" s="1"/>
  <c r="AU13" i="10" s="1"/>
  <c r="AP14" i="10"/>
  <c r="AC13" i="10"/>
  <c r="AD14" i="10"/>
  <c r="T13" i="10"/>
  <c r="U13" i="10" s="1"/>
  <c r="H13" i="10"/>
  <c r="AX12" i="10"/>
  <c r="AV12" i="10"/>
  <c r="AS12" i="10"/>
  <c r="AT12" i="10"/>
  <c r="AQ12" i="10"/>
  <c r="AO12" i="10"/>
  <c r="AP12" i="10" s="1"/>
  <c r="AU12" i="10" s="1"/>
  <c r="AC12" i="10"/>
  <c r="AD12" i="10" s="1"/>
  <c r="T12" i="10"/>
  <c r="U12" i="10" s="1"/>
  <c r="H12" i="10"/>
  <c r="AX11" i="10"/>
  <c r="AV11" i="10"/>
  <c r="AS11" i="10"/>
  <c r="AQ11" i="10"/>
  <c r="AP11" i="10"/>
  <c r="AO11" i="10"/>
  <c r="AC11" i="10"/>
  <c r="AD11" i="10"/>
  <c r="T11" i="10"/>
  <c r="U11" i="10" s="1"/>
  <c r="H11" i="10"/>
  <c r="AX10" i="10"/>
  <c r="AV10" i="10"/>
  <c r="AS10" i="10"/>
  <c r="AT10" i="10" s="1"/>
  <c r="AQ10" i="10"/>
  <c r="AR10" i="10"/>
  <c r="AP10" i="10"/>
  <c r="AO10" i="10"/>
  <c r="AC10" i="10"/>
  <c r="AD10" i="10"/>
  <c r="T10" i="10"/>
  <c r="U10" i="10"/>
  <c r="H10" i="10"/>
  <c r="AX9" i="10"/>
  <c r="AV9" i="10"/>
  <c r="AS9" i="10"/>
  <c r="AR9" i="10"/>
  <c r="AQ9" i="10"/>
  <c r="AO9" i="10"/>
  <c r="AC9" i="10"/>
  <c r="AD9" i="10" s="1"/>
  <c r="T9" i="10"/>
  <c r="U9" i="10" s="1"/>
  <c r="H9" i="10"/>
  <c r="AX8" i="10"/>
  <c r="AV8" i="10"/>
  <c r="AS8" i="10"/>
  <c r="AT9" i="10" s="1"/>
  <c r="AQ8" i="10"/>
  <c r="AR8" i="10" s="1"/>
  <c r="AO8" i="10"/>
  <c r="AP9" i="10" s="1"/>
  <c r="AC8" i="10"/>
  <c r="AD8" i="10"/>
  <c r="T8" i="10"/>
  <c r="U8" i="10" s="1"/>
  <c r="H8" i="10"/>
  <c r="AX7" i="10"/>
  <c r="AV7" i="10"/>
  <c r="AS7" i="10"/>
  <c r="AT7" i="10" s="1"/>
  <c r="AQ7" i="10"/>
  <c r="AR7" i="10" s="1"/>
  <c r="AO7" i="10"/>
  <c r="AP7" i="10" s="1"/>
  <c r="AC7" i="10"/>
  <c r="AD7" i="10"/>
  <c r="T7" i="10"/>
  <c r="H7" i="10"/>
  <c r="AX6" i="10"/>
  <c r="AV6" i="10"/>
  <c r="AS6" i="10"/>
  <c r="AT6" i="10"/>
  <c r="AR6" i="10"/>
  <c r="AQ6" i="10"/>
  <c r="AO6" i="10"/>
  <c r="AP6" i="10"/>
  <c r="AC6" i="10"/>
  <c r="AD6" i="10"/>
  <c r="T6" i="10"/>
  <c r="H6" i="10"/>
  <c r="AX5" i="10"/>
  <c r="AV5" i="10"/>
  <c r="AS5" i="10"/>
  <c r="AT5" i="10"/>
  <c r="AR5" i="10"/>
  <c r="AQ5" i="10"/>
  <c r="AO5" i="10"/>
  <c r="AP5" i="10"/>
  <c r="AC5" i="10"/>
  <c r="AD5" i="10"/>
  <c r="T5" i="10"/>
  <c r="H5" i="10"/>
  <c r="AX4" i="10"/>
  <c r="AX36" i="10"/>
  <c r="AV4" i="10"/>
  <c r="AU4" i="10"/>
  <c r="AS4" i="10"/>
  <c r="AQ4" i="10"/>
  <c r="AO4" i="10"/>
  <c r="AE4" i="10"/>
  <c r="AC4" i="10"/>
  <c r="V4" i="10"/>
  <c r="T4" i="10"/>
  <c r="U4" i="10" s="1"/>
  <c r="W4" i="10"/>
  <c r="H4" i="10"/>
  <c r="AW4" i="10" s="1"/>
  <c r="K35" i="9"/>
  <c r="G34" i="9"/>
  <c r="I34" i="9" s="1"/>
  <c r="G32" i="5" s="1"/>
  <c r="G33" i="9"/>
  <c r="I33" i="9" s="1"/>
  <c r="G32" i="9"/>
  <c r="I32" i="9" s="1"/>
  <c r="G31" i="9"/>
  <c r="I31" i="9"/>
  <c r="G30" i="9"/>
  <c r="I30" i="9" s="1"/>
  <c r="I29" i="9"/>
  <c r="G27" i="5" s="1"/>
  <c r="G29" i="9"/>
  <c r="G28" i="9"/>
  <c r="I28" i="9"/>
  <c r="G27" i="9"/>
  <c r="I27" i="9" s="1"/>
  <c r="G26" i="9"/>
  <c r="I26" i="9" s="1"/>
  <c r="G25" i="9"/>
  <c r="I25" i="9" s="1"/>
  <c r="G24" i="9"/>
  <c r="I24" i="9" s="1"/>
  <c r="G23" i="9"/>
  <c r="I23" i="9"/>
  <c r="G22" i="9"/>
  <c r="I22" i="9" s="1"/>
  <c r="G20" i="5" s="1"/>
  <c r="I21" i="9"/>
  <c r="G21" i="9"/>
  <c r="G20" i="9"/>
  <c r="I20" i="9"/>
  <c r="G19" i="9"/>
  <c r="I19" i="9" s="1"/>
  <c r="I18" i="9"/>
  <c r="G18" i="9"/>
  <c r="G17" i="9"/>
  <c r="I17" i="9" s="1"/>
  <c r="G15" i="5" s="1"/>
  <c r="G16" i="9"/>
  <c r="I16" i="9" s="1"/>
  <c r="G15" i="9"/>
  <c r="I15" i="9"/>
  <c r="G14" i="9"/>
  <c r="I14" i="9" s="1"/>
  <c r="G12" i="5" s="1"/>
  <c r="I13" i="9"/>
  <c r="G13" i="9"/>
  <c r="G12" i="9"/>
  <c r="I12" i="9"/>
  <c r="G10" i="5" s="1"/>
  <c r="G11" i="9"/>
  <c r="I11" i="9" s="1"/>
  <c r="G10" i="9"/>
  <c r="I10" i="9" s="1"/>
  <c r="G9" i="9"/>
  <c r="I9" i="9" s="1"/>
  <c r="G8" i="9"/>
  <c r="I8" i="9" s="1"/>
  <c r="G6" i="5" s="1"/>
  <c r="G7" i="9"/>
  <c r="I7" i="9"/>
  <c r="G6" i="9"/>
  <c r="I6" i="9" s="1"/>
  <c r="G5" i="9"/>
  <c r="I5" i="9" s="1"/>
  <c r="G4" i="9"/>
  <c r="I4" i="9" s="1"/>
  <c r="J4" i="9" s="1"/>
  <c r="I35" i="8"/>
  <c r="G34" i="8"/>
  <c r="I32" i="5"/>
  <c r="G33" i="8"/>
  <c r="G32" i="8"/>
  <c r="I31" i="5" s="1"/>
  <c r="I30" i="5"/>
  <c r="G31" i="8"/>
  <c r="I29" i="5" s="1"/>
  <c r="G30" i="8"/>
  <c r="I28" i="5"/>
  <c r="G29" i="8"/>
  <c r="G28" i="8"/>
  <c r="I27" i="5" s="1"/>
  <c r="I26" i="5"/>
  <c r="G27" i="8"/>
  <c r="I25" i="5" s="1"/>
  <c r="G26" i="8"/>
  <c r="I24" i="5"/>
  <c r="G25" i="8"/>
  <c r="G24" i="8"/>
  <c r="I23" i="5" s="1"/>
  <c r="I22" i="5"/>
  <c r="G23" i="8"/>
  <c r="I21" i="5" s="1"/>
  <c r="G22" i="8"/>
  <c r="I20" i="5"/>
  <c r="G21" i="8"/>
  <c r="G20" i="8"/>
  <c r="I19" i="5" s="1"/>
  <c r="I18" i="5"/>
  <c r="G19" i="8"/>
  <c r="I17" i="5" s="1"/>
  <c r="G18" i="8"/>
  <c r="I16" i="5"/>
  <c r="G17" i="8"/>
  <c r="G16" i="8"/>
  <c r="I15" i="5" s="1"/>
  <c r="I14" i="5"/>
  <c r="G15" i="8"/>
  <c r="I13" i="5" s="1"/>
  <c r="G14" i="8"/>
  <c r="I12" i="5"/>
  <c r="G13" i="8"/>
  <c r="G12" i="8"/>
  <c r="I11" i="5" s="1"/>
  <c r="I10" i="5"/>
  <c r="G11" i="8"/>
  <c r="I9" i="5" s="1"/>
  <c r="G10" i="8"/>
  <c r="I8" i="5"/>
  <c r="G9" i="8"/>
  <c r="G8" i="8"/>
  <c r="I7" i="5" s="1"/>
  <c r="I6" i="5"/>
  <c r="G7" i="8"/>
  <c r="G6" i="8"/>
  <c r="G5" i="8"/>
  <c r="G4" i="8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AU6" i="10"/>
  <c r="AU5" i="10"/>
  <c r="AR12" i="10"/>
  <c r="U14" i="10"/>
  <c r="AE10" i="10"/>
  <c r="AW10" i="10"/>
  <c r="AT14" i="10"/>
  <c r="AU14" i="10" s="1"/>
  <c r="U17" i="10"/>
  <c r="U18" i="10"/>
  <c r="U19" i="10"/>
  <c r="U20" i="10"/>
  <c r="U22" i="10"/>
  <c r="U23" i="10"/>
  <c r="U24" i="10"/>
  <c r="U26" i="10"/>
  <c r="U27" i="10"/>
  <c r="U28" i="10"/>
  <c r="U30" i="10"/>
  <c r="U31" i="10"/>
  <c r="U32" i="10"/>
  <c r="U34" i="10"/>
  <c r="U35" i="10"/>
  <c r="AW8" i="10"/>
  <c r="AW9" i="10"/>
  <c r="AR11" i="10"/>
  <c r="AR13" i="10"/>
  <c r="V8" i="10"/>
  <c r="V9" i="10"/>
  <c r="AD17" i="10"/>
  <c r="AD19" i="10"/>
  <c r="AD21" i="10"/>
  <c r="AD23" i="10"/>
  <c r="AD25" i="10"/>
  <c r="AD27" i="10"/>
  <c r="AD29" i="10"/>
  <c r="AD31" i="10"/>
  <c r="AD33" i="10"/>
  <c r="AD35" i="10"/>
  <c r="AT16" i="10"/>
  <c r="AT17" i="10"/>
  <c r="AT18" i="10"/>
  <c r="AT19" i="10"/>
  <c r="AT21" i="10"/>
  <c r="AT22" i="10"/>
  <c r="AT23" i="10"/>
  <c r="AT25" i="10"/>
  <c r="AT26" i="10"/>
  <c r="AT27" i="10"/>
  <c r="AT29" i="10"/>
  <c r="AT30" i="10"/>
  <c r="AT31" i="10"/>
  <c r="AT33" i="10"/>
  <c r="AT34" i="10"/>
  <c r="AP15" i="10"/>
  <c r="AP16" i="10"/>
  <c r="AP17" i="10"/>
  <c r="AP19" i="10"/>
  <c r="AU19" i="10" s="1"/>
  <c r="AP20" i="10"/>
  <c r="AP21" i="10"/>
  <c r="AP24" i="10"/>
  <c r="AP25" i="10"/>
  <c r="AP26" i="10"/>
  <c r="AU26" i="10" s="1"/>
  <c r="AP28" i="10"/>
  <c r="AP29" i="10"/>
  <c r="AP32" i="10"/>
  <c r="AP33" i="10"/>
  <c r="AP35" i="10"/>
  <c r="AW13" i="10"/>
  <c r="V13" i="10"/>
  <c r="AE13" i="10"/>
  <c r="V12" i="10"/>
  <c r="AW12" i="10"/>
  <c r="AE12" i="10"/>
  <c r="AW14" i="10"/>
  <c r="AE14" i="10"/>
  <c r="V14" i="10"/>
  <c r="W14" i="10" s="1"/>
  <c r="W12" i="10" l="1"/>
  <c r="AF12" i="10"/>
  <c r="W13" i="10"/>
  <c r="AF10" i="10"/>
  <c r="AU7" i="10"/>
  <c r="AU10" i="10"/>
  <c r="AU35" i="10"/>
  <c r="AU28" i="10"/>
  <c r="AU15" i="10"/>
  <c r="AT36" i="10"/>
  <c r="AU9" i="10"/>
  <c r="AU20" i="10"/>
  <c r="AU24" i="10"/>
  <c r="AU32" i="10"/>
  <c r="AT8" i="10"/>
  <c r="AR25" i="10"/>
  <c r="AU25" i="10" s="1"/>
  <c r="AR33" i="10"/>
  <c r="AU33" i="10" s="1"/>
  <c r="AP23" i="10"/>
  <c r="AU23" i="10" s="1"/>
  <c r="AT11" i="10"/>
  <c r="AU11" i="10" s="1"/>
  <c r="AP8" i="10"/>
  <c r="AU8" i="10" s="1"/>
  <c r="AR17" i="10"/>
  <c r="AU17" i="10" s="1"/>
  <c r="AR21" i="10"/>
  <c r="AU21" i="10" s="1"/>
  <c r="AR29" i="10"/>
  <c r="AU29" i="10" s="1"/>
  <c r="AP30" i="10"/>
  <c r="AU30" i="10" s="1"/>
  <c r="AD16" i="10"/>
  <c r="AF14" i="10"/>
  <c r="AD13" i="10"/>
  <c r="AF13" i="10"/>
  <c r="AF4" i="10"/>
  <c r="U6" i="10"/>
  <c r="W9" i="10"/>
  <c r="U7" i="10"/>
  <c r="W8" i="10"/>
  <c r="U5" i="10"/>
  <c r="V7" i="10"/>
  <c r="AW6" i="10"/>
  <c r="AE5" i="10"/>
  <c r="AF5" i="10" s="1"/>
  <c r="I5" i="5"/>
  <c r="G3" i="5"/>
  <c r="G4" i="5"/>
  <c r="G7" i="5"/>
  <c r="G13" i="5"/>
  <c r="G24" i="5"/>
  <c r="G5" i="5"/>
  <c r="G8" i="5"/>
  <c r="G25" i="5"/>
  <c r="G30" i="5"/>
  <c r="G11" i="5"/>
  <c r="G14" i="5"/>
  <c r="G19" i="5"/>
  <c r="G22" i="5"/>
  <c r="G28" i="5"/>
  <c r="G31" i="5"/>
  <c r="H35" i="8"/>
  <c r="G21" i="5"/>
  <c r="G16" i="5"/>
  <c r="G18" i="5"/>
  <c r="G17" i="5"/>
  <c r="G23" i="5"/>
  <c r="G29" i="5"/>
  <c r="J35" i="9"/>
  <c r="L37" i="9"/>
  <c r="M37" i="9" s="1"/>
  <c r="G9" i="5"/>
  <c r="G26" i="5"/>
  <c r="AW21" i="10"/>
  <c r="V21" i="10"/>
  <c r="W21" i="10" s="1"/>
  <c r="AE21" i="10"/>
  <c r="AF21" i="10" s="1"/>
  <c r="AE22" i="10"/>
  <c r="AF22" i="10" s="1"/>
  <c r="AW22" i="10"/>
  <c r="V22" i="10"/>
  <c r="W22" i="10" s="1"/>
  <c r="AE30" i="10"/>
  <c r="AF30" i="10" s="1"/>
  <c r="AW30" i="10"/>
  <c r="V30" i="10"/>
  <c r="W30" i="10" s="1"/>
  <c r="V20" i="10"/>
  <c r="W20" i="10" s="1"/>
  <c r="AE20" i="10"/>
  <c r="AF20" i="10" s="1"/>
  <c r="AW20" i="10"/>
  <c r="V11" i="10"/>
  <c r="W11" i="10" s="1"/>
  <c r="AE11" i="10"/>
  <c r="AF11" i="10" s="1"/>
  <c r="AW11" i="10"/>
  <c r="AW29" i="10"/>
  <c r="AE29" i="10"/>
  <c r="AF29" i="10" s="1"/>
  <c r="V29" i="10"/>
  <c r="W29" i="10" s="1"/>
  <c r="AE23" i="10"/>
  <c r="AF23" i="10" s="1"/>
  <c r="V23" i="10"/>
  <c r="W23" i="10" s="1"/>
  <c r="AW23" i="10"/>
  <c r="AE31" i="10"/>
  <c r="AF31" i="10" s="1"/>
  <c r="V31" i="10"/>
  <c r="W31" i="10" s="1"/>
  <c r="AW31" i="10"/>
  <c r="AE6" i="10"/>
  <c r="AF6" i="10" s="1"/>
  <c r="AW24" i="10"/>
  <c r="AE24" i="10"/>
  <c r="AF24" i="10" s="1"/>
  <c r="V24" i="10"/>
  <c r="W24" i="10" s="1"/>
  <c r="AW32" i="10"/>
  <c r="AE32" i="10"/>
  <c r="AF32" i="10" s="1"/>
  <c r="V32" i="10"/>
  <c r="W32" i="10" s="1"/>
  <c r="AE17" i="10"/>
  <c r="AF17" i="10" s="1"/>
  <c r="V17" i="10"/>
  <c r="W17" i="10" s="1"/>
  <c r="AW17" i="10"/>
  <c r="AE25" i="10"/>
  <c r="AF25" i="10" s="1"/>
  <c r="V25" i="10"/>
  <c r="W25" i="10" s="1"/>
  <c r="AW25" i="10"/>
  <c r="V33" i="10"/>
  <c r="W33" i="10" s="1"/>
  <c r="AE33" i="10"/>
  <c r="AF33" i="10" s="1"/>
  <c r="AW33" i="10"/>
  <c r="AW18" i="10"/>
  <c r="AE18" i="10"/>
  <c r="AF18" i="10" s="1"/>
  <c r="V18" i="10"/>
  <c r="W18" i="10" s="1"/>
  <c r="AW26" i="10"/>
  <c r="AE26" i="10"/>
  <c r="AF26" i="10" s="1"/>
  <c r="V26" i="10"/>
  <c r="W26" i="10" s="1"/>
  <c r="V34" i="10"/>
  <c r="W34" i="10" s="1"/>
  <c r="AE34" i="10"/>
  <c r="AF34" i="10" s="1"/>
  <c r="AW34" i="10"/>
  <c r="AE28" i="10"/>
  <c r="AF28" i="10" s="1"/>
  <c r="AW28" i="10"/>
  <c r="V28" i="10"/>
  <c r="W28" i="10" s="1"/>
  <c r="V16" i="10"/>
  <c r="W16" i="10" s="1"/>
  <c r="AW16" i="10"/>
  <c r="AE16" i="10"/>
  <c r="AF16" i="10" s="1"/>
  <c r="AE19" i="10"/>
  <c r="AF19" i="10" s="1"/>
  <c r="AW19" i="10"/>
  <c r="V19" i="10"/>
  <c r="W19" i="10" s="1"/>
  <c r="AW27" i="10"/>
  <c r="AE27" i="10"/>
  <c r="AF27" i="10" s="1"/>
  <c r="V27" i="10"/>
  <c r="W27" i="10" s="1"/>
  <c r="AW35" i="10"/>
  <c r="V35" i="10"/>
  <c r="W35" i="10" s="1"/>
  <c r="AE35" i="10"/>
  <c r="AF35" i="10" s="1"/>
  <c r="AW7" i="10"/>
  <c r="AW5" i="10"/>
  <c r="AE7" i="10"/>
  <c r="AF7" i="10" s="1"/>
  <c r="AE8" i="10"/>
  <c r="AF8" i="10" s="1"/>
  <c r="AE9" i="10"/>
  <c r="AF9" i="10" s="1"/>
  <c r="V10" i="10"/>
  <c r="W10" i="10" s="1"/>
  <c r="AP36" i="10" l="1"/>
  <c r="AR36" i="10"/>
  <c r="W7" i="10"/>
  <c r="I36" i="10"/>
  <c r="V36" i="10" s="1"/>
  <c r="W36" i="10" s="1"/>
  <c r="V5" i="10"/>
  <c r="W5" i="10" s="1"/>
  <c r="V6" i="10"/>
  <c r="W6" i="10" s="1"/>
  <c r="AE15" i="10"/>
  <c r="AF15" i="10" s="1"/>
  <c r="AW15" i="10"/>
  <c r="V15" i="10"/>
  <c r="W15" i="10" s="1"/>
  <c r="AW36" i="10"/>
  <c r="AE36" i="10" l="1"/>
  <c r="AF36" i="10" s="1"/>
  <c r="AU36" i="10"/>
</calcChain>
</file>

<file path=xl/sharedStrings.xml><?xml version="1.0" encoding="utf-8"?>
<sst xmlns="http://schemas.openxmlformats.org/spreadsheetml/2006/main" count="116" uniqueCount="58">
  <si>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</si>
  <si>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</si>
  <si>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</si>
  <si>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</si>
  <si>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</si>
  <si>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</si>
  <si>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</si>
  <si>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</si>
  <si>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</si>
  <si>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</si>
  <si>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</si>
  <si>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</si>
  <si>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</si>
  <si>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</si>
  <si>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</si>
  <si>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</si>
  <si>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</si>
  <si>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</si>
  <si>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</si>
  <si>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</si>
  <si>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</si>
  <si>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</si>
  <si>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</si>
  <si>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</si>
  <si>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</si>
  <si>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Istanbul at Sulatanahmet</t>
  </si>
  <si>
    <t>Occ</t>
  </si>
  <si>
    <t>Weather</t>
  </si>
  <si>
    <t>Daily Target
(cu.m.)</t>
  </si>
  <si>
    <t xml:space="preserve"> </t>
  </si>
  <si>
    <t>yangın pmp test</t>
  </si>
  <si>
    <t>TOTAL</t>
  </si>
  <si>
    <t>Meter readings corresponding to the dates shown above are taken the next day in the morning.</t>
  </si>
  <si>
    <t>OCCC</t>
  </si>
  <si>
    <t>WEATHER</t>
  </si>
  <si>
    <t>Occ. Rooms</t>
  </si>
  <si>
    <t>Weather C</t>
  </si>
  <si>
    <t>Daily Target   (kWh)</t>
  </si>
  <si>
    <t>Meter Reading
(Reactive)</t>
  </si>
  <si>
    <t>Total Reactive
(kWh)</t>
  </si>
  <si>
    <t>Daily Reactive Cons. (kWh)</t>
  </si>
  <si>
    <t>Daily Active Cons. (kWh)</t>
  </si>
  <si>
    <t>Reactive / Active (%)</t>
  </si>
  <si>
    <t>Limit (%)</t>
  </si>
  <si>
    <t>Daily Capacitive Cons. (kWh)</t>
  </si>
  <si>
    <t>Capacitive / Active (%)</t>
  </si>
  <si>
    <t>T1</t>
  </si>
  <si>
    <t>T2</t>
  </si>
  <si>
    <t>T3</t>
  </si>
  <si>
    <t>BİRİM FİYAT : 0.29 TL/m3 + KDV</t>
  </si>
  <si>
    <t>REACTIVE / ACTIVE CONSUMPTIONS , MART.2021</t>
  </si>
  <si>
    <t>CAPACITIVE / ACTIVE CONSUMPTIONS , MART.2021</t>
  </si>
  <si>
    <t>ELECTRICITY CONSUMPTION , MART.2021</t>
  </si>
  <si>
    <t>NATURAL GAS CONSUMPTION , MAR.2021</t>
  </si>
  <si>
    <t>BİRİM FİYAT : 1.655 TL/m3 + KDV  x 1764,5 = 2796,4 TL + KDV</t>
  </si>
  <si>
    <t>BİRİM FİYAT : 0.62  x 44794,8 =28668,6 TL/Kwh+KDV</t>
  </si>
  <si>
    <t>WATER CONSUMPTION , MAR.2021</t>
  </si>
  <si>
    <t>BİRİM FİYAT :   12.28 TL/m3 + KDV x  91,0 = 1116,6 TL + KDV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</si>
</sst>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3" borderId="2" xfId="0" quotePrefix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vertical="center"/>
    </xf>
    <xf numFmtId="3" fontId="2" fillId="7" borderId="2" xfId="0" applyNumberFormat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2" fillId="8" borderId="2" xfId="0" applyFont="1" applyFill="1" applyBorder="1" applyAlignment="1">
      <alignment horizontal="center" vertical="center"/>
    </xf>
    <xf numFmtId="2" fontId="2" fillId="8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20" fillId="4" borderId="2" xfId="0" applyFont="1" applyFill="1" applyBorder="1" applyAlignment="1">
      <alignment vertical="center"/>
    </xf>
    <xf numFmtId="166" fontId="20" fillId="5" borderId="2" xfId="0" applyNumberFormat="1" applyFont="1" applyFill="1" applyBorder="1" applyAlignment="1">
      <alignment vertical="center"/>
    </xf>
    <xf numFmtId="0" fontId="20" fillId="6" borderId="2" xfId="0" applyFont="1" applyFill="1" applyBorder="1" applyAlignment="1">
      <alignment vertical="center"/>
    </xf>
    <xf numFmtId="2" fontId="20" fillId="8" borderId="2" xfId="0" applyNumberFormat="1" applyFont="1" applyFill="1" applyBorder="1" applyAlignment="1">
      <alignment horizontal="center" vertical="center"/>
    </xf>
    <xf numFmtId="2" fontId="20" fillId="4" borderId="2" xfId="0" applyNumberFormat="1" applyFont="1" applyFill="1" applyBorder="1" applyAlignment="1">
      <alignment horizontal="center" vertical="center"/>
    </xf>
    <xf numFmtId="2" fontId="20" fillId="5" borderId="2" xfId="0" applyNumberFormat="1" applyFont="1" applyFill="1" applyBorder="1" applyAlignment="1">
      <alignment horizontal="center" vertical="center"/>
    </xf>
    <xf numFmtId="2" fontId="20" fillId="6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11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0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11" borderId="2" xfId="0" applyNumberFormat="1" applyFont="1" applyFill="1" applyBorder="1" applyAlignment="1">
      <alignment horizontal="center" vertical="center"/>
    </xf>
    <xf numFmtId="166" fontId="2" fillId="7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7" borderId="2" xfId="0" applyNumberFormat="1" applyFont="1" applyFill="1" applyBorder="1" applyAlignment="1">
      <alignment horizontal="center" vertical="center"/>
    </xf>
    <xf numFmtId="166" fontId="17" fillId="7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10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3" fontId="2" fillId="0" borderId="6" xfId="0" applyNumberFormat="1" applyFont="1" applyBorder="1" applyAlignment="1">
      <alignment horizontal="center" vertical="center"/>
    </xf>
    <xf numFmtId="165" fontId="2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341973181511734"/>
          <c:y val="0.20261502570665368"/>
          <c:w val="0.79852197764012844"/>
          <c:h val="0.63725693569028208"/>
        </c:manualLayout>
      </c:layout>
      <c:lineChart>
        <c:grouping val="standard"/>
        <c:varyColors val="0"/>
        <c:ser>
          <c:idx val="0"/>
          <c:order val="0"/>
          <c:tx>
            <c:strRef>
              <c:f>[3]Dec.2020!$J$3</c:f>
              <c:strCache>
                <c:ptCount val="1"/>
                <c:pt idx="0">
                  <c:v>Daily Cons.
(cu.m.)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[3]Dec.2020!$J$4:$J$34</c:f>
              <c:numCache>
                <c:formatCode>General</c:formatCode>
                <c:ptCount val="31"/>
                <c:pt idx="0">
                  <c:v>53.93136000004597</c:v>
                </c:pt>
                <c:pt idx="1">
                  <c:v>88.60152000002563</c:v>
                </c:pt>
                <c:pt idx="2">
                  <c:v>57.7835999999661</c:v>
                </c:pt>
                <c:pt idx="3">
                  <c:v>53.93136000004597</c:v>
                </c:pt>
                <c:pt idx="4">
                  <c:v>53.93136000004597</c:v>
                </c:pt>
                <c:pt idx="5">
                  <c:v>55.215439999941736</c:v>
                </c:pt>
                <c:pt idx="6">
                  <c:v>55.215439999941736</c:v>
                </c:pt>
                <c:pt idx="7">
                  <c:v>28.249760000035167</c:v>
                </c:pt>
                <c:pt idx="8">
                  <c:v>79.612960000056773</c:v>
                </c:pt>
                <c:pt idx="9">
                  <c:v>56.499519999837503</c:v>
                </c:pt>
                <c:pt idx="10">
                  <c:v>56.499520000070333</c:v>
                </c:pt>
                <c:pt idx="11">
                  <c:v>53.93136000004597</c:v>
                </c:pt>
                <c:pt idx="12">
                  <c:v>55.215439999941736</c:v>
                </c:pt>
                <c:pt idx="13">
                  <c:v>53.93136000004597</c:v>
                </c:pt>
                <c:pt idx="14">
                  <c:v>55.215439999941736</c:v>
                </c:pt>
                <c:pt idx="15">
                  <c:v>56.499520000070333</c:v>
                </c:pt>
                <c:pt idx="16">
                  <c:v>56.499520000070333</c:v>
                </c:pt>
                <c:pt idx="17">
                  <c:v>53.931359999813139</c:v>
                </c:pt>
                <c:pt idx="18">
                  <c:v>53.93136000004597</c:v>
                </c:pt>
                <c:pt idx="19">
                  <c:v>53.93136000004597</c:v>
                </c:pt>
                <c:pt idx="20">
                  <c:v>57.7835999999661</c:v>
                </c:pt>
                <c:pt idx="21">
                  <c:v>57.7835999999661</c:v>
                </c:pt>
                <c:pt idx="22">
                  <c:v>59.067680000094697</c:v>
                </c:pt>
                <c:pt idx="23">
                  <c:v>56.499519999837503</c:v>
                </c:pt>
                <c:pt idx="24">
                  <c:v>57.783600000198931</c:v>
                </c:pt>
                <c:pt idx="25">
                  <c:v>55.215439999941736</c:v>
                </c:pt>
                <c:pt idx="26">
                  <c:v>65.48808000003919</c:v>
                </c:pt>
                <c:pt idx="27">
                  <c:v>53.93136000004597</c:v>
                </c:pt>
                <c:pt idx="28">
                  <c:v>51.363199999788776</c:v>
                </c:pt>
                <c:pt idx="29">
                  <c:v>60.5</c:v>
                </c:pt>
                <c:pt idx="30">
                  <c:v>56.639043999835849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A72-4075-A315-8A8F55B3E6E8}"/>
            </c:ext>
          </c:extLst>
        </c:ser>
        <c:ser>
          <c:idx val="1"/>
          <c:order val="1"/>
          <c:tx>
            <c:strRef>
              <c:f>[3]Dec.2020!$K$3</c:f>
              <c:strCache>
                <c:ptCount val="1"/>
                <c:pt idx="0">
                  <c:v>Daily Target
(cu.m.)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plus"/>
            <c:size val="4"/>
            <c:spPr>
              <a:noFill/>
              <a:ln>
                <a:solidFill>
                  <a:srgbClr val="FF0000"/>
                </a:solidFill>
                <a:prstDash val="solid"/>
              </a:ln>
            </c:spPr>
          </c:marker>
          <c:cat>
            <c:numRef>
              <c:f>[3]Dec.2020!$D$4:$D$34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[3]Dec.2020!$K$4:$K$34</c:f>
              <c:numCache>
                <c:formatCode>General</c:formatCode>
                <c:ptCount val="31"/>
                <c:pt idx="0">
                  <c:v>951.61289999999997</c:v>
                </c:pt>
                <c:pt idx="1">
                  <c:v>951.61289999999997</c:v>
                </c:pt>
                <c:pt idx="2">
                  <c:v>951.61289999999997</c:v>
                </c:pt>
                <c:pt idx="3">
                  <c:v>951.61289999999997</c:v>
                </c:pt>
                <c:pt idx="4">
                  <c:v>951.61289999999997</c:v>
                </c:pt>
                <c:pt idx="5">
                  <c:v>951.61289999999997</c:v>
                </c:pt>
                <c:pt idx="6">
                  <c:v>951.61289999999997</c:v>
                </c:pt>
                <c:pt idx="7">
                  <c:v>951.61289999999997</c:v>
                </c:pt>
                <c:pt idx="8">
                  <c:v>951.61289999999997</c:v>
                </c:pt>
                <c:pt idx="9">
                  <c:v>951.61289999999997</c:v>
                </c:pt>
                <c:pt idx="10">
                  <c:v>951.61289999999997</c:v>
                </c:pt>
                <c:pt idx="11">
                  <c:v>951.61289999999997</c:v>
                </c:pt>
                <c:pt idx="12">
                  <c:v>951.61289999999997</c:v>
                </c:pt>
                <c:pt idx="13">
                  <c:v>951.61289999999997</c:v>
                </c:pt>
                <c:pt idx="14">
                  <c:v>951.61289999999997</c:v>
                </c:pt>
                <c:pt idx="15">
                  <c:v>951.61289999999997</c:v>
                </c:pt>
                <c:pt idx="16">
                  <c:v>951.61289999999997</c:v>
                </c:pt>
                <c:pt idx="17">
                  <c:v>951.61289999999997</c:v>
                </c:pt>
                <c:pt idx="18">
                  <c:v>951.61289999999997</c:v>
                </c:pt>
                <c:pt idx="19">
                  <c:v>951.61289999999997</c:v>
                </c:pt>
                <c:pt idx="20">
                  <c:v>951.61289999999997</c:v>
                </c:pt>
                <c:pt idx="21">
                  <c:v>951.61289999999997</c:v>
                </c:pt>
                <c:pt idx="22">
                  <c:v>951.61289999999997</c:v>
                </c:pt>
                <c:pt idx="23">
                  <c:v>951.61289999999997</c:v>
                </c:pt>
                <c:pt idx="24">
                  <c:v>951.61289999999997</c:v>
                </c:pt>
                <c:pt idx="25">
                  <c:v>951.61289999999997</c:v>
                </c:pt>
                <c:pt idx="26">
                  <c:v>951.61289999999997</c:v>
                </c:pt>
                <c:pt idx="27">
                  <c:v>951.61289999999997</c:v>
                </c:pt>
                <c:pt idx="28">
                  <c:v>951.61289999999997</c:v>
                </c:pt>
                <c:pt idx="29">
                  <c:v>951.61289999999997</c:v>
                </c:pt>
                <c:pt idx="30">
                  <c:v>951.61289999999997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A72-4075-A315-8A8F55B3E6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53024"/>
        <c:axId val="914241056"/>
      </c:lineChart>
      <c:dateAx>
        <c:axId val="914253024"/>
        <c:scaling>
          <c:orientation val="minMax"/>
          <c:max val="44286"/>
          <c:min val="44256"/>
        </c:scaling>
        <c:delete val="0"/>
        <c:axPos val="b"/>
        <c:numFmt formatCode="dd/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914241056"/>
        <c:crossesAt val="0"/>
        <c:auto val="0"/>
        <c:lblOffset val="100"/>
        <c:baseTimeUnit val="days"/>
        <c:majorUnit val="1"/>
        <c:majorTimeUnit val="days"/>
        <c:minorUnit val="1"/>
        <c:minorTimeUnit val="days"/>
      </c:dateAx>
      <c:valAx>
        <c:axId val="914241056"/>
        <c:scaling>
          <c:orientation val="minMax"/>
          <c:max val="10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( cu.m. )</a:t>
                </a:r>
              </a:p>
            </c:rich>
          </c:tx>
          <c:layout>
            <c:manualLayout>
              <c:xMode val="edge"/>
              <c:yMode val="edge"/>
              <c:x val="2.9574933068546159E-2"/>
              <c:y val="0.44771373691374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14253024"/>
        <c:crossesAt val="44256"/>
        <c:crossBetween val="midCat"/>
        <c:majorUnit val="100"/>
        <c:minorUnit val="50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9.1077695285146816E-3"/>
          <c:y val="0.31429640202957515"/>
          <c:w val="9.2899249190849756E-2"/>
          <c:h val="0.11905166743544514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22" r="0.75000000000000022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'[5]Aralık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'[5]Aralık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'[5]Aralık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'[5]Aralık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50304"/>
        <c:axId val="914244320"/>
      </c:lineChart>
      <c:dateAx>
        <c:axId val="914250304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4320"/>
        <c:crosses val="autoZero"/>
        <c:auto val="0"/>
        <c:lblOffset val="100"/>
        <c:baseTimeUnit val="days"/>
      </c:dateAx>
      <c:valAx>
        <c:axId val="91424432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50304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311511966602417"/>
          <c:y val="4.1564016826663788E-2"/>
          <c:w val="0.72048137232022724"/>
          <c:h val="0.73191315860882911"/>
        </c:manualLayout>
      </c:layout>
      <c:lineChart>
        <c:grouping val="standard"/>
        <c:varyColors val="0"/>
        <c:ser>
          <c:idx val="0"/>
          <c:order val="0"/>
          <c:tx>
            <c:strRef>
              <c:f>'[5]Aralık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spPr>
            <a:ln w="19050"/>
          </c:spPr>
          <c:marker>
            <c:symbol val="star"/>
            <c:size val="2"/>
            <c:spPr>
              <a:ln w="3175" cap="rnd" cmpd="thinThick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0-335E-4DB2-81D8-F2364A229866}"/>
            </c:ext>
          </c:extLst>
        </c:ser>
        <c:ser>
          <c:idx val="1"/>
          <c:order val="1"/>
          <c:tx>
            <c:strRef>
              <c:f>'[5]Aralık 2020   '!$J$3</c:f>
              <c:strCache>
                <c:ptCount val="1"/>
                <c:pt idx="0">
                  <c:v>Daily Target   (kWh)</c:v>
                </c:pt>
              </c:strCache>
            </c:strRef>
          </c:tx>
          <c:spPr>
            <a:ln w="12700"/>
          </c:spPr>
          <c:marker>
            <c:symbol val="star"/>
            <c:size val="2"/>
            <c:spPr>
              <a:ln w="0" cap="sq">
                <a:bevel/>
              </a:ln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'!$J$4:$J$34</c:f>
              <c:numCache>
                <c:formatCode>General</c:formatCode>
                <c:ptCount val="31"/>
                <c:pt idx="1">
                  <c:v>7258.0645000000004</c:v>
                </c:pt>
                <c:pt idx="2">
                  <c:v>7258.0645000000004</c:v>
                </c:pt>
                <c:pt idx="3">
                  <c:v>7258.0645000000004</c:v>
                </c:pt>
                <c:pt idx="4">
                  <c:v>7258.0645000000004</c:v>
                </c:pt>
                <c:pt idx="5">
                  <c:v>7258.0645000000004</c:v>
                </c:pt>
                <c:pt idx="6">
                  <c:v>7258.0645000000004</c:v>
                </c:pt>
                <c:pt idx="7">
                  <c:v>7258.0645000000004</c:v>
                </c:pt>
                <c:pt idx="8">
                  <c:v>7258.0645000000004</c:v>
                </c:pt>
                <c:pt idx="9">
                  <c:v>7258.0645000000004</c:v>
                </c:pt>
                <c:pt idx="10">
                  <c:v>7258.0645000000004</c:v>
                </c:pt>
                <c:pt idx="11">
                  <c:v>7258.0645000000004</c:v>
                </c:pt>
                <c:pt idx="12">
                  <c:v>7258.0645000000004</c:v>
                </c:pt>
                <c:pt idx="13">
                  <c:v>7258.0645000000004</c:v>
                </c:pt>
                <c:pt idx="14">
                  <c:v>7258.0645000000004</c:v>
                </c:pt>
                <c:pt idx="15">
                  <c:v>7258.0645000000004</c:v>
                </c:pt>
                <c:pt idx="16">
                  <c:v>7258.0645000000004</c:v>
                </c:pt>
                <c:pt idx="17">
                  <c:v>7258.0645000000004</c:v>
                </c:pt>
                <c:pt idx="18">
                  <c:v>7258.0645000000004</c:v>
                </c:pt>
                <c:pt idx="19">
                  <c:v>7258.0645000000004</c:v>
                </c:pt>
                <c:pt idx="20">
                  <c:v>7258.0645000000004</c:v>
                </c:pt>
                <c:pt idx="21">
                  <c:v>7258.0645000000004</c:v>
                </c:pt>
                <c:pt idx="22">
                  <c:v>7258.0645000000004</c:v>
                </c:pt>
                <c:pt idx="23">
                  <c:v>7258.0645000000004</c:v>
                </c:pt>
                <c:pt idx="24">
                  <c:v>7258.0645000000004</c:v>
                </c:pt>
                <c:pt idx="25">
                  <c:v>7258.0645000000004</c:v>
                </c:pt>
                <c:pt idx="26">
                  <c:v>7258.0645000000004</c:v>
                </c:pt>
                <c:pt idx="27">
                  <c:v>7258.0645000000004</c:v>
                </c:pt>
                <c:pt idx="28">
                  <c:v>7258.0645000000004</c:v>
                </c:pt>
                <c:pt idx="29">
                  <c:v>7258.0645000000004</c:v>
                </c:pt>
                <c:pt idx="30">
                  <c:v>7258.0645000000004</c:v>
                </c:pt>
              </c:numCache>
            </c:numRef>
          </c:val>
          <c:smooth val="1"/>
          <c:extLst xmlns:c16r2="http://schemas.microsoft.com/office/drawing/2015/06/chart">
            <c:ext xmlns:c16="http://schemas.microsoft.com/office/drawing/2014/chart" uri="{C3380CC4-5D6E-409C-BE32-E72D297353CC}">
              <c16:uniqueId val="{00000001-335E-4DB2-81D8-F2364A229866}"/>
            </c:ext>
          </c:extLst>
        </c:ser>
        <c:ser>
          <c:idx val="2"/>
          <c:order val="2"/>
          <c:tx>
            <c:strRef>
              <c:f>'[5]Aralık 2020   '!$L$3</c:f>
              <c:strCache>
                <c:ptCount val="1"/>
                <c:pt idx="0">
                  <c:v>2018</c:v>
                </c:pt>
              </c:strCache>
            </c:strRef>
          </c:tx>
          <c:spPr>
            <a:ln w="12700"/>
          </c:spPr>
          <c:marker>
            <c:symbol val="star"/>
            <c:size val="5"/>
            <c:spPr>
              <a:ln w="3175" cap="rnd"/>
            </c:spPr>
          </c:marker>
          <c:cat>
            <c:numRef>
              <c:f>'[5]Aralık 2020   '!$E$4:$E$34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'[5]Aralık 2020   '!$L$4:$L$34</c:f>
              <c:numCache>
                <c:formatCode>General</c:formatCode>
                <c:ptCount val="31"/>
                <c:pt idx="1">
                  <c:v>6629.5200000004843</c:v>
                </c:pt>
                <c:pt idx="2">
                  <c:v>6143.7599999988452</c:v>
                </c:pt>
                <c:pt idx="3">
                  <c:v>6295.5600000014529</c:v>
                </c:pt>
                <c:pt idx="4">
                  <c:v>6223.7999999988824</c:v>
                </c:pt>
                <c:pt idx="5">
                  <c:v>6370.0800000000745</c:v>
                </c:pt>
                <c:pt idx="6">
                  <c:v>6383.8799999998801</c:v>
                </c:pt>
                <c:pt idx="7">
                  <c:v>6618.480000000447</c:v>
                </c:pt>
                <c:pt idx="8">
                  <c:v>6938.640000000596</c:v>
                </c:pt>
                <c:pt idx="9">
                  <c:v>6690.2400000002235</c:v>
                </c:pt>
                <c:pt idx="10">
                  <c:v>6375.5999999996275</c:v>
                </c:pt>
                <c:pt idx="11">
                  <c:v>6499.7999999998137</c:v>
                </c:pt>
                <c:pt idx="12">
                  <c:v>6298.3199999993667</c:v>
                </c:pt>
                <c:pt idx="13">
                  <c:v>6417.0000000009313</c:v>
                </c:pt>
                <c:pt idx="14">
                  <c:v>6563.2799999993294</c:v>
                </c:pt>
                <c:pt idx="15">
                  <c:v>6604.679999999702</c:v>
                </c:pt>
                <c:pt idx="16">
                  <c:v>6582.6000000005588</c:v>
                </c:pt>
                <c:pt idx="17">
                  <c:v>6593.640000000596</c:v>
                </c:pt>
                <c:pt idx="18">
                  <c:v>6342.4799999995157</c:v>
                </c:pt>
                <c:pt idx="19">
                  <c:v>6350.7599999997765</c:v>
                </c:pt>
                <c:pt idx="20">
                  <c:v>6817.2000000001863</c:v>
                </c:pt>
                <c:pt idx="21">
                  <c:v>6715.0800000000745</c:v>
                </c:pt>
                <c:pt idx="22">
                  <c:v>6814.4400000004098</c:v>
                </c:pt>
                <c:pt idx="23">
                  <c:v>6778.5599999986589</c:v>
                </c:pt>
                <c:pt idx="24">
                  <c:v>6811.6800000015646</c:v>
                </c:pt>
                <c:pt idx="25">
                  <c:v>6839.2799999983981</c:v>
                </c:pt>
                <c:pt idx="26">
                  <c:v>6693.0000000009313</c:v>
                </c:pt>
                <c:pt idx="27">
                  <c:v>6546.7199999997392</c:v>
                </c:pt>
                <c:pt idx="28">
                  <c:v>7142.8799999998882</c:v>
                </c:pt>
                <c:pt idx="29">
                  <c:v>7366.4399999994785</c:v>
                </c:pt>
                <c:pt idx="30">
                  <c:v>6916.5600000014529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35E-4DB2-81D8-F2364A229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4249216"/>
        <c:axId val="914249760"/>
      </c:lineChart>
      <c:dateAx>
        <c:axId val="91424921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9760"/>
        <c:crosses val="autoZero"/>
        <c:auto val="0"/>
        <c:lblOffset val="100"/>
        <c:baseTimeUnit val="days"/>
        <c:majorUnit val="1"/>
        <c:majorTimeUnit val="days"/>
      </c:dateAx>
      <c:valAx>
        <c:axId val="914249760"/>
        <c:scaling>
          <c:orientation val="minMax"/>
          <c:max val="10000"/>
          <c:min val="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4249216"/>
        <c:crossesAt val="44256"/>
        <c:crossBetween val="midCat"/>
        <c:majorUnit val="1000"/>
        <c:minorUnit val="20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4412744784508975"/>
          <c:y val="7.5038291446445915E-2"/>
          <c:w val="0.15405608327499129"/>
          <c:h val="0.81631934706791787"/>
        </c:manualLayout>
      </c:layout>
      <c:overlay val="0"/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40</xdr:row>
      <xdr:rowOff>104775</xdr:rowOff>
    </xdr:from>
    <xdr:to>
      <xdr:col>11</xdr:col>
      <xdr:colOff>0</xdr:colOff>
      <xdr:row>53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="" xmlns:a16="http://schemas.microsoft.com/office/drawing/2014/main" id="{6F6FEB9B-F237-45B4-8AD4-3A658B5E8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42</xdr:row>
      <xdr:rowOff>133350</xdr:rowOff>
    </xdr:from>
    <xdr:to>
      <xdr:col>41</xdr:col>
      <xdr:colOff>428625</xdr:colOff>
      <xdr:row>58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=""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419101</xdr:colOff>
      <xdr:row>39</xdr:row>
      <xdr:rowOff>180975</xdr:rowOff>
    </xdr:from>
    <xdr:to>
      <xdr:col>16</xdr:col>
      <xdr:colOff>238126</xdr:colOff>
      <xdr:row>58</xdr:row>
      <xdr:rowOff>161924</xdr:rowOff>
    </xdr:to>
    <xdr:graphicFrame macro="">
      <xdr:nvGraphicFramePr>
        <xdr:cNvPr id="2050" name="Chart 6">
          <a:extLst>
            <a:ext uri="{FF2B5EF4-FFF2-40B4-BE49-F238E27FC236}">
              <a16:creationId xmlns="" xmlns:a16="http://schemas.microsoft.com/office/drawing/2014/main" id="{642D6ADB-3A9D-4392-80F7-177AFA994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Natural%20Gas%20Consumption%20202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SHARE\ENG\Elektrik%20su%20do&#287;algaz%202021\Electricity%20Consumption%20202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>
        <row r="31">
          <cell r="G31">
            <v>9990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 refreshError="1"/>
      <sheetData sheetId="1">
        <row r="31">
          <cell r="I31">
            <v>1213549.5920839999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.2020"/>
      <sheetName val="Apr.2020"/>
      <sheetName val="May.2020"/>
      <sheetName val="Jun.2020"/>
      <sheetName val="Jul.2020"/>
      <sheetName val="Aug.2020"/>
      <sheetName val="Sep.2020"/>
      <sheetName val="Oct.2020"/>
      <sheetName val="Nov.2020"/>
      <sheetName val="Dec.202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3">
          <cell r="I33">
            <v>1192078.2361600001</v>
          </cell>
        </row>
      </sheetData>
      <sheetData sheetId="11">
        <row r="3">
          <cell r="J3" t="str">
            <v>Daily Cons.
(cu.m.)</v>
          </cell>
          <cell r="K3" t="str">
            <v>Daily Target
(cu.m.)</v>
          </cell>
        </row>
        <row r="4">
          <cell r="D4">
            <v>44166</v>
          </cell>
          <cell r="J4">
            <v>53.93136000004597</v>
          </cell>
          <cell r="K4">
            <v>951.61289999999997</v>
          </cell>
        </row>
        <row r="5">
          <cell r="D5">
            <v>44167</v>
          </cell>
          <cell r="J5">
            <v>88.60152000002563</v>
          </cell>
          <cell r="K5">
            <v>951.61289999999997</v>
          </cell>
        </row>
        <row r="6">
          <cell r="D6">
            <v>44168</v>
          </cell>
          <cell r="J6">
            <v>57.7835999999661</v>
          </cell>
          <cell r="K6">
            <v>951.61289999999997</v>
          </cell>
        </row>
        <row r="7">
          <cell r="D7">
            <v>44169</v>
          </cell>
          <cell r="J7">
            <v>53.93136000004597</v>
          </cell>
          <cell r="K7">
            <v>951.61289999999997</v>
          </cell>
        </row>
        <row r="8">
          <cell r="D8">
            <v>44170</v>
          </cell>
          <cell r="J8">
            <v>53.93136000004597</v>
          </cell>
          <cell r="K8">
            <v>951.61289999999997</v>
          </cell>
        </row>
        <row r="9">
          <cell r="D9">
            <v>44171</v>
          </cell>
          <cell r="J9">
            <v>55.215439999941736</v>
          </cell>
          <cell r="K9">
            <v>951.61289999999997</v>
          </cell>
        </row>
        <row r="10">
          <cell r="D10">
            <v>44172</v>
          </cell>
          <cell r="J10">
            <v>55.215439999941736</v>
          </cell>
          <cell r="K10">
            <v>951.61289999999997</v>
          </cell>
        </row>
        <row r="11">
          <cell r="D11">
            <v>44173</v>
          </cell>
          <cell r="J11">
            <v>28.249760000035167</v>
          </cell>
          <cell r="K11">
            <v>951.61289999999997</v>
          </cell>
        </row>
        <row r="12">
          <cell r="D12">
            <v>44174</v>
          </cell>
          <cell r="J12">
            <v>79.612960000056773</v>
          </cell>
          <cell r="K12">
            <v>951.61289999999997</v>
          </cell>
        </row>
        <row r="13">
          <cell r="D13">
            <v>44175</v>
          </cell>
          <cell r="J13">
            <v>56.499519999837503</v>
          </cell>
          <cell r="K13">
            <v>951.61289999999997</v>
          </cell>
        </row>
        <row r="14">
          <cell r="D14">
            <v>44176</v>
          </cell>
          <cell r="J14">
            <v>56.499520000070333</v>
          </cell>
          <cell r="K14">
            <v>951.61289999999997</v>
          </cell>
        </row>
        <row r="15">
          <cell r="D15">
            <v>44177</v>
          </cell>
          <cell r="J15">
            <v>53.93136000004597</v>
          </cell>
          <cell r="K15">
            <v>951.61289999999997</v>
          </cell>
        </row>
        <row r="16">
          <cell r="D16">
            <v>44178</v>
          </cell>
          <cell r="J16">
            <v>55.215439999941736</v>
          </cell>
          <cell r="K16">
            <v>951.61289999999997</v>
          </cell>
        </row>
        <row r="17">
          <cell r="D17">
            <v>44179</v>
          </cell>
          <cell r="J17">
            <v>53.93136000004597</v>
          </cell>
          <cell r="K17">
            <v>951.61289999999997</v>
          </cell>
        </row>
        <row r="18">
          <cell r="D18">
            <v>44180</v>
          </cell>
          <cell r="J18">
            <v>55.215439999941736</v>
          </cell>
          <cell r="K18">
            <v>951.61289999999997</v>
          </cell>
        </row>
        <row r="19">
          <cell r="D19">
            <v>44181</v>
          </cell>
          <cell r="J19">
            <v>56.499520000070333</v>
          </cell>
          <cell r="K19">
            <v>951.61289999999997</v>
          </cell>
        </row>
        <row r="20">
          <cell r="D20">
            <v>44182</v>
          </cell>
          <cell r="J20">
            <v>56.499520000070333</v>
          </cell>
          <cell r="K20">
            <v>951.61289999999997</v>
          </cell>
        </row>
        <row r="21">
          <cell r="D21">
            <v>44183</v>
          </cell>
          <cell r="J21">
            <v>53.931359999813139</v>
          </cell>
          <cell r="K21">
            <v>951.61289999999997</v>
          </cell>
        </row>
        <row r="22">
          <cell r="D22">
            <v>44184</v>
          </cell>
          <cell r="J22">
            <v>53.93136000004597</v>
          </cell>
          <cell r="K22">
            <v>951.61289999999997</v>
          </cell>
        </row>
        <row r="23">
          <cell r="D23">
            <v>44185</v>
          </cell>
          <cell r="J23">
            <v>53.93136000004597</v>
          </cell>
          <cell r="K23">
            <v>951.61289999999997</v>
          </cell>
        </row>
        <row r="24">
          <cell r="D24">
            <v>44186</v>
          </cell>
          <cell r="J24">
            <v>57.7835999999661</v>
          </cell>
          <cell r="K24">
            <v>951.61289999999997</v>
          </cell>
        </row>
        <row r="25">
          <cell r="D25">
            <v>44187</v>
          </cell>
          <cell r="J25">
            <v>57.7835999999661</v>
          </cell>
          <cell r="K25">
            <v>951.61289999999997</v>
          </cell>
        </row>
        <row r="26">
          <cell r="D26">
            <v>44188</v>
          </cell>
          <cell r="J26">
            <v>59.067680000094697</v>
          </cell>
          <cell r="K26">
            <v>951.61289999999997</v>
          </cell>
        </row>
        <row r="27">
          <cell r="D27">
            <v>44189</v>
          </cell>
          <cell r="J27">
            <v>56.499519999837503</v>
          </cell>
          <cell r="K27">
            <v>951.61289999999997</v>
          </cell>
        </row>
        <row r="28">
          <cell r="D28">
            <v>44190</v>
          </cell>
          <cell r="J28">
            <v>57.783600000198931</v>
          </cell>
          <cell r="K28">
            <v>951.61289999999997</v>
          </cell>
        </row>
        <row r="29">
          <cell r="D29">
            <v>44191</v>
          </cell>
          <cell r="J29">
            <v>55.215439999941736</v>
          </cell>
          <cell r="K29">
            <v>951.61289999999997</v>
          </cell>
        </row>
        <row r="30">
          <cell r="D30">
            <v>44192</v>
          </cell>
          <cell r="J30">
            <v>65.48808000003919</v>
          </cell>
          <cell r="K30">
            <v>951.61289999999997</v>
          </cell>
        </row>
        <row r="31">
          <cell r="D31">
            <v>44193</v>
          </cell>
          <cell r="J31">
            <v>53.93136000004597</v>
          </cell>
          <cell r="K31">
            <v>951.61289999999997</v>
          </cell>
        </row>
        <row r="32">
          <cell r="D32">
            <v>44194</v>
          </cell>
          <cell r="J32">
            <v>51.363199999788776</v>
          </cell>
          <cell r="K32">
            <v>951.61289999999997</v>
          </cell>
        </row>
        <row r="33">
          <cell r="D33">
            <v>44195</v>
          </cell>
          <cell r="J33">
            <v>60.5</v>
          </cell>
          <cell r="K33">
            <v>951.61289999999997</v>
          </cell>
        </row>
        <row r="34">
          <cell r="D34">
            <v>44196</v>
          </cell>
          <cell r="J34">
            <v>56.639043999835849</v>
          </cell>
          <cell r="K34">
            <v>951.61289999999997</v>
          </cell>
        </row>
      </sheetData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>
        <row r="31">
          <cell r="G31">
            <v>12799668.359999999</v>
          </cell>
          <cell r="R31">
            <v>342148.92</v>
          </cell>
          <cell r="AA31">
            <v>454395.36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J3" t="str">
            <v>Daily Target   (kWh)</v>
          </cell>
          <cell r="L3">
            <v>2018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E4">
            <v>44166</v>
          </cell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E5">
            <v>44167</v>
          </cell>
          <cell r="I5">
            <v>1780.1999999992549</v>
          </cell>
          <cell r="J5">
            <v>7258.0645000000004</v>
          </cell>
          <cell r="L5">
            <v>6629.5200000004843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E6">
            <v>44168</v>
          </cell>
          <cell r="I6">
            <v>1631.160000000149</v>
          </cell>
          <cell r="J6">
            <v>7258.0645000000004</v>
          </cell>
          <cell r="L6">
            <v>6143.7599999988452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E7">
            <v>44169</v>
          </cell>
          <cell r="I7">
            <v>1553.8800000008196</v>
          </cell>
          <cell r="J7">
            <v>7258.0645000000004</v>
          </cell>
          <cell r="L7">
            <v>6295.5600000014529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E8">
            <v>44170</v>
          </cell>
          <cell r="I8">
            <v>1725</v>
          </cell>
          <cell r="J8">
            <v>7258.0645000000004</v>
          </cell>
          <cell r="L8">
            <v>6223.7999999988824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E9">
            <v>44171</v>
          </cell>
          <cell r="I9">
            <v>1302.7199999988079</v>
          </cell>
          <cell r="J9">
            <v>7258.0645000000004</v>
          </cell>
          <cell r="L9">
            <v>6370.0800000000745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E10">
            <v>44172</v>
          </cell>
          <cell r="I10">
            <v>1319.2800000011921</v>
          </cell>
          <cell r="J10">
            <v>7258.0645000000004</v>
          </cell>
          <cell r="L10">
            <v>6383.8799999998801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E11">
            <v>44173</v>
          </cell>
          <cell r="I11">
            <v>1457.2800000011921</v>
          </cell>
          <cell r="J11">
            <v>7258.0645000000004</v>
          </cell>
          <cell r="L11">
            <v>6618.480000000447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E12">
            <v>44174</v>
          </cell>
          <cell r="I12">
            <v>1471.0799999982119</v>
          </cell>
          <cell r="J12">
            <v>7258.0645000000004</v>
          </cell>
          <cell r="L12">
            <v>6938.640000000596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E13">
            <v>44175</v>
          </cell>
          <cell r="I13">
            <v>1518</v>
          </cell>
          <cell r="J13">
            <v>7258.0645000000004</v>
          </cell>
          <cell r="L13">
            <v>6690.2400000002235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E14">
            <v>44176</v>
          </cell>
          <cell r="I14">
            <v>1443.480000000447</v>
          </cell>
          <cell r="J14">
            <v>7258.0645000000004</v>
          </cell>
          <cell r="L14">
            <v>6375.5999999996275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E15">
            <v>44177</v>
          </cell>
          <cell r="I15">
            <v>1415.8799999989569</v>
          </cell>
          <cell r="J15">
            <v>7258.0645000000004</v>
          </cell>
          <cell r="L15">
            <v>6499.7999999998137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E16">
            <v>44178</v>
          </cell>
          <cell r="I16">
            <v>1374.480000000447</v>
          </cell>
          <cell r="J16">
            <v>7258.0645000000004</v>
          </cell>
          <cell r="L16">
            <v>6298.3199999993667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E17">
            <v>44179</v>
          </cell>
          <cell r="I17">
            <v>1242.0000000018626</v>
          </cell>
          <cell r="J17">
            <v>7258.0645000000004</v>
          </cell>
          <cell r="L17">
            <v>6417.0000000009313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E18">
            <v>44180</v>
          </cell>
          <cell r="I18">
            <v>1454.519999999553</v>
          </cell>
          <cell r="J18">
            <v>7258.0645000000004</v>
          </cell>
          <cell r="L18">
            <v>6563.2799999993294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E19">
            <v>44181</v>
          </cell>
          <cell r="I19">
            <v>1471.0799999982119</v>
          </cell>
          <cell r="J19">
            <v>7258.0645000000004</v>
          </cell>
          <cell r="L19">
            <v>6604.679999999702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E20">
            <v>44182</v>
          </cell>
          <cell r="I20">
            <v>1498.6800000015646</v>
          </cell>
          <cell r="J20">
            <v>7258.0645000000004</v>
          </cell>
          <cell r="L20">
            <v>6582.6000000005588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E21">
            <v>44183</v>
          </cell>
          <cell r="I21">
            <v>1388.2799999993294</v>
          </cell>
          <cell r="J21">
            <v>7258.0645000000004</v>
          </cell>
          <cell r="L21">
            <v>6593.640000000596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E22">
            <v>44184</v>
          </cell>
          <cell r="I22">
            <v>1424.1599999982864</v>
          </cell>
          <cell r="J22">
            <v>7258.0645000000004</v>
          </cell>
          <cell r="L22">
            <v>6342.4799999995157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E23">
            <v>44185</v>
          </cell>
          <cell r="I23">
            <v>1338.6000000014901</v>
          </cell>
          <cell r="J23">
            <v>7258.0645000000004</v>
          </cell>
          <cell r="L23">
            <v>6350.7599999997765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E24">
            <v>44186</v>
          </cell>
          <cell r="I24">
            <v>1311</v>
          </cell>
          <cell r="J24">
            <v>7258.0645000000004</v>
          </cell>
          <cell r="L24">
            <v>6817.2000000001863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E25">
            <v>44187</v>
          </cell>
          <cell r="I25">
            <v>1465.5599999986589</v>
          </cell>
          <cell r="J25">
            <v>7258.0645000000004</v>
          </cell>
          <cell r="L25">
            <v>6715.0800000000745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E26">
            <v>44188</v>
          </cell>
          <cell r="I26">
            <v>1515.2400000002235</v>
          </cell>
          <cell r="J26">
            <v>7258.0645000000004</v>
          </cell>
          <cell r="L26">
            <v>6814.4400000004098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E27">
            <v>44189</v>
          </cell>
          <cell r="I27">
            <v>1476.5999999996275</v>
          </cell>
          <cell r="J27">
            <v>7258.0645000000004</v>
          </cell>
          <cell r="L27">
            <v>6778.5599999986589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E28">
            <v>44190</v>
          </cell>
          <cell r="I28">
            <v>1432.4400000013411</v>
          </cell>
          <cell r="J28">
            <v>7258.0645000000004</v>
          </cell>
          <cell r="L28">
            <v>6811.6800000015646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E29">
            <v>44191</v>
          </cell>
          <cell r="I29">
            <v>1429.679999999702</v>
          </cell>
          <cell r="J29">
            <v>7258.0645000000004</v>
          </cell>
          <cell r="L29">
            <v>6839.2799999983981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E30">
            <v>44192</v>
          </cell>
          <cell r="I30">
            <v>1366.1999999992549</v>
          </cell>
          <cell r="J30">
            <v>7258.0645000000004</v>
          </cell>
          <cell r="L30">
            <v>6693.0000000009313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E31">
            <v>44193</v>
          </cell>
          <cell r="I31">
            <v>1302.7200000025332</v>
          </cell>
          <cell r="J31">
            <v>7258.0645000000004</v>
          </cell>
          <cell r="L31">
            <v>6546.7199999997392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E32">
            <v>44194</v>
          </cell>
          <cell r="I32">
            <v>1446.2399999983609</v>
          </cell>
          <cell r="J32">
            <v>7258.0645000000004</v>
          </cell>
          <cell r="L32">
            <v>7142.8799999998882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E33">
            <v>44195</v>
          </cell>
          <cell r="I33">
            <v>1471.0800000000745</v>
          </cell>
          <cell r="J33">
            <v>7258.0645000000004</v>
          </cell>
          <cell r="L33">
            <v>7366.4399999994785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E34">
            <v>44196</v>
          </cell>
          <cell r="I34">
            <v>1413.1199999991804</v>
          </cell>
          <cell r="J34">
            <v>7258.0645000000004</v>
          </cell>
          <cell r="L34">
            <v>6916.5600000014529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G2" sqref="G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25</v>
      </c>
      <c r="B2" s="12">
        <v>1</v>
      </c>
      <c r="C2" s="3">
        <v>3</v>
      </c>
      <c r="D2" s="12">
        <v>2021</v>
      </c>
      <c r="E2" s="13">
        <f>Electricity!I4</f>
        <v>1250.2800000011921</v>
      </c>
      <c r="F2" s="3">
        <v>0.62</v>
      </c>
      <c r="G2" s="13">
        <v>0</v>
      </c>
      <c r="H2" s="3">
        <v>1.65</v>
      </c>
      <c r="I2" s="13">
        <v>2</v>
      </c>
      <c r="J2" s="3">
        <v>12.28</v>
      </c>
      <c r="K2" s="12">
        <v>0</v>
      </c>
    </row>
    <row r="3" spans="1:11" s="16" customFormat="1" x14ac:dyDescent="0.25">
      <c r="A3" s="26" t="s">
        <v>25</v>
      </c>
      <c r="B3" s="15">
        <f>B2+1</f>
        <v>2</v>
      </c>
      <c r="C3" s="3">
        <v>3</v>
      </c>
      <c r="D3" s="12">
        <v>2021</v>
      </c>
      <c r="E3" s="13">
        <f>Electricity!I5</f>
        <v>1495.9199999980628</v>
      </c>
      <c r="F3" s="3">
        <v>0.62</v>
      </c>
      <c r="G3" s="13">
        <f>Gas!J5</f>
        <v>0</v>
      </c>
      <c r="H3" s="3">
        <v>1.65</v>
      </c>
      <c r="I3" s="13">
        <v>2</v>
      </c>
      <c r="J3" s="3">
        <v>12.28</v>
      </c>
      <c r="K3" s="12">
        <v>0</v>
      </c>
    </row>
    <row r="4" spans="1:11" s="16" customFormat="1" x14ac:dyDescent="0.25">
      <c r="A4" s="26" t="s">
        <v>25</v>
      </c>
      <c r="B4" s="15">
        <f t="shared" ref="B4:B32" si="0">B3+1</f>
        <v>3</v>
      </c>
      <c r="C4" s="3">
        <v>3</v>
      </c>
      <c r="D4" s="12">
        <v>2021</v>
      </c>
      <c r="E4" s="13">
        <f>Electricity!I6</f>
        <v>1598.0400000028312</v>
      </c>
      <c r="F4" s="3">
        <v>0.62</v>
      </c>
      <c r="G4" s="13">
        <f>Gas!J6</f>
        <v>0</v>
      </c>
      <c r="H4" s="3">
        <v>1.65</v>
      </c>
      <c r="I4" s="13">
        <v>4</v>
      </c>
      <c r="J4" s="3">
        <v>12.28</v>
      </c>
      <c r="K4" s="12">
        <v>0</v>
      </c>
    </row>
    <row r="5" spans="1:11" s="16" customFormat="1" x14ac:dyDescent="0.25">
      <c r="A5" s="26" t="s">
        <v>25</v>
      </c>
      <c r="B5" s="15">
        <f t="shared" si="0"/>
        <v>4</v>
      </c>
      <c r="C5" s="3">
        <v>3</v>
      </c>
      <c r="D5" s="12">
        <v>2021</v>
      </c>
      <c r="E5" s="13">
        <f>Electricity!I7</f>
        <v>0</v>
      </c>
      <c r="F5" s="3">
        <v>0.62</v>
      </c>
      <c r="G5" s="13">
        <f>Gas!J7</f>
        <v>0</v>
      </c>
      <c r="H5" s="3">
        <v>1.65</v>
      </c>
      <c r="I5" s="13">
        <f>Water!H7</f>
        <v>0</v>
      </c>
      <c r="J5" s="3">
        <v>12.28</v>
      </c>
      <c r="K5" s="12">
        <v>0</v>
      </c>
    </row>
    <row r="6" spans="1:11" s="16" customFormat="1" x14ac:dyDescent="0.25">
      <c r="A6" s="26" t="s">
        <v>25</v>
      </c>
      <c r="B6" s="15">
        <f t="shared" si="0"/>
        <v>5</v>
      </c>
      <c r="C6" s="3">
        <v>3</v>
      </c>
      <c r="D6" s="12">
        <v>2021</v>
      </c>
      <c r="E6" s="13">
        <f>Electricity!I8</f>
        <v>0</v>
      </c>
      <c r="F6" s="3">
        <v>0.62</v>
      </c>
      <c r="G6" s="13">
        <f>Gas!J8</f>
        <v>0</v>
      </c>
      <c r="H6" s="3">
        <v>1.65</v>
      </c>
      <c r="I6" s="13">
        <f>Water!H8</f>
        <v>0</v>
      </c>
      <c r="J6" s="3">
        <v>12.28</v>
      </c>
      <c r="K6" s="12">
        <v>0</v>
      </c>
    </row>
    <row r="7" spans="1:11" s="16" customFormat="1" x14ac:dyDescent="0.25">
      <c r="A7" s="26" t="s">
        <v>25</v>
      </c>
      <c r="B7" s="15">
        <f t="shared" si="0"/>
        <v>6</v>
      </c>
      <c r="C7" s="3">
        <v>3</v>
      </c>
      <c r="D7" s="12">
        <v>2021</v>
      </c>
      <c r="E7" s="13">
        <f>Electricity!I9</f>
        <v>0</v>
      </c>
      <c r="F7" s="3">
        <v>0.62</v>
      </c>
      <c r="G7" s="13">
        <f>Gas!J9</f>
        <v>0</v>
      </c>
      <c r="H7" s="3">
        <v>1.65</v>
      </c>
      <c r="I7" s="13">
        <f>Water!H9</f>
        <v>0</v>
      </c>
      <c r="J7" s="3">
        <v>12.28</v>
      </c>
      <c r="K7" s="12">
        <v>0</v>
      </c>
    </row>
    <row r="8" spans="1:11" s="16" customFormat="1" x14ac:dyDescent="0.25">
      <c r="A8" s="26" t="s">
        <v>25</v>
      </c>
      <c r="B8" s="15">
        <f t="shared" si="0"/>
        <v>7</v>
      </c>
      <c r="C8" s="3">
        <v>3</v>
      </c>
      <c r="D8" s="12">
        <v>2021</v>
      </c>
      <c r="E8" s="13">
        <f>Electricity!I10</f>
        <v>0</v>
      </c>
      <c r="F8" s="3">
        <v>0.62</v>
      </c>
      <c r="G8" s="13">
        <f>Gas!J10</f>
        <v>0</v>
      </c>
      <c r="H8" s="3">
        <v>1.65</v>
      </c>
      <c r="I8" s="13">
        <f>Water!H10</f>
        <v>0</v>
      </c>
      <c r="J8" s="3">
        <v>12.28</v>
      </c>
      <c r="K8" s="12">
        <v>0</v>
      </c>
    </row>
    <row r="9" spans="1:11" s="16" customFormat="1" x14ac:dyDescent="0.25">
      <c r="A9" s="26" t="s">
        <v>25</v>
      </c>
      <c r="B9" s="15">
        <f t="shared" si="0"/>
        <v>8</v>
      </c>
      <c r="C9" s="3">
        <v>3</v>
      </c>
      <c r="D9" s="12">
        <v>2021</v>
      </c>
      <c r="E9" s="13">
        <f>Electricity!I11</f>
        <v>0</v>
      </c>
      <c r="F9" s="3">
        <v>0.62</v>
      </c>
      <c r="G9" s="13">
        <f>Gas!J11</f>
        <v>0</v>
      </c>
      <c r="H9" s="3">
        <v>1.65</v>
      </c>
      <c r="I9" s="13">
        <f>Water!H11</f>
        <v>0</v>
      </c>
      <c r="J9" s="3">
        <v>12.28</v>
      </c>
      <c r="K9" s="12">
        <v>0</v>
      </c>
    </row>
    <row r="10" spans="1:11" s="16" customFormat="1" x14ac:dyDescent="0.25">
      <c r="A10" s="26" t="s">
        <v>25</v>
      </c>
      <c r="B10" s="15">
        <f t="shared" si="0"/>
        <v>9</v>
      </c>
      <c r="C10" s="3">
        <v>3</v>
      </c>
      <c r="D10" s="12">
        <v>2021</v>
      </c>
      <c r="E10" s="13">
        <f>Electricity!I12</f>
        <v>0</v>
      </c>
      <c r="F10" s="3">
        <v>0.62</v>
      </c>
      <c r="G10" s="13">
        <f>Gas!J12</f>
        <v>0</v>
      </c>
      <c r="H10" s="3">
        <v>1.65</v>
      </c>
      <c r="I10" s="13">
        <f>Water!H12</f>
        <v>0</v>
      </c>
      <c r="J10" s="3">
        <v>12.28</v>
      </c>
      <c r="K10" s="12">
        <v>0</v>
      </c>
    </row>
    <row r="11" spans="1:11" s="16" customFormat="1" x14ac:dyDescent="0.25">
      <c r="A11" s="26" t="s">
        <v>25</v>
      </c>
      <c r="B11" s="15">
        <f t="shared" si="0"/>
        <v>10</v>
      </c>
      <c r="C11" s="3">
        <v>3</v>
      </c>
      <c r="D11" s="12">
        <v>2021</v>
      </c>
      <c r="E11" s="13">
        <f>Electricity!I13</f>
        <v>0</v>
      </c>
      <c r="F11" s="3">
        <v>0.62</v>
      </c>
      <c r="G11" s="13">
        <f>Gas!J13</f>
        <v>0</v>
      </c>
      <c r="H11" s="3">
        <v>1.65</v>
      </c>
      <c r="I11" s="13">
        <f>Water!H13</f>
        <v>0</v>
      </c>
      <c r="J11" s="3">
        <v>12.28</v>
      </c>
      <c r="K11" s="12">
        <v>0</v>
      </c>
    </row>
    <row r="12" spans="1:11" s="16" customFormat="1" x14ac:dyDescent="0.25">
      <c r="A12" s="26" t="s">
        <v>25</v>
      </c>
      <c r="B12" s="15">
        <f t="shared" si="0"/>
        <v>11</v>
      </c>
      <c r="C12" s="3">
        <v>3</v>
      </c>
      <c r="D12" s="12">
        <v>2021</v>
      </c>
      <c r="E12" s="13">
        <f>Electricity!I14</f>
        <v>0</v>
      </c>
      <c r="F12" s="3">
        <v>0.62</v>
      </c>
      <c r="G12" s="13">
        <f>Gas!J14</f>
        <v>0</v>
      </c>
      <c r="H12" s="3">
        <v>1.65</v>
      </c>
      <c r="I12" s="13">
        <f>Water!H14</f>
        <v>0</v>
      </c>
      <c r="J12" s="3">
        <v>12.28</v>
      </c>
      <c r="K12" s="12">
        <v>0</v>
      </c>
    </row>
    <row r="13" spans="1:11" s="16" customFormat="1" x14ac:dyDescent="0.25">
      <c r="A13" s="26" t="s">
        <v>25</v>
      </c>
      <c r="B13" s="15">
        <f t="shared" si="0"/>
        <v>12</v>
      </c>
      <c r="C13" s="3">
        <v>3</v>
      </c>
      <c r="D13" s="12">
        <v>2021</v>
      </c>
      <c r="E13" s="13">
        <f>Electricity!I15</f>
        <v>0</v>
      </c>
      <c r="F13" s="3">
        <v>0.62</v>
      </c>
      <c r="G13" s="13">
        <f>Gas!J15</f>
        <v>0</v>
      </c>
      <c r="H13" s="3">
        <v>1.65</v>
      </c>
      <c r="I13" s="13">
        <f>Water!H15</f>
        <v>0</v>
      </c>
      <c r="J13" s="3">
        <v>12.28</v>
      </c>
      <c r="K13" s="12">
        <v>0</v>
      </c>
    </row>
    <row r="14" spans="1:11" s="16" customFormat="1" x14ac:dyDescent="0.25">
      <c r="A14" s="26" t="s">
        <v>25</v>
      </c>
      <c r="B14" s="15">
        <f t="shared" si="0"/>
        <v>13</v>
      </c>
      <c r="C14" s="3">
        <v>3</v>
      </c>
      <c r="D14" s="12">
        <v>2021</v>
      </c>
      <c r="E14" s="13">
        <f>Electricity!I16</f>
        <v>0</v>
      </c>
      <c r="F14" s="3">
        <v>0.62</v>
      </c>
      <c r="G14" s="13">
        <f>Gas!J16</f>
        <v>0</v>
      </c>
      <c r="H14" s="3">
        <v>1.65</v>
      </c>
      <c r="I14" s="13">
        <f>Water!H16</f>
        <v>0</v>
      </c>
      <c r="J14" s="3">
        <v>12.28</v>
      </c>
      <c r="K14" s="12">
        <v>0</v>
      </c>
    </row>
    <row r="15" spans="1:11" s="16" customFormat="1" x14ac:dyDescent="0.25">
      <c r="A15" s="26" t="s">
        <v>25</v>
      </c>
      <c r="B15" s="15">
        <f t="shared" si="0"/>
        <v>14</v>
      </c>
      <c r="C15" s="3">
        <v>3</v>
      </c>
      <c r="D15" s="12">
        <v>2021</v>
      </c>
      <c r="E15" s="13">
        <f>Electricity!I17</f>
        <v>0</v>
      </c>
      <c r="F15" s="3">
        <v>0.62</v>
      </c>
      <c r="G15" s="13">
        <f>Gas!J17</f>
        <v>0</v>
      </c>
      <c r="H15" s="3">
        <v>1.65</v>
      </c>
      <c r="I15" s="13">
        <f>Water!H17</f>
        <v>0</v>
      </c>
      <c r="J15" s="3">
        <v>12.28</v>
      </c>
      <c r="K15" s="12">
        <v>0</v>
      </c>
    </row>
    <row r="16" spans="1:11" s="16" customFormat="1" x14ac:dyDescent="0.25">
      <c r="A16" s="26" t="s">
        <v>25</v>
      </c>
      <c r="B16" s="15">
        <f t="shared" si="0"/>
        <v>15</v>
      </c>
      <c r="C16" s="3">
        <v>3</v>
      </c>
      <c r="D16" s="12">
        <v>2021</v>
      </c>
      <c r="E16" s="13">
        <f>Electricity!I18</f>
        <v>0</v>
      </c>
      <c r="F16" s="3">
        <v>0.62</v>
      </c>
      <c r="G16" s="13">
        <f>Gas!J18</f>
        <v>0</v>
      </c>
      <c r="H16" s="3">
        <v>1.65</v>
      </c>
      <c r="I16" s="13">
        <f>Water!H18</f>
        <v>0</v>
      </c>
      <c r="J16" s="3">
        <v>12.28</v>
      </c>
      <c r="K16" s="12">
        <v>0</v>
      </c>
    </row>
    <row r="17" spans="1:11" s="16" customFormat="1" x14ac:dyDescent="0.25">
      <c r="A17" s="26" t="s">
        <v>25</v>
      </c>
      <c r="B17" s="15">
        <f t="shared" si="0"/>
        <v>16</v>
      </c>
      <c r="C17" s="3">
        <v>3</v>
      </c>
      <c r="D17" s="12">
        <v>2021</v>
      </c>
      <c r="E17" s="13">
        <f>Electricity!I19</f>
        <v>0</v>
      </c>
      <c r="F17" s="3">
        <v>0.62</v>
      </c>
      <c r="G17" s="13">
        <f>Gas!J19</f>
        <v>0</v>
      </c>
      <c r="H17" s="3">
        <v>1.65</v>
      </c>
      <c r="I17" s="13">
        <f>Water!H19</f>
        <v>0</v>
      </c>
      <c r="J17" s="3">
        <v>12.28</v>
      </c>
      <c r="K17" s="12">
        <v>0</v>
      </c>
    </row>
    <row r="18" spans="1:11" s="16" customFormat="1" x14ac:dyDescent="0.25">
      <c r="A18" s="26" t="s">
        <v>25</v>
      </c>
      <c r="B18" s="15">
        <f t="shared" si="0"/>
        <v>17</v>
      </c>
      <c r="C18" s="3">
        <v>3</v>
      </c>
      <c r="D18" s="12">
        <v>2021</v>
      </c>
      <c r="E18" s="13">
        <f>Electricity!I20</f>
        <v>0</v>
      </c>
      <c r="F18" s="3">
        <v>0.62</v>
      </c>
      <c r="G18" s="13">
        <f>Gas!J20</f>
        <v>0</v>
      </c>
      <c r="H18" s="3">
        <v>1.65</v>
      </c>
      <c r="I18" s="13">
        <f>Water!H20</f>
        <v>0</v>
      </c>
      <c r="J18" s="3">
        <v>12.28</v>
      </c>
      <c r="K18" s="12">
        <v>0</v>
      </c>
    </row>
    <row r="19" spans="1:11" s="16" customFormat="1" x14ac:dyDescent="0.25">
      <c r="A19" s="26" t="s">
        <v>25</v>
      </c>
      <c r="B19" s="15">
        <f t="shared" si="0"/>
        <v>18</v>
      </c>
      <c r="C19" s="3">
        <v>3</v>
      </c>
      <c r="D19" s="12">
        <v>2021</v>
      </c>
      <c r="E19" s="13">
        <f>Electricity!I21</f>
        <v>0</v>
      </c>
      <c r="F19" s="3">
        <v>0.62</v>
      </c>
      <c r="G19" s="13">
        <f>Gas!J21</f>
        <v>0</v>
      </c>
      <c r="H19" s="3">
        <v>1.65</v>
      </c>
      <c r="I19" s="13">
        <f>Water!H21</f>
        <v>0</v>
      </c>
      <c r="J19" s="3">
        <v>12.28</v>
      </c>
      <c r="K19" s="12">
        <v>0</v>
      </c>
    </row>
    <row r="20" spans="1:11" s="16" customFormat="1" x14ac:dyDescent="0.25">
      <c r="A20" s="26" t="s">
        <v>25</v>
      </c>
      <c r="B20" s="15">
        <f t="shared" si="0"/>
        <v>19</v>
      </c>
      <c r="C20" s="3">
        <v>3</v>
      </c>
      <c r="D20" s="12">
        <v>2021</v>
      </c>
      <c r="E20" s="13">
        <f>Electricity!I22</f>
        <v>0</v>
      </c>
      <c r="F20" s="3">
        <v>0.62</v>
      </c>
      <c r="G20" s="13">
        <f>Gas!J22</f>
        <v>0</v>
      </c>
      <c r="H20" s="3">
        <v>1.65</v>
      </c>
      <c r="I20" s="13">
        <f>Water!H22</f>
        <v>0</v>
      </c>
      <c r="J20" s="3">
        <v>12.28</v>
      </c>
      <c r="K20" s="12">
        <v>0</v>
      </c>
    </row>
    <row r="21" spans="1:11" s="16" customFormat="1" x14ac:dyDescent="0.25">
      <c r="A21" s="26" t="s">
        <v>25</v>
      </c>
      <c r="B21" s="15">
        <f t="shared" si="0"/>
        <v>20</v>
      </c>
      <c r="C21" s="3">
        <v>3</v>
      </c>
      <c r="D21" s="12">
        <v>2021</v>
      </c>
      <c r="E21" s="13">
        <f>Electricity!I23</f>
        <v>0</v>
      </c>
      <c r="F21" s="3">
        <v>0.62</v>
      </c>
      <c r="G21" s="13">
        <f>Gas!J23</f>
        <v>0</v>
      </c>
      <c r="H21" s="3">
        <v>1.65</v>
      </c>
      <c r="I21" s="13">
        <f>Water!H23</f>
        <v>0</v>
      </c>
      <c r="J21" s="3">
        <v>12.28</v>
      </c>
      <c r="K21" s="12">
        <v>0</v>
      </c>
    </row>
    <row r="22" spans="1:11" s="16" customFormat="1" x14ac:dyDescent="0.25">
      <c r="A22" s="26" t="s">
        <v>25</v>
      </c>
      <c r="B22" s="15">
        <f t="shared" si="0"/>
        <v>21</v>
      </c>
      <c r="C22" s="3">
        <v>3</v>
      </c>
      <c r="D22" s="12">
        <v>2021</v>
      </c>
      <c r="E22" s="13">
        <f>Electricity!I24</f>
        <v>0</v>
      </c>
      <c r="F22" s="3">
        <v>0.62</v>
      </c>
      <c r="G22" s="13">
        <f>Gas!J24</f>
        <v>0</v>
      </c>
      <c r="H22" s="3">
        <v>1.65</v>
      </c>
      <c r="I22" s="13">
        <f>Water!H24</f>
        <v>0</v>
      </c>
      <c r="J22" s="3">
        <v>12.28</v>
      </c>
      <c r="K22" s="12">
        <v>0</v>
      </c>
    </row>
    <row r="23" spans="1:11" s="16" customFormat="1" x14ac:dyDescent="0.25">
      <c r="A23" s="26" t="s">
        <v>25</v>
      </c>
      <c r="B23" s="15">
        <f t="shared" si="0"/>
        <v>22</v>
      </c>
      <c r="C23" s="3">
        <v>3</v>
      </c>
      <c r="D23" s="12">
        <v>2021</v>
      </c>
      <c r="E23" s="13">
        <f>Electricity!I25</f>
        <v>0</v>
      </c>
      <c r="F23" s="3">
        <v>0.62</v>
      </c>
      <c r="G23" s="13">
        <f>Gas!J25</f>
        <v>0</v>
      </c>
      <c r="H23" s="3">
        <v>1.65</v>
      </c>
      <c r="I23" s="13">
        <f>Water!H25</f>
        <v>0</v>
      </c>
      <c r="J23" s="3">
        <v>12.28</v>
      </c>
      <c r="K23" s="12">
        <v>0</v>
      </c>
    </row>
    <row r="24" spans="1:11" s="16" customFormat="1" x14ac:dyDescent="0.25">
      <c r="A24" s="26" t="s">
        <v>25</v>
      </c>
      <c r="B24" s="15">
        <f t="shared" si="0"/>
        <v>23</v>
      </c>
      <c r="C24" s="3">
        <v>3</v>
      </c>
      <c r="D24" s="12">
        <v>2021</v>
      </c>
      <c r="E24" s="13">
        <f>Electricity!I26</f>
        <v>0</v>
      </c>
      <c r="F24" s="3">
        <v>0.62</v>
      </c>
      <c r="G24" s="13">
        <f>Gas!J26</f>
        <v>0</v>
      </c>
      <c r="H24" s="3">
        <v>1.65</v>
      </c>
      <c r="I24" s="13">
        <f>Water!H26</f>
        <v>0</v>
      </c>
      <c r="J24" s="3">
        <v>12.28</v>
      </c>
      <c r="K24" s="12">
        <v>0</v>
      </c>
    </row>
    <row r="25" spans="1:11" s="16" customFormat="1" x14ac:dyDescent="0.25">
      <c r="A25" s="26" t="s">
        <v>25</v>
      </c>
      <c r="B25" s="15">
        <f t="shared" si="0"/>
        <v>24</v>
      </c>
      <c r="C25" s="3">
        <v>3</v>
      </c>
      <c r="D25" s="12">
        <v>2021</v>
      </c>
      <c r="E25" s="13">
        <f>Electricity!I27</f>
        <v>0</v>
      </c>
      <c r="F25" s="3">
        <v>0.62</v>
      </c>
      <c r="G25" s="13">
        <f>Gas!J27</f>
        <v>0</v>
      </c>
      <c r="H25" s="3">
        <v>1.65</v>
      </c>
      <c r="I25" s="13">
        <f>Water!H27</f>
        <v>0</v>
      </c>
      <c r="J25" s="3">
        <v>12.28</v>
      </c>
      <c r="K25" s="12">
        <v>0</v>
      </c>
    </row>
    <row r="26" spans="1:11" s="16" customFormat="1" x14ac:dyDescent="0.25">
      <c r="A26" s="26" t="s">
        <v>25</v>
      </c>
      <c r="B26" s="15">
        <f>B25+1</f>
        <v>25</v>
      </c>
      <c r="C26" s="3">
        <v>3</v>
      </c>
      <c r="D26" s="12">
        <v>2021</v>
      </c>
      <c r="E26" s="13">
        <f>Electricity!I28</f>
        <v>0</v>
      </c>
      <c r="F26" s="3">
        <v>0.62</v>
      </c>
      <c r="G26" s="13">
        <f>Gas!J28</f>
        <v>0</v>
      </c>
      <c r="H26" s="3">
        <v>1.65</v>
      </c>
      <c r="I26" s="13">
        <f>Water!H28</f>
        <v>0</v>
      </c>
      <c r="J26" s="3">
        <v>12.28</v>
      </c>
      <c r="K26" s="12">
        <v>0</v>
      </c>
    </row>
    <row r="27" spans="1:11" s="16" customFormat="1" x14ac:dyDescent="0.25">
      <c r="A27" s="26" t="s">
        <v>25</v>
      </c>
      <c r="B27" s="15">
        <f t="shared" si="0"/>
        <v>26</v>
      </c>
      <c r="C27" s="3">
        <v>3</v>
      </c>
      <c r="D27" s="12">
        <v>2021</v>
      </c>
      <c r="E27" s="13">
        <f>Electricity!I29</f>
        <v>0</v>
      </c>
      <c r="F27" s="3">
        <v>0.62</v>
      </c>
      <c r="G27" s="13">
        <f>Gas!J29</f>
        <v>0</v>
      </c>
      <c r="H27" s="3">
        <v>1.65</v>
      </c>
      <c r="I27" s="13">
        <f>Water!H29</f>
        <v>0</v>
      </c>
      <c r="J27" s="3">
        <v>12.28</v>
      </c>
      <c r="K27" s="12">
        <v>0</v>
      </c>
    </row>
    <row r="28" spans="1:11" s="16" customFormat="1" x14ac:dyDescent="0.25">
      <c r="A28" s="26" t="s">
        <v>25</v>
      </c>
      <c r="B28" s="15">
        <f t="shared" si="0"/>
        <v>27</v>
      </c>
      <c r="C28" s="3">
        <v>3</v>
      </c>
      <c r="D28" s="12">
        <v>2021</v>
      </c>
      <c r="E28" s="13">
        <f>Electricity!I30</f>
        <v>0</v>
      </c>
      <c r="F28" s="3">
        <v>0.62</v>
      </c>
      <c r="G28" s="13">
        <f>Gas!J30</f>
        <v>0</v>
      </c>
      <c r="H28" s="3">
        <v>1.65</v>
      </c>
      <c r="I28" s="13">
        <f>Water!H30</f>
        <v>0</v>
      </c>
      <c r="J28" s="3">
        <v>12.28</v>
      </c>
      <c r="K28" s="12">
        <v>0</v>
      </c>
    </row>
    <row r="29" spans="1:11" s="16" customFormat="1" x14ac:dyDescent="0.25">
      <c r="A29" s="26" t="s">
        <v>25</v>
      </c>
      <c r="B29" s="15">
        <f t="shared" si="0"/>
        <v>28</v>
      </c>
      <c r="C29" s="3">
        <v>3</v>
      </c>
      <c r="D29" s="12">
        <v>2021</v>
      </c>
      <c r="E29" s="13">
        <f>Electricity!I31</f>
        <v>0</v>
      </c>
      <c r="F29" s="3">
        <v>0.62</v>
      </c>
      <c r="G29" s="13">
        <f>Gas!J31</f>
        <v>0</v>
      </c>
      <c r="H29" s="3">
        <v>1.65</v>
      </c>
      <c r="I29" s="13">
        <f>Water!H31</f>
        <v>0</v>
      </c>
      <c r="J29" s="3">
        <v>12.28</v>
      </c>
      <c r="K29" s="12">
        <v>0</v>
      </c>
    </row>
    <row r="30" spans="1:11" s="16" customFormat="1" x14ac:dyDescent="0.25">
      <c r="A30" s="26" t="s">
        <v>25</v>
      </c>
      <c r="B30" s="15">
        <f t="shared" si="0"/>
        <v>29</v>
      </c>
      <c r="C30" s="3">
        <v>3</v>
      </c>
      <c r="D30" s="12">
        <v>2021</v>
      </c>
      <c r="E30" s="13">
        <f>Electricity!I32</f>
        <v>0</v>
      </c>
      <c r="F30" s="3">
        <v>0.62</v>
      </c>
      <c r="G30" s="13">
        <f>Gas!J32</f>
        <v>0</v>
      </c>
      <c r="H30" s="3">
        <v>1.65</v>
      </c>
      <c r="I30" s="13">
        <f>Water!H32</f>
        <v>0</v>
      </c>
      <c r="J30" s="3">
        <v>12.28</v>
      </c>
      <c r="K30" s="12">
        <v>0</v>
      </c>
    </row>
    <row r="31" spans="1:11" s="14" customFormat="1" x14ac:dyDescent="0.25">
      <c r="A31" s="26" t="s">
        <v>25</v>
      </c>
      <c r="B31" s="15">
        <f t="shared" si="0"/>
        <v>30</v>
      </c>
      <c r="C31" s="3">
        <v>3</v>
      </c>
      <c r="D31" s="12">
        <v>2021</v>
      </c>
      <c r="E31" s="13">
        <f>Electricity!I33</f>
        <v>0</v>
      </c>
      <c r="F31" s="3">
        <v>0.62</v>
      </c>
      <c r="G31" s="13">
        <f>Gas!J33</f>
        <v>0</v>
      </c>
      <c r="H31" s="3">
        <v>1.65</v>
      </c>
      <c r="I31" s="13">
        <f>Water!H33</f>
        <v>0</v>
      </c>
      <c r="J31" s="3">
        <v>12.28</v>
      </c>
      <c r="K31" s="12">
        <v>0</v>
      </c>
    </row>
    <row r="32" spans="1:11" s="14" customFormat="1" x14ac:dyDescent="0.25">
      <c r="A32" s="26" t="s">
        <v>25</v>
      </c>
      <c r="B32" s="15">
        <f t="shared" si="0"/>
        <v>31</v>
      </c>
      <c r="C32" s="3">
        <v>3</v>
      </c>
      <c r="D32" s="12">
        <v>2021</v>
      </c>
      <c r="E32" s="13">
        <f>Electricity!I34</f>
        <v>0</v>
      </c>
      <c r="F32" s="3">
        <v>0.62</v>
      </c>
      <c r="G32" s="13">
        <f>Gas!J34</f>
        <v>0</v>
      </c>
      <c r="H32" s="3">
        <v>1.65</v>
      </c>
      <c r="I32" s="13">
        <f>Water!H34</f>
        <v>0</v>
      </c>
      <c r="J32" s="3">
        <v>12.28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workbookViewId="0">
      <selection activeCell="H7" sqref="H7"/>
    </sheetView>
  </sheetViews>
  <sheetFormatPr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56</v>
      </c>
      <c r="E1" s="108"/>
      <c r="F1" s="108"/>
      <c r="G1" s="108"/>
      <c r="H1" s="108"/>
      <c r="I1" s="108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26</v>
      </c>
      <c r="C3" s="34" t="s">
        <v>27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28</v>
      </c>
      <c r="J3" s="35">
        <v>2020</v>
      </c>
      <c r="K3" s="36">
        <v>2019</v>
      </c>
      <c r="L3" s="37">
        <v>2018</v>
      </c>
      <c r="M3" s="38">
        <v>2017</v>
      </c>
      <c r="N3" s="39">
        <v>2016</v>
      </c>
    </row>
    <row r="4" spans="2:15" s="33" customFormat="1" ht="11.25" x14ac:dyDescent="0.25">
      <c r="D4" s="40">
        <v>44256</v>
      </c>
      <c r="E4" s="106">
        <v>8927</v>
      </c>
      <c r="F4" s="24">
        <v>1065</v>
      </c>
      <c r="G4" s="24">
        <f t="shared" ref="G4:G9" si="0">E4+F4</f>
        <v>9992</v>
      </c>
      <c r="H4" s="25">
        <f>G4-[1]Feb.2021!$G$31</f>
        <v>2</v>
      </c>
      <c r="I4" s="25">
        <v>48.387</v>
      </c>
      <c r="J4" s="41">
        <v>91</v>
      </c>
      <c r="K4" s="42">
        <v>61</v>
      </c>
      <c r="L4" s="43">
        <v>44</v>
      </c>
      <c r="M4" s="44">
        <v>38</v>
      </c>
      <c r="N4" s="45">
        <v>43</v>
      </c>
    </row>
    <row r="5" spans="2:15" s="33" customFormat="1" ht="11.25" x14ac:dyDescent="0.25">
      <c r="D5" s="40">
        <v>44257</v>
      </c>
      <c r="E5" s="24">
        <v>8929</v>
      </c>
      <c r="F5" s="24">
        <v>1065</v>
      </c>
      <c r="G5" s="24">
        <f t="shared" si="0"/>
        <v>9994</v>
      </c>
      <c r="H5" s="25">
        <f>IF((G5-G4)&gt;0,G5-G4,0)</f>
        <v>2</v>
      </c>
      <c r="I5" s="25">
        <v>48.387</v>
      </c>
      <c r="J5" s="41">
        <v>33</v>
      </c>
      <c r="K5" s="42">
        <v>47</v>
      </c>
      <c r="L5" s="43">
        <v>46</v>
      </c>
      <c r="M5" s="44">
        <v>36</v>
      </c>
      <c r="N5" s="45">
        <v>37</v>
      </c>
    </row>
    <row r="6" spans="2:15" s="33" customFormat="1" ht="11.25" x14ac:dyDescent="0.25">
      <c r="D6" s="40">
        <v>44258</v>
      </c>
      <c r="E6" s="24">
        <v>8933</v>
      </c>
      <c r="F6" s="24">
        <v>1065</v>
      </c>
      <c r="G6" s="24">
        <f t="shared" si="0"/>
        <v>9998</v>
      </c>
      <c r="H6" s="25">
        <f t="shared" ref="H6:H34" si="1">IF((G6-G5)&gt;0,G6-G5,0)</f>
        <v>4</v>
      </c>
      <c r="I6" s="25">
        <v>48.387</v>
      </c>
      <c r="J6" s="41">
        <v>39</v>
      </c>
      <c r="K6" s="42">
        <v>54</v>
      </c>
      <c r="L6" s="43">
        <v>42</v>
      </c>
      <c r="M6" s="44">
        <v>43</v>
      </c>
      <c r="N6" s="45">
        <v>36</v>
      </c>
    </row>
    <row r="7" spans="2:15" s="33" customFormat="1" ht="11.25" x14ac:dyDescent="0.25">
      <c r="D7" s="40">
        <v>44259</v>
      </c>
      <c r="E7" s="24"/>
      <c r="F7" s="24">
        <v>1065</v>
      </c>
      <c r="G7" s="24">
        <f t="shared" si="0"/>
        <v>1065</v>
      </c>
      <c r="H7" s="25">
        <f t="shared" si="1"/>
        <v>0</v>
      </c>
      <c r="I7" s="25">
        <v>48.387</v>
      </c>
      <c r="J7" s="41">
        <v>37</v>
      </c>
      <c r="K7" s="42">
        <v>51</v>
      </c>
      <c r="L7" s="43">
        <v>49</v>
      </c>
      <c r="M7" s="44">
        <v>32</v>
      </c>
      <c r="N7" s="45">
        <v>41</v>
      </c>
    </row>
    <row r="8" spans="2:15" s="33" customFormat="1" ht="11.25" x14ac:dyDescent="0.25">
      <c r="D8" s="40">
        <v>44260</v>
      </c>
      <c r="E8" s="24"/>
      <c r="F8" s="24">
        <v>1065</v>
      </c>
      <c r="G8" s="24">
        <f t="shared" si="0"/>
        <v>1065</v>
      </c>
      <c r="H8" s="25">
        <f t="shared" si="1"/>
        <v>0</v>
      </c>
      <c r="I8" s="25">
        <v>48.387</v>
      </c>
      <c r="J8" s="41">
        <v>34</v>
      </c>
      <c r="K8" s="42">
        <v>53</v>
      </c>
      <c r="L8" s="43">
        <v>39</v>
      </c>
      <c r="M8" s="44">
        <v>37</v>
      </c>
      <c r="N8" s="45">
        <v>14</v>
      </c>
    </row>
    <row r="9" spans="2:15" s="33" customFormat="1" ht="11.25" x14ac:dyDescent="0.25">
      <c r="D9" s="40">
        <v>44261</v>
      </c>
      <c r="E9" s="24"/>
      <c r="F9" s="24">
        <v>1065</v>
      </c>
      <c r="G9" s="24">
        <f t="shared" si="0"/>
        <v>1065</v>
      </c>
      <c r="H9" s="25">
        <f t="shared" si="1"/>
        <v>0</v>
      </c>
      <c r="I9" s="25">
        <v>48.387</v>
      </c>
      <c r="J9" s="41">
        <v>46</v>
      </c>
      <c r="K9" s="42">
        <v>51</v>
      </c>
      <c r="L9" s="43">
        <v>43</v>
      </c>
      <c r="M9" s="44">
        <v>24</v>
      </c>
      <c r="N9" s="45">
        <v>41</v>
      </c>
    </row>
    <row r="10" spans="2:15" s="33" customFormat="1" ht="11.25" x14ac:dyDescent="0.25">
      <c r="D10" s="40">
        <v>44262</v>
      </c>
      <c r="E10" s="24"/>
      <c r="F10" s="24">
        <v>1065</v>
      </c>
      <c r="G10" s="24">
        <f>E10+F10</f>
        <v>1065</v>
      </c>
      <c r="H10" s="25">
        <f t="shared" si="1"/>
        <v>0</v>
      </c>
      <c r="I10" s="25">
        <v>48.387</v>
      </c>
      <c r="J10" s="41">
        <v>42</v>
      </c>
      <c r="K10" s="42">
        <v>59</v>
      </c>
      <c r="L10" s="43">
        <v>46</v>
      </c>
      <c r="M10" s="44">
        <v>39</v>
      </c>
      <c r="N10" s="45">
        <v>21</v>
      </c>
    </row>
    <row r="11" spans="2:15" s="33" customFormat="1" ht="11.25" x14ac:dyDescent="0.25">
      <c r="D11" s="40">
        <v>44263</v>
      </c>
      <c r="E11" s="24"/>
      <c r="F11" s="24">
        <v>1065</v>
      </c>
      <c r="G11" s="24">
        <f>E11+F11</f>
        <v>1065</v>
      </c>
      <c r="H11" s="25">
        <f t="shared" si="1"/>
        <v>0</v>
      </c>
      <c r="I11" s="25">
        <v>48.387</v>
      </c>
      <c r="J11" s="41">
        <v>46</v>
      </c>
      <c r="K11" s="42">
        <v>29</v>
      </c>
      <c r="L11" s="43">
        <v>50</v>
      </c>
      <c r="M11" s="44">
        <v>39</v>
      </c>
      <c r="N11" s="45">
        <v>20</v>
      </c>
    </row>
    <row r="12" spans="2:15" s="33" customFormat="1" ht="11.25" x14ac:dyDescent="0.25">
      <c r="D12" s="40">
        <v>44264</v>
      </c>
      <c r="E12" s="24"/>
      <c r="F12" s="24">
        <v>1065</v>
      </c>
      <c r="G12" s="24">
        <f>E12+F12</f>
        <v>1065</v>
      </c>
      <c r="H12" s="25">
        <f t="shared" si="1"/>
        <v>0</v>
      </c>
      <c r="I12" s="25">
        <v>48.387</v>
      </c>
      <c r="J12" s="41">
        <v>51</v>
      </c>
      <c r="K12" s="42">
        <v>19</v>
      </c>
      <c r="L12" s="43">
        <v>48</v>
      </c>
      <c r="M12" s="44">
        <v>35</v>
      </c>
      <c r="N12" s="45">
        <v>49</v>
      </c>
    </row>
    <row r="13" spans="2:15" s="33" customFormat="1" ht="11.25" x14ac:dyDescent="0.25">
      <c r="D13" s="40">
        <v>44265</v>
      </c>
      <c r="E13" s="24"/>
      <c r="F13" s="24">
        <v>1065</v>
      </c>
      <c r="G13" s="24">
        <f>E13+F13</f>
        <v>1065</v>
      </c>
      <c r="H13" s="25">
        <f t="shared" si="1"/>
        <v>0</v>
      </c>
      <c r="I13" s="25">
        <v>48.387</v>
      </c>
      <c r="J13" s="41">
        <v>41</v>
      </c>
      <c r="K13" s="42">
        <v>47</v>
      </c>
      <c r="L13" s="43">
        <v>40</v>
      </c>
      <c r="M13" s="44">
        <v>45</v>
      </c>
      <c r="N13" s="45">
        <v>44</v>
      </c>
    </row>
    <row r="14" spans="2:15" s="33" customFormat="1" ht="11.25" x14ac:dyDescent="0.25">
      <c r="D14" s="40">
        <v>44266</v>
      </c>
      <c r="E14" s="24"/>
      <c r="F14" s="24">
        <v>1065</v>
      </c>
      <c r="G14" s="24">
        <f>E14+F14</f>
        <v>1065</v>
      </c>
      <c r="H14" s="25">
        <f t="shared" si="1"/>
        <v>0</v>
      </c>
      <c r="I14" s="25">
        <v>48.387</v>
      </c>
      <c r="J14" s="41">
        <v>81</v>
      </c>
      <c r="K14" s="42">
        <v>59</v>
      </c>
      <c r="L14" s="43">
        <v>39</v>
      </c>
      <c r="M14" s="44">
        <v>34</v>
      </c>
      <c r="N14" s="45">
        <v>12</v>
      </c>
    </row>
    <row r="15" spans="2:15" s="46" customFormat="1" ht="11.25" x14ac:dyDescent="0.25">
      <c r="D15" s="40">
        <v>44267</v>
      </c>
      <c r="E15" s="47"/>
      <c r="F15" s="47">
        <v>1065</v>
      </c>
      <c r="G15" s="47">
        <f t="shared" ref="G15:G34" si="2">E15+F15</f>
        <v>1065</v>
      </c>
      <c r="H15" s="25">
        <f t="shared" si="1"/>
        <v>0</v>
      </c>
      <c r="I15" s="25">
        <v>48.387</v>
      </c>
      <c r="J15" s="41">
        <v>27</v>
      </c>
      <c r="K15" s="42">
        <v>17</v>
      </c>
      <c r="L15" s="43">
        <v>40</v>
      </c>
      <c r="M15" s="44">
        <v>32</v>
      </c>
      <c r="N15" s="45">
        <v>40</v>
      </c>
      <c r="O15" s="46" t="s">
        <v>29</v>
      </c>
    </row>
    <row r="16" spans="2:15" s="33" customFormat="1" ht="11.25" x14ac:dyDescent="0.25">
      <c r="D16" s="40">
        <v>44268</v>
      </c>
      <c r="E16" s="24"/>
      <c r="F16" s="24">
        <v>1065</v>
      </c>
      <c r="G16" s="24">
        <f t="shared" si="2"/>
        <v>1065</v>
      </c>
      <c r="H16" s="25">
        <f t="shared" si="1"/>
        <v>0</v>
      </c>
      <c r="I16" s="25">
        <v>48.387</v>
      </c>
      <c r="J16" s="41">
        <v>18</v>
      </c>
      <c r="K16" s="42">
        <v>39</v>
      </c>
      <c r="L16" s="43">
        <v>43</v>
      </c>
      <c r="M16" s="44">
        <v>32</v>
      </c>
      <c r="N16" s="45">
        <v>30</v>
      </c>
    </row>
    <row r="17" spans="4:15" s="33" customFormat="1" ht="11.25" customHeight="1" x14ac:dyDescent="0.25">
      <c r="D17" s="40">
        <v>44269</v>
      </c>
      <c r="E17" s="24"/>
      <c r="F17" s="24">
        <v>1065</v>
      </c>
      <c r="G17" s="24">
        <f t="shared" si="2"/>
        <v>1065</v>
      </c>
      <c r="H17" s="25">
        <f t="shared" si="1"/>
        <v>0</v>
      </c>
      <c r="I17" s="25">
        <v>48.387</v>
      </c>
      <c r="J17" s="41">
        <v>44</v>
      </c>
      <c r="K17" s="42">
        <v>33</v>
      </c>
      <c r="L17" s="43">
        <v>44</v>
      </c>
      <c r="M17" s="44">
        <v>27</v>
      </c>
      <c r="N17" s="45">
        <v>27</v>
      </c>
    </row>
    <row r="18" spans="4:15" s="33" customFormat="1" ht="11.25" customHeight="1" x14ac:dyDescent="0.25">
      <c r="D18" s="40">
        <v>44270</v>
      </c>
      <c r="E18" s="24"/>
      <c r="F18" s="24">
        <v>1065</v>
      </c>
      <c r="G18" s="24">
        <f t="shared" si="2"/>
        <v>1065</v>
      </c>
      <c r="H18" s="25">
        <f t="shared" si="1"/>
        <v>0</v>
      </c>
      <c r="I18" s="25">
        <v>48.387</v>
      </c>
      <c r="J18" s="41">
        <v>11</v>
      </c>
      <c r="K18" s="42">
        <v>49</v>
      </c>
      <c r="L18" s="43">
        <v>54</v>
      </c>
      <c r="M18" s="44">
        <v>44</v>
      </c>
      <c r="N18" s="45">
        <v>27</v>
      </c>
    </row>
    <row r="19" spans="4:15" s="33" customFormat="1" ht="11.25" customHeight="1" x14ac:dyDescent="0.25">
      <c r="D19" s="40">
        <v>44271</v>
      </c>
      <c r="E19" s="24"/>
      <c r="F19" s="24">
        <v>1065</v>
      </c>
      <c r="G19" s="24">
        <f t="shared" si="2"/>
        <v>1065</v>
      </c>
      <c r="H19" s="25">
        <f t="shared" si="1"/>
        <v>0</v>
      </c>
      <c r="I19" s="25">
        <v>48.387</v>
      </c>
      <c r="J19" s="41">
        <v>52</v>
      </c>
      <c r="K19" s="42">
        <v>37</v>
      </c>
      <c r="L19" s="43">
        <v>32</v>
      </c>
      <c r="M19" s="44">
        <v>34</v>
      </c>
      <c r="N19" s="45">
        <v>40</v>
      </c>
    </row>
    <row r="20" spans="4:15" s="33" customFormat="1" ht="11.25" customHeight="1" x14ac:dyDescent="0.25">
      <c r="D20" s="40">
        <v>44272</v>
      </c>
      <c r="E20" s="24"/>
      <c r="F20" s="24">
        <v>1065</v>
      </c>
      <c r="G20" s="24">
        <f t="shared" si="2"/>
        <v>1065</v>
      </c>
      <c r="H20" s="25">
        <f t="shared" si="1"/>
        <v>0</v>
      </c>
      <c r="I20" s="25">
        <v>48.387</v>
      </c>
      <c r="J20" s="41">
        <v>18</v>
      </c>
      <c r="K20" s="42">
        <v>43</v>
      </c>
      <c r="L20" s="43">
        <v>31</v>
      </c>
      <c r="M20" s="44">
        <v>53</v>
      </c>
      <c r="N20" s="45">
        <v>26</v>
      </c>
    </row>
    <row r="21" spans="4:15" s="33" customFormat="1" ht="11.25" customHeight="1" x14ac:dyDescent="0.25">
      <c r="D21" s="40">
        <v>44273</v>
      </c>
      <c r="E21" s="24"/>
      <c r="F21" s="24">
        <v>1065</v>
      </c>
      <c r="G21" s="24">
        <f t="shared" si="2"/>
        <v>1065</v>
      </c>
      <c r="H21" s="25">
        <f t="shared" si="1"/>
        <v>0</v>
      </c>
      <c r="I21" s="25">
        <v>48.387</v>
      </c>
      <c r="J21" s="41">
        <v>28</v>
      </c>
      <c r="K21" s="42">
        <v>40</v>
      </c>
      <c r="L21" s="43">
        <v>51</v>
      </c>
      <c r="M21" s="44">
        <v>42</v>
      </c>
      <c r="N21" s="45">
        <v>28</v>
      </c>
    </row>
    <row r="22" spans="4:15" s="33" customFormat="1" ht="11.25" customHeight="1" x14ac:dyDescent="0.25">
      <c r="D22" s="40">
        <v>44274</v>
      </c>
      <c r="E22" s="24"/>
      <c r="F22" s="24">
        <v>1065</v>
      </c>
      <c r="G22" s="24">
        <f t="shared" si="2"/>
        <v>1065</v>
      </c>
      <c r="H22" s="25">
        <f t="shared" si="1"/>
        <v>0</v>
      </c>
      <c r="I22" s="25">
        <v>48.387</v>
      </c>
      <c r="J22" s="41">
        <v>18</v>
      </c>
      <c r="K22" s="42">
        <v>45</v>
      </c>
      <c r="L22" s="43">
        <v>46</v>
      </c>
      <c r="M22" s="44">
        <v>33</v>
      </c>
      <c r="N22" s="45">
        <v>30</v>
      </c>
    </row>
    <row r="23" spans="4:15" s="33" customFormat="1" ht="11.25" customHeight="1" x14ac:dyDescent="0.25">
      <c r="D23" s="40">
        <v>44275</v>
      </c>
      <c r="E23" s="24"/>
      <c r="F23" s="24">
        <v>1065</v>
      </c>
      <c r="G23" s="24">
        <f t="shared" si="2"/>
        <v>1065</v>
      </c>
      <c r="H23" s="25">
        <f t="shared" si="1"/>
        <v>0</v>
      </c>
      <c r="I23" s="25">
        <v>48.387</v>
      </c>
      <c r="J23" s="41">
        <v>11</v>
      </c>
      <c r="K23" s="42">
        <v>43</v>
      </c>
      <c r="L23" s="43">
        <v>41</v>
      </c>
      <c r="M23" s="44">
        <v>42</v>
      </c>
      <c r="N23" s="45">
        <v>39</v>
      </c>
    </row>
    <row r="24" spans="4:15" s="33" customFormat="1" ht="11.25" customHeight="1" x14ac:dyDescent="0.25">
      <c r="D24" s="40">
        <v>44276</v>
      </c>
      <c r="E24" s="24"/>
      <c r="F24" s="24">
        <v>1065</v>
      </c>
      <c r="G24" s="24">
        <f t="shared" si="2"/>
        <v>1065</v>
      </c>
      <c r="H24" s="25">
        <f t="shared" si="1"/>
        <v>0</v>
      </c>
      <c r="I24" s="25">
        <v>48.387</v>
      </c>
      <c r="J24" s="41">
        <v>14</v>
      </c>
      <c r="K24" s="42">
        <v>53</v>
      </c>
      <c r="L24" s="43">
        <v>55</v>
      </c>
      <c r="M24" s="44">
        <v>45</v>
      </c>
      <c r="N24" s="45">
        <v>19</v>
      </c>
    </row>
    <row r="25" spans="4:15" s="33" customFormat="1" ht="11.25" customHeight="1" x14ac:dyDescent="0.25">
      <c r="D25" s="40">
        <v>44277</v>
      </c>
      <c r="E25" s="24"/>
      <c r="F25" s="24">
        <v>1065</v>
      </c>
      <c r="G25" s="24">
        <f t="shared" si="2"/>
        <v>1065</v>
      </c>
      <c r="H25" s="25">
        <f t="shared" si="1"/>
        <v>0</v>
      </c>
      <c r="I25" s="25">
        <v>48.387</v>
      </c>
      <c r="J25" s="41">
        <v>23</v>
      </c>
      <c r="K25" s="42">
        <v>58</v>
      </c>
      <c r="L25" s="43">
        <v>48</v>
      </c>
      <c r="M25" s="44">
        <v>36</v>
      </c>
      <c r="N25" s="45">
        <v>31</v>
      </c>
    </row>
    <row r="26" spans="4:15" s="33" customFormat="1" ht="11.25" customHeight="1" x14ac:dyDescent="0.25">
      <c r="D26" s="40">
        <v>44278</v>
      </c>
      <c r="E26" s="24"/>
      <c r="F26" s="24">
        <v>1065</v>
      </c>
      <c r="G26" s="24">
        <f t="shared" si="2"/>
        <v>1065</v>
      </c>
      <c r="H26" s="25">
        <f t="shared" si="1"/>
        <v>0</v>
      </c>
      <c r="I26" s="25">
        <v>48.387</v>
      </c>
      <c r="J26" s="41">
        <v>8</v>
      </c>
      <c r="K26" s="42">
        <v>53</v>
      </c>
      <c r="L26" s="43">
        <v>48</v>
      </c>
      <c r="M26" s="44">
        <v>44</v>
      </c>
      <c r="N26" s="45">
        <v>29</v>
      </c>
      <c r="O26" s="33" t="s">
        <v>30</v>
      </c>
    </row>
    <row r="27" spans="4:15" s="33" customFormat="1" ht="11.25" customHeight="1" x14ac:dyDescent="0.25">
      <c r="D27" s="40">
        <v>44279</v>
      </c>
      <c r="E27" s="29"/>
      <c r="F27" s="24">
        <v>1065</v>
      </c>
      <c r="G27" s="24">
        <f t="shared" si="2"/>
        <v>1065</v>
      </c>
      <c r="H27" s="25">
        <f t="shared" si="1"/>
        <v>0</v>
      </c>
      <c r="I27" s="25">
        <v>48.387</v>
      </c>
      <c r="J27" s="41">
        <v>8</v>
      </c>
      <c r="K27" s="42">
        <v>61</v>
      </c>
      <c r="L27" s="43">
        <v>48</v>
      </c>
      <c r="M27" s="44">
        <v>44</v>
      </c>
      <c r="N27" s="45">
        <v>27</v>
      </c>
    </row>
    <row r="28" spans="4:15" s="33" customFormat="1" ht="11.25" customHeight="1" x14ac:dyDescent="0.25">
      <c r="D28" s="40">
        <v>44280</v>
      </c>
      <c r="E28" s="29"/>
      <c r="F28" s="24">
        <v>1065</v>
      </c>
      <c r="G28" s="24">
        <f t="shared" si="2"/>
        <v>1065</v>
      </c>
      <c r="H28" s="25">
        <f t="shared" si="1"/>
        <v>0</v>
      </c>
      <c r="I28" s="25">
        <v>48.387</v>
      </c>
      <c r="J28" s="41">
        <v>9</v>
      </c>
      <c r="K28" s="42">
        <v>56</v>
      </c>
      <c r="L28" s="43">
        <v>47</v>
      </c>
      <c r="M28" s="44">
        <v>53</v>
      </c>
      <c r="N28" s="45">
        <v>38</v>
      </c>
    </row>
    <row r="29" spans="4:15" s="33" customFormat="1" ht="11.25" customHeight="1" x14ac:dyDescent="0.25">
      <c r="D29" s="40">
        <v>44281</v>
      </c>
      <c r="E29" s="29"/>
      <c r="F29" s="24">
        <v>1065</v>
      </c>
      <c r="G29" s="24">
        <f t="shared" si="2"/>
        <v>1065</v>
      </c>
      <c r="H29" s="25">
        <f t="shared" si="1"/>
        <v>0</v>
      </c>
      <c r="I29" s="25">
        <v>48.387</v>
      </c>
      <c r="J29" s="41">
        <v>12</v>
      </c>
      <c r="K29" s="42">
        <v>53</v>
      </c>
      <c r="L29" s="43">
        <v>59</v>
      </c>
      <c r="M29" s="44">
        <v>34</v>
      </c>
      <c r="N29" s="45">
        <v>35</v>
      </c>
    </row>
    <row r="30" spans="4:15" s="33" customFormat="1" ht="11.25" customHeight="1" x14ac:dyDescent="0.25">
      <c r="D30" s="40">
        <v>44282</v>
      </c>
      <c r="E30" s="29"/>
      <c r="F30" s="24">
        <v>1065</v>
      </c>
      <c r="G30" s="24">
        <f t="shared" si="2"/>
        <v>1065</v>
      </c>
      <c r="H30" s="25">
        <f t="shared" si="1"/>
        <v>0</v>
      </c>
      <c r="I30" s="25">
        <v>48.387</v>
      </c>
      <c r="J30" s="41">
        <v>8</v>
      </c>
      <c r="K30" s="42">
        <v>67</v>
      </c>
      <c r="L30" s="43">
        <v>56</v>
      </c>
      <c r="M30" s="44">
        <v>43</v>
      </c>
      <c r="N30" s="45">
        <v>47</v>
      </c>
    </row>
    <row r="31" spans="4:15" s="33" customFormat="1" ht="11.25" customHeight="1" x14ac:dyDescent="0.25">
      <c r="D31" s="40">
        <v>44283</v>
      </c>
      <c r="E31" s="29"/>
      <c r="F31" s="24">
        <v>1065</v>
      </c>
      <c r="G31" s="24">
        <f t="shared" si="2"/>
        <v>1065</v>
      </c>
      <c r="H31" s="25">
        <f t="shared" si="1"/>
        <v>0</v>
      </c>
      <c r="I31" s="25">
        <v>48.387</v>
      </c>
      <c r="J31" s="41">
        <v>10</v>
      </c>
      <c r="K31" s="42">
        <v>58</v>
      </c>
      <c r="L31" s="43">
        <v>48</v>
      </c>
      <c r="M31" s="44">
        <v>48</v>
      </c>
      <c r="N31" s="45">
        <v>48</v>
      </c>
    </row>
    <row r="32" spans="4:15" s="33" customFormat="1" ht="11.25" customHeight="1" x14ac:dyDescent="0.25">
      <c r="D32" s="40">
        <v>44284</v>
      </c>
      <c r="E32" s="29"/>
      <c r="F32" s="24">
        <v>1065</v>
      </c>
      <c r="G32" s="24">
        <f t="shared" si="2"/>
        <v>1065</v>
      </c>
      <c r="H32" s="25">
        <f t="shared" si="1"/>
        <v>0</v>
      </c>
      <c r="I32" s="25">
        <v>48.387</v>
      </c>
      <c r="J32" s="41">
        <v>21</v>
      </c>
      <c r="K32" s="42">
        <v>57</v>
      </c>
      <c r="L32" s="43">
        <v>54</v>
      </c>
      <c r="M32" s="44">
        <v>39</v>
      </c>
      <c r="N32" s="45">
        <v>36</v>
      </c>
    </row>
    <row r="33" spans="2:14" s="33" customFormat="1" ht="11.25" customHeight="1" x14ac:dyDescent="0.25">
      <c r="B33" s="34"/>
      <c r="C33" s="34"/>
      <c r="D33" s="40">
        <v>44285</v>
      </c>
      <c r="E33" s="29"/>
      <c r="F33" s="24">
        <v>1065</v>
      </c>
      <c r="G33" s="24">
        <f t="shared" si="2"/>
        <v>1065</v>
      </c>
      <c r="H33" s="25">
        <f t="shared" si="1"/>
        <v>0</v>
      </c>
      <c r="I33" s="25">
        <v>48.387</v>
      </c>
      <c r="J33" s="41">
        <v>9</v>
      </c>
      <c r="K33" s="42">
        <v>49</v>
      </c>
      <c r="L33" s="43">
        <v>54</v>
      </c>
      <c r="M33" s="44">
        <v>47</v>
      </c>
      <c r="N33" s="45">
        <v>32</v>
      </c>
    </row>
    <row r="34" spans="2:14" s="33" customFormat="1" ht="11.25" customHeight="1" x14ac:dyDescent="0.25">
      <c r="D34" s="40">
        <v>44286</v>
      </c>
      <c r="E34" s="29"/>
      <c r="F34" s="24">
        <v>1065</v>
      </c>
      <c r="G34" s="24">
        <f t="shared" si="2"/>
        <v>1065</v>
      </c>
      <c r="H34" s="25">
        <f t="shared" si="1"/>
        <v>0</v>
      </c>
      <c r="I34" s="25">
        <v>48.387</v>
      </c>
      <c r="J34" s="41">
        <v>13</v>
      </c>
      <c r="K34" s="42">
        <v>60</v>
      </c>
      <c r="L34" s="43">
        <v>54</v>
      </c>
      <c r="M34" s="44">
        <v>56</v>
      </c>
      <c r="N34" s="45">
        <v>72</v>
      </c>
    </row>
    <row r="35" spans="2:14" s="33" customFormat="1" ht="11.25" x14ac:dyDescent="0.25">
      <c r="D35" s="48" t="s">
        <v>31</v>
      </c>
      <c r="E35" s="49"/>
      <c r="F35" s="49"/>
      <c r="G35" s="29"/>
      <c r="H35" s="50">
        <f>SUM(H4:H34)</f>
        <v>8</v>
      </c>
      <c r="I35" s="50">
        <f>SUM(I4:I34)</f>
        <v>1499.9969999999989</v>
      </c>
      <c r="J35" s="51">
        <v>903</v>
      </c>
      <c r="K35" s="52">
        <v>1501</v>
      </c>
      <c r="L35" s="43">
        <v>1439</v>
      </c>
      <c r="M35" s="44">
        <v>1230</v>
      </c>
      <c r="N35" s="45">
        <v>1059</v>
      </c>
    </row>
    <row r="36" spans="2:14" x14ac:dyDescent="0.25">
      <c r="H36" s="53"/>
      <c r="L36" s="32"/>
    </row>
    <row r="37" spans="2:14" x14ac:dyDescent="0.25">
      <c r="D37" s="54" t="s">
        <v>57</v>
      </c>
      <c r="L37" s="32"/>
    </row>
    <row r="38" spans="2:14" x14ac:dyDescent="0.25">
      <c r="L38" s="32"/>
    </row>
    <row r="39" spans="2:14" x14ac:dyDescent="0.25">
      <c r="D39" s="55" t="s">
        <v>32</v>
      </c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6"/>
  <sheetViews>
    <sheetView workbookViewId="0">
      <selection activeCell="J24" sqref="J24"/>
    </sheetView>
  </sheetViews>
  <sheetFormatPr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53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56"/>
      <c r="E2" s="56"/>
      <c r="F2" s="56"/>
      <c r="G2" s="56"/>
      <c r="H2" s="56"/>
      <c r="I2" s="56"/>
      <c r="J2" s="56"/>
      <c r="K2" s="56"/>
    </row>
    <row r="3" spans="2:18" s="33" customFormat="1" ht="22.5" customHeight="1" x14ac:dyDescent="0.25">
      <c r="B3" s="33" t="s">
        <v>33</v>
      </c>
      <c r="C3" s="33" t="s">
        <v>34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28</v>
      </c>
      <c r="L3" s="57">
        <v>2015</v>
      </c>
      <c r="M3" s="58">
        <v>2014</v>
      </c>
      <c r="N3" s="59">
        <v>2013</v>
      </c>
      <c r="O3" s="60">
        <v>2020</v>
      </c>
      <c r="P3" s="43">
        <v>2019</v>
      </c>
      <c r="Q3" s="44">
        <v>2018</v>
      </c>
      <c r="R3" s="45">
        <v>2017</v>
      </c>
    </row>
    <row r="4" spans="2:18" s="33" customFormat="1" ht="11.25" customHeight="1" x14ac:dyDescent="0.25">
      <c r="D4" s="40">
        <v>44256</v>
      </c>
      <c r="E4" s="24">
        <v>760637</v>
      </c>
      <c r="F4" s="24">
        <v>172062</v>
      </c>
      <c r="G4" s="24">
        <f t="shared" ref="G4:G9" si="0">E4+F4</f>
        <v>932699</v>
      </c>
      <c r="H4" s="18">
        <v>1.3011159999999999</v>
      </c>
      <c r="I4" s="24">
        <f t="shared" ref="I4:I9" si="1">H4*G4</f>
        <v>1213549.5920839999</v>
      </c>
      <c r="J4" s="25">
        <f>I4-[2]Feb.2021!$I$31</f>
        <v>0</v>
      </c>
      <c r="K4" s="23">
        <v>951.61289999999997</v>
      </c>
      <c r="L4" s="57">
        <v>1289</v>
      </c>
      <c r="M4" s="58">
        <v>886.25</v>
      </c>
      <c r="N4" s="59">
        <v>898.73799999989569</v>
      </c>
      <c r="O4" s="61">
        <v>597</v>
      </c>
      <c r="P4" s="62">
        <v>588.88970000017434</v>
      </c>
      <c r="Q4" s="63">
        <v>894.4</v>
      </c>
      <c r="R4" s="64">
        <v>565.07618099998217</v>
      </c>
    </row>
    <row r="5" spans="2:18" s="33" customFormat="1" ht="11.25" customHeight="1" x14ac:dyDescent="0.25">
      <c r="D5" s="40">
        <v>44257</v>
      </c>
      <c r="E5" s="24">
        <v>760637</v>
      </c>
      <c r="F5" s="24">
        <v>172062</v>
      </c>
      <c r="G5" s="24">
        <f t="shared" si="0"/>
        <v>932699</v>
      </c>
      <c r="H5" s="18">
        <v>1.3011159999999999</v>
      </c>
      <c r="I5" s="24">
        <f>H5*G5</f>
        <v>1213549.5920839999</v>
      </c>
      <c r="J5" s="25">
        <f>IF((I5-I4)&gt;0,I5-I4,0)</f>
        <v>0</v>
      </c>
      <c r="K5" s="23">
        <v>951.61289999999997</v>
      </c>
      <c r="L5" s="57">
        <v>1336.6710000000021</v>
      </c>
      <c r="M5" s="58">
        <v>893.75</v>
      </c>
      <c r="N5" s="59">
        <v>906.37600000016391</v>
      </c>
      <c r="O5" s="61">
        <v>740.4757999998983</v>
      </c>
      <c r="P5" s="62">
        <v>696.42607999988832</v>
      </c>
      <c r="Q5" s="63">
        <v>965.31344699999318</v>
      </c>
      <c r="R5" s="64">
        <v>562.52504700003192</v>
      </c>
    </row>
    <row r="6" spans="2:18" s="33" customFormat="1" ht="11.25" customHeight="1" x14ac:dyDescent="0.25">
      <c r="D6" s="40">
        <v>44258</v>
      </c>
      <c r="E6" s="24">
        <v>760637</v>
      </c>
      <c r="F6" s="24">
        <v>172062</v>
      </c>
      <c r="G6" s="24">
        <f t="shared" si="0"/>
        <v>932699</v>
      </c>
      <c r="H6" s="18">
        <v>1.3011159999999999</v>
      </c>
      <c r="I6" s="24">
        <f t="shared" si="1"/>
        <v>1213549.5920839999</v>
      </c>
      <c r="J6" s="25">
        <f t="shared" ref="J6:J34" si="2">IF((I6-I5)&gt;0,I6-I5,0)</f>
        <v>0</v>
      </c>
      <c r="K6" s="23">
        <v>951.61289999999997</v>
      </c>
      <c r="L6" s="57">
        <v>1422.4049999999988</v>
      </c>
      <c r="M6" s="58">
        <v>846.25</v>
      </c>
      <c r="N6" s="59">
        <v>956.0230000000447</v>
      </c>
      <c r="O6" s="61">
        <v>737.90023200004362</v>
      </c>
      <c r="P6" s="62">
        <v>655.45983999990858</v>
      </c>
      <c r="Q6" s="63">
        <v>779.72581500001252</v>
      </c>
      <c r="R6" s="64">
        <v>514.05350099992938</v>
      </c>
    </row>
    <row r="7" spans="2:18" s="33" customFormat="1" ht="11.25" customHeight="1" x14ac:dyDescent="0.25">
      <c r="D7" s="40">
        <v>44259</v>
      </c>
      <c r="E7" s="24"/>
      <c r="F7" s="24"/>
      <c r="G7" s="24">
        <f t="shared" si="0"/>
        <v>0</v>
      </c>
      <c r="H7" s="18">
        <v>1.3011159999999999</v>
      </c>
      <c r="I7" s="24">
        <f t="shared" si="1"/>
        <v>0</v>
      </c>
      <c r="J7" s="25">
        <f t="shared" si="2"/>
        <v>0</v>
      </c>
      <c r="K7" s="23">
        <v>951.61289999999997</v>
      </c>
      <c r="L7" s="57">
        <v>1354.8570000000182</v>
      </c>
      <c r="M7" s="58">
        <v>832.5</v>
      </c>
      <c r="N7" s="59">
        <v>933.10900000017136</v>
      </c>
      <c r="O7" s="61">
        <v>645.17978400015272</v>
      </c>
      <c r="P7" s="62">
        <v>673.38257000013255</v>
      </c>
      <c r="Q7" s="63">
        <v>743.63933099992573</v>
      </c>
      <c r="R7" s="64">
        <v>484.71545999997761</v>
      </c>
    </row>
    <row r="8" spans="2:18" s="33" customFormat="1" ht="11.25" customHeight="1" x14ac:dyDescent="0.25">
      <c r="D8" s="40">
        <v>44260</v>
      </c>
      <c r="E8" s="24"/>
      <c r="F8" s="24"/>
      <c r="G8" s="24">
        <f t="shared" si="0"/>
        <v>0</v>
      </c>
      <c r="H8" s="18">
        <v>1.3011159999999999</v>
      </c>
      <c r="I8" s="24">
        <f t="shared" si="1"/>
        <v>0</v>
      </c>
      <c r="J8" s="25">
        <f t="shared" si="2"/>
        <v>0</v>
      </c>
      <c r="K8" s="23">
        <v>951.61289999999997</v>
      </c>
      <c r="L8" s="57">
        <v>1241.8439999999828</v>
      </c>
      <c r="M8" s="58">
        <v>721.25</v>
      </c>
      <c r="N8" s="59">
        <v>882.18899999931455</v>
      </c>
      <c r="O8" s="61">
        <v>596.24399199988693</v>
      </c>
      <c r="P8" s="62">
        <v>742.51309999986552</v>
      </c>
      <c r="Q8" s="63">
        <v>783.59222400002182</v>
      </c>
      <c r="R8" s="64">
        <v>553.59607800003141</v>
      </c>
    </row>
    <row r="9" spans="2:18" s="33" customFormat="1" ht="11.25" customHeight="1" x14ac:dyDescent="0.25">
      <c r="D9" s="40">
        <v>44261</v>
      </c>
      <c r="E9" s="24"/>
      <c r="F9" s="24"/>
      <c r="G9" s="24">
        <f t="shared" si="0"/>
        <v>0</v>
      </c>
      <c r="H9" s="18">
        <v>1.3011159999999999</v>
      </c>
      <c r="I9" s="24">
        <f t="shared" si="1"/>
        <v>0</v>
      </c>
      <c r="J9" s="25">
        <f t="shared" si="2"/>
        <v>0</v>
      </c>
      <c r="K9" s="23">
        <v>951.61289999999997</v>
      </c>
      <c r="L9" s="57">
        <v>1287.3090000000084</v>
      </c>
      <c r="M9" s="58">
        <v>746.25</v>
      </c>
      <c r="N9" s="59">
        <v>846.54499999992549</v>
      </c>
      <c r="O9" s="61">
        <v>669.64767999993637</v>
      </c>
      <c r="P9" s="62">
        <v>761.71602500020526</v>
      </c>
      <c r="Q9" s="63">
        <v>784.88102700002491</v>
      </c>
      <c r="R9" s="64">
        <v>769.2</v>
      </c>
    </row>
    <row r="10" spans="2:18" s="33" customFormat="1" ht="11.25" x14ac:dyDescent="0.25">
      <c r="D10" s="40">
        <v>44262</v>
      </c>
      <c r="E10" s="24"/>
      <c r="F10" s="24"/>
      <c r="G10" s="24">
        <f>E10+F10</f>
        <v>0</v>
      </c>
      <c r="H10" s="18">
        <v>1.3011159999999999</v>
      </c>
      <c r="I10" s="24">
        <f>H10*G10</f>
        <v>0</v>
      </c>
      <c r="J10" s="25">
        <f t="shared" si="2"/>
        <v>0</v>
      </c>
      <c r="K10" s="23">
        <v>951.61289999999997</v>
      </c>
      <c r="L10" s="57">
        <v>1354.8569999999891</v>
      </c>
      <c r="M10" s="58">
        <v>788.75</v>
      </c>
      <c r="N10" s="59">
        <v>1033.6759999999776</v>
      </c>
      <c r="O10" s="61">
        <v>463.60224000015296</v>
      </c>
      <c r="P10" s="62">
        <v>709.22802999988198</v>
      </c>
      <c r="Q10" s="63">
        <v>887.98526700004004</v>
      </c>
      <c r="R10" s="64">
        <v>802.26949600002263</v>
      </c>
    </row>
    <row r="11" spans="2:18" s="33" customFormat="1" ht="11.25" customHeight="1" x14ac:dyDescent="0.25">
      <c r="D11" s="40">
        <v>44263</v>
      </c>
      <c r="E11" s="24"/>
      <c r="F11" s="24"/>
      <c r="G11" s="24">
        <f>E11+F11</f>
        <v>0</v>
      </c>
      <c r="H11" s="18">
        <v>1.3011159999999999</v>
      </c>
      <c r="I11" s="24">
        <f t="shared" ref="I11:I34" si="3">H11*G11</f>
        <v>0</v>
      </c>
      <c r="J11" s="25">
        <f t="shared" si="2"/>
        <v>0</v>
      </c>
      <c r="K11" s="23">
        <v>951.61289999999997</v>
      </c>
      <c r="L11" s="57">
        <v>1331.4750000000058</v>
      </c>
      <c r="M11" s="58">
        <v>751.25</v>
      </c>
      <c r="N11" s="59">
        <v>1000.578000000678</v>
      </c>
      <c r="O11" s="61">
        <v>910.46328799985349</v>
      </c>
      <c r="P11" s="62">
        <v>716.90920000011101</v>
      </c>
      <c r="Q11" s="63">
        <v>1047.7968389999587</v>
      </c>
      <c r="R11" s="64">
        <v>822.87352799996734</v>
      </c>
    </row>
    <row r="12" spans="2:18" s="33" customFormat="1" ht="11.25" customHeight="1" x14ac:dyDescent="0.25">
      <c r="D12" s="40">
        <v>44264</v>
      </c>
      <c r="E12" s="24"/>
      <c r="F12" s="24"/>
      <c r="G12" s="24">
        <f t="shared" ref="G12:G34" si="4">E12+F12</f>
        <v>0</v>
      </c>
      <c r="H12" s="18">
        <v>1.3011159999999999</v>
      </c>
      <c r="I12" s="24">
        <f t="shared" si="3"/>
        <v>0</v>
      </c>
      <c r="J12" s="25">
        <f t="shared" si="2"/>
        <v>0</v>
      </c>
      <c r="K12" s="23">
        <v>951.61289999999997</v>
      </c>
      <c r="L12" s="57">
        <v>1383.4349999999977</v>
      </c>
      <c r="M12" s="58">
        <v>782.5</v>
      </c>
      <c r="N12" s="59">
        <v>892.37299999967217</v>
      </c>
      <c r="O12" s="61">
        <v>594.95620800019242</v>
      </c>
      <c r="P12" s="62">
        <v>677.22315500001423</v>
      </c>
      <c r="Q12" s="63">
        <v>939.5373870000476</v>
      </c>
      <c r="R12" s="64">
        <v>743.03290400002152</v>
      </c>
    </row>
    <row r="13" spans="2:18" s="33" customFormat="1" ht="11.25" customHeight="1" x14ac:dyDescent="0.25">
      <c r="D13" s="40">
        <v>44265</v>
      </c>
      <c r="E13" s="24"/>
      <c r="F13" s="24"/>
      <c r="G13" s="24">
        <f t="shared" si="4"/>
        <v>0</v>
      </c>
      <c r="H13" s="18">
        <v>1.3011159999999999</v>
      </c>
      <c r="I13" s="24">
        <f t="shared" si="3"/>
        <v>0</v>
      </c>
      <c r="J13" s="25">
        <f t="shared" si="2"/>
        <v>0</v>
      </c>
      <c r="K13" s="23">
        <v>951.61289999999997</v>
      </c>
      <c r="L13" s="57">
        <v>1326.2790000000095</v>
      </c>
      <c r="M13" s="58">
        <v>783.75</v>
      </c>
      <c r="N13" s="59">
        <v>990.39400000032037</v>
      </c>
      <c r="O13" s="61">
        <v>631.01415999978781</v>
      </c>
      <c r="P13" s="62">
        <v>668.26178999990225</v>
      </c>
      <c r="Q13" s="63">
        <v>845.45476799993776</v>
      </c>
      <c r="R13" s="64">
        <v>642.58824800001457</v>
      </c>
    </row>
    <row r="14" spans="2:18" s="33" customFormat="1" ht="11.25" customHeight="1" x14ac:dyDescent="0.25">
      <c r="D14" s="40">
        <v>44266</v>
      </c>
      <c r="E14" s="24"/>
      <c r="F14" s="24"/>
      <c r="G14" s="24">
        <f t="shared" si="4"/>
        <v>0</v>
      </c>
      <c r="H14" s="18">
        <v>1.3011159999999999</v>
      </c>
      <c r="I14" s="24">
        <f t="shared" si="3"/>
        <v>0</v>
      </c>
      <c r="J14" s="25">
        <f t="shared" si="2"/>
        <v>0</v>
      </c>
      <c r="K14" s="23">
        <v>951.61289999999997</v>
      </c>
      <c r="L14" s="57">
        <v>1226.2559999999939</v>
      </c>
      <c r="M14" s="58">
        <v>857.5</v>
      </c>
      <c r="N14" s="59">
        <v>1173.7060000002384</v>
      </c>
      <c r="O14" s="61">
        <v>697.97892800020054</v>
      </c>
      <c r="P14" s="62">
        <v>741.23290499998257</v>
      </c>
      <c r="Q14" s="63">
        <v>759.10496699996293</v>
      </c>
      <c r="R14" s="64">
        <v>788.10422400000971</v>
      </c>
    </row>
    <row r="15" spans="2:18" s="33" customFormat="1" ht="11.25" customHeight="1" x14ac:dyDescent="0.25">
      <c r="D15" s="40">
        <v>44267</v>
      </c>
      <c r="E15" s="24"/>
      <c r="F15" s="24"/>
      <c r="G15" s="24">
        <f t="shared" si="4"/>
        <v>0</v>
      </c>
      <c r="H15" s="18">
        <v>1.3011159999999999</v>
      </c>
      <c r="I15" s="24">
        <f t="shared" si="3"/>
        <v>0</v>
      </c>
      <c r="J15" s="25">
        <f t="shared" si="2"/>
        <v>0</v>
      </c>
      <c r="K15" s="23">
        <v>951.61289999999997</v>
      </c>
      <c r="L15" s="57">
        <v>935.27999999999884</v>
      </c>
      <c r="M15" s="58">
        <v>786.25</v>
      </c>
      <c r="N15" s="59">
        <v>1264.0889999996871</v>
      </c>
      <c r="O15" s="61">
        <v>637.45307999989018</v>
      </c>
      <c r="P15" s="62">
        <v>730.99134499998763</v>
      </c>
      <c r="Q15" s="63">
        <v>831.27793500002008</v>
      </c>
      <c r="R15" s="64">
        <v>573.0496399999829</v>
      </c>
    </row>
    <row r="16" spans="2:18" s="33" customFormat="1" ht="11.25" customHeight="1" x14ac:dyDescent="0.25">
      <c r="D16" s="40">
        <v>44268</v>
      </c>
      <c r="E16" s="24"/>
      <c r="F16" s="24"/>
      <c r="G16" s="24">
        <f t="shared" si="4"/>
        <v>0</v>
      </c>
      <c r="H16" s="18">
        <v>1.3011159999999999</v>
      </c>
      <c r="I16" s="24">
        <f t="shared" si="3"/>
        <v>0</v>
      </c>
      <c r="J16" s="25">
        <f t="shared" si="2"/>
        <v>0</v>
      </c>
      <c r="K16" s="23">
        <v>951.61289999999997</v>
      </c>
      <c r="L16" s="57">
        <v>1063.8809999999939</v>
      </c>
      <c r="M16" s="58">
        <v>825</v>
      </c>
      <c r="N16" s="59">
        <v>1218.2609999999404</v>
      </c>
      <c r="O16" s="61">
        <v>602.6829119999893</v>
      </c>
      <c r="P16" s="62">
        <v>700.26666500000283</v>
      </c>
      <c r="Q16" s="63">
        <v>973.04626500001177</v>
      </c>
      <c r="R16" s="64">
        <v>633.57398400001694</v>
      </c>
    </row>
    <row r="17" spans="4:18" s="33" customFormat="1" ht="11.25" customHeight="1" x14ac:dyDescent="0.25">
      <c r="D17" s="40">
        <v>44269</v>
      </c>
      <c r="E17" s="24"/>
      <c r="F17" s="24"/>
      <c r="G17" s="24">
        <f t="shared" si="4"/>
        <v>0</v>
      </c>
      <c r="H17" s="18">
        <v>1.3011159999999999</v>
      </c>
      <c r="I17" s="24">
        <f t="shared" si="3"/>
        <v>0</v>
      </c>
      <c r="J17" s="25">
        <f t="shared" si="2"/>
        <v>0</v>
      </c>
      <c r="K17" s="23">
        <v>951.61289999999997</v>
      </c>
      <c r="L17" s="57">
        <v>1088.5620000000054</v>
      </c>
      <c r="M17" s="58">
        <v>845</v>
      </c>
      <c r="N17" s="59">
        <v>1138.061999999918</v>
      </c>
      <c r="O17" s="61">
        <v>627.15080800000578</v>
      </c>
      <c r="P17" s="62">
        <v>684.90432500001043</v>
      </c>
      <c r="Q17" s="63">
        <v>930.51576600002591</v>
      </c>
      <c r="R17" s="64">
        <v>619.40871200000402</v>
      </c>
    </row>
    <row r="18" spans="4:18" s="33" customFormat="1" ht="11.25" customHeight="1" x14ac:dyDescent="0.25">
      <c r="D18" s="40">
        <v>44270</v>
      </c>
      <c r="E18" s="24"/>
      <c r="F18" s="24"/>
      <c r="G18" s="24">
        <f t="shared" si="4"/>
        <v>0</v>
      </c>
      <c r="H18" s="18">
        <v>1.3011159999999999</v>
      </c>
      <c r="I18" s="24">
        <f t="shared" si="3"/>
        <v>0</v>
      </c>
      <c r="J18" s="25">
        <f t="shared" si="2"/>
        <v>0</v>
      </c>
      <c r="K18" s="23">
        <v>951.61289999999997</v>
      </c>
      <c r="L18" s="57">
        <v>1121.0370000000112</v>
      </c>
      <c r="M18" s="58">
        <v>845</v>
      </c>
      <c r="N18" s="59">
        <v>1089.688000000082</v>
      </c>
      <c r="O18" s="61">
        <v>721.15904000005685</v>
      </c>
      <c r="P18" s="62">
        <v>645.21827999991365</v>
      </c>
      <c r="Q18" s="63">
        <v>947.27020499994978</v>
      </c>
      <c r="R18" s="64">
        <v>593.65367200004403</v>
      </c>
    </row>
    <row r="19" spans="4:18" s="33" customFormat="1" ht="11.25" customHeight="1" x14ac:dyDescent="0.25">
      <c r="D19" s="40">
        <v>44271</v>
      </c>
      <c r="E19" s="24"/>
      <c r="F19" s="24"/>
      <c r="G19" s="24">
        <f t="shared" si="4"/>
        <v>0</v>
      </c>
      <c r="H19" s="18">
        <v>1.3011159999999999</v>
      </c>
      <c r="I19" s="24">
        <f t="shared" si="3"/>
        <v>0</v>
      </c>
      <c r="J19" s="25">
        <f t="shared" si="2"/>
        <v>0</v>
      </c>
      <c r="K19" s="23">
        <v>951.61289999999997</v>
      </c>
      <c r="L19" s="57">
        <v>918.39299999998184</v>
      </c>
      <c r="M19" s="58">
        <v>877.5</v>
      </c>
      <c r="N19" s="59">
        <v>1108.7829999998212</v>
      </c>
      <c r="O19" s="61">
        <v>761.08034399989992</v>
      </c>
      <c r="P19" s="62">
        <v>672.10237500001676</v>
      </c>
      <c r="Q19" s="63">
        <v>875.09723700000905</v>
      </c>
      <c r="R19" s="64">
        <v>624.55971999990288</v>
      </c>
    </row>
    <row r="20" spans="4:18" s="33" customFormat="1" ht="11.25" customHeight="1" x14ac:dyDescent="0.25">
      <c r="D20" s="40">
        <v>44272</v>
      </c>
      <c r="E20" s="24"/>
      <c r="F20" s="24"/>
      <c r="G20" s="24">
        <f t="shared" si="4"/>
        <v>0</v>
      </c>
      <c r="H20" s="18">
        <v>1.3011159999999999</v>
      </c>
      <c r="I20" s="24">
        <f t="shared" si="3"/>
        <v>0</v>
      </c>
      <c r="J20" s="25">
        <f t="shared" si="2"/>
        <v>0</v>
      </c>
      <c r="K20" s="23">
        <v>951.61289999999997</v>
      </c>
      <c r="L20" s="57">
        <v>1052.1900000000023</v>
      </c>
      <c r="M20" s="58">
        <v>811.25</v>
      </c>
      <c r="N20" s="59">
        <v>1106.2369999997318</v>
      </c>
      <c r="O20" s="61">
        <v>755.92920799995773</v>
      </c>
      <c r="P20" s="62">
        <v>673.38257000013255</v>
      </c>
      <c r="Q20" s="63">
        <v>849.32117700006347</v>
      </c>
      <c r="R20" s="64">
        <v>623.27196799998637</v>
      </c>
    </row>
    <row r="21" spans="4:18" s="33" customFormat="1" ht="11.25" customHeight="1" x14ac:dyDescent="0.25">
      <c r="D21" s="40">
        <v>44273</v>
      </c>
      <c r="E21" s="24"/>
      <c r="F21" s="24"/>
      <c r="G21" s="24">
        <f t="shared" si="4"/>
        <v>0</v>
      </c>
      <c r="H21" s="18">
        <v>1.3011159999999999</v>
      </c>
      <c r="I21" s="24">
        <f t="shared" si="3"/>
        <v>0</v>
      </c>
      <c r="J21" s="25">
        <f t="shared" si="2"/>
        <v>0</v>
      </c>
      <c r="K21" s="23">
        <v>951.61289999999997</v>
      </c>
      <c r="L21" s="57">
        <v>1069.0770000000193</v>
      </c>
      <c r="M21" s="58">
        <v>806.25</v>
      </c>
      <c r="N21" s="59">
        <v>1092.2340000001714</v>
      </c>
      <c r="O21" s="61">
        <v>712.14455200009979</v>
      </c>
      <c r="P21" s="62">
        <v>670.82217999990098</v>
      </c>
      <c r="Q21" s="63">
        <v>799.05785999994259</v>
      </c>
      <c r="R21" s="64">
        <v>615.54545600002166</v>
      </c>
    </row>
    <row r="22" spans="4:18" s="33" customFormat="1" ht="11.25" customHeight="1" x14ac:dyDescent="0.25">
      <c r="D22" s="40">
        <v>44274</v>
      </c>
      <c r="E22" s="24"/>
      <c r="F22" s="24"/>
      <c r="G22" s="24">
        <f t="shared" si="4"/>
        <v>0</v>
      </c>
      <c r="H22" s="18">
        <v>1.3011159999999999</v>
      </c>
      <c r="I22" s="24">
        <f t="shared" si="3"/>
        <v>0</v>
      </c>
      <c r="J22" s="25">
        <f t="shared" si="2"/>
        <v>0</v>
      </c>
      <c r="K22" s="23">
        <v>951.61289999999997</v>
      </c>
      <c r="L22" s="57">
        <v>972.95100000000093</v>
      </c>
      <c r="M22" s="58">
        <v>788.75</v>
      </c>
      <c r="N22" s="59">
        <v>1037.4950000001118</v>
      </c>
      <c r="O22" s="61">
        <v>673.51103199995123</v>
      </c>
      <c r="P22" s="62">
        <v>663.14101000013761</v>
      </c>
      <c r="Q22" s="63">
        <v>797.76905700005591</v>
      </c>
      <c r="R22" s="64">
        <v>715.9901120000286</v>
      </c>
    </row>
    <row r="23" spans="4:18" s="33" customFormat="1" ht="11.25" customHeight="1" x14ac:dyDescent="0.25">
      <c r="D23" s="40">
        <v>44275</v>
      </c>
      <c r="E23" s="24"/>
      <c r="F23" s="24"/>
      <c r="G23" s="24">
        <f t="shared" si="4"/>
        <v>0</v>
      </c>
      <c r="H23" s="18">
        <v>1.3011159999999999</v>
      </c>
      <c r="I23" s="24">
        <f t="shared" si="3"/>
        <v>0</v>
      </c>
      <c r="J23" s="25">
        <f t="shared" si="2"/>
        <v>0</v>
      </c>
      <c r="K23" s="23">
        <v>951.61289999999997</v>
      </c>
      <c r="L23" s="57">
        <v>914.49599999998463</v>
      </c>
      <c r="M23" s="58">
        <v>856.25</v>
      </c>
      <c r="N23" s="59">
        <v>1046.4060000004247</v>
      </c>
      <c r="O23" s="61">
        <v>544.73263199999928</v>
      </c>
      <c r="P23" s="62">
        <v>636.25691499980167</v>
      </c>
      <c r="Q23" s="63">
        <v>988.51190099993255</v>
      </c>
      <c r="R23" s="64">
        <v>776.51445600006264</v>
      </c>
    </row>
    <row r="24" spans="4:18" s="33" customFormat="1" ht="11.25" customHeight="1" x14ac:dyDescent="0.25">
      <c r="D24" s="40">
        <v>44276</v>
      </c>
      <c r="E24" s="24"/>
      <c r="F24" s="24"/>
      <c r="G24" s="24">
        <f t="shared" si="4"/>
        <v>0</v>
      </c>
      <c r="H24" s="18">
        <v>1.3011159999999999</v>
      </c>
      <c r="I24" s="24">
        <f t="shared" si="3"/>
        <v>0</v>
      </c>
      <c r="J24" s="25">
        <f t="shared" si="2"/>
        <v>0</v>
      </c>
      <c r="K24" s="23">
        <v>951.61289999999997</v>
      </c>
      <c r="L24" s="57">
        <v>814.47299999999814</v>
      </c>
      <c r="M24" s="58">
        <v>883.75</v>
      </c>
      <c r="N24" s="59">
        <v>1078.2309999996796</v>
      </c>
      <c r="O24" s="61">
        <v>515.11360000004061</v>
      </c>
      <c r="P24" s="62">
        <v>690.0251050000079</v>
      </c>
      <c r="Q24" s="63">
        <v>938.2485840000445</v>
      </c>
      <c r="R24" s="64">
        <v>800.9817439999897</v>
      </c>
    </row>
    <row r="25" spans="4:18" s="33" customFormat="1" ht="11.25" customHeight="1" x14ac:dyDescent="0.25">
      <c r="D25" s="40">
        <v>44277</v>
      </c>
      <c r="E25" s="24"/>
      <c r="F25" s="24"/>
      <c r="G25" s="24">
        <f t="shared" si="4"/>
        <v>0</v>
      </c>
      <c r="H25" s="18">
        <v>1.3011159999999999</v>
      </c>
      <c r="I25" s="24">
        <f t="shared" si="3"/>
        <v>0</v>
      </c>
      <c r="J25" s="25">
        <f t="shared" si="2"/>
        <v>0</v>
      </c>
      <c r="K25" s="23">
        <v>951.61289999999997</v>
      </c>
      <c r="L25" s="57">
        <v>832.6590000000142</v>
      </c>
      <c r="M25" s="58">
        <v>886.25</v>
      </c>
      <c r="N25" s="59">
        <v>1073.1390000004321</v>
      </c>
      <c r="O25" s="61">
        <v>433.98320799996145</v>
      </c>
      <c r="P25" s="62">
        <v>608.09262500004843</v>
      </c>
      <c r="Q25" s="63">
        <v>931.80456900002901</v>
      </c>
      <c r="R25" s="64">
        <v>887.26112799998373</v>
      </c>
    </row>
    <row r="26" spans="4:18" s="33" customFormat="1" ht="11.25" customHeight="1" x14ac:dyDescent="0.25">
      <c r="D26" s="40">
        <v>44278</v>
      </c>
      <c r="E26" s="24"/>
      <c r="F26" s="24"/>
      <c r="G26" s="24">
        <f t="shared" si="4"/>
        <v>0</v>
      </c>
      <c r="H26" s="18">
        <v>1.3011159999999999</v>
      </c>
      <c r="I26" s="24">
        <f t="shared" si="3"/>
        <v>0</v>
      </c>
      <c r="J26" s="25">
        <f t="shared" si="2"/>
        <v>0</v>
      </c>
      <c r="K26" s="23">
        <v>951.61289999999997</v>
      </c>
      <c r="L26" s="57">
        <v>814.47299999999814</v>
      </c>
      <c r="M26" s="58">
        <v>920</v>
      </c>
      <c r="N26" s="59">
        <v>1120.2399999992922</v>
      </c>
      <c r="O26" s="61">
        <v>296.19032000005245</v>
      </c>
      <c r="P26" s="62">
        <v>565.84618999995291</v>
      </c>
      <c r="Q26" s="63">
        <v>778.43701200000942</v>
      </c>
      <c r="R26" s="64">
        <v>934.90795199992135</v>
      </c>
    </row>
    <row r="27" spans="4:18" s="33" customFormat="1" ht="11.25" customHeight="1" x14ac:dyDescent="0.25">
      <c r="D27" s="40">
        <v>44279</v>
      </c>
      <c r="E27" s="24"/>
      <c r="F27" s="24"/>
      <c r="G27" s="24">
        <f t="shared" si="4"/>
        <v>0</v>
      </c>
      <c r="H27" s="18">
        <v>1.3011159999999999</v>
      </c>
      <c r="I27" s="24">
        <f t="shared" si="3"/>
        <v>0</v>
      </c>
      <c r="J27" s="25">
        <f t="shared" si="2"/>
        <v>0</v>
      </c>
      <c r="K27" s="23">
        <v>951.61289999999997</v>
      </c>
      <c r="L27" s="57">
        <v>759.91500000000815</v>
      </c>
      <c r="M27" s="58">
        <v>6414.4569999999949</v>
      </c>
      <c r="N27" s="59">
        <v>1154.6110000004992</v>
      </c>
      <c r="O27" s="61">
        <v>310.35594399995171</v>
      </c>
      <c r="P27" s="62">
        <v>618</v>
      </c>
      <c r="Q27" s="63">
        <v>769.41539099998772</v>
      </c>
      <c r="R27" s="64">
        <v>856.35508000000846</v>
      </c>
    </row>
    <row r="28" spans="4:18" s="33" customFormat="1" ht="11.25" customHeight="1" x14ac:dyDescent="0.25">
      <c r="D28" s="40">
        <v>44280</v>
      </c>
      <c r="E28" s="24"/>
      <c r="F28" s="24"/>
      <c r="G28" s="24">
        <f t="shared" si="4"/>
        <v>0</v>
      </c>
      <c r="H28" s="18">
        <v>1.3011159999999999</v>
      </c>
      <c r="I28" s="24">
        <f t="shared" si="3"/>
        <v>0</v>
      </c>
      <c r="J28" s="25">
        <f t="shared" si="2"/>
        <v>0</v>
      </c>
      <c r="K28" s="23">
        <v>951.61289999999997</v>
      </c>
      <c r="L28" s="57">
        <v>802.78199999997742</v>
      </c>
      <c r="M28" s="58">
        <v>1004.1270000000077</v>
      </c>
      <c r="N28" s="59">
        <v>1141.8810000000522</v>
      </c>
      <c r="O28" s="61">
        <v>270.43464000010863</v>
      </c>
      <c r="P28" s="62">
        <v>780.07559999986552</v>
      </c>
      <c r="Q28" s="63">
        <v>759.10496699996293</v>
      </c>
      <c r="R28" s="64">
        <v>914.30392000009306</v>
      </c>
    </row>
    <row r="29" spans="4:18" s="33" customFormat="1" ht="11.25" customHeight="1" x14ac:dyDescent="0.25">
      <c r="D29" s="40">
        <v>44281</v>
      </c>
      <c r="E29" s="24"/>
      <c r="F29" s="24"/>
      <c r="G29" s="24">
        <f t="shared" si="4"/>
        <v>0</v>
      </c>
      <c r="H29" s="18">
        <v>1.3011159999999999</v>
      </c>
      <c r="I29" s="24">
        <f t="shared" si="3"/>
        <v>0</v>
      </c>
      <c r="J29" s="25">
        <f t="shared" si="2"/>
        <v>0</v>
      </c>
      <c r="K29" s="23">
        <v>951.61289999999997</v>
      </c>
      <c r="L29" s="57">
        <v>771.60599999999977</v>
      </c>
      <c r="M29" s="58">
        <v>1030.1069999999891</v>
      </c>
      <c r="N29" s="59">
        <v>1158.429999999702</v>
      </c>
      <c r="O29" s="61">
        <v>262.70793599984609</v>
      </c>
      <c r="P29" s="62">
        <v>820.3795060000848</v>
      </c>
      <c r="Q29" s="63">
        <v>921.49414500000421</v>
      </c>
      <c r="R29" s="64">
        <v>843.47755999991205</v>
      </c>
    </row>
    <row r="30" spans="4:18" s="33" customFormat="1" ht="11.25" customHeight="1" x14ac:dyDescent="0.25">
      <c r="D30" s="40">
        <v>44282</v>
      </c>
      <c r="E30" s="24"/>
      <c r="F30" s="24"/>
      <c r="G30" s="24">
        <f t="shared" si="4"/>
        <v>0</v>
      </c>
      <c r="H30" s="18">
        <v>1.3011159999999999</v>
      </c>
      <c r="I30" s="24">
        <f>H30*G30</f>
        <v>0</v>
      </c>
      <c r="J30" s="25">
        <f t="shared" si="2"/>
        <v>0</v>
      </c>
      <c r="K30" s="23">
        <v>951.61289999999997</v>
      </c>
      <c r="L30" s="57">
        <v>840</v>
      </c>
      <c r="M30" s="58">
        <v>1036.6020000000135</v>
      </c>
      <c r="N30" s="59">
        <v>1069.320000000298</v>
      </c>
      <c r="O30" s="61">
        <v>262.70793600007892</v>
      </c>
      <c r="P30" s="62">
        <v>783.9759779998567</v>
      </c>
      <c r="Q30" s="63">
        <v>997.53352199995425</v>
      </c>
      <c r="R30" s="64">
        <v>782.95321599999443</v>
      </c>
    </row>
    <row r="31" spans="4:18" s="33" customFormat="1" ht="11.25" customHeight="1" x14ac:dyDescent="0.25">
      <c r="D31" s="40">
        <v>44283</v>
      </c>
      <c r="E31" s="24"/>
      <c r="F31" s="24"/>
      <c r="G31" s="24">
        <f t="shared" si="4"/>
        <v>0</v>
      </c>
      <c r="H31" s="18">
        <v>1.3011159999999999</v>
      </c>
      <c r="I31" s="24">
        <f t="shared" si="3"/>
        <v>0</v>
      </c>
      <c r="J31" s="25">
        <f t="shared" si="2"/>
        <v>0</v>
      </c>
      <c r="K31" s="23">
        <v>951.61289999999997</v>
      </c>
      <c r="L31" s="57">
        <v>856.67999999999302</v>
      </c>
      <c r="M31" s="58">
        <v>1117.1399999999849</v>
      </c>
      <c r="N31" s="59">
        <v>1169.8870000001043</v>
      </c>
      <c r="O31" s="61">
        <v>280.73691199999303</v>
      </c>
      <c r="P31" s="62">
        <v>830.7805140002165</v>
      </c>
      <c r="Q31" s="63">
        <v>979.49028000002727</v>
      </c>
      <c r="R31" s="64">
        <v>696.6738320000004</v>
      </c>
    </row>
    <row r="32" spans="4:18" s="33" customFormat="1" ht="11.25" customHeight="1" x14ac:dyDescent="0.25">
      <c r="D32" s="40">
        <v>44284</v>
      </c>
      <c r="E32" s="24"/>
      <c r="F32" s="24"/>
      <c r="G32" s="24">
        <f t="shared" si="4"/>
        <v>0</v>
      </c>
      <c r="H32" s="18">
        <v>1.3011159999999999</v>
      </c>
      <c r="I32" s="24">
        <f t="shared" si="3"/>
        <v>0</v>
      </c>
      <c r="J32" s="25">
        <f t="shared" si="2"/>
        <v>0</v>
      </c>
      <c r="K32" s="23">
        <v>951.61289999999997</v>
      </c>
      <c r="L32" s="57">
        <v>1159.1140000000014</v>
      </c>
      <c r="M32" s="58">
        <v>1111.9439999999886</v>
      </c>
      <c r="N32" s="59">
        <v>1127.8779999995604</v>
      </c>
      <c r="O32" s="61">
        <v>263.99572000000626</v>
      </c>
      <c r="P32" s="62">
        <v>956.89273600000888</v>
      </c>
      <c r="Q32" s="63">
        <v>933.0933720000321</v>
      </c>
      <c r="R32" s="64">
        <v>694.09832800005097</v>
      </c>
    </row>
    <row r="33" spans="4:18" s="33" customFormat="1" ht="11.25" customHeight="1" x14ac:dyDescent="0.25">
      <c r="D33" s="40">
        <v>44285</v>
      </c>
      <c r="E33" s="24"/>
      <c r="F33" s="24"/>
      <c r="G33" s="24">
        <f t="shared" si="4"/>
        <v>0</v>
      </c>
      <c r="H33" s="18">
        <v>1.3011159999999999</v>
      </c>
      <c r="I33" s="24">
        <f t="shared" si="3"/>
        <v>0</v>
      </c>
      <c r="J33" s="25">
        <f t="shared" si="2"/>
        <v>0</v>
      </c>
      <c r="K33" s="23">
        <v>951.61289999999997</v>
      </c>
      <c r="L33" s="57">
        <v>665.87400000001071</v>
      </c>
      <c r="M33" s="58">
        <v>1162.6050000000105</v>
      </c>
      <c r="N33" s="59">
        <v>1206.8040000004694</v>
      </c>
      <c r="O33" s="61">
        <v>251.11788000003435</v>
      </c>
      <c r="P33" s="62">
        <v>949.09197999979369</v>
      </c>
      <c r="Q33" s="63">
        <v>967.89105299999937</v>
      </c>
      <c r="R33" s="64">
        <v>734.01864000002388</v>
      </c>
    </row>
    <row r="34" spans="4:18" s="33" customFormat="1" ht="11.25" customHeight="1" x14ac:dyDescent="0.25">
      <c r="D34" s="40">
        <v>44286</v>
      </c>
      <c r="E34" s="24"/>
      <c r="F34" s="24"/>
      <c r="G34" s="24">
        <f t="shared" si="4"/>
        <v>0</v>
      </c>
      <c r="H34" s="18">
        <v>1.3011159999999999</v>
      </c>
      <c r="I34" s="24">
        <f t="shared" si="3"/>
        <v>0</v>
      </c>
      <c r="J34" s="25">
        <f t="shared" si="2"/>
        <v>0</v>
      </c>
      <c r="K34" s="23">
        <v>951.61289999999997</v>
      </c>
      <c r="L34" s="57">
        <v>846.29599999997299</v>
      </c>
      <c r="M34" s="58">
        <v>1239.2460000000137</v>
      </c>
      <c r="N34" s="59">
        <v>1206.8039999995381</v>
      </c>
      <c r="O34" s="61">
        <v>257.55679999990389</v>
      </c>
      <c r="P34" s="62">
        <v>1017.9986580000259</v>
      </c>
      <c r="Q34" s="63">
        <v>869.94202499999665</v>
      </c>
      <c r="R34" s="64">
        <v>803.55724799993914</v>
      </c>
    </row>
    <row r="35" spans="4:18" s="33" customFormat="1" ht="11.25" customHeight="1" x14ac:dyDescent="0.25">
      <c r="D35" s="48" t="s">
        <v>31</v>
      </c>
      <c r="E35" s="65"/>
      <c r="F35" s="65"/>
      <c r="G35" s="65"/>
      <c r="H35" s="65"/>
      <c r="I35" s="66"/>
      <c r="J35" s="50">
        <f>SUM(J4:J34)</f>
        <v>0</v>
      </c>
      <c r="K35" s="50">
        <f>SUM(K4:K34)</f>
        <v>29499.999899999999</v>
      </c>
      <c r="L35" s="67">
        <v>32854.126999999979</v>
      </c>
      <c r="M35" s="68">
        <v>33137.478000000003</v>
      </c>
      <c r="N35" s="69">
        <v>33122.186999999918</v>
      </c>
      <c r="O35" s="70">
        <v>16725.206815999933</v>
      </c>
      <c r="P35" s="71">
        <v>22329.486951999832</v>
      </c>
      <c r="Q35" s="72">
        <v>27269.753394999985</v>
      </c>
      <c r="R35" s="73">
        <v>21972.191034999956</v>
      </c>
    </row>
    <row r="36" spans="4:18" ht="9.9499999999999993" customHeight="1" x14ac:dyDescent="0.25"/>
    <row r="37" spans="4:18" ht="12.75" customHeight="1" x14ac:dyDescent="0.25">
      <c r="L37" s="53">
        <f>+AVERAGE(J4:J8)</f>
        <v>0</v>
      </c>
      <c r="M37" s="17">
        <f>+(L37*31)</f>
        <v>0</v>
      </c>
    </row>
    <row r="38" spans="4:18" ht="12.75" customHeight="1" x14ac:dyDescent="0.25">
      <c r="D38" s="54" t="s">
        <v>54</v>
      </c>
    </row>
    <row r="39" spans="4:18" ht="12.75" customHeight="1" x14ac:dyDescent="0.25">
      <c r="D39" s="55" t="s">
        <v>32</v>
      </c>
    </row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5"/>
  <sheetViews>
    <sheetView topLeftCell="A2" workbookViewId="0">
      <selection activeCell="G30" sqref="G30"/>
    </sheetView>
  </sheetViews>
  <sheetFormatPr defaultRowHeight="15" x14ac:dyDescent="0.25"/>
  <cols>
    <col min="2" max="2" width="3.140625" customWidth="1"/>
    <col min="3" max="3" width="9.140625" style="74" hidden="1" customWidth="1"/>
    <col min="4" max="4" width="7.7109375" style="74" hidden="1" customWidth="1"/>
    <col min="5" max="5" width="9.28515625" customWidth="1"/>
    <col min="6" max="6" width="9.4257812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08" t="s">
        <v>52</v>
      </c>
      <c r="F1" s="108"/>
      <c r="G1" s="108"/>
      <c r="H1" s="108"/>
      <c r="I1" s="108"/>
      <c r="J1" s="108"/>
      <c r="K1" s="31"/>
      <c r="L1" s="31"/>
      <c r="M1" s="31"/>
      <c r="N1" s="31"/>
      <c r="O1" s="17"/>
      <c r="P1" s="17"/>
      <c r="Q1" s="108" t="s">
        <v>50</v>
      </c>
      <c r="R1" s="108"/>
      <c r="S1" s="108"/>
      <c r="T1" s="108"/>
      <c r="U1" s="108"/>
      <c r="V1" s="108"/>
      <c r="W1" s="108"/>
      <c r="X1" s="108"/>
      <c r="Y1" s="17"/>
      <c r="Z1" s="108" t="s">
        <v>51</v>
      </c>
      <c r="AA1" s="108"/>
      <c r="AB1" s="108"/>
      <c r="AC1" s="108"/>
      <c r="AD1" s="108"/>
      <c r="AE1" s="108"/>
      <c r="AF1" s="108"/>
      <c r="AG1" s="108"/>
      <c r="AI1" s="108" t="s">
        <v>52</v>
      </c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75" t="s">
        <v>35</v>
      </c>
      <c r="D3" s="75" t="s">
        <v>36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37</v>
      </c>
      <c r="K3" s="76">
        <v>2020</v>
      </c>
      <c r="L3" s="36">
        <v>2019</v>
      </c>
      <c r="M3" s="77">
        <v>2018</v>
      </c>
      <c r="N3" s="78">
        <v>2017</v>
      </c>
      <c r="O3" s="46"/>
      <c r="P3" s="33"/>
      <c r="Q3" s="18" t="s">
        <v>11</v>
      </c>
      <c r="R3" s="19" t="s">
        <v>38</v>
      </c>
      <c r="S3" s="19" t="s">
        <v>13</v>
      </c>
      <c r="T3" s="19" t="s">
        <v>39</v>
      </c>
      <c r="U3" s="19" t="s">
        <v>40</v>
      </c>
      <c r="V3" s="19" t="s">
        <v>41</v>
      </c>
      <c r="W3" s="19" t="s">
        <v>42</v>
      </c>
      <c r="X3" s="79" t="s">
        <v>43</v>
      </c>
      <c r="Y3" s="33"/>
      <c r="Z3" s="18" t="s">
        <v>11</v>
      </c>
      <c r="AA3" s="19" t="s">
        <v>38</v>
      </c>
      <c r="AB3" s="19" t="s">
        <v>13</v>
      </c>
      <c r="AC3" s="19" t="s">
        <v>39</v>
      </c>
      <c r="AD3" s="19" t="s">
        <v>44</v>
      </c>
      <c r="AE3" s="19" t="s">
        <v>41</v>
      </c>
      <c r="AF3" s="19" t="s">
        <v>45</v>
      </c>
      <c r="AG3" s="79" t="s">
        <v>43</v>
      </c>
      <c r="AI3" s="18" t="s">
        <v>11</v>
      </c>
      <c r="AJ3" s="19" t="s">
        <v>12</v>
      </c>
      <c r="AK3" s="79" t="s">
        <v>46</v>
      </c>
      <c r="AL3" s="79" t="s">
        <v>47</v>
      </c>
      <c r="AM3" s="79" t="s">
        <v>48</v>
      </c>
      <c r="AN3" s="19" t="s">
        <v>13</v>
      </c>
      <c r="AO3" s="109" t="s">
        <v>46</v>
      </c>
      <c r="AP3" s="110"/>
      <c r="AQ3" s="109" t="s">
        <v>47</v>
      </c>
      <c r="AR3" s="110"/>
      <c r="AS3" s="109" t="s">
        <v>48</v>
      </c>
      <c r="AT3" s="110"/>
      <c r="AU3" s="19"/>
      <c r="AV3" s="19" t="s">
        <v>14</v>
      </c>
      <c r="AW3" s="19" t="s">
        <v>15</v>
      </c>
      <c r="AX3" s="19" t="s">
        <v>37</v>
      </c>
    </row>
    <row r="4" spans="3:50" x14ac:dyDescent="0.25">
      <c r="C4" s="80">
        <v>1300</v>
      </c>
      <c r="D4" s="80">
        <v>3200</v>
      </c>
      <c r="E4" s="40">
        <v>44256</v>
      </c>
      <c r="F4" s="107">
        <v>4638.0140000000001</v>
      </c>
      <c r="G4" s="23">
        <v>2760</v>
      </c>
      <c r="H4" s="24">
        <f>G4*F4</f>
        <v>12800918.640000001</v>
      </c>
      <c r="I4" s="25">
        <f>+(H4-[4]Feb.2021!$G$31)</f>
        <v>1250.2800000011921</v>
      </c>
      <c r="J4" s="50"/>
      <c r="K4" s="81"/>
      <c r="L4" s="42"/>
      <c r="M4" s="82"/>
      <c r="N4" s="83">
        <v>4603.6800000006333</v>
      </c>
      <c r="O4" s="84"/>
      <c r="P4" s="85"/>
      <c r="Q4" s="40">
        <v>44256</v>
      </c>
      <c r="R4" s="86">
        <v>123.986</v>
      </c>
      <c r="S4" s="86">
        <v>2760</v>
      </c>
      <c r="T4" s="86">
        <f t="shared" ref="T4:T9" si="0">S4*R4</f>
        <v>342201.36</v>
      </c>
      <c r="U4" s="25">
        <f>+(T4-[4]Feb.2021!$R$31)</f>
        <v>52.440000000002328</v>
      </c>
      <c r="V4" s="25">
        <f t="shared" ref="V4:V9" si="1">I4</f>
        <v>1250.2800000011921</v>
      </c>
      <c r="W4" s="87">
        <f t="shared" ref="W4:W35" si="2">U4/V4</f>
        <v>4.1942604856474011E-2</v>
      </c>
      <c r="X4" s="88">
        <v>0.2</v>
      </c>
      <c r="Y4" s="33"/>
      <c r="Z4" s="40">
        <v>44256</v>
      </c>
      <c r="AA4" s="86">
        <v>164.654</v>
      </c>
      <c r="AB4" s="86">
        <v>2760</v>
      </c>
      <c r="AC4" s="86">
        <f t="shared" ref="AC4:AC9" si="3">AB4*AA4</f>
        <v>454445.04</v>
      </c>
      <c r="AD4" s="25">
        <f>+(AC4-[4]Feb.2021!$AA$31)</f>
        <v>49.679999999993015</v>
      </c>
      <c r="AE4" s="25">
        <f t="shared" ref="AE4:AE9" si="4">I4</f>
        <v>1250.2800000011921</v>
      </c>
      <c r="AF4" s="87">
        <f t="shared" ref="AF4:AF9" si="5">AD4/AE4</f>
        <v>3.9735099337704874E-2</v>
      </c>
      <c r="AG4" s="88">
        <v>0.15</v>
      </c>
      <c r="AI4" s="40">
        <v>44256</v>
      </c>
      <c r="AJ4" s="22">
        <v>4586.8320000000003</v>
      </c>
      <c r="AK4" s="22">
        <v>2347.6849999999999</v>
      </c>
      <c r="AL4" s="22">
        <v>1013.643</v>
      </c>
      <c r="AM4" s="22">
        <v>1225.5039999999999</v>
      </c>
      <c r="AN4" s="23">
        <v>2760</v>
      </c>
      <c r="AO4" s="23">
        <f>+(AK4*$AN$4)</f>
        <v>6479610.5999999996</v>
      </c>
      <c r="AP4" s="89">
        <v>4523.6400000000003</v>
      </c>
      <c r="AQ4" s="23">
        <f t="shared" ref="AQ4:AQ35" si="6">+(AL4*$AN$4)</f>
        <v>2797654.68</v>
      </c>
      <c r="AR4" s="90">
        <v>1686.36</v>
      </c>
      <c r="AS4" s="23">
        <f t="shared" ref="AS4:AS35" si="7">+(AM4*$AN$4)</f>
        <v>3382391.0399999996</v>
      </c>
      <c r="AT4" s="91">
        <v>1959.6</v>
      </c>
      <c r="AU4" s="92">
        <f t="shared" ref="AU4:AU36" si="8">+(AP4+AR4+AT4)</f>
        <v>8169.6</v>
      </c>
      <c r="AV4" s="24">
        <f t="shared" ref="AV4:AV35" si="9">AN4*AJ4</f>
        <v>12659656.32</v>
      </c>
      <c r="AW4" s="25">
        <f t="shared" ref="AW4:AX19" si="10">+(I4)</f>
        <v>1250.2800000011921</v>
      </c>
      <c r="AX4" s="25">
        <f t="shared" si="10"/>
        <v>0</v>
      </c>
    </row>
    <row r="5" spans="3:50" x14ac:dyDescent="0.25">
      <c r="C5" s="80">
        <v>1000</v>
      </c>
      <c r="D5" s="80">
        <v>3400</v>
      </c>
      <c r="E5" s="40">
        <v>44257</v>
      </c>
      <c r="F5" s="107">
        <v>4638.5559999999996</v>
      </c>
      <c r="G5" s="23">
        <v>2760</v>
      </c>
      <c r="H5" s="24">
        <f>G5*F5</f>
        <v>12802414.559999999</v>
      </c>
      <c r="I5" s="25">
        <f>IF((H5-H4)&gt;0,H5-H4,0)</f>
        <v>1495.9199999980628</v>
      </c>
      <c r="J5" s="25">
        <v>7258.0645000000004</v>
      </c>
      <c r="K5" s="93">
        <v>6541.2000000011176</v>
      </c>
      <c r="L5" s="42">
        <v>6414.2400000002235</v>
      </c>
      <c r="M5" s="82">
        <v>5956.0800000000745</v>
      </c>
      <c r="N5" s="83">
        <v>4584.359999999404</v>
      </c>
      <c r="O5" s="84"/>
      <c r="P5" s="85"/>
      <c r="Q5" s="40">
        <v>44257</v>
      </c>
      <c r="R5" s="86">
        <v>124.027</v>
      </c>
      <c r="S5" s="86">
        <v>2760</v>
      </c>
      <c r="T5" s="86">
        <f t="shared" si="0"/>
        <v>342314.52</v>
      </c>
      <c r="U5" s="25">
        <f t="shared" ref="U5:U10" si="11">T5-T4</f>
        <v>113.1600000000326</v>
      </c>
      <c r="V5" s="25">
        <f t="shared" si="1"/>
        <v>1495.9199999980628</v>
      </c>
      <c r="W5" s="87">
        <f t="shared" si="2"/>
        <v>7.5645756457684329E-2</v>
      </c>
      <c r="X5" s="88">
        <v>0.2</v>
      </c>
      <c r="Y5" s="33"/>
      <c r="Z5" s="40">
        <v>44257</v>
      </c>
      <c r="AA5" s="86">
        <v>164.67400000000001</v>
      </c>
      <c r="AB5" s="86">
        <v>2760</v>
      </c>
      <c r="AC5" s="18">
        <f t="shared" si="3"/>
        <v>454500.24</v>
      </c>
      <c r="AD5" s="25">
        <f t="shared" ref="AD5:AD10" si="12">AC5-AC4</f>
        <v>55.200000000011642</v>
      </c>
      <c r="AE5" s="25">
        <f t="shared" si="4"/>
        <v>1495.9199999980628</v>
      </c>
      <c r="AF5" s="87">
        <f t="shared" si="5"/>
        <v>3.6900369003745603E-2</v>
      </c>
      <c r="AG5" s="88">
        <v>0.15</v>
      </c>
      <c r="AI5" s="40">
        <v>44257</v>
      </c>
      <c r="AJ5" s="22">
        <v>4587.4769999999999</v>
      </c>
      <c r="AK5" s="22">
        <v>2348.0050000000001</v>
      </c>
      <c r="AL5" s="22">
        <v>1013.77</v>
      </c>
      <c r="AM5" s="22">
        <v>1225.703</v>
      </c>
      <c r="AN5" s="23">
        <v>2760</v>
      </c>
      <c r="AO5" s="23">
        <f t="shared" ref="AO5:AO35" si="13">+(AK5*$AN$4)</f>
        <v>6480493.8000000007</v>
      </c>
      <c r="AP5" s="89">
        <f t="shared" ref="AP5:AP33" si="14">+(AO5-AO4)</f>
        <v>883.20000000111759</v>
      </c>
      <c r="AQ5" s="23">
        <f t="shared" si="6"/>
        <v>2798005.1999999997</v>
      </c>
      <c r="AR5" s="90">
        <f t="shared" ref="AR5:AR33" si="15">+(AQ5-AQ4)</f>
        <v>350.51999999955297</v>
      </c>
      <c r="AS5" s="23">
        <f t="shared" si="7"/>
        <v>3382940.28</v>
      </c>
      <c r="AT5" s="91">
        <f t="shared" ref="AT5:AT33" si="16">+(AS5-AS4)</f>
        <v>549.24000000022352</v>
      </c>
      <c r="AU5" s="92">
        <f t="shared" si="8"/>
        <v>1782.9600000008941</v>
      </c>
      <c r="AV5" s="24">
        <f t="shared" si="9"/>
        <v>12661436.52</v>
      </c>
      <c r="AW5" s="25">
        <f t="shared" si="10"/>
        <v>1495.9199999980628</v>
      </c>
      <c r="AX5" s="25">
        <f t="shared" si="10"/>
        <v>7258.0645000000004</v>
      </c>
    </row>
    <row r="6" spans="3:50" x14ac:dyDescent="0.25">
      <c r="C6" s="80">
        <v>1000</v>
      </c>
      <c r="D6" s="80">
        <v>3200</v>
      </c>
      <c r="E6" s="40">
        <v>44258</v>
      </c>
      <c r="F6" s="107">
        <v>4639.1350000000002</v>
      </c>
      <c r="G6" s="23">
        <v>2760</v>
      </c>
      <c r="H6" s="24">
        <f t="shared" ref="H6:H10" si="17">G6*F6</f>
        <v>12804012.600000001</v>
      </c>
      <c r="I6" s="25">
        <f t="shared" ref="I6:I35" si="18">IF((H6-H5)&gt;0,H6-H5,0)</f>
        <v>1598.0400000028312</v>
      </c>
      <c r="J6" s="25">
        <v>7258.0645000000004</v>
      </c>
      <c r="K6" s="93">
        <v>6127.1999999992549</v>
      </c>
      <c r="L6" s="42">
        <v>6524.6399999987334</v>
      </c>
      <c r="M6" s="82">
        <v>5889.839999999851</v>
      </c>
      <c r="N6" s="83">
        <v>4438.0800000005402</v>
      </c>
      <c r="O6" s="84"/>
      <c r="P6" s="85"/>
      <c r="Q6" s="40">
        <v>44258</v>
      </c>
      <c r="R6" s="86">
        <v>124.063</v>
      </c>
      <c r="S6" s="86">
        <v>2760</v>
      </c>
      <c r="T6" s="86">
        <f t="shared" si="0"/>
        <v>342413.88</v>
      </c>
      <c r="U6" s="25">
        <f t="shared" si="11"/>
        <v>99.35999999998603</v>
      </c>
      <c r="V6" s="25">
        <f t="shared" si="1"/>
        <v>1598.0400000028312</v>
      </c>
      <c r="W6" s="87">
        <f t="shared" si="2"/>
        <v>6.2176165802989909E-2</v>
      </c>
      <c r="X6" s="88">
        <v>0.2</v>
      </c>
      <c r="Y6" s="33"/>
      <c r="Z6" s="40">
        <v>44258</v>
      </c>
      <c r="AA6" s="86">
        <v>164.69300000000001</v>
      </c>
      <c r="AB6" s="86">
        <v>2760</v>
      </c>
      <c r="AC6" s="86">
        <f t="shared" si="3"/>
        <v>454552.68000000005</v>
      </c>
      <c r="AD6" s="25">
        <f t="shared" si="12"/>
        <v>52.440000000060536</v>
      </c>
      <c r="AE6" s="25">
        <f t="shared" si="4"/>
        <v>1598.0400000028312</v>
      </c>
      <c r="AF6" s="87">
        <f t="shared" si="5"/>
        <v>3.2815198618287168E-2</v>
      </c>
      <c r="AG6" s="88">
        <v>0.15</v>
      </c>
      <c r="AI6" s="40">
        <v>44258</v>
      </c>
      <c r="AJ6" s="22">
        <v>4588.0680000000002</v>
      </c>
      <c r="AK6" s="22">
        <v>2348.3240000000001</v>
      </c>
      <c r="AL6" s="22">
        <v>1013.877</v>
      </c>
      <c r="AM6" s="22">
        <v>1225.865</v>
      </c>
      <c r="AN6" s="23">
        <v>2760</v>
      </c>
      <c r="AO6" s="23">
        <f t="shared" si="13"/>
        <v>6481374.2400000002</v>
      </c>
      <c r="AP6" s="89">
        <f t="shared" si="14"/>
        <v>880.43999999947846</v>
      </c>
      <c r="AQ6" s="23">
        <f t="shared" si="6"/>
        <v>2798300.52</v>
      </c>
      <c r="AR6" s="90">
        <f t="shared" si="15"/>
        <v>295.32000000029802</v>
      </c>
      <c r="AS6" s="23">
        <f t="shared" si="7"/>
        <v>3383387.4</v>
      </c>
      <c r="AT6" s="91">
        <f t="shared" si="16"/>
        <v>447.12000000011176</v>
      </c>
      <c r="AU6" s="92">
        <f t="shared" si="8"/>
        <v>1622.8799999998882</v>
      </c>
      <c r="AV6" s="24">
        <f t="shared" si="9"/>
        <v>12663067.68</v>
      </c>
      <c r="AW6" s="25">
        <f t="shared" si="10"/>
        <v>1598.0400000028312</v>
      </c>
      <c r="AX6" s="25">
        <f t="shared" si="10"/>
        <v>7258.0645000000004</v>
      </c>
    </row>
    <row r="7" spans="3:50" x14ac:dyDescent="0.25">
      <c r="C7" s="80">
        <v>700</v>
      </c>
      <c r="D7" s="80">
        <v>3300</v>
      </c>
      <c r="E7" s="40">
        <v>44259</v>
      </c>
      <c r="F7" s="22"/>
      <c r="G7" s="23">
        <v>2760</v>
      </c>
      <c r="H7" s="24">
        <f t="shared" si="17"/>
        <v>0</v>
      </c>
      <c r="I7" s="25">
        <f t="shared" si="18"/>
        <v>0</v>
      </c>
      <c r="J7" s="50">
        <v>7258.0645000000004</v>
      </c>
      <c r="K7" s="93">
        <v>6599.160000000149</v>
      </c>
      <c r="L7" s="42">
        <v>6248.640000000596</v>
      </c>
      <c r="M7" s="82">
        <v>6080.2800000002608</v>
      </c>
      <c r="N7" s="83">
        <v>4559.519999999553</v>
      </c>
      <c r="O7" s="84"/>
      <c r="P7" s="85"/>
      <c r="Q7" s="40">
        <v>44259</v>
      </c>
      <c r="R7" s="86"/>
      <c r="S7" s="86">
        <v>2760</v>
      </c>
      <c r="T7" s="86">
        <f t="shared" si="0"/>
        <v>0</v>
      </c>
      <c r="U7" s="25">
        <f t="shared" si="11"/>
        <v>-342413.88</v>
      </c>
      <c r="V7" s="25">
        <f t="shared" si="1"/>
        <v>0</v>
      </c>
      <c r="W7" s="87" t="e">
        <f t="shared" si="2"/>
        <v>#DIV/0!</v>
      </c>
      <c r="X7" s="88">
        <v>0.2</v>
      </c>
      <c r="Y7" s="33"/>
      <c r="Z7" s="40">
        <v>44259</v>
      </c>
      <c r="AA7" s="94"/>
      <c r="AB7" s="86">
        <v>2760</v>
      </c>
      <c r="AC7" s="86">
        <f t="shared" si="3"/>
        <v>0</v>
      </c>
      <c r="AD7" s="25">
        <f t="shared" si="12"/>
        <v>-454552.68000000005</v>
      </c>
      <c r="AE7" s="25">
        <f t="shared" si="4"/>
        <v>0</v>
      </c>
      <c r="AF7" s="87" t="e">
        <f t="shared" si="5"/>
        <v>#DIV/0!</v>
      </c>
      <c r="AG7" s="88">
        <v>0.15</v>
      </c>
      <c r="AI7" s="40">
        <v>44259</v>
      </c>
      <c r="AJ7" s="22"/>
      <c r="AK7" s="22"/>
      <c r="AL7" s="22"/>
      <c r="AM7" s="22"/>
      <c r="AN7" s="23">
        <v>2760</v>
      </c>
      <c r="AO7" s="23">
        <f t="shared" si="13"/>
        <v>0</v>
      </c>
      <c r="AP7" s="89">
        <f t="shared" si="14"/>
        <v>-6481374.2400000002</v>
      </c>
      <c r="AQ7" s="23">
        <f t="shared" si="6"/>
        <v>0</v>
      </c>
      <c r="AR7" s="90">
        <f t="shared" si="15"/>
        <v>-2798300.52</v>
      </c>
      <c r="AS7" s="23">
        <f t="shared" si="7"/>
        <v>0</v>
      </c>
      <c r="AT7" s="91">
        <f t="shared" si="16"/>
        <v>-3383387.4</v>
      </c>
      <c r="AU7" s="92">
        <f t="shared" si="8"/>
        <v>-12663062.16</v>
      </c>
      <c r="AV7" s="24">
        <f t="shared" si="9"/>
        <v>0</v>
      </c>
      <c r="AW7" s="25">
        <f t="shared" si="10"/>
        <v>0</v>
      </c>
      <c r="AX7" s="25">
        <f t="shared" si="10"/>
        <v>7258.0645000000004</v>
      </c>
    </row>
    <row r="8" spans="3:50" x14ac:dyDescent="0.25">
      <c r="C8" s="80">
        <v>700</v>
      </c>
      <c r="D8" s="80">
        <v>2900</v>
      </c>
      <c r="E8" s="40">
        <v>44260</v>
      </c>
      <c r="F8" s="22"/>
      <c r="G8" s="23">
        <v>2760</v>
      </c>
      <c r="H8" s="24">
        <f t="shared" si="17"/>
        <v>0</v>
      </c>
      <c r="I8" s="25">
        <f t="shared" si="18"/>
        <v>0</v>
      </c>
      <c r="J8" s="50">
        <v>7258.0645000000004</v>
      </c>
      <c r="K8" s="93">
        <v>6292.7999999988824</v>
      </c>
      <c r="L8" s="42">
        <v>5986.4399999994785</v>
      </c>
      <c r="M8" s="82">
        <v>5544.839999999851</v>
      </c>
      <c r="N8" s="83">
        <v>4562.2799999997951</v>
      </c>
      <c r="O8" s="84"/>
      <c r="P8" s="85"/>
      <c r="Q8" s="40">
        <v>44260</v>
      </c>
      <c r="R8" s="86"/>
      <c r="S8" s="86">
        <v>2760</v>
      </c>
      <c r="T8" s="86">
        <f t="shared" si="0"/>
        <v>0</v>
      </c>
      <c r="U8" s="25">
        <f t="shared" si="11"/>
        <v>0</v>
      </c>
      <c r="V8" s="25">
        <f t="shared" si="1"/>
        <v>0</v>
      </c>
      <c r="W8" s="87" t="e">
        <f t="shared" si="2"/>
        <v>#DIV/0!</v>
      </c>
      <c r="X8" s="88">
        <v>0.2</v>
      </c>
      <c r="Y8" s="33"/>
      <c r="Z8" s="40">
        <v>44260</v>
      </c>
      <c r="AA8" s="94"/>
      <c r="AB8" s="86">
        <v>2760</v>
      </c>
      <c r="AC8" s="86">
        <f t="shared" si="3"/>
        <v>0</v>
      </c>
      <c r="AD8" s="25">
        <f t="shared" si="12"/>
        <v>0</v>
      </c>
      <c r="AE8" s="25">
        <f t="shared" si="4"/>
        <v>0</v>
      </c>
      <c r="AF8" s="87" t="e">
        <f t="shared" si="5"/>
        <v>#DIV/0!</v>
      </c>
      <c r="AG8" s="88">
        <v>0.15</v>
      </c>
      <c r="AI8" s="40">
        <v>44260</v>
      </c>
      <c r="AJ8" s="22"/>
      <c r="AK8" s="22"/>
      <c r="AL8" s="22"/>
      <c r="AM8" s="22"/>
      <c r="AN8" s="23">
        <v>2760</v>
      </c>
      <c r="AO8" s="23">
        <f t="shared" si="13"/>
        <v>0</v>
      </c>
      <c r="AP8" s="89">
        <f t="shared" si="14"/>
        <v>0</v>
      </c>
      <c r="AQ8" s="23">
        <f t="shared" si="6"/>
        <v>0</v>
      </c>
      <c r="AR8" s="90">
        <f t="shared" si="15"/>
        <v>0</v>
      </c>
      <c r="AS8" s="23">
        <f t="shared" si="7"/>
        <v>0</v>
      </c>
      <c r="AT8" s="91">
        <f t="shared" si="16"/>
        <v>0</v>
      </c>
      <c r="AU8" s="92">
        <f>+(AP8+AR8+AT8)</f>
        <v>0</v>
      </c>
      <c r="AV8" s="24">
        <f t="shared" si="9"/>
        <v>0</v>
      </c>
      <c r="AW8" s="25">
        <f t="shared" si="10"/>
        <v>0</v>
      </c>
      <c r="AX8" s="25" t="e">
        <f>+(#REF!)</f>
        <v>#REF!</v>
      </c>
    </row>
    <row r="9" spans="3:50" x14ac:dyDescent="0.25">
      <c r="C9" s="80">
        <v>1500</v>
      </c>
      <c r="D9" s="80">
        <v>2600</v>
      </c>
      <c r="E9" s="40">
        <v>44261</v>
      </c>
      <c r="F9" s="22"/>
      <c r="G9" s="23">
        <v>2760</v>
      </c>
      <c r="H9" s="24">
        <f t="shared" si="17"/>
        <v>0</v>
      </c>
      <c r="I9" s="25">
        <f t="shared" si="18"/>
        <v>0</v>
      </c>
      <c r="J9" s="50">
        <v>7258.0645000000004</v>
      </c>
      <c r="K9" s="93">
        <v>6552.2400000020862</v>
      </c>
      <c r="L9" s="42">
        <v>6524.640000000596</v>
      </c>
      <c r="M9" s="82">
        <v>5898.1199999991804</v>
      </c>
      <c r="N9" s="83">
        <v>4805.160000000149</v>
      </c>
      <c r="O9" s="84"/>
      <c r="P9" s="85"/>
      <c r="Q9" s="40">
        <v>44261</v>
      </c>
      <c r="R9" s="86"/>
      <c r="S9" s="86">
        <v>2760</v>
      </c>
      <c r="T9" s="86">
        <f t="shared" si="0"/>
        <v>0</v>
      </c>
      <c r="U9" s="25">
        <f t="shared" si="11"/>
        <v>0</v>
      </c>
      <c r="V9" s="25">
        <f t="shared" si="1"/>
        <v>0</v>
      </c>
      <c r="W9" s="87" t="e">
        <f t="shared" si="2"/>
        <v>#DIV/0!</v>
      </c>
      <c r="X9" s="88">
        <v>0.2</v>
      </c>
      <c r="Y9" s="33"/>
      <c r="Z9" s="40">
        <v>44261</v>
      </c>
      <c r="AA9" s="94"/>
      <c r="AB9" s="86">
        <v>2760</v>
      </c>
      <c r="AC9" s="86">
        <f t="shared" si="3"/>
        <v>0</v>
      </c>
      <c r="AD9" s="25">
        <f t="shared" si="12"/>
        <v>0</v>
      </c>
      <c r="AE9" s="25">
        <f t="shared" si="4"/>
        <v>0</v>
      </c>
      <c r="AF9" s="87" t="e">
        <f t="shared" si="5"/>
        <v>#DIV/0!</v>
      </c>
      <c r="AG9" s="88">
        <v>0.15</v>
      </c>
      <c r="AI9" s="40">
        <v>44261</v>
      </c>
      <c r="AJ9" s="22"/>
      <c r="AK9" s="22"/>
      <c r="AL9" s="22"/>
      <c r="AM9" s="22"/>
      <c r="AN9" s="23">
        <v>2760</v>
      </c>
      <c r="AO9" s="23">
        <f t="shared" si="13"/>
        <v>0</v>
      </c>
      <c r="AP9" s="89">
        <f t="shared" si="14"/>
        <v>0</v>
      </c>
      <c r="AQ9" s="23">
        <f t="shared" si="6"/>
        <v>0</v>
      </c>
      <c r="AR9" s="90">
        <f t="shared" si="15"/>
        <v>0</v>
      </c>
      <c r="AS9" s="23">
        <f t="shared" si="7"/>
        <v>0</v>
      </c>
      <c r="AT9" s="91">
        <f t="shared" si="16"/>
        <v>0</v>
      </c>
      <c r="AU9" s="92">
        <f t="shared" si="8"/>
        <v>0</v>
      </c>
      <c r="AV9" s="24">
        <f>AN9*AJ9</f>
        <v>0</v>
      </c>
      <c r="AW9" s="25">
        <f t="shared" si="10"/>
        <v>0</v>
      </c>
      <c r="AX9" s="25">
        <f>+(J9)</f>
        <v>7258.0645000000004</v>
      </c>
    </row>
    <row r="10" spans="3:50" x14ac:dyDescent="0.25">
      <c r="C10" s="80">
        <v>1900</v>
      </c>
      <c r="D10" s="80">
        <v>2700</v>
      </c>
      <c r="E10" s="40">
        <v>44262</v>
      </c>
      <c r="F10" s="22"/>
      <c r="G10" s="23">
        <v>2760</v>
      </c>
      <c r="H10" s="24">
        <f t="shared" si="17"/>
        <v>0</v>
      </c>
      <c r="I10" s="25">
        <f t="shared" si="18"/>
        <v>0</v>
      </c>
      <c r="J10" s="50">
        <v>7258.0645000000004</v>
      </c>
      <c r="K10" s="93">
        <v>6381.1199999991804</v>
      </c>
      <c r="L10" s="42">
        <v>6240.359999999404</v>
      </c>
      <c r="M10" s="82">
        <v>5796.0000000009313</v>
      </c>
      <c r="N10" s="83">
        <v>4305.6000000005588</v>
      </c>
      <c r="O10" s="84"/>
      <c r="P10" s="85"/>
      <c r="Q10" s="40">
        <v>44262</v>
      </c>
      <c r="R10" s="86"/>
      <c r="S10" s="86">
        <v>2760</v>
      </c>
      <c r="T10" s="86">
        <f>S10*R10</f>
        <v>0</v>
      </c>
      <c r="U10" s="25">
        <f t="shared" si="11"/>
        <v>0</v>
      </c>
      <c r="V10" s="25">
        <f>I10</f>
        <v>0</v>
      </c>
      <c r="W10" s="87" t="e">
        <f t="shared" si="2"/>
        <v>#DIV/0!</v>
      </c>
      <c r="X10" s="88">
        <v>0.2</v>
      </c>
      <c r="Y10" s="33"/>
      <c r="Z10" s="40">
        <v>44262</v>
      </c>
      <c r="AA10" s="94"/>
      <c r="AB10" s="86">
        <v>2760</v>
      </c>
      <c r="AC10" s="86">
        <f>AB10*AA10</f>
        <v>0</v>
      </c>
      <c r="AD10" s="25">
        <f t="shared" si="12"/>
        <v>0</v>
      </c>
      <c r="AE10" s="25">
        <f>I10</f>
        <v>0</v>
      </c>
      <c r="AF10" s="87" t="e">
        <f>AD10/AE10</f>
        <v>#DIV/0!</v>
      </c>
      <c r="AG10" s="88">
        <v>0.15</v>
      </c>
      <c r="AI10" s="40">
        <v>44262</v>
      </c>
      <c r="AJ10" s="22"/>
      <c r="AK10" s="22"/>
      <c r="AL10" s="22"/>
      <c r="AM10" s="22"/>
      <c r="AN10" s="23">
        <v>2760</v>
      </c>
      <c r="AO10" s="23">
        <f t="shared" si="13"/>
        <v>0</v>
      </c>
      <c r="AP10" s="89">
        <f t="shared" si="14"/>
        <v>0</v>
      </c>
      <c r="AQ10" s="23">
        <f t="shared" si="6"/>
        <v>0</v>
      </c>
      <c r="AR10" s="90">
        <f t="shared" si="15"/>
        <v>0</v>
      </c>
      <c r="AS10" s="23">
        <f t="shared" si="7"/>
        <v>0</v>
      </c>
      <c r="AT10" s="91">
        <f t="shared" si="16"/>
        <v>0</v>
      </c>
      <c r="AU10" s="92">
        <f t="shared" si="8"/>
        <v>0</v>
      </c>
      <c r="AV10" s="24">
        <f t="shared" si="9"/>
        <v>0</v>
      </c>
      <c r="AW10" s="25">
        <f t="shared" si="10"/>
        <v>0</v>
      </c>
      <c r="AX10" s="25">
        <f t="shared" si="10"/>
        <v>7258.0645000000004</v>
      </c>
    </row>
    <row r="11" spans="3:50" x14ac:dyDescent="0.25">
      <c r="C11" s="80">
        <v>2200</v>
      </c>
      <c r="D11" s="80">
        <v>2700</v>
      </c>
      <c r="E11" s="40">
        <v>44263</v>
      </c>
      <c r="F11" s="22"/>
      <c r="G11" s="23">
        <v>2760</v>
      </c>
      <c r="H11" s="24">
        <f>G11*F11</f>
        <v>0</v>
      </c>
      <c r="I11" s="25">
        <f t="shared" si="18"/>
        <v>0</v>
      </c>
      <c r="J11" s="50">
        <v>7258.0645000000004</v>
      </c>
      <c r="K11" s="93">
        <v>6546.7199999988079</v>
      </c>
      <c r="L11" s="42">
        <v>6866.8800000008196</v>
      </c>
      <c r="M11" s="82">
        <v>5820.839999999851</v>
      </c>
      <c r="N11" s="83">
        <v>4222.7999999998137</v>
      </c>
      <c r="O11" s="84"/>
      <c r="P11" s="85"/>
      <c r="Q11" s="40">
        <v>44263</v>
      </c>
      <c r="R11" s="86"/>
      <c r="S11" s="86">
        <v>2760</v>
      </c>
      <c r="T11" s="86">
        <f>S11*R11</f>
        <v>0</v>
      </c>
      <c r="U11" s="25">
        <f>T11-T10</f>
        <v>0</v>
      </c>
      <c r="V11" s="25">
        <f>I11</f>
        <v>0</v>
      </c>
      <c r="W11" s="87" t="e">
        <f t="shared" si="2"/>
        <v>#DIV/0!</v>
      </c>
      <c r="X11" s="88">
        <v>0.2</v>
      </c>
      <c r="Y11" s="33"/>
      <c r="Z11" s="40">
        <v>44263</v>
      </c>
      <c r="AA11" s="94"/>
      <c r="AB11" s="86">
        <v>2760</v>
      </c>
      <c r="AC11" s="86">
        <f>AB11*AA11</f>
        <v>0</v>
      </c>
      <c r="AD11" s="25">
        <f>AC11-AC10</f>
        <v>0</v>
      </c>
      <c r="AE11" s="25">
        <f>I11</f>
        <v>0</v>
      </c>
      <c r="AF11" s="87" t="e">
        <f>AD11/AE11</f>
        <v>#DIV/0!</v>
      </c>
      <c r="AG11" s="88">
        <v>0.15</v>
      </c>
      <c r="AI11" s="40">
        <v>44263</v>
      </c>
      <c r="AJ11" s="22"/>
      <c r="AK11" s="22"/>
      <c r="AL11" s="22"/>
      <c r="AM11" s="22"/>
      <c r="AN11" s="23">
        <v>2760</v>
      </c>
      <c r="AO11" s="23">
        <f t="shared" si="13"/>
        <v>0</v>
      </c>
      <c r="AP11" s="89">
        <f>+(AO11-AO10)</f>
        <v>0</v>
      </c>
      <c r="AQ11" s="23">
        <f t="shared" si="6"/>
        <v>0</v>
      </c>
      <c r="AR11" s="90">
        <f t="shared" si="15"/>
        <v>0</v>
      </c>
      <c r="AS11" s="23">
        <f>+(AM11*$AN$4)</f>
        <v>0</v>
      </c>
      <c r="AT11" s="91">
        <f>+(AS11-AS10)</f>
        <v>0</v>
      </c>
      <c r="AU11" s="92">
        <f>+(AP11+AR11+AT11)</f>
        <v>0</v>
      </c>
      <c r="AV11" s="24">
        <f>AN11*AJ11</f>
        <v>0</v>
      </c>
      <c r="AW11" s="25">
        <f t="shared" si="10"/>
        <v>0</v>
      </c>
      <c r="AX11" s="25">
        <f t="shared" si="10"/>
        <v>7258.0645000000004</v>
      </c>
    </row>
    <row r="12" spans="3:50" x14ac:dyDescent="0.25">
      <c r="C12" s="80">
        <v>2600</v>
      </c>
      <c r="D12" s="80">
        <v>2700</v>
      </c>
      <c r="E12" s="40">
        <v>44264</v>
      </c>
      <c r="F12" s="22"/>
      <c r="G12" s="23">
        <v>2760</v>
      </c>
      <c r="H12" s="24">
        <f>G12*F12</f>
        <v>0</v>
      </c>
      <c r="I12" s="25">
        <f t="shared" si="18"/>
        <v>0</v>
      </c>
      <c r="J12" s="50">
        <v>7258.0645000000004</v>
      </c>
      <c r="K12" s="93">
        <v>6461.160000000149</v>
      </c>
      <c r="L12" s="42">
        <v>6455.640000000596</v>
      </c>
      <c r="M12" s="82">
        <v>5942.2799999993294</v>
      </c>
      <c r="N12" s="83">
        <v>4222.7999999998137</v>
      </c>
      <c r="O12" s="84"/>
      <c r="P12" s="85"/>
      <c r="Q12" s="40">
        <v>44264</v>
      </c>
      <c r="R12" s="86"/>
      <c r="S12" s="86">
        <v>2760</v>
      </c>
      <c r="T12" s="86">
        <f>S12*R12</f>
        <v>0</v>
      </c>
      <c r="U12" s="25">
        <f>T12-T11</f>
        <v>0</v>
      </c>
      <c r="V12" s="25">
        <f>I12</f>
        <v>0</v>
      </c>
      <c r="W12" s="87" t="e">
        <f t="shared" si="2"/>
        <v>#DIV/0!</v>
      </c>
      <c r="X12" s="88">
        <v>0.2</v>
      </c>
      <c r="Y12" s="33"/>
      <c r="Z12" s="40">
        <v>44264</v>
      </c>
      <c r="AA12" s="49"/>
      <c r="AB12" s="86">
        <v>2760</v>
      </c>
      <c r="AC12" s="86">
        <f>AB12*AA12</f>
        <v>0</v>
      </c>
      <c r="AD12" s="25">
        <f>AC12-AC11</f>
        <v>0</v>
      </c>
      <c r="AE12" s="25">
        <f>I12</f>
        <v>0</v>
      </c>
      <c r="AF12" s="87" t="e">
        <f>AD12/AE12</f>
        <v>#DIV/0!</v>
      </c>
      <c r="AG12" s="88">
        <v>0.15</v>
      </c>
      <c r="AI12" s="40">
        <v>44264</v>
      </c>
      <c r="AJ12" s="22"/>
      <c r="AK12" s="22"/>
      <c r="AL12" s="22"/>
      <c r="AM12" s="22"/>
      <c r="AN12" s="23">
        <v>2760</v>
      </c>
      <c r="AO12" s="23">
        <f t="shared" si="13"/>
        <v>0</v>
      </c>
      <c r="AP12" s="89">
        <f t="shared" si="14"/>
        <v>0</v>
      </c>
      <c r="AQ12" s="23">
        <f t="shared" si="6"/>
        <v>0</v>
      </c>
      <c r="AR12" s="90">
        <f t="shared" si="15"/>
        <v>0</v>
      </c>
      <c r="AS12" s="23">
        <f t="shared" si="7"/>
        <v>0</v>
      </c>
      <c r="AT12" s="91">
        <f t="shared" si="16"/>
        <v>0</v>
      </c>
      <c r="AU12" s="92">
        <f t="shared" si="8"/>
        <v>0</v>
      </c>
      <c r="AV12" s="24">
        <f t="shared" si="9"/>
        <v>0</v>
      </c>
      <c r="AW12" s="25">
        <f t="shared" si="10"/>
        <v>0</v>
      </c>
      <c r="AX12" s="25">
        <f t="shared" si="10"/>
        <v>7258.0645000000004</v>
      </c>
    </row>
    <row r="13" spans="3:50" x14ac:dyDescent="0.25">
      <c r="C13" s="80">
        <v>1500</v>
      </c>
      <c r="D13" s="80">
        <v>2700</v>
      </c>
      <c r="E13" s="40">
        <v>44265</v>
      </c>
      <c r="F13" s="22"/>
      <c r="G13" s="23">
        <v>2760</v>
      </c>
      <c r="H13" s="24">
        <f>G13*F13</f>
        <v>0</v>
      </c>
      <c r="I13" s="25">
        <f t="shared" si="18"/>
        <v>0</v>
      </c>
      <c r="J13" s="50">
        <v>7258.0645000000004</v>
      </c>
      <c r="K13" s="93">
        <v>6229.320000000298</v>
      </c>
      <c r="L13" s="42">
        <v>6982.7999999988824</v>
      </c>
      <c r="M13" s="82">
        <v>6279</v>
      </c>
      <c r="N13" s="83">
        <v>4460.160000000149</v>
      </c>
      <c r="O13" s="84"/>
      <c r="P13" s="85"/>
      <c r="Q13" s="40">
        <v>44265</v>
      </c>
      <c r="R13" s="86"/>
      <c r="S13" s="86">
        <v>2760</v>
      </c>
      <c r="T13" s="86">
        <f>S13*R13</f>
        <v>0</v>
      </c>
      <c r="U13" s="25">
        <f>T13-T12</f>
        <v>0</v>
      </c>
      <c r="V13" s="25">
        <f>I13</f>
        <v>0</v>
      </c>
      <c r="W13" s="87" t="e">
        <f t="shared" si="2"/>
        <v>#DIV/0!</v>
      </c>
      <c r="X13" s="88">
        <v>0.2</v>
      </c>
      <c r="Y13" s="33"/>
      <c r="Z13" s="40">
        <v>44265</v>
      </c>
      <c r="AA13" s="94"/>
      <c r="AB13" s="86">
        <v>2760</v>
      </c>
      <c r="AC13" s="86">
        <f>AB13*AA13</f>
        <v>0</v>
      </c>
      <c r="AD13" s="25">
        <f>AC13-AC12</f>
        <v>0</v>
      </c>
      <c r="AE13" s="25">
        <f>I13</f>
        <v>0</v>
      </c>
      <c r="AF13" s="87" t="e">
        <f>AD13/AE13</f>
        <v>#DIV/0!</v>
      </c>
      <c r="AG13" s="88">
        <v>0.15</v>
      </c>
      <c r="AI13" s="40">
        <v>44265</v>
      </c>
      <c r="AJ13" s="22"/>
      <c r="AK13" s="22"/>
      <c r="AL13" s="22"/>
      <c r="AM13" s="22"/>
      <c r="AN13" s="23">
        <v>2760</v>
      </c>
      <c r="AO13" s="23">
        <f t="shared" si="13"/>
        <v>0</v>
      </c>
      <c r="AP13" s="89">
        <f t="shared" si="14"/>
        <v>0</v>
      </c>
      <c r="AQ13" s="23">
        <f t="shared" si="6"/>
        <v>0</v>
      </c>
      <c r="AR13" s="90">
        <f t="shared" si="15"/>
        <v>0</v>
      </c>
      <c r="AS13" s="23">
        <f t="shared" si="7"/>
        <v>0</v>
      </c>
      <c r="AT13" s="91">
        <f t="shared" si="16"/>
        <v>0</v>
      </c>
      <c r="AU13" s="92">
        <f t="shared" si="8"/>
        <v>0</v>
      </c>
      <c r="AV13" s="24">
        <f t="shared" si="9"/>
        <v>0</v>
      </c>
      <c r="AW13" s="25">
        <f t="shared" si="10"/>
        <v>0</v>
      </c>
      <c r="AX13" s="25">
        <f t="shared" si="10"/>
        <v>7258.0645000000004</v>
      </c>
    </row>
    <row r="14" spans="3:50" x14ac:dyDescent="0.25">
      <c r="C14" s="80">
        <v>1800</v>
      </c>
      <c r="D14" s="80">
        <v>2700</v>
      </c>
      <c r="E14" s="40">
        <v>44266</v>
      </c>
      <c r="F14" s="22"/>
      <c r="G14" s="23">
        <v>2760</v>
      </c>
      <c r="H14" s="24">
        <f>G14*F14</f>
        <v>0</v>
      </c>
      <c r="I14" s="25">
        <f t="shared" si="18"/>
        <v>0</v>
      </c>
      <c r="J14" s="50">
        <v>7258.0645000000004</v>
      </c>
      <c r="K14" s="93">
        <v>6662.640000000596</v>
      </c>
      <c r="L14" s="42">
        <v>5798.7599999997765</v>
      </c>
      <c r="M14" s="82">
        <v>6428.0400000009686</v>
      </c>
      <c r="N14" s="83">
        <v>4415.9999999995343</v>
      </c>
      <c r="O14" s="84"/>
      <c r="P14" s="33"/>
      <c r="Q14" s="40">
        <v>44266</v>
      </c>
      <c r="R14" s="86"/>
      <c r="S14" s="86">
        <v>2760</v>
      </c>
      <c r="T14" s="86">
        <f>S14*R14</f>
        <v>0</v>
      </c>
      <c r="U14" s="25">
        <f>T14-T13</f>
        <v>0</v>
      </c>
      <c r="V14" s="25">
        <f>I14</f>
        <v>0</v>
      </c>
      <c r="W14" s="87" t="e">
        <f t="shared" si="2"/>
        <v>#DIV/0!</v>
      </c>
      <c r="X14" s="88">
        <v>0.2</v>
      </c>
      <c r="Y14" s="33"/>
      <c r="Z14" s="40">
        <v>44266</v>
      </c>
      <c r="AA14" s="94"/>
      <c r="AB14" s="86">
        <v>2760</v>
      </c>
      <c r="AC14" s="86">
        <f>AB14*AA14</f>
        <v>0</v>
      </c>
      <c r="AD14" s="25">
        <f>AC14-AC13</f>
        <v>0</v>
      </c>
      <c r="AE14" s="25">
        <f>I14</f>
        <v>0</v>
      </c>
      <c r="AF14" s="87" t="e">
        <f>AD14/AE14</f>
        <v>#DIV/0!</v>
      </c>
      <c r="AG14" s="88">
        <v>0.15</v>
      </c>
      <c r="AI14" s="40">
        <v>44266</v>
      </c>
      <c r="AJ14" s="22"/>
      <c r="AK14" s="22"/>
      <c r="AL14" s="22"/>
      <c r="AM14" s="22"/>
      <c r="AN14" s="23">
        <v>2760</v>
      </c>
      <c r="AO14" s="23">
        <f t="shared" si="13"/>
        <v>0</v>
      </c>
      <c r="AP14" s="89">
        <f t="shared" si="14"/>
        <v>0</v>
      </c>
      <c r="AQ14" s="23">
        <f t="shared" si="6"/>
        <v>0</v>
      </c>
      <c r="AR14" s="90">
        <f t="shared" si="15"/>
        <v>0</v>
      </c>
      <c r="AS14" s="23">
        <f t="shared" si="7"/>
        <v>0</v>
      </c>
      <c r="AT14" s="91">
        <f t="shared" si="16"/>
        <v>0</v>
      </c>
      <c r="AU14" s="92">
        <f t="shared" si="8"/>
        <v>0</v>
      </c>
      <c r="AV14" s="24">
        <f t="shared" si="9"/>
        <v>0</v>
      </c>
      <c r="AW14" s="25">
        <f>+(I14)</f>
        <v>0</v>
      </c>
      <c r="AX14" s="25">
        <f t="shared" si="10"/>
        <v>7258.0645000000004</v>
      </c>
    </row>
    <row r="15" spans="3:50" x14ac:dyDescent="0.25">
      <c r="C15" s="80">
        <v>1400</v>
      </c>
      <c r="D15" s="80">
        <v>2800</v>
      </c>
      <c r="E15" s="40">
        <v>44267</v>
      </c>
      <c r="F15" s="22"/>
      <c r="G15" s="23">
        <v>2760</v>
      </c>
      <c r="H15" s="24">
        <f t="shared" ref="H15:H35" si="19">G15*F15</f>
        <v>0</v>
      </c>
      <c r="I15" s="25">
        <f t="shared" si="18"/>
        <v>0</v>
      </c>
      <c r="J15" s="50">
        <v>7258.0645000000004</v>
      </c>
      <c r="K15" s="93">
        <v>6298.3199999984354</v>
      </c>
      <c r="L15" s="42">
        <v>5903.640000000596</v>
      </c>
      <c r="M15" s="82">
        <v>6221.0400000000373</v>
      </c>
      <c r="N15" s="83">
        <v>4821.7200000002049</v>
      </c>
      <c r="O15" s="84"/>
      <c r="P15" s="33"/>
      <c r="Q15" s="40">
        <v>44267</v>
      </c>
      <c r="R15" s="86"/>
      <c r="S15" s="86">
        <v>2760</v>
      </c>
      <c r="T15" s="86">
        <f t="shared" ref="T15:T35" si="20">S15*R15</f>
        <v>0</v>
      </c>
      <c r="U15" s="25">
        <f t="shared" ref="U15:U23" si="21">T15-T14</f>
        <v>0</v>
      </c>
      <c r="V15" s="25">
        <f t="shared" ref="V15:V36" si="22">I15</f>
        <v>0</v>
      </c>
      <c r="W15" s="95" t="e">
        <f t="shared" si="2"/>
        <v>#DIV/0!</v>
      </c>
      <c r="X15" s="88">
        <v>0.2</v>
      </c>
      <c r="Y15" s="33"/>
      <c r="Z15" s="40">
        <v>44267</v>
      </c>
      <c r="AA15" s="94"/>
      <c r="AB15" s="86">
        <v>2760</v>
      </c>
      <c r="AC15" s="86">
        <f t="shared" ref="AC15:AC35" si="23">AB15*AA15</f>
        <v>0</v>
      </c>
      <c r="AD15" s="25">
        <f t="shared" ref="AD15:AD35" si="24">AC15-AC14</f>
        <v>0</v>
      </c>
      <c r="AE15" s="25">
        <f t="shared" ref="AE15:AE35" si="25">I15</f>
        <v>0</v>
      </c>
      <c r="AF15" s="87" t="e">
        <f t="shared" ref="AF15:AF35" si="26">AD15/AE15</f>
        <v>#DIV/0!</v>
      </c>
      <c r="AG15" s="88">
        <v>0.15</v>
      </c>
      <c r="AI15" s="40">
        <v>44267</v>
      </c>
      <c r="AJ15" s="22"/>
      <c r="AK15" s="22"/>
      <c r="AL15" s="22"/>
      <c r="AM15" s="22"/>
      <c r="AN15" s="23">
        <v>2760</v>
      </c>
      <c r="AO15" s="23">
        <f t="shared" si="13"/>
        <v>0</v>
      </c>
      <c r="AP15" s="89">
        <f t="shared" si="14"/>
        <v>0</v>
      </c>
      <c r="AQ15" s="23">
        <f t="shared" si="6"/>
        <v>0</v>
      </c>
      <c r="AR15" s="90">
        <f t="shared" si="15"/>
        <v>0</v>
      </c>
      <c r="AS15" s="23">
        <f t="shared" si="7"/>
        <v>0</v>
      </c>
      <c r="AT15" s="91">
        <f t="shared" si="16"/>
        <v>0</v>
      </c>
      <c r="AU15" s="92">
        <f t="shared" si="8"/>
        <v>0</v>
      </c>
      <c r="AV15" s="24">
        <f t="shared" si="9"/>
        <v>0</v>
      </c>
      <c r="AW15" s="25">
        <f t="shared" ref="AW15:AX35" si="27">+(I15)</f>
        <v>0</v>
      </c>
      <c r="AX15" s="25">
        <f t="shared" si="10"/>
        <v>7258.0645000000004</v>
      </c>
    </row>
    <row r="16" spans="3:50" x14ac:dyDescent="0.25">
      <c r="C16" s="80">
        <v>1600</v>
      </c>
      <c r="D16" s="80">
        <v>2900</v>
      </c>
      <c r="E16" s="40">
        <v>44268</v>
      </c>
      <c r="F16" s="22"/>
      <c r="G16" s="23">
        <v>2760</v>
      </c>
      <c r="H16" s="24">
        <f t="shared" si="19"/>
        <v>0</v>
      </c>
      <c r="I16" s="25">
        <f t="shared" si="18"/>
        <v>0</v>
      </c>
      <c r="J16" s="50">
        <v>7258.0645000000004</v>
      </c>
      <c r="K16" s="93">
        <v>6085.8000000026077</v>
      </c>
      <c r="L16" s="42">
        <v>6198.9600000008941</v>
      </c>
      <c r="M16" s="82">
        <v>5680.0799999991432</v>
      </c>
      <c r="N16" s="83">
        <v>4683.7199999997392</v>
      </c>
      <c r="O16" s="84"/>
      <c r="P16" s="33"/>
      <c r="Q16" s="40">
        <v>44268</v>
      </c>
      <c r="R16" s="86"/>
      <c r="S16" s="86">
        <v>2760</v>
      </c>
      <c r="T16" s="86">
        <f t="shared" si="20"/>
        <v>0</v>
      </c>
      <c r="U16" s="25">
        <f t="shared" si="21"/>
        <v>0</v>
      </c>
      <c r="V16" s="25">
        <f t="shared" si="22"/>
        <v>0</v>
      </c>
      <c r="W16" s="95" t="e">
        <f t="shared" si="2"/>
        <v>#DIV/0!</v>
      </c>
      <c r="X16" s="88">
        <v>0.2</v>
      </c>
      <c r="Y16" s="33"/>
      <c r="Z16" s="40">
        <v>44268</v>
      </c>
      <c r="AA16" s="94"/>
      <c r="AB16" s="86">
        <v>2760</v>
      </c>
      <c r="AC16" s="86">
        <f t="shared" si="23"/>
        <v>0</v>
      </c>
      <c r="AD16" s="25">
        <f t="shared" si="24"/>
        <v>0</v>
      </c>
      <c r="AE16" s="25">
        <f t="shared" si="25"/>
        <v>0</v>
      </c>
      <c r="AF16" s="87" t="e">
        <f t="shared" si="26"/>
        <v>#DIV/0!</v>
      </c>
      <c r="AG16" s="88">
        <v>0.15</v>
      </c>
      <c r="AI16" s="40">
        <v>44268</v>
      </c>
      <c r="AJ16" s="22"/>
      <c r="AK16" s="22"/>
      <c r="AL16" s="22"/>
      <c r="AM16" s="22"/>
      <c r="AN16" s="23">
        <v>2760</v>
      </c>
      <c r="AO16" s="23">
        <f t="shared" si="13"/>
        <v>0</v>
      </c>
      <c r="AP16" s="89">
        <f t="shared" si="14"/>
        <v>0</v>
      </c>
      <c r="AQ16" s="23">
        <f t="shared" si="6"/>
        <v>0</v>
      </c>
      <c r="AR16" s="90">
        <f t="shared" si="15"/>
        <v>0</v>
      </c>
      <c r="AS16" s="23">
        <f t="shared" si="7"/>
        <v>0</v>
      </c>
      <c r="AT16" s="91">
        <f t="shared" si="16"/>
        <v>0</v>
      </c>
      <c r="AU16" s="92">
        <f t="shared" si="8"/>
        <v>0</v>
      </c>
      <c r="AV16" s="24">
        <f t="shared" si="9"/>
        <v>0</v>
      </c>
      <c r="AW16" s="25">
        <f t="shared" si="27"/>
        <v>0</v>
      </c>
      <c r="AX16" s="25">
        <f t="shared" si="10"/>
        <v>7258.0645000000004</v>
      </c>
    </row>
    <row r="17" spans="3:50" x14ac:dyDescent="0.25">
      <c r="C17" s="80">
        <v>1700</v>
      </c>
      <c r="D17" s="80">
        <v>3000</v>
      </c>
      <c r="E17" s="40">
        <v>44269</v>
      </c>
      <c r="F17" s="22"/>
      <c r="G17" s="23">
        <v>2760</v>
      </c>
      <c r="H17" s="24">
        <f t="shared" si="19"/>
        <v>0</v>
      </c>
      <c r="I17" s="25">
        <f t="shared" si="18"/>
        <v>0</v>
      </c>
      <c r="J17" s="50">
        <v>7258.0645000000004</v>
      </c>
      <c r="K17" s="93">
        <v>6030.5999999977648</v>
      </c>
      <c r="L17" s="42">
        <v>6532.9199999999255</v>
      </c>
      <c r="M17" s="82">
        <v>5942.2800000002608</v>
      </c>
      <c r="N17" s="83">
        <v>4264.2000000001863</v>
      </c>
      <c r="O17" s="84"/>
      <c r="P17" s="33"/>
      <c r="Q17" s="40">
        <v>44269</v>
      </c>
      <c r="R17" s="86"/>
      <c r="S17" s="86">
        <v>2760</v>
      </c>
      <c r="T17" s="86">
        <f t="shared" si="20"/>
        <v>0</v>
      </c>
      <c r="U17" s="25">
        <f t="shared" si="21"/>
        <v>0</v>
      </c>
      <c r="V17" s="25">
        <f t="shared" si="22"/>
        <v>0</v>
      </c>
      <c r="W17" s="87" t="e">
        <f t="shared" si="2"/>
        <v>#DIV/0!</v>
      </c>
      <c r="X17" s="88">
        <v>0.2</v>
      </c>
      <c r="Y17" s="33"/>
      <c r="Z17" s="40">
        <v>44269</v>
      </c>
      <c r="AA17" s="94"/>
      <c r="AB17" s="86">
        <v>2760</v>
      </c>
      <c r="AC17" s="86">
        <f t="shared" si="23"/>
        <v>0</v>
      </c>
      <c r="AD17" s="25">
        <f t="shared" si="24"/>
        <v>0</v>
      </c>
      <c r="AE17" s="25">
        <f t="shared" si="25"/>
        <v>0</v>
      </c>
      <c r="AF17" s="87" t="e">
        <f t="shared" si="26"/>
        <v>#DIV/0!</v>
      </c>
      <c r="AG17" s="88">
        <v>0.15</v>
      </c>
      <c r="AI17" s="40">
        <v>44269</v>
      </c>
      <c r="AJ17" s="22"/>
      <c r="AK17" s="22"/>
      <c r="AL17" s="22"/>
      <c r="AM17" s="22"/>
      <c r="AN17" s="23">
        <v>2760</v>
      </c>
      <c r="AO17" s="23">
        <f t="shared" si="13"/>
        <v>0</v>
      </c>
      <c r="AP17" s="89">
        <f t="shared" si="14"/>
        <v>0</v>
      </c>
      <c r="AQ17" s="23">
        <f t="shared" si="6"/>
        <v>0</v>
      </c>
      <c r="AR17" s="90">
        <f t="shared" si="15"/>
        <v>0</v>
      </c>
      <c r="AS17" s="23">
        <f t="shared" si="7"/>
        <v>0</v>
      </c>
      <c r="AT17" s="91">
        <f t="shared" si="16"/>
        <v>0</v>
      </c>
      <c r="AU17" s="92">
        <f t="shared" si="8"/>
        <v>0</v>
      </c>
      <c r="AV17" s="24">
        <f t="shared" si="9"/>
        <v>0</v>
      </c>
      <c r="AW17" s="25">
        <f t="shared" si="27"/>
        <v>0</v>
      </c>
      <c r="AX17" s="25">
        <f t="shared" si="10"/>
        <v>7258.0645000000004</v>
      </c>
    </row>
    <row r="18" spans="3:50" x14ac:dyDescent="0.25">
      <c r="C18" s="80">
        <v>1100</v>
      </c>
      <c r="D18" s="80">
        <v>3000</v>
      </c>
      <c r="E18" s="40">
        <v>44270</v>
      </c>
      <c r="F18" s="22"/>
      <c r="G18" s="23">
        <v>2760</v>
      </c>
      <c r="H18" s="24">
        <f t="shared" si="19"/>
        <v>0</v>
      </c>
      <c r="I18" s="25">
        <f t="shared" si="18"/>
        <v>0</v>
      </c>
      <c r="J18" s="50">
        <v>7258.0645000000004</v>
      </c>
      <c r="K18" s="93">
        <v>6027.8400000017136</v>
      </c>
      <c r="L18" s="42">
        <v>6292.7999999988824</v>
      </c>
      <c r="M18" s="82">
        <v>6005.7600000007078</v>
      </c>
      <c r="N18" s="83">
        <v>4468.4399999999441</v>
      </c>
      <c r="O18" s="84"/>
      <c r="P18" s="33"/>
      <c r="Q18" s="40">
        <v>44270</v>
      </c>
      <c r="R18" s="86"/>
      <c r="S18" s="86">
        <v>2760</v>
      </c>
      <c r="T18" s="86">
        <f t="shared" si="20"/>
        <v>0</v>
      </c>
      <c r="U18" s="25">
        <f t="shared" si="21"/>
        <v>0</v>
      </c>
      <c r="V18" s="25">
        <f t="shared" si="22"/>
        <v>0</v>
      </c>
      <c r="W18" s="87" t="e">
        <f>U18/V18</f>
        <v>#DIV/0!</v>
      </c>
      <c r="X18" s="88">
        <v>0.2</v>
      </c>
      <c r="Y18" s="33"/>
      <c r="Z18" s="40">
        <v>44270</v>
      </c>
      <c r="AA18" s="94"/>
      <c r="AB18" s="86">
        <v>2760</v>
      </c>
      <c r="AC18" s="86">
        <f t="shared" si="23"/>
        <v>0</v>
      </c>
      <c r="AD18" s="25">
        <f t="shared" si="24"/>
        <v>0</v>
      </c>
      <c r="AE18" s="25">
        <f t="shared" si="25"/>
        <v>0</v>
      </c>
      <c r="AF18" s="87" t="e">
        <f t="shared" si="26"/>
        <v>#DIV/0!</v>
      </c>
      <c r="AG18" s="88">
        <v>0.15</v>
      </c>
      <c r="AI18" s="40">
        <v>44270</v>
      </c>
      <c r="AJ18" s="22"/>
      <c r="AK18" s="22"/>
      <c r="AL18" s="22"/>
      <c r="AM18" s="22"/>
      <c r="AN18" s="23">
        <v>2760</v>
      </c>
      <c r="AO18" s="23">
        <f t="shared" si="13"/>
        <v>0</v>
      </c>
      <c r="AP18" s="89">
        <f t="shared" si="14"/>
        <v>0</v>
      </c>
      <c r="AQ18" s="23">
        <f t="shared" si="6"/>
        <v>0</v>
      </c>
      <c r="AR18" s="90">
        <f t="shared" si="15"/>
        <v>0</v>
      </c>
      <c r="AS18" s="23">
        <f t="shared" si="7"/>
        <v>0</v>
      </c>
      <c r="AT18" s="91">
        <f t="shared" si="16"/>
        <v>0</v>
      </c>
      <c r="AU18" s="92">
        <f t="shared" si="8"/>
        <v>0</v>
      </c>
      <c r="AV18" s="24">
        <f t="shared" si="9"/>
        <v>0</v>
      </c>
      <c r="AW18" s="25">
        <f t="shared" si="27"/>
        <v>0</v>
      </c>
      <c r="AX18" s="25">
        <f t="shared" si="10"/>
        <v>7258.0645000000004</v>
      </c>
    </row>
    <row r="19" spans="3:50" x14ac:dyDescent="0.25">
      <c r="C19" s="80">
        <v>500</v>
      </c>
      <c r="D19" s="80">
        <v>3500</v>
      </c>
      <c r="E19" s="40">
        <v>44271</v>
      </c>
      <c r="F19" s="22"/>
      <c r="G19" s="23">
        <v>2760</v>
      </c>
      <c r="H19" s="24">
        <f t="shared" si="19"/>
        <v>0</v>
      </c>
      <c r="I19" s="25">
        <f t="shared" si="18"/>
        <v>0</v>
      </c>
      <c r="J19" s="50">
        <v>7258.0645000000004</v>
      </c>
      <c r="K19" s="93">
        <v>5807.0399999991059</v>
      </c>
      <c r="L19" s="42">
        <v>6240.3600000012666</v>
      </c>
      <c r="M19" s="82">
        <v>5782.1999999992549</v>
      </c>
      <c r="N19" s="83">
        <v>4509.839999999851</v>
      </c>
      <c r="O19" s="84"/>
      <c r="P19" s="33"/>
      <c r="Q19" s="40">
        <v>44271</v>
      </c>
      <c r="R19" s="86"/>
      <c r="S19" s="86">
        <v>2760</v>
      </c>
      <c r="T19" s="86">
        <f t="shared" si="20"/>
        <v>0</v>
      </c>
      <c r="U19" s="25">
        <f t="shared" si="21"/>
        <v>0</v>
      </c>
      <c r="V19" s="25">
        <f t="shared" si="22"/>
        <v>0</v>
      </c>
      <c r="W19" s="87" t="e">
        <f>U19/V19</f>
        <v>#DIV/0!</v>
      </c>
      <c r="X19" s="88">
        <v>0.2</v>
      </c>
      <c r="Y19" s="33"/>
      <c r="Z19" s="40">
        <v>44271</v>
      </c>
      <c r="AA19" s="94"/>
      <c r="AB19" s="86">
        <v>2760</v>
      </c>
      <c r="AC19" s="86">
        <f t="shared" si="23"/>
        <v>0</v>
      </c>
      <c r="AD19" s="25">
        <f t="shared" si="24"/>
        <v>0</v>
      </c>
      <c r="AE19" s="25">
        <f t="shared" si="25"/>
        <v>0</v>
      </c>
      <c r="AF19" s="87" t="e">
        <f t="shared" si="26"/>
        <v>#DIV/0!</v>
      </c>
      <c r="AG19" s="88">
        <v>0.15</v>
      </c>
      <c r="AI19" s="40">
        <v>44271</v>
      </c>
      <c r="AJ19" s="22"/>
      <c r="AK19" s="22"/>
      <c r="AL19" s="22"/>
      <c r="AM19" s="22"/>
      <c r="AN19" s="23">
        <v>2760</v>
      </c>
      <c r="AO19" s="23">
        <f t="shared" si="13"/>
        <v>0</v>
      </c>
      <c r="AP19" s="89">
        <f t="shared" si="14"/>
        <v>0</v>
      </c>
      <c r="AQ19" s="23">
        <f t="shared" si="6"/>
        <v>0</v>
      </c>
      <c r="AR19" s="90">
        <f t="shared" si="15"/>
        <v>0</v>
      </c>
      <c r="AS19" s="23">
        <f t="shared" si="7"/>
        <v>0</v>
      </c>
      <c r="AT19" s="91">
        <f>+(AS19-AS18)</f>
        <v>0</v>
      </c>
      <c r="AU19" s="92">
        <f>+(AP19+AR19+AT19)</f>
        <v>0</v>
      </c>
      <c r="AV19" s="24">
        <f t="shared" si="9"/>
        <v>0</v>
      </c>
      <c r="AW19" s="25">
        <f t="shared" si="27"/>
        <v>0</v>
      </c>
      <c r="AX19" s="25">
        <f t="shared" si="10"/>
        <v>7258.0645000000004</v>
      </c>
    </row>
    <row r="20" spans="3:50" x14ac:dyDescent="0.25">
      <c r="C20" s="80">
        <v>500</v>
      </c>
      <c r="D20" s="80">
        <v>2700</v>
      </c>
      <c r="E20" s="40">
        <v>44272</v>
      </c>
      <c r="F20" s="22"/>
      <c r="G20" s="23">
        <v>2760</v>
      </c>
      <c r="H20" s="24">
        <f t="shared" si="19"/>
        <v>0</v>
      </c>
      <c r="I20" s="25">
        <f t="shared" si="18"/>
        <v>0</v>
      </c>
      <c r="J20" s="50">
        <v>7258.0645000000004</v>
      </c>
      <c r="K20" s="93">
        <v>5666.2800000011921</v>
      </c>
      <c r="L20" s="42">
        <v>6105.1199999991804</v>
      </c>
      <c r="M20" s="82">
        <v>5856.7199999997392</v>
      </c>
      <c r="N20" s="83">
        <v>4255.9200000003912</v>
      </c>
      <c r="O20" s="84"/>
      <c r="P20" s="33"/>
      <c r="Q20" s="40">
        <v>44272</v>
      </c>
      <c r="R20" s="86"/>
      <c r="S20" s="86">
        <v>2760</v>
      </c>
      <c r="T20" s="86">
        <f t="shared" si="20"/>
        <v>0</v>
      </c>
      <c r="U20" s="25">
        <f t="shared" si="21"/>
        <v>0</v>
      </c>
      <c r="V20" s="25">
        <f t="shared" si="22"/>
        <v>0</v>
      </c>
      <c r="W20" s="87" t="e">
        <f t="shared" si="2"/>
        <v>#DIV/0!</v>
      </c>
      <c r="X20" s="88">
        <v>0.2</v>
      </c>
      <c r="Y20" s="33"/>
      <c r="Z20" s="40">
        <v>44272</v>
      </c>
      <c r="AA20" s="94"/>
      <c r="AB20" s="86">
        <v>2760</v>
      </c>
      <c r="AC20" s="86">
        <f t="shared" si="23"/>
        <v>0</v>
      </c>
      <c r="AD20" s="25">
        <f t="shared" si="24"/>
        <v>0</v>
      </c>
      <c r="AE20" s="25">
        <f t="shared" si="25"/>
        <v>0</v>
      </c>
      <c r="AF20" s="87" t="e">
        <f t="shared" si="26"/>
        <v>#DIV/0!</v>
      </c>
      <c r="AG20" s="88">
        <v>0.15</v>
      </c>
      <c r="AI20" s="40">
        <v>44272</v>
      </c>
      <c r="AJ20" s="22"/>
      <c r="AK20" s="22"/>
      <c r="AL20" s="22"/>
      <c r="AM20" s="22"/>
      <c r="AN20" s="23">
        <v>2760</v>
      </c>
      <c r="AO20" s="23">
        <f t="shared" si="13"/>
        <v>0</v>
      </c>
      <c r="AP20" s="89">
        <f t="shared" si="14"/>
        <v>0</v>
      </c>
      <c r="AQ20" s="23">
        <f t="shared" si="6"/>
        <v>0</v>
      </c>
      <c r="AR20" s="90">
        <f t="shared" si="15"/>
        <v>0</v>
      </c>
      <c r="AS20" s="23">
        <f t="shared" si="7"/>
        <v>0</v>
      </c>
      <c r="AT20" s="91">
        <f>+(AS20-AS19)</f>
        <v>0</v>
      </c>
      <c r="AU20" s="92">
        <f>+(AP20+AR20+AT20)</f>
        <v>0</v>
      </c>
      <c r="AV20" s="24">
        <f t="shared" si="9"/>
        <v>0</v>
      </c>
      <c r="AW20" s="25">
        <f t="shared" si="27"/>
        <v>0</v>
      </c>
      <c r="AX20" s="25">
        <f t="shared" si="27"/>
        <v>7258.0645000000004</v>
      </c>
    </row>
    <row r="21" spans="3:50" x14ac:dyDescent="0.25">
      <c r="C21" s="80">
        <v>900</v>
      </c>
      <c r="D21" s="80">
        <v>2700</v>
      </c>
      <c r="E21" s="40">
        <v>44273</v>
      </c>
      <c r="F21" s="22"/>
      <c r="G21" s="23">
        <v>2760</v>
      </c>
      <c r="H21" s="24">
        <f t="shared" si="19"/>
        <v>0</v>
      </c>
      <c r="I21" s="25">
        <f t="shared" si="18"/>
        <v>0</v>
      </c>
      <c r="J21" s="50">
        <v>7258.0645000000004</v>
      </c>
      <c r="K21" s="93">
        <v>4981.7999999970198</v>
      </c>
      <c r="L21" s="42">
        <v>6044.4000000003725</v>
      </c>
      <c r="M21" s="82">
        <v>6185.160000000149</v>
      </c>
      <c r="N21" s="83">
        <v>4697.5200000000186</v>
      </c>
      <c r="O21" s="84"/>
      <c r="P21" s="33"/>
      <c r="Q21" s="40">
        <v>44273</v>
      </c>
      <c r="R21" s="86"/>
      <c r="S21" s="86">
        <v>2760</v>
      </c>
      <c r="T21" s="86">
        <f t="shared" si="20"/>
        <v>0</v>
      </c>
      <c r="U21" s="25">
        <f>T21-T20</f>
        <v>0</v>
      </c>
      <c r="V21" s="25">
        <f>I21</f>
        <v>0</v>
      </c>
      <c r="W21" s="87" t="e">
        <f t="shared" si="2"/>
        <v>#DIV/0!</v>
      </c>
      <c r="X21" s="88">
        <v>0.2</v>
      </c>
      <c r="Y21" s="33"/>
      <c r="Z21" s="40">
        <v>44273</v>
      </c>
      <c r="AA21" s="94"/>
      <c r="AB21" s="86">
        <v>2760</v>
      </c>
      <c r="AC21" s="86">
        <f t="shared" si="23"/>
        <v>0</v>
      </c>
      <c r="AD21" s="25">
        <f t="shared" si="24"/>
        <v>0</v>
      </c>
      <c r="AE21" s="25">
        <f>I21</f>
        <v>0</v>
      </c>
      <c r="AF21" s="87" t="e">
        <f>AD21/AE21</f>
        <v>#DIV/0!</v>
      </c>
      <c r="AG21" s="88">
        <v>0.15</v>
      </c>
      <c r="AI21" s="40">
        <v>44273</v>
      </c>
      <c r="AJ21" s="22"/>
      <c r="AK21" s="22"/>
      <c r="AL21" s="22"/>
      <c r="AM21" s="22"/>
      <c r="AN21" s="23">
        <v>2760</v>
      </c>
      <c r="AO21" s="23">
        <f t="shared" si="13"/>
        <v>0</v>
      </c>
      <c r="AP21" s="89">
        <f t="shared" si="14"/>
        <v>0</v>
      </c>
      <c r="AQ21" s="23">
        <f t="shared" si="6"/>
        <v>0</v>
      </c>
      <c r="AR21" s="90">
        <f t="shared" si="15"/>
        <v>0</v>
      </c>
      <c r="AS21" s="23">
        <f t="shared" si="7"/>
        <v>0</v>
      </c>
      <c r="AT21" s="91">
        <f>+(AS21-AS20)</f>
        <v>0</v>
      </c>
      <c r="AU21" s="92">
        <f>+(AP21+AR21+AT21)</f>
        <v>0</v>
      </c>
      <c r="AV21" s="24">
        <f t="shared" si="9"/>
        <v>0</v>
      </c>
      <c r="AW21" s="25">
        <f t="shared" si="27"/>
        <v>0</v>
      </c>
      <c r="AX21" s="25">
        <f t="shared" si="27"/>
        <v>7258.0645000000004</v>
      </c>
    </row>
    <row r="22" spans="3:50" x14ac:dyDescent="0.25">
      <c r="C22" s="80">
        <v>300</v>
      </c>
      <c r="D22" s="80">
        <v>2700</v>
      </c>
      <c r="E22" s="40">
        <v>44274</v>
      </c>
      <c r="F22" s="22"/>
      <c r="G22" s="23">
        <v>2760</v>
      </c>
      <c r="H22" s="24">
        <f t="shared" si="19"/>
        <v>0</v>
      </c>
      <c r="I22" s="25">
        <f t="shared" si="18"/>
        <v>0</v>
      </c>
      <c r="J22" s="50">
        <v>7258.0645000000004</v>
      </c>
      <c r="K22" s="93">
        <v>4722.3600000012666</v>
      </c>
      <c r="L22" s="42">
        <v>5829.1200000010431</v>
      </c>
      <c r="M22" s="82">
        <v>5945.0400000000373</v>
      </c>
      <c r="N22" s="83">
        <v>4435.3199999998324</v>
      </c>
      <c r="O22" s="84"/>
      <c r="P22" s="33"/>
      <c r="Q22" s="40">
        <v>44274</v>
      </c>
      <c r="R22" s="86"/>
      <c r="S22" s="86">
        <v>2760</v>
      </c>
      <c r="T22" s="86">
        <f t="shared" si="20"/>
        <v>0</v>
      </c>
      <c r="U22" s="25">
        <f t="shared" si="21"/>
        <v>0</v>
      </c>
      <c r="V22" s="25">
        <f t="shared" si="22"/>
        <v>0</v>
      </c>
      <c r="W22" s="87" t="e">
        <f t="shared" si="2"/>
        <v>#DIV/0!</v>
      </c>
      <c r="X22" s="88">
        <v>0.2</v>
      </c>
      <c r="Y22" s="33"/>
      <c r="Z22" s="40">
        <v>44274</v>
      </c>
      <c r="AA22" s="94"/>
      <c r="AB22" s="86">
        <v>2760</v>
      </c>
      <c r="AC22" s="86">
        <f t="shared" si="23"/>
        <v>0</v>
      </c>
      <c r="AD22" s="25">
        <f t="shared" si="24"/>
        <v>0</v>
      </c>
      <c r="AE22" s="25">
        <f t="shared" si="25"/>
        <v>0</v>
      </c>
      <c r="AF22" s="87" t="e">
        <f t="shared" si="26"/>
        <v>#DIV/0!</v>
      </c>
      <c r="AG22" s="88">
        <v>0.15</v>
      </c>
      <c r="AI22" s="40">
        <v>44274</v>
      </c>
      <c r="AJ22" s="22"/>
      <c r="AK22" s="22"/>
      <c r="AL22" s="22"/>
      <c r="AM22" s="22"/>
      <c r="AN22" s="23">
        <v>2760</v>
      </c>
      <c r="AO22" s="23">
        <f t="shared" si="13"/>
        <v>0</v>
      </c>
      <c r="AP22" s="89">
        <f t="shared" si="14"/>
        <v>0</v>
      </c>
      <c r="AQ22" s="23">
        <f t="shared" si="6"/>
        <v>0</v>
      </c>
      <c r="AR22" s="90">
        <f t="shared" si="15"/>
        <v>0</v>
      </c>
      <c r="AS22" s="23">
        <f t="shared" si="7"/>
        <v>0</v>
      </c>
      <c r="AT22" s="91">
        <f t="shared" si="16"/>
        <v>0</v>
      </c>
      <c r="AU22" s="92">
        <f t="shared" si="8"/>
        <v>0</v>
      </c>
      <c r="AV22" s="24">
        <f t="shared" si="9"/>
        <v>0</v>
      </c>
      <c r="AW22" s="25">
        <f t="shared" si="27"/>
        <v>0</v>
      </c>
      <c r="AX22" s="25">
        <f t="shared" si="27"/>
        <v>7258.0645000000004</v>
      </c>
    </row>
    <row r="23" spans="3:50" x14ac:dyDescent="0.25">
      <c r="C23" s="80">
        <v>300</v>
      </c>
      <c r="D23" s="80">
        <v>2700</v>
      </c>
      <c r="E23" s="40">
        <v>44275</v>
      </c>
      <c r="F23" s="22"/>
      <c r="G23" s="23">
        <v>2760</v>
      </c>
      <c r="H23" s="24">
        <f t="shared" si="19"/>
        <v>0</v>
      </c>
      <c r="I23" s="25">
        <f t="shared" si="18"/>
        <v>0</v>
      </c>
      <c r="J23" s="50">
        <v>7258.0645000000004</v>
      </c>
      <c r="K23" s="93">
        <v>3582.4799999985844</v>
      </c>
      <c r="L23" s="42">
        <v>5889.839999999851</v>
      </c>
      <c r="M23" s="82">
        <v>5793.2400000002235</v>
      </c>
      <c r="N23" s="83">
        <v>4319.4000000003725</v>
      </c>
      <c r="O23" s="84"/>
      <c r="P23" s="33"/>
      <c r="Q23" s="40">
        <v>44275</v>
      </c>
      <c r="R23" s="86"/>
      <c r="S23" s="86">
        <v>2760</v>
      </c>
      <c r="T23" s="86">
        <f t="shared" si="20"/>
        <v>0</v>
      </c>
      <c r="U23" s="25">
        <f t="shared" si="21"/>
        <v>0</v>
      </c>
      <c r="V23" s="25">
        <f t="shared" si="22"/>
        <v>0</v>
      </c>
      <c r="W23" s="87" t="e">
        <f t="shared" si="2"/>
        <v>#DIV/0!</v>
      </c>
      <c r="X23" s="88">
        <v>0.2</v>
      </c>
      <c r="Y23" s="33"/>
      <c r="Z23" s="40">
        <v>44275</v>
      </c>
      <c r="AA23" s="94"/>
      <c r="AB23" s="86">
        <v>2760</v>
      </c>
      <c r="AC23" s="86">
        <f t="shared" si="23"/>
        <v>0</v>
      </c>
      <c r="AD23" s="25">
        <f t="shared" si="24"/>
        <v>0</v>
      </c>
      <c r="AE23" s="25">
        <f t="shared" si="25"/>
        <v>0</v>
      </c>
      <c r="AF23" s="87" t="e">
        <f t="shared" si="26"/>
        <v>#DIV/0!</v>
      </c>
      <c r="AG23" s="88">
        <v>0.15</v>
      </c>
      <c r="AI23" s="40">
        <v>44275</v>
      </c>
      <c r="AJ23" s="22"/>
      <c r="AK23" s="22"/>
      <c r="AL23" s="22"/>
      <c r="AM23" s="22"/>
      <c r="AN23" s="23">
        <v>2760</v>
      </c>
      <c r="AO23" s="23">
        <f t="shared" si="13"/>
        <v>0</v>
      </c>
      <c r="AP23" s="89">
        <f t="shared" si="14"/>
        <v>0</v>
      </c>
      <c r="AQ23" s="23">
        <f t="shared" si="6"/>
        <v>0</v>
      </c>
      <c r="AR23" s="90">
        <f t="shared" si="15"/>
        <v>0</v>
      </c>
      <c r="AS23" s="23">
        <f t="shared" si="7"/>
        <v>0</v>
      </c>
      <c r="AT23" s="91">
        <f t="shared" si="16"/>
        <v>0</v>
      </c>
      <c r="AU23" s="92">
        <f t="shared" si="8"/>
        <v>0</v>
      </c>
      <c r="AV23" s="24">
        <f t="shared" si="9"/>
        <v>0</v>
      </c>
      <c r="AW23" s="25">
        <f t="shared" si="27"/>
        <v>0</v>
      </c>
      <c r="AX23" s="25">
        <f t="shared" si="27"/>
        <v>7258.0645000000004</v>
      </c>
    </row>
    <row r="24" spans="3:50" x14ac:dyDescent="0.25">
      <c r="C24" s="80">
        <v>1800</v>
      </c>
      <c r="D24" s="80">
        <v>2700</v>
      </c>
      <c r="E24" s="40">
        <v>44276</v>
      </c>
      <c r="F24" s="22"/>
      <c r="G24" s="23">
        <v>2760</v>
      </c>
      <c r="H24" s="24">
        <f t="shared" si="19"/>
        <v>0</v>
      </c>
      <c r="I24" s="25">
        <f t="shared" si="18"/>
        <v>0</v>
      </c>
      <c r="J24" s="50">
        <v>7258.0645000000004</v>
      </c>
      <c r="K24" s="93">
        <v>3483.1200000029057</v>
      </c>
      <c r="L24" s="42">
        <v>5980.9199999999255</v>
      </c>
      <c r="M24" s="82">
        <v>6000.2400000002235</v>
      </c>
      <c r="N24" s="83">
        <v>4515.3599999998696</v>
      </c>
      <c r="O24" s="84"/>
      <c r="P24" s="33"/>
      <c r="Q24" s="40">
        <v>44276</v>
      </c>
      <c r="R24" s="86"/>
      <c r="S24" s="86">
        <v>2760</v>
      </c>
      <c r="T24" s="86">
        <f t="shared" si="20"/>
        <v>0</v>
      </c>
      <c r="U24" s="25">
        <f>T24-T23</f>
        <v>0</v>
      </c>
      <c r="V24" s="25">
        <f t="shared" si="22"/>
        <v>0</v>
      </c>
      <c r="W24" s="87" t="e">
        <f t="shared" si="2"/>
        <v>#DIV/0!</v>
      </c>
      <c r="X24" s="88">
        <v>0.2</v>
      </c>
      <c r="Y24" s="33"/>
      <c r="Z24" s="40">
        <v>44276</v>
      </c>
      <c r="AA24" s="94"/>
      <c r="AB24" s="86">
        <v>2760</v>
      </c>
      <c r="AC24" s="86">
        <f t="shared" si="23"/>
        <v>0</v>
      </c>
      <c r="AD24" s="25">
        <f t="shared" si="24"/>
        <v>0</v>
      </c>
      <c r="AE24" s="25">
        <f t="shared" si="25"/>
        <v>0</v>
      </c>
      <c r="AF24" s="87" t="e">
        <f t="shared" si="26"/>
        <v>#DIV/0!</v>
      </c>
      <c r="AG24" s="88">
        <v>0.15</v>
      </c>
      <c r="AI24" s="40">
        <v>44276</v>
      </c>
      <c r="AJ24" s="22"/>
      <c r="AK24" s="22"/>
      <c r="AL24" s="22"/>
      <c r="AM24" s="22"/>
      <c r="AN24" s="23">
        <v>2760</v>
      </c>
      <c r="AO24" s="23">
        <f t="shared" si="13"/>
        <v>0</v>
      </c>
      <c r="AP24" s="89">
        <f t="shared" si="14"/>
        <v>0</v>
      </c>
      <c r="AQ24" s="23">
        <f t="shared" si="6"/>
        <v>0</v>
      </c>
      <c r="AR24" s="90">
        <f t="shared" si="15"/>
        <v>0</v>
      </c>
      <c r="AS24" s="23">
        <f t="shared" si="7"/>
        <v>0</v>
      </c>
      <c r="AT24" s="91">
        <f t="shared" si="16"/>
        <v>0</v>
      </c>
      <c r="AU24" s="92">
        <f t="shared" si="8"/>
        <v>0</v>
      </c>
      <c r="AV24" s="24">
        <f t="shared" si="9"/>
        <v>0</v>
      </c>
      <c r="AW24" s="25">
        <f t="shared" si="27"/>
        <v>0</v>
      </c>
      <c r="AX24" s="25">
        <f t="shared" si="27"/>
        <v>7258.0645000000004</v>
      </c>
    </row>
    <row r="25" spans="3:50" x14ac:dyDescent="0.25">
      <c r="C25" s="80">
        <v>600</v>
      </c>
      <c r="D25" s="80">
        <v>2700</v>
      </c>
      <c r="E25" s="40">
        <v>44277</v>
      </c>
      <c r="F25" s="22"/>
      <c r="G25" s="23">
        <v>2760</v>
      </c>
      <c r="H25" s="24">
        <f t="shared" si="19"/>
        <v>0</v>
      </c>
      <c r="I25" s="25">
        <f t="shared" si="18"/>
        <v>0</v>
      </c>
      <c r="J25" s="50">
        <v>7258.0645000000004</v>
      </c>
      <c r="K25" s="93">
        <v>3461.0399999991059</v>
      </c>
      <c r="L25" s="42">
        <v>5922.9599999990314</v>
      </c>
      <c r="M25" s="82">
        <v>5738.0400000000373</v>
      </c>
      <c r="N25" s="83">
        <v>4424.2800000002608</v>
      </c>
      <c r="O25" s="84"/>
      <c r="P25" s="33"/>
      <c r="Q25" s="40">
        <v>44277</v>
      </c>
      <c r="R25" s="86"/>
      <c r="S25" s="86">
        <v>2760</v>
      </c>
      <c r="T25" s="86">
        <f t="shared" si="20"/>
        <v>0</v>
      </c>
      <c r="U25" s="25">
        <f t="shared" ref="U25:U33" si="28">T25-T24</f>
        <v>0</v>
      </c>
      <c r="V25" s="25">
        <f t="shared" si="22"/>
        <v>0</v>
      </c>
      <c r="W25" s="87" t="e">
        <f t="shared" si="2"/>
        <v>#DIV/0!</v>
      </c>
      <c r="X25" s="88">
        <v>0.2</v>
      </c>
      <c r="Y25" s="33"/>
      <c r="Z25" s="40">
        <v>44277</v>
      </c>
      <c r="AA25" s="94"/>
      <c r="AB25" s="86">
        <v>2760</v>
      </c>
      <c r="AC25" s="86">
        <f t="shared" si="23"/>
        <v>0</v>
      </c>
      <c r="AD25" s="25">
        <f t="shared" si="24"/>
        <v>0</v>
      </c>
      <c r="AE25" s="25">
        <f t="shared" si="25"/>
        <v>0</v>
      </c>
      <c r="AF25" s="87" t="e">
        <f t="shared" si="26"/>
        <v>#DIV/0!</v>
      </c>
      <c r="AG25" s="88">
        <v>0.15</v>
      </c>
      <c r="AI25" s="40">
        <v>44277</v>
      </c>
      <c r="AJ25" s="22"/>
      <c r="AK25" s="22"/>
      <c r="AL25" s="22"/>
      <c r="AM25" s="22"/>
      <c r="AN25" s="23">
        <v>2760</v>
      </c>
      <c r="AO25" s="23">
        <f t="shared" si="13"/>
        <v>0</v>
      </c>
      <c r="AP25" s="89">
        <f t="shared" si="14"/>
        <v>0</v>
      </c>
      <c r="AQ25" s="23">
        <f t="shared" si="6"/>
        <v>0</v>
      </c>
      <c r="AR25" s="90">
        <f t="shared" si="15"/>
        <v>0</v>
      </c>
      <c r="AS25" s="23">
        <f t="shared" si="7"/>
        <v>0</v>
      </c>
      <c r="AT25" s="91">
        <f t="shared" si="16"/>
        <v>0</v>
      </c>
      <c r="AU25" s="92">
        <f t="shared" si="8"/>
        <v>0</v>
      </c>
      <c r="AV25" s="24">
        <f t="shared" si="9"/>
        <v>0</v>
      </c>
      <c r="AW25" s="25">
        <f t="shared" si="27"/>
        <v>0</v>
      </c>
      <c r="AX25" s="25">
        <f t="shared" si="27"/>
        <v>7258.0645000000004</v>
      </c>
    </row>
    <row r="26" spans="3:50" x14ac:dyDescent="0.25">
      <c r="C26" s="80">
        <v>1100</v>
      </c>
      <c r="D26" s="80">
        <v>2700</v>
      </c>
      <c r="E26" s="40">
        <v>44278</v>
      </c>
      <c r="F26" s="22"/>
      <c r="G26" s="23">
        <v>2760</v>
      </c>
      <c r="H26" s="24">
        <f t="shared" si="19"/>
        <v>0</v>
      </c>
      <c r="I26" s="25">
        <f t="shared" si="18"/>
        <v>0</v>
      </c>
      <c r="J26" s="50">
        <v>7258.0645000000004</v>
      </c>
      <c r="K26" s="93">
        <v>2986.3199999984354</v>
      </c>
      <c r="L26" s="42">
        <v>6000.2400000002235</v>
      </c>
      <c r="M26" s="82">
        <v>5964.3600000003353</v>
      </c>
      <c r="N26" s="83">
        <v>4551.2399999997579</v>
      </c>
      <c r="O26" s="96"/>
      <c r="P26" s="97"/>
      <c r="Q26" s="40">
        <v>44278</v>
      </c>
      <c r="R26" s="86"/>
      <c r="S26" s="98">
        <v>2760</v>
      </c>
      <c r="T26" s="86">
        <f t="shared" si="20"/>
        <v>0</v>
      </c>
      <c r="U26" s="25">
        <f t="shared" si="28"/>
        <v>0</v>
      </c>
      <c r="V26" s="99">
        <f t="shared" si="22"/>
        <v>0</v>
      </c>
      <c r="W26" s="100" t="e">
        <f t="shared" si="2"/>
        <v>#DIV/0!</v>
      </c>
      <c r="X26" s="88">
        <v>0.2</v>
      </c>
      <c r="Y26" s="33"/>
      <c r="Z26" s="40">
        <v>44278</v>
      </c>
      <c r="AA26" s="94"/>
      <c r="AB26" s="86">
        <v>2760</v>
      </c>
      <c r="AC26" s="86">
        <f t="shared" si="23"/>
        <v>0</v>
      </c>
      <c r="AD26" s="25">
        <f t="shared" si="24"/>
        <v>0</v>
      </c>
      <c r="AE26" s="25">
        <f t="shared" si="25"/>
        <v>0</v>
      </c>
      <c r="AF26" s="100" t="e">
        <f>AD26/AE26</f>
        <v>#DIV/0!</v>
      </c>
      <c r="AG26" s="88">
        <v>0.15</v>
      </c>
      <c r="AI26" s="40">
        <v>44278</v>
      </c>
      <c r="AJ26" s="22"/>
      <c r="AK26" s="22"/>
      <c r="AL26" s="22"/>
      <c r="AM26" s="22"/>
      <c r="AN26" s="28">
        <v>2760</v>
      </c>
      <c r="AO26" s="28">
        <f t="shared" si="13"/>
        <v>0</v>
      </c>
      <c r="AP26" s="89">
        <f t="shared" si="14"/>
        <v>0</v>
      </c>
      <c r="AQ26" s="28">
        <f t="shared" si="6"/>
        <v>0</v>
      </c>
      <c r="AR26" s="90">
        <f t="shared" si="15"/>
        <v>0</v>
      </c>
      <c r="AS26" s="28">
        <f t="shared" si="7"/>
        <v>0</v>
      </c>
      <c r="AT26" s="91">
        <f t="shared" si="16"/>
        <v>0</v>
      </c>
      <c r="AU26" s="92">
        <f t="shared" si="8"/>
        <v>0</v>
      </c>
      <c r="AV26" s="29">
        <f t="shared" si="9"/>
        <v>0</v>
      </c>
      <c r="AW26" s="25">
        <f t="shared" si="27"/>
        <v>0</v>
      </c>
      <c r="AX26" s="25">
        <f t="shared" si="27"/>
        <v>7258.0645000000004</v>
      </c>
    </row>
    <row r="27" spans="3:50" x14ac:dyDescent="0.25">
      <c r="C27" s="80">
        <v>700</v>
      </c>
      <c r="D27" s="80">
        <v>3000</v>
      </c>
      <c r="E27" s="40">
        <v>44279</v>
      </c>
      <c r="F27" s="27"/>
      <c r="G27" s="23">
        <v>2760</v>
      </c>
      <c r="H27" s="24">
        <f t="shared" si="19"/>
        <v>0</v>
      </c>
      <c r="I27" s="25">
        <f t="shared" si="18"/>
        <v>0</v>
      </c>
      <c r="J27" s="50">
        <v>7258.0645000000004</v>
      </c>
      <c r="K27" s="93">
        <v>2740.6800000015646</v>
      </c>
      <c r="L27" s="42">
        <v>7068.359999999404</v>
      </c>
      <c r="M27" s="82">
        <v>5900.8799999998882</v>
      </c>
      <c r="N27" s="83">
        <v>4360.7999999998137</v>
      </c>
      <c r="O27" s="96"/>
      <c r="P27" s="97"/>
      <c r="Q27" s="40">
        <v>44279</v>
      </c>
      <c r="R27" s="98"/>
      <c r="S27" s="98">
        <v>2760</v>
      </c>
      <c r="T27" s="86">
        <f t="shared" si="20"/>
        <v>0</v>
      </c>
      <c r="U27" s="25">
        <f t="shared" si="28"/>
        <v>0</v>
      </c>
      <c r="V27" s="99">
        <f t="shared" si="22"/>
        <v>0</v>
      </c>
      <c r="W27" s="100" t="e">
        <f t="shared" si="2"/>
        <v>#DIV/0!</v>
      </c>
      <c r="X27" s="88">
        <v>0.2</v>
      </c>
      <c r="Y27" s="33"/>
      <c r="Z27" s="40">
        <v>44279</v>
      </c>
      <c r="AA27" s="94"/>
      <c r="AB27" s="86">
        <v>2760</v>
      </c>
      <c r="AC27" s="86">
        <f>AB27*AA27</f>
        <v>0</v>
      </c>
      <c r="AD27" s="25">
        <f t="shared" si="24"/>
        <v>0</v>
      </c>
      <c r="AE27" s="25">
        <f>I27</f>
        <v>0</v>
      </c>
      <c r="AF27" s="100" t="e">
        <f>AD27/AE27</f>
        <v>#DIV/0!</v>
      </c>
      <c r="AG27" s="88">
        <v>0.15</v>
      </c>
      <c r="AI27" s="40">
        <v>44279</v>
      </c>
      <c r="AJ27" s="22"/>
      <c r="AK27" s="22"/>
      <c r="AL27" s="27"/>
      <c r="AM27" s="27"/>
      <c r="AN27" s="28">
        <v>2760</v>
      </c>
      <c r="AO27" s="28">
        <f t="shared" si="13"/>
        <v>0</v>
      </c>
      <c r="AP27" s="89">
        <f t="shared" si="14"/>
        <v>0</v>
      </c>
      <c r="AQ27" s="28">
        <f t="shared" si="6"/>
        <v>0</v>
      </c>
      <c r="AR27" s="90">
        <f t="shared" si="15"/>
        <v>0</v>
      </c>
      <c r="AS27" s="28">
        <f t="shared" si="7"/>
        <v>0</v>
      </c>
      <c r="AT27" s="91">
        <f t="shared" si="16"/>
        <v>0</v>
      </c>
      <c r="AU27" s="92">
        <f t="shared" si="8"/>
        <v>0</v>
      </c>
      <c r="AV27" s="29">
        <f t="shared" si="9"/>
        <v>0</v>
      </c>
      <c r="AW27" s="25">
        <f t="shared" si="27"/>
        <v>0</v>
      </c>
      <c r="AX27" s="25">
        <f t="shared" si="27"/>
        <v>7258.0645000000004</v>
      </c>
    </row>
    <row r="28" spans="3:50" x14ac:dyDescent="0.25">
      <c r="C28" s="80">
        <v>700</v>
      </c>
      <c r="D28" s="80">
        <v>3000</v>
      </c>
      <c r="E28" s="40">
        <v>44280</v>
      </c>
      <c r="F28" s="27"/>
      <c r="G28" s="23">
        <v>2760</v>
      </c>
      <c r="H28" s="24">
        <f t="shared" si="19"/>
        <v>0</v>
      </c>
      <c r="I28" s="25">
        <f t="shared" si="18"/>
        <v>0</v>
      </c>
      <c r="J28" s="50">
        <v>7258.0645000000004</v>
      </c>
      <c r="K28" s="93">
        <v>2517.1200000010431</v>
      </c>
      <c r="L28" s="42">
        <v>6251.4000000003725</v>
      </c>
      <c r="M28" s="82">
        <v>5975.3999999994412</v>
      </c>
      <c r="N28" s="83">
        <v>4567.7999999998137</v>
      </c>
      <c r="O28" s="96"/>
      <c r="P28" s="97"/>
      <c r="Q28" s="40">
        <v>44280</v>
      </c>
      <c r="R28" s="98"/>
      <c r="S28" s="98">
        <v>2760</v>
      </c>
      <c r="T28" s="86">
        <f t="shared" si="20"/>
        <v>0</v>
      </c>
      <c r="U28" s="25">
        <f t="shared" si="28"/>
        <v>0</v>
      </c>
      <c r="V28" s="99">
        <f t="shared" si="22"/>
        <v>0</v>
      </c>
      <c r="W28" s="100" t="e">
        <f t="shared" si="2"/>
        <v>#DIV/0!</v>
      </c>
      <c r="X28" s="88">
        <v>0.2</v>
      </c>
      <c r="Y28" s="33"/>
      <c r="Z28" s="40">
        <v>44280</v>
      </c>
      <c r="AA28" s="94"/>
      <c r="AB28" s="86">
        <v>2760</v>
      </c>
      <c r="AC28" s="86">
        <f>AB28*AA28</f>
        <v>0</v>
      </c>
      <c r="AD28" s="25">
        <f>AC28-AC27</f>
        <v>0</v>
      </c>
      <c r="AE28" s="25">
        <f>I28</f>
        <v>0</v>
      </c>
      <c r="AF28" s="100" t="e">
        <f>AD28/AE28</f>
        <v>#DIV/0!</v>
      </c>
      <c r="AG28" s="88">
        <v>0.15</v>
      </c>
      <c r="AI28" s="40">
        <v>44280</v>
      </c>
      <c r="AJ28" s="22"/>
      <c r="AK28" s="27"/>
      <c r="AL28" s="27"/>
      <c r="AM28" s="27"/>
      <c r="AN28" s="28">
        <v>2760</v>
      </c>
      <c r="AO28" s="28">
        <f t="shared" si="13"/>
        <v>0</v>
      </c>
      <c r="AP28" s="89">
        <f t="shared" si="14"/>
        <v>0</v>
      </c>
      <c r="AQ28" s="28">
        <f t="shared" si="6"/>
        <v>0</v>
      </c>
      <c r="AR28" s="90">
        <f t="shared" si="15"/>
        <v>0</v>
      </c>
      <c r="AS28" s="28">
        <f t="shared" si="7"/>
        <v>0</v>
      </c>
      <c r="AT28" s="91">
        <f t="shared" si="16"/>
        <v>0</v>
      </c>
      <c r="AU28" s="92">
        <f t="shared" si="8"/>
        <v>0</v>
      </c>
      <c r="AV28" s="29">
        <f>AN28*AJ28</f>
        <v>0</v>
      </c>
      <c r="AW28" s="25">
        <f t="shared" si="27"/>
        <v>0</v>
      </c>
      <c r="AX28" s="25">
        <f t="shared" si="27"/>
        <v>7258.0645000000004</v>
      </c>
    </row>
    <row r="29" spans="3:50" x14ac:dyDescent="0.25">
      <c r="C29" s="80">
        <v>900</v>
      </c>
      <c r="D29" s="80">
        <v>3000</v>
      </c>
      <c r="E29" s="40">
        <v>44281</v>
      </c>
      <c r="F29" s="27"/>
      <c r="G29" s="23">
        <v>2760</v>
      </c>
      <c r="H29" s="24">
        <f t="shared" si="19"/>
        <v>0</v>
      </c>
      <c r="I29" s="25">
        <f t="shared" si="18"/>
        <v>0</v>
      </c>
      <c r="J29" s="50">
        <v>7258.0645000000004</v>
      </c>
      <c r="K29" s="93">
        <v>2481.2399999983609</v>
      </c>
      <c r="L29" s="42">
        <v>5528.2799999993294</v>
      </c>
      <c r="M29" s="82">
        <v>5649.7200000006706</v>
      </c>
      <c r="N29" s="83">
        <v>4725.1200000005774</v>
      </c>
      <c r="O29" s="96"/>
      <c r="P29" s="97"/>
      <c r="Q29" s="40">
        <v>44281</v>
      </c>
      <c r="R29" s="98"/>
      <c r="S29" s="98">
        <v>2760</v>
      </c>
      <c r="T29" s="86">
        <f t="shared" si="20"/>
        <v>0</v>
      </c>
      <c r="U29" s="99">
        <f t="shared" si="28"/>
        <v>0</v>
      </c>
      <c r="V29" s="99">
        <f t="shared" si="22"/>
        <v>0</v>
      </c>
      <c r="W29" s="100" t="e">
        <f t="shared" si="2"/>
        <v>#DIV/0!</v>
      </c>
      <c r="X29" s="88">
        <v>0.2</v>
      </c>
      <c r="Y29" s="33"/>
      <c r="Z29" s="40">
        <v>44281</v>
      </c>
      <c r="AA29" s="94"/>
      <c r="AB29" s="86">
        <v>2760</v>
      </c>
      <c r="AC29" s="86">
        <f t="shared" si="23"/>
        <v>0</v>
      </c>
      <c r="AD29" s="25">
        <f t="shared" si="24"/>
        <v>0</v>
      </c>
      <c r="AE29" s="25">
        <f t="shared" si="25"/>
        <v>0</v>
      </c>
      <c r="AF29" s="100" t="e">
        <f t="shared" si="26"/>
        <v>#DIV/0!</v>
      </c>
      <c r="AG29" s="88">
        <v>0.15</v>
      </c>
      <c r="AI29" s="40">
        <v>44281</v>
      </c>
      <c r="AJ29" s="22"/>
      <c r="AK29" s="27"/>
      <c r="AL29" s="27"/>
      <c r="AM29" s="27"/>
      <c r="AN29" s="28">
        <v>2760</v>
      </c>
      <c r="AO29" s="28">
        <f t="shared" si="13"/>
        <v>0</v>
      </c>
      <c r="AP29" s="89">
        <f t="shared" si="14"/>
        <v>0</v>
      </c>
      <c r="AQ29" s="28">
        <f t="shared" si="6"/>
        <v>0</v>
      </c>
      <c r="AR29" s="90">
        <f t="shared" si="15"/>
        <v>0</v>
      </c>
      <c r="AS29" s="28">
        <f t="shared" si="7"/>
        <v>0</v>
      </c>
      <c r="AT29" s="91">
        <f t="shared" si="16"/>
        <v>0</v>
      </c>
      <c r="AU29" s="92">
        <f t="shared" si="8"/>
        <v>0</v>
      </c>
      <c r="AV29" s="29">
        <f t="shared" si="9"/>
        <v>0</v>
      </c>
      <c r="AW29" s="25">
        <f t="shared" si="27"/>
        <v>0</v>
      </c>
      <c r="AX29" s="25">
        <f t="shared" si="27"/>
        <v>7258.0645000000004</v>
      </c>
    </row>
    <row r="30" spans="3:50" x14ac:dyDescent="0.25">
      <c r="C30" s="80">
        <v>800</v>
      </c>
      <c r="D30" s="80">
        <v>3000</v>
      </c>
      <c r="E30" s="40">
        <v>44282</v>
      </c>
      <c r="F30" s="27"/>
      <c r="G30" s="23">
        <v>2760</v>
      </c>
      <c r="H30" s="24">
        <f t="shared" si="19"/>
        <v>0</v>
      </c>
      <c r="I30" s="25">
        <f t="shared" si="18"/>
        <v>0</v>
      </c>
      <c r="J30" s="50">
        <v>7258.0645000000004</v>
      </c>
      <c r="K30" s="93">
        <v>2472.9600000008941</v>
      </c>
      <c r="L30" s="42">
        <v>6428.0400000009686</v>
      </c>
      <c r="M30" s="82">
        <v>5337.8399999989197</v>
      </c>
      <c r="N30" s="83">
        <v>5089.4399999994785</v>
      </c>
      <c r="O30" s="96"/>
      <c r="P30" s="97"/>
      <c r="Q30" s="40">
        <v>44282</v>
      </c>
      <c r="R30" s="98"/>
      <c r="S30" s="98">
        <v>2760</v>
      </c>
      <c r="T30" s="86">
        <f t="shared" si="20"/>
        <v>0</v>
      </c>
      <c r="U30" s="99">
        <f t="shared" si="28"/>
        <v>0</v>
      </c>
      <c r="V30" s="99">
        <f t="shared" si="22"/>
        <v>0</v>
      </c>
      <c r="W30" s="100" t="e">
        <f t="shared" si="2"/>
        <v>#DIV/0!</v>
      </c>
      <c r="X30" s="88">
        <v>0.2</v>
      </c>
      <c r="Y30" s="33"/>
      <c r="Z30" s="40">
        <v>44282</v>
      </c>
      <c r="AA30" s="94"/>
      <c r="AB30" s="86">
        <v>2760</v>
      </c>
      <c r="AC30" s="86">
        <f t="shared" si="23"/>
        <v>0</v>
      </c>
      <c r="AD30" s="25">
        <f t="shared" si="24"/>
        <v>0</v>
      </c>
      <c r="AE30" s="25">
        <f t="shared" si="25"/>
        <v>0</v>
      </c>
      <c r="AF30" s="100" t="e">
        <f t="shared" si="26"/>
        <v>#DIV/0!</v>
      </c>
      <c r="AG30" s="88">
        <v>0.15</v>
      </c>
      <c r="AI30" s="40">
        <v>44282</v>
      </c>
      <c r="AJ30" s="22"/>
      <c r="AK30" s="27"/>
      <c r="AL30" s="27"/>
      <c r="AM30" s="27"/>
      <c r="AN30" s="28">
        <v>2760</v>
      </c>
      <c r="AO30" s="28">
        <f t="shared" si="13"/>
        <v>0</v>
      </c>
      <c r="AP30" s="89">
        <f t="shared" si="14"/>
        <v>0</v>
      </c>
      <c r="AQ30" s="28">
        <f t="shared" si="6"/>
        <v>0</v>
      </c>
      <c r="AR30" s="90">
        <f t="shared" si="15"/>
        <v>0</v>
      </c>
      <c r="AS30" s="28">
        <f t="shared" si="7"/>
        <v>0</v>
      </c>
      <c r="AT30" s="91">
        <f t="shared" si="16"/>
        <v>0</v>
      </c>
      <c r="AU30" s="92">
        <f t="shared" si="8"/>
        <v>0</v>
      </c>
      <c r="AV30" s="29">
        <f t="shared" si="9"/>
        <v>0</v>
      </c>
      <c r="AW30" s="25">
        <f t="shared" si="27"/>
        <v>0</v>
      </c>
      <c r="AX30" s="25">
        <f t="shared" si="27"/>
        <v>7258.0645000000004</v>
      </c>
    </row>
    <row r="31" spans="3:50" x14ac:dyDescent="0.25">
      <c r="C31" s="80">
        <v>700</v>
      </c>
      <c r="D31" s="80">
        <v>3000</v>
      </c>
      <c r="E31" s="40">
        <v>44283</v>
      </c>
      <c r="F31" s="27"/>
      <c r="G31" s="23">
        <v>2760</v>
      </c>
      <c r="H31" s="24">
        <f t="shared" si="19"/>
        <v>0</v>
      </c>
      <c r="I31" s="25">
        <f t="shared" si="18"/>
        <v>0</v>
      </c>
      <c r="J31" s="50">
        <v>7258.0645000000004</v>
      </c>
      <c r="K31" s="93">
        <v>2467.4399999976158</v>
      </c>
      <c r="L31" s="42">
        <v>5884.320000000298</v>
      </c>
      <c r="M31" s="82">
        <v>5721.480000000447</v>
      </c>
      <c r="N31" s="83">
        <v>5133.6000000005588</v>
      </c>
      <c r="O31" s="96"/>
      <c r="P31" s="97"/>
      <c r="Q31" s="40">
        <v>44283</v>
      </c>
      <c r="R31" s="98"/>
      <c r="S31" s="98">
        <v>2760</v>
      </c>
      <c r="T31" s="86">
        <f t="shared" si="20"/>
        <v>0</v>
      </c>
      <c r="U31" s="99">
        <f t="shared" si="28"/>
        <v>0</v>
      </c>
      <c r="V31" s="99">
        <f t="shared" si="22"/>
        <v>0</v>
      </c>
      <c r="W31" s="100" t="e">
        <f t="shared" si="2"/>
        <v>#DIV/0!</v>
      </c>
      <c r="X31" s="88">
        <v>0.2</v>
      </c>
      <c r="Y31" s="33"/>
      <c r="Z31" s="40">
        <v>44283</v>
      </c>
      <c r="AA31" s="94"/>
      <c r="AB31" s="86">
        <v>2760</v>
      </c>
      <c r="AC31" s="86">
        <f t="shared" si="23"/>
        <v>0</v>
      </c>
      <c r="AD31" s="25">
        <f t="shared" si="24"/>
        <v>0</v>
      </c>
      <c r="AE31" s="25">
        <f t="shared" si="25"/>
        <v>0</v>
      </c>
      <c r="AF31" s="100" t="e">
        <f t="shared" si="26"/>
        <v>#DIV/0!</v>
      </c>
      <c r="AG31" s="88">
        <v>0.15</v>
      </c>
      <c r="AI31" s="40">
        <v>44283</v>
      </c>
      <c r="AJ31" s="22"/>
      <c r="AK31" s="27"/>
      <c r="AL31" s="27"/>
      <c r="AM31" s="27"/>
      <c r="AN31" s="28">
        <v>2760</v>
      </c>
      <c r="AO31" s="28">
        <f t="shared" si="13"/>
        <v>0</v>
      </c>
      <c r="AP31" s="89">
        <f t="shared" si="14"/>
        <v>0</v>
      </c>
      <c r="AQ31" s="28">
        <f t="shared" si="6"/>
        <v>0</v>
      </c>
      <c r="AR31" s="90">
        <f t="shared" si="15"/>
        <v>0</v>
      </c>
      <c r="AS31" s="28">
        <f t="shared" si="7"/>
        <v>0</v>
      </c>
      <c r="AT31" s="91">
        <f t="shared" si="16"/>
        <v>0</v>
      </c>
      <c r="AU31" s="92">
        <f t="shared" si="8"/>
        <v>0</v>
      </c>
      <c r="AV31" s="29">
        <f t="shared" si="9"/>
        <v>0</v>
      </c>
      <c r="AW31" s="25">
        <f t="shared" si="27"/>
        <v>0</v>
      </c>
      <c r="AX31" s="25">
        <f t="shared" si="27"/>
        <v>7258.0645000000004</v>
      </c>
    </row>
    <row r="32" spans="3:50" x14ac:dyDescent="0.25">
      <c r="C32" s="80">
        <v>800</v>
      </c>
      <c r="D32" s="80">
        <v>3000</v>
      </c>
      <c r="E32" s="40">
        <v>44284</v>
      </c>
      <c r="F32" s="27"/>
      <c r="G32" s="23">
        <v>2760</v>
      </c>
      <c r="H32" s="24">
        <f t="shared" si="19"/>
        <v>0</v>
      </c>
      <c r="I32" s="25">
        <f t="shared" si="18"/>
        <v>0</v>
      </c>
      <c r="J32" s="50">
        <v>7258.0645000000004</v>
      </c>
      <c r="K32" s="93">
        <v>2561.2800000030547</v>
      </c>
      <c r="L32" s="42">
        <v>5906.4000000003725</v>
      </c>
      <c r="M32" s="82">
        <v>5922.9599999999627</v>
      </c>
      <c r="N32" s="83">
        <v>4661.6399999991991</v>
      </c>
      <c r="O32" s="96"/>
      <c r="P32" s="97"/>
      <c r="Q32" s="40">
        <v>44284</v>
      </c>
      <c r="R32" s="98"/>
      <c r="S32" s="98">
        <v>2760</v>
      </c>
      <c r="T32" s="86">
        <f t="shared" si="20"/>
        <v>0</v>
      </c>
      <c r="U32" s="99">
        <f t="shared" si="28"/>
        <v>0</v>
      </c>
      <c r="V32" s="99">
        <f t="shared" si="22"/>
        <v>0</v>
      </c>
      <c r="W32" s="100" t="e">
        <f t="shared" si="2"/>
        <v>#DIV/0!</v>
      </c>
      <c r="X32" s="88">
        <v>0.2</v>
      </c>
      <c r="Y32" s="33"/>
      <c r="Z32" s="40">
        <v>44284</v>
      </c>
      <c r="AA32" s="94"/>
      <c r="AB32" s="86">
        <v>2760</v>
      </c>
      <c r="AC32" s="86">
        <f t="shared" si="23"/>
        <v>0</v>
      </c>
      <c r="AD32" s="25">
        <f t="shared" si="24"/>
        <v>0</v>
      </c>
      <c r="AE32" s="25">
        <f t="shared" si="25"/>
        <v>0</v>
      </c>
      <c r="AF32" s="100" t="e">
        <f t="shared" si="26"/>
        <v>#DIV/0!</v>
      </c>
      <c r="AG32" s="88">
        <v>0.15</v>
      </c>
      <c r="AI32" s="40">
        <v>44284</v>
      </c>
      <c r="AJ32" s="22"/>
      <c r="AK32" s="27"/>
      <c r="AL32" s="27"/>
      <c r="AM32" s="27"/>
      <c r="AN32" s="28">
        <v>2760</v>
      </c>
      <c r="AO32" s="28">
        <f t="shared" si="13"/>
        <v>0</v>
      </c>
      <c r="AP32" s="89">
        <f t="shared" si="14"/>
        <v>0</v>
      </c>
      <c r="AQ32" s="28">
        <f t="shared" si="6"/>
        <v>0</v>
      </c>
      <c r="AR32" s="90">
        <f t="shared" si="15"/>
        <v>0</v>
      </c>
      <c r="AS32" s="28">
        <f t="shared" si="7"/>
        <v>0</v>
      </c>
      <c r="AT32" s="91">
        <f t="shared" si="16"/>
        <v>0</v>
      </c>
      <c r="AU32" s="92">
        <f t="shared" si="8"/>
        <v>0</v>
      </c>
      <c r="AV32" s="29">
        <f t="shared" si="9"/>
        <v>0</v>
      </c>
      <c r="AW32" s="25">
        <f t="shared" si="27"/>
        <v>0</v>
      </c>
      <c r="AX32" s="25">
        <f t="shared" si="27"/>
        <v>7258.0645000000004</v>
      </c>
    </row>
    <row r="33" spans="3:50" x14ac:dyDescent="0.25">
      <c r="C33" s="80">
        <v>900</v>
      </c>
      <c r="D33" s="80">
        <v>3000</v>
      </c>
      <c r="E33" s="40">
        <v>44285</v>
      </c>
      <c r="F33" s="27"/>
      <c r="G33" s="23">
        <v>2760</v>
      </c>
      <c r="H33" s="24">
        <f t="shared" si="19"/>
        <v>0</v>
      </c>
      <c r="I33" s="25">
        <f t="shared" si="18"/>
        <v>0</v>
      </c>
      <c r="J33" s="50">
        <v>7258.0645000000004</v>
      </c>
      <c r="K33" s="93">
        <v>2663.3999999985099</v>
      </c>
      <c r="L33" s="42">
        <v>6127.1999999992549</v>
      </c>
      <c r="M33" s="82">
        <v>6483.2400000002235</v>
      </c>
      <c r="N33" s="83">
        <v>4493.2800000007264</v>
      </c>
      <c r="O33" s="96"/>
      <c r="P33" s="97"/>
      <c r="Q33" s="40">
        <v>44285</v>
      </c>
      <c r="R33" s="98"/>
      <c r="S33" s="98">
        <v>2760</v>
      </c>
      <c r="T33" s="86">
        <f t="shared" si="20"/>
        <v>0</v>
      </c>
      <c r="U33" s="99">
        <f t="shared" si="28"/>
        <v>0</v>
      </c>
      <c r="V33" s="99">
        <f t="shared" si="22"/>
        <v>0</v>
      </c>
      <c r="W33" s="100" t="e">
        <f t="shared" si="2"/>
        <v>#DIV/0!</v>
      </c>
      <c r="X33" s="88">
        <v>0.2</v>
      </c>
      <c r="Y33" s="33"/>
      <c r="Z33" s="40">
        <v>44285</v>
      </c>
      <c r="AA33" s="94"/>
      <c r="AB33" s="86">
        <v>2760</v>
      </c>
      <c r="AC33" s="86">
        <f t="shared" si="23"/>
        <v>0</v>
      </c>
      <c r="AD33" s="25">
        <f t="shared" si="24"/>
        <v>0</v>
      </c>
      <c r="AE33" s="25">
        <f t="shared" si="25"/>
        <v>0</v>
      </c>
      <c r="AF33" s="100" t="e">
        <f t="shared" si="26"/>
        <v>#DIV/0!</v>
      </c>
      <c r="AG33" s="88">
        <v>0.15</v>
      </c>
      <c r="AI33" s="40">
        <v>44285</v>
      </c>
      <c r="AJ33" s="22"/>
      <c r="AK33" s="27"/>
      <c r="AL33" s="27"/>
      <c r="AM33" s="27"/>
      <c r="AN33" s="28">
        <v>2760</v>
      </c>
      <c r="AO33" s="28">
        <f t="shared" si="13"/>
        <v>0</v>
      </c>
      <c r="AP33" s="89">
        <f t="shared" si="14"/>
        <v>0</v>
      </c>
      <c r="AQ33" s="28">
        <f t="shared" si="6"/>
        <v>0</v>
      </c>
      <c r="AR33" s="90">
        <f t="shared" si="15"/>
        <v>0</v>
      </c>
      <c r="AS33" s="28">
        <f t="shared" si="7"/>
        <v>0</v>
      </c>
      <c r="AT33" s="91">
        <f t="shared" si="16"/>
        <v>0</v>
      </c>
      <c r="AU33" s="92">
        <f t="shared" si="8"/>
        <v>0</v>
      </c>
      <c r="AV33" s="29">
        <f t="shared" si="9"/>
        <v>0</v>
      </c>
      <c r="AW33" s="25">
        <f t="shared" si="27"/>
        <v>0</v>
      </c>
      <c r="AX33" s="25">
        <f t="shared" si="27"/>
        <v>7258.0645000000004</v>
      </c>
    </row>
    <row r="34" spans="3:50" x14ac:dyDescent="0.25">
      <c r="C34" s="80"/>
      <c r="D34" s="80"/>
      <c r="E34" s="40">
        <v>44286</v>
      </c>
      <c r="F34" s="27"/>
      <c r="G34" s="23">
        <v>2760</v>
      </c>
      <c r="H34" s="24">
        <f t="shared" si="19"/>
        <v>0</v>
      </c>
      <c r="I34" s="25">
        <f t="shared" si="18"/>
        <v>0</v>
      </c>
      <c r="J34" s="50">
        <v>7258.0645000000004</v>
      </c>
      <c r="K34" s="93">
        <v>2566.8000000007451</v>
      </c>
      <c r="L34" s="42">
        <v>6033.359999999404</v>
      </c>
      <c r="M34" s="82">
        <v>5931.2399999992922</v>
      </c>
      <c r="N34" s="83">
        <v>5075.6399999996647</v>
      </c>
      <c r="O34" s="96"/>
      <c r="P34" s="97"/>
      <c r="Q34" s="40">
        <v>44286</v>
      </c>
      <c r="R34" s="98"/>
      <c r="S34" s="98">
        <v>2760</v>
      </c>
      <c r="T34" s="86">
        <f t="shared" si="20"/>
        <v>0</v>
      </c>
      <c r="U34" s="99">
        <f>T34-T33</f>
        <v>0</v>
      </c>
      <c r="V34" s="99">
        <f t="shared" si="22"/>
        <v>0</v>
      </c>
      <c r="W34" s="100" t="e">
        <f t="shared" si="2"/>
        <v>#DIV/0!</v>
      </c>
      <c r="X34" s="88">
        <v>0.2</v>
      </c>
      <c r="Y34" s="33"/>
      <c r="Z34" s="40">
        <v>44286</v>
      </c>
      <c r="AA34" s="94"/>
      <c r="AB34" s="86">
        <v>2760</v>
      </c>
      <c r="AC34" s="86">
        <f t="shared" si="23"/>
        <v>0</v>
      </c>
      <c r="AD34" s="25">
        <f t="shared" si="24"/>
        <v>0</v>
      </c>
      <c r="AE34" s="25">
        <f t="shared" si="25"/>
        <v>0</v>
      </c>
      <c r="AF34" s="100" t="e">
        <f t="shared" si="26"/>
        <v>#DIV/0!</v>
      </c>
      <c r="AG34" s="88">
        <v>0.15</v>
      </c>
      <c r="AI34" s="40">
        <v>44286</v>
      </c>
      <c r="AJ34" s="22"/>
      <c r="AK34" s="27"/>
      <c r="AL34" s="27"/>
      <c r="AM34" s="27"/>
      <c r="AN34" s="28">
        <v>2760</v>
      </c>
      <c r="AO34" s="28">
        <f t="shared" si="13"/>
        <v>0</v>
      </c>
      <c r="AP34" s="89">
        <f>+(AO34-AO33)</f>
        <v>0</v>
      </c>
      <c r="AQ34" s="28">
        <f t="shared" si="6"/>
        <v>0</v>
      </c>
      <c r="AR34" s="90">
        <f>+(AQ34-AQ33)</f>
        <v>0</v>
      </c>
      <c r="AS34" s="28">
        <f t="shared" si="7"/>
        <v>0</v>
      </c>
      <c r="AT34" s="91">
        <f>+(AS34-AS33)</f>
        <v>0</v>
      </c>
      <c r="AU34" s="92">
        <f t="shared" si="8"/>
        <v>0</v>
      </c>
      <c r="AV34" s="29">
        <f t="shared" si="9"/>
        <v>0</v>
      </c>
      <c r="AW34" s="25">
        <f t="shared" si="27"/>
        <v>0</v>
      </c>
      <c r="AX34" s="25">
        <f t="shared" si="27"/>
        <v>7258.0645000000004</v>
      </c>
    </row>
    <row r="35" spans="3:50" x14ac:dyDescent="0.25">
      <c r="C35" s="80"/>
      <c r="D35" s="80"/>
      <c r="E35" s="40">
        <v>44287</v>
      </c>
      <c r="F35" s="27"/>
      <c r="G35" s="23">
        <v>2760</v>
      </c>
      <c r="H35" s="24">
        <f t="shared" si="19"/>
        <v>0</v>
      </c>
      <c r="I35" s="25">
        <f t="shared" si="18"/>
        <v>0</v>
      </c>
      <c r="J35" s="50">
        <v>7258.0645000000004</v>
      </c>
      <c r="K35" s="93">
        <v>2417.7599999997765</v>
      </c>
      <c r="L35" s="42">
        <v>6124.4400000013411</v>
      </c>
      <c r="M35" s="82">
        <v>6386.6399999996647</v>
      </c>
      <c r="N35" s="83"/>
      <c r="O35" s="96"/>
      <c r="P35" s="97"/>
      <c r="Q35" s="40"/>
      <c r="R35" s="98"/>
      <c r="S35" s="98">
        <v>2760</v>
      </c>
      <c r="T35" s="86">
        <f t="shared" si="20"/>
        <v>0</v>
      </c>
      <c r="U35" s="99">
        <f>T35-T34</f>
        <v>0</v>
      </c>
      <c r="V35" s="99">
        <f t="shared" si="22"/>
        <v>0</v>
      </c>
      <c r="W35" s="100" t="e">
        <f t="shared" si="2"/>
        <v>#DIV/0!</v>
      </c>
      <c r="X35" s="88">
        <v>0.2</v>
      </c>
      <c r="Y35" s="33"/>
      <c r="Z35" s="40"/>
      <c r="AA35" s="94"/>
      <c r="AB35" s="86">
        <v>2760</v>
      </c>
      <c r="AC35" s="86">
        <f t="shared" si="23"/>
        <v>0</v>
      </c>
      <c r="AD35" s="25">
        <f t="shared" si="24"/>
        <v>0</v>
      </c>
      <c r="AE35" s="25">
        <f t="shared" si="25"/>
        <v>0</v>
      </c>
      <c r="AF35" s="100" t="e">
        <f t="shared" si="26"/>
        <v>#DIV/0!</v>
      </c>
      <c r="AG35" s="88">
        <v>0.15</v>
      </c>
      <c r="AI35" s="40"/>
      <c r="AJ35" s="22"/>
      <c r="AK35" s="27"/>
      <c r="AL35" s="27"/>
      <c r="AM35" s="27"/>
      <c r="AN35" s="28">
        <v>2760</v>
      </c>
      <c r="AO35" s="28">
        <f t="shared" si="13"/>
        <v>0</v>
      </c>
      <c r="AP35" s="89">
        <f>+(AO35-AO34)</f>
        <v>0</v>
      </c>
      <c r="AQ35" s="28">
        <f t="shared" si="6"/>
        <v>0</v>
      </c>
      <c r="AR35" s="90">
        <f>+(AQ35-AQ34)</f>
        <v>0</v>
      </c>
      <c r="AS35" s="28">
        <f t="shared" si="7"/>
        <v>0</v>
      </c>
      <c r="AT35" s="91">
        <f>+(AS35-AS34)</f>
        <v>0</v>
      </c>
      <c r="AU35" s="92">
        <f t="shared" si="8"/>
        <v>0</v>
      </c>
      <c r="AV35" s="29">
        <f t="shared" si="9"/>
        <v>0</v>
      </c>
      <c r="AW35" s="25">
        <f t="shared" si="27"/>
        <v>0</v>
      </c>
      <c r="AX35" s="25">
        <f t="shared" si="27"/>
        <v>7258.0645000000004</v>
      </c>
    </row>
    <row r="36" spans="3:50" x14ac:dyDescent="0.25">
      <c r="C36" s="80"/>
      <c r="D36" s="80"/>
      <c r="E36" s="48" t="s">
        <v>31</v>
      </c>
      <c r="F36" s="49"/>
      <c r="G36" s="49"/>
      <c r="H36" s="29"/>
      <c r="I36" s="99">
        <f>SUM(I5:I35)</f>
        <v>3093.9600000008941</v>
      </c>
      <c r="J36" s="50">
        <f>SUM(J5:J35)</f>
        <v>224999.99950000015</v>
      </c>
      <c r="K36" s="93">
        <v>146415.24000000022</v>
      </c>
      <c r="L36" s="42">
        <v>177672.23999999929</v>
      </c>
      <c r="M36" s="101">
        <v>141234.7200000002</v>
      </c>
      <c r="N36" s="83">
        <v>158076.24</v>
      </c>
      <c r="O36" s="96"/>
      <c r="P36" s="97"/>
      <c r="Q36" s="102" t="s">
        <v>31</v>
      </c>
      <c r="R36" s="49"/>
      <c r="S36" s="49"/>
      <c r="T36" s="29"/>
      <c r="U36" s="99"/>
      <c r="V36" s="99">
        <f t="shared" si="22"/>
        <v>3093.9600000008941</v>
      </c>
      <c r="W36" s="100">
        <f>U36/V36</f>
        <v>0</v>
      </c>
      <c r="X36" s="88">
        <v>0.2</v>
      </c>
      <c r="Y36" s="33"/>
      <c r="Z36" s="102" t="s">
        <v>31</v>
      </c>
      <c r="AA36" s="40"/>
      <c r="AB36" s="49"/>
      <c r="AC36" s="29"/>
      <c r="AD36" s="99"/>
      <c r="AE36" s="99">
        <f>V36</f>
        <v>3093.9600000008941</v>
      </c>
      <c r="AF36" s="100">
        <f>AD36/AE36</f>
        <v>0</v>
      </c>
      <c r="AG36" s="88">
        <v>0.15</v>
      </c>
      <c r="AI36" s="48" t="s">
        <v>31</v>
      </c>
      <c r="AJ36" s="49"/>
      <c r="AK36" s="49"/>
      <c r="AL36" s="49"/>
      <c r="AM36" s="49"/>
      <c r="AN36" s="49"/>
      <c r="AO36" s="49"/>
      <c r="AP36" s="28">
        <f>SUM(AP4:AP34)</f>
        <v>-6475086.96</v>
      </c>
      <c r="AQ36" s="49"/>
      <c r="AR36" s="28">
        <f>SUM(AR4:AR34)</f>
        <v>-2795968.3200000003</v>
      </c>
      <c r="AS36" s="49"/>
      <c r="AT36" s="28">
        <f>SUM(AT4:AT34)</f>
        <v>-3380431.4399999995</v>
      </c>
      <c r="AU36" s="49">
        <f t="shared" si="8"/>
        <v>-12651486.720000001</v>
      </c>
      <c r="AV36" s="29"/>
      <c r="AW36" s="99">
        <f>SUM(AW4:AW33)</f>
        <v>4344.2400000020862</v>
      </c>
      <c r="AX36" s="99" t="e">
        <f>SUM(AX4:AX34)</f>
        <v>#REF!</v>
      </c>
    </row>
    <row r="37" spans="3:50" x14ac:dyDescent="0.25">
      <c r="E37" s="17"/>
      <c r="F37" s="17"/>
      <c r="G37" s="17"/>
      <c r="H37" s="17"/>
      <c r="I37" s="53"/>
      <c r="J37" s="17"/>
      <c r="K37" s="17"/>
      <c r="L37" s="17"/>
      <c r="M37" s="17"/>
      <c r="N37" s="17"/>
      <c r="O37" s="17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A37" s="17"/>
      <c r="AB37" s="17"/>
      <c r="AE37" s="103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53"/>
      <c r="AX37" s="17"/>
    </row>
    <row r="38" spans="3:50" x14ac:dyDescent="0.25">
      <c r="D38" s="54" t="s">
        <v>49</v>
      </c>
      <c r="E38" s="54" t="s">
        <v>55</v>
      </c>
      <c r="F38" s="104"/>
      <c r="G38" s="32"/>
      <c r="H38" s="17"/>
      <c r="I38" s="17"/>
      <c r="N38" s="105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I38" s="17"/>
      <c r="AJ38" s="54"/>
      <c r="AK38" s="54"/>
      <c r="AL38" s="54"/>
      <c r="AM38" s="54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53"/>
    </row>
    <row r="39" spans="3:50" x14ac:dyDescent="0.25">
      <c r="E39" s="17"/>
      <c r="F39" s="17"/>
      <c r="G39" s="17"/>
      <c r="H39" s="17"/>
      <c r="I39" s="17"/>
      <c r="J39" s="53"/>
      <c r="K39" s="53"/>
      <c r="L39" s="53"/>
      <c r="M39" s="53"/>
      <c r="N39" s="53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33"/>
      <c r="Q41" s="17"/>
      <c r="R41" s="17"/>
      <c r="S41" s="17"/>
      <c r="T41" s="17"/>
      <c r="U41" s="17"/>
      <c r="V41" s="17"/>
      <c r="W41" s="17"/>
      <c r="X41" s="17"/>
      <c r="Y41" s="33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55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55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55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55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55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55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55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55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  <row r="85" spans="5:50" x14ac:dyDescent="0.25"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2021-03-04T07:24:45Z</dcterms:modified>
</cp:coreProperties>
</file>