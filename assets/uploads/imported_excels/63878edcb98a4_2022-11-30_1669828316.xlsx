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S:\Engineering\DOE\HEP\"/>
    </mc:Choice>
  </mc:AlternateContent>
  <xr:revisionPtr revIDLastSave="0" documentId="13_ncr:1_{35DD7783-7CC8-4239-9F00-FD6DA3C0A07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onthly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O59" i="1"/>
  <c r="P59" i="1" s="1"/>
  <c r="L59" i="1"/>
  <c r="K59" i="1"/>
  <c r="I59" i="1"/>
  <c r="G59" i="1"/>
  <c r="E59" i="1"/>
  <c r="O56" i="1"/>
  <c r="P56" i="1" s="1"/>
  <c r="O55" i="1"/>
  <c r="P55" i="1" s="1"/>
  <c r="O54" i="1"/>
  <c r="P54" i="1" s="1"/>
  <c r="O53" i="1"/>
  <c r="P53" i="1" s="1"/>
  <c r="O52" i="1"/>
  <c r="P52" i="1" s="1"/>
  <c r="O51" i="1"/>
  <c r="P51" i="1" s="1"/>
  <c r="O45" i="1"/>
  <c r="P45" i="1" s="1"/>
  <c r="O49" i="1"/>
  <c r="P49" i="1" s="1"/>
  <c r="O48" i="1"/>
  <c r="P48" i="1" s="1"/>
  <c r="O47" i="1"/>
  <c r="P47" i="1" s="1"/>
  <c r="O46" i="1"/>
  <c r="P46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58" i="1"/>
  <c r="P58" i="1" s="1"/>
  <c r="K58" i="1"/>
  <c r="I58" i="1"/>
  <c r="G58" i="1"/>
  <c r="E58" i="1"/>
  <c r="T57" i="1"/>
  <c r="P57" i="1"/>
  <c r="T56" i="1"/>
  <c r="I56" i="1"/>
  <c r="K56" i="1"/>
  <c r="G56" i="1"/>
  <c r="E56" i="1"/>
  <c r="T55" i="1"/>
  <c r="K55" i="1"/>
  <c r="I55" i="1"/>
  <c r="G55" i="1"/>
  <c r="E55" i="1"/>
  <c r="T54" i="1"/>
  <c r="K54" i="1"/>
  <c r="I54" i="1"/>
  <c r="G54" i="1"/>
  <c r="E54" i="1"/>
  <c r="K53" i="1"/>
  <c r="I53" i="1"/>
  <c r="G53" i="1"/>
  <c r="E53" i="1"/>
  <c r="K52" i="1"/>
  <c r="I52" i="1"/>
  <c r="G52" i="1"/>
  <c r="E52" i="1"/>
  <c r="K51" i="1"/>
  <c r="I51" i="1"/>
  <c r="G51" i="1"/>
  <c r="E51" i="1"/>
  <c r="I50" i="1"/>
  <c r="G50" i="1"/>
  <c r="E50" i="1"/>
  <c r="K49" i="1"/>
  <c r="I49" i="1"/>
  <c r="G49" i="1"/>
  <c r="E49" i="1"/>
  <c r="K48" i="1"/>
  <c r="I48" i="1"/>
  <c r="G48" i="1"/>
  <c r="E48" i="1"/>
  <c r="K47" i="1"/>
  <c r="I47" i="1"/>
  <c r="G47" i="1"/>
  <c r="E47" i="1"/>
  <c r="K46" i="1"/>
  <c r="I46" i="1"/>
  <c r="G46" i="1"/>
  <c r="E46" i="1"/>
  <c r="K45" i="1"/>
  <c r="I45" i="1"/>
  <c r="G45" i="1"/>
  <c r="E45" i="1"/>
  <c r="K44" i="1"/>
  <c r="I44" i="1"/>
  <c r="G44" i="1"/>
  <c r="E44" i="1"/>
  <c r="K43" i="1"/>
  <c r="I43" i="1"/>
  <c r="G43" i="1"/>
  <c r="E43" i="1"/>
  <c r="K42" i="1"/>
  <c r="I42" i="1"/>
  <c r="G42" i="1"/>
  <c r="E42" i="1"/>
  <c r="K41" i="1"/>
  <c r="I41" i="1"/>
  <c r="G41" i="1"/>
  <c r="E41" i="1"/>
  <c r="K40" i="1"/>
  <c r="I40" i="1"/>
  <c r="G40" i="1"/>
  <c r="E40" i="1"/>
  <c r="K39" i="1"/>
  <c r="I39" i="1"/>
  <c r="G39" i="1"/>
  <c r="E39" i="1"/>
  <c r="K38" i="1"/>
  <c r="I38" i="1"/>
  <c r="G38" i="1"/>
  <c r="E38" i="1"/>
  <c r="K37" i="1"/>
  <c r="I37" i="1"/>
  <c r="G37" i="1"/>
  <c r="E37" i="1"/>
  <c r="K36" i="1"/>
  <c r="I36" i="1"/>
  <c r="G36" i="1"/>
  <c r="E36" i="1"/>
  <c r="K35" i="1"/>
  <c r="I35" i="1"/>
  <c r="G35" i="1"/>
  <c r="E35" i="1"/>
  <c r="K34" i="1"/>
  <c r="I34" i="1"/>
  <c r="G34" i="1"/>
  <c r="E34" i="1"/>
  <c r="K33" i="1"/>
  <c r="I33" i="1"/>
  <c r="G33" i="1"/>
  <c r="E33" i="1"/>
  <c r="K32" i="1"/>
  <c r="I32" i="1"/>
  <c r="G32" i="1"/>
  <c r="E32" i="1"/>
  <c r="K31" i="1"/>
  <c r="I31" i="1"/>
  <c r="G31" i="1"/>
  <c r="E31" i="1"/>
  <c r="K30" i="1"/>
  <c r="I30" i="1"/>
  <c r="G30" i="1"/>
  <c r="E30" i="1"/>
  <c r="G28" i="1"/>
  <c r="K29" i="1"/>
  <c r="I29" i="1"/>
  <c r="G29" i="1"/>
  <c r="E29" i="1"/>
  <c r="K28" i="1"/>
  <c r="I28" i="1"/>
  <c r="E28" i="1"/>
  <c r="K27" i="1"/>
  <c r="I27" i="1"/>
  <c r="G27" i="1"/>
  <c r="E27" i="1"/>
  <c r="K26" i="1"/>
  <c r="I26" i="1"/>
  <c r="G26" i="1"/>
  <c r="E26" i="1"/>
  <c r="K25" i="1"/>
  <c r="I25" i="1"/>
  <c r="G25" i="1"/>
  <c r="E25" i="1"/>
  <c r="K24" i="1"/>
  <c r="I24" i="1"/>
  <c r="G24" i="1"/>
  <c r="E24" i="1"/>
  <c r="K23" i="1"/>
  <c r="I23" i="1"/>
  <c r="G23" i="1"/>
  <c r="E23" i="1"/>
  <c r="K22" i="1"/>
  <c r="I22" i="1"/>
  <c r="G22" i="1"/>
  <c r="E22" i="1"/>
  <c r="K21" i="1"/>
  <c r="I21" i="1"/>
  <c r="G21" i="1"/>
  <c r="E21" i="1"/>
  <c r="K20" i="1"/>
  <c r="I20" i="1"/>
  <c r="G20" i="1"/>
  <c r="E20" i="1"/>
  <c r="K19" i="1"/>
  <c r="I19" i="1"/>
  <c r="G19" i="1"/>
  <c r="E19" i="1"/>
  <c r="K18" i="1"/>
  <c r="I18" i="1"/>
  <c r="G18" i="1"/>
  <c r="E18" i="1"/>
  <c r="K17" i="1"/>
  <c r="I17" i="1"/>
  <c r="G17" i="1"/>
  <c r="E17" i="1"/>
  <c r="K16" i="1"/>
  <c r="I16" i="1"/>
  <c r="G16" i="1"/>
  <c r="E16" i="1"/>
  <c r="K15" i="1"/>
  <c r="I15" i="1"/>
  <c r="G15" i="1"/>
  <c r="E15" i="1"/>
  <c r="K14" i="1"/>
  <c r="I14" i="1"/>
  <c r="G14" i="1"/>
  <c r="E14" i="1"/>
  <c r="K13" i="1"/>
  <c r="I13" i="1"/>
  <c r="G13" i="1"/>
  <c r="E13" i="1"/>
  <c r="I12" i="1"/>
  <c r="G12" i="1"/>
  <c r="E12" i="1"/>
  <c r="I11" i="1"/>
  <c r="G11" i="1"/>
  <c r="E11" i="1"/>
  <c r="I10" i="1"/>
  <c r="G10" i="1"/>
  <c r="E10" i="1"/>
  <c r="I9" i="1"/>
  <c r="G9" i="1"/>
  <c r="E9" i="1"/>
  <c r="I8" i="1"/>
  <c r="G8" i="1"/>
  <c r="E8" i="1"/>
  <c r="I7" i="1"/>
  <c r="G7" i="1"/>
  <c r="E7" i="1"/>
  <c r="I6" i="1"/>
  <c r="G6" i="1"/>
  <c r="E6" i="1"/>
  <c r="I5" i="1"/>
  <c r="G5" i="1"/>
  <c r="E5" i="1"/>
  <c r="I4" i="1"/>
  <c r="G4" i="1"/>
  <c r="E4" i="1"/>
  <c r="I3" i="1"/>
  <c r="G3" i="1"/>
  <c r="E3" i="1"/>
  <c r="I2" i="1"/>
  <c r="G2" i="1"/>
  <c r="E2" i="1"/>
  <c r="K50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tc={59960E93-12A8-47A8-8700-3B4874D66F4D}</author>
  </authors>
  <commentList>
    <comment ref="S59" authorId="0" shapeId="0" xr:uid="{59960E93-12A8-47A8-8700-3B4874D66F4D}">
      <text>
        <t>[Threaded comment]
Your version of Excel allows you to read this threaded comment; however, any edits to it will get removed if the file is opened in a newer version of Excel. Learn more: https://go.microsoft.com/fwlink/?linkid=870924
Comment:
    Gas bill does not get invoiced until the end of the month. Will update when it comes in.</t>
      </text>
    </comment>
  </commentList>
</comments>
</file>

<file path=xl/sharedStrings.xml><?xml version="1.0" encoding="utf-8"?>
<sst xmlns="http://schemas.openxmlformats.org/spreadsheetml/2006/main" count="89" uniqueCount="24">
  <si>
    <t>Site Name</t>
  </si>
  <si>
    <t>Month</t>
  </si>
  <si>
    <t>Year</t>
  </si>
  <si>
    <t>Purchased Electricity Kwh</t>
  </si>
  <si>
    <t>Purchased Electricity Tariff ($/Kwh)</t>
  </si>
  <si>
    <t>Fixed Fees Cost ($)</t>
  </si>
  <si>
    <t>Water Utility Supply (USG) USG</t>
  </si>
  <si>
    <t>Water Utility Supply (USG) $/USG</t>
  </si>
  <si>
    <t>Natural Gas Hot-Water Boilers (mmBTU) mmBTU</t>
  </si>
  <si>
    <t>Natural Gas Hot-Water Boilers (mmBTU) $/mmBTU</t>
  </si>
  <si>
    <t xml:space="preserve">Room Nights </t>
  </si>
  <si>
    <t>Vail</t>
  </si>
  <si>
    <t>Electricity Total Budgeted</t>
  </si>
  <si>
    <t>Electricity Total Budgeted Cost ($)</t>
  </si>
  <si>
    <t>Water Total Budgeted</t>
  </si>
  <si>
    <t>Water Total Budgeted Cost ($)</t>
  </si>
  <si>
    <t>Natural Gas Total Budgeted</t>
  </si>
  <si>
    <t>Natural Gas Total Budgeted Cost ($)</t>
  </si>
  <si>
    <t>Landfill Waste ($/Ton)</t>
  </si>
  <si>
    <t>Landfill Waste (Tons)</t>
  </si>
  <si>
    <t>Landfill Waste Fixed Fees($)</t>
  </si>
  <si>
    <t>Recycle (Tons)</t>
  </si>
  <si>
    <t>Recycle ($/Tons)</t>
  </si>
  <si>
    <t>Recycle Fixed Fees($)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</si>
</sst>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20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sz val="11"/>
      <color rgb="FF00B0F0"/>
      <name val="Calibri"/>
      <family val="2"/>
    </font>
    <font>
      <sz val="11"/>
      <color rgb="FF000000"/>
      <name val="Calibri"/>
      <family val="2"/>
    </font>
    <font>
      <b/>
      <sz val="10"/>
      <color rgb="FF7030A0"/>
      <name val="Arial"/>
      <family val="2"/>
    </font>
    <font>
      <sz val="11"/>
      <color rgb="FF7030A0"/>
      <name val="Calibri"/>
      <family val="2"/>
    </font>
    <font>
      <b/>
      <sz val="10"/>
      <color rgb="FF00B050"/>
      <name val="Arial"/>
      <family val="2"/>
    </font>
    <font>
      <sz val="11"/>
      <color rgb="FF00B050"/>
      <name val="Calibri"/>
      <family val="2"/>
    </font>
    <font>
      <b/>
      <sz val="10"/>
      <color theme="5" tint="-0.249977111117893"/>
      <name val="Arial"/>
      <family val="2"/>
    </font>
    <font>
      <sz val="11"/>
      <color theme="5" tint="-0.249977111117893"/>
      <name val="Calibri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rgb="FFC65911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</font>
    <font>
      <b/>
      <sz val="10"/>
      <color theme="4"/>
      <name val="Arial"/>
      <family val="2"/>
    </font>
    <font>
      <b/>
      <sz val="10"/>
      <color theme="7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Fill="0" applyProtection="0"/>
  </cellStyleXfs>
  <cellXfs count="58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3" fillId="0" borderId="0" xfId="0" applyNumberFormat="1" applyFont="1" applyFill="1" applyAlignment="1" applyProtection="1">
      <alignment horizontal="center"/>
    </xf>
    <xf numFmtId="0" fontId="5" fillId="0" borderId="0" xfId="0" applyFont="1" applyFill="1" applyProtection="1"/>
    <xf numFmtId="164" fontId="3" fillId="0" borderId="0" xfId="0" applyNumberFormat="1" applyFont="1" applyFill="1" applyAlignment="1" applyProtection="1">
      <alignment horizontal="center"/>
    </xf>
    <xf numFmtId="1" fontId="2" fillId="0" borderId="0" xfId="0" applyNumberFormat="1" applyFont="1" applyFill="1" applyAlignment="1" applyProtection="1">
      <alignment horizontal="center"/>
    </xf>
    <xf numFmtId="1" fontId="4" fillId="0" borderId="1" xfId="0" applyNumberFormat="1" applyFont="1" applyBorder="1" applyAlignment="1">
      <alignment horizontal="center" vertical="center" wrapText="1"/>
    </xf>
    <xf numFmtId="1" fontId="0" fillId="0" borderId="0" xfId="0" applyNumberForma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Fill="1" applyProtection="1"/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Fill="1" applyProtection="1"/>
    <xf numFmtId="165" fontId="3" fillId="0" borderId="0" xfId="0" applyNumberFormat="1" applyFont="1" applyFill="1" applyAlignment="1" applyProtection="1">
      <alignment horizontal="center"/>
    </xf>
    <xf numFmtId="1" fontId="10" fillId="0" borderId="0" xfId="0" applyNumberFormat="1" applyFont="1" applyFill="1" applyAlignment="1" applyProtection="1">
      <alignment horizontal="center"/>
    </xf>
    <xf numFmtId="165" fontId="10" fillId="0" borderId="0" xfId="0" applyNumberFormat="1" applyFont="1" applyFill="1" applyAlignment="1" applyProtection="1">
      <alignment horizontal="center"/>
    </xf>
    <xf numFmtId="1" fontId="8" fillId="0" borderId="0" xfId="0" applyNumberFormat="1" applyFont="1" applyFill="1" applyAlignment="1" applyProtection="1">
      <alignment horizontal="center"/>
    </xf>
    <xf numFmtId="165" fontId="8" fillId="0" borderId="0" xfId="0" applyNumberFormat="1" applyFont="1" applyFill="1" applyAlignment="1" applyProtection="1">
      <alignment horizontal="center"/>
    </xf>
    <xf numFmtId="0" fontId="11" fillId="0" borderId="1" xfId="0" applyFont="1" applyBorder="1" applyAlignment="1">
      <alignment horizontal="center" vertical="center" wrapText="1"/>
    </xf>
    <xf numFmtId="1" fontId="12" fillId="0" borderId="0" xfId="0" applyNumberFormat="1" applyFont="1" applyFill="1" applyAlignment="1" applyProtection="1">
      <alignment horizontal="center"/>
    </xf>
    <xf numFmtId="165" fontId="12" fillId="0" borderId="0" xfId="0" applyNumberFormat="1" applyFont="1" applyFill="1" applyAlignment="1" applyProtection="1">
      <alignment horizontal="center"/>
    </xf>
    <xf numFmtId="0" fontId="12" fillId="0" borderId="0" xfId="0" applyFont="1" applyFill="1" applyProtection="1"/>
    <xf numFmtId="0" fontId="13" fillId="0" borderId="1" xfId="0" applyFont="1" applyBorder="1" applyAlignment="1">
      <alignment horizontal="center" vertical="center" wrapText="1"/>
    </xf>
    <xf numFmtId="165" fontId="14" fillId="0" borderId="0" xfId="0" applyNumberFormat="1" applyFont="1" applyFill="1" applyAlignment="1" applyProtection="1">
      <alignment horizontal="center"/>
    </xf>
    <xf numFmtId="0" fontId="14" fillId="0" borderId="0" xfId="0" applyFont="1" applyFill="1" applyProtection="1"/>
    <xf numFmtId="1" fontId="15" fillId="0" borderId="0" xfId="0" applyNumberFormat="1" applyFont="1" applyFill="1" applyAlignment="1" applyProtection="1">
      <alignment horizontal="center"/>
    </xf>
    <xf numFmtId="165" fontId="15" fillId="0" borderId="0" xfId="0" applyNumberFormat="1" applyFont="1" applyFill="1" applyAlignment="1" applyProtection="1">
      <alignment horizontal="center"/>
    </xf>
    <xf numFmtId="0" fontId="3" fillId="0" borderId="0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164" fontId="6" fillId="0" borderId="0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</xf>
    <xf numFmtId="164" fontId="16" fillId="0" borderId="0" xfId="0" applyNumberFormat="1" applyFont="1" applyFill="1" applyBorder="1" applyAlignment="1" applyProtection="1">
      <alignment horizontal="center" vertical="center"/>
    </xf>
    <xf numFmtId="166" fontId="6" fillId="0" borderId="0" xfId="0" applyNumberFormat="1" applyFont="1" applyFill="1" applyAlignment="1" applyProtection="1">
      <alignment horizontal="center"/>
    </xf>
    <xf numFmtId="166" fontId="6" fillId="0" borderId="0" xfId="0" applyNumberFormat="1" applyFont="1" applyFill="1" applyBorder="1" applyAlignment="1" applyProtection="1">
      <alignment horizontal="center" vertical="center"/>
    </xf>
    <xf numFmtId="166" fontId="16" fillId="0" borderId="0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65" fontId="10" fillId="0" borderId="0" xfId="0" applyNumberFormat="1" applyFont="1" applyFill="1" applyBorder="1" applyAlignment="1" applyProtection="1">
      <alignment horizontal="center" vertical="center"/>
    </xf>
    <xf numFmtId="2" fontId="14" fillId="0" borderId="0" xfId="0" applyNumberFormat="1" applyFont="1" applyFill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1" fontId="16" fillId="0" borderId="0" xfId="0" applyNumberFormat="1" applyFont="1" applyFill="1" applyBorder="1" applyAlignment="1" applyProtection="1">
      <alignment horizontal="center" vertical="center"/>
    </xf>
    <xf numFmtId="166" fontId="0" fillId="0" borderId="0" xfId="0" applyNumberFormat="1" applyFill="1" applyAlignment="1" applyProtection="1">
      <alignment horizontal="center"/>
    </xf>
    <xf numFmtId="164" fontId="0" fillId="0" borderId="0" xfId="0" applyNumberForma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center"/>
    </xf>
    <xf numFmtId="0" fontId="12" fillId="0" borderId="0" xfId="0" applyFont="1" applyFill="1" applyAlignment="1" applyProtection="1">
      <alignment horizontal="center"/>
    </xf>
    <xf numFmtId="0" fontId="8" fillId="0" borderId="0" xfId="0" applyFont="1" applyFill="1" applyAlignment="1" applyProtection="1">
      <alignment horizontal="center"/>
    </xf>
    <xf numFmtId="0" fontId="14" fillId="0" borderId="0" xfId="0" applyFont="1" applyFill="1" applyAlignment="1" applyProtection="1">
      <alignment horizontal="center"/>
    </xf>
    <xf numFmtId="0" fontId="10" fillId="0" borderId="0" xfId="0" applyFont="1" applyFill="1" applyAlignment="1" applyProtection="1">
      <alignment horizontal="center"/>
    </xf>
    <xf numFmtId="0" fontId="17" fillId="0" borderId="0" xfId="0" applyFont="1" applyFill="1" applyAlignment="1" applyProtection="1">
      <alignment horizontal="center"/>
    </xf>
    <xf numFmtId="164" fontId="17" fillId="0" borderId="0" xfId="0" applyNumberFormat="1" applyFont="1" applyFill="1" applyAlignment="1" applyProtection="1">
      <alignment horizontal="center"/>
    </xf>
    <xf numFmtId="166" fontId="17" fillId="0" borderId="0" xfId="0" applyNumberFormat="1" applyFont="1" applyFill="1" applyAlignment="1" applyProtection="1">
      <alignment horizontal="center"/>
    </xf>
    <xf numFmtId="1" fontId="17" fillId="0" borderId="0" xfId="0" applyNumberFormat="1" applyFont="1" applyFill="1" applyAlignment="1" applyProtection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aceli Soto" id="{81D79DE1-72F8-4BFA-A880-F78E3212E670}" userId="S::araceli.soto@fourseasons.com::c6bdd4b2-f6cf-4c60-a119-d4794eb705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59" dT="2022-11-10T19:40:00.70" personId="{81D79DE1-72F8-4BFA-A880-F78E3212E670}" id="{59960E93-12A8-47A8-8700-3B4874D66F4D}">
    <text>Gas bill does not get invoiced until the end of the month. Will update when it comes in.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3"/>
  <sheetViews>
    <sheetView tabSelected="1" showRuler="0" zoomScaleNormal="100" workbookViewId="0">
      <pane ySplit="1" topLeftCell="A38" activePane="bottomLeft" state="frozen"/>
      <selection pane="bottomLeft" activeCell="Y8" sqref="Y8"/>
    </sheetView>
  </sheetViews>
  <sheetFormatPr defaultRowHeight="15" x14ac:dyDescent="0.25"/>
  <cols>
    <col min="1" max="1" width="15" customWidth="1"/>
    <col min="2" max="3" width="15" style="2" customWidth="1"/>
    <col min="4" max="4" width="15" style="6" customWidth="1"/>
    <col min="5" max="5" width="15" customWidth="1"/>
    <col min="6" max="7" width="15" style="15" customWidth="1"/>
    <col min="8" max="9" width="15" style="24" customWidth="1"/>
    <col min="10" max="11" width="15" style="13" customWidth="1"/>
    <col min="12" max="14" width="15" style="27" customWidth="1"/>
    <col min="15" max="15" width="15" customWidth="1"/>
    <col min="16" max="16" width="15" style="2" customWidth="1"/>
    <col min="17" max="18" width="15" style="27" customWidth="1"/>
    <col min="19" max="19" width="15" style="10" customWidth="1"/>
    <col min="20" max="20" width="15" customWidth="1"/>
    <col min="21" max="28" width="15" style="27" customWidth="1"/>
    <col min="29" max="29" width="15" customWidth="1"/>
    <col min="32" max="32" width="12.28515625" bestFit="1" customWidth="1"/>
  </cols>
  <sheetData>
    <row r="1" spans="1:29" s="1" customFormat="1" ht="69.95" customHeight="1" x14ac:dyDescent="0.25">
      <c r="A1" s="4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14" t="s">
        <v>3</v>
      </c>
      <c r="G1" s="14" t="s">
        <v>4</v>
      </c>
      <c r="H1" s="21" t="s">
        <v>3</v>
      </c>
      <c r="I1" s="21" t="s">
        <v>4</v>
      </c>
      <c r="J1" s="12" t="s">
        <v>3</v>
      </c>
      <c r="K1" s="12" t="s">
        <v>4</v>
      </c>
      <c r="L1" s="25" t="s">
        <v>5</v>
      </c>
      <c r="M1" s="25" t="s">
        <v>12</v>
      </c>
      <c r="N1" s="25" t="s">
        <v>13</v>
      </c>
      <c r="O1" s="3" t="s">
        <v>6</v>
      </c>
      <c r="P1" s="3" t="s">
        <v>7</v>
      </c>
      <c r="Q1" s="25" t="s">
        <v>14</v>
      </c>
      <c r="R1" s="25" t="s">
        <v>15</v>
      </c>
      <c r="S1" s="9" t="s">
        <v>8</v>
      </c>
      <c r="T1" s="3" t="s">
        <v>9</v>
      </c>
      <c r="U1" s="25" t="s">
        <v>16</v>
      </c>
      <c r="V1" s="25" t="s">
        <v>17</v>
      </c>
      <c r="W1" s="57" t="s">
        <v>19</v>
      </c>
      <c r="X1" s="57" t="s">
        <v>18</v>
      </c>
      <c r="Y1" s="57" t="s">
        <v>20</v>
      </c>
      <c r="Z1" s="56" t="s">
        <v>21</v>
      </c>
      <c r="AA1" s="56" t="s">
        <v>22</v>
      </c>
      <c r="AB1" s="56" t="s">
        <v>23</v>
      </c>
      <c r="AC1" s="3" t="s">
        <v>10</v>
      </c>
    </row>
    <row r="2" spans="1:29" ht="15" customHeight="1" x14ac:dyDescent="0.25">
      <c r="A2" s="11" t="s">
        <v>11</v>
      </c>
      <c r="B2" s="2">
        <v>1</v>
      </c>
      <c r="C2" s="2">
        <v>2018</v>
      </c>
      <c r="D2" s="5">
        <v>425000</v>
      </c>
      <c r="E2" s="16">
        <f>36179.8/D2</f>
        <v>8.5128941176470602E-2</v>
      </c>
      <c r="F2" s="17">
        <v>339000</v>
      </c>
      <c r="G2" s="18">
        <f>28332.16/F2</f>
        <v>8.3575693215339239E-2</v>
      </c>
      <c r="H2" s="28">
        <v>11340</v>
      </c>
      <c r="I2" s="29">
        <f>1129.99/H2</f>
        <v>9.9646384479717812E-2</v>
      </c>
      <c r="J2" s="19"/>
      <c r="K2" s="20"/>
      <c r="L2" s="41">
        <v>9114.42</v>
      </c>
      <c r="M2" s="41"/>
      <c r="N2" s="41"/>
      <c r="O2" s="5">
        <f>1971000+9000</f>
        <v>1980000</v>
      </c>
      <c r="P2" s="36">
        <v>1.06E-2</v>
      </c>
      <c r="Q2" s="41"/>
      <c r="R2" s="41"/>
      <c r="S2" s="5">
        <v>7379</v>
      </c>
      <c r="T2" s="7">
        <v>2.8439999999999999</v>
      </c>
      <c r="U2" s="41"/>
      <c r="V2" s="41"/>
      <c r="W2" s="41"/>
      <c r="X2" s="41"/>
      <c r="Y2" s="41"/>
      <c r="Z2" s="41"/>
      <c r="AA2" s="41"/>
      <c r="AB2" s="41"/>
      <c r="AC2" s="5"/>
    </row>
    <row r="3" spans="1:29" ht="15" customHeight="1" x14ac:dyDescent="0.25">
      <c r="A3" s="11" t="s">
        <v>11</v>
      </c>
      <c r="B3" s="2">
        <v>2</v>
      </c>
      <c r="C3" s="2">
        <v>2018</v>
      </c>
      <c r="D3" s="5">
        <v>435000</v>
      </c>
      <c r="E3" s="7">
        <f>37197.22/D3</f>
        <v>8.5510850574712652E-2</v>
      </c>
      <c r="F3" s="17">
        <v>327000</v>
      </c>
      <c r="G3" s="18">
        <f>27332.38/F3</f>
        <v>8.3585259938837919E-2</v>
      </c>
      <c r="H3" s="28">
        <v>10800</v>
      </c>
      <c r="I3" s="29">
        <f>1078.96/H3</f>
        <v>9.9903703703703703E-2</v>
      </c>
      <c r="J3" s="19"/>
      <c r="K3" s="20"/>
      <c r="L3" s="41">
        <v>9109.77</v>
      </c>
      <c r="M3" s="41"/>
      <c r="N3" s="41"/>
      <c r="O3" s="5">
        <v>1678000</v>
      </c>
      <c r="P3" s="36">
        <v>1.074E-2</v>
      </c>
      <c r="Q3" s="41"/>
      <c r="R3" s="41"/>
      <c r="S3" s="5">
        <v>6862</v>
      </c>
      <c r="T3" s="7">
        <v>2.8439999999999999</v>
      </c>
      <c r="U3" s="41"/>
      <c r="V3" s="41"/>
      <c r="W3" s="41"/>
      <c r="X3" s="41"/>
      <c r="Y3" s="41"/>
      <c r="Z3" s="41"/>
      <c r="AA3" s="41"/>
      <c r="AB3" s="41"/>
      <c r="AC3" s="5"/>
    </row>
    <row r="4" spans="1:29" ht="15" customHeight="1" x14ac:dyDescent="0.25">
      <c r="A4" s="11" t="s">
        <v>11</v>
      </c>
      <c r="B4" s="2">
        <v>3</v>
      </c>
      <c r="C4" s="2">
        <v>2018</v>
      </c>
      <c r="D4" s="5">
        <v>391000</v>
      </c>
      <c r="E4" s="7">
        <f>33957.55/D4</f>
        <v>8.6847953964194383E-2</v>
      </c>
      <c r="F4" s="17">
        <v>281000</v>
      </c>
      <c r="G4" s="18">
        <f>23986.39/F4</f>
        <v>8.5360818505338082E-2</v>
      </c>
      <c r="H4" s="28">
        <v>9960</v>
      </c>
      <c r="I4" s="29">
        <f>995.66/H4</f>
        <v>9.9965863453815251E-2</v>
      </c>
      <c r="J4" s="19"/>
      <c r="K4" s="20"/>
      <c r="L4" s="41">
        <v>8183.78</v>
      </c>
      <c r="M4" s="41"/>
      <c r="N4" s="41"/>
      <c r="O4" s="5">
        <v>2005000</v>
      </c>
      <c r="P4" s="36">
        <v>1.055E-2</v>
      </c>
      <c r="Q4" s="41"/>
      <c r="R4" s="41"/>
      <c r="S4" s="5">
        <v>6339</v>
      </c>
      <c r="T4" s="7">
        <v>2.5474000000000001</v>
      </c>
      <c r="U4" s="41"/>
      <c r="V4" s="41"/>
      <c r="W4" s="41"/>
      <c r="X4" s="41"/>
      <c r="Y4" s="41"/>
      <c r="Z4" s="41"/>
      <c r="AA4" s="41"/>
      <c r="AB4" s="41"/>
      <c r="AC4" s="5"/>
    </row>
    <row r="5" spans="1:29" ht="15" customHeight="1" x14ac:dyDescent="0.25">
      <c r="A5" s="11" t="s">
        <v>11</v>
      </c>
      <c r="B5" s="2">
        <v>4</v>
      </c>
      <c r="C5" s="2">
        <v>2018</v>
      </c>
      <c r="D5" s="5">
        <v>411000</v>
      </c>
      <c r="E5" s="7">
        <f>35082.08/D5</f>
        <v>8.5357858880778598E-2</v>
      </c>
      <c r="F5" s="17">
        <v>289000</v>
      </c>
      <c r="G5" s="18">
        <f>24417.63/F5</f>
        <v>8.4490069204152252E-2</v>
      </c>
      <c r="H5" s="28">
        <v>8940</v>
      </c>
      <c r="I5" s="29">
        <f>889.57/H5</f>
        <v>9.950447427293066E-2</v>
      </c>
      <c r="J5" s="19"/>
      <c r="K5" s="20"/>
      <c r="L5" s="41">
        <v>8385.07</v>
      </c>
      <c r="M5" s="41"/>
      <c r="N5" s="41"/>
      <c r="O5" s="5">
        <v>1535000</v>
      </c>
      <c r="P5" s="36">
        <v>1.167E-2</v>
      </c>
      <c r="Q5" s="41"/>
      <c r="R5" s="41"/>
      <c r="S5" s="5">
        <v>4788</v>
      </c>
      <c r="T5" s="7">
        <v>2.4205000000000001</v>
      </c>
      <c r="U5" s="41"/>
      <c r="V5" s="41"/>
      <c r="W5" s="41"/>
      <c r="X5" s="41"/>
      <c r="Y5" s="41"/>
      <c r="Z5" s="41"/>
      <c r="AA5" s="41"/>
      <c r="AB5" s="41"/>
      <c r="AC5" s="5"/>
    </row>
    <row r="6" spans="1:29" ht="15" customHeight="1" x14ac:dyDescent="0.25">
      <c r="A6" s="11" t="s">
        <v>11</v>
      </c>
      <c r="B6" s="2">
        <v>5</v>
      </c>
      <c r="C6" s="2">
        <v>2018</v>
      </c>
      <c r="D6" s="5">
        <v>338000</v>
      </c>
      <c r="E6" s="7">
        <f>29689.19/D6</f>
        <v>8.7837840236686393E-2</v>
      </c>
      <c r="F6" s="17">
        <v>223000</v>
      </c>
      <c r="G6" s="18">
        <f>19507.36/F6</f>
        <v>8.7476950672645742E-2</v>
      </c>
      <c r="H6" s="28">
        <v>3060</v>
      </c>
      <c r="I6" s="29">
        <f>318.51/H6</f>
        <v>0.10408823529411765</v>
      </c>
      <c r="J6" s="19"/>
      <c r="K6" s="20"/>
      <c r="L6" s="41">
        <v>6875.2</v>
      </c>
      <c r="M6" s="41"/>
      <c r="N6" s="41"/>
      <c r="O6" s="5">
        <v>1416000</v>
      </c>
      <c r="P6" s="36">
        <v>1.2290000000000001E-2</v>
      </c>
      <c r="Q6" s="41"/>
      <c r="R6" s="41"/>
      <c r="S6" s="5">
        <v>3854</v>
      </c>
      <c r="T6" s="7">
        <v>2.4807999999999999</v>
      </c>
      <c r="U6" s="41"/>
      <c r="V6" s="41"/>
      <c r="W6" s="41"/>
      <c r="X6" s="41"/>
      <c r="Y6" s="41"/>
      <c r="Z6" s="41"/>
      <c r="AA6" s="41"/>
      <c r="AB6" s="41"/>
      <c r="AC6" s="5"/>
    </row>
    <row r="7" spans="1:29" ht="15" customHeight="1" x14ac:dyDescent="0.25">
      <c r="A7" s="11" t="s">
        <v>11</v>
      </c>
      <c r="B7" s="2">
        <v>6</v>
      </c>
      <c r="C7" s="2">
        <v>2018</v>
      </c>
      <c r="D7" s="5">
        <v>386000</v>
      </c>
      <c r="E7" s="7">
        <f>32875.46/D7</f>
        <v>8.5169585492227973E-2</v>
      </c>
      <c r="F7" s="17">
        <v>248000</v>
      </c>
      <c r="G7" s="18">
        <f>21208.68/F7</f>
        <v>8.5518870967741939E-2</v>
      </c>
      <c r="H7" s="28">
        <v>2820</v>
      </c>
      <c r="I7" s="29">
        <f>292.97/H7</f>
        <v>0.10389007092198582</v>
      </c>
      <c r="J7" s="19"/>
      <c r="K7" s="20"/>
      <c r="L7" s="41">
        <v>7550.28</v>
      </c>
      <c r="M7" s="41"/>
      <c r="N7" s="41"/>
      <c r="O7" s="5">
        <v>1962000</v>
      </c>
      <c r="P7" s="36">
        <v>1.0120000000000001E-2</v>
      </c>
      <c r="Q7" s="41"/>
      <c r="R7" s="41"/>
      <c r="S7" s="5">
        <v>3536</v>
      </c>
      <c r="T7" s="7">
        <v>2.4628000000000001</v>
      </c>
      <c r="U7" s="41"/>
      <c r="V7" s="41"/>
      <c r="W7" s="41"/>
      <c r="X7" s="41"/>
      <c r="Y7" s="41"/>
      <c r="Z7" s="41"/>
      <c r="AA7" s="41"/>
      <c r="AB7" s="41"/>
      <c r="AC7" s="5"/>
    </row>
    <row r="8" spans="1:29" ht="15" customHeight="1" x14ac:dyDescent="0.25">
      <c r="A8" s="11" t="s">
        <v>11</v>
      </c>
      <c r="B8" s="2">
        <v>7</v>
      </c>
      <c r="C8" s="2">
        <v>2018</v>
      </c>
      <c r="D8" s="5">
        <v>405000</v>
      </c>
      <c r="E8" s="7">
        <f>34602.67/D8</f>
        <v>8.543869135802469E-2</v>
      </c>
      <c r="F8" s="17">
        <v>270000</v>
      </c>
      <c r="G8" s="18">
        <f>23169.43/F8</f>
        <v>8.581270370370371E-2</v>
      </c>
      <c r="H8" s="28">
        <v>2280</v>
      </c>
      <c r="I8" s="29">
        <f>238.97/H8</f>
        <v>0.10481140350877192</v>
      </c>
      <c r="J8" s="19"/>
      <c r="K8" s="20"/>
      <c r="L8" s="41">
        <v>8054.84</v>
      </c>
      <c r="M8" s="41"/>
      <c r="N8" s="41"/>
      <c r="O8" s="5">
        <v>2476000</v>
      </c>
      <c r="P8" s="36">
        <v>8.9540000000000002E-3</v>
      </c>
      <c r="Q8" s="41"/>
      <c r="R8" s="41"/>
      <c r="S8" s="5">
        <v>3601</v>
      </c>
      <c r="T8" s="7">
        <v>2.5691000000000002</v>
      </c>
      <c r="U8" s="41"/>
      <c r="V8" s="41"/>
      <c r="W8" s="41"/>
      <c r="X8" s="41"/>
      <c r="Y8" s="41"/>
      <c r="Z8" s="41"/>
      <c r="AA8" s="41"/>
      <c r="AB8" s="41"/>
      <c r="AC8" s="33">
        <v>3424</v>
      </c>
    </row>
    <row r="9" spans="1:29" ht="15" customHeight="1" x14ac:dyDescent="0.25">
      <c r="A9" s="11" t="s">
        <v>11</v>
      </c>
      <c r="B9" s="2">
        <v>8</v>
      </c>
      <c r="C9" s="2">
        <v>2018</v>
      </c>
      <c r="D9" s="5">
        <v>431000</v>
      </c>
      <c r="E9" s="7">
        <f>35855.77/D9</f>
        <v>8.3192041763341065E-2</v>
      </c>
      <c r="F9" s="17">
        <v>280000</v>
      </c>
      <c r="G9" s="18">
        <f>23257.48/F9</f>
        <v>8.3062428571428565E-2</v>
      </c>
      <c r="H9" s="28">
        <v>2280</v>
      </c>
      <c r="I9" s="29">
        <f>235.89/H9</f>
        <v>0.10346052631578946</v>
      </c>
      <c r="J9" s="19"/>
      <c r="K9" s="20"/>
      <c r="L9" s="41">
        <v>8240.65</v>
      </c>
      <c r="M9" s="41"/>
      <c r="N9" s="41"/>
      <c r="O9" s="5">
        <v>2080000</v>
      </c>
      <c r="P9" s="36">
        <v>9.7999999999999997E-3</v>
      </c>
      <c r="Q9" s="41"/>
      <c r="R9" s="41"/>
      <c r="S9" s="5">
        <v>3685</v>
      </c>
      <c r="T9" s="7">
        <v>2.6480999999999999</v>
      </c>
      <c r="U9" s="41"/>
      <c r="V9" s="41"/>
      <c r="W9" s="41"/>
      <c r="X9" s="41"/>
      <c r="Y9" s="41"/>
      <c r="Z9" s="41"/>
      <c r="AA9" s="41"/>
      <c r="AB9" s="41"/>
      <c r="AC9" s="33">
        <v>3421</v>
      </c>
    </row>
    <row r="10" spans="1:29" ht="15" customHeight="1" x14ac:dyDescent="0.25">
      <c r="A10" s="11" t="s">
        <v>11</v>
      </c>
      <c r="B10" s="2">
        <v>9</v>
      </c>
      <c r="C10" s="2">
        <v>2018</v>
      </c>
      <c r="D10" s="5">
        <v>414000</v>
      </c>
      <c r="E10" s="7">
        <f>34189.8/D10</f>
        <v>8.2584057971014493E-2</v>
      </c>
      <c r="F10" s="17">
        <v>261000</v>
      </c>
      <c r="G10" s="18">
        <f>21698.41/F10</f>
        <v>8.3135670498084291E-2</v>
      </c>
      <c r="H10" s="28">
        <v>2160</v>
      </c>
      <c r="I10" s="29">
        <f>221.03/H10</f>
        <v>0.1023287037037037</v>
      </c>
      <c r="J10" s="19"/>
      <c r="K10" s="20"/>
      <c r="L10" s="41">
        <v>7790.78</v>
      </c>
      <c r="M10" s="41"/>
      <c r="N10" s="41"/>
      <c r="O10" s="5">
        <v>1724000</v>
      </c>
      <c r="P10" s="36">
        <v>1.089E-2</v>
      </c>
      <c r="Q10" s="41"/>
      <c r="R10" s="41"/>
      <c r="S10" s="5">
        <v>3734</v>
      </c>
      <c r="T10" s="7">
        <v>2.6023999999999998</v>
      </c>
      <c r="U10" s="41"/>
      <c r="V10" s="41"/>
      <c r="W10" s="41"/>
      <c r="X10" s="41"/>
      <c r="Y10" s="41"/>
      <c r="Z10" s="41"/>
      <c r="AA10" s="41"/>
      <c r="AB10" s="41"/>
      <c r="AC10" s="33">
        <v>2598</v>
      </c>
    </row>
    <row r="11" spans="1:29" ht="15" customHeight="1" x14ac:dyDescent="0.25">
      <c r="A11" s="11" t="s">
        <v>11</v>
      </c>
      <c r="B11" s="2">
        <v>10</v>
      </c>
      <c r="C11" s="2">
        <v>2018</v>
      </c>
      <c r="D11" s="5">
        <v>361000</v>
      </c>
      <c r="E11" s="7">
        <f>31441.68/D11</f>
        <v>8.7096066481994458E-2</v>
      </c>
      <c r="F11" s="17">
        <v>226000</v>
      </c>
      <c r="G11" s="18">
        <f>19813.2/F11</f>
        <v>8.7669026548672563E-2</v>
      </c>
      <c r="H11" s="28">
        <v>2460</v>
      </c>
      <c r="I11" s="29">
        <f>257.7/H11</f>
        <v>0.10475609756097561</v>
      </c>
      <c r="J11" s="19"/>
      <c r="K11" s="20"/>
      <c r="L11" s="41">
        <v>7152.55</v>
      </c>
      <c r="M11" s="41"/>
      <c r="N11" s="41"/>
      <c r="O11" s="5">
        <v>1671000</v>
      </c>
      <c r="P11" s="36">
        <v>1.1095000000000001E-2</v>
      </c>
      <c r="Q11" s="41"/>
      <c r="R11" s="41"/>
      <c r="S11" s="8">
        <v>4936</v>
      </c>
      <c r="T11" s="7">
        <v>2.6414</v>
      </c>
      <c r="U11" s="41"/>
      <c r="V11" s="41"/>
      <c r="W11" s="41"/>
      <c r="X11" s="41"/>
      <c r="Y11" s="41"/>
      <c r="Z11" s="41"/>
      <c r="AA11" s="41"/>
      <c r="AB11" s="41"/>
      <c r="AC11" s="33">
        <v>2429</v>
      </c>
    </row>
    <row r="12" spans="1:29" ht="15" customHeight="1" x14ac:dyDescent="0.25">
      <c r="A12" s="11" t="s">
        <v>11</v>
      </c>
      <c r="B12" s="2">
        <v>11</v>
      </c>
      <c r="C12" s="2">
        <v>2018</v>
      </c>
      <c r="D12" s="5">
        <v>354000</v>
      </c>
      <c r="E12" s="7">
        <f>29837.17/D12</f>
        <v>8.4285790960451967E-2</v>
      </c>
      <c r="F12" s="17">
        <v>236000</v>
      </c>
      <c r="G12" s="18">
        <f>19876.34/F12</f>
        <v>8.4221779661016946E-2</v>
      </c>
      <c r="H12" s="28">
        <v>6660</v>
      </c>
      <c r="I12" s="29">
        <f>653.83/H12</f>
        <v>9.8172672672672684E-2</v>
      </c>
      <c r="J12" s="19"/>
      <c r="K12" s="20"/>
      <c r="L12" s="41">
        <v>6993.53</v>
      </c>
      <c r="M12" s="41"/>
      <c r="N12" s="41"/>
      <c r="O12" s="5">
        <v>1482000</v>
      </c>
      <c r="P12" s="36">
        <v>1.193E-2</v>
      </c>
      <c r="Q12" s="41"/>
      <c r="R12" s="41"/>
      <c r="S12" s="8">
        <v>7117</v>
      </c>
      <c r="T12" s="7">
        <v>3.3319000000000001</v>
      </c>
      <c r="U12" s="41"/>
      <c r="V12" s="41"/>
      <c r="W12" s="41"/>
      <c r="X12" s="41"/>
      <c r="Y12" s="41"/>
      <c r="Z12" s="41"/>
      <c r="AA12" s="41"/>
      <c r="AB12" s="41"/>
      <c r="AC12" s="33">
        <v>2334</v>
      </c>
    </row>
    <row r="13" spans="1:29" ht="15" customHeight="1" x14ac:dyDescent="0.25">
      <c r="A13" s="11" t="s">
        <v>11</v>
      </c>
      <c r="B13" s="2">
        <v>12</v>
      </c>
      <c r="C13" s="2">
        <v>2018</v>
      </c>
      <c r="D13" s="5">
        <v>386000</v>
      </c>
      <c r="E13" s="7">
        <f>32927.44/D13</f>
        <v>8.5304248704663216E-2</v>
      </c>
      <c r="F13" s="17">
        <v>272000</v>
      </c>
      <c r="G13" s="18">
        <f>22911.92/F13</f>
        <v>8.423499999999999E-2</v>
      </c>
      <c r="H13" s="28">
        <v>12240</v>
      </c>
      <c r="I13" s="29">
        <f>1214.73/H13</f>
        <v>9.9242647058823533E-2</v>
      </c>
      <c r="J13" s="19">
        <v>1646</v>
      </c>
      <c r="K13" s="20">
        <f>184.8/J13</f>
        <v>0.11227217496962334</v>
      </c>
      <c r="L13" s="41">
        <v>7939.1</v>
      </c>
      <c r="M13" s="41"/>
      <c r="N13" s="41"/>
      <c r="O13" s="5">
        <v>1655000</v>
      </c>
      <c r="P13" s="36">
        <v>1.0984000000000001E-2</v>
      </c>
      <c r="Q13" s="41"/>
      <c r="R13" s="41"/>
      <c r="S13" s="8">
        <v>8589</v>
      </c>
      <c r="T13" s="7">
        <v>5.5473999999999997</v>
      </c>
      <c r="U13" s="41"/>
      <c r="V13" s="41"/>
      <c r="W13" s="41"/>
      <c r="X13" s="41"/>
      <c r="Y13" s="41"/>
      <c r="Z13" s="41"/>
      <c r="AA13" s="41"/>
      <c r="AB13" s="41"/>
      <c r="AC13" s="33">
        <v>3114</v>
      </c>
    </row>
    <row r="14" spans="1:29" ht="15" customHeight="1" x14ac:dyDescent="0.25">
      <c r="A14" s="11" t="s">
        <v>11</v>
      </c>
      <c r="B14" s="2">
        <v>1</v>
      </c>
      <c r="C14" s="2">
        <v>2019</v>
      </c>
      <c r="D14" s="5">
        <v>411000</v>
      </c>
      <c r="E14" s="7">
        <f>34794.03/D14</f>
        <v>8.4657007299270073E-2</v>
      </c>
      <c r="F14" s="17">
        <v>286000</v>
      </c>
      <c r="G14" s="18">
        <f>24203.19/F14</f>
        <v>8.4626538461538461E-2</v>
      </c>
      <c r="H14" s="28">
        <v>14100</v>
      </c>
      <c r="I14" s="29">
        <f>1392.13/H14</f>
        <v>9.8732624113475179E-2</v>
      </c>
      <c r="J14" s="19">
        <v>1685</v>
      </c>
      <c r="K14" s="20">
        <f>188.36/J14</f>
        <v>0.11178635014836796</v>
      </c>
      <c r="L14" s="41">
        <v>8402.52</v>
      </c>
      <c r="M14" s="41"/>
      <c r="N14" s="41"/>
      <c r="O14" s="5">
        <v>1857000</v>
      </c>
      <c r="P14" s="36">
        <v>1.0857E-2</v>
      </c>
      <c r="Q14" s="41"/>
      <c r="R14" s="41"/>
      <c r="S14" s="8">
        <v>8307</v>
      </c>
      <c r="T14" s="7">
        <v>3.4205000000000001</v>
      </c>
      <c r="U14" s="41"/>
      <c r="V14" s="41"/>
      <c r="W14" s="41"/>
      <c r="X14" s="41"/>
      <c r="Y14" s="41"/>
      <c r="Z14" s="41"/>
      <c r="AA14" s="41"/>
      <c r="AB14" s="41"/>
      <c r="AC14" s="33">
        <v>3004</v>
      </c>
    </row>
    <row r="15" spans="1:29" ht="15" customHeight="1" x14ac:dyDescent="0.25">
      <c r="A15" s="11" t="s">
        <v>11</v>
      </c>
      <c r="B15" s="2">
        <v>2</v>
      </c>
      <c r="C15" s="2">
        <v>2019</v>
      </c>
      <c r="D15" s="5">
        <v>413000</v>
      </c>
      <c r="E15" s="7">
        <f>34735.11/D15</f>
        <v>8.4104382566585964E-2</v>
      </c>
      <c r="F15" s="17">
        <v>293000</v>
      </c>
      <c r="G15" s="18">
        <f>24270.08/F15</f>
        <v>8.2833037542662122E-2</v>
      </c>
      <c r="H15" s="28">
        <v>12660</v>
      </c>
      <c r="I15" s="29">
        <f>1244.82/H15</f>
        <v>9.8327014218009476E-2</v>
      </c>
      <c r="J15" s="19">
        <v>2456</v>
      </c>
      <c r="K15" s="20">
        <f>269.16/J15</f>
        <v>0.10959283387622151</v>
      </c>
      <c r="L15" s="41">
        <v>8390.67</v>
      </c>
      <c r="M15" s="41"/>
      <c r="N15" s="41"/>
      <c r="O15" s="5">
        <v>1872000</v>
      </c>
      <c r="P15" s="36">
        <v>1.0847000000000001E-2</v>
      </c>
      <c r="Q15" s="41"/>
      <c r="R15" s="41"/>
      <c r="S15" s="8">
        <v>7508</v>
      </c>
      <c r="T15" s="7">
        <v>2.8879000000000001</v>
      </c>
      <c r="U15" s="41"/>
      <c r="V15" s="41"/>
      <c r="W15" s="41"/>
      <c r="X15" s="41"/>
      <c r="Y15" s="41"/>
      <c r="Z15" s="41"/>
      <c r="AA15" s="41"/>
      <c r="AB15" s="41"/>
      <c r="AC15" s="33">
        <v>2725</v>
      </c>
    </row>
    <row r="16" spans="1:29" ht="15" customHeight="1" x14ac:dyDescent="0.25">
      <c r="A16" s="11" t="s">
        <v>11</v>
      </c>
      <c r="B16" s="2">
        <v>3</v>
      </c>
      <c r="C16" s="2">
        <v>2019</v>
      </c>
      <c r="D16" s="5">
        <v>394000</v>
      </c>
      <c r="E16" s="7">
        <f>33401/D16</f>
        <v>8.4774111675126898E-2</v>
      </c>
      <c r="F16" s="17">
        <v>239000</v>
      </c>
      <c r="G16" s="18">
        <f>19980.95/F16</f>
        <v>8.3602301255230133E-2</v>
      </c>
      <c r="H16" s="28">
        <v>12060</v>
      </c>
      <c r="I16" s="29">
        <f>1187.64/H16</f>
        <v>9.8477611940298512E-2</v>
      </c>
      <c r="J16" s="19">
        <v>2292</v>
      </c>
      <c r="K16" s="20">
        <f>252.02/J16</f>
        <v>0.109956369982548</v>
      </c>
      <c r="L16" s="41">
        <v>7600.35</v>
      </c>
      <c r="M16" s="41"/>
      <c r="N16" s="41"/>
      <c r="O16" s="5">
        <v>1397000</v>
      </c>
      <c r="P16" s="36">
        <v>1.12E-2</v>
      </c>
      <c r="Q16" s="41"/>
      <c r="R16" s="41"/>
      <c r="S16" s="8">
        <v>7439</v>
      </c>
      <c r="T16" s="7">
        <v>3.1124999999999998</v>
      </c>
      <c r="U16" s="41"/>
      <c r="V16" s="41"/>
      <c r="W16" s="41"/>
      <c r="X16" s="41"/>
      <c r="Y16" s="41"/>
      <c r="Z16" s="41"/>
      <c r="AA16" s="41"/>
      <c r="AB16" s="41"/>
      <c r="AC16" s="33">
        <v>3438</v>
      </c>
    </row>
    <row r="17" spans="1:29" ht="15" customHeight="1" x14ac:dyDescent="0.25">
      <c r="A17" s="11" t="s">
        <v>11</v>
      </c>
      <c r="B17" s="2">
        <v>4</v>
      </c>
      <c r="C17" s="2">
        <v>2019</v>
      </c>
      <c r="D17" s="5">
        <v>397000</v>
      </c>
      <c r="E17" s="7">
        <f>32514.76/D17</f>
        <v>8.1901158690176321E-2</v>
      </c>
      <c r="F17" s="17">
        <v>237000</v>
      </c>
      <c r="G17" s="18">
        <f>19588.83/F17</f>
        <v>8.2653291139240512E-2</v>
      </c>
      <c r="H17" s="28">
        <v>11640</v>
      </c>
      <c r="I17" s="29">
        <f>1118.68/H17</f>
        <v>9.6106529209621996E-2</v>
      </c>
      <c r="J17" s="19">
        <v>1688</v>
      </c>
      <c r="K17" s="20">
        <f>183.91/J17</f>
        <v>0.10895142180094787</v>
      </c>
      <c r="L17" s="41">
        <v>7406.97</v>
      </c>
      <c r="M17" s="41"/>
      <c r="N17" s="41"/>
      <c r="O17" s="5">
        <v>1462000</v>
      </c>
      <c r="P17" s="36">
        <v>1.1950000000000001E-2</v>
      </c>
      <c r="Q17" s="41"/>
      <c r="R17" s="41"/>
      <c r="S17" s="8">
        <v>5317</v>
      </c>
      <c r="T17" s="7">
        <v>2.6638999999999999</v>
      </c>
      <c r="U17" s="41"/>
      <c r="V17" s="41"/>
      <c r="W17" s="41"/>
      <c r="X17" s="41"/>
      <c r="Y17" s="41"/>
      <c r="Z17" s="41"/>
      <c r="AA17" s="41"/>
      <c r="AB17" s="41"/>
      <c r="AC17" s="33">
        <v>1517</v>
      </c>
    </row>
    <row r="18" spans="1:29" ht="15" customHeight="1" x14ac:dyDescent="0.25">
      <c r="A18" s="11" t="s">
        <v>11</v>
      </c>
      <c r="B18" s="2">
        <v>5</v>
      </c>
      <c r="C18" s="2">
        <v>2019</v>
      </c>
      <c r="D18" s="5">
        <v>346000</v>
      </c>
      <c r="E18" s="7">
        <f>29400.75/D18</f>
        <v>8.4973265895953762E-2</v>
      </c>
      <c r="F18" s="17">
        <v>213000</v>
      </c>
      <c r="G18" s="18">
        <f>18669.84/F18</f>
        <v>8.7651830985915488E-2</v>
      </c>
      <c r="H18" s="28">
        <v>5520</v>
      </c>
      <c r="I18" s="29">
        <f>552.31/H18</f>
        <v>0.10005615942028985</v>
      </c>
      <c r="J18" s="19">
        <v>1044</v>
      </c>
      <c r="K18" s="20">
        <f>120/J18</f>
        <v>0.11494252873563218</v>
      </c>
      <c r="L18" s="41">
        <v>6762.43</v>
      </c>
      <c r="M18" s="41"/>
      <c r="N18" s="41"/>
      <c r="O18" s="5">
        <v>1295000</v>
      </c>
      <c r="P18" s="36">
        <v>1.2884E-2</v>
      </c>
      <c r="Q18" s="41"/>
      <c r="R18" s="41"/>
      <c r="S18" s="8">
        <v>4671</v>
      </c>
      <c r="T18" s="7">
        <v>2.4548000000000001</v>
      </c>
      <c r="U18" s="41"/>
      <c r="V18" s="41"/>
      <c r="W18" s="41"/>
      <c r="X18" s="41"/>
      <c r="Y18" s="41"/>
      <c r="Z18" s="41"/>
      <c r="AA18" s="41"/>
      <c r="AB18" s="41"/>
      <c r="AC18" s="33">
        <v>873</v>
      </c>
    </row>
    <row r="19" spans="1:29" ht="15" customHeight="1" x14ac:dyDescent="0.25">
      <c r="A19" s="11" t="s">
        <v>11</v>
      </c>
      <c r="B19" s="2">
        <v>6</v>
      </c>
      <c r="C19" s="2">
        <v>2019</v>
      </c>
      <c r="D19" s="5">
        <v>353000</v>
      </c>
      <c r="E19" s="7">
        <f>30015.61/D19</f>
        <v>8.5030056657223796E-2</v>
      </c>
      <c r="F19" s="17">
        <v>223000</v>
      </c>
      <c r="G19" s="18">
        <f>19698.81/F19</f>
        <v>8.8335470852017942E-2</v>
      </c>
      <c r="H19" s="28">
        <v>4380</v>
      </c>
      <c r="I19" s="29">
        <f>443.38/H19</f>
        <v>0.10122831050228311</v>
      </c>
      <c r="J19" s="19">
        <v>863</v>
      </c>
      <c r="K19" s="20">
        <f>101.25/J19</f>
        <v>0.11732329084588644</v>
      </c>
      <c r="L19" s="41">
        <v>6973.83</v>
      </c>
      <c r="M19" s="41"/>
      <c r="N19" s="41"/>
      <c r="O19" s="5">
        <v>2167000</v>
      </c>
      <c r="P19" s="36">
        <v>9.5580000000000005E-3</v>
      </c>
      <c r="Q19" s="41"/>
      <c r="R19" s="41"/>
      <c r="S19" s="8">
        <v>3370</v>
      </c>
      <c r="T19" s="7">
        <v>2.5390999999999999</v>
      </c>
      <c r="U19" s="41"/>
      <c r="V19" s="41"/>
      <c r="W19" s="41"/>
      <c r="X19" s="41"/>
      <c r="Y19" s="41"/>
      <c r="Z19" s="41"/>
      <c r="AA19" s="41"/>
      <c r="AB19" s="41"/>
      <c r="AC19" s="33">
        <v>1881</v>
      </c>
    </row>
    <row r="20" spans="1:29" ht="15" customHeight="1" x14ac:dyDescent="0.25">
      <c r="A20" s="11" t="s">
        <v>11</v>
      </c>
      <c r="B20" s="2">
        <v>7</v>
      </c>
      <c r="C20" s="2">
        <v>2019</v>
      </c>
      <c r="D20" s="5">
        <v>345000</v>
      </c>
      <c r="E20" s="7">
        <f>29046.42/D20</f>
        <v>8.419252173913043E-2</v>
      </c>
      <c r="F20" s="17">
        <v>231000</v>
      </c>
      <c r="G20" s="18">
        <f>19980.05/F20</f>
        <v>8.6493722943722942E-2</v>
      </c>
      <c r="H20" s="28">
        <v>3720</v>
      </c>
      <c r="I20" s="29">
        <f>376.97/H20</f>
        <v>0.10133602150537635</v>
      </c>
      <c r="J20" s="19">
        <v>560</v>
      </c>
      <c r="K20" s="20">
        <f>68.62/J20</f>
        <v>0.12253571428571429</v>
      </c>
      <c r="L20" s="41">
        <v>7413.02</v>
      </c>
      <c r="M20" s="41"/>
      <c r="N20" s="41"/>
      <c r="O20" s="5">
        <v>2590000</v>
      </c>
      <c r="P20" s="36">
        <v>9.1190000000000004E-3</v>
      </c>
      <c r="Q20" s="41"/>
      <c r="R20" s="41"/>
      <c r="S20" s="8">
        <v>3285</v>
      </c>
      <c r="T20" s="7">
        <v>2.4491999999999998</v>
      </c>
      <c r="U20" s="41"/>
      <c r="V20" s="41"/>
      <c r="W20" s="41"/>
      <c r="X20" s="41"/>
      <c r="Y20" s="41"/>
      <c r="Z20" s="41"/>
      <c r="AA20" s="41"/>
      <c r="AB20" s="41"/>
      <c r="AC20" s="33">
        <v>2425</v>
      </c>
    </row>
    <row r="21" spans="1:29" ht="15" customHeight="1" x14ac:dyDescent="0.25">
      <c r="A21" s="11" t="s">
        <v>11</v>
      </c>
      <c r="B21" s="2">
        <v>8</v>
      </c>
      <c r="C21" s="2">
        <v>2019</v>
      </c>
      <c r="D21" s="5">
        <v>386000</v>
      </c>
      <c r="E21" s="7">
        <f>32476.89/D21</f>
        <v>8.4137020725388603E-2</v>
      </c>
      <c r="F21" s="17">
        <v>254000</v>
      </c>
      <c r="G21" s="18">
        <f>21631.11/F21</f>
        <v>8.5161850393700791E-2</v>
      </c>
      <c r="H21" s="28">
        <v>2760</v>
      </c>
      <c r="I21" s="29">
        <f>280.2/H21</f>
        <v>0.10152173913043477</v>
      </c>
      <c r="J21" s="19">
        <v>353</v>
      </c>
      <c r="K21" s="20">
        <f>49.07/J21</f>
        <v>0.1390084985835694</v>
      </c>
      <c r="L21" s="41">
        <v>8158.23</v>
      </c>
      <c r="M21" s="41"/>
      <c r="N21" s="41"/>
      <c r="O21" s="5">
        <v>1783000</v>
      </c>
      <c r="P21" s="36">
        <v>1.0619999999999999E-2</v>
      </c>
      <c r="Q21" s="41"/>
      <c r="R21" s="41"/>
      <c r="S21" s="8">
        <v>3315</v>
      </c>
      <c r="T21" s="7">
        <v>2.5082</v>
      </c>
      <c r="U21" s="41"/>
      <c r="V21" s="41"/>
      <c r="W21" s="41"/>
      <c r="X21" s="41"/>
      <c r="Y21" s="41"/>
      <c r="Z21" s="41"/>
      <c r="AA21" s="41"/>
      <c r="AB21" s="41"/>
      <c r="AC21" s="33">
        <v>2511</v>
      </c>
    </row>
    <row r="22" spans="1:29" ht="15" customHeight="1" x14ac:dyDescent="0.25">
      <c r="A22" s="11" t="s">
        <v>11</v>
      </c>
      <c r="B22" s="2">
        <v>9</v>
      </c>
      <c r="C22" s="2">
        <v>2019</v>
      </c>
      <c r="D22" s="5">
        <v>373000</v>
      </c>
      <c r="E22" s="7">
        <f>31826.32/D22</f>
        <v>8.5325254691689001E-2</v>
      </c>
      <c r="F22" s="17">
        <v>232000</v>
      </c>
      <c r="G22" s="18">
        <f>19984.2/F22</f>
        <v>8.6138793103448283E-2</v>
      </c>
      <c r="H22" s="28">
        <v>2580</v>
      </c>
      <c r="I22" s="29">
        <f>262.71/H22</f>
        <v>0.10182558139534884</v>
      </c>
      <c r="J22" s="19">
        <v>642</v>
      </c>
      <c r="K22" s="20">
        <f>79.31/J22</f>
        <v>0.12353582554517134</v>
      </c>
      <c r="L22" s="41">
        <v>7814.35</v>
      </c>
      <c r="M22" s="41"/>
      <c r="N22" s="41"/>
      <c r="O22" s="5">
        <v>1570000</v>
      </c>
      <c r="P22" s="36">
        <v>1.1429999999999999E-2</v>
      </c>
      <c r="Q22" s="41"/>
      <c r="R22" s="41"/>
      <c r="S22" s="8">
        <v>3658</v>
      </c>
      <c r="T22" s="7">
        <v>2.3801000000000001</v>
      </c>
      <c r="U22" s="41"/>
      <c r="V22" s="41"/>
      <c r="W22" s="41"/>
      <c r="X22" s="41"/>
      <c r="Y22" s="41"/>
      <c r="Z22" s="41"/>
      <c r="AA22" s="41"/>
      <c r="AB22" s="41"/>
      <c r="AC22" s="33">
        <v>2000</v>
      </c>
    </row>
    <row r="23" spans="1:29" ht="15" customHeight="1" x14ac:dyDescent="0.25">
      <c r="A23" s="11" t="s">
        <v>11</v>
      </c>
      <c r="B23" s="2">
        <v>10</v>
      </c>
      <c r="C23" s="2">
        <v>2019</v>
      </c>
      <c r="D23" s="5">
        <v>334000</v>
      </c>
      <c r="E23" s="7">
        <f>28889.45/D23</f>
        <v>8.6495359281437131E-2</v>
      </c>
      <c r="F23" s="17">
        <v>246000</v>
      </c>
      <c r="G23" s="18">
        <f>21516.94/F23</f>
        <v>8.7467235772357724E-2</v>
      </c>
      <c r="H23" s="28">
        <v>3360</v>
      </c>
      <c r="I23" s="29">
        <f>335.86/H23</f>
        <v>9.9958333333333343E-2</v>
      </c>
      <c r="J23" s="19">
        <v>1234</v>
      </c>
      <c r="K23" s="20">
        <f>141.08/J23</f>
        <v>0.11432739059967587</v>
      </c>
      <c r="L23" s="41">
        <v>7621.2</v>
      </c>
      <c r="M23" s="41"/>
      <c r="N23" s="41"/>
      <c r="O23" s="5">
        <v>1245000</v>
      </c>
      <c r="P23" s="36">
        <v>1.321E-2</v>
      </c>
      <c r="Q23" s="41"/>
      <c r="R23" s="41"/>
      <c r="S23" s="8">
        <v>6109</v>
      </c>
      <c r="T23" s="7">
        <v>2.2159</v>
      </c>
      <c r="U23" s="41"/>
      <c r="V23" s="41"/>
      <c r="W23" s="41"/>
      <c r="X23" s="41"/>
      <c r="Y23" s="41"/>
      <c r="Z23" s="41"/>
      <c r="AA23" s="41"/>
      <c r="AB23" s="41"/>
      <c r="AC23" s="33">
        <v>1180</v>
      </c>
    </row>
    <row r="24" spans="1:29" ht="15" customHeight="1" x14ac:dyDescent="0.25">
      <c r="A24" s="11" t="s">
        <v>11</v>
      </c>
      <c r="B24" s="2">
        <v>11</v>
      </c>
      <c r="C24" s="2">
        <v>2019</v>
      </c>
      <c r="D24" s="5">
        <v>336000</v>
      </c>
      <c r="E24" s="7">
        <f>28560.83/D24</f>
        <v>8.5002470238095248E-2</v>
      </c>
      <c r="F24" s="17">
        <v>235000</v>
      </c>
      <c r="G24" s="18">
        <f>19813.59/F24</f>
        <v>8.4313148936170215E-2</v>
      </c>
      <c r="H24" s="28">
        <v>6360</v>
      </c>
      <c r="I24" s="29">
        <f>618.32/H24</f>
        <v>9.7220125786163528E-2</v>
      </c>
      <c r="J24" s="19">
        <v>1900</v>
      </c>
      <c r="K24" s="20">
        <f>210.34/J24</f>
        <v>0.11070526315789474</v>
      </c>
      <c r="L24" s="41">
        <v>7366.08</v>
      </c>
      <c r="M24" s="41"/>
      <c r="N24" s="41"/>
      <c r="O24" s="5">
        <v>1597000</v>
      </c>
      <c r="P24" s="36">
        <v>1.132E-2</v>
      </c>
      <c r="Q24" s="41"/>
      <c r="R24" s="41"/>
      <c r="S24" s="8">
        <v>5889</v>
      </c>
      <c r="T24" s="7">
        <v>2.5318999999999998</v>
      </c>
      <c r="U24" s="41"/>
      <c r="V24" s="41"/>
      <c r="W24" s="41"/>
      <c r="X24" s="41"/>
      <c r="Y24" s="41"/>
      <c r="Z24" s="41"/>
      <c r="AA24" s="41"/>
      <c r="AB24" s="41"/>
      <c r="AC24" s="33">
        <v>1291</v>
      </c>
    </row>
    <row r="25" spans="1:29" ht="15" customHeight="1" x14ac:dyDescent="0.25">
      <c r="A25" s="11" t="s">
        <v>11</v>
      </c>
      <c r="B25" s="2">
        <v>12</v>
      </c>
      <c r="C25" s="2">
        <v>2019</v>
      </c>
      <c r="D25" s="5">
        <v>352000</v>
      </c>
      <c r="E25" s="7">
        <f>30084.01/D25</f>
        <v>8.5465937499999992E-2</v>
      </c>
      <c r="F25" s="17">
        <v>208000</v>
      </c>
      <c r="G25" s="18">
        <f>17407.05/F25</f>
        <v>8.3687740384615378E-2</v>
      </c>
      <c r="H25" s="22">
        <v>10620</v>
      </c>
      <c r="I25" s="23">
        <f>1020.74/H25</f>
        <v>9.6114877589453862E-2</v>
      </c>
      <c r="J25" s="19">
        <v>2138</v>
      </c>
      <c r="K25" s="20">
        <f>235.25/J25</f>
        <v>0.11003274087932648</v>
      </c>
      <c r="L25" s="41">
        <v>7296.56</v>
      </c>
      <c r="M25" s="41"/>
      <c r="N25" s="41"/>
      <c r="O25" s="5">
        <v>1753000</v>
      </c>
      <c r="P25" s="36">
        <v>1.2019999999999999E-2</v>
      </c>
      <c r="Q25" s="41"/>
      <c r="R25" s="41"/>
      <c r="S25" s="8">
        <v>7492</v>
      </c>
      <c r="T25" s="7">
        <v>3.1886999999999999</v>
      </c>
      <c r="U25" s="41"/>
      <c r="V25" s="41"/>
      <c r="W25" s="41"/>
      <c r="X25" s="41"/>
      <c r="Y25" s="41"/>
      <c r="Z25" s="41"/>
      <c r="AA25" s="41"/>
      <c r="AB25" s="41"/>
      <c r="AC25" s="33">
        <v>2825</v>
      </c>
    </row>
    <row r="26" spans="1:29" ht="15" customHeight="1" x14ac:dyDescent="0.25">
      <c r="A26" s="11" t="s">
        <v>11</v>
      </c>
      <c r="B26" s="2">
        <v>1</v>
      </c>
      <c r="C26" s="2">
        <v>2020</v>
      </c>
      <c r="D26" s="30">
        <v>418000</v>
      </c>
      <c r="E26" s="39">
        <f>35136.72/D26</f>
        <v>8.4059138755980867E-2</v>
      </c>
      <c r="F26" s="33">
        <v>224000</v>
      </c>
      <c r="G26" s="40">
        <f>18646.81/F26</f>
        <v>8.3244687500000011E-2</v>
      </c>
      <c r="H26" s="22">
        <v>15420</v>
      </c>
      <c r="I26" s="23">
        <f>1482.9/H26</f>
        <v>9.6167315175097287E-2</v>
      </c>
      <c r="J26" s="19">
        <v>2859</v>
      </c>
      <c r="K26" s="20">
        <f>312.2/J26</f>
        <v>0.10919902063658621</v>
      </c>
      <c r="L26" s="41">
        <v>8317.08</v>
      </c>
      <c r="M26" s="41"/>
      <c r="N26" s="41"/>
      <c r="O26" s="30">
        <v>1366000</v>
      </c>
      <c r="P26" s="37">
        <v>1.2500000000000001E-2</v>
      </c>
      <c r="Q26" s="41"/>
      <c r="R26" s="41"/>
      <c r="S26" s="31">
        <v>8070</v>
      </c>
      <c r="T26" s="39">
        <v>2.9929999999999999</v>
      </c>
      <c r="U26" s="41"/>
      <c r="V26" s="41"/>
      <c r="W26" s="41"/>
      <c r="X26" s="41"/>
      <c r="Y26" s="41"/>
      <c r="Z26" s="41"/>
      <c r="AA26" s="41"/>
      <c r="AB26" s="41"/>
      <c r="AC26" s="33">
        <v>3316</v>
      </c>
    </row>
    <row r="27" spans="1:29" ht="15" customHeight="1" x14ac:dyDescent="0.25">
      <c r="A27" s="11" t="s">
        <v>11</v>
      </c>
      <c r="B27" s="2">
        <v>2</v>
      </c>
      <c r="C27" s="2">
        <v>2020</v>
      </c>
      <c r="D27" s="30">
        <v>404000</v>
      </c>
      <c r="E27" s="39">
        <f>34023.87/D27</f>
        <v>8.4217500000000001E-2</v>
      </c>
      <c r="F27" s="33">
        <v>237000</v>
      </c>
      <c r="G27" s="40">
        <f>19673.35/F27</f>
        <v>8.3009915611814339E-2</v>
      </c>
      <c r="H27" s="22">
        <v>13680</v>
      </c>
      <c r="I27" s="23">
        <f>1314.32/H27</f>
        <v>9.6076023391812856E-2</v>
      </c>
      <c r="J27" s="19">
        <v>2799</v>
      </c>
      <c r="K27" s="20">
        <f>305.23/J27</f>
        <v>0.10904966059306896</v>
      </c>
      <c r="L27" s="41">
        <v>8278.1200000000008</v>
      </c>
      <c r="M27" s="41"/>
      <c r="N27" s="41"/>
      <c r="O27" s="30">
        <v>1235000</v>
      </c>
      <c r="P27" s="37">
        <v>1.2699999999999999E-2</v>
      </c>
      <c r="Q27" s="41"/>
      <c r="R27" s="41"/>
      <c r="S27" s="31">
        <v>7944</v>
      </c>
      <c r="T27" s="39">
        <v>2.4089999999999998</v>
      </c>
      <c r="U27" s="41"/>
      <c r="V27" s="41"/>
      <c r="W27" s="41"/>
      <c r="X27" s="41"/>
      <c r="Y27" s="41"/>
      <c r="Z27" s="41"/>
      <c r="AA27" s="41"/>
      <c r="AB27" s="41"/>
      <c r="AC27" s="33">
        <v>3482</v>
      </c>
    </row>
    <row r="28" spans="1:29" ht="15" customHeight="1" x14ac:dyDescent="0.25">
      <c r="A28" s="11" t="s">
        <v>11</v>
      </c>
      <c r="B28" s="2">
        <v>3</v>
      </c>
      <c r="C28" s="2">
        <v>2020</v>
      </c>
      <c r="D28" s="30">
        <v>364000</v>
      </c>
      <c r="E28" s="39">
        <f>30745.05/D28</f>
        <v>8.4464423076923076E-2</v>
      </c>
      <c r="F28" s="33">
        <v>217000</v>
      </c>
      <c r="G28" s="40">
        <f>17984.65/F28</f>
        <v>8.287857142857144E-2</v>
      </c>
      <c r="H28" s="22">
        <v>11460</v>
      </c>
      <c r="I28" s="23">
        <f>1095.81/H28</f>
        <v>9.5620418848167535E-2</v>
      </c>
      <c r="J28" s="19">
        <v>2583</v>
      </c>
      <c r="K28" s="20">
        <f>280.77/J28</f>
        <v>0.10869918699186991</v>
      </c>
      <c r="L28" s="41">
        <v>7498.2</v>
      </c>
      <c r="M28" s="41"/>
      <c r="N28" s="41"/>
      <c r="O28" s="30">
        <v>1667000</v>
      </c>
      <c r="P28" s="37">
        <v>1.218E-2</v>
      </c>
      <c r="Q28" s="41"/>
      <c r="R28" s="41"/>
      <c r="S28" s="31">
        <v>4994</v>
      </c>
      <c r="T28" s="39">
        <v>2.5870000000000002</v>
      </c>
      <c r="U28" s="41"/>
      <c r="V28" s="41"/>
      <c r="W28" s="41"/>
      <c r="X28" s="41"/>
      <c r="Y28" s="41"/>
      <c r="Z28" s="41"/>
      <c r="AA28" s="41"/>
      <c r="AB28" s="41"/>
      <c r="AC28" s="33">
        <v>1275</v>
      </c>
    </row>
    <row r="29" spans="1:29" ht="15" customHeight="1" x14ac:dyDescent="0.25">
      <c r="A29" s="11" t="s">
        <v>11</v>
      </c>
      <c r="B29" s="2">
        <v>4</v>
      </c>
      <c r="C29" s="2">
        <v>2020</v>
      </c>
      <c r="D29" s="30">
        <v>220000</v>
      </c>
      <c r="E29" s="39">
        <f>19259.09/D29</f>
        <v>8.7541318181818178E-2</v>
      </c>
      <c r="F29" s="33">
        <v>146000</v>
      </c>
      <c r="G29" s="40">
        <f>12567.88/F29</f>
        <v>8.6081369863013693E-2</v>
      </c>
      <c r="H29" s="22">
        <v>4980</v>
      </c>
      <c r="I29" s="23">
        <f>491.1/H29</f>
        <v>9.8614457831325303E-2</v>
      </c>
      <c r="J29" s="19">
        <v>1539</v>
      </c>
      <c r="K29" s="20">
        <f>173.6/J29</f>
        <v>0.11280051981806367</v>
      </c>
      <c r="L29" s="41">
        <v>4862.63</v>
      </c>
      <c r="M29" s="41"/>
      <c r="N29" s="41"/>
      <c r="O29" s="30">
        <v>1253000</v>
      </c>
      <c r="P29" s="37">
        <v>1.37E-2</v>
      </c>
      <c r="Q29" s="41"/>
      <c r="R29" s="41"/>
      <c r="S29" s="31">
        <v>2677</v>
      </c>
      <c r="T29" s="39">
        <v>3.4220000000000002</v>
      </c>
      <c r="U29" s="41"/>
      <c r="V29" s="41"/>
      <c r="W29" s="41"/>
      <c r="X29" s="41"/>
      <c r="Y29" s="41"/>
      <c r="Z29" s="41"/>
      <c r="AA29" s="41"/>
      <c r="AB29" s="41"/>
      <c r="AC29" s="33">
        <v>0</v>
      </c>
    </row>
    <row r="30" spans="1:29" x14ac:dyDescent="0.25">
      <c r="A30" s="11" t="s">
        <v>11</v>
      </c>
      <c r="B30" s="2">
        <v>5</v>
      </c>
      <c r="C30" s="2">
        <v>2020</v>
      </c>
      <c r="D30" s="30">
        <v>154000</v>
      </c>
      <c r="E30" s="39">
        <f>13781.21/D30</f>
        <v>8.9488376623376623E-2</v>
      </c>
      <c r="F30" s="33">
        <v>108000</v>
      </c>
      <c r="G30" s="40">
        <f>9066.79/F30</f>
        <v>8.3951759259259268E-2</v>
      </c>
      <c r="H30" s="22">
        <v>3780</v>
      </c>
      <c r="I30" s="23">
        <f>377.1/H30</f>
        <v>9.9761904761904774E-2</v>
      </c>
      <c r="J30" s="19">
        <v>1292</v>
      </c>
      <c r="K30" s="20">
        <f>147.66/J30</f>
        <v>0.11428792569659442</v>
      </c>
      <c r="L30" s="41">
        <v>3496.84</v>
      </c>
      <c r="M30" s="41"/>
      <c r="N30" s="41"/>
      <c r="O30" s="30">
        <v>2000</v>
      </c>
      <c r="P30" s="37">
        <v>9.2219999999999996E-2</v>
      </c>
      <c r="Q30" s="41"/>
      <c r="R30" s="41"/>
      <c r="S30" s="31">
        <v>2005</v>
      </c>
      <c r="T30" s="39">
        <v>3.4620000000000002</v>
      </c>
      <c r="U30" s="41"/>
      <c r="V30" s="41"/>
      <c r="W30" s="41"/>
      <c r="X30" s="41"/>
      <c r="Y30" s="41"/>
      <c r="Z30" s="41"/>
      <c r="AA30" s="41"/>
      <c r="AB30" s="41"/>
      <c r="AC30" s="33">
        <v>0</v>
      </c>
    </row>
    <row r="31" spans="1:29" x14ac:dyDescent="0.25">
      <c r="A31" s="11" t="s">
        <v>11</v>
      </c>
      <c r="B31" s="2">
        <v>6</v>
      </c>
      <c r="C31" s="2">
        <v>2020</v>
      </c>
      <c r="D31" s="30">
        <v>158000</v>
      </c>
      <c r="E31" s="39">
        <f>13767.71/D31</f>
        <v>8.7137405063291137E-2</v>
      </c>
      <c r="F31" s="33">
        <v>116000</v>
      </c>
      <c r="G31" s="40">
        <f>9724.11/F31</f>
        <v>8.3828534482758621E-2</v>
      </c>
      <c r="H31" s="22">
        <v>3060</v>
      </c>
      <c r="I31" s="23">
        <f>308.7/H31</f>
        <v>0.10088235294117646</v>
      </c>
      <c r="J31" s="19">
        <v>172</v>
      </c>
      <c r="K31" s="20">
        <f>30.06/J31</f>
        <v>0.17476744186046511</v>
      </c>
      <c r="L31" s="41">
        <v>3570.95</v>
      </c>
      <c r="M31" s="41"/>
      <c r="N31" s="41"/>
      <c r="O31" s="30">
        <v>278000</v>
      </c>
      <c r="P31" s="37">
        <v>5.0990000000000001E-2</v>
      </c>
      <c r="Q31" s="41"/>
      <c r="R31" s="41"/>
      <c r="S31" s="31">
        <v>1770</v>
      </c>
      <c r="T31" s="39">
        <v>3.4129999999999998</v>
      </c>
      <c r="U31" s="41"/>
      <c r="V31" s="41"/>
      <c r="W31" s="41"/>
      <c r="X31" s="41"/>
      <c r="Y31" s="41"/>
      <c r="Z31" s="41"/>
      <c r="AA31" s="41"/>
      <c r="AB31" s="41"/>
      <c r="AC31" s="33">
        <v>0</v>
      </c>
    </row>
    <row r="32" spans="1:29" x14ac:dyDescent="0.25">
      <c r="A32" s="11" t="s">
        <v>11</v>
      </c>
      <c r="B32" s="2">
        <v>7</v>
      </c>
      <c r="C32" s="2">
        <v>2020</v>
      </c>
      <c r="D32" s="30">
        <v>233000</v>
      </c>
      <c r="E32" s="39">
        <f>20324.18/D32</f>
        <v>8.7228240343347641E-2</v>
      </c>
      <c r="F32" s="33">
        <v>180000</v>
      </c>
      <c r="G32" s="40">
        <f>15789.19/F32</f>
        <v>8.7717722222222225E-2</v>
      </c>
      <c r="H32" s="22">
        <v>2280</v>
      </c>
      <c r="I32" s="23">
        <f>234.6/H32</f>
        <v>0.10289473684210526</v>
      </c>
      <c r="J32" s="19">
        <v>102</v>
      </c>
      <c r="K32" s="20">
        <f>22.71/J32</f>
        <v>0.22264705882352942</v>
      </c>
      <c r="L32" s="41">
        <v>5451.17</v>
      </c>
      <c r="M32" s="41"/>
      <c r="N32" s="41"/>
      <c r="O32" s="30">
        <v>2437000</v>
      </c>
      <c r="P32" s="37">
        <v>1.0019999999999999E-2</v>
      </c>
      <c r="Q32" s="41"/>
      <c r="R32" s="41"/>
      <c r="S32" s="31">
        <v>2728</v>
      </c>
      <c r="T32" s="39">
        <v>2.46</v>
      </c>
      <c r="U32" s="41"/>
      <c r="V32" s="41"/>
      <c r="W32" s="41"/>
      <c r="X32" s="41"/>
      <c r="Y32" s="41"/>
      <c r="Z32" s="41"/>
      <c r="AA32" s="41"/>
      <c r="AB32" s="41"/>
      <c r="AC32" s="33">
        <v>2337</v>
      </c>
    </row>
    <row r="33" spans="1:29" x14ac:dyDescent="0.25">
      <c r="A33" s="11" t="s">
        <v>11</v>
      </c>
      <c r="B33" s="2">
        <v>8</v>
      </c>
      <c r="C33" s="2">
        <v>2020</v>
      </c>
      <c r="D33" s="30">
        <v>325000</v>
      </c>
      <c r="E33" s="39">
        <f>27254.03/D33</f>
        <v>8.3858553846153844E-2</v>
      </c>
      <c r="F33" s="33">
        <v>247000</v>
      </c>
      <c r="G33" s="40">
        <f>20594.65/F33</f>
        <v>8.3379149797570856E-2</v>
      </c>
      <c r="H33" s="22">
        <v>2400</v>
      </c>
      <c r="I33" s="23">
        <f>246/H33</f>
        <v>0.10249999999999999</v>
      </c>
      <c r="J33" s="19">
        <v>104</v>
      </c>
      <c r="K33" s="20">
        <f>22.92/J33</f>
        <v>0.2203846153846154</v>
      </c>
      <c r="L33" s="41">
        <v>7212.1</v>
      </c>
      <c r="M33" s="41"/>
      <c r="N33" s="41"/>
      <c r="O33" s="30">
        <v>801000</v>
      </c>
      <c r="P33" s="37">
        <v>1.9300000000000001E-2</v>
      </c>
      <c r="Q33" s="41"/>
      <c r="R33" s="41"/>
      <c r="S33" s="31">
        <v>2984</v>
      </c>
      <c r="T33" s="39">
        <v>2.4249999999999998</v>
      </c>
      <c r="U33" s="41"/>
      <c r="V33" s="41"/>
      <c r="W33" s="41"/>
      <c r="X33" s="41"/>
      <c r="Y33" s="41"/>
      <c r="Z33" s="41"/>
      <c r="AA33" s="41"/>
      <c r="AB33" s="41"/>
      <c r="AC33" s="33">
        <v>2777</v>
      </c>
    </row>
    <row r="34" spans="1:29" x14ac:dyDescent="0.25">
      <c r="A34" s="11" t="s">
        <v>11</v>
      </c>
      <c r="B34" s="2">
        <v>9</v>
      </c>
      <c r="C34" s="2">
        <v>2020</v>
      </c>
      <c r="D34" s="30">
        <v>309000</v>
      </c>
      <c r="E34" s="39">
        <f>25884.4/D34</f>
        <v>8.3768284789644015E-2</v>
      </c>
      <c r="F34" s="33">
        <v>234000</v>
      </c>
      <c r="G34" s="40">
        <f>19670.09/F34</f>
        <v>8.4060213675213671E-2</v>
      </c>
      <c r="H34" s="22">
        <v>2700</v>
      </c>
      <c r="I34" s="23">
        <f>274.5/H34</f>
        <v>0.10166666666666667</v>
      </c>
      <c r="J34" s="19">
        <v>104</v>
      </c>
      <c r="K34" s="20">
        <f>22.92/J34</f>
        <v>0.2203846153846154</v>
      </c>
      <c r="L34" s="41">
        <v>6872.46</v>
      </c>
      <c r="M34" s="41"/>
      <c r="N34" s="41"/>
      <c r="O34" s="30">
        <v>1331000</v>
      </c>
      <c r="P34" s="37">
        <v>1.319E-2</v>
      </c>
      <c r="Q34" s="41"/>
      <c r="R34" s="41"/>
      <c r="S34" s="31">
        <v>3290</v>
      </c>
      <c r="T34" s="39">
        <v>2.7029999999999998</v>
      </c>
      <c r="U34" s="41"/>
      <c r="V34" s="41"/>
      <c r="W34" s="41"/>
      <c r="X34" s="41"/>
      <c r="Y34" s="41"/>
      <c r="Z34" s="41"/>
      <c r="AA34" s="41"/>
      <c r="AB34" s="41"/>
      <c r="AC34" s="33">
        <v>2603</v>
      </c>
    </row>
    <row r="35" spans="1:29" x14ac:dyDescent="0.25">
      <c r="A35" s="11" t="s">
        <v>11</v>
      </c>
      <c r="B35" s="2">
        <v>10</v>
      </c>
      <c r="C35" s="2">
        <v>2020</v>
      </c>
      <c r="D35" s="30">
        <v>268000</v>
      </c>
      <c r="E35" s="39">
        <f>23038.04/D35</f>
        <v>8.596283582089552E-2</v>
      </c>
      <c r="F35" s="33">
        <v>214000</v>
      </c>
      <c r="G35" s="40">
        <f>18222.31/F35</f>
        <v>8.5150981308411228E-2</v>
      </c>
      <c r="H35" s="22">
        <v>4020</v>
      </c>
      <c r="I35" s="23">
        <f>399.9/H35</f>
        <v>9.9477611940298499E-2</v>
      </c>
      <c r="J35" s="19">
        <v>569</v>
      </c>
      <c r="K35" s="20">
        <f>71.75/J35</f>
        <v>0.12609841827768015</v>
      </c>
      <c r="L35" s="41">
        <v>6252.58</v>
      </c>
      <c r="M35" s="41"/>
      <c r="N35" s="41"/>
      <c r="O35" s="30">
        <v>1245000</v>
      </c>
      <c r="P35" s="37">
        <v>1.3899999999999999E-2</v>
      </c>
      <c r="Q35" s="41"/>
      <c r="R35" s="41"/>
      <c r="S35" s="31">
        <v>3991</v>
      </c>
      <c r="T35" s="39">
        <v>2.5640000000000001</v>
      </c>
      <c r="U35" s="41"/>
      <c r="V35" s="41"/>
      <c r="W35" s="41"/>
      <c r="X35" s="41"/>
      <c r="Y35" s="41"/>
      <c r="Z35" s="41"/>
      <c r="AA35" s="41"/>
      <c r="AB35" s="41"/>
      <c r="AC35" s="33">
        <v>2010</v>
      </c>
    </row>
    <row r="36" spans="1:29" x14ac:dyDescent="0.25">
      <c r="A36" s="11" t="s">
        <v>11</v>
      </c>
      <c r="B36" s="2">
        <v>11</v>
      </c>
      <c r="C36" s="2">
        <v>2020</v>
      </c>
      <c r="D36" s="30">
        <v>277000</v>
      </c>
      <c r="E36" s="39">
        <f>23902.78/D36</f>
        <v>8.6291624548736456E-2</v>
      </c>
      <c r="F36" s="33">
        <v>195000</v>
      </c>
      <c r="G36" s="40">
        <f>16798.65/F36</f>
        <v>8.6146923076923079E-2</v>
      </c>
      <c r="H36" s="22">
        <v>6120</v>
      </c>
      <c r="I36" s="23">
        <f>599.4/H36</f>
        <v>9.7941176470588226E-2</v>
      </c>
      <c r="J36" s="19">
        <v>1700</v>
      </c>
      <c r="K36" s="20">
        <f>190.5/J36</f>
        <v>0.11205882352941177</v>
      </c>
      <c r="L36" s="41">
        <v>6210.95</v>
      </c>
      <c r="M36" s="41"/>
      <c r="N36" s="41"/>
      <c r="O36" s="30">
        <v>780000</v>
      </c>
      <c r="P36" s="37">
        <v>1.9980000000000001E-2</v>
      </c>
      <c r="Q36" s="41"/>
      <c r="R36" s="41"/>
      <c r="S36" s="31">
        <v>5276</v>
      </c>
      <c r="T36" s="39">
        <v>2.9849999999999999</v>
      </c>
      <c r="U36" s="41"/>
      <c r="V36" s="41"/>
      <c r="W36" s="41"/>
      <c r="X36" s="41"/>
      <c r="Y36" s="41"/>
      <c r="Z36" s="41"/>
      <c r="AA36" s="41"/>
      <c r="AB36" s="41"/>
      <c r="AC36" s="33">
        <v>1261</v>
      </c>
    </row>
    <row r="37" spans="1:29" x14ac:dyDescent="0.25">
      <c r="A37" s="11" t="s">
        <v>11</v>
      </c>
      <c r="B37" s="2">
        <v>12</v>
      </c>
      <c r="C37" s="2">
        <v>2020</v>
      </c>
      <c r="D37" s="30">
        <v>320000</v>
      </c>
      <c r="E37" s="39">
        <f>27176.2/D37</f>
        <v>8.4925625000000005E-2</v>
      </c>
      <c r="F37" s="33">
        <v>200000</v>
      </c>
      <c r="G37" s="40">
        <f>16962.02/F37</f>
        <v>8.4810099999999999E-2</v>
      </c>
      <c r="H37" s="22">
        <v>8640</v>
      </c>
      <c r="I37" s="23">
        <f>838.8/H37</f>
        <v>9.7083333333333327E-2</v>
      </c>
      <c r="J37" s="19">
        <v>2252</v>
      </c>
      <c r="K37" s="20">
        <f>248.46/J37</f>
        <v>0.11032859680284192</v>
      </c>
      <c r="L37" s="41">
        <v>6768.03</v>
      </c>
      <c r="M37" s="41"/>
      <c r="N37" s="41"/>
      <c r="O37" s="30">
        <v>1277000</v>
      </c>
      <c r="P37" s="37">
        <v>1.3860000000000001E-2</v>
      </c>
      <c r="Q37" s="41"/>
      <c r="R37" s="41"/>
      <c r="S37" s="34">
        <v>7493</v>
      </c>
      <c r="T37" s="39">
        <v>2.8919999999999999</v>
      </c>
      <c r="U37" s="41"/>
      <c r="V37" s="41"/>
      <c r="W37" s="41"/>
      <c r="X37" s="41"/>
      <c r="Y37" s="41"/>
      <c r="Z37" s="41"/>
      <c r="AA37" s="41"/>
      <c r="AB37" s="41"/>
      <c r="AC37" s="33">
        <v>2451</v>
      </c>
    </row>
    <row r="38" spans="1:29" x14ac:dyDescent="0.25">
      <c r="A38" s="11" t="s">
        <v>11</v>
      </c>
      <c r="B38" s="2">
        <v>1</v>
      </c>
      <c r="C38" s="2">
        <v>2021</v>
      </c>
      <c r="D38" s="30">
        <v>385000</v>
      </c>
      <c r="E38" s="39">
        <f>32061.73/D38</f>
        <v>8.3277220779220784E-2</v>
      </c>
      <c r="F38" s="33">
        <v>240000</v>
      </c>
      <c r="G38" s="40">
        <f>20181.41/F38</f>
        <v>8.4089208333333332E-2</v>
      </c>
      <c r="H38" s="22">
        <v>9960</v>
      </c>
      <c r="I38" s="23">
        <f>964.2/H38</f>
        <v>9.6807228915662652E-2</v>
      </c>
      <c r="J38" s="19">
        <v>2767</v>
      </c>
      <c r="K38" s="20">
        <f>302.54/J38</f>
        <v>0.10933863389953019</v>
      </c>
      <c r="L38" s="41">
        <v>8007.38</v>
      </c>
      <c r="M38" s="41"/>
      <c r="N38" s="41"/>
      <c r="O38" s="30">
        <f>1270000+8000</f>
        <v>1278000</v>
      </c>
      <c r="P38" s="37">
        <f>(218.52+17487.44)/O38</f>
        <v>1.3854428794992175E-2</v>
      </c>
      <c r="Q38" s="41"/>
      <c r="R38" s="41"/>
      <c r="S38" s="31">
        <v>6984</v>
      </c>
      <c r="T38" s="39">
        <v>3.42</v>
      </c>
      <c r="U38" s="41"/>
      <c r="V38" s="41"/>
      <c r="W38" s="41"/>
      <c r="X38" s="41"/>
      <c r="Y38" s="41"/>
      <c r="Z38" s="41"/>
      <c r="AA38" s="41"/>
      <c r="AB38" s="41"/>
      <c r="AC38" s="33">
        <v>2337</v>
      </c>
    </row>
    <row r="39" spans="1:29" x14ac:dyDescent="0.25">
      <c r="A39" s="11" t="s">
        <v>11</v>
      </c>
      <c r="B39" s="2">
        <v>2</v>
      </c>
      <c r="C39" s="2">
        <v>2021</v>
      </c>
      <c r="D39" s="30">
        <v>384000</v>
      </c>
      <c r="E39" s="39">
        <f>32129.26/D39</f>
        <v>8.3669947916666668E-2</v>
      </c>
      <c r="F39" s="33">
        <v>216000</v>
      </c>
      <c r="G39" s="40">
        <f>17940.61/F39</f>
        <v>8.3058379629629628E-2</v>
      </c>
      <c r="H39" s="22">
        <v>9180</v>
      </c>
      <c r="I39" s="23">
        <f>890.1/H39</f>
        <v>9.6960784313725498E-2</v>
      </c>
      <c r="J39" s="19">
        <v>2740</v>
      </c>
      <c r="K39" s="20">
        <f>299.7/J39</f>
        <v>0.10937956204379562</v>
      </c>
      <c r="L39" s="41">
        <v>7670.21</v>
      </c>
      <c r="M39" s="41"/>
      <c r="N39" s="41"/>
      <c r="O39" s="30">
        <f>1002000+4000</f>
        <v>1006000</v>
      </c>
      <c r="P39" s="37">
        <f>(206.2+14434.92)/O39</f>
        <v>1.4553797216699802E-2</v>
      </c>
      <c r="Q39" s="41"/>
      <c r="R39" s="41"/>
      <c r="S39" s="31">
        <v>6113</v>
      </c>
      <c r="T39" s="39">
        <v>2.7949999999999999</v>
      </c>
      <c r="U39" s="41"/>
      <c r="V39" s="41"/>
      <c r="W39" s="41"/>
      <c r="X39" s="41"/>
      <c r="Y39" s="41"/>
      <c r="Z39" s="41"/>
      <c r="AA39" s="41"/>
      <c r="AB39" s="41"/>
      <c r="AC39" s="33">
        <v>2311</v>
      </c>
    </row>
    <row r="40" spans="1:29" x14ac:dyDescent="0.25">
      <c r="A40" s="11" t="s">
        <v>11</v>
      </c>
      <c r="B40" s="2">
        <v>3</v>
      </c>
      <c r="C40" s="2">
        <v>2021</v>
      </c>
      <c r="D40" s="30">
        <v>317000</v>
      </c>
      <c r="E40" s="39">
        <f>27274.92/D40</f>
        <v>8.6040757097791798E-2</v>
      </c>
      <c r="F40" s="33">
        <v>201000</v>
      </c>
      <c r="G40" s="40">
        <f>16973.92/F40</f>
        <v>8.4447363184079596E-2</v>
      </c>
      <c r="H40" s="22">
        <v>8700</v>
      </c>
      <c r="I40" s="23">
        <f>844.5/H40</f>
        <v>9.7068965517241382E-2</v>
      </c>
      <c r="J40" s="19">
        <v>2309</v>
      </c>
      <c r="K40" s="20">
        <f>254.45/J40</f>
        <v>0.11019922044174967</v>
      </c>
      <c r="L40" s="41">
        <v>6786.1</v>
      </c>
      <c r="M40" s="41"/>
      <c r="N40" s="41"/>
      <c r="O40" s="42">
        <f>1583000+0</f>
        <v>1583000</v>
      </c>
      <c r="P40" s="37">
        <f>(21052.51+193.88)/O40</f>
        <v>1.3421598231206569E-2</v>
      </c>
      <c r="Q40" s="41"/>
      <c r="R40" s="41"/>
      <c r="S40" s="31">
        <v>5842</v>
      </c>
      <c r="T40" s="39">
        <v>3.1549999999999998</v>
      </c>
      <c r="U40" s="41"/>
      <c r="V40" s="41"/>
      <c r="W40" s="41"/>
      <c r="X40" s="41"/>
      <c r="Y40" s="41"/>
      <c r="Z40" s="41"/>
      <c r="AA40" s="41"/>
      <c r="AB40" s="41"/>
      <c r="AC40" s="33">
        <v>2927</v>
      </c>
    </row>
    <row r="41" spans="1:29" x14ac:dyDescent="0.25">
      <c r="A41" s="11" t="s">
        <v>11</v>
      </c>
      <c r="B41" s="2">
        <v>4</v>
      </c>
      <c r="C41" s="2">
        <v>2021</v>
      </c>
      <c r="D41" s="30">
        <v>352000</v>
      </c>
      <c r="E41" s="39">
        <f>29774.93/D41</f>
        <v>8.4587869318181824E-2</v>
      </c>
      <c r="F41" s="33">
        <v>213000</v>
      </c>
      <c r="G41" s="40">
        <f>17801.04/F41</f>
        <v>8.3572957746478882E-2</v>
      </c>
      <c r="H41" s="22">
        <v>8340</v>
      </c>
      <c r="I41" s="23">
        <f>810.3/H41</f>
        <v>9.7158273381294957E-2</v>
      </c>
      <c r="J41" s="19">
        <v>2446</v>
      </c>
      <c r="K41" s="20">
        <f>268.83/J41</f>
        <v>0.10990596892886344</v>
      </c>
      <c r="L41" s="41">
        <v>7281.21</v>
      </c>
      <c r="M41" s="41"/>
      <c r="N41" s="41"/>
      <c r="O41" s="42">
        <f>1053000+2000</f>
        <v>1055000</v>
      </c>
      <c r="P41" s="37">
        <f>(200.04+16515.81)/O41</f>
        <v>1.584440758293839E-2</v>
      </c>
      <c r="Q41" s="41"/>
      <c r="R41" s="41"/>
      <c r="S41" s="31">
        <v>4510</v>
      </c>
      <c r="T41" s="39">
        <v>2.4590000000000001</v>
      </c>
      <c r="U41" s="41"/>
      <c r="V41" s="41"/>
      <c r="W41" s="41"/>
      <c r="X41" s="41"/>
      <c r="Y41" s="41"/>
      <c r="Z41" s="41"/>
      <c r="AA41" s="41"/>
      <c r="AB41" s="41"/>
      <c r="AC41" s="33">
        <v>1189</v>
      </c>
    </row>
    <row r="42" spans="1:29" x14ac:dyDescent="0.25">
      <c r="A42" s="11" t="s">
        <v>11</v>
      </c>
      <c r="B42" s="2">
        <v>5</v>
      </c>
      <c r="C42" s="2">
        <v>2021</v>
      </c>
      <c r="D42" s="30">
        <v>269000</v>
      </c>
      <c r="E42" s="39">
        <f>23166.03/D42</f>
        <v>8.611907063197026E-2</v>
      </c>
      <c r="F42" s="33">
        <v>186000</v>
      </c>
      <c r="G42" s="40">
        <f>15713.95/F42</f>
        <v>8.4483602150537643E-2</v>
      </c>
      <c r="H42" s="22">
        <v>5100</v>
      </c>
      <c r="I42" s="23">
        <f>502.5/H42</f>
        <v>9.8529411764705879E-2</v>
      </c>
      <c r="J42" s="19">
        <v>2061</v>
      </c>
      <c r="K42" s="20">
        <f>228.41/J42</f>
        <v>0.11082484230955847</v>
      </c>
      <c r="L42" s="41">
        <v>-1249.1099999999999</v>
      </c>
      <c r="M42" s="41"/>
      <c r="N42" s="41"/>
      <c r="O42" s="42">
        <f>712000+4000</f>
        <v>716000</v>
      </c>
      <c r="P42" s="37">
        <f>(206.2+15172.16)/O42</f>
        <v>2.1478156424581007E-2</v>
      </c>
      <c r="Q42" s="41"/>
      <c r="R42" s="41"/>
      <c r="S42" s="34">
        <v>3625</v>
      </c>
      <c r="T42" s="39">
        <v>2.8809999999999998</v>
      </c>
      <c r="U42" s="41"/>
      <c r="V42" s="41"/>
      <c r="W42" s="41"/>
      <c r="X42" s="41"/>
      <c r="Y42" s="41"/>
      <c r="Z42" s="41"/>
      <c r="AA42" s="41"/>
      <c r="AB42" s="41"/>
      <c r="AC42" s="33">
        <v>640</v>
      </c>
    </row>
    <row r="43" spans="1:29" x14ac:dyDescent="0.25">
      <c r="A43" s="11" t="s">
        <v>11</v>
      </c>
      <c r="B43" s="2">
        <v>6</v>
      </c>
      <c r="C43" s="2">
        <v>2021</v>
      </c>
      <c r="D43" s="30">
        <v>323000</v>
      </c>
      <c r="E43" s="39">
        <f>27315.77/D43</f>
        <v>8.4568947368421049E-2</v>
      </c>
      <c r="F43" s="33">
        <v>194000</v>
      </c>
      <c r="G43" s="40">
        <f>16487.36/F43</f>
        <v>8.4986391752577328E-2</v>
      </c>
      <c r="H43" s="22">
        <v>4380</v>
      </c>
      <c r="I43" s="23">
        <f>434.1/H43</f>
        <v>9.9109589041095902E-2</v>
      </c>
      <c r="J43" s="19">
        <v>1462</v>
      </c>
      <c r="K43" s="20">
        <f>165.51/J43</f>
        <v>0.1132079343365253</v>
      </c>
      <c r="L43" s="41">
        <v>6648.55</v>
      </c>
      <c r="M43" s="41"/>
      <c r="N43" s="41"/>
      <c r="O43" s="42">
        <f>1638000+4000</f>
        <v>1642000</v>
      </c>
      <c r="P43" s="37">
        <f>(206.2+19668.96)/O43</f>
        <v>1.2104238733252131E-2</v>
      </c>
      <c r="Q43" s="41"/>
      <c r="R43" s="41"/>
      <c r="S43" s="31">
        <v>3032</v>
      </c>
      <c r="T43" s="39">
        <v>2.9540000000000002</v>
      </c>
      <c r="U43" s="41"/>
      <c r="V43" s="41"/>
      <c r="W43" s="41"/>
      <c r="X43" s="41"/>
      <c r="Y43" s="41"/>
      <c r="Z43" s="41"/>
      <c r="AA43" s="41"/>
      <c r="AB43" s="41"/>
      <c r="AC43" s="33">
        <v>1712</v>
      </c>
    </row>
    <row r="44" spans="1:29" x14ac:dyDescent="0.25">
      <c r="A44" s="11" t="s">
        <v>11</v>
      </c>
      <c r="B44" s="2">
        <v>7</v>
      </c>
      <c r="C44" s="2">
        <v>2021</v>
      </c>
      <c r="D44" s="30">
        <v>352000</v>
      </c>
      <c r="E44" s="39">
        <f>29561.08/D44</f>
        <v>8.3980340909090914E-2</v>
      </c>
      <c r="F44" s="33">
        <v>216000</v>
      </c>
      <c r="G44" s="40">
        <f>18313.32/F44</f>
        <v>8.4783888888888881E-2</v>
      </c>
      <c r="H44" s="22">
        <v>4020</v>
      </c>
      <c r="I44" s="23">
        <f>399.9/H44</f>
        <v>9.9477611940298499E-2</v>
      </c>
      <c r="J44" s="19">
        <v>706</v>
      </c>
      <c r="K44" s="20">
        <f>86.13/J44</f>
        <v>0.12199716713881019</v>
      </c>
      <c r="L44" s="41">
        <v>7245.55</v>
      </c>
      <c r="M44" s="41"/>
      <c r="N44" s="41"/>
      <c r="O44" s="42">
        <f>1891000+0</f>
        <v>1891000</v>
      </c>
      <c r="P44" s="37">
        <f>(193.88+21203.45)/O44</f>
        <v>1.13153516657853E-2</v>
      </c>
      <c r="Q44" s="41"/>
      <c r="R44" s="41"/>
      <c r="S44" s="31">
        <v>3220</v>
      </c>
      <c r="T44" s="39">
        <v>3.8519999999999999</v>
      </c>
      <c r="U44" s="41"/>
      <c r="V44" s="41"/>
      <c r="W44" s="41"/>
      <c r="X44" s="41"/>
      <c r="Y44" s="41"/>
      <c r="Z44" s="41"/>
      <c r="AA44" s="41"/>
      <c r="AB44" s="41"/>
      <c r="AC44" s="33">
        <v>3107</v>
      </c>
    </row>
    <row r="45" spans="1:29" x14ac:dyDescent="0.25">
      <c r="A45" s="11" t="s">
        <v>11</v>
      </c>
      <c r="B45" s="2">
        <v>8</v>
      </c>
      <c r="C45" s="2">
        <v>2021</v>
      </c>
      <c r="D45" s="30">
        <v>368000</v>
      </c>
      <c r="E45" s="39">
        <f>30655.76/D45</f>
        <v>8.3303695652173909E-2</v>
      </c>
      <c r="F45" s="33">
        <v>240000</v>
      </c>
      <c r="G45" s="40">
        <f>20120.31/F45</f>
        <v>8.383462500000001E-2</v>
      </c>
      <c r="H45" s="22">
        <v>4440</v>
      </c>
      <c r="I45" s="23">
        <f>439.8/H45</f>
        <v>9.9054054054054055E-2</v>
      </c>
      <c r="J45" s="19">
        <v>610</v>
      </c>
      <c r="K45" s="20">
        <f>76.05/J45</f>
        <v>0.12467213114754098</v>
      </c>
      <c r="L45" s="41">
        <v>7685.5</v>
      </c>
      <c r="M45" s="41"/>
      <c r="N45" s="41"/>
      <c r="O45" s="42">
        <f>2223000+0</f>
        <v>2223000</v>
      </c>
      <c r="P45" s="37">
        <f>(193.88+24447.09)/O45</f>
        <v>1.1084556905083221E-2</v>
      </c>
      <c r="Q45" s="41"/>
      <c r="R45" s="41"/>
      <c r="S45" s="31">
        <v>3433</v>
      </c>
      <c r="T45" s="39">
        <v>4.0789999999999997</v>
      </c>
      <c r="U45" s="41"/>
      <c r="V45" s="41"/>
      <c r="W45" s="41"/>
      <c r="X45" s="41"/>
      <c r="Y45" s="41"/>
      <c r="Z45" s="41"/>
      <c r="AA45" s="41"/>
      <c r="AB45" s="41"/>
      <c r="AC45" s="33">
        <v>3179</v>
      </c>
    </row>
    <row r="46" spans="1:29" x14ac:dyDescent="0.25">
      <c r="A46" s="11" t="s">
        <v>11</v>
      </c>
      <c r="B46" s="2">
        <v>9</v>
      </c>
      <c r="C46" s="2">
        <v>2021</v>
      </c>
      <c r="D46" s="30">
        <v>341000</v>
      </c>
      <c r="E46" s="39">
        <f>28684.76/D46</f>
        <v>8.4119530791788855E-2</v>
      </c>
      <c r="F46" s="33">
        <v>221000</v>
      </c>
      <c r="G46" s="40">
        <f>18598.89/F46</f>
        <v>8.4157873303167416E-2</v>
      </c>
      <c r="H46" s="22">
        <v>4680</v>
      </c>
      <c r="I46" s="23">
        <f>462.6/H46</f>
        <v>9.8846153846153847E-2</v>
      </c>
      <c r="J46" s="19">
        <v>103</v>
      </c>
      <c r="K46" s="20">
        <f>22.82/J46</f>
        <v>0.22155339805825244</v>
      </c>
      <c r="L46" s="41">
        <v>7159.87</v>
      </c>
      <c r="M46" s="41"/>
      <c r="N46" s="41"/>
      <c r="O46" s="42">
        <f>1687000+0</f>
        <v>1687000</v>
      </c>
      <c r="P46" s="37">
        <f>(19933.07+193.88)/O46</f>
        <v>1.1930616478956728E-2</v>
      </c>
      <c r="Q46" s="41"/>
      <c r="R46" s="41"/>
      <c r="S46" s="31">
        <v>3577</v>
      </c>
      <c r="T46" s="39">
        <v>4.1379999999999999</v>
      </c>
      <c r="U46" s="41"/>
      <c r="V46" s="41"/>
      <c r="W46" s="41"/>
      <c r="X46" s="41"/>
      <c r="Y46" s="41"/>
      <c r="Z46" s="41"/>
      <c r="AA46" s="41"/>
      <c r="AB46" s="41"/>
      <c r="AC46" s="33">
        <v>2858</v>
      </c>
    </row>
    <row r="47" spans="1:29" x14ac:dyDescent="0.25">
      <c r="A47" s="11" t="s">
        <v>11</v>
      </c>
      <c r="B47" s="2">
        <v>10</v>
      </c>
      <c r="C47" s="2">
        <v>2021</v>
      </c>
      <c r="D47" s="30">
        <v>317000</v>
      </c>
      <c r="E47" s="39">
        <f>26804.45/D47</f>
        <v>8.4556624605678241E-2</v>
      </c>
      <c r="F47" s="33">
        <v>184000</v>
      </c>
      <c r="G47" s="40">
        <f>15989.54/F47</f>
        <v>8.6899673913043485E-2</v>
      </c>
      <c r="H47" s="22">
        <v>4560</v>
      </c>
      <c r="I47" s="23">
        <f>451.2/H47</f>
        <v>9.8947368421052631E-2</v>
      </c>
      <c r="J47" s="19">
        <v>115</v>
      </c>
      <c r="K47" s="20">
        <f>24.08/J47</f>
        <v>0.20939130434782607</v>
      </c>
      <c r="L47" s="41">
        <v>6485.25</v>
      </c>
      <c r="M47" s="41"/>
      <c r="N47" s="41"/>
      <c r="O47" s="42">
        <f>1243000+0</f>
        <v>1243000</v>
      </c>
      <c r="P47" s="37">
        <f>(193.88+17539.91)/O47</f>
        <v>1.4266926790024136E-2</v>
      </c>
      <c r="Q47" s="41"/>
      <c r="R47" s="41"/>
      <c r="S47" s="31">
        <v>4478</v>
      </c>
      <c r="T47" s="39">
        <v>5.7009999999999996</v>
      </c>
      <c r="U47" s="41"/>
      <c r="V47" s="41"/>
      <c r="W47" s="41"/>
      <c r="X47" s="41"/>
      <c r="Y47" s="41"/>
      <c r="Z47" s="41"/>
      <c r="AA47" s="41"/>
      <c r="AB47" s="41"/>
      <c r="AC47" s="33">
        <v>2186</v>
      </c>
    </row>
    <row r="48" spans="1:29" x14ac:dyDescent="0.25">
      <c r="A48" s="11" t="s">
        <v>11</v>
      </c>
      <c r="B48" s="2">
        <v>11</v>
      </c>
      <c r="C48" s="2">
        <v>2021</v>
      </c>
      <c r="D48" s="30">
        <v>294000</v>
      </c>
      <c r="E48" s="39">
        <f>25058.24/D48</f>
        <v>8.5232108843537421E-2</v>
      </c>
      <c r="F48" s="33">
        <v>198000</v>
      </c>
      <c r="G48" s="40">
        <f>16907.67/F48</f>
        <v>8.5392272727272719E-2</v>
      </c>
      <c r="H48" s="22">
        <v>5460</v>
      </c>
      <c r="I48" s="23">
        <f>536.7/H48</f>
        <v>9.82967032967033E-2</v>
      </c>
      <c r="J48" s="19">
        <v>1172</v>
      </c>
      <c r="K48" s="20">
        <f>135.06/J48</f>
        <v>0.11523890784982935</v>
      </c>
      <c r="L48" s="41">
        <v>6385.37</v>
      </c>
      <c r="M48" s="41"/>
      <c r="N48" s="41"/>
      <c r="O48" s="42">
        <f>1461000+0</f>
        <v>1461000</v>
      </c>
      <c r="P48" s="37">
        <f>(193.88+19214.93)/O48</f>
        <v>1.3284606433949351E-2</v>
      </c>
      <c r="Q48" s="41"/>
      <c r="R48" s="41"/>
      <c r="S48" s="31">
        <v>4983</v>
      </c>
      <c r="T48" s="39">
        <v>6.8869999999999996</v>
      </c>
      <c r="U48" s="41"/>
      <c r="V48" s="41"/>
      <c r="W48" s="41"/>
      <c r="X48" s="41"/>
      <c r="Y48" s="41"/>
      <c r="Z48" s="41"/>
      <c r="AA48" s="41"/>
      <c r="AB48" s="41"/>
      <c r="AC48" s="33">
        <v>2044</v>
      </c>
    </row>
    <row r="49" spans="1:29" x14ac:dyDescent="0.25">
      <c r="A49" s="11" t="s">
        <v>11</v>
      </c>
      <c r="B49" s="2">
        <v>12</v>
      </c>
      <c r="C49" s="2">
        <v>2021</v>
      </c>
      <c r="D49" s="30">
        <v>291000</v>
      </c>
      <c r="E49" s="32">
        <f>24790.36/D49</f>
        <v>8.5190240549828183E-2</v>
      </c>
      <c r="F49" s="33">
        <v>203000</v>
      </c>
      <c r="G49" s="40">
        <f>17028.27/F49</f>
        <v>8.3883103448275861E-2</v>
      </c>
      <c r="H49" s="22">
        <v>8640</v>
      </c>
      <c r="I49" s="23">
        <f>838.8/H49</f>
        <v>9.7083333333333327E-2</v>
      </c>
      <c r="J49" s="19">
        <v>1739</v>
      </c>
      <c r="K49" s="20">
        <f>194.6/J49</f>
        <v>0.11190339275445658</v>
      </c>
      <c r="L49" s="41">
        <v>6414.73</v>
      </c>
      <c r="M49" s="41"/>
      <c r="N49" s="41"/>
      <c r="O49" s="42">
        <f>1300000+0</f>
        <v>1300000</v>
      </c>
      <c r="P49" s="37">
        <f>(210.72+19706.72)/O49</f>
        <v>1.5321107692307694E-2</v>
      </c>
      <c r="Q49" s="41"/>
      <c r="R49" s="41"/>
      <c r="S49" s="31">
        <v>6953</v>
      </c>
      <c r="T49" s="39">
        <v>5.9379999999999997</v>
      </c>
      <c r="U49" s="41"/>
      <c r="V49" s="41"/>
      <c r="W49" s="41"/>
      <c r="X49" s="41"/>
      <c r="Y49" s="41"/>
      <c r="Z49" s="41"/>
      <c r="AA49" s="41"/>
      <c r="AB49" s="41"/>
      <c r="AC49" s="33">
        <v>2863</v>
      </c>
    </row>
    <row r="50" spans="1:29" x14ac:dyDescent="0.25">
      <c r="A50" s="11" t="s">
        <v>11</v>
      </c>
      <c r="B50" s="2">
        <v>1</v>
      </c>
      <c r="C50" s="2">
        <v>2022</v>
      </c>
      <c r="D50" s="30">
        <v>339000</v>
      </c>
      <c r="E50" s="39">
        <f>30005.49/D50</f>
        <v>8.8511769911504432E-2</v>
      </c>
      <c r="F50" s="33">
        <v>228000</v>
      </c>
      <c r="G50" s="40">
        <f>19875.43/F50</f>
        <v>8.7172938596491223E-2</v>
      </c>
      <c r="H50" s="22">
        <v>14100</v>
      </c>
      <c r="I50" s="23">
        <f>1411.64/H50</f>
        <v>0.1001163120567376</v>
      </c>
      <c r="J50" s="19">
        <v>2211</v>
      </c>
      <c r="K50" s="20">
        <f>280.07/J50</f>
        <v>0.1266711895070104</v>
      </c>
      <c r="L50" s="41">
        <v>7988.59</v>
      </c>
      <c r="M50" s="41"/>
      <c r="N50" s="41"/>
      <c r="O50" s="43">
        <v>0</v>
      </c>
      <c r="P50" s="38">
        <v>0</v>
      </c>
      <c r="Q50" s="41"/>
      <c r="R50" s="41"/>
      <c r="S50" s="31">
        <v>7372</v>
      </c>
      <c r="T50" s="35">
        <v>8.1630000000000003</v>
      </c>
      <c r="U50" s="41"/>
      <c r="V50" s="41"/>
      <c r="W50" s="41"/>
      <c r="X50" s="41"/>
      <c r="Y50" s="41"/>
      <c r="Z50" s="41"/>
      <c r="AA50" s="41"/>
      <c r="AB50" s="41"/>
      <c r="AC50" s="33">
        <v>2534</v>
      </c>
    </row>
    <row r="51" spans="1:29" x14ac:dyDescent="0.25">
      <c r="A51" s="11" t="s">
        <v>11</v>
      </c>
      <c r="B51" s="2">
        <v>2</v>
      </c>
      <c r="C51" s="2">
        <v>2022</v>
      </c>
      <c r="D51" s="30">
        <v>339000</v>
      </c>
      <c r="E51" s="32">
        <f>30046.09/D51</f>
        <v>8.8631533923303835E-2</v>
      </c>
      <c r="F51" s="33">
        <v>214000</v>
      </c>
      <c r="G51" s="40">
        <f>18686.68/F51</f>
        <v>8.7320934579439249E-2</v>
      </c>
      <c r="H51" s="22">
        <v>14760</v>
      </c>
      <c r="I51" s="23">
        <f>1481.31/H51</f>
        <v>0.10035975609756097</v>
      </c>
      <c r="J51" s="19">
        <v>2341</v>
      </c>
      <c r="K51" s="20">
        <f>267.5/J51</f>
        <v>0.11426740709098676</v>
      </c>
      <c r="L51" s="41">
        <v>7822.81</v>
      </c>
      <c r="M51" s="41"/>
      <c r="N51" s="41"/>
      <c r="O51" s="43">
        <f>25000+1487000</f>
        <v>1512000</v>
      </c>
      <c r="P51" s="38">
        <f>(22027.39+391.01)/O51</f>
        <v>1.4826984126984126E-2</v>
      </c>
      <c r="Q51" s="41"/>
      <c r="R51" s="41"/>
      <c r="S51" s="34">
        <v>6305</v>
      </c>
      <c r="T51" s="35">
        <v>0.52</v>
      </c>
      <c r="U51" s="41"/>
      <c r="V51" s="41"/>
      <c r="W51" s="41"/>
      <c r="X51" s="41"/>
      <c r="Y51" s="41"/>
      <c r="Z51" s="41"/>
      <c r="AA51" s="41"/>
      <c r="AB51" s="41"/>
      <c r="AC51" s="33">
        <v>2804</v>
      </c>
    </row>
    <row r="52" spans="1:29" x14ac:dyDescent="0.25">
      <c r="A52" s="11" t="s">
        <v>11</v>
      </c>
      <c r="B52" s="2">
        <v>3</v>
      </c>
      <c r="C52" s="2">
        <v>2022</v>
      </c>
      <c r="D52" s="30">
        <v>323000</v>
      </c>
      <c r="E52" s="32">
        <f>28930.68/D52</f>
        <v>8.9568668730650156E-2</v>
      </c>
      <c r="F52" s="33">
        <v>194000</v>
      </c>
      <c r="G52" s="40">
        <f>17031.63/F52</f>
        <v>8.7791907216494852E-2</v>
      </c>
      <c r="H52" s="22">
        <v>11880</v>
      </c>
      <c r="I52" s="23">
        <f>1181.05/H52</f>
        <v>9.9414983164983164E-2</v>
      </c>
      <c r="J52" s="19">
        <v>1969</v>
      </c>
      <c r="K52" s="20">
        <f>224.46/J52</f>
        <v>0.11399695276790249</v>
      </c>
      <c r="L52" s="41">
        <v>7341.52</v>
      </c>
      <c r="M52" s="41"/>
      <c r="N52" s="41"/>
      <c r="O52" s="43">
        <f>25000+1088000</f>
        <v>1113000</v>
      </c>
      <c r="P52" s="38">
        <f>(17075.8+391.01)/O52</f>
        <v>1.5693450134770887E-2</v>
      </c>
      <c r="Q52" s="41"/>
      <c r="R52" s="41"/>
      <c r="S52" s="34">
        <v>5854</v>
      </c>
      <c r="T52" s="35">
        <v>4.43</v>
      </c>
      <c r="U52" s="41"/>
      <c r="V52" s="41"/>
      <c r="W52" s="41"/>
      <c r="X52" s="41"/>
      <c r="Y52" s="41"/>
      <c r="Z52" s="41"/>
      <c r="AA52" s="41"/>
      <c r="AB52" s="41"/>
      <c r="AC52" s="33">
        <v>3381</v>
      </c>
    </row>
    <row r="53" spans="1:29" ht="14.25" customHeight="1" x14ac:dyDescent="0.25">
      <c r="A53" s="11" t="s">
        <v>11</v>
      </c>
      <c r="B53" s="2">
        <v>4</v>
      </c>
      <c r="C53" s="2">
        <v>2022</v>
      </c>
      <c r="D53" s="30">
        <v>338000</v>
      </c>
      <c r="E53" s="32">
        <f>29789.16/D53</f>
        <v>8.8133609467455618E-2</v>
      </c>
      <c r="F53" s="33">
        <v>197000</v>
      </c>
      <c r="G53" s="40">
        <f>17046.05/F53</f>
        <v>8.6528172588832483E-2</v>
      </c>
      <c r="H53" s="22">
        <v>10500</v>
      </c>
      <c r="I53" s="23">
        <f>1048.26/H53</f>
        <v>9.9834285714285709E-2</v>
      </c>
      <c r="J53" s="19">
        <v>2143</v>
      </c>
      <c r="K53" s="20">
        <f>243.71/J53</f>
        <v>0.11372375174988335</v>
      </c>
      <c r="L53" s="41">
        <v>7458.51</v>
      </c>
      <c r="M53" s="41"/>
      <c r="N53" s="41"/>
      <c r="O53" s="43">
        <f>8000+737000</f>
        <v>745000</v>
      </c>
      <c r="P53" s="38">
        <f>(14411.21+237.84)/O53</f>
        <v>1.9663154362416106E-2</v>
      </c>
      <c r="Q53" s="41"/>
      <c r="R53" s="41"/>
      <c r="S53" s="34">
        <v>5346</v>
      </c>
      <c r="T53" s="35">
        <v>5.1698746729999998</v>
      </c>
      <c r="U53" s="41"/>
      <c r="V53" s="41"/>
      <c r="W53" s="41"/>
      <c r="X53" s="41"/>
      <c r="Y53" s="41"/>
      <c r="Z53" s="41"/>
      <c r="AA53" s="41"/>
      <c r="AB53" s="41"/>
      <c r="AC53" s="33">
        <v>2194</v>
      </c>
    </row>
    <row r="54" spans="1:29" x14ac:dyDescent="0.25">
      <c r="A54" s="11" t="s">
        <v>11</v>
      </c>
      <c r="B54" s="2">
        <v>5</v>
      </c>
      <c r="C54" s="2">
        <v>2022</v>
      </c>
      <c r="D54" s="30">
        <v>302000</v>
      </c>
      <c r="E54" s="32">
        <f>26497.73/D54</f>
        <v>8.774082781456953E-2</v>
      </c>
      <c r="F54" s="33">
        <v>184000</v>
      </c>
      <c r="G54" s="40">
        <f>16287.69/F54</f>
        <v>8.8520054347826088E-2</v>
      </c>
      <c r="H54" s="22">
        <v>5580</v>
      </c>
      <c r="I54" s="23">
        <f>557.7/H54</f>
        <v>9.9946236559139798E-2</v>
      </c>
      <c r="J54" s="19">
        <v>2013</v>
      </c>
      <c r="K54" s="20">
        <f>226.83/J54</f>
        <v>0.11268256333830105</v>
      </c>
      <c r="L54" s="41">
        <v>-6114.55</v>
      </c>
      <c r="M54" s="41"/>
      <c r="N54" s="41"/>
      <c r="O54" s="43">
        <f>55000+408000+144000</f>
        <v>607000</v>
      </c>
      <c r="P54" s="38">
        <f>(13784.06+611.46)/O54</f>
        <v>2.3715848434925867E-2</v>
      </c>
      <c r="Q54" s="41"/>
      <c r="R54" s="41"/>
      <c r="S54" s="34">
        <v>3736</v>
      </c>
      <c r="T54" s="35">
        <f>24344.87/S54</f>
        <v>6.516292826552462</v>
      </c>
      <c r="U54" s="41"/>
      <c r="V54" s="41"/>
      <c r="W54" s="41"/>
      <c r="X54" s="41"/>
      <c r="Y54" s="41"/>
      <c r="Z54" s="41"/>
      <c r="AA54" s="41"/>
      <c r="AB54" s="41"/>
      <c r="AC54" s="33">
        <v>1541</v>
      </c>
    </row>
    <row r="55" spans="1:29" x14ac:dyDescent="0.25">
      <c r="A55" s="11" t="s">
        <v>11</v>
      </c>
      <c r="B55" s="2">
        <v>6</v>
      </c>
      <c r="C55" s="2">
        <v>2022</v>
      </c>
      <c r="D55" s="30">
        <v>287000</v>
      </c>
      <c r="E55" s="32">
        <f>24903.03/D55</f>
        <v>8.6770139372822297E-2</v>
      </c>
      <c r="F55" s="33">
        <v>199000</v>
      </c>
      <c r="G55" s="40">
        <f>17658.41/F55</f>
        <v>8.8735728643216077E-2</v>
      </c>
      <c r="H55" s="22">
        <v>2700</v>
      </c>
      <c r="I55" s="23">
        <f>278.31/H55</f>
        <v>0.10307777777777778</v>
      </c>
      <c r="J55" s="19">
        <v>1518</v>
      </c>
      <c r="K55" s="20">
        <f>173.53/J55</f>
        <v>0.11431488801054018</v>
      </c>
      <c r="L55" s="41">
        <v>6668.05</v>
      </c>
      <c r="M55" s="41"/>
      <c r="N55" s="41"/>
      <c r="O55" s="2">
        <f>175000+136000</f>
        <v>311000</v>
      </c>
      <c r="P55" s="44">
        <f>(3099.72+12506.03)/O55</f>
        <v>5.0179260450160773E-2</v>
      </c>
      <c r="Q55" s="41"/>
      <c r="R55" s="41"/>
      <c r="S55" s="10">
        <v>2820</v>
      </c>
      <c r="T55" s="45">
        <f>25063.1/S55</f>
        <v>8.8876241134751766</v>
      </c>
      <c r="U55" s="41"/>
      <c r="V55" s="41"/>
      <c r="W55" s="41"/>
      <c r="X55" s="41"/>
      <c r="Y55" s="41"/>
      <c r="Z55" s="41"/>
      <c r="AA55" s="41"/>
      <c r="AB55" s="41"/>
      <c r="AC55" s="33">
        <v>2697</v>
      </c>
    </row>
    <row r="56" spans="1:29" x14ac:dyDescent="0.25">
      <c r="A56" s="11" t="s">
        <v>11</v>
      </c>
      <c r="B56" s="2">
        <v>7</v>
      </c>
      <c r="C56" s="2">
        <v>2022</v>
      </c>
      <c r="D56" s="46">
        <v>309000</v>
      </c>
      <c r="E56" s="45">
        <f>26955.39/D56</f>
        <v>8.7234271844660191E-2</v>
      </c>
      <c r="F56" s="17">
        <v>221000</v>
      </c>
      <c r="G56" s="18">
        <f>19396.57/F56</f>
        <v>8.7767285067873305E-2</v>
      </c>
      <c r="H56" s="22">
        <v>2580</v>
      </c>
      <c r="I56" s="23">
        <f>266.63/H56</f>
        <v>0.10334496124031008</v>
      </c>
      <c r="J56" s="19">
        <v>1036</v>
      </c>
      <c r="K56" s="20">
        <f>122.2/J56</f>
        <v>0.11795366795366796</v>
      </c>
      <c r="L56" s="41">
        <v>7248.97</v>
      </c>
      <c r="M56" s="26"/>
      <c r="N56" s="26"/>
      <c r="O56" s="2">
        <f>103000+188000</f>
        <v>291000</v>
      </c>
      <c r="P56" s="44">
        <f>(12550.1+2009.73)/O56</f>
        <v>5.0033780068728523E-2</v>
      </c>
      <c r="Q56" s="26"/>
      <c r="R56" s="26"/>
      <c r="S56" s="10">
        <v>3060</v>
      </c>
      <c r="T56" s="45">
        <f>18984.45/S56</f>
        <v>6.2040686274509804</v>
      </c>
      <c r="U56" s="26"/>
      <c r="V56" s="26"/>
      <c r="W56" s="26"/>
      <c r="X56" s="26"/>
      <c r="Y56" s="26"/>
      <c r="Z56" s="26"/>
      <c r="AA56" s="26"/>
      <c r="AB56" s="26"/>
      <c r="AC56" s="51">
        <v>2941</v>
      </c>
    </row>
    <row r="57" spans="1:29" x14ac:dyDescent="0.25">
      <c r="A57" s="11" t="s">
        <v>11</v>
      </c>
      <c r="B57" s="2">
        <v>8</v>
      </c>
      <c r="C57" s="2">
        <v>2022</v>
      </c>
      <c r="D57" s="46"/>
      <c r="E57" s="45"/>
      <c r="F57" s="17"/>
      <c r="G57" s="18"/>
      <c r="H57" s="22"/>
      <c r="I57" s="23"/>
      <c r="J57" s="19"/>
      <c r="K57" s="20"/>
      <c r="L57" s="41"/>
      <c r="M57" s="26"/>
      <c r="N57" s="26"/>
      <c r="O57" s="52">
        <v>977000</v>
      </c>
      <c r="P57" s="44">
        <f>9644.39/O57</f>
        <v>9.8714329580348002E-3</v>
      </c>
      <c r="Q57" s="26"/>
      <c r="R57" s="26"/>
      <c r="S57" s="10">
        <v>2109</v>
      </c>
      <c r="T57" s="45">
        <f>18067.07/S57</f>
        <v>8.5666524419156005</v>
      </c>
      <c r="U57" s="26"/>
      <c r="V57" s="26"/>
      <c r="W57" s="26"/>
      <c r="X57" s="26"/>
      <c r="Y57" s="26"/>
      <c r="Z57" s="26"/>
      <c r="AA57" s="26"/>
      <c r="AB57" s="26"/>
      <c r="AC57" s="51">
        <v>2655</v>
      </c>
    </row>
    <row r="58" spans="1:29" x14ac:dyDescent="0.25">
      <c r="A58" s="11" t="s">
        <v>11</v>
      </c>
      <c r="B58" s="2">
        <v>9</v>
      </c>
      <c r="C58" s="2">
        <v>2022</v>
      </c>
      <c r="D58" s="52">
        <v>317000</v>
      </c>
      <c r="E58" s="53">
        <f>28226.36/D58</f>
        <v>8.9042145110410101E-2</v>
      </c>
      <c r="F58" s="17">
        <v>230000</v>
      </c>
      <c r="G58" s="18">
        <f>20407.49/F58</f>
        <v>8.8728217391304348E-2</v>
      </c>
      <c r="H58" s="22">
        <v>2340</v>
      </c>
      <c r="I58" s="23">
        <f>250.31/H58</f>
        <v>0.10697008547008548</v>
      </c>
      <c r="J58" s="19">
        <v>729</v>
      </c>
      <c r="K58" s="20">
        <f>89.88/J58</f>
        <v>0.12329218106995884</v>
      </c>
      <c r="L58" s="41">
        <v>7597.13</v>
      </c>
      <c r="M58" s="26"/>
      <c r="N58" s="26"/>
      <c r="O58" s="52">
        <f>2723000+2000</f>
        <v>2725000</v>
      </c>
      <c r="P58" s="54">
        <f>(350.98+42906.79)/O58</f>
        <v>1.5874411009174312E-2</v>
      </c>
      <c r="Q58" s="26"/>
      <c r="R58" s="26"/>
      <c r="S58" s="55">
        <v>3122</v>
      </c>
      <c r="T58" s="53">
        <f>28575.02/S58</f>
        <v>9.1527930813581033</v>
      </c>
      <c r="U58" s="26"/>
      <c r="V58" s="26"/>
      <c r="W58" s="26"/>
      <c r="X58" s="26"/>
      <c r="Y58" s="26"/>
      <c r="Z58" s="26"/>
      <c r="AA58" s="26"/>
      <c r="AB58" s="26"/>
      <c r="AC58" s="51">
        <v>2371</v>
      </c>
    </row>
    <row r="59" spans="1:29" x14ac:dyDescent="0.25">
      <c r="A59" s="11" t="s">
        <v>11</v>
      </c>
      <c r="B59" s="2">
        <v>10</v>
      </c>
      <c r="C59" s="2">
        <v>2022</v>
      </c>
      <c r="D59" s="52">
        <v>300000</v>
      </c>
      <c r="E59" s="53">
        <f>27041.29/D59</f>
        <v>9.0137633333333342E-2</v>
      </c>
      <c r="F59" s="17">
        <v>177000</v>
      </c>
      <c r="G59" s="18">
        <f>16301.83/F59</f>
        <v>9.2100734463276837E-2</v>
      </c>
      <c r="H59" s="22">
        <v>2820</v>
      </c>
      <c r="I59" s="23">
        <f>297.26/H59</f>
        <v>0.1054113475177305</v>
      </c>
      <c r="J59" s="19">
        <v>1180</v>
      </c>
      <c r="K59" s="20">
        <f>140.66/J59</f>
        <v>0.11920338983050847</v>
      </c>
      <c r="L59" s="41">
        <f>540.83+3656.28+326.04+2204.18+5.95+40.19+2.81+12.45</f>
        <v>6788.73</v>
      </c>
      <c r="M59" s="26"/>
      <c r="N59" s="26"/>
      <c r="O59" s="52">
        <f>1390000+2000</f>
        <v>1392000</v>
      </c>
      <c r="P59" s="54">
        <f>(217.5+18095.54)/O59</f>
        <v>1.3155919540229885E-2</v>
      </c>
      <c r="Q59" s="26"/>
      <c r="R59" s="26"/>
      <c r="S59" s="55"/>
      <c r="T59" s="53"/>
      <c r="U59" s="26"/>
      <c r="V59" s="26"/>
      <c r="W59" s="26"/>
      <c r="X59" s="26"/>
      <c r="Y59" s="26"/>
      <c r="Z59" s="26"/>
      <c r="AA59" s="26"/>
      <c r="AB59" s="26"/>
      <c r="AC59" s="51">
        <v>1731</v>
      </c>
    </row>
    <row r="60" spans="1:29" x14ac:dyDescent="0.25">
      <c r="A60" s="11" t="s">
        <v>11</v>
      </c>
      <c r="B60" s="2">
        <v>11</v>
      </c>
      <c r="C60" s="2">
        <v>2022</v>
      </c>
      <c r="D60" s="52"/>
      <c r="E60" s="53"/>
      <c r="F60" s="17"/>
      <c r="G60" s="18"/>
      <c r="H60" s="22"/>
      <c r="I60" s="23"/>
      <c r="J60" s="19"/>
      <c r="K60" s="20"/>
      <c r="L60" s="41"/>
      <c r="M60" s="26"/>
      <c r="N60" s="26"/>
      <c r="O60" s="52"/>
      <c r="P60" s="54"/>
      <c r="Q60" s="26"/>
      <c r="R60" s="26"/>
      <c r="S60" s="55"/>
      <c r="T60" s="53"/>
      <c r="U60" s="26"/>
      <c r="V60" s="26"/>
      <c r="W60" s="26"/>
      <c r="X60" s="26"/>
      <c r="Y60" s="26"/>
      <c r="Z60" s="26"/>
      <c r="AA60" s="26"/>
      <c r="AB60" s="26"/>
      <c r="AC60" s="51"/>
    </row>
    <row r="61" spans="1:29" x14ac:dyDescent="0.25">
      <c r="A61" s="11" t="s">
        <v>11</v>
      </c>
      <c r="B61" s="2">
        <v>12</v>
      </c>
      <c r="C61" s="2">
        <v>2022</v>
      </c>
      <c r="D61" s="52"/>
      <c r="E61" s="53"/>
      <c r="F61" s="17"/>
      <c r="G61" s="18"/>
      <c r="H61" s="22"/>
      <c r="I61" s="48"/>
      <c r="J61" s="19"/>
      <c r="K61" s="49"/>
      <c r="L61" s="41"/>
      <c r="M61" s="50"/>
      <c r="N61" s="50"/>
      <c r="O61" s="52"/>
      <c r="P61" s="54"/>
      <c r="Q61" s="50"/>
      <c r="R61" s="50"/>
      <c r="S61" s="55"/>
      <c r="T61" s="53"/>
      <c r="U61" s="50"/>
      <c r="V61" s="50"/>
      <c r="W61" s="50"/>
      <c r="X61" s="50"/>
      <c r="Y61" s="50"/>
      <c r="Z61" s="50"/>
      <c r="AA61" s="50"/>
      <c r="AB61" s="50"/>
      <c r="AC61" s="51"/>
    </row>
    <row r="62" spans="1:29" x14ac:dyDescent="0.25">
      <c r="D62" s="47"/>
      <c r="E62" s="2"/>
      <c r="F62" s="51"/>
      <c r="G62" s="51"/>
      <c r="H62" s="48"/>
      <c r="I62" s="48"/>
      <c r="J62" s="49"/>
      <c r="K62" s="49"/>
      <c r="L62" s="41"/>
      <c r="M62" s="50"/>
      <c r="N62" s="50"/>
      <c r="O62" s="2"/>
      <c r="Q62" s="50"/>
      <c r="R62" s="50"/>
      <c r="T62" s="2"/>
      <c r="U62" s="50"/>
      <c r="V62" s="50"/>
      <c r="W62" s="50"/>
      <c r="X62" s="50"/>
      <c r="Y62" s="50"/>
      <c r="Z62" s="50"/>
      <c r="AA62" s="50"/>
      <c r="AB62" s="50"/>
      <c r="AC62" s="51"/>
    </row>
    <row r="63" spans="1:29" x14ac:dyDescent="0.25">
      <c r="D63" s="47"/>
      <c r="E63" s="2"/>
      <c r="F63" s="51"/>
      <c r="G63" s="51"/>
      <c r="H63" s="48"/>
      <c r="I63" s="48"/>
      <c r="J63" s="49"/>
      <c r="K63" s="49"/>
      <c r="L63" s="50"/>
      <c r="M63" s="50"/>
      <c r="N63" s="50"/>
      <c r="O63" s="2"/>
      <c r="Q63" s="50"/>
      <c r="R63" s="50"/>
      <c r="T63" s="2"/>
      <c r="U63" s="50"/>
      <c r="V63" s="50"/>
      <c r="W63" s="50"/>
      <c r="X63" s="50"/>
      <c r="Y63" s="50"/>
      <c r="Z63" s="50"/>
      <c r="AA63" s="50"/>
      <c r="AB63" s="50"/>
      <c r="AC63" s="2"/>
    </row>
    <row r="64" spans="1:29" x14ac:dyDescent="0.25">
      <c r="D64" s="47"/>
      <c r="E64" s="2"/>
      <c r="F64" s="51"/>
      <c r="G64" s="51"/>
      <c r="H64" s="48"/>
      <c r="I64" s="48"/>
      <c r="J64" s="49"/>
      <c r="K64" s="49"/>
      <c r="L64" s="50"/>
      <c r="M64" s="50"/>
      <c r="N64" s="50"/>
      <c r="O64" s="2"/>
      <c r="Q64" s="50"/>
      <c r="R64" s="50"/>
      <c r="T64" s="2"/>
      <c r="U64" s="50"/>
      <c r="V64" s="50"/>
      <c r="W64" s="50"/>
      <c r="X64" s="50"/>
      <c r="Y64" s="50"/>
      <c r="Z64" s="50"/>
      <c r="AA64" s="50"/>
      <c r="AB64" s="50"/>
      <c r="AC64" s="2"/>
    </row>
    <row r="65" spans="15:16" x14ac:dyDescent="0.25">
      <c r="O65" s="27"/>
    </row>
    <row r="73" spans="15:16" x14ac:dyDescent="0.25">
      <c r="P73" s="37"/>
    </row>
    <row r="74" spans="15:16" x14ac:dyDescent="0.25">
      <c r="P74" s="37"/>
    </row>
    <row r="75" spans="15:16" x14ac:dyDescent="0.25">
      <c r="P75" s="37"/>
    </row>
    <row r="76" spans="15:16" x14ac:dyDescent="0.25">
      <c r="P76" s="37"/>
    </row>
    <row r="77" spans="15:16" x14ac:dyDescent="0.25">
      <c r="P77" s="37"/>
    </row>
    <row r="78" spans="15:16" x14ac:dyDescent="0.25">
      <c r="P78" s="37"/>
    </row>
    <row r="79" spans="15:16" x14ac:dyDescent="0.25">
      <c r="P79" s="37"/>
    </row>
    <row r="80" spans="15:16" x14ac:dyDescent="0.25">
      <c r="P80" s="37"/>
    </row>
    <row r="81" spans="16:16" x14ac:dyDescent="0.25">
      <c r="P81" s="37"/>
    </row>
    <row r="82" spans="16:16" x14ac:dyDescent="0.25">
      <c r="P82" s="37"/>
    </row>
    <row r="83" spans="16:16" x14ac:dyDescent="0.25">
      <c r="P83" s="3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Araceli Soto</cp:lastModifiedBy>
  <cp:revision/>
  <dcterms:created xsi:type="dcterms:W3CDTF">2020-11-09T05:02:29Z</dcterms:created>
  <dcterms:modified xsi:type="dcterms:W3CDTF">2022-11-24T00:23:20Z</dcterms:modified>
  <cp:category/>
  <cp:contentStatus/>
</cp:coreProperties>
</file>