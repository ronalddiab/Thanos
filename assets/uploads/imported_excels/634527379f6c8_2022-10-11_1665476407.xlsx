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202" documentId="11_C6CB49589A6AEEA323ED615BAC1701928A2F9E95" xr6:coauthVersionLast="47" xr6:coauthVersionMax="47" xr10:uidLastSave="{593BBAEC-230B-4E14-AB87-0A2BBDB47E6A}"/>
  <bookViews>
    <workbookView xWindow="0" yWindow="0" windowWidth="15696" windowHeight="805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<sst xmlns="http://schemas.openxmlformats.org/spreadsheetml/2006/main" count="902" uniqueCount="78">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</sst>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66" workbookViewId="0">
      <selection activeCell="K285" sqref="K285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 t="s">
        <v>13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14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 t="s">
        <v>13</v>
      </c>
      <c r="G276" s="4">
        <f>'Gas Water'!M279</f>
        <v>2320</v>
      </c>
      <c r="H276" s="124">
        <v>20</v>
      </c>
      <c r="I276" s="2">
        <f>'Gas Water'!L279</f>
        <v>335</v>
      </c>
      <c r="J276" s="124" t="s">
        <v>14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 t="s">
        <v>13</v>
      </c>
      <c r="G277" s="4">
        <f>'Gas Water'!M280</f>
        <v>2189</v>
      </c>
      <c r="H277" s="124">
        <v>20</v>
      </c>
      <c r="I277" s="2">
        <f>'Gas Water'!L280</f>
        <v>251</v>
      </c>
      <c r="J277" s="124" t="s">
        <v>14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 t="s">
        <v>13</v>
      </c>
      <c r="G278" s="4">
        <f>'Gas Water'!M281</f>
        <v>2461</v>
      </c>
      <c r="H278" s="124">
        <v>20</v>
      </c>
      <c r="I278" s="2">
        <f>'Gas Water'!L281</f>
        <v>277</v>
      </c>
      <c r="J278" s="124" t="s">
        <v>14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 t="s">
        <v>13</v>
      </c>
      <c r="G279" s="4">
        <f>'Gas Water'!M282</f>
        <v>2849</v>
      </c>
      <c r="H279" s="124">
        <v>20</v>
      </c>
      <c r="I279" s="2">
        <f>'Gas Water'!L282</f>
        <v>243</v>
      </c>
      <c r="J279" s="124" t="s">
        <v>14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 t="s">
        <v>13</v>
      </c>
      <c r="G280" s="4">
        <f>'Gas Water'!M283</f>
        <v>1574</v>
      </c>
      <c r="H280" s="124">
        <v>20</v>
      </c>
      <c r="I280" s="2">
        <f>'Gas Water'!L283</f>
        <v>290</v>
      </c>
      <c r="J280" s="124" t="s">
        <v>14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 t="s">
        <v>13</v>
      </c>
      <c r="G281" s="4">
        <f>'Gas Water'!M284</f>
        <v>2356</v>
      </c>
      <c r="H281" s="124">
        <v>20</v>
      </c>
      <c r="I281" s="2">
        <f>'Gas Water'!L284</f>
        <v>285</v>
      </c>
      <c r="J281" s="124" t="s">
        <v>14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 t="s">
        <v>13</v>
      </c>
      <c r="G282" s="4">
        <f>'Gas Water'!M285</f>
        <v>2221</v>
      </c>
      <c r="H282" s="124">
        <v>20</v>
      </c>
      <c r="I282" s="2">
        <f>'Gas Water'!L285</f>
        <v>252</v>
      </c>
      <c r="J282" s="124" t="s">
        <v>14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 t="s">
        <v>13</v>
      </c>
      <c r="G283" s="4">
        <f>'Gas Water'!M286</f>
        <v>2181</v>
      </c>
      <c r="H283" s="124">
        <v>20</v>
      </c>
      <c r="I283" s="2">
        <f>'Gas Water'!L286</f>
        <v>254</v>
      </c>
      <c r="J283" s="124" t="s">
        <v>14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 t="s">
        <v>13</v>
      </c>
      <c r="G284" s="4">
        <f>'Gas Water'!M287</f>
        <v>1995</v>
      </c>
      <c r="H284" s="124">
        <v>20</v>
      </c>
      <c r="I284" s="2">
        <f>'Gas Water'!L287</f>
        <v>291</v>
      </c>
      <c r="J284" s="124" t="s">
        <v>14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 t="s">
        <v>13</v>
      </c>
      <c r="G285" s="4" t="str">
        <f>'Gas Water'!M288</f>
        <v/>
      </c>
      <c r="H285" s="124">
        <v>20</v>
      </c>
      <c r="I285" s="2" t="str">
        <f>'Gas Water'!L288</f>
        <v/>
      </c>
      <c r="J285" s="124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 t="s">
        <v>13</v>
      </c>
      <c r="G286" s="4" t="str">
        <f>'Gas Water'!M289</f>
        <v/>
      </c>
      <c r="H286" s="124">
        <v>20</v>
      </c>
      <c r="I286" s="2" t="str">
        <f>'Gas Water'!L289</f>
        <v/>
      </c>
      <c r="J286" s="124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 t="s">
        <v>13</v>
      </c>
      <c r="G287" s="4" t="str">
        <f>'Gas Water'!M290</f>
        <v/>
      </c>
      <c r="H287" s="124">
        <v>20</v>
      </c>
      <c r="I287" s="2" t="str">
        <f>'Gas Water'!L290</f>
        <v/>
      </c>
      <c r="J287" s="124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 t="s">
        <v>13</v>
      </c>
      <c r="G288" s="4" t="str">
        <f>'Gas Water'!M291</f>
        <v/>
      </c>
      <c r="H288" s="124">
        <v>20</v>
      </c>
      <c r="I288" s="2" t="str">
        <f>'Gas Water'!L291</f>
        <v/>
      </c>
      <c r="J288" s="124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 t="s">
        <v>13</v>
      </c>
      <c r="G289" s="4" t="str">
        <f>'Gas Water'!M292</f>
        <v/>
      </c>
      <c r="H289" s="124">
        <v>20</v>
      </c>
      <c r="I289" s="2" t="str">
        <f>'Gas Water'!L292</f>
        <v/>
      </c>
      <c r="J289" s="124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 t="s">
        <v>13</v>
      </c>
      <c r="G290" s="4" t="str">
        <f>'Gas Water'!M293</f>
        <v/>
      </c>
      <c r="H290" s="124">
        <v>20</v>
      </c>
      <c r="I290" s="2" t="str">
        <f>'Gas Water'!L293</f>
        <v/>
      </c>
      <c r="J290" s="124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 t="s">
        <v>13</v>
      </c>
      <c r="G291" s="4" t="str">
        <f>'Gas Water'!M294</f>
        <v/>
      </c>
      <c r="H291" s="124">
        <v>20</v>
      </c>
      <c r="I291" s="2" t="str">
        <f>'Gas Water'!L294</f>
        <v/>
      </c>
      <c r="J291" s="124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 t="s">
        <v>13</v>
      </c>
      <c r="G292" s="4" t="str">
        <f>'Gas Water'!M295</f>
        <v/>
      </c>
      <c r="H292" s="124">
        <v>20</v>
      </c>
      <c r="I292" s="2" t="str">
        <f>'Gas Water'!L295</f>
        <v/>
      </c>
      <c r="J292" s="124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 t="s">
        <v>13</v>
      </c>
      <c r="G293" s="4" t="str">
        <f>'Gas Water'!M296</f>
        <v/>
      </c>
      <c r="H293" s="124">
        <v>20</v>
      </c>
      <c r="I293" s="2" t="str">
        <f>'Gas Water'!L296</f>
        <v/>
      </c>
      <c r="J293" s="124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69" workbookViewId="0">
      <selection activeCell="N288" sqref="N288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N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ht="15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ht="15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 ht="15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ht="15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ht="15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ht="15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ht="15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ht="15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ht="15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ht="15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54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4.2411990240501789E-2</v>
      </c>
      <c r="Q298" s="63">
        <f>IF(L277="",0,+SUM(L277:L307)/SUM(I277:I307))</f>
        <v>4.2411990240501789E-2</v>
      </c>
      <c r="R298" s="19">
        <f t="shared" si="88"/>
        <v>0</v>
      </c>
      <c r="S298" s="19">
        <f t="shared" si="91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0</v>
      </c>
      <c r="S299" s="19">
        <f t="shared" si="91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92</v>
      </c>
      <c r="Q301" s="68">
        <f>IF(P301="",0,+P301/SUM(R277:R307))</f>
        <v>9.1999999999999993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74" workbookViewId="0">
      <selection activeCell="G288" sqref="G288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2761</v>
      </c>
      <c r="O301" s="30">
        <f>SUM(M278:M308)</f>
        <v>21975</v>
      </c>
      <c r="Q301" s="19">
        <f t="shared" si="104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276.10000000000002</v>
      </c>
      <c r="O304" s="30">
        <f>AVERAGE(M278:M308)</f>
        <v>2197.5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2022-10-11T08:04:24Z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