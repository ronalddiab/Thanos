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2021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 s="1"/>
  <c r="H35" i="119"/>
  <c r="I32" i="117" s="1"/>
  <c r="F35" i="119"/>
  <c r="D35" i="119"/>
  <c r="B32" i="117"/>
  <c r="K32" i="117"/>
  <c r="L32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/>
  <c r="F14" i="119"/>
  <c r="F16" i="119"/>
  <c r="F22" i="119"/>
  <c r="F24" i="119"/>
  <c r="D18" i="119"/>
  <c r="D26" i="119"/>
  <c r="D33" i="119"/>
  <c r="D34" i="119"/>
  <c r="F34" i="119"/>
  <c r="H33" i="119"/>
  <c r="I30" i="117"/>
  <c r="F33" i="119"/>
  <c r="H32" i="119"/>
  <c r="I29" i="117"/>
  <c r="F32" i="119"/>
  <c r="D32" i="119"/>
  <c r="H31" i="119"/>
  <c r="I28" i="117"/>
  <c r="F31" i="119"/>
  <c r="D31" i="119"/>
  <c r="H30" i="119"/>
  <c r="I27" i="117" s="1"/>
  <c r="F30" i="119"/>
  <c r="D30" i="119"/>
  <c r="H29" i="119"/>
  <c r="I26" i="117" s="1"/>
  <c r="F29" i="119"/>
  <c r="D29" i="119"/>
  <c r="H28" i="119"/>
  <c r="I25" i="117" s="1"/>
  <c r="F28" i="119"/>
  <c r="D28" i="119"/>
  <c r="H27" i="119"/>
  <c r="I24" i="117" s="1"/>
  <c r="F27" i="119"/>
  <c r="D27" i="119"/>
  <c r="H26" i="119"/>
  <c r="I23" i="117" s="1"/>
  <c r="F26" i="119"/>
  <c r="H25" i="119"/>
  <c r="I22" i="117" s="1"/>
  <c r="F25" i="119"/>
  <c r="D25" i="119"/>
  <c r="H24" i="119"/>
  <c r="I21" i="117" s="1"/>
  <c r="D24" i="119"/>
  <c r="H23" i="119"/>
  <c r="I20" i="117" s="1"/>
  <c r="F23" i="119"/>
  <c r="D23" i="119"/>
  <c r="H22" i="119"/>
  <c r="I19" i="117" s="1"/>
  <c r="D22" i="119"/>
  <c r="H21" i="119"/>
  <c r="I18" i="117" s="1"/>
  <c r="F21" i="119"/>
  <c r="D21" i="119"/>
  <c r="H20" i="119"/>
  <c r="I17" i="117"/>
  <c r="F20" i="119"/>
  <c r="D20" i="119"/>
  <c r="H19" i="119"/>
  <c r="I16" i="117" s="1"/>
  <c r="F19" i="119"/>
  <c r="D19" i="119"/>
  <c r="H18" i="119"/>
  <c r="I15" i="117"/>
  <c r="F18" i="119"/>
  <c r="H17" i="119"/>
  <c r="I14" i="117" s="1"/>
  <c r="F17" i="119"/>
  <c r="D17" i="119"/>
  <c r="H16" i="119"/>
  <c r="I13" i="117" s="1"/>
  <c r="D16" i="119"/>
  <c r="H15" i="119"/>
  <c r="I12" i="117" s="1"/>
  <c r="F15" i="119"/>
  <c r="D15" i="119"/>
  <c r="H14" i="119"/>
  <c r="I11" i="117" s="1"/>
  <c r="D14" i="119"/>
  <c r="H13" i="119"/>
  <c r="I10" i="117"/>
  <c r="F13" i="119"/>
  <c r="D13" i="119"/>
  <c r="H12" i="119"/>
  <c r="I9" i="117" s="1"/>
  <c r="F12" i="119"/>
  <c r="D12" i="119"/>
  <c r="H11" i="119"/>
  <c r="I8" i="117" s="1"/>
  <c r="F11" i="119"/>
  <c r="D11" i="119"/>
  <c r="H10" i="119"/>
  <c r="I7" i="117" s="1"/>
  <c r="F10" i="119"/>
  <c r="D10" i="119"/>
  <c r="H9" i="119"/>
  <c r="I6" i="117" s="1"/>
  <c r="F9" i="119"/>
  <c r="D9" i="119"/>
  <c r="H8" i="119"/>
  <c r="I5" i="117" s="1"/>
  <c r="F8" i="119"/>
  <c r="D8" i="119"/>
  <c r="H7" i="119"/>
  <c r="I4" i="117"/>
  <c r="F7" i="119"/>
  <c r="D7" i="119"/>
  <c r="H6" i="119"/>
  <c r="I3" i="117" s="1"/>
  <c r="F6" i="119"/>
  <c r="D6" i="119"/>
  <c r="F5" i="119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<sst xmlns="http://schemas.openxmlformats.org/spreadsheetml/2006/main" count="56" uniqueCount="25">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</sst>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8" fontId="3" fillId="0" borderId="0" applyFont="0" applyFill="0" applyBorder="0" applyAlignment="0" applyProtection="0"/>
    <xf numFmtId="178" fontId="2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1" fillId="9" borderId="14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P8" sqref="P8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22</v>
      </c>
      <c r="B2" s="7">
        <v>1</v>
      </c>
      <c r="C2" s="8">
        <v>5</v>
      </c>
      <c r="D2" s="7">
        <v>2021</v>
      </c>
      <c r="E2" s="9">
        <v>28838.999999999385</v>
      </c>
      <c r="F2" s="30">
        <v>0.69</v>
      </c>
      <c r="G2" s="9">
        <v>1503</v>
      </c>
      <c r="H2" s="30">
        <v>4.3899999999999997</v>
      </c>
      <c r="I2" s="9">
        <f>'Shenzhen Daily'!H5</f>
        <v>423</v>
      </c>
      <c r="J2" s="30">
        <v>5.09</v>
      </c>
      <c r="K2" s="9">
        <f>'Shenzhen Daily'!I5</f>
        <v>259</v>
      </c>
      <c r="L2" s="9">
        <f>'Shenzhen Daily'!J5</f>
        <v>401</v>
      </c>
    </row>
    <row r="3" spans="1:12" ht="15" x14ac:dyDescent="0.25">
      <c r="A3" s="6" t="s">
        <v>22</v>
      </c>
      <c r="B3" s="7">
        <f>B2+1</f>
        <v>2</v>
      </c>
      <c r="C3" s="8">
        <v>5</v>
      </c>
      <c r="D3" s="7">
        <v>2021</v>
      </c>
      <c r="E3" s="9">
        <v>32926.000000000284</v>
      </c>
      <c r="F3" s="30">
        <v>0.69</v>
      </c>
      <c r="G3" s="9">
        <v>1601</v>
      </c>
      <c r="H3" s="30">
        <v>4.3899999999999997</v>
      </c>
      <c r="I3" s="9">
        <f>'Shenzhen Daily'!H6</f>
        <v>449</v>
      </c>
      <c r="J3" s="30">
        <v>5.09</v>
      </c>
      <c r="K3" s="9">
        <f>'Shenzhen Daily'!I6</f>
        <v>266</v>
      </c>
      <c r="L3" s="9">
        <f>'Shenzhen Daily'!J6</f>
        <v>497</v>
      </c>
    </row>
    <row r="4" spans="1:12" ht="15" x14ac:dyDescent="0.25">
      <c r="A4" s="6" t="s">
        <v>22</v>
      </c>
      <c r="B4" s="7">
        <f t="shared" ref="B4:B32" si="0">B3+1</f>
        <v>3</v>
      </c>
      <c r="C4" s="8">
        <v>5</v>
      </c>
      <c r="D4" s="7">
        <v>2021</v>
      </c>
      <c r="E4" s="9">
        <v>29431.000000000073</v>
      </c>
      <c r="F4" s="30">
        <v>0.69</v>
      </c>
      <c r="G4" s="9">
        <v>1721</v>
      </c>
      <c r="H4" s="30">
        <v>4.3899999999999997</v>
      </c>
      <c r="I4" s="9">
        <f>'Shenzhen Daily'!H7</f>
        <v>430</v>
      </c>
      <c r="J4" s="30">
        <v>5.09</v>
      </c>
      <c r="K4" s="9">
        <f>'Shenzhen Daily'!I7</f>
        <v>254</v>
      </c>
      <c r="L4" s="9">
        <f>'Shenzhen Daily'!J7</f>
        <v>502</v>
      </c>
    </row>
    <row r="5" spans="1:12" ht="15" x14ac:dyDescent="0.25">
      <c r="A5" s="6" t="s">
        <v>22</v>
      </c>
      <c r="B5" s="7">
        <f t="shared" si="0"/>
        <v>4</v>
      </c>
      <c r="C5" s="8">
        <v>5</v>
      </c>
      <c r="D5" s="7">
        <v>2021</v>
      </c>
      <c r="E5" s="9">
        <v>30462.99999999984</v>
      </c>
      <c r="F5" s="30">
        <v>0.69</v>
      </c>
      <c r="G5" s="9">
        <v>1625</v>
      </c>
      <c r="H5" s="30">
        <v>4.3899999999999997</v>
      </c>
      <c r="I5" s="9">
        <f>'Shenzhen Daily'!H8</f>
        <v>443</v>
      </c>
      <c r="J5" s="30">
        <v>5.09</v>
      </c>
      <c r="K5" s="9">
        <f>'Shenzhen Daily'!I8</f>
        <v>203</v>
      </c>
      <c r="L5" s="9">
        <f>'Shenzhen Daily'!J8</f>
        <v>536</v>
      </c>
    </row>
    <row r="6" spans="1:12" ht="15" x14ac:dyDescent="0.25">
      <c r="A6" s="6" t="s">
        <v>22</v>
      </c>
      <c r="B6" s="7">
        <f t="shared" si="0"/>
        <v>5</v>
      </c>
      <c r="C6" s="8">
        <v>5</v>
      </c>
      <c r="D6" s="7">
        <v>2021</v>
      </c>
      <c r="E6" s="9">
        <v>30696.000000000371</v>
      </c>
      <c r="F6" s="30">
        <v>0.69</v>
      </c>
      <c r="G6" s="9">
        <v>1517</v>
      </c>
      <c r="H6" s="30">
        <v>4.3899999999999997</v>
      </c>
      <c r="I6" s="9">
        <f>'Shenzhen Daily'!H9</f>
        <v>386</v>
      </c>
      <c r="J6" s="30">
        <v>5.09</v>
      </c>
      <c r="K6" s="9">
        <f>'Shenzhen Daily'!I9</f>
        <v>131</v>
      </c>
      <c r="L6" s="9">
        <f>'Shenzhen Daily'!J9</f>
        <v>403</v>
      </c>
    </row>
    <row r="7" spans="1:12" ht="15" x14ac:dyDescent="0.25">
      <c r="A7" s="6" t="s">
        <v>22</v>
      </c>
      <c r="B7" s="7">
        <f t="shared" si="0"/>
        <v>6</v>
      </c>
      <c r="C7" s="8">
        <v>5</v>
      </c>
      <c r="D7" s="7">
        <v>2021</v>
      </c>
      <c r="E7" s="9">
        <v>30443.000000000142</v>
      </c>
      <c r="F7" s="30">
        <v>0.69</v>
      </c>
      <c r="G7" s="9">
        <v>1504</v>
      </c>
      <c r="H7" s="30">
        <v>4.3899999999999997</v>
      </c>
      <c r="I7" s="9">
        <f>'Shenzhen Daily'!H10</f>
        <v>392</v>
      </c>
      <c r="J7" s="30">
        <v>5.09</v>
      </c>
      <c r="K7" s="9">
        <f>'Shenzhen Daily'!I10</f>
        <v>160</v>
      </c>
      <c r="L7" s="9">
        <f>'Shenzhen Daily'!J10</f>
        <v>253</v>
      </c>
    </row>
    <row r="8" spans="1:12" ht="15" x14ac:dyDescent="0.25">
      <c r="A8" s="6" t="s">
        <v>22</v>
      </c>
      <c r="B8" s="7">
        <f t="shared" si="0"/>
        <v>7</v>
      </c>
      <c r="C8" s="8">
        <v>5</v>
      </c>
      <c r="D8" s="7">
        <v>2021</v>
      </c>
      <c r="E8" s="9">
        <v>30714.999999999265</v>
      </c>
      <c r="F8" s="30">
        <v>0.69</v>
      </c>
      <c r="G8" s="9">
        <v>1453</v>
      </c>
      <c r="H8" s="30">
        <v>4.3899999999999997</v>
      </c>
      <c r="I8" s="9">
        <f>'Shenzhen Daily'!H11</f>
        <v>401</v>
      </c>
      <c r="J8" s="30">
        <v>5.09</v>
      </c>
      <c r="K8" s="9">
        <f>'Shenzhen Daily'!I11</f>
        <v>210</v>
      </c>
      <c r="L8" s="9">
        <f>'Shenzhen Daily'!J11</f>
        <v>331</v>
      </c>
    </row>
    <row r="9" spans="1:12" ht="15" x14ac:dyDescent="0.25">
      <c r="A9" s="6" t="s">
        <v>22</v>
      </c>
      <c r="B9" s="7">
        <f t="shared" si="0"/>
        <v>8</v>
      </c>
      <c r="C9" s="8">
        <v>5</v>
      </c>
      <c r="D9" s="7">
        <v>2021</v>
      </c>
      <c r="E9" s="9">
        <v>33011.000000000648</v>
      </c>
      <c r="F9" s="30">
        <v>0.69</v>
      </c>
      <c r="G9" s="9">
        <v>1454</v>
      </c>
      <c r="H9" s="30">
        <v>4.3899999999999997</v>
      </c>
      <c r="I9" s="9">
        <f>'Shenzhen Daily'!H12</f>
        <v>417</v>
      </c>
      <c r="J9" s="30">
        <v>5.09</v>
      </c>
      <c r="K9" s="9">
        <f>'Shenzhen Daily'!I12</f>
        <v>204</v>
      </c>
      <c r="L9" s="9">
        <f>'Shenzhen Daily'!J12</f>
        <v>345</v>
      </c>
    </row>
    <row r="10" spans="1:12" ht="15" x14ac:dyDescent="0.25">
      <c r="A10" s="6" t="s">
        <v>22</v>
      </c>
      <c r="B10" s="7">
        <f t="shared" si="0"/>
        <v>9</v>
      </c>
      <c r="C10" s="8">
        <v>5</v>
      </c>
      <c r="D10" s="7">
        <v>2021</v>
      </c>
      <c r="E10" s="9">
        <v>33203.000000000167</v>
      </c>
      <c r="F10" s="30">
        <v>0.69</v>
      </c>
      <c r="G10" s="9">
        <v>1607</v>
      </c>
      <c r="H10" s="30">
        <v>4.3899999999999997</v>
      </c>
      <c r="I10" s="9">
        <f>'Shenzhen Daily'!H13</f>
        <v>461</v>
      </c>
      <c r="J10" s="30">
        <v>5.09</v>
      </c>
      <c r="K10" s="9">
        <f>'Shenzhen Daily'!I13</f>
        <v>168</v>
      </c>
      <c r="L10" s="9">
        <f>'Shenzhen Daily'!J13</f>
        <v>624</v>
      </c>
    </row>
    <row r="11" spans="1:12" ht="15" x14ac:dyDescent="0.25">
      <c r="A11" s="6" t="s">
        <v>22</v>
      </c>
      <c r="B11" s="7">
        <f t="shared" si="0"/>
        <v>10</v>
      </c>
      <c r="C11" s="8">
        <v>5</v>
      </c>
      <c r="D11" s="7">
        <v>2021</v>
      </c>
      <c r="E11" s="9">
        <v>32276.999999999123</v>
      </c>
      <c r="F11" s="30">
        <v>0.69</v>
      </c>
      <c r="G11" s="9">
        <v>1468</v>
      </c>
      <c r="H11" s="30">
        <v>4.3899999999999997</v>
      </c>
      <c r="I11" s="9">
        <f>'Shenzhen Daily'!H14</f>
        <v>407</v>
      </c>
      <c r="J11" s="30">
        <v>5.09</v>
      </c>
      <c r="K11" s="9">
        <f>'Shenzhen Daily'!I14</f>
        <v>240</v>
      </c>
      <c r="L11" s="9">
        <f>'Shenzhen Daily'!J14</f>
        <v>306</v>
      </c>
    </row>
    <row r="12" spans="1:12" ht="15" x14ac:dyDescent="0.25">
      <c r="A12" s="6" t="s">
        <v>22</v>
      </c>
      <c r="B12" s="7">
        <f t="shared" si="0"/>
        <v>11</v>
      </c>
      <c r="C12" s="8">
        <v>5</v>
      </c>
      <c r="D12" s="7">
        <v>2021</v>
      </c>
      <c r="E12" s="9">
        <v>34428.000000000815</v>
      </c>
      <c r="F12" s="30">
        <v>0.69</v>
      </c>
      <c r="G12" s="9">
        <v>1525</v>
      </c>
      <c r="H12" s="30">
        <v>4.3899999999999997</v>
      </c>
      <c r="I12" s="9">
        <f>'Shenzhen Daily'!H15</f>
        <v>435</v>
      </c>
      <c r="J12" s="30">
        <v>5.09</v>
      </c>
      <c r="K12" s="9">
        <f>'Shenzhen Daily'!I15</f>
        <v>266</v>
      </c>
      <c r="L12" s="9">
        <f>'Shenzhen Daily'!J15</f>
        <v>438</v>
      </c>
    </row>
    <row r="13" spans="1:12" ht="15" x14ac:dyDescent="0.25">
      <c r="A13" s="6" t="s">
        <v>22</v>
      </c>
      <c r="B13" s="7">
        <f t="shared" si="0"/>
        <v>12</v>
      </c>
      <c r="C13" s="8">
        <v>5</v>
      </c>
      <c r="D13" s="7">
        <v>2021</v>
      </c>
      <c r="E13" s="9">
        <v>34419.0000000004</v>
      </c>
      <c r="F13" s="30">
        <v>0.69</v>
      </c>
      <c r="G13" s="9">
        <v>1477</v>
      </c>
      <c r="H13" s="30">
        <v>4.3899999999999997</v>
      </c>
      <c r="I13" s="9">
        <f>'Shenzhen Daily'!H16</f>
        <v>457</v>
      </c>
      <c r="J13" s="30">
        <v>5.09</v>
      </c>
      <c r="K13" s="9">
        <f>'Shenzhen Daily'!I16</f>
        <v>266</v>
      </c>
      <c r="L13" s="9">
        <f>'Shenzhen Daily'!J16</f>
        <v>423</v>
      </c>
    </row>
    <row r="14" spans="1:12" ht="15" x14ac:dyDescent="0.25">
      <c r="A14" s="6" t="s">
        <v>22</v>
      </c>
      <c r="B14" s="7">
        <f t="shared" si="0"/>
        <v>13</v>
      </c>
      <c r="C14" s="8">
        <v>5</v>
      </c>
      <c r="D14" s="7">
        <v>2021</v>
      </c>
      <c r="E14" s="9">
        <v>35086.999999999498</v>
      </c>
      <c r="F14" s="30">
        <v>0.69</v>
      </c>
      <c r="G14" s="9">
        <v>1490</v>
      </c>
      <c r="H14" s="30">
        <v>4.3899999999999997</v>
      </c>
      <c r="I14" s="9">
        <f>'Shenzhen Daily'!H17</f>
        <v>398</v>
      </c>
      <c r="J14" s="30">
        <v>5.09</v>
      </c>
      <c r="K14" s="9">
        <f>'Shenzhen Daily'!I17</f>
        <v>266</v>
      </c>
      <c r="L14" s="9">
        <f>'Shenzhen Daily'!J17</f>
        <v>412</v>
      </c>
    </row>
    <row r="15" spans="1:12" ht="15" x14ac:dyDescent="0.25">
      <c r="A15" s="6" t="s">
        <v>22</v>
      </c>
      <c r="B15" s="7">
        <f t="shared" si="0"/>
        <v>14</v>
      </c>
      <c r="C15" s="8">
        <v>5</v>
      </c>
      <c r="D15" s="7">
        <v>2021</v>
      </c>
      <c r="E15" s="9">
        <v>34022.999999999935</v>
      </c>
      <c r="F15" s="30">
        <v>0.69</v>
      </c>
      <c r="G15" s="9">
        <v>1513</v>
      </c>
      <c r="H15" s="30">
        <v>4.3899999999999997</v>
      </c>
      <c r="I15" s="9">
        <f>'Shenzhen Daily'!H18</f>
        <v>462</v>
      </c>
      <c r="J15" s="30">
        <v>5.09</v>
      </c>
      <c r="K15" s="9">
        <f>'Shenzhen Daily'!I18</f>
        <v>266</v>
      </c>
      <c r="L15" s="9">
        <f>'Shenzhen Daily'!J18</f>
        <v>423</v>
      </c>
    </row>
    <row r="16" spans="1:12" ht="15" x14ac:dyDescent="0.25">
      <c r="A16" s="6" t="s">
        <v>22</v>
      </c>
      <c r="B16" s="7">
        <f t="shared" si="0"/>
        <v>15</v>
      </c>
      <c r="C16" s="8">
        <v>5</v>
      </c>
      <c r="D16" s="7">
        <v>2021</v>
      </c>
      <c r="E16" s="9">
        <v>34697.999999999345</v>
      </c>
      <c r="F16" s="30">
        <v>0.69</v>
      </c>
      <c r="G16" s="9">
        <v>1480</v>
      </c>
      <c r="H16" s="30">
        <v>4.3899999999999997</v>
      </c>
      <c r="I16" s="9">
        <f>'Shenzhen Daily'!H19</f>
        <v>480</v>
      </c>
      <c r="J16" s="30">
        <v>5.09</v>
      </c>
      <c r="K16" s="9">
        <f>'Shenzhen Daily'!I19</f>
        <v>251</v>
      </c>
      <c r="L16" s="9">
        <f>'Shenzhen Daily'!J19</f>
        <v>357</v>
      </c>
    </row>
    <row r="17" spans="1:12" ht="15" x14ac:dyDescent="0.25">
      <c r="A17" s="6" t="s">
        <v>22</v>
      </c>
      <c r="B17" s="7">
        <f t="shared" si="0"/>
        <v>16</v>
      </c>
      <c r="C17" s="8">
        <v>5</v>
      </c>
      <c r="D17" s="7">
        <v>2021</v>
      </c>
      <c r="E17" s="9">
        <v>35814.000000001062</v>
      </c>
      <c r="F17" s="30">
        <v>0.69</v>
      </c>
      <c r="G17" s="9">
        <v>1540</v>
      </c>
      <c r="H17" s="30">
        <v>4.3899999999999997</v>
      </c>
      <c r="I17" s="9">
        <f>'Shenzhen Daily'!H20</f>
        <v>550</v>
      </c>
      <c r="J17" s="30">
        <v>5.09</v>
      </c>
      <c r="K17" s="9">
        <f>'Shenzhen Daily'!I20</f>
        <v>254</v>
      </c>
      <c r="L17" s="9">
        <f>'Shenzhen Daily'!J20</f>
        <v>426</v>
      </c>
    </row>
    <row r="18" spans="1:12" ht="15" x14ac:dyDescent="0.25">
      <c r="A18" s="6" t="s">
        <v>22</v>
      </c>
      <c r="B18" s="7">
        <f t="shared" si="0"/>
        <v>17</v>
      </c>
      <c r="C18" s="8">
        <v>5</v>
      </c>
      <c r="D18" s="7">
        <v>2021</v>
      </c>
      <c r="E18" s="9">
        <v>35346.999999999694</v>
      </c>
      <c r="F18" s="30">
        <v>0.69</v>
      </c>
      <c r="G18" s="9">
        <v>1633</v>
      </c>
      <c r="H18" s="30">
        <v>4.3899999999999997</v>
      </c>
      <c r="I18" s="9">
        <f>'Shenzhen Daily'!H21</f>
        <v>467</v>
      </c>
      <c r="J18" s="30">
        <v>5.09</v>
      </c>
      <c r="K18" s="9">
        <f>'Shenzhen Daily'!I21</f>
        <v>262</v>
      </c>
      <c r="L18" s="9">
        <f>'Shenzhen Daily'!J21</f>
        <v>466</v>
      </c>
    </row>
    <row r="19" spans="1:12" ht="15" x14ac:dyDescent="0.25">
      <c r="A19" s="6" t="s">
        <v>22</v>
      </c>
      <c r="B19" s="7">
        <f t="shared" si="0"/>
        <v>18</v>
      </c>
      <c r="C19" s="8">
        <v>5</v>
      </c>
      <c r="D19" s="7">
        <v>2021</v>
      </c>
      <c r="E19" s="9">
        <v>35710.999999999709</v>
      </c>
      <c r="F19" s="30">
        <v>0.69</v>
      </c>
      <c r="G19" s="9">
        <v>1474</v>
      </c>
      <c r="H19" s="30">
        <v>4.3899999999999997</v>
      </c>
      <c r="I19" s="9">
        <f>'Shenzhen Daily'!H22</f>
        <v>453</v>
      </c>
      <c r="J19" s="30">
        <v>5.09</v>
      </c>
      <c r="K19" s="9">
        <f>'Shenzhen Daily'!I22</f>
        <v>254</v>
      </c>
      <c r="L19" s="9">
        <f>'Shenzhen Daily'!J22</f>
        <v>527</v>
      </c>
    </row>
    <row r="20" spans="1:12" ht="15" x14ac:dyDescent="0.25">
      <c r="A20" s="6" t="s">
        <v>22</v>
      </c>
      <c r="B20" s="7">
        <f t="shared" si="0"/>
        <v>19</v>
      </c>
      <c r="C20" s="8">
        <v>5</v>
      </c>
      <c r="D20" s="7">
        <v>2021</v>
      </c>
      <c r="E20" s="9">
        <v>33494.000000001019</v>
      </c>
      <c r="F20" s="30">
        <v>0.69</v>
      </c>
      <c r="G20" s="9">
        <v>1653</v>
      </c>
      <c r="H20" s="30">
        <v>4.3899999999999997</v>
      </c>
      <c r="I20" s="9">
        <f>'Shenzhen Daily'!H23</f>
        <v>491</v>
      </c>
      <c r="J20" s="30">
        <v>5.09</v>
      </c>
      <c r="K20" s="9">
        <f>'Shenzhen Daily'!I23</f>
        <v>253</v>
      </c>
      <c r="L20" s="9">
        <f>'Shenzhen Daily'!J23</f>
        <v>458</v>
      </c>
    </row>
    <row r="21" spans="1:12" ht="15" x14ac:dyDescent="0.25">
      <c r="A21" s="6" t="s">
        <v>22</v>
      </c>
      <c r="B21" s="7">
        <f t="shared" si="0"/>
        <v>20</v>
      </c>
      <c r="C21" s="8">
        <v>5</v>
      </c>
      <c r="D21" s="7">
        <v>2021</v>
      </c>
      <c r="E21" s="9">
        <v>38945.999999998603</v>
      </c>
      <c r="F21" s="30">
        <v>0.69</v>
      </c>
      <c r="G21" s="9">
        <v>1566</v>
      </c>
      <c r="H21" s="30">
        <v>4.3899999999999997</v>
      </c>
      <c r="I21" s="9">
        <f>'Shenzhen Daily'!H24</f>
        <v>492</v>
      </c>
      <c r="J21" s="30">
        <v>5.09</v>
      </c>
      <c r="K21" s="9">
        <f>'Shenzhen Daily'!I24</f>
        <v>262</v>
      </c>
      <c r="L21" s="9">
        <f>'Shenzhen Daily'!J24</f>
        <v>504</v>
      </c>
    </row>
    <row r="22" spans="1:12" ht="15" x14ac:dyDescent="0.25">
      <c r="A22" s="6" t="s">
        <v>22</v>
      </c>
      <c r="B22" s="7">
        <f t="shared" si="0"/>
        <v>21</v>
      </c>
      <c r="C22" s="8">
        <v>5</v>
      </c>
      <c r="D22" s="7">
        <v>2021</v>
      </c>
      <c r="E22" s="9">
        <v>34707.00000000016</v>
      </c>
      <c r="F22" s="30">
        <v>0.69</v>
      </c>
      <c r="G22" s="9">
        <v>1511</v>
      </c>
      <c r="H22" s="30">
        <v>4.3899999999999997</v>
      </c>
      <c r="I22" s="9">
        <f>'Shenzhen Daily'!H25</f>
        <v>556</v>
      </c>
      <c r="J22" s="30">
        <v>5.09</v>
      </c>
      <c r="K22" s="9">
        <f>'Shenzhen Daily'!I25</f>
        <v>263</v>
      </c>
      <c r="L22" s="9">
        <f>'Shenzhen Daily'!J25</f>
        <v>399</v>
      </c>
    </row>
    <row r="23" spans="1:12" ht="15" x14ac:dyDescent="0.25">
      <c r="A23" s="6" t="s">
        <v>22</v>
      </c>
      <c r="B23" s="7">
        <f t="shared" si="0"/>
        <v>22</v>
      </c>
      <c r="C23" s="8">
        <v>5</v>
      </c>
      <c r="D23" s="7">
        <v>2021</v>
      </c>
      <c r="E23" s="9">
        <v>36001.00000000064</v>
      </c>
      <c r="F23" s="30">
        <v>0.69</v>
      </c>
      <c r="G23" s="9">
        <v>1621</v>
      </c>
      <c r="H23" s="30">
        <v>4.3899999999999997</v>
      </c>
      <c r="I23" s="9">
        <f>'Shenzhen Daily'!H26</f>
        <v>458</v>
      </c>
      <c r="J23" s="30">
        <v>5.09</v>
      </c>
      <c r="K23" s="9">
        <f>'Shenzhen Daily'!I26</f>
        <v>253</v>
      </c>
      <c r="L23" s="9">
        <f>'Shenzhen Daily'!J26</f>
        <v>395</v>
      </c>
    </row>
    <row r="24" spans="1:12" ht="15" x14ac:dyDescent="0.25">
      <c r="A24" s="6" t="s">
        <v>22</v>
      </c>
      <c r="B24" s="7">
        <f t="shared" si="0"/>
        <v>23</v>
      </c>
      <c r="C24" s="8">
        <v>5</v>
      </c>
      <c r="D24" s="7">
        <v>2021</v>
      </c>
      <c r="E24" s="9">
        <v>34294.999999998661</v>
      </c>
      <c r="F24" s="30">
        <v>0.69</v>
      </c>
      <c r="G24" s="9">
        <v>1530</v>
      </c>
      <c r="H24" s="30">
        <v>4.3899999999999997</v>
      </c>
      <c r="I24" s="9">
        <f>'Shenzhen Daily'!H27</f>
        <v>472</v>
      </c>
      <c r="J24" s="30">
        <v>5.09</v>
      </c>
      <c r="K24" s="9">
        <f>'Shenzhen Daily'!I27</f>
        <v>180</v>
      </c>
      <c r="L24" s="9">
        <f>'Shenzhen Daily'!J27</f>
        <v>405</v>
      </c>
    </row>
    <row r="25" spans="1:12" ht="15" x14ac:dyDescent="0.25">
      <c r="A25" s="6" t="s">
        <v>22</v>
      </c>
      <c r="B25" s="7">
        <f t="shared" si="0"/>
        <v>24</v>
      </c>
      <c r="C25" s="8">
        <v>5</v>
      </c>
      <c r="D25" s="7">
        <v>2021</v>
      </c>
      <c r="E25" s="9">
        <v>34772.00000000107</v>
      </c>
      <c r="F25" s="30">
        <v>0.69</v>
      </c>
      <c r="G25" s="9">
        <v>1469</v>
      </c>
      <c r="H25" s="30">
        <v>4.3899999999999997</v>
      </c>
      <c r="I25" s="9">
        <f>'Shenzhen Daily'!H28</f>
        <v>459</v>
      </c>
      <c r="J25" s="30">
        <v>5.09</v>
      </c>
      <c r="K25" s="9">
        <f>'Shenzhen Daily'!I28</f>
        <v>179</v>
      </c>
      <c r="L25" s="9">
        <f>'Shenzhen Daily'!J28</f>
        <v>267</v>
      </c>
    </row>
    <row r="26" spans="1:12" ht="15" x14ac:dyDescent="0.25">
      <c r="A26" s="6" t="s">
        <v>22</v>
      </c>
      <c r="B26" s="7">
        <f>B25+1</f>
        <v>25</v>
      </c>
      <c r="C26" s="8">
        <v>5</v>
      </c>
      <c r="D26" s="7">
        <v>2021</v>
      </c>
      <c r="E26" s="9">
        <v>35393.999999999302</v>
      </c>
      <c r="F26" s="30">
        <v>0.69</v>
      </c>
      <c r="G26" s="9">
        <v>1399</v>
      </c>
      <c r="H26" s="30">
        <v>4.3899999999999997</v>
      </c>
      <c r="I26" s="9">
        <f>'Shenzhen Daily'!H29</f>
        <v>385</v>
      </c>
      <c r="J26" s="30">
        <v>5.09</v>
      </c>
      <c r="K26" s="9">
        <f>'Shenzhen Daily'!I29</f>
        <v>199</v>
      </c>
      <c r="L26" s="9">
        <f>'Shenzhen Daily'!J29</f>
        <v>282</v>
      </c>
    </row>
    <row r="27" spans="1:12" ht="15" x14ac:dyDescent="0.25">
      <c r="A27" s="6" t="s">
        <v>22</v>
      </c>
      <c r="B27" s="7">
        <f t="shared" si="0"/>
        <v>26</v>
      </c>
      <c r="C27" s="8">
        <v>5</v>
      </c>
      <c r="D27" s="7">
        <v>2021</v>
      </c>
      <c r="E27" s="9">
        <v>35447.000000000829</v>
      </c>
      <c r="F27" s="30">
        <v>0.69</v>
      </c>
      <c r="G27" s="9">
        <v>1395</v>
      </c>
      <c r="H27" s="30">
        <v>4.3899999999999997</v>
      </c>
      <c r="I27" s="9">
        <f>'Shenzhen Daily'!H30</f>
        <v>453</v>
      </c>
      <c r="J27" s="30">
        <v>5.09</v>
      </c>
      <c r="K27" s="9">
        <f>'Shenzhen Daily'!I30</f>
        <v>236</v>
      </c>
      <c r="L27" s="9">
        <f>'Shenzhen Daily'!J30</f>
        <v>316</v>
      </c>
    </row>
    <row r="28" spans="1:12" ht="15" x14ac:dyDescent="0.25">
      <c r="A28" s="6" t="s">
        <v>22</v>
      </c>
      <c r="B28" s="7">
        <f t="shared" si="0"/>
        <v>27</v>
      </c>
      <c r="C28" s="8">
        <v>5</v>
      </c>
      <c r="D28" s="7">
        <v>2021</v>
      </c>
      <c r="E28" s="9">
        <v>35152.999999999498</v>
      </c>
      <c r="F28" s="30">
        <v>0.69</v>
      </c>
      <c r="G28" s="9">
        <v>1405</v>
      </c>
      <c r="H28" s="30">
        <v>4.3899999999999997</v>
      </c>
      <c r="I28" s="9">
        <f>'Shenzhen Daily'!H31</f>
        <v>409</v>
      </c>
      <c r="J28" s="30">
        <v>5.09</v>
      </c>
      <c r="K28" s="9">
        <f>'Shenzhen Daily'!I31</f>
        <v>227</v>
      </c>
      <c r="L28" s="9">
        <f>'Shenzhen Daily'!J31</f>
        <v>395</v>
      </c>
    </row>
    <row r="29" spans="1:12" ht="15" x14ac:dyDescent="0.25">
      <c r="A29" s="6" t="s">
        <v>22</v>
      </c>
      <c r="B29" s="7">
        <f t="shared" si="0"/>
        <v>28</v>
      </c>
      <c r="C29" s="8">
        <v>5</v>
      </c>
      <c r="D29" s="7">
        <v>2021</v>
      </c>
      <c r="E29" s="9">
        <v>38101.000000000407</v>
      </c>
      <c r="F29" s="30">
        <v>0.69</v>
      </c>
      <c r="G29" s="9">
        <v>1495</v>
      </c>
      <c r="H29" s="30">
        <v>4.3899999999999997</v>
      </c>
      <c r="I29" s="9">
        <f>'Shenzhen Daily'!H32</f>
        <v>468</v>
      </c>
      <c r="J29" s="30">
        <v>5.09</v>
      </c>
      <c r="K29" s="9">
        <f>'Shenzhen Daily'!I32</f>
        <v>186</v>
      </c>
      <c r="L29" s="9">
        <f>'Shenzhen Daily'!J32</f>
        <v>438</v>
      </c>
    </row>
    <row r="30" spans="1:12" ht="15" x14ac:dyDescent="0.25">
      <c r="A30" s="6" t="s">
        <v>22</v>
      </c>
      <c r="B30" s="7">
        <f t="shared" si="0"/>
        <v>29</v>
      </c>
      <c r="C30" s="8">
        <v>5</v>
      </c>
      <c r="D30" s="7">
        <v>2021</v>
      </c>
      <c r="E30" s="9">
        <v>37702.999999999192</v>
      </c>
      <c r="F30" s="30">
        <v>0.69</v>
      </c>
      <c r="G30" s="9">
        <v>1531</v>
      </c>
      <c r="H30" s="30">
        <v>4.3899999999999997</v>
      </c>
      <c r="I30" s="9">
        <f>'Shenzhen Daily'!H33</f>
        <v>418</v>
      </c>
      <c r="J30" s="30">
        <v>5.09</v>
      </c>
      <c r="K30" s="9">
        <f>'Shenzhen Daily'!I33</f>
        <v>154</v>
      </c>
      <c r="L30" s="9">
        <f>'Shenzhen Daily'!J33</f>
        <v>362</v>
      </c>
    </row>
    <row r="31" spans="1:12" ht="15" x14ac:dyDescent="0.25">
      <c r="A31" s="6" t="s">
        <v>22</v>
      </c>
      <c r="B31" s="7">
        <f t="shared" si="0"/>
        <v>30</v>
      </c>
      <c r="C31" s="8">
        <v>5</v>
      </c>
      <c r="D31" s="7">
        <v>2021</v>
      </c>
      <c r="E31" s="9">
        <v>36380.000000001295</v>
      </c>
      <c r="F31" s="30">
        <v>0.69</v>
      </c>
      <c r="G31" s="9">
        <v>1354</v>
      </c>
      <c r="H31" s="30">
        <v>4.3899999999999997</v>
      </c>
      <c r="I31" s="9">
        <f>'Shenzhen Daily'!H34</f>
        <v>404</v>
      </c>
      <c r="J31" s="30">
        <v>5.09</v>
      </c>
      <c r="K31" s="9">
        <f>'Shenzhen Daily'!I34</f>
        <v>117</v>
      </c>
      <c r="L31" s="9">
        <f>'Shenzhen Daily'!J34</f>
        <v>260</v>
      </c>
    </row>
    <row r="32" spans="1:12" ht="15" x14ac:dyDescent="0.25">
      <c r="A32" s="6" t="s">
        <v>22</v>
      </c>
      <c r="B32" s="7">
        <f t="shared" si="0"/>
        <v>31</v>
      </c>
      <c r="C32" s="8">
        <v>5</v>
      </c>
      <c r="D32" s="7">
        <v>2021</v>
      </c>
      <c r="E32" s="9">
        <v>35921.999999999105</v>
      </c>
      <c r="F32" s="30">
        <v>0.69</v>
      </c>
      <c r="G32" s="9">
        <v>1396</v>
      </c>
      <c r="H32" s="30">
        <v>4.3899999999999997</v>
      </c>
      <c r="I32" s="9">
        <f>'Shenzhen Daily'!H35</f>
        <v>421</v>
      </c>
      <c r="J32" s="30">
        <v>5.09</v>
      </c>
      <c r="K32" s="9">
        <f>'Shenzhen Daily'!I35</f>
        <v>96</v>
      </c>
      <c r="L32" s="9">
        <f>'Shenzhen Daily'!J35</f>
        <v>297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zoomScale="85" zoomScaleNormal="85" workbookViewId="0">
      <pane xSplit="1" topLeftCell="B1" activePane="topRight" state="frozen"/>
      <selection pane="topRight" activeCell="J5" sqref="J5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2"/>
      <c r="C1" s="10"/>
      <c r="D1" s="11"/>
      <c r="E1" s="10"/>
      <c r="F1" s="10"/>
      <c r="G1" s="54"/>
      <c r="H1" s="54"/>
      <c r="I1" s="12"/>
      <c r="J1" s="12"/>
    </row>
    <row r="2" spans="1:10" ht="35.25" customHeight="1" thickBot="1" x14ac:dyDescent="0.2">
      <c r="A2" s="14" t="s">
        <v>9</v>
      </c>
      <c r="B2" s="52"/>
      <c r="C2" s="55" t="s">
        <v>19</v>
      </c>
      <c r="D2" s="56"/>
      <c r="E2" s="57" t="s">
        <v>20</v>
      </c>
      <c r="F2" s="57"/>
      <c r="G2" s="58" t="s">
        <v>10</v>
      </c>
      <c r="H2" s="59"/>
      <c r="I2" s="15"/>
      <c r="J2" s="15"/>
    </row>
    <row r="3" spans="1:10" ht="44.25" customHeight="1" x14ac:dyDescent="0.15">
      <c r="A3" s="16" t="s">
        <v>11</v>
      </c>
      <c r="B3" s="52"/>
      <c r="C3" s="40" t="s">
        <v>12</v>
      </c>
      <c r="D3" s="17" t="s">
        <v>13</v>
      </c>
      <c r="E3" s="44" t="s">
        <v>14</v>
      </c>
      <c r="F3" s="18" t="s">
        <v>13</v>
      </c>
      <c r="G3" s="44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 x14ac:dyDescent="0.2">
      <c r="A4" s="21">
        <v>44316</v>
      </c>
      <c r="B4" s="53"/>
      <c r="C4" s="41">
        <v>29091.640000000003</v>
      </c>
      <c r="D4" s="42"/>
      <c r="E4" s="41">
        <v>2664593</v>
      </c>
      <c r="F4" s="45"/>
      <c r="G4" s="41">
        <v>444136</v>
      </c>
      <c r="H4" s="47"/>
      <c r="I4" s="23">
        <v>210</v>
      </c>
      <c r="J4" s="23">
        <v>340</v>
      </c>
    </row>
    <row r="5" spans="1:10" ht="33" customHeight="1" x14ac:dyDescent="0.2">
      <c r="A5" s="24">
        <v>44317</v>
      </c>
      <c r="B5" s="53"/>
      <c r="C5" s="41">
        <v>29114.47</v>
      </c>
      <c r="D5" s="43">
        <f t="shared" ref="D5:D22" si="0">IF((C5-C4&lt;0), "0",C5-C4)</f>
        <v>22.829999999998108</v>
      </c>
      <c r="E5" s="41">
        <v>2666096</v>
      </c>
      <c r="F5" s="43">
        <f>IF((E5-E4&lt;0), "0",E5-E4)</f>
        <v>1503</v>
      </c>
      <c r="G5" s="41">
        <v>444559</v>
      </c>
      <c r="H5" s="39">
        <f>IF((G5-G4&lt;0), "0",G5-G4)</f>
        <v>423</v>
      </c>
      <c r="I5" s="26">
        <v>259</v>
      </c>
      <c r="J5" s="26">
        <v>401</v>
      </c>
    </row>
    <row r="6" spans="1:10" ht="45" customHeight="1" x14ac:dyDescent="0.2">
      <c r="A6" s="24">
        <v>44318</v>
      </c>
      <c r="B6" s="53"/>
      <c r="C6" s="41">
        <v>29137.100000000006</v>
      </c>
      <c r="D6" s="43">
        <f t="shared" si="0"/>
        <v>22.630000000004657</v>
      </c>
      <c r="E6" s="41">
        <v>2667698</v>
      </c>
      <c r="F6" s="43">
        <f t="shared" ref="F6:F35" si="1">IF((E6-E5&lt;0), "0",E6-E5)</f>
        <v>1602</v>
      </c>
      <c r="G6" s="41">
        <v>445008</v>
      </c>
      <c r="H6" s="48">
        <f t="shared" ref="H6:H35" si="2">IF((G6-G5&lt;0), "0",G6-G5)</f>
        <v>449</v>
      </c>
      <c r="I6" s="38">
        <v>266</v>
      </c>
      <c r="J6" s="38">
        <v>497</v>
      </c>
    </row>
    <row r="7" spans="1:10" ht="45" customHeight="1" x14ac:dyDescent="0.2">
      <c r="A7" s="24">
        <v>44319</v>
      </c>
      <c r="B7" s="53"/>
      <c r="C7" s="41">
        <v>29159.739999999998</v>
      </c>
      <c r="D7" s="43">
        <f t="shared" si="0"/>
        <v>22.639999999992142</v>
      </c>
      <c r="E7" s="41">
        <v>2669420</v>
      </c>
      <c r="F7" s="43">
        <f t="shared" si="1"/>
        <v>1722</v>
      </c>
      <c r="G7" s="41">
        <v>445438</v>
      </c>
      <c r="H7" s="39">
        <f t="shared" si="2"/>
        <v>430</v>
      </c>
      <c r="I7" s="12">
        <v>254</v>
      </c>
      <c r="J7" s="12">
        <v>502</v>
      </c>
    </row>
    <row r="8" spans="1:10" ht="45" customHeight="1" x14ac:dyDescent="0.2">
      <c r="A8" s="24">
        <v>44320</v>
      </c>
      <c r="B8" s="52"/>
      <c r="C8" s="31">
        <v>29181.82</v>
      </c>
      <c r="D8" s="37">
        <f t="shared" si="0"/>
        <v>22.080000000001746</v>
      </c>
      <c r="E8" s="31">
        <v>2671046</v>
      </c>
      <c r="F8" s="46">
        <f t="shared" si="1"/>
        <v>1626</v>
      </c>
      <c r="G8" s="41">
        <v>445881</v>
      </c>
      <c r="H8" s="39">
        <f t="shared" si="2"/>
        <v>443</v>
      </c>
      <c r="I8" s="12">
        <v>203</v>
      </c>
      <c r="J8" s="12">
        <v>536</v>
      </c>
    </row>
    <row r="9" spans="1:10" ht="45" customHeight="1" x14ac:dyDescent="0.2">
      <c r="A9" s="24">
        <v>44321</v>
      </c>
      <c r="B9" s="52"/>
      <c r="C9" s="31">
        <v>29204.050000000003</v>
      </c>
      <c r="D9" s="25">
        <f t="shared" si="0"/>
        <v>22.230000000003201</v>
      </c>
      <c r="E9" s="31">
        <v>2672563</v>
      </c>
      <c r="F9" s="25">
        <f t="shared" si="1"/>
        <v>1517</v>
      </c>
      <c r="G9" s="31">
        <v>446267</v>
      </c>
      <c r="H9" s="25">
        <f t="shared" si="2"/>
        <v>386</v>
      </c>
      <c r="I9" s="12">
        <v>131</v>
      </c>
      <c r="J9" s="12">
        <v>403</v>
      </c>
    </row>
    <row r="10" spans="1:10" ht="45" customHeight="1" x14ac:dyDescent="0.2">
      <c r="A10" s="24">
        <v>44322</v>
      </c>
      <c r="B10" s="52"/>
      <c r="C10" s="31">
        <v>29226.809999999998</v>
      </c>
      <c r="D10" s="25">
        <f t="shared" si="0"/>
        <v>22.759999999994761</v>
      </c>
      <c r="E10" s="31">
        <v>2674068</v>
      </c>
      <c r="F10" s="25">
        <f t="shared" si="1"/>
        <v>1505</v>
      </c>
      <c r="G10" s="31">
        <v>446659</v>
      </c>
      <c r="H10" s="25">
        <f t="shared" si="2"/>
        <v>392</v>
      </c>
      <c r="I10" s="12">
        <v>160</v>
      </c>
      <c r="J10" s="12">
        <v>253</v>
      </c>
    </row>
    <row r="11" spans="1:10" ht="45" customHeight="1" x14ac:dyDescent="0.2">
      <c r="A11" s="24">
        <v>44323</v>
      </c>
      <c r="B11" s="52"/>
      <c r="C11" s="31">
        <v>29249.89</v>
      </c>
      <c r="D11" s="25">
        <f t="shared" si="0"/>
        <v>23.080000000001746</v>
      </c>
      <c r="E11" s="31">
        <v>2675523</v>
      </c>
      <c r="F11" s="25">
        <f t="shared" si="1"/>
        <v>1455</v>
      </c>
      <c r="G11" s="31">
        <v>447060</v>
      </c>
      <c r="H11" s="25">
        <f t="shared" si="2"/>
        <v>401</v>
      </c>
      <c r="I11" s="12">
        <v>210</v>
      </c>
      <c r="J11" s="12">
        <v>331</v>
      </c>
    </row>
    <row r="12" spans="1:10" ht="45" customHeight="1" x14ac:dyDescent="0.2">
      <c r="A12" s="24">
        <v>44324</v>
      </c>
      <c r="B12" s="52"/>
      <c r="C12" s="31">
        <v>29272.81</v>
      </c>
      <c r="D12" s="25">
        <f t="shared" si="0"/>
        <v>22.920000000001892</v>
      </c>
      <c r="E12" s="31">
        <v>2676978</v>
      </c>
      <c r="F12" s="25">
        <f t="shared" si="1"/>
        <v>1455</v>
      </c>
      <c r="G12" s="31">
        <v>447477</v>
      </c>
      <c r="H12" s="25">
        <f t="shared" si="2"/>
        <v>417</v>
      </c>
      <c r="I12" s="12">
        <v>204</v>
      </c>
      <c r="J12" s="12">
        <v>345</v>
      </c>
    </row>
    <row r="13" spans="1:10" ht="45" customHeight="1" x14ac:dyDescent="0.2">
      <c r="A13" s="24">
        <v>44325</v>
      </c>
      <c r="B13" s="52"/>
      <c r="C13" s="31">
        <v>29298.15</v>
      </c>
      <c r="D13" s="25">
        <f t="shared" si="0"/>
        <v>25.340000000000146</v>
      </c>
      <c r="E13" s="31">
        <v>2678586</v>
      </c>
      <c r="F13" s="25">
        <f t="shared" si="1"/>
        <v>1608</v>
      </c>
      <c r="G13" s="31">
        <v>447938</v>
      </c>
      <c r="H13" s="25">
        <f t="shared" si="2"/>
        <v>461</v>
      </c>
      <c r="I13" s="12">
        <v>168</v>
      </c>
      <c r="J13" s="12">
        <v>624</v>
      </c>
    </row>
    <row r="14" spans="1:10" ht="45" customHeight="1" x14ac:dyDescent="0.2">
      <c r="A14" s="24">
        <v>44326</v>
      </c>
      <c r="B14" s="52"/>
      <c r="C14" s="31">
        <v>29325.569999999996</v>
      </c>
      <c r="D14" s="25">
        <f t="shared" si="0"/>
        <v>27.419999999994616</v>
      </c>
      <c r="E14" s="31">
        <v>2680056</v>
      </c>
      <c r="F14" s="25">
        <f t="shared" si="1"/>
        <v>1470</v>
      </c>
      <c r="G14" s="31">
        <v>448345</v>
      </c>
      <c r="H14" s="25">
        <f t="shared" si="2"/>
        <v>407</v>
      </c>
      <c r="I14" s="12">
        <v>240</v>
      </c>
      <c r="J14" s="12">
        <v>306</v>
      </c>
    </row>
    <row r="15" spans="1:10" ht="45" customHeight="1" x14ac:dyDescent="0.2">
      <c r="A15" s="24">
        <v>44327</v>
      </c>
      <c r="B15" s="52"/>
      <c r="C15" s="31">
        <v>29350.27</v>
      </c>
      <c r="D15" s="25">
        <f t="shared" si="0"/>
        <v>24.700000000004366</v>
      </c>
      <c r="E15" s="31">
        <v>2681582</v>
      </c>
      <c r="F15" s="25">
        <f t="shared" si="1"/>
        <v>1526</v>
      </c>
      <c r="G15" s="31">
        <v>448780</v>
      </c>
      <c r="H15" s="25">
        <f t="shared" si="2"/>
        <v>435</v>
      </c>
      <c r="I15" s="12">
        <v>266</v>
      </c>
      <c r="J15" s="12">
        <v>438</v>
      </c>
    </row>
    <row r="16" spans="1:10" ht="45" customHeight="1" x14ac:dyDescent="0.2">
      <c r="A16" s="24">
        <v>44328</v>
      </c>
      <c r="B16" s="52"/>
      <c r="C16" s="31">
        <v>29374.84</v>
      </c>
      <c r="D16" s="25">
        <f t="shared" si="0"/>
        <v>24.569999999999709</v>
      </c>
      <c r="E16" s="31">
        <v>2683060</v>
      </c>
      <c r="F16" s="25">
        <f t="shared" si="1"/>
        <v>1478</v>
      </c>
      <c r="G16" s="31">
        <v>449237</v>
      </c>
      <c r="H16" s="25">
        <f t="shared" si="2"/>
        <v>457</v>
      </c>
      <c r="I16" s="12">
        <v>266</v>
      </c>
      <c r="J16" s="12">
        <v>423</v>
      </c>
    </row>
    <row r="17" spans="1:15" ht="45" customHeight="1" x14ac:dyDescent="0.2">
      <c r="A17" s="24">
        <v>44329</v>
      </c>
      <c r="B17" s="52"/>
      <c r="C17" s="31">
        <v>29400.6</v>
      </c>
      <c r="D17" s="25">
        <f t="shared" si="0"/>
        <v>25.759999999998399</v>
      </c>
      <c r="E17" s="31">
        <v>2684551</v>
      </c>
      <c r="F17" s="25">
        <f t="shared" si="1"/>
        <v>1491</v>
      </c>
      <c r="G17" s="31">
        <v>449635</v>
      </c>
      <c r="H17" s="25">
        <f t="shared" si="2"/>
        <v>398</v>
      </c>
      <c r="I17" s="12">
        <v>266</v>
      </c>
      <c r="J17" s="12">
        <v>412</v>
      </c>
    </row>
    <row r="18" spans="1:15" ht="45" customHeight="1" x14ac:dyDescent="0.2">
      <c r="A18" s="24">
        <v>44330</v>
      </c>
      <c r="B18" s="52"/>
      <c r="C18" s="31">
        <v>29426.640000000003</v>
      </c>
      <c r="D18" s="25">
        <f t="shared" si="0"/>
        <v>26.040000000004511</v>
      </c>
      <c r="E18" s="31">
        <v>2686065</v>
      </c>
      <c r="F18" s="25">
        <f t="shared" si="1"/>
        <v>1514</v>
      </c>
      <c r="G18" s="31">
        <v>450097</v>
      </c>
      <c r="H18" s="25">
        <f t="shared" si="2"/>
        <v>462</v>
      </c>
      <c r="I18" s="12">
        <v>266</v>
      </c>
      <c r="J18" s="12">
        <v>423</v>
      </c>
    </row>
    <row r="19" spans="1:15" ht="45" customHeight="1" x14ac:dyDescent="0.2">
      <c r="A19" s="24">
        <v>44331</v>
      </c>
      <c r="B19" s="52"/>
      <c r="C19" s="31">
        <v>29452.950000000004</v>
      </c>
      <c r="D19" s="25">
        <f t="shared" si="0"/>
        <v>26.31000000000131</v>
      </c>
      <c r="E19" s="31">
        <v>2687546</v>
      </c>
      <c r="F19" s="25">
        <f t="shared" si="1"/>
        <v>1481</v>
      </c>
      <c r="G19" s="31">
        <v>450577</v>
      </c>
      <c r="H19" s="25">
        <f t="shared" si="2"/>
        <v>480</v>
      </c>
      <c r="I19" s="12">
        <v>251</v>
      </c>
      <c r="J19" s="12">
        <v>357</v>
      </c>
    </row>
    <row r="20" spans="1:15" ht="45" customHeight="1" x14ac:dyDescent="0.2">
      <c r="A20" s="24">
        <v>44332</v>
      </c>
      <c r="B20" s="52"/>
      <c r="C20" s="31">
        <v>29477.82</v>
      </c>
      <c r="D20" s="25">
        <f t="shared" si="0"/>
        <v>24.869999999995343</v>
      </c>
      <c r="E20" s="31">
        <v>2689087</v>
      </c>
      <c r="F20" s="25">
        <f t="shared" si="1"/>
        <v>1541</v>
      </c>
      <c r="G20" s="31">
        <v>451127</v>
      </c>
      <c r="H20" s="25">
        <f t="shared" si="2"/>
        <v>550</v>
      </c>
      <c r="I20" s="12">
        <v>254</v>
      </c>
      <c r="J20" s="12">
        <v>426</v>
      </c>
    </row>
    <row r="21" spans="1:15" ht="45" customHeight="1" x14ac:dyDescent="0.2">
      <c r="A21" s="24">
        <v>44333</v>
      </c>
      <c r="B21" s="52"/>
      <c r="C21" s="31">
        <v>29503</v>
      </c>
      <c r="D21" s="25">
        <f t="shared" si="0"/>
        <v>25.180000000000291</v>
      </c>
      <c r="E21" s="31">
        <v>2690721</v>
      </c>
      <c r="F21" s="25">
        <f t="shared" si="1"/>
        <v>1634</v>
      </c>
      <c r="G21" s="31">
        <v>451594</v>
      </c>
      <c r="H21" s="25">
        <f t="shared" si="2"/>
        <v>467</v>
      </c>
      <c r="I21" s="12">
        <v>262</v>
      </c>
      <c r="J21" s="12">
        <v>466</v>
      </c>
    </row>
    <row r="22" spans="1:15" ht="45" customHeight="1" x14ac:dyDescent="0.2">
      <c r="A22" s="24">
        <v>44334</v>
      </c>
      <c r="B22" s="52"/>
      <c r="C22" s="31">
        <v>29525.7</v>
      </c>
      <c r="D22" s="25">
        <f t="shared" si="0"/>
        <v>22.700000000000728</v>
      </c>
      <c r="E22" s="31">
        <v>2692196</v>
      </c>
      <c r="F22" s="25">
        <f t="shared" si="1"/>
        <v>1475</v>
      </c>
      <c r="G22" s="31">
        <v>452047</v>
      </c>
      <c r="H22" s="25">
        <f t="shared" si="2"/>
        <v>453</v>
      </c>
      <c r="I22" s="12">
        <v>254</v>
      </c>
      <c r="J22" s="12">
        <v>527</v>
      </c>
    </row>
    <row r="23" spans="1:15" ht="45" customHeight="1" x14ac:dyDescent="0.2">
      <c r="A23" s="24">
        <v>44335</v>
      </c>
      <c r="B23" s="52"/>
      <c r="C23" s="31">
        <v>29550.799999999996</v>
      </c>
      <c r="D23" s="25">
        <f>IF((C23-C22&lt;0), "0",C23-C22)</f>
        <v>25.099999999994907</v>
      </c>
      <c r="E23" s="31">
        <v>2693851</v>
      </c>
      <c r="F23" s="25">
        <f t="shared" si="1"/>
        <v>1655</v>
      </c>
      <c r="G23" s="31">
        <v>452538</v>
      </c>
      <c r="H23" s="25">
        <f t="shared" si="2"/>
        <v>491</v>
      </c>
      <c r="I23" s="12">
        <v>253</v>
      </c>
      <c r="J23" s="12">
        <v>458</v>
      </c>
    </row>
    <row r="24" spans="1:15" ht="45" customHeight="1" x14ac:dyDescent="0.2">
      <c r="A24" s="24">
        <v>44336</v>
      </c>
      <c r="B24" s="52"/>
      <c r="C24" s="31">
        <v>29577.190000000002</v>
      </c>
      <c r="D24" s="25">
        <f t="shared" ref="D24:D35" si="3">IF((C24-C23&lt;0), "0",C24-C23)</f>
        <v>26.390000000006694</v>
      </c>
      <c r="E24" s="31">
        <v>2695417</v>
      </c>
      <c r="F24" s="25">
        <f t="shared" si="1"/>
        <v>1566</v>
      </c>
      <c r="G24" s="31">
        <v>453030</v>
      </c>
      <c r="H24" s="25">
        <f t="shared" si="2"/>
        <v>492</v>
      </c>
      <c r="I24" s="12">
        <v>262</v>
      </c>
      <c r="J24" s="12">
        <v>504</v>
      </c>
    </row>
    <row r="25" spans="1:15" ht="45" customHeight="1" x14ac:dyDescent="0.2">
      <c r="A25" s="24">
        <v>44337</v>
      </c>
      <c r="B25" s="52"/>
      <c r="C25" s="31">
        <v>29602.570000000003</v>
      </c>
      <c r="D25" s="25">
        <f t="shared" si="3"/>
        <v>25.380000000001019</v>
      </c>
      <c r="E25" s="31">
        <v>2696929</v>
      </c>
      <c r="F25" s="25">
        <f t="shared" si="1"/>
        <v>1512</v>
      </c>
      <c r="G25" s="31">
        <v>453586</v>
      </c>
      <c r="H25" s="25">
        <f t="shared" si="2"/>
        <v>556</v>
      </c>
      <c r="I25" s="12">
        <v>263</v>
      </c>
      <c r="J25" s="12">
        <v>399</v>
      </c>
    </row>
    <row r="26" spans="1:15" ht="45" customHeight="1" x14ac:dyDescent="0.2">
      <c r="A26" s="24">
        <v>44338</v>
      </c>
      <c r="B26" s="52"/>
      <c r="C26" s="31">
        <v>29627.03</v>
      </c>
      <c r="D26" s="25">
        <f t="shared" si="3"/>
        <v>24.459999999995489</v>
      </c>
      <c r="E26" s="31">
        <v>2698551</v>
      </c>
      <c r="F26" s="25">
        <f t="shared" si="1"/>
        <v>1622</v>
      </c>
      <c r="G26" s="31">
        <v>454044</v>
      </c>
      <c r="H26" s="25">
        <f t="shared" si="2"/>
        <v>458</v>
      </c>
      <c r="I26" s="12">
        <v>253</v>
      </c>
      <c r="J26" s="12">
        <v>395</v>
      </c>
    </row>
    <row r="27" spans="1:15" ht="45" customHeight="1" x14ac:dyDescent="0.2">
      <c r="A27" s="24">
        <v>44339</v>
      </c>
      <c r="B27" s="52"/>
      <c r="C27" s="31">
        <v>29650.690000000002</v>
      </c>
      <c r="D27" s="25">
        <f t="shared" si="3"/>
        <v>23.660000000003492</v>
      </c>
      <c r="E27" s="31">
        <v>2700082</v>
      </c>
      <c r="F27" s="25">
        <f t="shared" si="1"/>
        <v>1531</v>
      </c>
      <c r="G27" s="31">
        <v>454516</v>
      </c>
      <c r="H27" s="25">
        <f t="shared" si="2"/>
        <v>472</v>
      </c>
      <c r="I27" s="12">
        <v>180</v>
      </c>
      <c r="J27" s="12">
        <v>405</v>
      </c>
    </row>
    <row r="28" spans="1:15" ht="45" customHeight="1" x14ac:dyDescent="0.2">
      <c r="A28" s="24">
        <v>44340</v>
      </c>
      <c r="B28" s="52"/>
      <c r="C28" s="31">
        <v>29674.960000000003</v>
      </c>
      <c r="D28" s="25">
        <f t="shared" si="3"/>
        <v>24.270000000000437</v>
      </c>
      <c r="E28" s="31">
        <v>2701551</v>
      </c>
      <c r="F28" s="25">
        <f t="shared" si="1"/>
        <v>1469</v>
      </c>
      <c r="G28" s="31">
        <v>454975</v>
      </c>
      <c r="H28" s="25">
        <f t="shared" si="2"/>
        <v>459</v>
      </c>
      <c r="I28" s="12">
        <v>179</v>
      </c>
      <c r="J28" s="12">
        <v>267</v>
      </c>
    </row>
    <row r="29" spans="1:15" ht="45" customHeight="1" x14ac:dyDescent="0.2">
      <c r="A29" s="24">
        <v>44341</v>
      </c>
      <c r="B29" s="52"/>
      <c r="C29" s="31">
        <v>29704.400000000001</v>
      </c>
      <c r="D29" s="25">
        <f t="shared" si="3"/>
        <v>29.43999999999869</v>
      </c>
      <c r="E29" s="31">
        <v>2702951</v>
      </c>
      <c r="F29" s="25">
        <f t="shared" si="1"/>
        <v>1400</v>
      </c>
      <c r="G29" s="31">
        <v>455360</v>
      </c>
      <c r="H29" s="25">
        <f t="shared" si="2"/>
        <v>385</v>
      </c>
      <c r="I29" s="12">
        <v>199</v>
      </c>
      <c r="J29" s="12">
        <v>282</v>
      </c>
    </row>
    <row r="30" spans="1:15" ht="45" customHeight="1" x14ac:dyDescent="0.2">
      <c r="A30" s="24">
        <v>44342</v>
      </c>
      <c r="B30" s="52"/>
      <c r="C30" s="31">
        <v>29735.280000000002</v>
      </c>
      <c r="D30" s="25">
        <f t="shared" si="3"/>
        <v>30.880000000001019</v>
      </c>
      <c r="E30" s="31">
        <v>2704348</v>
      </c>
      <c r="F30" s="25">
        <f t="shared" si="1"/>
        <v>1397</v>
      </c>
      <c r="G30" s="31">
        <v>455813</v>
      </c>
      <c r="H30" s="25">
        <f t="shared" si="2"/>
        <v>453</v>
      </c>
      <c r="I30" s="12">
        <v>236</v>
      </c>
      <c r="J30" s="12">
        <v>316</v>
      </c>
      <c r="O30" s="34"/>
    </row>
    <row r="31" spans="1:15" ht="45" customHeight="1" x14ac:dyDescent="0.2">
      <c r="A31" s="24">
        <v>44343</v>
      </c>
      <c r="B31" s="52"/>
      <c r="C31" s="31">
        <v>29764.039999999994</v>
      </c>
      <c r="D31" s="25">
        <f t="shared" si="3"/>
        <v>28.759999999991123</v>
      </c>
      <c r="E31" s="31">
        <v>2705756</v>
      </c>
      <c r="F31" s="25">
        <f t="shared" si="1"/>
        <v>1408</v>
      </c>
      <c r="G31" s="31">
        <v>456222</v>
      </c>
      <c r="H31" s="25">
        <f t="shared" si="2"/>
        <v>409</v>
      </c>
      <c r="I31" s="12">
        <v>227</v>
      </c>
      <c r="J31" s="12">
        <v>395</v>
      </c>
    </row>
    <row r="32" spans="1:15" ht="45" customHeight="1" x14ac:dyDescent="0.2">
      <c r="A32" s="24">
        <v>44344</v>
      </c>
      <c r="B32" s="52"/>
      <c r="C32" s="31">
        <v>29791.960000000003</v>
      </c>
      <c r="D32" s="25">
        <f t="shared" si="3"/>
        <v>27.920000000009168</v>
      </c>
      <c r="E32" s="31">
        <v>2707252</v>
      </c>
      <c r="F32" s="25">
        <f t="shared" si="1"/>
        <v>1496</v>
      </c>
      <c r="G32" s="31">
        <v>456690</v>
      </c>
      <c r="H32" s="25">
        <f t="shared" si="2"/>
        <v>468</v>
      </c>
      <c r="I32" s="12">
        <v>186</v>
      </c>
      <c r="J32" s="12">
        <v>438</v>
      </c>
    </row>
    <row r="33" spans="1:10" ht="36" customHeight="1" x14ac:dyDescent="0.2">
      <c r="A33" s="24">
        <v>44345</v>
      </c>
      <c r="B33" s="36"/>
      <c r="C33" s="31">
        <v>29819.889999999996</v>
      </c>
      <c r="D33" s="25">
        <f t="shared" si="3"/>
        <v>27.929999999993015</v>
      </c>
      <c r="E33" s="31">
        <v>2708785</v>
      </c>
      <c r="F33" s="25">
        <f t="shared" si="1"/>
        <v>1533</v>
      </c>
      <c r="G33" s="31">
        <v>457108</v>
      </c>
      <c r="H33" s="25">
        <f t="shared" si="2"/>
        <v>418</v>
      </c>
      <c r="I33" s="12">
        <v>154</v>
      </c>
      <c r="J33" s="12">
        <v>362</v>
      </c>
    </row>
    <row r="34" spans="1:10" ht="45.6" customHeight="1" x14ac:dyDescent="0.2">
      <c r="A34" s="24">
        <v>44346</v>
      </c>
      <c r="B34" s="49"/>
      <c r="C34" s="41">
        <v>29850.239999999994</v>
      </c>
      <c r="D34" s="50">
        <f t="shared" si="3"/>
        <v>30.349999999998545</v>
      </c>
      <c r="E34" s="31">
        <v>2710140</v>
      </c>
      <c r="F34" s="32">
        <f t="shared" si="1"/>
        <v>1355</v>
      </c>
      <c r="G34" s="31">
        <v>457512</v>
      </c>
      <c r="H34" s="25">
        <f t="shared" si="2"/>
        <v>404</v>
      </c>
      <c r="I34" s="33">
        <v>117</v>
      </c>
      <c r="J34" s="33">
        <v>260</v>
      </c>
    </row>
    <row r="35" spans="1:10" ht="36.75" customHeight="1" x14ac:dyDescent="0.15">
      <c r="A35" s="24">
        <v>44347</v>
      </c>
      <c r="B35" s="49"/>
      <c r="C35" s="51">
        <v>29879.470000000005</v>
      </c>
      <c r="D35" s="25">
        <f t="shared" si="3"/>
        <v>29.230000000010477</v>
      </c>
      <c r="E35" s="35">
        <v>2711537</v>
      </c>
      <c r="F35" s="25">
        <f t="shared" si="1"/>
        <v>1397</v>
      </c>
      <c r="G35" s="35">
        <v>457933</v>
      </c>
      <c r="H35" s="25">
        <f t="shared" si="2"/>
        <v>421</v>
      </c>
      <c r="I35" s="12">
        <v>96</v>
      </c>
      <c r="J35" s="12">
        <v>297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2023-03-24T04:01:52Z</dcterms:modified>
</cp:coreProperties>
</file>