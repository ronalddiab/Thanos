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firstSheet="1" activeTab="1"/>
  </bookViews>
  <sheets>
    <sheet name="TOTAL" sheetId="1" r:id="rId1"/>
    <sheet name="Submetering" sheetId="3" r:id="rId2"/>
    <sheet name="Hampshire Daily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3" l="1"/>
  <c r="X3" i="3"/>
  <c r="Y3" i="3"/>
  <c r="W4" i="3"/>
  <c r="X4" i="3"/>
  <c r="Y4" i="3"/>
  <c r="W5" i="3"/>
  <c r="Y5" i="3"/>
  <c r="W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Y14" i="3"/>
  <c r="W15" i="3"/>
  <c r="Y15" i="3"/>
  <c r="W16" i="3"/>
  <c r="Y16" i="3"/>
  <c r="W17" i="3"/>
  <c r="X17" i="3"/>
  <c r="Y17" i="3"/>
  <c r="W18" i="3"/>
  <c r="X18" i="3"/>
  <c r="Y18" i="3"/>
  <c r="W19" i="3"/>
  <c r="X19" i="3"/>
  <c r="Y19" i="3"/>
  <c r="W20" i="3"/>
  <c r="X20" i="3"/>
  <c r="Y20" i="3"/>
  <c r="W21" i="3"/>
  <c r="X21" i="3"/>
  <c r="Y21" i="3"/>
  <c r="W22" i="3"/>
  <c r="X22" i="3"/>
  <c r="Y22" i="3"/>
  <c r="W23" i="3"/>
  <c r="X23" i="3"/>
  <c r="Y23" i="3"/>
  <c r="W24" i="3"/>
  <c r="X24" i="3"/>
  <c r="Y24" i="3"/>
  <c r="W25" i="3"/>
  <c r="X25" i="3"/>
  <c r="Y25" i="3"/>
  <c r="W26" i="3"/>
  <c r="X26" i="3"/>
  <c r="Y26" i="3"/>
  <c r="W27" i="3"/>
  <c r="X27" i="3"/>
  <c r="Y27" i="3"/>
  <c r="W28" i="3"/>
  <c r="X28" i="3"/>
  <c r="Y28" i="3"/>
  <c r="W29" i="3"/>
  <c r="X29" i="3"/>
  <c r="Y29" i="3"/>
  <c r="W30" i="3"/>
  <c r="X30" i="3"/>
  <c r="Y30" i="3"/>
  <c r="W31" i="3"/>
  <c r="X31" i="3"/>
  <c r="Y31" i="3"/>
  <c r="W32" i="3"/>
  <c r="X32" i="3"/>
  <c r="Y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W2" i="3"/>
  <c r="L6" i="2"/>
  <c r="L34" i="2"/>
  <c r="L28" i="2"/>
  <c r="L29" i="2" s="1"/>
  <c r="L30" i="2" s="1"/>
  <c r="L31" i="2" s="1"/>
  <c r="L32" i="2" s="1"/>
  <c r="L24" i="2"/>
  <c r="L25" i="2" s="1"/>
  <c r="L17" i="2"/>
  <c r="L18" i="2" s="1"/>
  <c r="L19" i="2" s="1"/>
  <c r="L20" i="2" s="1"/>
  <c r="L14" i="2"/>
  <c r="L15" i="2" s="1"/>
  <c r="L7" i="2"/>
  <c r="L8" i="2" s="1"/>
  <c r="L9" i="2" s="1"/>
  <c r="L10" i="2" s="1"/>
  <c r="L11" i="2" s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F16" i="3"/>
  <c r="E16" i="3"/>
  <c r="F14" i="3"/>
  <c r="AA17" i="2"/>
  <c r="AA8" i="2"/>
  <c r="Z2" i="3"/>
  <c r="AA2" i="3"/>
  <c r="Z3" i="3"/>
  <c r="AA3" i="3"/>
  <c r="Z4" i="3"/>
  <c r="AA4" i="3"/>
  <c r="Z5" i="3"/>
  <c r="AA5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O19" i="2"/>
  <c r="O20" i="2" s="1"/>
  <c r="O21" i="2" s="1"/>
  <c r="O22" i="2" s="1"/>
  <c r="O23" i="2" s="1"/>
  <c r="O24" i="2" s="1"/>
  <c r="O17" i="2"/>
  <c r="O7" i="2"/>
  <c r="O8" i="2" s="1"/>
  <c r="O26" i="2"/>
  <c r="O27" i="2" s="1"/>
  <c r="H18" i="2"/>
  <c r="H12" i="2"/>
  <c r="H8" i="2"/>
  <c r="X5" i="3" l="1"/>
  <c r="X6" i="3"/>
  <c r="X14" i="3"/>
  <c r="AA18" i="2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K32" i="1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L32" i="1"/>
  <c r="X15" i="3" l="1"/>
  <c r="X16" i="3"/>
  <c r="E32" i="1"/>
  <c r="K9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M28" i="3"/>
  <c r="G28" i="1" s="1"/>
  <c r="L25" i="3"/>
  <c r="G22" i="3"/>
  <c r="H22" i="3"/>
  <c r="I22" i="3"/>
  <c r="J22" i="3"/>
  <c r="L22" i="3"/>
  <c r="M22" i="3"/>
  <c r="G22" i="1" s="1"/>
  <c r="N22" i="3"/>
  <c r="I22" i="1" s="1"/>
  <c r="O22" i="3"/>
  <c r="P22" i="3"/>
  <c r="Q22" i="3"/>
  <c r="R22" i="3"/>
  <c r="S22" i="3"/>
  <c r="T22" i="3"/>
  <c r="L22" i="1"/>
  <c r="H23" i="3"/>
  <c r="I23" i="3"/>
  <c r="J23" i="3"/>
  <c r="L23" i="3"/>
  <c r="M23" i="3"/>
  <c r="G23" i="1"/>
  <c r="N23" i="3"/>
  <c r="I23" i="1" s="1"/>
  <c r="O23" i="3"/>
  <c r="P23" i="3"/>
  <c r="Q23" i="3"/>
  <c r="R23" i="3"/>
  <c r="S23" i="3"/>
  <c r="T23" i="3"/>
  <c r="L23" i="1"/>
  <c r="H24" i="3"/>
  <c r="I24" i="3"/>
  <c r="J24" i="3"/>
  <c r="M24" i="3"/>
  <c r="G24" i="1" s="1"/>
  <c r="O24" i="3"/>
  <c r="P24" i="3"/>
  <c r="Q24" i="3"/>
  <c r="R24" i="3"/>
  <c r="S24" i="3"/>
  <c r="T24" i="3"/>
  <c r="L24" i="1"/>
  <c r="H25" i="3"/>
  <c r="I25" i="3"/>
  <c r="J25" i="3"/>
  <c r="M25" i="3"/>
  <c r="G25" i="1" s="1"/>
  <c r="O25" i="3"/>
  <c r="P25" i="3"/>
  <c r="Q25" i="3"/>
  <c r="R25" i="3"/>
  <c r="S25" i="3"/>
  <c r="T25" i="3"/>
  <c r="L25" i="1"/>
  <c r="G26" i="3"/>
  <c r="H26" i="3"/>
  <c r="I26" i="3"/>
  <c r="J26" i="3"/>
  <c r="L26" i="3"/>
  <c r="M26" i="3"/>
  <c r="G26" i="1" s="1"/>
  <c r="N26" i="3"/>
  <c r="I26" i="1" s="1"/>
  <c r="O26" i="3"/>
  <c r="P26" i="3"/>
  <c r="Q26" i="3"/>
  <c r="R26" i="3"/>
  <c r="S26" i="3"/>
  <c r="T26" i="3"/>
  <c r="L26" i="1"/>
  <c r="G27" i="3"/>
  <c r="H27" i="3"/>
  <c r="I27" i="3"/>
  <c r="J27" i="3"/>
  <c r="L27" i="3"/>
  <c r="N27" i="3"/>
  <c r="I27" i="1" s="1"/>
  <c r="O27" i="3"/>
  <c r="P27" i="3"/>
  <c r="R27" i="3"/>
  <c r="S27" i="3"/>
  <c r="T27" i="3"/>
  <c r="L27" i="1"/>
  <c r="G28" i="3"/>
  <c r="H28" i="3"/>
  <c r="I28" i="3"/>
  <c r="J28" i="3"/>
  <c r="L28" i="3"/>
  <c r="N28" i="3"/>
  <c r="I28" i="1" s="1"/>
  <c r="O28" i="3"/>
  <c r="P28" i="3"/>
  <c r="R28" i="3"/>
  <c r="S28" i="3"/>
  <c r="T28" i="3"/>
  <c r="L28" i="1"/>
  <c r="G29" i="3"/>
  <c r="H29" i="3"/>
  <c r="I29" i="3"/>
  <c r="J29" i="3"/>
  <c r="L29" i="3"/>
  <c r="M29" i="3"/>
  <c r="G29" i="1" s="1"/>
  <c r="N29" i="3"/>
  <c r="I29" i="1" s="1"/>
  <c r="O29" i="3"/>
  <c r="P29" i="3"/>
  <c r="Q29" i="3"/>
  <c r="R29" i="3"/>
  <c r="S29" i="3"/>
  <c r="T29" i="3"/>
  <c r="L29" i="1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T30" i="3"/>
  <c r="L30" i="1"/>
  <c r="L24" i="3"/>
  <c r="G23" i="3"/>
  <c r="Q20" i="3"/>
  <c r="L20" i="3"/>
  <c r="P6" i="3"/>
  <c r="G5" i="3"/>
  <c r="S6" i="3"/>
  <c r="O5" i="3"/>
  <c r="M6" i="3"/>
  <c r="G6" i="1" s="1"/>
  <c r="L6" i="3"/>
  <c r="M3" i="3"/>
  <c r="G3" i="1" s="1"/>
  <c r="L3" i="3"/>
  <c r="F3" i="3"/>
  <c r="E3" i="3"/>
  <c r="F4" i="3"/>
  <c r="F7" i="3"/>
  <c r="F8" i="3"/>
  <c r="F9" i="3"/>
  <c r="F10" i="3"/>
  <c r="F11" i="3"/>
  <c r="F12" i="3"/>
  <c r="F13" i="3"/>
  <c r="F2" i="3"/>
  <c r="E7" i="3"/>
  <c r="E8" i="3"/>
  <c r="E9" i="3"/>
  <c r="E9" i="1" s="1"/>
  <c r="E10" i="3"/>
  <c r="E11" i="3"/>
  <c r="E12" i="3"/>
  <c r="E13" i="3"/>
  <c r="E14" i="3"/>
  <c r="E16" i="1"/>
  <c r="E20" i="1"/>
  <c r="E2" i="3"/>
  <c r="G2" i="3"/>
  <c r="H2" i="3"/>
  <c r="I2" i="3"/>
  <c r="J2" i="3"/>
  <c r="L2" i="3"/>
  <c r="M2" i="3"/>
  <c r="G2" i="1" s="1"/>
  <c r="O2" i="3"/>
  <c r="P2" i="3"/>
  <c r="Q2" i="3"/>
  <c r="R2" i="3"/>
  <c r="S2" i="3"/>
  <c r="T2" i="3"/>
  <c r="L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3" i="3"/>
  <c r="I3" i="3"/>
  <c r="J3" i="3"/>
  <c r="O3" i="3"/>
  <c r="P3" i="3"/>
  <c r="Q3" i="3"/>
  <c r="R3" i="3"/>
  <c r="S3" i="3"/>
  <c r="T3" i="3"/>
  <c r="L3" i="1"/>
  <c r="H4" i="3"/>
  <c r="I4" i="3"/>
  <c r="N4" i="3"/>
  <c r="I4" i="1" s="1"/>
  <c r="P4" i="3"/>
  <c r="Q4" i="3"/>
  <c r="R4" i="3"/>
  <c r="S4" i="3"/>
  <c r="T4" i="3"/>
  <c r="L4" i="1"/>
  <c r="H5" i="3"/>
  <c r="I5" i="3"/>
  <c r="P5" i="3"/>
  <c r="T5" i="3"/>
  <c r="L5" i="1"/>
  <c r="H6" i="3"/>
  <c r="I6" i="3"/>
  <c r="T6" i="3"/>
  <c r="L6" i="1"/>
  <c r="H7" i="3"/>
  <c r="I7" i="3"/>
  <c r="L7" i="3"/>
  <c r="M7" i="3"/>
  <c r="G7" i="1" s="1"/>
  <c r="N7" i="3"/>
  <c r="I7" i="1" s="1"/>
  <c r="O7" i="3"/>
  <c r="P7" i="3"/>
  <c r="Q7" i="3"/>
  <c r="R7" i="3"/>
  <c r="S7" i="3"/>
  <c r="T7" i="3"/>
  <c r="L7" i="1"/>
  <c r="H8" i="3"/>
  <c r="I8" i="3"/>
  <c r="L8" i="3"/>
  <c r="M8" i="3"/>
  <c r="G8" i="1" s="1"/>
  <c r="N8" i="3"/>
  <c r="I8" i="1" s="1"/>
  <c r="O8" i="3"/>
  <c r="P8" i="3"/>
  <c r="Q8" i="3"/>
  <c r="R8" i="3"/>
  <c r="S8" i="3"/>
  <c r="T8" i="3"/>
  <c r="L8" i="1"/>
  <c r="H9" i="3"/>
  <c r="I9" i="3"/>
  <c r="L9" i="3"/>
  <c r="M9" i="3"/>
  <c r="G9" i="1" s="1"/>
  <c r="N9" i="3"/>
  <c r="I9" i="1" s="1"/>
  <c r="O9" i="3"/>
  <c r="P9" i="3"/>
  <c r="Q9" i="3"/>
  <c r="R9" i="3"/>
  <c r="S9" i="3"/>
  <c r="T9" i="3"/>
  <c r="L9" i="1"/>
  <c r="H10" i="3"/>
  <c r="I10" i="3"/>
  <c r="L10" i="3"/>
  <c r="M10" i="3"/>
  <c r="G10" i="1" s="1"/>
  <c r="O10" i="3"/>
  <c r="P10" i="3"/>
  <c r="Q10" i="3"/>
  <c r="R10" i="3"/>
  <c r="S10" i="3"/>
  <c r="T10" i="3"/>
  <c r="L10" i="1"/>
  <c r="H11" i="3"/>
  <c r="I11" i="3"/>
  <c r="L11" i="3"/>
  <c r="M11" i="3"/>
  <c r="G11" i="1" s="1"/>
  <c r="O11" i="3"/>
  <c r="P11" i="3"/>
  <c r="Q11" i="3"/>
  <c r="R11" i="3"/>
  <c r="S11" i="3"/>
  <c r="T11" i="3"/>
  <c r="L11" i="1"/>
  <c r="H12" i="3"/>
  <c r="I12" i="3"/>
  <c r="L12" i="3"/>
  <c r="M12" i="3"/>
  <c r="G12" i="1" s="1"/>
  <c r="O12" i="3"/>
  <c r="P12" i="3"/>
  <c r="Q12" i="3"/>
  <c r="R12" i="3"/>
  <c r="S12" i="3"/>
  <c r="T12" i="3"/>
  <c r="L12" i="1"/>
  <c r="H13" i="3"/>
  <c r="I13" i="3"/>
  <c r="L13" i="3"/>
  <c r="M13" i="3"/>
  <c r="G13" i="1" s="1"/>
  <c r="N13" i="3"/>
  <c r="I13" i="1" s="1"/>
  <c r="O13" i="3"/>
  <c r="P13" i="3"/>
  <c r="Q13" i="3"/>
  <c r="R13" i="3"/>
  <c r="S13" i="3"/>
  <c r="T13" i="3"/>
  <c r="L13" i="1"/>
  <c r="H14" i="3"/>
  <c r="I14" i="3"/>
  <c r="L14" i="3"/>
  <c r="M14" i="3"/>
  <c r="G14" i="1" s="1"/>
  <c r="O14" i="3"/>
  <c r="P14" i="3"/>
  <c r="Q14" i="3"/>
  <c r="R14" i="3"/>
  <c r="S14" i="3"/>
  <c r="T14" i="3"/>
  <c r="L14" i="1"/>
  <c r="G15" i="3"/>
  <c r="H15" i="3"/>
  <c r="I15" i="3"/>
  <c r="L15" i="3"/>
  <c r="M15" i="3"/>
  <c r="G15" i="1" s="1"/>
  <c r="O15" i="3"/>
  <c r="P15" i="3"/>
  <c r="Q15" i="3"/>
  <c r="R15" i="3"/>
  <c r="S15" i="3"/>
  <c r="T15" i="3"/>
  <c r="L15" i="1"/>
  <c r="G16" i="3"/>
  <c r="H16" i="3"/>
  <c r="I16" i="3"/>
  <c r="J16" i="3"/>
  <c r="L16" i="3"/>
  <c r="M16" i="3"/>
  <c r="G16" i="1" s="1"/>
  <c r="N16" i="3"/>
  <c r="I16" i="1" s="1"/>
  <c r="O16" i="3"/>
  <c r="P16" i="3"/>
  <c r="Q16" i="3"/>
  <c r="R16" i="3"/>
  <c r="S16" i="3"/>
  <c r="T16" i="3"/>
  <c r="L16" i="1"/>
  <c r="G17" i="3"/>
  <c r="H17" i="3"/>
  <c r="I17" i="3"/>
  <c r="J17" i="3"/>
  <c r="L17" i="3"/>
  <c r="M17" i="3"/>
  <c r="G17" i="1" s="1"/>
  <c r="N17" i="3"/>
  <c r="I17" i="1" s="1"/>
  <c r="O17" i="3"/>
  <c r="P17" i="3"/>
  <c r="Q17" i="3"/>
  <c r="R17" i="3"/>
  <c r="S17" i="3"/>
  <c r="T17" i="3"/>
  <c r="L17" i="1"/>
  <c r="G18" i="3"/>
  <c r="H18" i="3"/>
  <c r="I18" i="3"/>
  <c r="L18" i="3"/>
  <c r="M18" i="3"/>
  <c r="G18" i="1"/>
  <c r="N18" i="3"/>
  <c r="I18" i="1" s="1"/>
  <c r="O18" i="3"/>
  <c r="P18" i="3"/>
  <c r="Q18" i="3"/>
  <c r="R18" i="3"/>
  <c r="S18" i="3"/>
  <c r="T18" i="3"/>
  <c r="L18" i="1"/>
  <c r="H19" i="3"/>
  <c r="I19" i="3"/>
  <c r="M19" i="3"/>
  <c r="G19" i="1" s="1"/>
  <c r="O19" i="3"/>
  <c r="P19" i="3"/>
  <c r="R19" i="3"/>
  <c r="S19" i="3"/>
  <c r="T19" i="3"/>
  <c r="L19" i="1"/>
  <c r="H20" i="3"/>
  <c r="I20" i="3"/>
  <c r="M20" i="3"/>
  <c r="G20" i="1" s="1"/>
  <c r="O20" i="3"/>
  <c r="P20" i="3"/>
  <c r="R20" i="3"/>
  <c r="S20" i="3"/>
  <c r="T20" i="3"/>
  <c r="L20" i="1"/>
  <c r="G21" i="3"/>
  <c r="H21" i="3"/>
  <c r="I21" i="3"/>
  <c r="L21" i="3"/>
  <c r="M21" i="3"/>
  <c r="G21" i="1" s="1"/>
  <c r="N21" i="3"/>
  <c r="I21" i="1" s="1"/>
  <c r="O21" i="3"/>
  <c r="P21" i="3"/>
  <c r="Q21" i="3"/>
  <c r="R21" i="3"/>
  <c r="S21" i="3"/>
  <c r="T21" i="3"/>
  <c r="L21" i="1"/>
  <c r="G31" i="3"/>
  <c r="H31" i="3"/>
  <c r="I31" i="3"/>
  <c r="J31" i="3"/>
  <c r="L31" i="3"/>
  <c r="M31" i="3"/>
  <c r="G31" i="1" s="1"/>
  <c r="N31" i="3"/>
  <c r="I31" i="1" s="1"/>
  <c r="O31" i="3"/>
  <c r="P31" i="3"/>
  <c r="Q31" i="3"/>
  <c r="R31" i="3"/>
  <c r="S31" i="3"/>
  <c r="T31" i="3"/>
  <c r="L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N3" i="3"/>
  <c r="I3" i="1" s="1"/>
  <c r="N2" i="3"/>
  <c r="I2" i="1" s="1"/>
  <c r="J18" i="3"/>
  <c r="J19" i="3"/>
  <c r="J20" i="3"/>
  <c r="J21" i="3"/>
  <c r="G4" i="3"/>
  <c r="J4" i="3"/>
  <c r="G3" i="3"/>
  <c r="J5" i="3"/>
  <c r="G6" i="3"/>
  <c r="J6" i="3"/>
  <c r="G7" i="3"/>
  <c r="J7" i="3"/>
  <c r="J8" i="3"/>
  <c r="G8" i="3"/>
  <c r="G9" i="3"/>
  <c r="J9" i="3"/>
  <c r="G10" i="3"/>
  <c r="J10" i="3"/>
  <c r="J11" i="3"/>
  <c r="G11" i="3"/>
  <c r="J12" i="3"/>
  <c r="G12" i="3"/>
  <c r="J13" i="3"/>
  <c r="G14" i="3"/>
  <c r="G13" i="3"/>
  <c r="J14" i="3"/>
  <c r="J15" i="3"/>
  <c r="M4" i="3"/>
  <c r="G4" i="1" s="1"/>
  <c r="K2" i="3"/>
  <c r="L5" i="3"/>
  <c r="O6" i="3"/>
  <c r="M5" i="3"/>
  <c r="G5" i="1" s="1"/>
  <c r="L4" i="3"/>
  <c r="S5" i="3"/>
  <c r="E4" i="3"/>
  <c r="O4" i="3"/>
  <c r="Q28" i="3"/>
  <c r="K31" i="3"/>
  <c r="K18" i="3"/>
  <c r="G20" i="3"/>
  <c r="G19" i="3"/>
  <c r="R6" i="3"/>
  <c r="R5" i="3"/>
  <c r="N20" i="3"/>
  <c r="I20" i="1" s="1"/>
  <c r="N19" i="3"/>
  <c r="I19" i="1" s="1"/>
  <c r="G25" i="3"/>
  <c r="G24" i="3"/>
  <c r="E6" i="3"/>
  <c r="E5" i="3"/>
  <c r="F6" i="3"/>
  <c r="F5" i="3"/>
  <c r="N6" i="3"/>
  <c r="I6" i="1" s="1"/>
  <c r="N5" i="3"/>
  <c r="I5" i="1" s="1"/>
  <c r="Q5" i="3"/>
  <c r="Q6" i="3"/>
  <c r="N25" i="3"/>
  <c r="I25" i="1" s="1"/>
  <c r="N24" i="3"/>
  <c r="I24" i="1" s="1"/>
  <c r="Q19" i="3"/>
  <c r="L19" i="3"/>
  <c r="M27" i="3"/>
  <c r="G27" i="1" s="1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N15" i="3"/>
  <c r="I15" i="1" s="1"/>
  <c r="N14" i="3"/>
  <c r="I14" i="1" s="1"/>
  <c r="K3" i="3"/>
  <c r="N10" i="3"/>
  <c r="I10" i="1" s="1"/>
  <c r="K12" i="3"/>
  <c r="K11" i="3"/>
  <c r="K10" i="3"/>
  <c r="K13" i="3"/>
  <c r="K5" i="3"/>
  <c r="K4" i="3"/>
  <c r="N12" i="3"/>
  <c r="I12" i="1" s="1"/>
  <c r="N11" i="3"/>
  <c r="I11" i="1" s="1"/>
  <c r="K14" i="3"/>
  <c r="K15" i="3"/>
  <c r="K17" i="3"/>
  <c r="K16" i="3"/>
  <c r="E29" i="1" l="1"/>
  <c r="E4" i="1"/>
  <c r="E10" i="1"/>
  <c r="E6" i="1"/>
  <c r="E2" i="1"/>
  <c r="E19" i="1"/>
  <c r="E3" i="1"/>
  <c r="E31" i="1"/>
  <c r="E7" i="1"/>
  <c r="E5" i="1"/>
  <c r="E21" i="1"/>
  <c r="E17" i="1"/>
  <c r="E13" i="1"/>
  <c r="E11" i="1"/>
  <c r="E27" i="1"/>
  <c r="E12" i="1"/>
  <c r="E15" i="1"/>
  <c r="E8" i="1"/>
  <c r="E18" i="1"/>
  <c r="E14" i="1"/>
  <c r="E24" i="1"/>
  <c r="E28" i="1"/>
  <c r="E25" i="1"/>
  <c r="E22" i="1"/>
  <c r="E30" i="1"/>
  <c r="E26" i="1"/>
  <c r="E23" i="1"/>
</calcChain>
</file>

<file path=xl/sharedStrings.xml><?xml version="1.0" encoding="utf-8"?>
<sst xmlns="http://schemas.openxmlformats.org/spreadsheetml/2006/main" count="140" uniqueCount="63">
  <si>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</si>
  <si>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</si>
  <si>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</si>
  <si>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</si>
  <si>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</si>
  <si>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</si>
  <si>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</si>
  <si>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</si>
  <si>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</si>
  <si>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</si>
  <si>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</si>
  <si>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</si>
  <si>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</si>
  <si>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NOV</t>
  </si>
  <si>
    <t xml:space="preserve"> -   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</si>
  <si>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</si>
  <si>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</si>
  <si>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</si>
  <si>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</si>
  <si>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</si>
  <si>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</si>
  <si>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</si>
  <si>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</si>
  <si>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</si>
  <si>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</si>
  <si>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</si>
  <si>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</si>
  <si>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</si>
  <si>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</si>
  <si>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</si>
  <si>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</si>
  <si>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SPA- m3</t>
  </si>
  <si>
    <t>LTHW East- m3</t>
  </si>
  <si>
    <t>Chilled make-up- m3</t>
  </si>
  <si>
    <t>Orchard irrigation- m3</t>
  </si>
  <si>
    <t xml:space="preserve"> 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</si>
  <si>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</si>
  <si>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</si>
  <si>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</si>
  <si>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</si>
  <si>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</si>
  <si>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</si>
  <si>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</si>
  <si>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</si>
  <si>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</si>
  <si>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Orchard irrigation</t>
  </si>
  <si>
    <t xml:space="preserve">Kids pool </t>
  </si>
  <si>
    <t>Room Night</t>
  </si>
  <si>
    <t>Guest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</si>
  <si>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</si>
  <si>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</si>
  <si>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</si>
  <si>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</si>
  <si>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</si>
  <si>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</si>
  <si>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</si>
  <si>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</si>
  <si>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</si>
  <si>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</si>
  <si>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</si>
  <si>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</si>
  <si>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31/09/2020</t>
  </si>
  <si>
    <t>Kids Pool-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</si>
</sst>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3" xfId="1" applyBorder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0" fillId="0" borderId="3" xfId="0" applyBorder="1"/>
    <xf numFmtId="0" fontId="0" fillId="2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0" borderId="0" xfId="1"/>
    <xf numFmtId="0" fontId="8" fillId="5" borderId="0" xfId="0" applyFont="1" applyFill="1"/>
    <xf numFmtId="0" fontId="2" fillId="3" borderId="3" xfId="1" applyFont="1" applyFill="1" applyBorder="1" applyAlignment="1">
      <alignment horizontal="center" wrapText="1"/>
    </xf>
    <xf numFmtId="0" fontId="8" fillId="0" borderId="3" xfId="0" applyFont="1" applyBorder="1"/>
    <xf numFmtId="0" fontId="1" fillId="3" borderId="9" xfId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4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6" borderId="3" xfId="0" applyFont="1" applyFill="1" applyBorder="1"/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 wrapText="1"/>
    </xf>
    <xf numFmtId="0" fontId="1" fillId="3" borderId="9" xfId="1" applyFill="1" applyBorder="1" applyAlignment="1">
      <alignment horizontal="center" wrapText="1"/>
    </xf>
    <xf numFmtId="0" fontId="1" fillId="3" borderId="9" xfId="1" applyFill="1" applyBorder="1" applyAlignment="1">
      <alignment horizontal="center"/>
    </xf>
    <xf numFmtId="0" fontId="2" fillId="3" borderId="9" xfId="1" applyFont="1" applyFill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6" fillId="0" borderId="9" xfId="1" applyFont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7" fillId="0" borderId="9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9" xfId="1" applyFont="1" applyFill="1" applyBorder="1" applyAlignment="1">
      <alignment horizontal="center"/>
    </xf>
    <xf numFmtId="2" fontId="2" fillId="3" borderId="3" xfId="1" applyNumberFormat="1" applyFont="1" applyFill="1" applyBorder="1" applyAlignment="1">
      <alignment horizontal="center" wrapText="1"/>
    </xf>
    <xf numFmtId="2" fontId="2" fillId="3" borderId="9" xfId="1" applyNumberFormat="1" applyFont="1" applyFill="1" applyBorder="1" applyAlignment="1">
      <alignment horizontal="center" wrapText="1"/>
    </xf>
    <xf numFmtId="0" fontId="7" fillId="0" borderId="9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64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10</v>
      </c>
      <c r="D2" s="2">
        <v>2020</v>
      </c>
      <c r="E2" s="4">
        <f>(Submetering!E2+Submetering!F2)</f>
        <v>9420</v>
      </c>
      <c r="F2" s="12">
        <v>0.14199999999999999</v>
      </c>
      <c r="G2" s="4">
        <f>Submetering!M2</f>
        <v>1058</v>
      </c>
      <c r="H2" s="12">
        <v>0.16</v>
      </c>
      <c r="I2" s="4">
        <f>Submetering!N2</f>
        <v>241</v>
      </c>
      <c r="J2" s="13">
        <v>2.06</v>
      </c>
      <c r="K2" s="4">
        <f>'Hampshire Daily'!B5</f>
        <v>58</v>
      </c>
      <c r="L2" s="4">
        <f>Submetering!AA2</f>
        <v>115</v>
      </c>
      <c r="N2" s="30"/>
      <c r="O2" s="30"/>
    </row>
    <row r="3" spans="1:24" x14ac:dyDescent="0.25">
      <c r="A3" s="3" t="s">
        <v>12</v>
      </c>
      <c r="B3" s="2">
        <f>B2+1</f>
        <v>2</v>
      </c>
      <c r="C3" s="2">
        <v>10</v>
      </c>
      <c r="D3" s="2">
        <v>2020</v>
      </c>
      <c r="E3" s="4">
        <f>Submetering!E3+Submetering!F3</f>
        <v>7010</v>
      </c>
      <c r="F3" s="12">
        <v>0.14199999999999999</v>
      </c>
      <c r="G3" s="4">
        <f>Submetering!M3</f>
        <v>1853</v>
      </c>
      <c r="H3" s="12">
        <v>0.16</v>
      </c>
      <c r="I3" s="4">
        <f>Submetering!N3</f>
        <v>76</v>
      </c>
      <c r="J3" s="13">
        <v>2.06</v>
      </c>
      <c r="K3" s="4">
        <f>'Hampshire Daily'!B6</f>
        <v>73</v>
      </c>
      <c r="L3" s="4">
        <f>Submetering!AA3</f>
        <v>178</v>
      </c>
      <c r="N3" s="30"/>
      <c r="O3" s="30"/>
    </row>
    <row r="4" spans="1:24" x14ac:dyDescent="0.25">
      <c r="A4" s="3" t="s">
        <v>12</v>
      </c>
      <c r="B4" s="2">
        <f t="shared" ref="B4:B32" si="0">B3+1</f>
        <v>3</v>
      </c>
      <c r="C4" s="2">
        <v>10</v>
      </c>
      <c r="D4" s="2">
        <v>2020</v>
      </c>
      <c r="E4" s="4">
        <f>Submetering!E4+Submetering!F4</f>
        <v>7440</v>
      </c>
      <c r="F4" s="12">
        <v>0.14199999999999999</v>
      </c>
      <c r="G4" s="4">
        <f>Submetering!M4</f>
        <v>2091</v>
      </c>
      <c r="H4" s="12">
        <v>0.16</v>
      </c>
      <c r="I4" s="4">
        <f>Submetering!N4</f>
        <v>128</v>
      </c>
      <c r="J4" s="13">
        <v>2.06</v>
      </c>
      <c r="K4" s="4">
        <f>'Hampshire Daily'!B7</f>
        <v>94</v>
      </c>
      <c r="L4" s="4">
        <f>Submetering!AA4</f>
        <v>225</v>
      </c>
      <c r="N4" s="30"/>
      <c r="O4" s="30"/>
    </row>
    <row r="5" spans="1:24" x14ac:dyDescent="0.25">
      <c r="A5" s="3" t="s">
        <v>12</v>
      </c>
      <c r="B5" s="2">
        <f t="shared" si="0"/>
        <v>4</v>
      </c>
      <c r="C5" s="2">
        <v>10</v>
      </c>
      <c r="D5" s="2">
        <v>2020</v>
      </c>
      <c r="E5" s="4">
        <f>Submetering!E5+Submetering!F5</f>
        <v>8270</v>
      </c>
      <c r="F5" s="12">
        <v>0.14199999999999999</v>
      </c>
      <c r="G5" s="4">
        <f>Submetering!M5</f>
        <v>2368</v>
      </c>
      <c r="H5" s="12">
        <v>0.16</v>
      </c>
      <c r="I5" s="4">
        <f>Submetering!N5</f>
        <v>128</v>
      </c>
      <c r="J5" s="13">
        <v>2.06</v>
      </c>
      <c r="K5" s="4">
        <f>'Hampshire Daily'!B8</f>
        <v>28</v>
      </c>
      <c r="L5" s="4">
        <f>Submetering!AA5</f>
        <v>70</v>
      </c>
      <c r="N5" s="30"/>
      <c r="O5" s="30"/>
    </row>
    <row r="6" spans="1:24" x14ac:dyDescent="0.25">
      <c r="A6" s="3" t="s">
        <v>12</v>
      </c>
      <c r="B6" s="2">
        <f t="shared" si="0"/>
        <v>5</v>
      </c>
      <c r="C6" s="2">
        <v>10</v>
      </c>
      <c r="D6" s="2">
        <v>2020</v>
      </c>
      <c r="E6" s="4">
        <f>Submetering!E6+Submetering!F6</f>
        <v>5890</v>
      </c>
      <c r="F6" s="12">
        <v>0.14199999999999999</v>
      </c>
      <c r="G6" s="4">
        <f>Submetering!M6</f>
        <v>1885</v>
      </c>
      <c r="H6" s="12">
        <v>0.16</v>
      </c>
      <c r="I6" s="4">
        <f>Submetering!N6</f>
        <v>239</v>
      </c>
      <c r="J6" s="13">
        <v>2.06</v>
      </c>
      <c r="K6" s="4">
        <f>'Hampshire Daily'!B9</f>
        <v>19</v>
      </c>
      <c r="L6" s="4">
        <f>Submetering!AA6</f>
        <v>53</v>
      </c>
      <c r="N6" s="30"/>
      <c r="O6" s="30"/>
    </row>
    <row r="7" spans="1:24" x14ac:dyDescent="0.25">
      <c r="A7" s="3" t="s">
        <v>12</v>
      </c>
      <c r="B7" s="2">
        <f t="shared" si="0"/>
        <v>6</v>
      </c>
      <c r="C7" s="2">
        <v>10</v>
      </c>
      <c r="D7" s="2">
        <v>2020</v>
      </c>
      <c r="E7" s="4">
        <f>Submetering!E7+Submetering!F7</f>
        <v>6640</v>
      </c>
      <c r="F7" s="12">
        <v>0.14199999999999999</v>
      </c>
      <c r="G7" s="4">
        <f>Submetering!M7</f>
        <v>1981</v>
      </c>
      <c r="H7" s="12">
        <v>0.16</v>
      </c>
      <c r="I7" s="4">
        <f>Submetering!N7</f>
        <v>92</v>
      </c>
      <c r="J7" s="13">
        <v>2.06</v>
      </c>
      <c r="K7" s="4">
        <f>'Hampshire Daily'!B10</f>
        <v>34</v>
      </c>
      <c r="L7" s="4">
        <f>Submetering!AA7</f>
        <v>73</v>
      </c>
      <c r="N7" s="30"/>
      <c r="O7" s="30"/>
    </row>
    <row r="8" spans="1:24" x14ac:dyDescent="0.25">
      <c r="A8" s="3" t="s">
        <v>12</v>
      </c>
      <c r="B8" s="2">
        <f t="shared" si="0"/>
        <v>7</v>
      </c>
      <c r="C8" s="2">
        <v>10</v>
      </c>
      <c r="D8" s="2">
        <v>2020</v>
      </c>
      <c r="E8" s="4">
        <f>Submetering!E8+Submetering!F8</f>
        <v>7430</v>
      </c>
      <c r="F8" s="12">
        <v>0.14199999999999999</v>
      </c>
      <c r="G8" s="4">
        <f>Submetering!M8</f>
        <v>1843</v>
      </c>
      <c r="H8" s="12">
        <v>0.16</v>
      </c>
      <c r="I8" s="4">
        <f>Submetering!N8</f>
        <v>114</v>
      </c>
      <c r="J8" s="13">
        <v>2.06</v>
      </c>
      <c r="K8" s="4">
        <f>'Hampshire Daily'!B11</f>
        <v>27</v>
      </c>
      <c r="L8" s="4">
        <f>Submetering!AA8</f>
        <v>64</v>
      </c>
      <c r="N8" s="30"/>
      <c r="O8" s="30"/>
    </row>
    <row r="9" spans="1:24" x14ac:dyDescent="0.25">
      <c r="A9" s="3" t="s">
        <v>12</v>
      </c>
      <c r="B9" s="2">
        <f t="shared" si="0"/>
        <v>8</v>
      </c>
      <c r="C9" s="2">
        <v>10</v>
      </c>
      <c r="D9" s="2">
        <v>2020</v>
      </c>
      <c r="E9" s="4">
        <f>Submetering!E9+Submetering!F9</f>
        <v>6750</v>
      </c>
      <c r="F9" s="12">
        <v>0.14199999999999999</v>
      </c>
      <c r="G9" s="4">
        <f>Submetering!M9</f>
        <v>1900</v>
      </c>
      <c r="H9" s="12">
        <v>0.16</v>
      </c>
      <c r="I9" s="4">
        <f>Submetering!N9</f>
        <v>141</v>
      </c>
      <c r="J9" s="13">
        <v>2.06</v>
      </c>
      <c r="K9" s="4">
        <f>'Hampshire Daily'!B12</f>
        <v>38</v>
      </c>
      <c r="L9" s="4">
        <f>Submetering!AA9</f>
        <v>92</v>
      </c>
      <c r="N9" s="30"/>
      <c r="O9" s="30"/>
    </row>
    <row r="10" spans="1:24" x14ac:dyDescent="0.25">
      <c r="A10" s="3" t="s">
        <v>12</v>
      </c>
      <c r="B10" s="2">
        <f t="shared" si="0"/>
        <v>9</v>
      </c>
      <c r="C10" s="2">
        <v>10</v>
      </c>
      <c r="D10" s="2">
        <v>2020</v>
      </c>
      <c r="E10" s="4">
        <f>Submetering!E10+Submetering!F10</f>
        <v>7010</v>
      </c>
      <c r="F10" s="12">
        <v>0.14199999999999999</v>
      </c>
      <c r="G10" s="4">
        <f>Submetering!M10</f>
        <v>1984</v>
      </c>
      <c r="H10" s="12">
        <v>0.16</v>
      </c>
      <c r="I10" s="4">
        <f>Submetering!N10</f>
        <v>108</v>
      </c>
      <c r="J10" s="13">
        <v>2.06</v>
      </c>
      <c r="K10" s="4">
        <f>'Hampshire Daily'!B13</f>
        <v>83</v>
      </c>
      <c r="L10" s="4">
        <f>Submetering!AA10</f>
        <v>190</v>
      </c>
      <c r="N10" s="30"/>
      <c r="O10" s="30"/>
    </row>
    <row r="11" spans="1:24" x14ac:dyDescent="0.25">
      <c r="A11" s="3" t="s">
        <v>12</v>
      </c>
      <c r="B11" s="2">
        <f t="shared" si="0"/>
        <v>10</v>
      </c>
      <c r="C11" s="2">
        <v>10</v>
      </c>
      <c r="D11" s="2">
        <v>2020</v>
      </c>
      <c r="E11" s="4">
        <f>Submetering!E11+Submetering!F11</f>
        <v>7370</v>
      </c>
      <c r="F11" s="12">
        <v>0.14199999999999999</v>
      </c>
      <c r="G11" s="4">
        <f>Submetering!M11</f>
        <v>2344</v>
      </c>
      <c r="H11" s="12">
        <v>0.16</v>
      </c>
      <c r="I11" s="4">
        <f>Submetering!N11</f>
        <v>132</v>
      </c>
      <c r="J11" s="13">
        <v>2.06</v>
      </c>
      <c r="K11" s="4">
        <f>'Hampshire Daily'!B14</f>
        <v>108</v>
      </c>
      <c r="L11" s="4">
        <f>Submetering!AA11</f>
        <v>268</v>
      </c>
      <c r="N11" s="30"/>
      <c r="O11" s="30"/>
    </row>
    <row r="12" spans="1:24" x14ac:dyDescent="0.25">
      <c r="A12" s="3" t="s">
        <v>12</v>
      </c>
      <c r="B12" s="2">
        <f t="shared" si="0"/>
        <v>11</v>
      </c>
      <c r="C12" s="2">
        <v>10</v>
      </c>
      <c r="D12" s="2">
        <v>2020</v>
      </c>
      <c r="E12" s="4">
        <f>Submetering!E12+Submetering!F12</f>
        <v>7450</v>
      </c>
      <c r="F12" s="12">
        <v>0.14199999999999999</v>
      </c>
      <c r="G12" s="4">
        <f>Submetering!M12</f>
        <v>2519</v>
      </c>
      <c r="H12" s="12">
        <v>0.16</v>
      </c>
      <c r="I12" s="4">
        <f>Submetering!N12</f>
        <v>90</v>
      </c>
      <c r="J12" s="13">
        <v>2.06</v>
      </c>
      <c r="K12" s="4">
        <f>'Hampshire Daily'!B15</f>
        <v>57</v>
      </c>
      <c r="L12" s="4">
        <f>Submetering!AA12</f>
        <v>144</v>
      </c>
      <c r="N12" s="30"/>
      <c r="O12" s="30"/>
    </row>
    <row r="13" spans="1:24" x14ac:dyDescent="0.25">
      <c r="A13" s="3" t="s">
        <v>12</v>
      </c>
      <c r="B13" s="2">
        <f t="shared" si="0"/>
        <v>12</v>
      </c>
      <c r="C13" s="2">
        <v>10</v>
      </c>
      <c r="D13" s="2">
        <v>2020</v>
      </c>
      <c r="E13" s="4">
        <f>Submetering!E13+Submetering!F13</f>
        <v>7000</v>
      </c>
      <c r="F13" s="12">
        <v>0.14199999999999999</v>
      </c>
      <c r="G13" s="4">
        <f>Submetering!M13</f>
        <v>2320</v>
      </c>
      <c r="H13" s="12">
        <v>0.16</v>
      </c>
      <c r="I13" s="4">
        <f>Submetering!N13</f>
        <v>218</v>
      </c>
      <c r="J13" s="13">
        <v>2.06</v>
      </c>
      <c r="K13" s="4">
        <f>'Hampshire Daily'!B16</f>
        <v>37</v>
      </c>
      <c r="L13" s="4">
        <f>Submetering!AA13</f>
        <v>92</v>
      </c>
      <c r="N13" s="30"/>
      <c r="O13" s="30"/>
    </row>
    <row r="14" spans="1:24" x14ac:dyDescent="0.25">
      <c r="A14" s="3" t="s">
        <v>12</v>
      </c>
      <c r="B14" s="2">
        <f t="shared" si="0"/>
        <v>13</v>
      </c>
      <c r="C14" s="2">
        <v>10</v>
      </c>
      <c r="D14" s="2">
        <v>2020</v>
      </c>
      <c r="E14" s="4">
        <f>Submetering!E14+Submetering!F14</f>
        <v>15070</v>
      </c>
      <c r="F14" s="12">
        <v>0.14199999999999999</v>
      </c>
      <c r="G14" s="4">
        <f>Submetering!M14</f>
        <v>2324</v>
      </c>
      <c r="H14" s="12">
        <v>0.16</v>
      </c>
      <c r="I14" s="4">
        <f>Submetering!N14</f>
        <v>128</v>
      </c>
      <c r="J14" s="13">
        <v>2.06</v>
      </c>
      <c r="K14" s="4">
        <f>'Hampshire Daily'!B17</f>
        <v>30</v>
      </c>
      <c r="L14" s="4">
        <f>Submetering!AA14</f>
        <v>70</v>
      </c>
      <c r="N14" s="30"/>
      <c r="O14" s="30"/>
    </row>
    <row r="15" spans="1:24" x14ac:dyDescent="0.25">
      <c r="A15" s="3" t="s">
        <v>12</v>
      </c>
      <c r="B15" s="2">
        <f t="shared" si="0"/>
        <v>14</v>
      </c>
      <c r="C15" s="2">
        <v>10</v>
      </c>
      <c r="D15" s="2">
        <v>2020</v>
      </c>
      <c r="E15" s="4">
        <f>Submetering!E15+Submetering!F15</f>
        <v>5338</v>
      </c>
      <c r="F15" s="12">
        <v>0.14199999999999999</v>
      </c>
      <c r="G15" s="4">
        <f>Submetering!M15</f>
        <v>2727</v>
      </c>
      <c r="H15" s="12">
        <v>0.16</v>
      </c>
      <c r="I15" s="4">
        <f>Submetering!N15</f>
        <v>181</v>
      </c>
      <c r="J15" s="13">
        <v>2.06</v>
      </c>
      <c r="K15" s="4">
        <f>'Hampshire Daily'!B18</f>
        <v>32</v>
      </c>
      <c r="L15" s="4">
        <f>Submetering!AA15</f>
        <v>81</v>
      </c>
      <c r="N15" s="30"/>
      <c r="O15" s="30"/>
    </row>
    <row r="16" spans="1:24" x14ac:dyDescent="0.25">
      <c r="A16" s="3" t="s">
        <v>12</v>
      </c>
      <c r="B16" s="2">
        <f t="shared" si="0"/>
        <v>15</v>
      </c>
      <c r="C16" s="2">
        <v>10</v>
      </c>
      <c r="D16" s="2">
        <v>2020</v>
      </c>
      <c r="E16" s="4">
        <f>Submetering!E16+Submetering!F16</f>
        <v>7465</v>
      </c>
      <c r="F16" s="12">
        <v>0.14199999999999999</v>
      </c>
      <c r="G16" s="4">
        <f>Submetering!M16</f>
        <v>1780</v>
      </c>
      <c r="H16" s="12">
        <v>0.16</v>
      </c>
      <c r="I16" s="4">
        <f>Submetering!N16</f>
        <v>128</v>
      </c>
      <c r="J16" s="13">
        <v>2.06</v>
      </c>
      <c r="K16" s="4">
        <f>'Hampshire Daily'!B19</f>
        <v>52</v>
      </c>
      <c r="L16" s="4">
        <f>Submetering!AA16</f>
        <v>115</v>
      </c>
      <c r="N16" s="30"/>
      <c r="O16" s="30"/>
    </row>
    <row r="17" spans="1:15" x14ac:dyDescent="0.25">
      <c r="A17" s="3" t="s">
        <v>12</v>
      </c>
      <c r="B17" s="2">
        <f t="shared" si="0"/>
        <v>16</v>
      </c>
      <c r="C17" s="2">
        <v>10</v>
      </c>
      <c r="D17" s="2">
        <v>2020</v>
      </c>
      <c r="E17" s="4">
        <f>Submetering!E17+Submetering!F17</f>
        <v>6769</v>
      </c>
      <c r="F17" s="12">
        <v>0.14199999999999999</v>
      </c>
      <c r="G17" s="4">
        <f>Submetering!M17</f>
        <v>2163</v>
      </c>
      <c r="H17" s="12">
        <v>0.16</v>
      </c>
      <c r="I17" s="4">
        <f>Submetering!N17</f>
        <v>128</v>
      </c>
      <c r="J17" s="13">
        <v>2.06</v>
      </c>
      <c r="K17" s="4">
        <f>'Hampshire Daily'!B20</f>
        <v>74</v>
      </c>
      <c r="L17" s="4">
        <f>Submetering!AA17</f>
        <v>178</v>
      </c>
      <c r="N17" s="30"/>
      <c r="O17" s="30"/>
    </row>
    <row r="18" spans="1:15" x14ac:dyDescent="0.25">
      <c r="A18" s="3" t="s">
        <v>12</v>
      </c>
      <c r="B18" s="2">
        <f t="shared" si="0"/>
        <v>17</v>
      </c>
      <c r="C18" s="2">
        <v>10</v>
      </c>
      <c r="D18" s="2">
        <v>2020</v>
      </c>
      <c r="E18" s="4">
        <f>Submetering!E18+Submetering!F18</f>
        <v>7867</v>
      </c>
      <c r="F18" s="12">
        <v>0.14199999999999999</v>
      </c>
      <c r="G18" s="4">
        <f>Submetering!M18</f>
        <v>2366</v>
      </c>
      <c r="H18" s="12">
        <v>0.16</v>
      </c>
      <c r="I18" s="4">
        <f>Submetering!N18</f>
        <v>128</v>
      </c>
      <c r="J18" s="13">
        <v>2.06</v>
      </c>
      <c r="K18" s="4">
        <f>'Hampshire Daily'!B21</f>
        <v>97</v>
      </c>
      <c r="L18" s="4">
        <f>Submetering!AA18</f>
        <v>243</v>
      </c>
      <c r="N18" s="30"/>
      <c r="O18" s="30"/>
    </row>
    <row r="19" spans="1:15" x14ac:dyDescent="0.25">
      <c r="A19" s="3" t="s">
        <v>12</v>
      </c>
      <c r="B19" s="2">
        <f t="shared" si="0"/>
        <v>18</v>
      </c>
      <c r="C19" s="2">
        <v>10</v>
      </c>
      <c r="D19" s="2">
        <v>2020</v>
      </c>
      <c r="E19" s="4">
        <f>Submetering!E19+Submetering!F19</f>
        <v>7870</v>
      </c>
      <c r="F19" s="12">
        <v>0.14199999999999999</v>
      </c>
      <c r="G19" s="4">
        <f>Submetering!M19</f>
        <v>2407</v>
      </c>
      <c r="H19" s="12">
        <v>0.16</v>
      </c>
      <c r="I19" s="4">
        <f>Submetering!N19</f>
        <v>128</v>
      </c>
      <c r="J19" s="13">
        <v>2.06</v>
      </c>
      <c r="K19" s="4">
        <f>'Hampshire Daily'!B22</f>
        <v>61</v>
      </c>
      <c r="L19" s="4">
        <f>Submetering!AA19</f>
        <v>166</v>
      </c>
      <c r="N19" s="30"/>
      <c r="O19" s="30"/>
    </row>
    <row r="20" spans="1:15" x14ac:dyDescent="0.25">
      <c r="A20" s="3" t="s">
        <v>12</v>
      </c>
      <c r="B20" s="2">
        <f t="shared" si="0"/>
        <v>19</v>
      </c>
      <c r="C20" s="2">
        <v>10</v>
      </c>
      <c r="D20" s="2">
        <v>2020</v>
      </c>
      <c r="E20" s="4">
        <f>Submetering!E20+Submetering!F20</f>
        <v>7069</v>
      </c>
      <c r="F20" s="12">
        <v>0.14199999999999999</v>
      </c>
      <c r="G20" s="4">
        <f>Submetering!M20</f>
        <v>2244</v>
      </c>
      <c r="H20" s="12">
        <v>0.16</v>
      </c>
      <c r="I20" s="4">
        <f>Submetering!N20</f>
        <v>128</v>
      </c>
      <c r="J20" s="13">
        <v>2.06</v>
      </c>
      <c r="K20" s="4">
        <f>'Hampshire Daily'!B23</f>
        <v>76</v>
      </c>
      <c r="L20" s="4">
        <f>Submetering!AA20</f>
        <v>199</v>
      </c>
      <c r="N20" s="30"/>
      <c r="O20" s="30"/>
    </row>
    <row r="21" spans="1:15" x14ac:dyDescent="0.25">
      <c r="A21" s="3" t="s">
        <v>12</v>
      </c>
      <c r="B21" s="2">
        <f t="shared" si="0"/>
        <v>20</v>
      </c>
      <c r="C21" s="2">
        <v>10</v>
      </c>
      <c r="D21" s="2">
        <v>2020</v>
      </c>
      <c r="E21" s="4">
        <f>Submetering!E21+Submetering!F21</f>
        <v>7277</v>
      </c>
      <c r="F21" s="12">
        <v>0.14199999999999999</v>
      </c>
      <c r="G21" s="4">
        <f>Submetering!M21</f>
        <v>2229</v>
      </c>
      <c r="H21" s="12">
        <v>0.16</v>
      </c>
      <c r="I21" s="4">
        <f>Submetering!N21</f>
        <v>128</v>
      </c>
      <c r="J21" s="13">
        <v>2.06</v>
      </c>
      <c r="K21" s="4">
        <f>'Hampshire Daily'!B24</f>
        <v>74</v>
      </c>
      <c r="L21" s="4">
        <f>Submetering!AA21</f>
        <v>195</v>
      </c>
      <c r="N21" s="30"/>
      <c r="O21" s="30"/>
    </row>
    <row r="22" spans="1:15" x14ac:dyDescent="0.25">
      <c r="A22" s="3" t="s">
        <v>12</v>
      </c>
      <c r="B22" s="2">
        <f t="shared" si="0"/>
        <v>21</v>
      </c>
      <c r="C22" s="2">
        <v>10</v>
      </c>
      <c r="D22" s="2">
        <v>2020</v>
      </c>
      <c r="E22" s="4">
        <f>Submetering!E22+Submetering!F22</f>
        <v>8693</v>
      </c>
      <c r="F22" s="12">
        <v>0.14199999999999999</v>
      </c>
      <c r="G22" s="4">
        <f>Submetering!M22</f>
        <v>1979</v>
      </c>
      <c r="H22" s="12">
        <v>0.16</v>
      </c>
      <c r="I22" s="4">
        <f>Submetering!N22</f>
        <v>119</v>
      </c>
      <c r="J22" s="13">
        <v>2.06</v>
      </c>
      <c r="K22" s="4">
        <f>'Hampshire Daily'!B25</f>
        <v>74</v>
      </c>
      <c r="L22" s="4">
        <f>Submetering!AA22</f>
        <v>204</v>
      </c>
      <c r="N22" s="30"/>
      <c r="O22" s="30"/>
    </row>
    <row r="23" spans="1:15" x14ac:dyDescent="0.25">
      <c r="A23" s="3" t="s">
        <v>12</v>
      </c>
      <c r="B23" s="2">
        <f t="shared" si="0"/>
        <v>22</v>
      </c>
      <c r="C23" s="2">
        <v>10</v>
      </c>
      <c r="D23" s="2">
        <v>2020</v>
      </c>
      <c r="E23" s="4">
        <f>Submetering!E23+Submetering!F23</f>
        <v>7151</v>
      </c>
      <c r="F23" s="12">
        <v>0.14199999999999999</v>
      </c>
      <c r="G23" s="4">
        <f>Submetering!M23</f>
        <v>2246</v>
      </c>
      <c r="H23" s="12">
        <v>0.16</v>
      </c>
      <c r="I23" s="4">
        <f>Submetering!N23</f>
        <v>128</v>
      </c>
      <c r="J23" s="13">
        <v>2.06</v>
      </c>
      <c r="K23" s="4">
        <f>'Hampshire Daily'!B26</f>
        <v>81</v>
      </c>
      <c r="L23" s="4">
        <f>Submetering!AA23</f>
        <v>220</v>
      </c>
      <c r="N23" s="30"/>
      <c r="O23" s="30"/>
    </row>
    <row r="24" spans="1:15" x14ac:dyDescent="0.25">
      <c r="A24" s="3" t="s">
        <v>12</v>
      </c>
      <c r="B24" s="2">
        <f t="shared" si="0"/>
        <v>23</v>
      </c>
      <c r="C24" s="2">
        <v>10</v>
      </c>
      <c r="D24" s="2">
        <v>2020</v>
      </c>
      <c r="E24" s="4">
        <f>Submetering!E24+Submetering!F24</f>
        <v>6956</v>
      </c>
      <c r="F24" s="12">
        <v>0.14199999999999999</v>
      </c>
      <c r="G24" s="4">
        <f>Submetering!M24</f>
        <v>2237</v>
      </c>
      <c r="H24" s="12">
        <v>0.16</v>
      </c>
      <c r="I24" s="4">
        <f>Submetering!N24</f>
        <v>128</v>
      </c>
      <c r="J24" s="13">
        <v>2.06</v>
      </c>
      <c r="K24" s="4">
        <f>'Hampshire Daily'!B27</f>
        <v>93</v>
      </c>
      <c r="L24" s="4">
        <f>Submetering!AA24</f>
        <v>253</v>
      </c>
      <c r="N24" s="30"/>
      <c r="O24" s="30"/>
    </row>
    <row r="25" spans="1:15" x14ac:dyDescent="0.25">
      <c r="A25" s="3" t="s">
        <v>12</v>
      </c>
      <c r="B25" s="2">
        <f t="shared" si="0"/>
        <v>24</v>
      </c>
      <c r="C25" s="2">
        <v>10</v>
      </c>
      <c r="D25" s="2">
        <v>2020</v>
      </c>
      <c r="E25" s="4">
        <f>Submetering!E25+Submetering!F25</f>
        <v>4932</v>
      </c>
      <c r="F25" s="12">
        <v>0.14199999999999999</v>
      </c>
      <c r="G25" s="4">
        <f>Submetering!M25</f>
        <v>2597</v>
      </c>
      <c r="H25" s="12">
        <v>0.16</v>
      </c>
      <c r="I25" s="4">
        <f>Submetering!N25</f>
        <v>128</v>
      </c>
      <c r="J25" s="13">
        <v>2.06</v>
      </c>
      <c r="K25" s="4">
        <f>'Hampshire Daily'!B28</f>
        <v>93</v>
      </c>
      <c r="L25" s="4">
        <f>Submetering!AA25</f>
        <v>253</v>
      </c>
      <c r="N25" s="30"/>
      <c r="O25" s="30"/>
    </row>
    <row r="26" spans="1:15" x14ac:dyDescent="0.25">
      <c r="A26" s="3" t="s">
        <v>12</v>
      </c>
      <c r="B26" s="2">
        <f>B25+1</f>
        <v>25</v>
      </c>
      <c r="C26" s="2">
        <v>10</v>
      </c>
      <c r="D26" s="2">
        <v>2020</v>
      </c>
      <c r="E26" s="4">
        <f>Submetering!E26+Submetering!F26</f>
        <v>4793</v>
      </c>
      <c r="F26" s="12">
        <v>0.14199999999999999</v>
      </c>
      <c r="G26" s="4">
        <f>Submetering!M26</f>
        <v>2754</v>
      </c>
      <c r="H26" s="12">
        <v>0.16</v>
      </c>
      <c r="I26" s="4">
        <f>Submetering!N26</f>
        <v>130</v>
      </c>
      <c r="J26" s="13">
        <v>2.06</v>
      </c>
      <c r="K26" s="4">
        <f>'Hampshire Daily'!B29</f>
        <v>68</v>
      </c>
      <c r="L26" s="4">
        <f>Submetering!AA26</f>
        <v>182</v>
      </c>
      <c r="N26" s="30"/>
      <c r="O26" s="30"/>
    </row>
    <row r="27" spans="1:15" x14ac:dyDescent="0.25">
      <c r="A27" s="3" t="s">
        <v>12</v>
      </c>
      <c r="B27" s="2">
        <f t="shared" si="0"/>
        <v>26</v>
      </c>
      <c r="C27" s="2">
        <v>10</v>
      </c>
      <c r="D27" s="2">
        <v>2020</v>
      </c>
      <c r="E27" s="4">
        <f>Submetering!E27+Submetering!F27</f>
        <v>3955</v>
      </c>
      <c r="F27" s="12">
        <v>0.14199999999999999</v>
      </c>
      <c r="G27" s="4">
        <f>Submetering!M27</f>
        <v>2762</v>
      </c>
      <c r="H27" s="12">
        <v>0.16</v>
      </c>
      <c r="I27" s="4">
        <f>Submetering!N27</f>
        <v>180</v>
      </c>
      <c r="J27" s="13">
        <v>2.06</v>
      </c>
      <c r="K27" s="4">
        <f>'Hampshire Daily'!B30</f>
        <v>86</v>
      </c>
      <c r="L27" s="4">
        <f>Submetering!AA27</f>
        <v>228</v>
      </c>
      <c r="N27" s="30"/>
      <c r="O27" s="30"/>
    </row>
    <row r="28" spans="1:15" x14ac:dyDescent="0.25">
      <c r="A28" s="3" t="s">
        <v>12</v>
      </c>
      <c r="B28" s="2">
        <f t="shared" si="0"/>
        <v>27</v>
      </c>
      <c r="C28" s="2">
        <v>10</v>
      </c>
      <c r="D28" s="2">
        <v>2020</v>
      </c>
      <c r="E28" s="4">
        <f>Submetering!E28+Submetering!F28</f>
        <v>4206</v>
      </c>
      <c r="F28" s="12">
        <v>0.14199999999999999</v>
      </c>
      <c r="G28" s="4">
        <f>Submetering!M28</f>
        <v>2695</v>
      </c>
      <c r="H28" s="12">
        <v>0.16</v>
      </c>
      <c r="I28" s="4">
        <f>Submetering!N28</f>
        <v>77</v>
      </c>
      <c r="J28" s="13">
        <v>2.06</v>
      </c>
      <c r="K28" s="4">
        <f>'Hampshire Daily'!B31</f>
        <v>78</v>
      </c>
      <c r="L28" s="4">
        <f>Submetering!AA28</f>
        <v>214</v>
      </c>
      <c r="N28" s="30"/>
      <c r="O28" s="30"/>
    </row>
    <row r="29" spans="1:15" x14ac:dyDescent="0.25">
      <c r="A29" s="3" t="s">
        <v>12</v>
      </c>
      <c r="B29" s="2">
        <f t="shared" si="0"/>
        <v>28</v>
      </c>
      <c r="C29" s="2">
        <v>10</v>
      </c>
      <c r="D29" s="2">
        <v>2020</v>
      </c>
      <c r="E29" s="4">
        <f>Submetering!E29+Submetering!F29</f>
        <v>5635</v>
      </c>
      <c r="F29" s="12">
        <v>0.14199999999999999</v>
      </c>
      <c r="G29" s="4">
        <f>Submetering!M29</f>
        <v>2578</v>
      </c>
      <c r="H29" s="12">
        <v>0.16</v>
      </c>
      <c r="I29" s="4">
        <f>Submetering!N29</f>
        <v>133</v>
      </c>
      <c r="J29" s="13">
        <v>2.06</v>
      </c>
      <c r="K29" s="4">
        <f>'Hampshire Daily'!B32</f>
        <v>86</v>
      </c>
      <c r="L29" s="4">
        <f>Submetering!AA29</f>
        <v>238</v>
      </c>
      <c r="N29" s="30"/>
      <c r="O29" s="30"/>
    </row>
    <row r="30" spans="1:15" x14ac:dyDescent="0.25">
      <c r="A30" s="3" t="s">
        <v>12</v>
      </c>
      <c r="B30" s="2">
        <f t="shared" si="0"/>
        <v>29</v>
      </c>
      <c r="C30" s="2">
        <v>10</v>
      </c>
      <c r="D30" s="2">
        <v>2020</v>
      </c>
      <c r="E30" s="4">
        <f>Submetering!E30+Submetering!F30</f>
        <v>5263</v>
      </c>
      <c r="F30" s="12">
        <v>0.14199999999999999</v>
      </c>
      <c r="G30" s="4">
        <f>Submetering!M30</f>
        <v>2429</v>
      </c>
      <c r="H30" s="12">
        <v>0.16</v>
      </c>
      <c r="I30" s="4">
        <f>Submetering!N30</f>
        <v>249</v>
      </c>
      <c r="J30" s="13">
        <v>2.06</v>
      </c>
      <c r="K30" s="4">
        <f>'Hampshire Daily'!B33</f>
        <v>92</v>
      </c>
      <c r="L30" s="4">
        <f>Submetering!AA30</f>
        <v>262</v>
      </c>
      <c r="N30" s="30"/>
      <c r="O30" s="30"/>
    </row>
    <row r="31" spans="1:15" x14ac:dyDescent="0.25">
      <c r="A31" s="3" t="s">
        <v>12</v>
      </c>
      <c r="B31" s="2">
        <f t="shared" si="0"/>
        <v>30</v>
      </c>
      <c r="C31" s="2">
        <v>10</v>
      </c>
      <c r="D31" s="2">
        <v>2020</v>
      </c>
      <c r="E31" s="4">
        <f>Submetering!E31+Submetering!F31</f>
        <v>5185</v>
      </c>
      <c r="F31" s="12">
        <v>0.14199999999999999</v>
      </c>
      <c r="G31" s="4">
        <f>Submetering!M31</f>
        <v>2661</v>
      </c>
      <c r="H31" s="12">
        <v>0.16</v>
      </c>
      <c r="I31" s="4">
        <f>Submetering!N31</f>
        <v>48</v>
      </c>
      <c r="J31" s="13">
        <v>2.06</v>
      </c>
      <c r="K31" s="4">
        <f>'Hampshire Daily'!B34</f>
        <v>106</v>
      </c>
      <c r="L31" s="4">
        <f>Submetering!AA31</f>
        <v>309</v>
      </c>
      <c r="N31" s="30"/>
      <c r="O31" s="30"/>
    </row>
    <row r="32" spans="1:15" x14ac:dyDescent="0.25">
      <c r="A32" s="3" t="s">
        <v>12</v>
      </c>
      <c r="B32" s="2">
        <f t="shared" si="0"/>
        <v>31</v>
      </c>
      <c r="C32" s="2">
        <v>10</v>
      </c>
      <c r="D32" s="2">
        <v>2020</v>
      </c>
      <c r="E32" s="4">
        <f>Submetering!E32+Submetering!F32</f>
        <v>4606</v>
      </c>
      <c r="F32" s="12">
        <v>0.14199999999999999</v>
      </c>
      <c r="G32" s="4">
        <f>Submetering!M32</f>
        <v>2419</v>
      </c>
      <c r="H32" s="12">
        <v>0.16</v>
      </c>
      <c r="I32" s="4">
        <f>Submetering!N32</f>
        <v>33</v>
      </c>
      <c r="J32" s="13">
        <v>2.06</v>
      </c>
      <c r="K32" s="4">
        <f>'Hampshire Daily'!B35</f>
        <v>91</v>
      </c>
      <c r="L32" s="4">
        <f>Submetering!AA32</f>
        <v>260</v>
      </c>
      <c r="N32" s="30"/>
      <c r="O32" s="30"/>
    </row>
    <row r="33" spans="5:16" x14ac:dyDescent="0.25">
      <c r="E33" s="4"/>
      <c r="N33" s="30"/>
      <c r="O33" s="30" t="s">
        <v>13</v>
      </c>
      <c r="P33" s="1" t="s">
        <v>13</v>
      </c>
    </row>
    <row r="34" spans="5:16" x14ac:dyDescent="0.25">
      <c r="N34" s="30"/>
      <c r="O34" s="30"/>
    </row>
    <row r="35" spans="5:16" x14ac:dyDescent="0.25">
      <c r="N35" s="30">
        <v>108</v>
      </c>
      <c r="O35" s="30">
        <v>28</v>
      </c>
      <c r="P35" s="1">
        <f t="shared" ref="P35:P64" si="1">N35+O35</f>
        <v>136</v>
      </c>
    </row>
    <row r="36" spans="5:16" x14ac:dyDescent="0.25">
      <c r="N36" s="30">
        <v>117</v>
      </c>
      <c r="O36" s="30">
        <v>37</v>
      </c>
      <c r="P36" s="1">
        <f t="shared" si="1"/>
        <v>154</v>
      </c>
    </row>
    <row r="37" spans="5:16" x14ac:dyDescent="0.25">
      <c r="N37" s="30">
        <v>108</v>
      </c>
      <c r="O37" s="30">
        <v>24</v>
      </c>
      <c r="P37" s="1">
        <f t="shared" si="1"/>
        <v>132</v>
      </c>
    </row>
    <row r="38" spans="5:16" x14ac:dyDescent="0.25">
      <c r="N38" s="30">
        <v>38</v>
      </c>
      <c r="O38" s="30">
        <v>14</v>
      </c>
      <c r="P38" s="1">
        <f t="shared" si="1"/>
        <v>52</v>
      </c>
    </row>
    <row r="39" spans="5:16" x14ac:dyDescent="0.25">
      <c r="N39" s="30">
        <v>13</v>
      </c>
      <c r="O39" s="30">
        <v>0</v>
      </c>
      <c r="P39" s="1">
        <f t="shared" si="1"/>
        <v>13</v>
      </c>
    </row>
    <row r="40" spans="5:16" x14ac:dyDescent="0.25">
      <c r="N40" s="30">
        <v>13</v>
      </c>
      <c r="O40" s="30">
        <v>0</v>
      </c>
      <c r="P40" s="1">
        <f t="shared" si="1"/>
        <v>13</v>
      </c>
    </row>
    <row r="41" spans="5:16" x14ac:dyDescent="0.25">
      <c r="N41" s="30">
        <v>13</v>
      </c>
      <c r="O41" s="30">
        <v>0</v>
      </c>
      <c r="P41" s="1">
        <f t="shared" si="1"/>
        <v>13</v>
      </c>
    </row>
    <row r="42" spans="5:16" x14ac:dyDescent="0.25">
      <c r="N42" s="30">
        <v>13</v>
      </c>
      <c r="O42" s="30">
        <v>0</v>
      </c>
      <c r="P42" s="1">
        <f t="shared" si="1"/>
        <v>13</v>
      </c>
    </row>
    <row r="43" spans="5:16" x14ac:dyDescent="0.25">
      <c r="N43" s="30">
        <v>13</v>
      </c>
      <c r="O43" s="30">
        <v>0</v>
      </c>
      <c r="P43" s="1">
        <f t="shared" si="1"/>
        <v>13</v>
      </c>
    </row>
    <row r="44" spans="5:16" x14ac:dyDescent="0.25">
      <c r="N44" s="30">
        <v>13</v>
      </c>
      <c r="O44" s="30">
        <v>0</v>
      </c>
      <c r="P44" s="1">
        <f t="shared" si="1"/>
        <v>13</v>
      </c>
    </row>
    <row r="45" spans="5:16" x14ac:dyDescent="0.25">
      <c r="N45" s="30">
        <v>13</v>
      </c>
      <c r="O45" s="30">
        <v>0</v>
      </c>
      <c r="P45" s="1">
        <f t="shared" si="1"/>
        <v>13</v>
      </c>
    </row>
    <row r="46" spans="5:16" x14ac:dyDescent="0.25">
      <c r="N46" s="30">
        <v>13</v>
      </c>
      <c r="O46" s="30">
        <v>0</v>
      </c>
      <c r="P46" s="1">
        <f t="shared" si="1"/>
        <v>13</v>
      </c>
    </row>
    <row r="47" spans="5:16" x14ac:dyDescent="0.25">
      <c r="N47" s="30">
        <v>13</v>
      </c>
      <c r="O47" s="30">
        <v>0</v>
      </c>
      <c r="P47" s="1">
        <f t="shared" si="1"/>
        <v>13</v>
      </c>
    </row>
    <row r="48" spans="5:16" x14ac:dyDescent="0.25">
      <c r="N48" s="30">
        <v>13</v>
      </c>
      <c r="O48" s="30">
        <v>0</v>
      </c>
      <c r="P48" s="1">
        <f t="shared" si="1"/>
        <v>13</v>
      </c>
    </row>
    <row r="49" spans="14:16" x14ac:dyDescent="0.25">
      <c r="N49" s="30">
        <v>13</v>
      </c>
      <c r="O49" s="30">
        <v>0</v>
      </c>
      <c r="P49" s="1">
        <f t="shared" si="1"/>
        <v>13</v>
      </c>
    </row>
    <row r="50" spans="14:16" x14ac:dyDescent="0.25">
      <c r="N50" s="30">
        <v>13</v>
      </c>
      <c r="O50" s="30">
        <v>0</v>
      </c>
      <c r="P50" s="1">
        <f t="shared" si="1"/>
        <v>13</v>
      </c>
    </row>
    <row r="51" spans="14:16" x14ac:dyDescent="0.25">
      <c r="N51" s="30">
        <v>16</v>
      </c>
      <c r="O51" s="30">
        <v>0</v>
      </c>
      <c r="P51" s="1">
        <f t="shared" si="1"/>
        <v>16</v>
      </c>
    </row>
    <row r="52" spans="14:16" x14ac:dyDescent="0.25">
      <c r="N52" s="30">
        <v>16</v>
      </c>
      <c r="O52" s="30">
        <v>0</v>
      </c>
      <c r="P52" s="1">
        <f t="shared" si="1"/>
        <v>16</v>
      </c>
    </row>
    <row r="53" spans="14:16" x14ac:dyDescent="0.25">
      <c r="N53" s="30">
        <v>16</v>
      </c>
      <c r="O53" s="30">
        <v>0</v>
      </c>
      <c r="P53" s="1">
        <f t="shared" si="1"/>
        <v>16</v>
      </c>
    </row>
    <row r="54" spans="14:16" x14ac:dyDescent="0.25">
      <c r="N54" s="30">
        <v>16</v>
      </c>
      <c r="O54" s="30">
        <v>0</v>
      </c>
      <c r="P54" s="1">
        <f t="shared" si="1"/>
        <v>16</v>
      </c>
    </row>
    <row r="55" spans="14:16" x14ac:dyDescent="0.25">
      <c r="N55" s="30">
        <v>16</v>
      </c>
      <c r="O55" s="30">
        <v>0</v>
      </c>
      <c r="P55" s="1">
        <f t="shared" si="1"/>
        <v>16</v>
      </c>
    </row>
    <row r="56" spans="14:16" x14ac:dyDescent="0.25">
      <c r="N56" s="30">
        <v>16</v>
      </c>
      <c r="O56" s="30">
        <v>0</v>
      </c>
      <c r="P56" s="1">
        <f t="shared" si="1"/>
        <v>16</v>
      </c>
    </row>
    <row r="57" spans="14:16" x14ac:dyDescent="0.25">
      <c r="N57" s="30">
        <v>16</v>
      </c>
      <c r="O57" s="30">
        <v>0</v>
      </c>
      <c r="P57" s="1">
        <f t="shared" si="1"/>
        <v>16</v>
      </c>
    </row>
    <row r="58" spans="14:16" x14ac:dyDescent="0.25">
      <c r="N58" s="30">
        <v>16</v>
      </c>
      <c r="O58" s="30">
        <v>0</v>
      </c>
      <c r="P58" s="1">
        <f t="shared" si="1"/>
        <v>16</v>
      </c>
    </row>
    <row r="59" spans="14:16" x14ac:dyDescent="0.25">
      <c r="N59" s="30">
        <v>17</v>
      </c>
      <c r="O59" s="30">
        <v>0</v>
      </c>
      <c r="P59" s="1">
        <f t="shared" si="1"/>
        <v>17</v>
      </c>
    </row>
    <row r="60" spans="14:16" x14ac:dyDescent="0.25">
      <c r="N60" s="30">
        <v>16</v>
      </c>
      <c r="O60" s="30">
        <v>0</v>
      </c>
      <c r="P60" s="1">
        <f t="shared" si="1"/>
        <v>16</v>
      </c>
    </row>
    <row r="61" spans="14:16" x14ac:dyDescent="0.25">
      <c r="N61" s="30">
        <v>15</v>
      </c>
      <c r="O61" s="30">
        <v>0</v>
      </c>
      <c r="P61" s="1">
        <f t="shared" si="1"/>
        <v>15</v>
      </c>
    </row>
    <row r="62" spans="14:16" x14ac:dyDescent="0.25">
      <c r="N62" s="30">
        <v>12</v>
      </c>
      <c r="O62" s="30">
        <v>0</v>
      </c>
      <c r="P62" s="1">
        <f t="shared" si="1"/>
        <v>12</v>
      </c>
    </row>
    <row r="63" spans="14:16" x14ac:dyDescent="0.25">
      <c r="N63" s="30">
        <v>7</v>
      </c>
      <c r="O63" s="30">
        <v>0</v>
      </c>
      <c r="P63" s="1">
        <f t="shared" si="1"/>
        <v>7</v>
      </c>
    </row>
    <row r="64" spans="14:16" x14ac:dyDescent="0.25">
      <c r="N64" s="30" t="s">
        <v>14</v>
      </c>
      <c r="O64" s="30">
        <v>0</v>
      </c>
      <c r="P64" s="1" t="e">
        <f t="shared" si="1"/>
        <v>#VALUE!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G32"/>
  <sheetViews>
    <sheetView tabSelected="1" zoomScaleNormal="100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Y2" sqref="Y2"/>
    </sheetView>
  </sheetViews>
  <sheetFormatPr defaultColWidth="11.5703125" defaultRowHeight="15" x14ac:dyDescent="0.25"/>
  <cols>
    <col min="1" max="1" width="13.855468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6" width="11.5703125" style="1"/>
    <col min="27" max="27" width="11.5703125" style="4"/>
  </cols>
  <sheetData>
    <row r="1" spans="1:3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9" t="s">
        <v>28</v>
      </c>
      <c r="S1" s="9" t="s">
        <v>29</v>
      </c>
      <c r="T1" s="9" t="s">
        <v>30</v>
      </c>
      <c r="U1" s="9" t="s">
        <v>31</v>
      </c>
      <c r="V1" s="9" t="s">
        <v>32</v>
      </c>
      <c r="W1" s="10" t="s">
        <v>33</v>
      </c>
      <c r="X1" s="10" t="s">
        <v>34</v>
      </c>
      <c r="Y1" s="10" t="s">
        <v>62</v>
      </c>
      <c r="Z1" s="10" t="s">
        <v>10</v>
      </c>
      <c r="AA1" s="9" t="s">
        <v>11</v>
      </c>
    </row>
    <row r="2" spans="1:33" x14ac:dyDescent="0.25">
      <c r="A2" s="3" t="s">
        <v>12</v>
      </c>
      <c r="B2" s="1">
        <v>1</v>
      </c>
      <c r="C2" s="17">
        <v>10</v>
      </c>
      <c r="D2" s="1">
        <v>2020</v>
      </c>
      <c r="E2" s="4">
        <f>IF(('Hampshire Daily'!D5-'Hampshire Daily'!D4&lt;0), "0",('Hampshire Daily'!D5-'Hampshire Daily'!D4)*10)</f>
        <v>5140</v>
      </c>
      <c r="F2" s="4">
        <f>IF(('Hampshire Daily'!F5-'Hampshire Daily'!F4&lt;0), "0",('Hampshire Daily'!F5-'Hampshire Daily'!F4)*10)</f>
        <v>4280</v>
      </c>
      <c r="G2" s="4">
        <f>IF(('Hampshire Daily'!H5-'Hampshire Daily'!H4&lt;0), "0",'Hampshire Daily'!H5-'Hampshire Daily'!H4)</f>
        <v>845</v>
      </c>
      <c r="H2" s="4">
        <f>IF(('Hampshire Daily'!I5-'Hampshire Daily'!I4&lt;0), "0",'Hampshire Daily'!I5-'Hampshire Daily'!I4)</f>
        <v>0</v>
      </c>
      <c r="I2" s="4">
        <f>IF(('Hampshire Daily'!J5-'Hampshire Daily'!J4&lt;0), "0",'Hampshire Daily'!J5-'Hampshire Daily'!J4)</f>
        <v>0</v>
      </c>
      <c r="J2" s="4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1590</v>
      </c>
      <c r="L2" s="4">
        <f>IF(('Hampshire Daily'!M5-'Hampshire Daily'!M4&lt;0), "0",'Hampshire Daily'!M5-'Hampshire Daily'!M4)</f>
        <v>500</v>
      </c>
      <c r="M2" s="4">
        <f>IF(('Hampshire Daily'!N5-'Hampshire Daily'!N4&lt;0), "0",'Hampshire Daily'!N5-'Hampshire Daily'!N4)</f>
        <v>1058</v>
      </c>
      <c r="N2" s="4">
        <f>IF(('Hampshire Daily'!O5-'Hampshire Daily'!O4&lt;0), "0",'Hampshire Daily'!O5-'Hampshire Daily'!O4)</f>
        <v>241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705</v>
      </c>
      <c r="Q2" s="4">
        <f>IF(('Hampshire Daily'!R5-'Hampshire Daily'!R4&lt;0), "0",'Hampshire Daily'!R5-'Hampshire Daily'!R4)</f>
        <v>3</v>
      </c>
      <c r="R2" s="4">
        <f>IF(('Hampshire Daily'!U5-'Hampshire Daily'!U4&lt;0), "0",'Hampshire Daily'!U5-'Hampshire Daily'!U4)</f>
        <v>10</v>
      </c>
      <c r="S2" s="4">
        <f>IF(('Hampshire Daily'!V5-'Hampshire Daily'!V4&lt;0), "0",'Hampshire Daily'!V5-'Hampshire Daily'!V4)</f>
        <v>13</v>
      </c>
      <c r="T2" s="4">
        <f>IF(('Hampshire Daily'!Y5-'Hampshire Daily'!W4&lt;0), "0",'Hampshire Daily'!Y5-'Hampshire Daily'!W4)</f>
        <v>855.34699999999998</v>
      </c>
      <c r="U2" s="4">
        <f>IF(('Hampshire Daily'!X5-'Hampshire Daily'!X4&lt;0), "0",'Hampshire Daily'!X5-'Hampshire Daily'!X4)</f>
        <v>2.7769999999999868</v>
      </c>
      <c r="V2" s="4" t="str">
        <f>IF(('Hampshire Daily'!Y5-'Hampshire Daily'!Y4&lt;0), "0",'Hampshire Daily'!Y5-'Hampshire Daily'!Y4)</f>
        <v>0</v>
      </c>
      <c r="W2" s="4">
        <f>IF(('Hampshire Daily'!Z5-'Hampshire Daily'!Z4&lt;0), "0",'Hampshire Daily'!Z5-'Hampshire Daily'!Z4)</f>
        <v>2.8999999999996362E-2</v>
      </c>
      <c r="X2" s="4">
        <v>23</v>
      </c>
      <c r="Y2" s="4">
        <v>6</v>
      </c>
      <c r="Z2" s="4">
        <f>'Hampshire Daily'!B5</f>
        <v>58</v>
      </c>
      <c r="AA2" s="4">
        <f>'Hampshire Daily'!C5</f>
        <v>115</v>
      </c>
    </row>
    <row r="3" spans="1:33" x14ac:dyDescent="0.25">
      <c r="A3" s="3" t="s">
        <v>12</v>
      </c>
      <c r="B3" s="1">
        <f>B2+1</f>
        <v>2</v>
      </c>
      <c r="C3" s="17">
        <v>10</v>
      </c>
      <c r="D3" s="1">
        <v>2020</v>
      </c>
      <c r="E3" s="4">
        <f>IF(('Hampshire Daily'!D6-'Hampshire Daily'!D5&lt;0), "0",('Hampshire Daily'!D6-'Hampshire Daily'!D5)*10)</f>
        <v>2280</v>
      </c>
      <c r="F3" s="4">
        <f>IF(('Hampshire Daily'!F6-'Hampshire Daily'!F5&lt;0), "0",('Hampshire Daily'!F6-'Hampshire Daily'!F5)*10)</f>
        <v>4730</v>
      </c>
      <c r="G3" s="18">
        <f>IF(('Hampshire Daily'!H6-'Hampshire Daily'!H5&lt;0), "0",'Hampshire Daily'!H6-'Hampshire Daily'!H5)</f>
        <v>795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8">
        <f>IF(('Hampshire Daily'!L6-'Hampshire Daily'!L5&lt;0), "0",'Hampshire Daily'!L6-'Hampshire Daily'!L5)</f>
        <v>938</v>
      </c>
      <c r="L3" s="18">
        <f>IF(('Hampshire Daily'!M6-'Hampshire Daily'!M5&lt;0), "0",'Hampshire Daily'!M6-'Hampshire Daily'!M5)</f>
        <v>0</v>
      </c>
      <c r="M3" s="18">
        <f>IF(('Hampshire Daily'!N6-'Hampshire Daily'!N5&lt;0), "0",'Hampshire Daily'!N6-'Hampshire Daily'!N5)</f>
        <v>1853</v>
      </c>
      <c r="N3" s="4">
        <f>IF(('Hampshire Daily'!O6-'Hampshire Daily'!O5&lt;0), "0",'Hampshire Daily'!O6-'Hampshire Daily'!O5)</f>
        <v>76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1063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11</v>
      </c>
      <c r="S3" s="4">
        <f>IF(('Hampshire Daily'!V6-'Hampshire Daily'!V5&lt;0), "0",'Hampshire Daily'!V6-'Hampshire Daily'!V5)</f>
        <v>0</v>
      </c>
      <c r="T3" s="4">
        <f>IF(('Hampshire Daily'!Y6-'Hampshire Daily'!Y5&lt;0), "0",'Hampshire Daily'!Y6-'Hampshire Daily'!Y5)</f>
        <v>0.28600000000005821</v>
      </c>
      <c r="U3" s="4">
        <f>IF(('Hampshire Daily'!X6-'Hampshire Daily'!X5&lt;0), "0",'Hampshire Daily'!X6-'Hampshire Daily'!X5)</f>
        <v>2.0090000000000146</v>
      </c>
      <c r="V3" s="4">
        <f>IF(('Hampshire Daily'!Y6-'Hampshire Daily'!Y5&lt;0), "0",'Hampshire Daily'!Y6-'Hampshire Daily'!Y5)</f>
        <v>0.28600000000005821</v>
      </c>
      <c r="W3" s="4">
        <f>IF(('Hampshire Daily'!Z6-'Hampshire Daily'!Z5&lt;0), "0",'Hampshire Daily'!Z6-'Hampshire Daily'!Z5)</f>
        <v>7.9999999998108251E-3</v>
      </c>
      <c r="X3" s="4">
        <f>IF(('Hampshire Daily'!AA6-'Hampshire Daily'!AA5&lt;0), "0",'Hampshire Daily'!AA6-'Hampshire Daily'!AA5)</f>
        <v>23</v>
      </c>
      <c r="Y3" s="4">
        <f>IF(('Hampshire Daily'!AB6-'Hampshire Daily'!AB5&lt;0), "0",'Hampshire Daily'!AB6-'Hampshire Daily'!AB5)</f>
        <v>6</v>
      </c>
      <c r="Z3" s="4">
        <f>'Hampshire Daily'!B6</f>
        <v>73</v>
      </c>
      <c r="AA3" s="4">
        <f>'Hampshire Daily'!C6</f>
        <v>178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</row>
    <row r="4" spans="1:33" x14ac:dyDescent="0.25">
      <c r="A4" s="3" t="s">
        <v>12</v>
      </c>
      <c r="B4" s="1">
        <f t="shared" ref="B4:B32" si="0">B3+1</f>
        <v>3</v>
      </c>
      <c r="C4" s="17">
        <v>10</v>
      </c>
      <c r="D4" s="1">
        <v>2020</v>
      </c>
      <c r="E4" s="4">
        <f>IF(('Hampshire Daily'!D7-'Hampshire Daily'!D6&lt;0), "0",('Hampshire Daily'!D7-'Hampshire Daily'!D6)*10)</f>
        <v>2380</v>
      </c>
      <c r="F4" s="4">
        <f>IF(('Hampshire Daily'!F7-'Hampshire Daily'!F6&lt;0), "0",('Hampshire Daily'!F7-'Hampshire Daily'!F6)*10)</f>
        <v>5060</v>
      </c>
      <c r="G4" s="4">
        <f>IF(('Hampshire Daily'!H7-'Hampshire Daily'!H6&lt;0), "0",'Hampshire Daily'!H7-'Hampshire Daily'!H6)</f>
        <v>776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8">
        <f>IF(('Hampshire Daily'!L7-'Hampshire Daily'!L6&lt;0), "0",'Hampshire Daily'!L7-'Hampshire Daily'!L6)</f>
        <v>938</v>
      </c>
      <c r="L4" s="4">
        <f>IF(('Hampshire Daily'!M7-'Hampshire Daily'!M6&lt;0), "0",'Hampshire Daily'!M7-'Hampshire Daily'!M6)</f>
        <v>0</v>
      </c>
      <c r="M4" s="4">
        <f>IF(('Hampshire Daily'!N7-'Hampshire Daily'!N6&lt;0), "0",'Hampshire Daily'!N7-'Hampshire Daily'!N6)</f>
        <v>2091</v>
      </c>
      <c r="N4" s="4">
        <f>IF(('Hampshire Daily'!O7-'Hampshire Daily'!O6&lt;0), "0",'Hampshire Daily'!O7-'Hampshire Daily'!O6)</f>
        <v>128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1106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12</v>
      </c>
      <c r="S4" s="4">
        <f>IF(('Hampshire Daily'!V7-'Hampshire Daily'!V6&lt;0), "0",'Hampshire Daily'!V7-'Hampshire Daily'!V6)</f>
        <v>0</v>
      </c>
      <c r="T4" s="4">
        <f>IF(('Hampshire Daily'!Y7-'Hampshire Daily'!Y6&lt;0), "0",'Hampshire Daily'!Y7-'Hampshire Daily'!Y6)</f>
        <v>2.1999999999934516E-2</v>
      </c>
      <c r="U4" s="4">
        <f>IF(('Hampshire Daily'!X7-'Hampshire Daily'!X6&lt;0), "0",'Hampshire Daily'!X7-'Hampshire Daily'!X6)</f>
        <v>2.0539999999999736</v>
      </c>
      <c r="V4" s="4">
        <f>IF(('Hampshire Daily'!Y7-'Hampshire Daily'!Y6&lt;0), "0",'Hampshire Daily'!Y7-'Hampshire Daily'!Y6)</f>
        <v>2.1999999999934516E-2</v>
      </c>
      <c r="W4" s="4">
        <f>IF(('Hampshire Daily'!Z7-'Hampshire Daily'!Z6&lt;0), "0",'Hampshire Daily'!Z7-'Hampshire Daily'!Z6)</f>
        <v>5.0000000001091394E-3</v>
      </c>
      <c r="X4" s="4">
        <f>IF(('Hampshire Daily'!AA7-'Hampshire Daily'!AA6&lt;0), "0",'Hampshire Daily'!AA7-'Hampshire Daily'!AA6)</f>
        <v>31</v>
      </c>
      <c r="Y4" s="4">
        <f>IF(('Hampshire Daily'!AB7-'Hampshire Daily'!AB6&lt;0), "0",'Hampshire Daily'!AB7-'Hampshire Daily'!AB6)</f>
        <v>7</v>
      </c>
      <c r="Z4" s="4">
        <f>'Hampshire Daily'!B7</f>
        <v>94</v>
      </c>
      <c r="AA4" s="4">
        <f>'Hampshire Daily'!C7</f>
        <v>225</v>
      </c>
      <c r="AD4" t="s">
        <v>35</v>
      </c>
    </row>
    <row r="5" spans="1:33" x14ac:dyDescent="0.25">
      <c r="A5" s="3" t="s">
        <v>12</v>
      </c>
      <c r="B5" s="1">
        <f t="shared" si="0"/>
        <v>4</v>
      </c>
      <c r="C5" s="17">
        <v>10</v>
      </c>
      <c r="D5" s="1">
        <v>2020</v>
      </c>
      <c r="E5" s="4">
        <f>IF(('Hampshire Daily'!D8-'Hampshire Daily'!D7&lt;0), "0",('Hampshire Daily'!D8-'Hampshire Daily'!D7)*10)</f>
        <v>2660</v>
      </c>
      <c r="F5" s="4">
        <f>IF(('Hampshire Daily'!F8-'Hampshire Daily'!F7&lt;0), "0",('Hampshire Daily'!F8-'Hampshire Daily'!F7)*10)</f>
        <v>5610</v>
      </c>
      <c r="G5" s="4">
        <f>IF(('Hampshire Daily'!H8-'Hampshire Daily'!H7&lt;0), "0",'Hampshire Daily'!H8-'Hampshire Daily'!H7)</f>
        <v>363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8">
        <f>IF(('Hampshire Daily'!L8-'Hampshire Daily'!L7&lt;0), "0",'Hampshire Daily'!L8-'Hampshire Daily'!L7)</f>
        <v>938</v>
      </c>
      <c r="L5" s="4">
        <f>IF(('Hampshire Daily'!M8-'Hampshire Daily'!M7&lt;0), "0",'Hampshire Daily'!M8-'Hampshire Daily'!M7)</f>
        <v>0</v>
      </c>
      <c r="M5" s="4">
        <f>IF(('Hampshire Daily'!N8-'Hampshire Daily'!N7&lt;0), "0",'Hampshire Daily'!N8-'Hampshire Daily'!N7)</f>
        <v>2368</v>
      </c>
      <c r="N5" s="4">
        <f>IF(('Hampshire Daily'!O8-'Hampshire Daily'!O7&lt;0), "0",'Hampshire Daily'!O8-'Hampshire Daily'!O7)</f>
        <v>128</v>
      </c>
      <c r="O5" s="4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1219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11</v>
      </c>
      <c r="S5" s="4">
        <f>IF(('Hampshire Daily'!V8-'Hampshire Daily'!V7&lt;0), "0",'Hampshire Daily'!V8-'Hampshire Daily'!V7)</f>
        <v>0</v>
      </c>
      <c r="T5" s="4">
        <f>IF(('Hampshire Daily'!Y8-'Hampshire Daily'!Y7&lt;0), "0",'Hampshire Daily'!Y8-'Hampshire Daily'!Y7)</f>
        <v>2.4999999999977263E-2</v>
      </c>
      <c r="U5" s="4">
        <f>IF(('Hampshire Daily'!X8-'Hampshire Daily'!X7&lt;0), "0",'Hampshire Daily'!X8-'Hampshire Daily'!X7)</f>
        <v>2.0540000000000305</v>
      </c>
      <c r="V5" s="4">
        <f>IF(('Hampshire Daily'!Y8-'Hampshire Daily'!Y7&lt;0), "0",'Hampshire Daily'!Y8-'Hampshire Daily'!Y7)</f>
        <v>2.4999999999977263E-2</v>
      </c>
      <c r="W5" s="4">
        <f>IF(('Hampshire Daily'!Z8-'Hampshire Daily'!Z7&lt;0), "0",'Hampshire Daily'!Z8-'Hampshire Daily'!Z7)</f>
        <v>1.4000000000123691E-2</v>
      </c>
      <c r="X5" s="4">
        <f>IF(('Hampshire Daily'!AA8-'Hampshire Daily'!AA7&lt;0), "0",'Hampshire Daily'!AA8-'Hampshire Daily'!AA7)</f>
        <v>23</v>
      </c>
      <c r="Y5" s="4" t="str">
        <f>IF(('Hampshire Daily'!AB8-'Hampshire Daily'!AB7&lt;0), "0",'Hampshire Daily'!AB8-'Hampshire Daily'!AB7)</f>
        <v>0</v>
      </c>
      <c r="Z5" s="4">
        <f>'Hampshire Daily'!B8</f>
        <v>28</v>
      </c>
      <c r="AA5" s="4">
        <f>'Hampshire Daily'!C8</f>
        <v>70</v>
      </c>
    </row>
    <row r="6" spans="1:33" x14ac:dyDescent="0.25">
      <c r="A6" s="3" t="s">
        <v>12</v>
      </c>
      <c r="B6" s="1">
        <f t="shared" si="0"/>
        <v>5</v>
      </c>
      <c r="C6" s="17">
        <v>10</v>
      </c>
      <c r="D6" s="1">
        <v>2020</v>
      </c>
      <c r="E6" s="4">
        <f>IF(('Hampshire Daily'!D9-'Hampshire Daily'!D8&lt;0), "0",('Hampshire Daily'!D9-'Hampshire Daily'!D8)*10)</f>
        <v>1730</v>
      </c>
      <c r="F6" s="4">
        <f>IF(('Hampshire Daily'!F9-'Hampshire Daily'!F8&lt;0), "0",('Hampshire Daily'!F9-'Hampshire Daily'!F8)*10)</f>
        <v>4160</v>
      </c>
      <c r="G6" s="4">
        <f>IF(('Hampshire Daily'!H9-'Hampshire Daily'!H8&lt;0), "0",'Hampshire Daily'!H9-'Hampshire Daily'!H8)</f>
        <v>1256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938</v>
      </c>
      <c r="L6" s="4">
        <f>IF(('Hampshire Daily'!M9-'Hampshire Daily'!M8&lt;0), "0",'Hampshire Daily'!M9-'Hampshire Daily'!M8)</f>
        <v>180</v>
      </c>
      <c r="M6" s="4">
        <f>IF(('Hampshire Daily'!N9-'Hampshire Daily'!N8&lt;0), "0",'Hampshire Daily'!N9-'Hampshire Daily'!N8)</f>
        <v>1885</v>
      </c>
      <c r="N6" s="4">
        <f>IF(('Hampshire Daily'!O9-'Hampshire Daily'!O8&lt;0), "0",'Hampshire Daily'!O9-'Hampshire Daily'!O8)</f>
        <v>239</v>
      </c>
      <c r="O6" s="4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817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12</v>
      </c>
      <c r="S6" s="4">
        <f>IF(('Hampshire Daily'!V9-'Hampshire Daily'!V8&lt;0), "0",'Hampshire Daily'!V9-'Hampshire Daily'!V8)</f>
        <v>3</v>
      </c>
      <c r="T6" s="4">
        <f>IF(('Hampshire Daily'!Y9-'Hampshire Daily'!Y8&lt;0), "0",'Hampshire Daily'!Y9-'Hampshire Daily'!Y8)</f>
        <v>2.5000000000090949E-2</v>
      </c>
      <c r="U6" s="4">
        <f>IF(('Hampshire Daily'!X9-'Hampshire Daily'!X8&lt;0), "0",'Hampshire Daily'!X9-'Hampshire Daily'!X8)</f>
        <v>2.0760000000000218</v>
      </c>
      <c r="V6" s="4">
        <f>IF(('Hampshire Daily'!Y9-'Hampshire Daily'!Y8&lt;0), "0",'Hampshire Daily'!Y9-'Hampshire Daily'!Y8)</f>
        <v>2.5000000000090949E-2</v>
      </c>
      <c r="W6" s="4">
        <f>IF(('Hampshire Daily'!Z9-'Hampshire Daily'!Z8&lt;0), "0",'Hampshire Daily'!Z9-'Hampshire Daily'!Z8)</f>
        <v>9.9999999997635314E-3</v>
      </c>
      <c r="X6" s="4">
        <f>IF(('Hampshire Daily'!AA9-'Hampshire Daily'!AA8&lt;0), "0",'Hampshire Daily'!AA9-'Hampshire Daily'!AA8)</f>
        <v>15</v>
      </c>
      <c r="Y6" s="4">
        <f>IF(('Hampshire Daily'!AB9-'Hampshire Daily'!AB8&lt;0), "0",'Hampshire Daily'!AB9-'Hampshire Daily'!AB8)</f>
        <v>36</v>
      </c>
      <c r="Z6" s="4">
        <f>'Hampshire Daily'!B9</f>
        <v>19</v>
      </c>
      <c r="AA6" s="4">
        <f>'Hampshire Daily'!C9</f>
        <v>53</v>
      </c>
    </row>
    <row r="7" spans="1:33" x14ac:dyDescent="0.25">
      <c r="A7" s="3" t="s">
        <v>12</v>
      </c>
      <c r="B7" s="1">
        <f t="shared" si="0"/>
        <v>6</v>
      </c>
      <c r="C7" s="17">
        <v>10</v>
      </c>
      <c r="D7" s="1">
        <v>2020</v>
      </c>
      <c r="E7" s="4">
        <f>IF(('Hampshire Daily'!D10-'Hampshire Daily'!D9&lt;0), "0",('Hampshire Daily'!D10-'Hampshire Daily'!D9)*10)</f>
        <v>1980</v>
      </c>
      <c r="F7" s="4">
        <f>IF(('Hampshire Daily'!F10-'Hampshire Daily'!F9&lt;0), "0",('Hampshire Daily'!F10-'Hampshire Daily'!F9)*10)</f>
        <v>4660</v>
      </c>
      <c r="G7" s="4">
        <f>IF(('Hampshire Daily'!H10-'Hampshire Daily'!H9&lt;0), "0",'Hampshire Daily'!H10-'Hampshire Daily'!H9)</f>
        <v>805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938</v>
      </c>
      <c r="L7" s="4" t="str">
        <f>IF(('Hampshire Daily'!M10-'Hampshire Daily'!M9&lt;0), "0",'Hampshire Daily'!M10-'Hampshire Daily'!M9)</f>
        <v>0</v>
      </c>
      <c r="M7" s="4">
        <f>IF(('Hampshire Daily'!N10-'Hampshire Daily'!N9&lt;0), "0",'Hampshire Daily'!N10-'Hampshire Daily'!N9)</f>
        <v>1981</v>
      </c>
      <c r="N7" s="4">
        <f>IF(('Hampshire Daily'!O10-'Hampshire Daily'!O9&lt;0), "0",'Hampshire Daily'!O10-'Hampshire Daily'!O9)</f>
        <v>92</v>
      </c>
      <c r="O7" s="4">
        <f>IF(('Hampshire Daily'!P10-'Hampshire Daily'!P9&lt;0), "0",'Hampshire Daily'!P10-'Hampshire Daily'!P9)</f>
        <v>0</v>
      </c>
      <c r="P7" s="4">
        <f>IF(('Hampshire Daily'!Q10-'Hampshire Daily'!Q9&lt;0), "0",'Hampshire Daily'!Q10-'Hampshire Daily'!Q9)</f>
        <v>1063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10</v>
      </c>
      <c r="S7" s="4">
        <f>IF(('Hampshire Daily'!V10-'Hampshire Daily'!V9&lt;0), "0",'Hampshire Daily'!V10-'Hampshire Daily'!V9)</f>
        <v>1</v>
      </c>
      <c r="T7" s="4">
        <f>IF(('Hampshire Daily'!Y10-'Hampshire Daily'!Y9&lt;0), "0",'Hampshire Daily'!Y10-'Hampshire Daily'!Y9)</f>
        <v>2.9999999999290594E-3</v>
      </c>
      <c r="U7" s="4">
        <f>IF(('Hampshire Daily'!X10-'Hampshire Daily'!X9&lt;0), "0",'Hampshire Daily'!X10-'Hampshire Daily'!X9)</f>
        <v>2.103999999999985</v>
      </c>
      <c r="V7" s="4">
        <f>IF(('Hampshire Daily'!Y10-'Hampshire Daily'!Y9&lt;0), "0",'Hampshire Daily'!Y10-'Hampshire Daily'!Y9)</f>
        <v>2.9999999999290594E-3</v>
      </c>
      <c r="W7" s="4">
        <f>IF(('Hampshire Daily'!Z10-'Hampshire Daily'!Z9&lt;0), "0",'Hampshire Daily'!Z10-'Hampshire Daily'!Z9)</f>
        <v>9.0000000000145519E-3</v>
      </c>
      <c r="X7" s="4">
        <f>IF(('Hampshire Daily'!AA10-'Hampshire Daily'!AA9&lt;0), "0",'Hampshire Daily'!AA10-'Hampshire Daily'!AA9)</f>
        <v>24</v>
      </c>
      <c r="Y7" s="4">
        <f>IF(('Hampshire Daily'!AB10-'Hampshire Daily'!AB9&lt;0), "0",'Hampshire Daily'!AB10-'Hampshire Daily'!AB9)</f>
        <v>8</v>
      </c>
      <c r="Z7" s="4">
        <f>'Hampshire Daily'!B10</f>
        <v>34</v>
      </c>
      <c r="AA7" s="4">
        <f>'Hampshire Daily'!C10</f>
        <v>73</v>
      </c>
    </row>
    <row r="8" spans="1:33" x14ac:dyDescent="0.25">
      <c r="A8" s="3" t="s">
        <v>12</v>
      </c>
      <c r="B8" s="1">
        <f t="shared" si="0"/>
        <v>7</v>
      </c>
      <c r="C8" s="17">
        <v>10</v>
      </c>
      <c r="D8" s="1">
        <v>2020</v>
      </c>
      <c r="E8" s="4">
        <f>IF(('Hampshire Daily'!D11-'Hampshire Daily'!D10&lt;0), "0",('Hampshire Daily'!D11-'Hampshire Daily'!D10)*10)</f>
        <v>2790</v>
      </c>
      <c r="F8" s="4">
        <f>IF(('Hampshire Daily'!F11-'Hampshire Daily'!F10&lt;0), "0",('Hampshire Daily'!F11-'Hampshire Daily'!F10)*10)</f>
        <v>4640</v>
      </c>
      <c r="G8" s="4">
        <f>IF(('Hampshire Daily'!H11-'Hampshire Daily'!H10&lt;0), "0",'Hampshire Daily'!H11-'Hampshire Daily'!H10)</f>
        <v>841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938</v>
      </c>
      <c r="L8" s="4">
        <f>IF(('Hampshire Daily'!M11-'Hampshire Daily'!M10&lt;0), "0",'Hampshire Daily'!M11-'Hampshire Daily'!M10)</f>
        <v>178</v>
      </c>
      <c r="M8" s="18">
        <f>IF(('Hampshire Daily'!N11-'Hampshire Daily'!N10&lt;0), "0",'Hampshire Daily'!N11-'Hampshire Daily'!N10)</f>
        <v>1843</v>
      </c>
      <c r="N8" s="4">
        <f>IF(('Hampshire Daily'!O11-'Hampshire Daily'!O10&lt;0), "0",'Hampshire Daily'!O11-'Hampshire Daily'!O10)</f>
        <v>114</v>
      </c>
      <c r="O8" s="4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1054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8</v>
      </c>
      <c r="S8" s="4">
        <f>IF(('Hampshire Daily'!V11-'Hampshire Daily'!V10&lt;0), "0",'Hampshire Daily'!V11-'Hampshire Daily'!V10)</f>
        <v>1</v>
      </c>
      <c r="T8" s="4">
        <f>IF(('Hampshire Daily'!Y11-'Hampshire Daily'!Y10&lt;0), "0",'Hampshire Daily'!Y11-'Hampshire Daily'!Y10)</f>
        <v>1.999999999998181E-2</v>
      </c>
      <c r="U8" s="4">
        <f>IF(('Hampshire Daily'!X11-'Hampshire Daily'!X10&lt;0), "0",'Hampshire Daily'!X11-'Hampshire Daily'!X10)</f>
        <v>2.0989999999999895</v>
      </c>
      <c r="V8" s="4">
        <f>IF(('Hampshire Daily'!Y11-'Hampshire Daily'!Y10&lt;0), "0",'Hampshire Daily'!Y11-'Hampshire Daily'!Y10)</f>
        <v>1.999999999998181E-2</v>
      </c>
      <c r="W8" s="4">
        <f>IF(('Hampshire Daily'!Z11-'Hampshire Daily'!Z10&lt;0), "0",'Hampshire Daily'!Z11-'Hampshire Daily'!Z10)</f>
        <v>9.0000000000145519E-3</v>
      </c>
      <c r="X8" s="4">
        <f>IF(('Hampshire Daily'!AA11-'Hampshire Daily'!AA10&lt;0), "0",'Hampshire Daily'!AA11-'Hampshire Daily'!AA10)</f>
        <v>23</v>
      </c>
      <c r="Y8" s="4">
        <f>IF(('Hampshire Daily'!AB11-'Hampshire Daily'!AB10&lt;0), "0",'Hampshire Daily'!AB11-'Hampshire Daily'!AB10)</f>
        <v>4</v>
      </c>
      <c r="Z8" s="4">
        <f>'Hampshire Daily'!B11</f>
        <v>27</v>
      </c>
      <c r="AA8" s="4">
        <f>'Hampshire Daily'!C11</f>
        <v>64</v>
      </c>
    </row>
    <row r="9" spans="1:33" x14ac:dyDescent="0.25">
      <c r="A9" s="3" t="s">
        <v>12</v>
      </c>
      <c r="B9" s="1">
        <f t="shared" si="0"/>
        <v>8</v>
      </c>
      <c r="C9" s="17">
        <v>10</v>
      </c>
      <c r="D9" s="1">
        <v>2020</v>
      </c>
      <c r="E9" s="4">
        <f>IF(('Hampshire Daily'!D12-'Hampshire Daily'!D11&lt;0), "0",('Hampshire Daily'!D12-'Hampshire Daily'!D11)*10)</f>
        <v>1910</v>
      </c>
      <c r="F9" s="4">
        <f>IF(('Hampshire Daily'!F12-'Hampshire Daily'!F11&lt;0), "0",('Hampshire Daily'!F12-'Hampshire Daily'!F11)*10)</f>
        <v>4840</v>
      </c>
      <c r="G9" s="4">
        <f>IF(('Hampshire Daily'!H12-'Hampshire Daily'!H11&lt;0), "0",'Hampshire Daily'!H12-'Hampshire Daily'!H11)</f>
        <v>363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8">
        <f>IF(('Hampshire Daily'!L12-'Hampshire Daily'!L11&lt;0), "0",'Hampshire Daily'!L12-'Hampshire Daily'!L11)</f>
        <v>1394</v>
      </c>
      <c r="L9" s="4">
        <f>IF(('Hampshire Daily'!M12-'Hampshire Daily'!M11&lt;0), "0",'Hampshire Daily'!M12-'Hampshire Daily'!M11)</f>
        <v>2</v>
      </c>
      <c r="M9" s="4">
        <f>IF(('Hampshire Daily'!N12-'Hampshire Daily'!N11&lt;0), "0",'Hampshire Daily'!N12-'Hampshire Daily'!N11)</f>
        <v>1900</v>
      </c>
      <c r="N9" s="4">
        <f>IF(('Hampshire Daily'!O12-'Hampshire Daily'!O11&lt;0), "0",'Hampshire Daily'!O12-'Hampshire Daily'!O11)</f>
        <v>141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1066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9</v>
      </c>
      <c r="S9" s="4">
        <f>IF(('Hampshire Daily'!V12-'Hampshire Daily'!V11&lt;0), "0",'Hampshire Daily'!V12-'Hampshire Daily'!V11)</f>
        <v>21</v>
      </c>
      <c r="T9" s="4">
        <f>IF(('Hampshire Daily'!Y12-'Hampshire Daily'!Y11&lt;0), "0",'Hampshire Daily'!Y12-'Hampshire Daily'!Y11)</f>
        <v>9.0000000000145519E-3</v>
      </c>
      <c r="U9" s="4">
        <f>IF(('Hampshire Daily'!X12-'Hampshire Daily'!X11&lt;0), "0",'Hampshire Daily'!X12-'Hampshire Daily'!X11)</f>
        <v>2.0810000000000173</v>
      </c>
      <c r="V9" s="4">
        <f>IF(('Hampshire Daily'!Y12-'Hampshire Daily'!Y11&lt;0), "0",'Hampshire Daily'!Y12-'Hampshire Daily'!Y11)</f>
        <v>9.0000000000145519E-3</v>
      </c>
      <c r="W9" s="4">
        <f>IF(('Hampshire Daily'!Z12-'Hampshire Daily'!Z11&lt;0), "0",'Hampshire Daily'!Z12-'Hampshire Daily'!Z11)</f>
        <v>1.0999999999967258E-2</v>
      </c>
      <c r="X9" s="4">
        <f>IF(('Hampshire Daily'!AA12-'Hampshire Daily'!AA11&lt;0), "0",'Hampshire Daily'!AA12-'Hampshire Daily'!AA11)</f>
        <v>23</v>
      </c>
      <c r="Y9" s="4">
        <f>IF(('Hampshire Daily'!AB12-'Hampshire Daily'!AB11&lt;0), "0",'Hampshire Daily'!AB12-'Hampshire Daily'!AB11)</f>
        <v>5</v>
      </c>
      <c r="Z9" s="4">
        <f>'Hampshire Daily'!B12</f>
        <v>38</v>
      </c>
      <c r="AA9" s="4">
        <f>'Hampshire Daily'!C12</f>
        <v>92</v>
      </c>
    </row>
    <row r="10" spans="1:33" x14ac:dyDescent="0.25">
      <c r="A10" s="3" t="s">
        <v>12</v>
      </c>
      <c r="B10" s="1">
        <f t="shared" si="0"/>
        <v>9</v>
      </c>
      <c r="C10" s="17">
        <v>10</v>
      </c>
      <c r="D10" s="1">
        <v>2020</v>
      </c>
      <c r="E10" s="4">
        <f>IF(('Hampshire Daily'!D13-'Hampshire Daily'!D12&lt;0), "0",('Hampshire Daily'!D13-'Hampshire Daily'!D12)*10)</f>
        <v>2170</v>
      </c>
      <c r="F10" s="4">
        <f>IF(('Hampshire Daily'!F13-'Hampshire Daily'!F12&lt;0), "0",('Hampshire Daily'!F13-'Hampshire Daily'!F12)*10)</f>
        <v>4840</v>
      </c>
      <c r="G10" s="4">
        <f>IF(('Hampshire Daily'!H13-'Hampshire Daily'!H12&lt;0), "0",'Hampshire Daily'!H13-'Hampshire Daily'!H12)</f>
        <v>1302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1019</v>
      </c>
      <c r="L10" s="4">
        <f>IF(('Hampshire Daily'!M13-'Hampshire Daily'!M12&lt;0), "0",'Hampshire Daily'!M13-'Hampshire Daily'!M12)</f>
        <v>24</v>
      </c>
      <c r="M10" s="4">
        <f>IF(('Hampshire Daily'!N13-'Hampshire Daily'!N12&lt;0), "0",'Hampshire Daily'!N13-'Hampshire Daily'!N12)</f>
        <v>1984</v>
      </c>
      <c r="N10" s="4">
        <f>IF(('Hampshire Daily'!O13-'Hampshire Daily'!O12&lt;0), "0",'Hampshire Daily'!O13-'Hampshire Daily'!O12)</f>
        <v>108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1166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8</v>
      </c>
      <c r="S10" s="4">
        <f>IF(('Hampshire Daily'!V13-'Hampshire Daily'!V12&lt;0), "0",'Hampshire Daily'!V13-'Hampshire Daily'!V12)</f>
        <v>1</v>
      </c>
      <c r="T10" s="4">
        <f>IF(('Hampshire Daily'!Y13-'Hampshire Daily'!Y12&lt;0), "0",'Hampshire Daily'!Y13-'Hampshire Daily'!Y12)</f>
        <v>0.86099999999999</v>
      </c>
      <c r="U10" s="4">
        <f>IF(('Hampshire Daily'!X13-'Hampshire Daily'!X12&lt;0), "0",'Hampshire Daily'!X13-'Hampshire Daily'!X12)</f>
        <v>2.1800000000000068</v>
      </c>
      <c r="V10" s="4">
        <f>IF(('Hampshire Daily'!Y13-'Hampshire Daily'!Y12&lt;0), "0",'Hampshire Daily'!Y13-'Hampshire Daily'!Y12)</f>
        <v>0.86099999999999</v>
      </c>
      <c r="W10" s="4">
        <f>IF(('Hampshire Daily'!Z13-'Hampshire Daily'!Z12&lt;0), "0",'Hampshire Daily'!Z13-'Hampshire Daily'!Z12)</f>
        <v>1.2999999999919964E-2</v>
      </c>
      <c r="X10" s="4">
        <f>IF(('Hampshire Daily'!AA13-'Hampshire Daily'!AA12&lt;0), "0",'Hampshire Daily'!AA13-'Hampshire Daily'!AA12)</f>
        <v>23</v>
      </c>
      <c r="Y10" s="4">
        <f>IF(('Hampshire Daily'!AB13-'Hampshire Daily'!AB12&lt;0), "0",'Hampshire Daily'!AB13-'Hampshire Daily'!AB12)</f>
        <v>3</v>
      </c>
      <c r="Z10" s="4">
        <f>'Hampshire Daily'!B13</f>
        <v>83</v>
      </c>
      <c r="AA10" s="4">
        <f>'Hampshire Daily'!C13</f>
        <v>190</v>
      </c>
    </row>
    <row r="11" spans="1:33" x14ac:dyDescent="0.25">
      <c r="A11" s="3" t="s">
        <v>12</v>
      </c>
      <c r="B11" s="1">
        <f t="shared" si="0"/>
        <v>10</v>
      </c>
      <c r="C11" s="17">
        <v>10</v>
      </c>
      <c r="D11" s="1">
        <v>2020</v>
      </c>
      <c r="E11" s="4">
        <f>IF(('Hampshire Daily'!D14-'Hampshire Daily'!D13&lt;0), "0",('Hampshire Daily'!D14-'Hampshire Daily'!D13)*10)</f>
        <v>2260</v>
      </c>
      <c r="F11" s="4">
        <f>IF(('Hampshire Daily'!F14-'Hampshire Daily'!F13&lt;0), "0",('Hampshire Daily'!F14-'Hampshire Daily'!F13)*10)</f>
        <v>5110</v>
      </c>
      <c r="G11" s="4">
        <f>IF(('Hampshire Daily'!H14-'Hampshire Daily'!H13&lt;0), "0",'Hampshire Daily'!H14-'Hampshire Daily'!H13)</f>
        <v>829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938</v>
      </c>
      <c r="L11" s="4">
        <f>IF(('Hampshire Daily'!M14-'Hampshire Daily'!M13&lt;0), "0",'Hampshire Daily'!M14-'Hampshire Daily'!M13)</f>
        <v>0</v>
      </c>
      <c r="M11" s="4">
        <f>IF(('Hampshire Daily'!N14-'Hampshire Daily'!N13&lt;0), "0",'Hampshire Daily'!N14-'Hampshire Daily'!N13)</f>
        <v>2344</v>
      </c>
      <c r="N11" s="4">
        <f>IF(('Hampshire Daily'!O14-'Hampshire Daily'!O13&lt;0), "0",'Hampshire Daily'!O14-'Hampshire Daily'!O13)</f>
        <v>132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1094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10</v>
      </c>
      <c r="S11" s="4">
        <f>IF(('Hampshire Daily'!V14-'Hampshire Daily'!V13&lt;0), "0",'Hampshire Daily'!V14-'Hampshire Daily'!V13)</f>
        <v>0</v>
      </c>
      <c r="T11" s="4">
        <f>IF(('Hampshire Daily'!Y14-'Hampshire Daily'!Y13&lt;0), "0",'Hampshire Daily'!Y14-'Hampshire Daily'!Y13)</f>
        <v>0.17100000000004911</v>
      </c>
      <c r="U11" s="4">
        <f>IF(('Hampshire Daily'!X14-'Hampshire Daily'!X13&lt;0), "0",'Hampshire Daily'!X14-'Hampshire Daily'!X13)</f>
        <v>2.2799999999999727</v>
      </c>
      <c r="V11" s="4">
        <f>IF(('Hampshire Daily'!Y14-'Hampshire Daily'!Y13&lt;0), "0",'Hampshire Daily'!Y14-'Hampshire Daily'!Y13)</f>
        <v>0.17100000000004911</v>
      </c>
      <c r="W11" s="4">
        <f>IF(('Hampshire Daily'!Z14-'Hampshire Daily'!Z13&lt;0), "0",'Hampshire Daily'!Z14-'Hampshire Daily'!Z13)</f>
        <v>1.0999999999967258E-2</v>
      </c>
      <c r="X11" s="4">
        <f>IF(('Hampshire Daily'!AA14-'Hampshire Daily'!AA13&lt;0), "0",'Hampshire Daily'!AA14-'Hampshire Daily'!AA13)</f>
        <v>25</v>
      </c>
      <c r="Y11" s="4">
        <f>IF(('Hampshire Daily'!AB14-'Hampshire Daily'!AB13&lt;0), "0",'Hampshire Daily'!AB14-'Hampshire Daily'!AB13)</f>
        <v>7</v>
      </c>
      <c r="Z11" s="4">
        <f>'Hampshire Daily'!B14</f>
        <v>108</v>
      </c>
      <c r="AA11" s="4">
        <f>'Hampshire Daily'!C14</f>
        <v>268</v>
      </c>
    </row>
    <row r="12" spans="1:33" x14ac:dyDescent="0.25">
      <c r="A12" s="3" t="s">
        <v>12</v>
      </c>
      <c r="B12" s="1">
        <f t="shared" si="0"/>
        <v>11</v>
      </c>
      <c r="C12" s="17">
        <v>10</v>
      </c>
      <c r="D12" s="1">
        <v>2020</v>
      </c>
      <c r="E12" s="4">
        <f>IF(('Hampshire Daily'!D15-'Hampshire Daily'!D14&lt;0), "0",('Hampshire Daily'!D15-'Hampshire Daily'!D14)*10)</f>
        <v>2370</v>
      </c>
      <c r="F12" s="4">
        <f>IF(('Hampshire Daily'!F15-'Hampshire Daily'!F14&lt;0), "0",('Hampshire Daily'!F15-'Hampshire Daily'!F14)*10)</f>
        <v>5080</v>
      </c>
      <c r="G12" s="4">
        <f>IF(('Hampshire Daily'!H15-'Hampshire Daily'!H14&lt;0), "0",'Hampshire Daily'!H15-'Hampshire Daily'!H14)</f>
        <v>832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938</v>
      </c>
      <c r="L12" s="4">
        <f>IF(('Hampshire Daily'!M15-'Hampshire Daily'!M14&lt;0), "0",'Hampshire Daily'!M15-'Hampshire Daily'!M14)</f>
        <v>1</v>
      </c>
      <c r="M12" s="4">
        <f>IF(('Hampshire Daily'!N15-'Hampshire Daily'!N14&lt;0), "0",'Hampshire Daily'!N15-'Hampshire Daily'!N14)</f>
        <v>2519</v>
      </c>
      <c r="N12" s="4">
        <f>IF(('Hampshire Daily'!O15-'Hampshire Daily'!O14&lt;0), "0",'Hampshire Daily'!O15-'Hampshire Daily'!O14)</f>
        <v>90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1250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10</v>
      </c>
      <c r="S12" s="4">
        <f>IF(('Hampshire Daily'!V15-'Hampshire Daily'!V14&lt;0), "0",'Hampshire Daily'!V15-'Hampshire Daily'!V14)</f>
        <v>1</v>
      </c>
      <c r="T12" s="4">
        <f>IF(('Hampshire Daily'!Y15-'Hampshire Daily'!Y14&lt;0), "0",'Hampshire Daily'!Y15-'Hampshire Daily'!Y14)</f>
        <v>5.2999999999997272E-2</v>
      </c>
      <c r="U12" s="4">
        <f>IF(('Hampshire Daily'!X15-'Hampshire Daily'!X14&lt;0), "0",'Hampshire Daily'!X15-'Hampshire Daily'!X14)</f>
        <v>2.2599999999999909</v>
      </c>
      <c r="V12" s="4">
        <f>IF(('Hampshire Daily'!Y15-'Hampshire Daily'!Y14&lt;0), "0",'Hampshire Daily'!Y15-'Hampshire Daily'!Y14)</f>
        <v>5.2999999999997272E-2</v>
      </c>
      <c r="W12" s="4">
        <f>IF(('Hampshire Daily'!Z15-'Hampshire Daily'!Z14&lt;0), "0",'Hampshire Daily'!Z15-'Hampshire Daily'!Z14)</f>
        <v>8.0000000002655725E-3</v>
      </c>
      <c r="X12" s="4">
        <f>IF(('Hampshire Daily'!AA15-'Hampshire Daily'!AA14&lt;0), "0",'Hampshire Daily'!AA15-'Hampshire Daily'!AA14)</f>
        <v>23</v>
      </c>
      <c r="Y12" s="4">
        <f>IF(('Hampshire Daily'!AB15-'Hampshire Daily'!AB14&lt;0), "0",'Hampshire Daily'!AB15-'Hampshire Daily'!AB14)</f>
        <v>5</v>
      </c>
      <c r="Z12" s="4">
        <f>'Hampshire Daily'!B15</f>
        <v>57</v>
      </c>
      <c r="AA12" s="4">
        <f>'Hampshire Daily'!C15</f>
        <v>144</v>
      </c>
    </row>
    <row r="13" spans="1:33" x14ac:dyDescent="0.25">
      <c r="A13" s="3" t="s">
        <v>12</v>
      </c>
      <c r="B13" s="1">
        <f t="shared" si="0"/>
        <v>12</v>
      </c>
      <c r="C13" s="17">
        <v>10</v>
      </c>
      <c r="D13" s="1">
        <v>2020</v>
      </c>
      <c r="E13" s="4">
        <f>IF(('Hampshire Daily'!D16-'Hampshire Daily'!D15&lt;0), "0",('Hampshire Daily'!D16-'Hampshire Daily'!D15)*10)</f>
        <v>2140</v>
      </c>
      <c r="F13" s="4">
        <f>IF(('Hampshire Daily'!F16-'Hampshire Daily'!F15&lt;0), "0",('Hampshire Daily'!F16-'Hampshire Daily'!F15)*10)</f>
        <v>4860</v>
      </c>
      <c r="G13" s="4">
        <f>IF(('Hampshire Daily'!H16-'Hampshire Daily'!H15&lt;0), "0",'Hampshire Daily'!H16-'Hampshire Daily'!H15)</f>
        <v>849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1490</v>
      </c>
      <c r="L13" s="4">
        <f>IF(('Hampshire Daily'!M16-'Hampshire Daily'!M15&lt;0), "0",'Hampshire Daily'!M16-'Hampshire Daily'!M15)</f>
        <v>2</v>
      </c>
      <c r="M13" s="4">
        <f>IF(('Hampshire Daily'!N16-'Hampshire Daily'!N15&lt;0), "0",'Hampshire Daily'!N16-'Hampshire Daily'!N15)</f>
        <v>2320</v>
      </c>
      <c r="N13" s="4">
        <f>IF(('Hampshire Daily'!O16-'Hampshire Daily'!O15&lt;0), "0",'Hampshire Daily'!O16-'Hampshire Daily'!O15)</f>
        <v>218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1183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10</v>
      </c>
      <c r="S13" s="4">
        <f>IF(('Hampshire Daily'!V16-'Hampshire Daily'!V15&lt;0), "0",'Hampshire Daily'!V16-'Hampshire Daily'!V15)</f>
        <v>8</v>
      </c>
      <c r="T13" s="4">
        <f>IF(('Hampshire Daily'!Y16-'Hampshire Daily'!Y15&lt;0), "0",'Hampshire Daily'!Y16-'Hampshire Daily'!Y15)</f>
        <v>1.3000000000033651E-2</v>
      </c>
      <c r="U13" s="4">
        <f>IF(('Hampshire Daily'!X16-'Hampshire Daily'!X15&lt;0), "0",'Hampshire Daily'!X16-'Hampshire Daily'!X15)</f>
        <v>2.2719999999999914</v>
      </c>
      <c r="V13" s="4">
        <f>IF(('Hampshire Daily'!Y16-'Hampshire Daily'!Y15&lt;0), "0",'Hampshire Daily'!Y16-'Hampshire Daily'!Y15)</f>
        <v>1.3000000000033651E-2</v>
      </c>
      <c r="W13" s="4">
        <f>IF(('Hampshire Daily'!Z16-'Hampshire Daily'!Z15&lt;0), "0",'Hampshire Daily'!Z16-'Hampshire Daily'!Z15)</f>
        <v>9.0000000000145519E-3</v>
      </c>
      <c r="X13" s="4">
        <f>IF(('Hampshire Daily'!AA16-'Hampshire Daily'!AA15&lt;0), "0",'Hampshire Daily'!AA16-'Hampshire Daily'!AA15)</f>
        <v>21</v>
      </c>
      <c r="Y13" s="4">
        <f>IF(('Hampshire Daily'!AB16-'Hampshire Daily'!AB15&lt;0), "0",'Hampshire Daily'!AB16-'Hampshire Daily'!AB15)</f>
        <v>8</v>
      </c>
      <c r="Z13" s="4">
        <f>'Hampshire Daily'!B16</f>
        <v>37</v>
      </c>
      <c r="AA13" s="4">
        <f>'Hampshire Daily'!C16</f>
        <v>92</v>
      </c>
    </row>
    <row r="14" spans="1:33" x14ac:dyDescent="0.25">
      <c r="A14" s="3" t="s">
        <v>12</v>
      </c>
      <c r="B14" s="1">
        <f t="shared" si="0"/>
        <v>13</v>
      </c>
      <c r="C14" s="17">
        <v>10</v>
      </c>
      <c r="D14" s="1">
        <v>2020</v>
      </c>
      <c r="E14" s="4">
        <f>IF(('Hampshire Daily'!D17-'Hampshire Daily'!D16&lt;0), "0",('Hampshire Daily'!D17-'Hampshire Daily'!D16)*10)</f>
        <v>2350</v>
      </c>
      <c r="F14" s="4">
        <f>IF(('Hampshire Daily'!F17-'Hampshire Daily'!F16&lt;0), "0",('Hampshire Daily'!F17-'Hampshire Daily'!F16)*10)</f>
        <v>12720</v>
      </c>
      <c r="G14" s="4">
        <f>IF(('Hampshire Daily'!H17-'Hampshire Daily'!H16&lt;0), "0",'Hampshire Daily'!H17-'Hampshire Daily'!H16)</f>
        <v>1835</v>
      </c>
      <c r="H14" s="4">
        <f>IF(('Hampshire Daily'!I17-'Hampshire Daily'!I16&lt;0), "0",'Hampshire Daily'!I17-'Hampshire Daily'!I16)</f>
        <v>1272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938</v>
      </c>
      <c r="L14" s="4">
        <f>IF(('Hampshire Daily'!M17-'Hampshire Daily'!M16&lt;0), "0",'Hampshire Daily'!M17-'Hampshire Daily'!M16)</f>
        <v>0</v>
      </c>
      <c r="M14" s="4">
        <f>IF(('Hampshire Daily'!N17-'Hampshire Daily'!N16&lt;0), "0",'Hampshire Daily'!N17-'Hampshire Daily'!N16)</f>
        <v>2324</v>
      </c>
      <c r="N14" s="4">
        <f>IF(('Hampshire Daily'!O17-'Hampshire Daily'!O16&lt;0), "0",'Hampshire Daily'!O17-'Hampshire Daily'!O16)</f>
        <v>128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1114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11</v>
      </c>
      <c r="S14" s="4">
        <f>IF(('Hampshire Daily'!V17-'Hampshire Daily'!V16&lt;0), "0",'Hampshire Daily'!V17-'Hampshire Daily'!V16)</f>
        <v>0</v>
      </c>
      <c r="T14" s="4">
        <f>IF(('Hampshire Daily'!Y17-'Hampshire Daily'!Y16&lt;0), "0",'Hampshire Daily'!Y17-'Hampshire Daily'!Y16)</f>
        <v>7.4999999999931788E-2</v>
      </c>
      <c r="U14" s="4">
        <f>IF(('Hampshire Daily'!X17-'Hampshire Daily'!X16&lt;0), "0",'Hampshire Daily'!X17-'Hampshire Daily'!X16)</f>
        <v>2.3050000000000068</v>
      </c>
      <c r="V14" s="4">
        <f>IF(('Hampshire Daily'!Y17-'Hampshire Daily'!Y16&lt;0), "0",'Hampshire Daily'!Y17-'Hampshire Daily'!Y16)</f>
        <v>7.4999999999931788E-2</v>
      </c>
      <c r="W14" s="4">
        <f>IF(('Hampshire Daily'!Z17-'Hampshire Daily'!Z16&lt;0), "0",'Hampshire Daily'!Z17-'Hampshire Daily'!Z16)</f>
        <v>7.9999999998108251E-3</v>
      </c>
      <c r="X14" s="4">
        <f>IF(('Hampshire Daily'!AA17-'Hampshire Daily'!AA16&lt;0), "0",'Hampshire Daily'!AA17-'Hampshire Daily'!AA16)</f>
        <v>0</v>
      </c>
      <c r="Y14" s="4">
        <f>IF(('Hampshire Daily'!AB17-'Hampshire Daily'!AB16&lt;0), "0",'Hampshire Daily'!AB17-'Hampshire Daily'!AB16)</f>
        <v>10</v>
      </c>
      <c r="Z14" s="4">
        <f>'Hampshire Daily'!B17</f>
        <v>30</v>
      </c>
      <c r="AA14" s="4">
        <f>'Hampshire Daily'!C17</f>
        <v>70</v>
      </c>
    </row>
    <row r="15" spans="1:33" x14ac:dyDescent="0.25">
      <c r="A15" s="3" t="s">
        <v>12</v>
      </c>
      <c r="B15" s="1">
        <f t="shared" si="0"/>
        <v>14</v>
      </c>
      <c r="C15" s="17">
        <v>10</v>
      </c>
      <c r="D15" s="1">
        <v>2020</v>
      </c>
      <c r="E15" s="4">
        <v>1813</v>
      </c>
      <c r="F15" s="4">
        <v>3525</v>
      </c>
      <c r="G15" s="4">
        <f>IF(('Hampshire Daily'!H18-'Hampshire Daily'!H17&lt;0), "0",'Hampshire Daily'!H18-'Hampshire Daily'!H17)</f>
        <v>363</v>
      </c>
      <c r="H15" s="4" t="str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938</v>
      </c>
      <c r="L15" s="4">
        <f>IF(('Hampshire Daily'!M18-'Hampshire Daily'!M17&lt;0), "0",'Hampshire Daily'!M18-'Hampshire Daily'!M17)</f>
        <v>0</v>
      </c>
      <c r="M15" s="4">
        <f>IF(('Hampshire Daily'!N18-'Hampshire Daily'!N17&lt;0), "0",'Hampshire Daily'!N18-'Hampshire Daily'!N17)</f>
        <v>2727</v>
      </c>
      <c r="N15" s="4">
        <f>IF(('Hampshire Daily'!O18-'Hampshire Daily'!O17&lt;0), "0",'Hampshire Daily'!O18-'Hampshire Daily'!O17)</f>
        <v>181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1006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9</v>
      </c>
      <c r="S15" s="4" t="str">
        <f>IF(('Hampshire Daily'!V18-'Hampshire Daily'!V17&lt;0), "0",'Hampshire Daily'!V18-'Hampshire Daily'!V17)</f>
        <v>0</v>
      </c>
      <c r="T15" s="4">
        <f>IF(('Hampshire Daily'!Y18-'Hampshire Daily'!Y17&lt;0), "0",'Hampshire Daily'!Y18-'Hampshire Daily'!Y17)</f>
        <v>3.1000000000062755E-2</v>
      </c>
      <c r="U15" s="4">
        <f>IF(('Hampshire Daily'!X18-'Hampshire Daily'!X17&lt;0), "0",'Hampshire Daily'!X18-'Hampshire Daily'!X17)</f>
        <v>2.4039999999999964</v>
      </c>
      <c r="V15" s="4">
        <f>IF(('Hampshire Daily'!Y18-'Hampshire Daily'!Y17&lt;0), "0",'Hampshire Daily'!Y18-'Hampshire Daily'!Y17)</f>
        <v>3.1000000000062755E-2</v>
      </c>
      <c r="W15" s="4">
        <f>IF(('Hampshire Daily'!Z18-'Hampshire Daily'!Z17&lt;0), "0",'Hampshire Daily'!Z18-'Hampshire Daily'!Z17)</f>
        <v>8.0000000002655725E-3</v>
      </c>
      <c r="X15" s="4">
        <f>IF(('Hampshire Daily'!AA18-'Hampshire Daily'!AA17&lt;0), "0",'Hampshire Daily'!AA18-'Hampshire Daily'!AA17)</f>
        <v>23</v>
      </c>
      <c r="Y15" s="4">
        <f>IF(('Hampshire Daily'!AB18-'Hampshire Daily'!AB17&lt;0), "0",'Hampshire Daily'!AB18-'Hampshire Daily'!AB17)</f>
        <v>12</v>
      </c>
      <c r="Z15" s="4">
        <f>'Hampshire Daily'!B18</f>
        <v>32</v>
      </c>
      <c r="AA15" s="4">
        <f>'Hampshire Daily'!C18</f>
        <v>81</v>
      </c>
    </row>
    <row r="16" spans="1:33" x14ac:dyDescent="0.25">
      <c r="A16" s="3" t="s">
        <v>12</v>
      </c>
      <c r="B16" s="1">
        <f t="shared" si="0"/>
        <v>15</v>
      </c>
      <c r="C16" s="17">
        <v>10</v>
      </c>
      <c r="D16" s="1">
        <v>2020</v>
      </c>
      <c r="E16" s="4">
        <f>IF(('Hampshire Daily'!D19-'Hampshire Daily'!D18&lt;0), "0",('Hampshire Daily'!D19-'Hampshire Daily'!D18)*1)</f>
        <v>2482</v>
      </c>
      <c r="F16" s="4">
        <f>IF(('Hampshire Daily'!F19-'Hampshire Daily'!F18&lt;0), "0",('Hampshire Daily'!F19-'Hampshire Daily'!F18)*1)</f>
        <v>4983</v>
      </c>
      <c r="G16" s="4">
        <f>IF(('Hampshire Daily'!H19-'Hampshire Daily'!H18&lt;0), "0",'Hampshire Daily'!H19-'Hampshire Daily'!H18)</f>
        <v>364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938</v>
      </c>
      <c r="L16" s="4">
        <f>IF(('Hampshire Daily'!M19-'Hampshire Daily'!M18&lt;0), "0",'Hampshire Daily'!M19-'Hampshire Daily'!M18)</f>
        <v>0</v>
      </c>
      <c r="M16" s="4">
        <f>IF(('Hampshire Daily'!N19-'Hampshire Daily'!N18&lt;0), "0",'Hampshire Daily'!N19-'Hampshire Daily'!N18)</f>
        <v>1780</v>
      </c>
      <c r="N16" s="4">
        <f>IF(('Hampshire Daily'!O19-'Hampshire Daily'!O18&lt;0), "0",'Hampshire Daily'!O19-'Hampshire Daily'!O18)</f>
        <v>128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1052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9</v>
      </c>
      <c r="S16" s="4">
        <f>IF(('Hampshire Daily'!V19-'Hampshire Daily'!V18&lt;0), "0",'Hampshire Daily'!V19-'Hampshire Daily'!V18)</f>
        <v>40</v>
      </c>
      <c r="T16" s="4">
        <f>IF(('Hampshire Daily'!Y19-'Hampshire Daily'!Y18&lt;0), "0",'Hampshire Daily'!Y19-'Hampshire Daily'!Y18)</f>
        <v>1.9000000000005457E-2</v>
      </c>
      <c r="U16" s="4">
        <f>IF(('Hampshire Daily'!X19-'Hampshire Daily'!X18&lt;0), "0",'Hampshire Daily'!X19-'Hampshire Daily'!X18)</f>
        <v>2.4260000000000446</v>
      </c>
      <c r="V16" s="4">
        <f>IF(('Hampshire Daily'!Y19-'Hampshire Daily'!Y18&lt;0), "0",'Hampshire Daily'!Y19-'Hampshire Daily'!Y18)</f>
        <v>1.9000000000005457E-2</v>
      </c>
      <c r="W16" s="4">
        <f>IF(('Hampshire Daily'!Z19-'Hampshire Daily'!Z18&lt;0), "0",'Hampshire Daily'!Z19-'Hampshire Daily'!Z18)</f>
        <v>9.0000000000145519E-3</v>
      </c>
      <c r="X16" s="4">
        <f>IF(('Hampshire Daily'!AA19-'Hampshire Daily'!AA18&lt;0), "0",'Hampshire Daily'!AA19-'Hampshire Daily'!AA18)</f>
        <v>49</v>
      </c>
      <c r="Y16" s="4">
        <f>IF(('Hampshire Daily'!AB19-'Hampshire Daily'!AB18&lt;0), "0",'Hampshire Daily'!AB19-'Hampshire Daily'!AB18)</f>
        <v>8</v>
      </c>
      <c r="Z16" s="4">
        <f>'Hampshire Daily'!B19</f>
        <v>52</v>
      </c>
      <c r="AA16" s="4">
        <f>'Hampshire Daily'!C19</f>
        <v>115</v>
      </c>
    </row>
    <row r="17" spans="1:27" x14ac:dyDescent="0.25">
      <c r="A17" s="3" t="s">
        <v>12</v>
      </c>
      <c r="B17" s="1">
        <f t="shared" si="0"/>
        <v>16</v>
      </c>
      <c r="C17" s="17">
        <v>10</v>
      </c>
      <c r="D17" s="1">
        <v>2020</v>
      </c>
      <c r="E17" s="4">
        <f>IF(('Hampshire Daily'!D20-'Hampshire Daily'!D19&lt;0), "0",('Hampshire Daily'!D20-'Hampshire Daily'!D19)*1)</f>
        <v>2248</v>
      </c>
      <c r="F17" s="4">
        <f>IF(('Hampshire Daily'!F20-'Hampshire Daily'!F19&lt;0), "0",('Hampshire Daily'!F20-'Hampshire Daily'!F19)*1)</f>
        <v>4521</v>
      </c>
      <c r="G17" s="4">
        <f>IF(('Hampshire Daily'!H20-'Hampshire Daily'!H19&lt;0), "0",'Hampshire Daily'!H20-'Hampshire Daily'!H19)</f>
        <v>783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938</v>
      </c>
      <c r="L17" s="4">
        <f>IF(('Hampshire Daily'!M20-'Hampshire Daily'!M19&lt;0), "0",'Hampshire Daily'!M20-'Hampshire Daily'!M19)</f>
        <v>0</v>
      </c>
      <c r="M17" s="4">
        <f>IF(('Hampshire Daily'!N20-'Hampshire Daily'!N19&lt;0), "0",'Hampshire Daily'!N20-'Hampshire Daily'!N19)</f>
        <v>2163</v>
      </c>
      <c r="N17" s="4">
        <f>IF(('Hampshire Daily'!O20-'Hampshire Daily'!O19&lt;0), "0",'Hampshire Daily'!O20-'Hampshire Daily'!O19)</f>
        <v>128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916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9</v>
      </c>
      <c r="S17" s="4">
        <f>IF(('Hampshire Daily'!V20-'Hampshire Daily'!V19&lt;0), "0",'Hampshire Daily'!V20-'Hampshire Daily'!V19)</f>
        <v>1</v>
      </c>
      <c r="T17" s="4">
        <f>IF(('Hampshire Daily'!Y20-'Hampshire Daily'!Y19&lt;0), "0",'Hampshire Daily'!Y20-'Hampshire Daily'!Y19)</f>
        <v>3.1999999999925421E-2</v>
      </c>
      <c r="U17" s="4">
        <f>IF(('Hampshire Daily'!X20-'Hampshire Daily'!X19&lt;0), "0",'Hampshire Daily'!X20-'Hampshire Daily'!X19)</f>
        <v>2.4549999999999841</v>
      </c>
      <c r="V17" s="4">
        <f>IF(('Hampshire Daily'!Y20-'Hampshire Daily'!Y19&lt;0), "0",'Hampshire Daily'!Y20-'Hampshire Daily'!Y19)</f>
        <v>3.1999999999925421E-2</v>
      </c>
      <c r="W17" s="4">
        <f>IF(('Hampshire Daily'!Z20-'Hampshire Daily'!Z19&lt;0), "0",'Hampshire Daily'!Z20-'Hampshire Daily'!Z19)</f>
        <v>5.9999999998581188E-3</v>
      </c>
      <c r="X17" s="4">
        <f>IF(('Hampshire Daily'!AA20-'Hampshire Daily'!AA19&lt;0), "0",'Hampshire Daily'!AA20-'Hampshire Daily'!AA19)</f>
        <v>21</v>
      </c>
      <c r="Y17" s="4">
        <f>IF(('Hampshire Daily'!AB20-'Hampshire Daily'!AB19&lt;0), "0",'Hampshire Daily'!AB20-'Hampshire Daily'!AB19)</f>
        <v>5</v>
      </c>
      <c r="Z17" s="4">
        <f>'Hampshire Daily'!B20</f>
        <v>74</v>
      </c>
      <c r="AA17" s="4">
        <f>'Hampshire Daily'!C20</f>
        <v>178</v>
      </c>
    </row>
    <row r="18" spans="1:27" x14ac:dyDescent="0.25">
      <c r="A18" s="3" t="s">
        <v>12</v>
      </c>
      <c r="B18" s="1">
        <f t="shared" si="0"/>
        <v>17</v>
      </c>
      <c r="C18" s="17">
        <v>10</v>
      </c>
      <c r="D18" s="1">
        <v>2020</v>
      </c>
      <c r="E18" s="4">
        <f>IF(('Hampshire Daily'!D21-'Hampshire Daily'!D20&lt;0), "0",('Hampshire Daily'!D21-'Hampshire Daily'!D20)*1)</f>
        <v>2658</v>
      </c>
      <c r="F18" s="4">
        <f>IF(('Hampshire Daily'!F21-'Hampshire Daily'!F20&lt;0), "0",('Hampshire Daily'!F21-'Hampshire Daily'!F20)*1)</f>
        <v>5209</v>
      </c>
      <c r="G18" s="4">
        <f>IF(('Hampshire Daily'!H21-'Hampshire Daily'!H20&lt;0), "0",'Hampshire Daily'!H21-'Hampshire Daily'!H20)</f>
        <v>834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939</v>
      </c>
      <c r="L18" s="4">
        <f>IF(('Hampshire Daily'!M21-'Hampshire Daily'!M20&lt;0), "0",'Hampshire Daily'!M21-'Hampshire Daily'!M20)</f>
        <v>8</v>
      </c>
      <c r="M18" s="4">
        <f>IF(('Hampshire Daily'!N21-'Hampshire Daily'!N20&lt;0), "0",'Hampshire Daily'!N21-'Hampshire Daily'!N20)</f>
        <v>2366</v>
      </c>
      <c r="N18" s="4">
        <f>IF(('Hampshire Daily'!O21-'Hampshire Daily'!O20&lt;0), "0",'Hampshire Daily'!O21-'Hampshire Daily'!O20)</f>
        <v>128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1122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10</v>
      </c>
      <c r="S18" s="4">
        <f>IF(('Hampshire Daily'!V21-'Hampshire Daily'!V20&lt;0), "0",'Hampshire Daily'!V21-'Hampshire Daily'!V20)</f>
        <v>1</v>
      </c>
      <c r="T18" s="4">
        <f>IF(('Hampshire Daily'!Y21-'Hampshire Daily'!Y20&lt;0), "0",'Hampshire Daily'!Y21-'Hampshire Daily'!Y20)</f>
        <v>1.2000000000057298E-2</v>
      </c>
      <c r="U18" s="4">
        <f>IF(('Hampshire Daily'!X21-'Hampshire Daily'!X20&lt;0), "0",'Hampshire Daily'!X21-'Hampshire Daily'!X20)</f>
        <v>2.5529999999999973</v>
      </c>
      <c r="V18" s="4">
        <f>IF(('Hampshire Daily'!Y21-'Hampshire Daily'!Y20&lt;0), "0",'Hampshire Daily'!Y21-'Hampshire Daily'!Y20)</f>
        <v>1.2000000000057298E-2</v>
      </c>
      <c r="W18" s="4">
        <f>IF(('Hampshire Daily'!Z21-'Hampshire Daily'!Z20&lt;0), "0",'Hampshire Daily'!Z21-'Hampshire Daily'!Z20)</f>
        <v>7.0000000000618456E-3</v>
      </c>
      <c r="X18" s="4">
        <f>IF(('Hampshire Daily'!AA21-'Hampshire Daily'!AA20&lt;0), "0",'Hampshire Daily'!AA21-'Hampshire Daily'!AA20)</f>
        <v>0</v>
      </c>
      <c r="Y18" s="4">
        <f>IF(('Hampshire Daily'!AB21-'Hampshire Daily'!AB20&lt;0), "0",'Hampshire Daily'!AB21-'Hampshire Daily'!AB20)</f>
        <v>5</v>
      </c>
      <c r="Z18" s="4">
        <f>'Hampshire Daily'!B21</f>
        <v>97</v>
      </c>
      <c r="AA18" s="4">
        <f>'Hampshire Daily'!C21</f>
        <v>243</v>
      </c>
    </row>
    <row r="19" spans="1:27" x14ac:dyDescent="0.25">
      <c r="A19" s="3" t="s">
        <v>12</v>
      </c>
      <c r="B19" s="1">
        <f t="shared" si="0"/>
        <v>18</v>
      </c>
      <c r="C19" s="17">
        <v>10</v>
      </c>
      <c r="D19" s="1">
        <v>2020</v>
      </c>
      <c r="E19" s="4">
        <f>IF(('Hampshire Daily'!D22-'Hampshire Daily'!D21&lt;0), "0",('Hampshire Daily'!D22-'Hampshire Daily'!D21)*1)</f>
        <v>2538</v>
      </c>
      <c r="F19" s="4">
        <f>IF(('Hampshire Daily'!F22-'Hampshire Daily'!F21&lt;0), "0",('Hampshire Daily'!F22-'Hampshire Daily'!F21)*1)</f>
        <v>5332</v>
      </c>
      <c r="G19" s="4">
        <f>IF(('Hampshire Daily'!H22-'Hampshire Daily'!H21&lt;0), "0",'Hampshire Daily'!H22-'Hampshire Daily'!H21)</f>
        <v>853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1131</v>
      </c>
      <c r="L19" s="4">
        <f>IF(('Hampshire Daily'!M22-'Hampshire Daily'!M21&lt;0), "0",'Hampshire Daily'!M22-'Hampshire Daily'!M21)</f>
        <v>0</v>
      </c>
      <c r="M19" s="4">
        <f>IF(('Hampshire Daily'!N22-'Hampshire Daily'!N21&lt;0), "0",'Hampshire Daily'!N22-'Hampshire Daily'!N21)</f>
        <v>2407</v>
      </c>
      <c r="N19" s="4">
        <f>IF(('Hampshire Daily'!O22-'Hampshire Daily'!O21&lt;0), "0",'Hampshire Daily'!O22-'Hampshire Daily'!O21)</f>
        <v>128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1128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11</v>
      </c>
      <c r="S19" s="4">
        <f>IF(('Hampshire Daily'!V22-'Hampshire Daily'!V21&lt;0), "0",'Hampshire Daily'!V22-'Hampshire Daily'!V21)</f>
        <v>0</v>
      </c>
      <c r="T19" s="4">
        <f>IF(('Hampshire Daily'!Y22-'Hampshire Daily'!Y21&lt;0), "0",'Hampshire Daily'!Y22-'Hampshire Daily'!Y21)</f>
        <v>1.1999999999943611E-2</v>
      </c>
      <c r="U19" s="4">
        <f>IF(('Hampshire Daily'!X22-'Hampshire Daily'!X21&lt;0), "0",'Hampshire Daily'!X22-'Hampshire Daily'!X21)</f>
        <v>3.5400000000000205</v>
      </c>
      <c r="V19" s="4">
        <f>IF(('Hampshire Daily'!Y22-'Hampshire Daily'!Y21&lt;0), "0",'Hampshire Daily'!Y22-'Hampshire Daily'!Y21)</f>
        <v>1.1999999999943611E-2</v>
      </c>
      <c r="W19" s="4">
        <f>IF(('Hampshire Daily'!Z22-'Hampshire Daily'!Z21&lt;0), "0",'Hampshire Daily'!Z22-'Hampshire Daily'!Z21)</f>
        <v>7.9999999998108251E-3</v>
      </c>
      <c r="X19" s="4">
        <f>IF(('Hampshire Daily'!AA22-'Hampshire Daily'!AA21&lt;0), "0",'Hampshire Daily'!AA22-'Hampshire Daily'!AA21)</f>
        <v>0</v>
      </c>
      <c r="Y19" s="4">
        <f>IF(('Hampshire Daily'!AB22-'Hampshire Daily'!AB21&lt;0), "0",'Hampshire Daily'!AB22-'Hampshire Daily'!AB21)</f>
        <v>13</v>
      </c>
      <c r="Z19" s="4">
        <f>'Hampshire Daily'!B22</f>
        <v>61</v>
      </c>
      <c r="AA19" s="4">
        <f>'Hampshire Daily'!C22</f>
        <v>166</v>
      </c>
    </row>
    <row r="20" spans="1:27" x14ac:dyDescent="0.25">
      <c r="A20" s="3" t="s">
        <v>12</v>
      </c>
      <c r="B20" s="1">
        <f t="shared" si="0"/>
        <v>19</v>
      </c>
      <c r="C20" s="17">
        <v>10</v>
      </c>
      <c r="D20" s="1">
        <v>2020</v>
      </c>
      <c r="E20" s="4">
        <f>IF(('Hampshire Daily'!D23-'Hampshire Daily'!D22&lt;0), "0",('Hampshire Daily'!D23-'Hampshire Daily'!D22)*1)</f>
        <v>2194</v>
      </c>
      <c r="F20" s="4">
        <f>IF(('Hampshire Daily'!F23-'Hampshire Daily'!F22&lt;0), "0",('Hampshire Daily'!F23-'Hampshire Daily'!F22)*1)</f>
        <v>4875</v>
      </c>
      <c r="G20" s="4">
        <f>IF(('Hampshire Daily'!H23-'Hampshire Daily'!H22&lt;0), "0",'Hampshire Daily'!H23-'Hampshire Daily'!H22)</f>
        <v>830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1111</v>
      </c>
      <c r="L20" s="4">
        <f>IF(('Hampshire Daily'!M23-'Hampshire Daily'!M22&lt;0), "0",'Hampshire Daily'!M23-'Hampshire Daily'!M22)</f>
        <v>0</v>
      </c>
      <c r="M20" s="4">
        <f>IF(('Hampshire Daily'!N23-'Hampshire Daily'!N22&lt;0), "0",'Hampshire Daily'!N23-'Hampshire Daily'!N22)</f>
        <v>2244</v>
      </c>
      <c r="N20" s="4">
        <f>IF(('Hampshire Daily'!O23-'Hampshire Daily'!O22&lt;0), "0",'Hampshire Daily'!O23-'Hampshire Daily'!O22)</f>
        <v>128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1070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9</v>
      </c>
      <c r="S20" s="4">
        <f>IF(('Hampshire Daily'!V23-'Hampshire Daily'!V22&lt;0), "0",'Hampshire Daily'!V23-'Hampshire Daily'!V22)</f>
        <v>8</v>
      </c>
      <c r="T20" s="4">
        <f>IF(('Hampshire Daily'!Y23-'Hampshire Daily'!Y22&lt;0), "0",'Hampshire Daily'!Y23-'Hampshire Daily'!Y22)</f>
        <v>3.3000000000015461E-2</v>
      </c>
      <c r="U20" s="4">
        <f>IF(('Hampshire Daily'!X23-'Hampshire Daily'!X22&lt;0), "0",'Hampshire Daily'!X23-'Hampshire Daily'!X22)</f>
        <v>1.5999999999999659</v>
      </c>
      <c r="V20" s="4">
        <f>IF(('Hampshire Daily'!Y23-'Hampshire Daily'!Y22&lt;0), "0",'Hampshire Daily'!Y23-'Hampshire Daily'!Y22)</f>
        <v>3.3000000000015461E-2</v>
      </c>
      <c r="W20" s="4">
        <f>IF(('Hampshire Daily'!Z23-'Hampshire Daily'!Z22&lt;0), "0",'Hampshire Daily'!Z23-'Hampshire Daily'!Z22)</f>
        <v>8.0000000002655725E-3</v>
      </c>
      <c r="X20" s="4">
        <f>IF(('Hampshire Daily'!AA23-'Hampshire Daily'!AA22&lt;0), "0",'Hampshire Daily'!AA23-'Hampshire Daily'!AA22)</f>
        <v>0</v>
      </c>
      <c r="Y20" s="4">
        <f>IF(('Hampshire Daily'!AB23-'Hampshire Daily'!AB22&lt;0), "0",'Hampshire Daily'!AB23-'Hampshire Daily'!AB22)</f>
        <v>8</v>
      </c>
      <c r="Z20" s="4">
        <f>'Hampshire Daily'!B23</f>
        <v>76</v>
      </c>
      <c r="AA20" s="4">
        <f>'Hampshire Daily'!C23</f>
        <v>199</v>
      </c>
    </row>
    <row r="21" spans="1:27" x14ac:dyDescent="0.25">
      <c r="A21" s="3" t="s">
        <v>12</v>
      </c>
      <c r="B21" s="1">
        <f t="shared" si="0"/>
        <v>20</v>
      </c>
      <c r="C21" s="17">
        <v>10</v>
      </c>
      <c r="D21" s="1">
        <v>2020</v>
      </c>
      <c r="E21" s="4">
        <f>IF(('Hampshire Daily'!D24-'Hampshire Daily'!D23&lt;0), "0",('Hampshire Daily'!D24-'Hampshire Daily'!D23)*1)</f>
        <v>2505</v>
      </c>
      <c r="F21" s="4">
        <f>IF(('Hampshire Daily'!F24-'Hampshire Daily'!F23&lt;0), "0",('Hampshire Daily'!F24-'Hampshire Daily'!F23)*1)</f>
        <v>4772</v>
      </c>
      <c r="G21" s="4">
        <f>IF(('Hampshire Daily'!H24-'Hampshire Daily'!H23&lt;0), "0",'Hampshire Daily'!H24-'Hampshire Daily'!H23)</f>
        <v>806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938</v>
      </c>
      <c r="L21" s="4">
        <f>IF(('Hampshire Daily'!M24-'Hampshire Daily'!M23&lt;0), "0",'Hampshire Daily'!M24-'Hampshire Daily'!M23)</f>
        <v>108</v>
      </c>
      <c r="M21" s="4">
        <f>IF(('Hampshire Daily'!N24-'Hampshire Daily'!N23&lt;0), "0",'Hampshire Daily'!N24-'Hampshire Daily'!N23)</f>
        <v>2229</v>
      </c>
      <c r="N21" s="4">
        <f>IF(('Hampshire Daily'!O24-'Hampshire Daily'!O23&lt;0), "0",'Hampshire Daily'!O24-'Hampshire Daily'!O23)</f>
        <v>128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1263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10</v>
      </c>
      <c r="S21" s="4">
        <f>IF(('Hampshire Daily'!V24-'Hampshire Daily'!V23&lt;0), "0",'Hampshire Daily'!V24-'Hampshire Daily'!V23)</f>
        <v>0</v>
      </c>
      <c r="T21" s="4">
        <f>IF(('Hampshire Daily'!Y24-'Hampshire Daily'!Y23&lt;0), "0",'Hampshire Daily'!Y24-'Hampshire Daily'!Y23)</f>
        <v>0.16700000000003001</v>
      </c>
      <c r="U21" s="4">
        <f>IF(('Hampshire Daily'!X24-'Hampshire Daily'!X23&lt;0), "0",'Hampshire Daily'!X24-'Hampshire Daily'!X23)</f>
        <v>2.6190000000000282</v>
      </c>
      <c r="V21" s="4">
        <f>IF(('Hampshire Daily'!Y24-'Hampshire Daily'!Y23&lt;0), "0",'Hampshire Daily'!Y24-'Hampshire Daily'!Y23)</f>
        <v>0.16700000000003001</v>
      </c>
      <c r="W21" s="4">
        <f>IF(('Hampshire Daily'!Z24-'Hampshire Daily'!Z23&lt;0), "0",'Hampshire Daily'!Z24-'Hampshire Daily'!Z23)</f>
        <v>5.9999999998581188E-3</v>
      </c>
      <c r="X21" s="4">
        <f>IF(('Hampshire Daily'!AA24-'Hampshire Daily'!AA23&lt;0), "0",'Hampshire Daily'!AA24-'Hampshire Daily'!AA23)</f>
        <v>0</v>
      </c>
      <c r="Y21" s="4">
        <f>IF(('Hampshire Daily'!AB24-'Hampshire Daily'!AB23&lt;0), "0",'Hampshire Daily'!AB24-'Hampshire Daily'!AB23)</f>
        <v>5</v>
      </c>
      <c r="Z21" s="4">
        <f>'Hampshire Daily'!B24</f>
        <v>74</v>
      </c>
      <c r="AA21" s="4">
        <f>'Hampshire Daily'!C24</f>
        <v>195</v>
      </c>
    </row>
    <row r="22" spans="1:27" x14ac:dyDescent="0.25">
      <c r="A22" s="3" t="s">
        <v>12</v>
      </c>
      <c r="B22" s="1">
        <f t="shared" si="0"/>
        <v>21</v>
      </c>
      <c r="C22" s="17">
        <v>10</v>
      </c>
      <c r="D22" s="1">
        <v>2020</v>
      </c>
      <c r="E22" s="4">
        <f>IF(('Hampshire Daily'!D25-'Hampshire Daily'!D24&lt;0), "0",('Hampshire Daily'!D25-'Hampshire Daily'!D24)*1)</f>
        <v>3833</v>
      </c>
      <c r="F22" s="4">
        <f>IF(('Hampshire Daily'!F25-'Hampshire Daily'!F24&lt;0), "0",('Hampshire Daily'!F25-'Hampshire Daily'!F24)*1)</f>
        <v>4860</v>
      </c>
      <c r="G22" s="4">
        <f>IF(('Hampshire Daily'!H25-'Hampshire Daily'!H24&lt;0), "0",'Hampshire Daily'!H25-'Hampshire Daily'!H24)</f>
        <v>853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938</v>
      </c>
      <c r="L22" s="4">
        <f>IF(('Hampshire Daily'!M25-'Hampshire Daily'!M24&lt;0), "0",'Hampshire Daily'!M25-'Hampshire Daily'!M24)</f>
        <v>64</v>
      </c>
      <c r="M22" s="4">
        <f>IF(('Hampshire Daily'!N25-'Hampshire Daily'!N24&lt;0), "0",'Hampshire Daily'!N25-'Hampshire Daily'!N24)</f>
        <v>1979</v>
      </c>
      <c r="N22" s="4">
        <f>IF(('Hampshire Daily'!O25-'Hampshire Daily'!O24&lt;0), "0",'Hampshire Daily'!O25-'Hampshire Daily'!O24)</f>
        <v>119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1411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10</v>
      </c>
      <c r="S22" s="4">
        <f>IF(('Hampshire Daily'!V25-'Hampshire Daily'!V24&lt;0), "0",'Hampshire Daily'!V25-'Hampshire Daily'!V24)</f>
        <v>1</v>
      </c>
      <c r="T22" s="4">
        <f>IF(('Hampshire Daily'!Y25-'Hampshire Daily'!Y24&lt;0), "0",'Hampshire Daily'!Y25-'Hampshire Daily'!Y24)</f>
        <v>2.8000000000020009E-2</v>
      </c>
      <c r="U22" s="4">
        <f>IF(('Hampshire Daily'!X25-'Hampshire Daily'!X24&lt;0), "0",'Hampshire Daily'!X25-'Hampshire Daily'!X24)</f>
        <v>2.6619999999999777</v>
      </c>
      <c r="V22" s="4">
        <f>IF(('Hampshire Daily'!Y25-'Hampshire Daily'!Y24&lt;0), "0",'Hampshire Daily'!Y25-'Hampshire Daily'!Y24)</f>
        <v>2.8000000000020009E-2</v>
      </c>
      <c r="W22" s="4">
        <f>IF(('Hampshire Daily'!Z25-'Hampshire Daily'!Z24&lt;0), "0",'Hampshire Daily'!Z25-'Hampshire Daily'!Z24)</f>
        <v>7.0000000000618456E-3</v>
      </c>
      <c r="X22" s="4">
        <f>IF(('Hampshire Daily'!AA25-'Hampshire Daily'!AA24&lt;0), "0",'Hampshire Daily'!AA25-'Hampshire Daily'!AA24)</f>
        <v>0</v>
      </c>
      <c r="Y22" s="4">
        <f>IF(('Hampshire Daily'!AB25-'Hampshire Daily'!AB24&lt;0), "0",'Hampshire Daily'!AB25-'Hampshire Daily'!AB24)</f>
        <v>9</v>
      </c>
      <c r="Z22" s="4">
        <f>'Hampshire Daily'!B25</f>
        <v>74</v>
      </c>
      <c r="AA22" s="4">
        <f>'Hampshire Daily'!C25</f>
        <v>204</v>
      </c>
    </row>
    <row r="23" spans="1:27" x14ac:dyDescent="0.25">
      <c r="A23" s="3" t="s">
        <v>12</v>
      </c>
      <c r="B23" s="1">
        <f t="shared" si="0"/>
        <v>22</v>
      </c>
      <c r="C23" s="17">
        <v>10</v>
      </c>
      <c r="D23" s="1">
        <v>2020</v>
      </c>
      <c r="E23" s="4">
        <f>IF(('Hampshire Daily'!D26-'Hampshire Daily'!D25&lt;0), "0",('Hampshire Daily'!D26-'Hampshire Daily'!D25)*1)</f>
        <v>2503</v>
      </c>
      <c r="F23" s="4">
        <f>IF(('Hampshire Daily'!F26-'Hampshire Daily'!F25&lt;0), "0",('Hampshire Daily'!F26-'Hampshire Daily'!F25)*1)</f>
        <v>4648</v>
      </c>
      <c r="G23" s="4">
        <f>IF(('Hampshire Daily'!H26-'Hampshire Daily'!H25&lt;0), "0",'Hampshire Daily'!H26-'Hampshire Daily'!H25)</f>
        <v>698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1191</v>
      </c>
      <c r="L23" s="4">
        <f>IF(('Hampshire Daily'!M26-'Hampshire Daily'!M25&lt;0), "0",'Hampshire Daily'!M26-'Hampshire Daily'!M25)</f>
        <v>134</v>
      </c>
      <c r="M23" s="4">
        <f>IF(('Hampshire Daily'!N26-'Hampshire Daily'!N25&lt;0), "0",'Hampshire Daily'!N26-'Hampshire Daily'!N25)</f>
        <v>2246</v>
      </c>
      <c r="N23" s="4">
        <f>IF(('Hampshire Daily'!O26-'Hampshire Daily'!O25&lt;0), "0",'Hampshire Daily'!O26-'Hampshire Daily'!O25)</f>
        <v>128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1342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10</v>
      </c>
      <c r="S23" s="4">
        <f>IF(('Hampshire Daily'!V26-'Hampshire Daily'!V25&lt;0), "0",'Hampshire Daily'!V26-'Hampshire Daily'!V25)</f>
        <v>0</v>
      </c>
      <c r="T23" s="4">
        <f>IF(('Hampshire Daily'!Y26-'Hampshire Daily'!Y25&lt;0), "0",'Hampshire Daily'!Y26-'Hampshire Daily'!Y25)</f>
        <v>4.5999999999935426E-2</v>
      </c>
      <c r="U23" s="4">
        <f>IF(('Hampshire Daily'!X26-'Hampshire Daily'!X25&lt;0), "0",'Hampshire Daily'!X26-'Hampshire Daily'!X25)</f>
        <v>2.6979999999999791</v>
      </c>
      <c r="V23" s="4">
        <f>IF(('Hampshire Daily'!Y26-'Hampshire Daily'!Y25&lt;0), "0",'Hampshire Daily'!Y26-'Hampshire Daily'!Y25)</f>
        <v>4.5999999999935426E-2</v>
      </c>
      <c r="W23" s="4">
        <f>IF(('Hampshire Daily'!Z26-'Hampshire Daily'!Z25&lt;0), "0",'Hampshire Daily'!Z26-'Hampshire Daily'!Z25)</f>
        <v>7.0000000000618456E-3</v>
      </c>
      <c r="X23" s="4">
        <f>IF(('Hampshire Daily'!AA26-'Hampshire Daily'!AA25&lt;0), "0",'Hampshire Daily'!AA26-'Hampshire Daily'!AA25)</f>
        <v>0</v>
      </c>
      <c r="Y23" s="4">
        <f>IF(('Hampshire Daily'!AB26-'Hampshire Daily'!AB25&lt;0), "0",'Hampshire Daily'!AB26-'Hampshire Daily'!AB25)</f>
        <v>10</v>
      </c>
      <c r="Z23" s="4">
        <f>'Hampshire Daily'!B26</f>
        <v>81</v>
      </c>
      <c r="AA23" s="4">
        <f>'Hampshire Daily'!C26</f>
        <v>220</v>
      </c>
    </row>
    <row r="24" spans="1:27" x14ac:dyDescent="0.25">
      <c r="A24" s="3" t="s">
        <v>12</v>
      </c>
      <c r="B24" s="1">
        <f t="shared" si="0"/>
        <v>23</v>
      </c>
      <c r="C24" s="17">
        <v>10</v>
      </c>
      <c r="D24" s="1">
        <v>2020</v>
      </c>
      <c r="E24" s="4">
        <f>IF(('Hampshire Daily'!D27-'Hampshire Daily'!D26&lt;0), "0",('Hampshire Daily'!D27-'Hampshire Daily'!D26)*1)</f>
        <v>2675</v>
      </c>
      <c r="F24" s="4">
        <f>IF(('Hampshire Daily'!F27-'Hampshire Daily'!F26&lt;0), "0",('Hampshire Daily'!F27-'Hampshire Daily'!F26)*1)</f>
        <v>4281</v>
      </c>
      <c r="G24" s="4">
        <f>IF(('Hampshire Daily'!H27-'Hampshire Daily'!H26&lt;0), "0",'Hampshire Daily'!H27-'Hampshire Daily'!H26)</f>
        <v>666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1097</v>
      </c>
      <c r="L24" s="4">
        <f>IF(('Hampshire Daily'!M27-'Hampshire Daily'!M26&lt;0), "0",'Hampshire Daily'!M27-'Hampshire Daily'!M26)</f>
        <v>0</v>
      </c>
      <c r="M24" s="4">
        <f>IF(('Hampshire Daily'!N27-'Hampshire Daily'!N26&lt;0), "0",'Hampshire Daily'!N27-'Hampshire Daily'!N26)</f>
        <v>2237</v>
      </c>
      <c r="N24" s="4">
        <f>IF(('Hampshire Daily'!O27-'Hampshire Daily'!O26&lt;0), "0",'Hampshire Daily'!O27-'Hampshire Daily'!O26)</f>
        <v>128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1331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10</v>
      </c>
      <c r="S24" s="4">
        <f>IF(('Hampshire Daily'!V27-'Hampshire Daily'!V26&lt;0), "0",'Hampshire Daily'!V27-'Hampshire Daily'!V26)</f>
        <v>1</v>
      </c>
      <c r="T24" s="4">
        <f>IF(('Hampshire Daily'!Y27-'Hampshire Daily'!Y26&lt;0), "0",'Hampshire Daily'!Y27-'Hampshire Daily'!Y26)</f>
        <v>4.6000000000049113E-2</v>
      </c>
      <c r="U24" s="4">
        <f>IF(('Hampshire Daily'!X27-'Hampshire Daily'!X26&lt;0), "0",'Hampshire Daily'!X27-'Hampshire Daily'!X26)</f>
        <v>0.77800000000002001</v>
      </c>
      <c r="V24" s="4">
        <f>IF(('Hampshire Daily'!Y27-'Hampshire Daily'!Y26&lt;0), "0",'Hampshire Daily'!Y27-'Hampshire Daily'!Y26)</f>
        <v>4.6000000000049113E-2</v>
      </c>
      <c r="W24" s="4">
        <f>IF(('Hampshire Daily'!Z27-'Hampshire Daily'!Z26&lt;0), "0",'Hampshire Daily'!Z27-'Hampshire Daily'!Z26)</f>
        <v>6.9999999996070983E-3</v>
      </c>
      <c r="X24" s="4">
        <f>IF(('Hampshire Daily'!AA27-'Hampshire Daily'!AA26&lt;0), "0",'Hampshire Daily'!AA27-'Hampshire Daily'!AA26)</f>
        <v>0</v>
      </c>
      <c r="Y24" s="4">
        <f>IF(('Hampshire Daily'!AB27-'Hampshire Daily'!AB26&lt;0), "0",'Hampshire Daily'!AB27-'Hampshire Daily'!AB26)</f>
        <v>9</v>
      </c>
      <c r="Z24" s="4">
        <f>'Hampshire Daily'!B27</f>
        <v>93</v>
      </c>
      <c r="AA24" s="4">
        <f>'Hampshire Daily'!C27</f>
        <v>253</v>
      </c>
    </row>
    <row r="25" spans="1:27" x14ac:dyDescent="0.25">
      <c r="A25" s="3" t="s">
        <v>12</v>
      </c>
      <c r="B25" s="1">
        <f t="shared" si="0"/>
        <v>24</v>
      </c>
      <c r="C25" s="17">
        <v>10</v>
      </c>
      <c r="D25" s="1">
        <v>2020</v>
      </c>
      <c r="E25" s="4">
        <f>IF(('Hampshire Daily'!D28-'Hampshire Daily'!D27&lt;0), "0",('Hampshire Daily'!D28-'Hampshire Daily'!D27)*1)</f>
        <v>2753</v>
      </c>
      <c r="F25" s="4">
        <f>IF(('Hampshire Daily'!F28-'Hampshire Daily'!F27&lt;0), "0",('Hampshire Daily'!F28-'Hampshire Daily'!F27)*1)</f>
        <v>2179</v>
      </c>
      <c r="G25" s="4">
        <f>IF(('Hampshire Daily'!H28-'Hampshire Daily'!H27&lt;0), "0",'Hampshire Daily'!H28-'Hampshire Daily'!H27)</f>
        <v>65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938</v>
      </c>
      <c r="L25" s="4">
        <f>IF(('Hampshire Daily'!M28-'Hampshire Daily'!M27&lt;0), "0",'Hampshire Daily'!M28-'Hampshire Daily'!M27)</f>
        <v>45</v>
      </c>
      <c r="M25" s="4">
        <f>IF(('Hampshire Daily'!N28-'Hampshire Daily'!N27&lt;0), "0",'Hampshire Daily'!N28-'Hampshire Daily'!N27)</f>
        <v>2597</v>
      </c>
      <c r="N25" s="4">
        <f>IF(('Hampshire Daily'!O28-'Hampshire Daily'!O27&lt;0), "0",'Hampshire Daily'!O28-'Hampshire Daily'!O27)</f>
        <v>128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1258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9</v>
      </c>
      <c r="S25" s="4">
        <f>IF(('Hampshire Daily'!V28-'Hampshire Daily'!V27&lt;0), "0",'Hampshire Daily'!V28-'Hampshire Daily'!V27)</f>
        <v>0</v>
      </c>
      <c r="T25" s="4">
        <f>IF(('Hampshire Daily'!Y28-'Hampshire Daily'!Y27&lt;0), "0",'Hampshire Daily'!Y28-'Hampshire Daily'!Y27)</f>
        <v>1.4999999999986358E-2</v>
      </c>
      <c r="U25" s="4">
        <f>IF(('Hampshire Daily'!X28-'Hampshire Daily'!X27&lt;0), "0",'Hampshire Daily'!X28-'Hampshire Daily'!X27)</f>
        <v>0</v>
      </c>
      <c r="V25" s="4">
        <f>IF(('Hampshire Daily'!Y28-'Hampshire Daily'!Y27&lt;0), "0",'Hampshire Daily'!Y28-'Hampshire Daily'!Y27)</f>
        <v>1.4999999999986358E-2</v>
      </c>
      <c r="W25" s="4">
        <f>IF(('Hampshire Daily'!Z28-'Hampshire Daily'!Z27&lt;0), "0",'Hampshire Daily'!Z28-'Hampshire Daily'!Z27)</f>
        <v>3.0000000001564331E-3</v>
      </c>
      <c r="X25" s="4">
        <f>IF(('Hampshire Daily'!AA28-'Hampshire Daily'!AA27&lt;0), "0",'Hampshire Daily'!AA28-'Hampshire Daily'!AA27)</f>
        <v>0</v>
      </c>
      <c r="Y25" s="4">
        <f>IF(('Hampshire Daily'!AB28-'Hampshire Daily'!AB27&lt;0), "0",'Hampshire Daily'!AB28-'Hampshire Daily'!AB27)</f>
        <v>7</v>
      </c>
      <c r="Z25" s="4">
        <f>'Hampshire Daily'!B28</f>
        <v>93</v>
      </c>
      <c r="AA25" s="4">
        <f>'Hampshire Daily'!C28</f>
        <v>253</v>
      </c>
    </row>
    <row r="26" spans="1:27" x14ac:dyDescent="0.25">
      <c r="A26" s="3" t="s">
        <v>12</v>
      </c>
      <c r="B26" s="1">
        <f>B25+1</f>
        <v>25</v>
      </c>
      <c r="C26" s="17">
        <v>10</v>
      </c>
      <c r="D26" s="1">
        <v>2020</v>
      </c>
      <c r="E26" s="4">
        <f>IF(('Hampshire Daily'!D29-'Hampshire Daily'!D28&lt;0), "0",('Hampshire Daily'!D29-'Hampshire Daily'!D28)*1)</f>
        <v>2918</v>
      </c>
      <c r="F26" s="4">
        <f>IF(('Hampshire Daily'!F29-'Hampshire Daily'!F28&lt;0), "0",('Hampshire Daily'!F29-'Hampshire Daily'!F28)*1)</f>
        <v>1875</v>
      </c>
      <c r="G26" s="4">
        <f>IF(('Hampshire Daily'!H29-'Hampshire Daily'!H28&lt;0), "0",'Hampshire Daily'!H29-'Hampshire Daily'!H28)</f>
        <v>0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938</v>
      </c>
      <c r="L26" s="4">
        <f>IF(('Hampshire Daily'!M29-'Hampshire Daily'!M28&lt;0), "0",'Hampshire Daily'!M29-'Hampshire Daily'!M28)</f>
        <v>41</v>
      </c>
      <c r="M26" s="4">
        <f>IF(('Hampshire Daily'!N29-'Hampshire Daily'!N28&lt;0), "0",'Hampshire Daily'!N29-'Hampshire Daily'!N28)</f>
        <v>2754</v>
      </c>
      <c r="N26" s="4">
        <f>IF(('Hampshire Daily'!O29-'Hampshire Daily'!O28&lt;0), "0",'Hampshire Daily'!O29-'Hampshire Daily'!O28)</f>
        <v>130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1300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8</v>
      </c>
      <c r="S26" s="4">
        <f>IF(('Hampshire Daily'!V29-'Hampshire Daily'!V28&lt;0), "0",'Hampshire Daily'!V29-'Hampshire Daily'!V28)</f>
        <v>1</v>
      </c>
      <c r="T26" s="4">
        <f>IF(('Hampshire Daily'!Y29-'Hampshire Daily'!Y28&lt;0), "0",'Hampshire Daily'!Y29-'Hampshire Daily'!Y28)</f>
        <v>2.7000000000043656E-2</v>
      </c>
      <c r="U26" s="4">
        <f>IF(('Hampshire Daily'!X29-'Hampshire Daily'!X28&lt;0), "0",'Hampshire Daily'!X29-'Hampshire Daily'!X28)</f>
        <v>0</v>
      </c>
      <c r="V26" s="4">
        <f>IF(('Hampshire Daily'!Y29-'Hampshire Daily'!Y28&lt;0), "0",'Hampshire Daily'!Y29-'Hampshire Daily'!Y28)</f>
        <v>2.7000000000043656E-2</v>
      </c>
      <c r="W26" s="4">
        <f>IF(('Hampshire Daily'!Z29-'Hampshire Daily'!Z28&lt;0), "0",'Hampshire Daily'!Z29-'Hampshire Daily'!Z28)</f>
        <v>1.6999999999825377E-2</v>
      </c>
      <c r="X26" s="4">
        <f>IF(('Hampshire Daily'!AA29-'Hampshire Daily'!AA28&lt;0), "0",'Hampshire Daily'!AA29-'Hampshire Daily'!AA28)</f>
        <v>0</v>
      </c>
      <c r="Y26" s="4">
        <f>IF(('Hampshire Daily'!AB29-'Hampshire Daily'!AB28&lt;0), "0",'Hampshire Daily'!AB29-'Hampshire Daily'!AB28)</f>
        <v>9</v>
      </c>
      <c r="Z26" s="4">
        <f>'Hampshire Daily'!B29</f>
        <v>68</v>
      </c>
      <c r="AA26" s="4">
        <f>'Hampshire Daily'!C29</f>
        <v>182</v>
      </c>
    </row>
    <row r="27" spans="1:27" x14ac:dyDescent="0.25">
      <c r="A27" s="3" t="s">
        <v>12</v>
      </c>
      <c r="B27" s="1">
        <f t="shared" si="0"/>
        <v>26</v>
      </c>
      <c r="C27" s="17">
        <v>10</v>
      </c>
      <c r="D27" s="1">
        <v>2020</v>
      </c>
      <c r="E27" s="4">
        <f>IF(('Hampshire Daily'!D30-'Hampshire Daily'!D29&lt;0), "0",('Hampshire Daily'!D30-'Hampshire Daily'!D29)*1)</f>
        <v>2152</v>
      </c>
      <c r="F27" s="4">
        <f>IF(('Hampshire Daily'!F30-'Hampshire Daily'!F29&lt;0), "0",('Hampshire Daily'!F30-'Hampshire Daily'!F29)*1)</f>
        <v>1803</v>
      </c>
      <c r="G27" s="4">
        <f>IF(('Hampshire Daily'!H30-'Hampshire Daily'!H29&lt;0), "0",'Hampshire Daily'!H30-'Hampshire Daily'!H29)</f>
        <v>0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938</v>
      </c>
      <c r="L27" s="4">
        <f>IF(('Hampshire Daily'!M30-'Hampshire Daily'!M29&lt;0), "0",'Hampshire Daily'!M30-'Hampshire Daily'!M29)</f>
        <v>2</v>
      </c>
      <c r="M27" s="4">
        <f>IF(('Hampshire Daily'!N30-'Hampshire Daily'!N29&lt;0), "0",'Hampshire Daily'!N30-'Hampshire Daily'!N29)</f>
        <v>2762</v>
      </c>
      <c r="N27" s="4">
        <f>IF(('Hampshire Daily'!O30-'Hampshire Daily'!O29&lt;0), "0",'Hampshire Daily'!O30-'Hampshire Daily'!O29)</f>
        <v>180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1067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7</v>
      </c>
      <c r="S27" s="4">
        <f>IF(('Hampshire Daily'!V30-'Hampshire Daily'!V29&lt;0), "0",'Hampshire Daily'!V30-'Hampshire Daily'!V29)</f>
        <v>13</v>
      </c>
      <c r="T27" s="4">
        <f>IF(('Hampshire Daily'!Y30-'Hampshire Daily'!Y29&lt;0), "0",'Hampshire Daily'!Y30-'Hampshire Daily'!Y29)</f>
        <v>1.4000000000010004E-2</v>
      </c>
      <c r="U27" s="4">
        <f>IF(('Hampshire Daily'!X30-'Hampshire Daily'!X29&lt;0), "0",'Hampshire Daily'!X30-'Hampshire Daily'!X29)</f>
        <v>0</v>
      </c>
      <c r="V27" s="4">
        <f>IF(('Hampshire Daily'!Y30-'Hampshire Daily'!Y29&lt;0), "0",'Hampshire Daily'!Y30-'Hampshire Daily'!Y29)</f>
        <v>1.4000000000010004E-2</v>
      </c>
      <c r="W27" s="4" t="str">
        <f>IF(('Hampshire Daily'!Z30-'Hampshire Daily'!Z29&lt;0), "0",'Hampshire Daily'!Z30-'Hampshire Daily'!Z29)</f>
        <v>0</v>
      </c>
      <c r="X27" s="4">
        <f>IF(('Hampshire Daily'!AA30-'Hampshire Daily'!AA29&lt;0), "0",'Hampshire Daily'!AA30-'Hampshire Daily'!AA29)</f>
        <v>0</v>
      </c>
      <c r="Y27" s="4">
        <f>IF(('Hampshire Daily'!AB30-'Hampshire Daily'!AB29&lt;0), "0",'Hampshire Daily'!AB30-'Hampshire Daily'!AB29)</f>
        <v>9</v>
      </c>
      <c r="Z27" s="4">
        <f>'Hampshire Daily'!B30</f>
        <v>86</v>
      </c>
      <c r="AA27" s="4">
        <f>'Hampshire Daily'!C30</f>
        <v>228</v>
      </c>
    </row>
    <row r="28" spans="1:27" x14ac:dyDescent="0.25">
      <c r="A28" s="3" t="s">
        <v>12</v>
      </c>
      <c r="B28" s="1">
        <f t="shared" si="0"/>
        <v>27</v>
      </c>
      <c r="C28" s="17">
        <v>10</v>
      </c>
      <c r="D28" s="1">
        <v>2020</v>
      </c>
      <c r="E28" s="4">
        <f>IF(('Hampshire Daily'!D31-'Hampshire Daily'!D30&lt;0), "0",('Hampshire Daily'!D31-'Hampshire Daily'!D30)*1)</f>
        <v>2452</v>
      </c>
      <c r="F28" s="4">
        <f>IF(('Hampshire Daily'!F31-'Hampshire Daily'!F30&lt;0), "0",('Hampshire Daily'!F31-'Hampshire Daily'!F30)*1)</f>
        <v>1754</v>
      </c>
      <c r="G28" s="4">
        <f>IF(('Hampshire Daily'!H31-'Hampshire Daily'!H30&lt;0), "0",'Hampshire Daily'!H31-'Hampshire Daily'!H30)</f>
        <v>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938</v>
      </c>
      <c r="L28" s="4">
        <f>IF(('Hampshire Daily'!M31-'Hampshire Daily'!M30&lt;0), "0",'Hampshire Daily'!M31-'Hampshire Daily'!M30)</f>
        <v>0</v>
      </c>
      <c r="M28" s="4">
        <f>IF(('Hampshire Daily'!N31-'Hampshire Daily'!N30&lt;0), "0",'Hampshire Daily'!N31-'Hampshire Daily'!N30)</f>
        <v>2695</v>
      </c>
      <c r="N28" s="4">
        <f>IF(('Hampshire Daily'!O31-'Hampshire Daily'!O30&lt;0), "0",'Hampshire Daily'!O31-'Hampshire Daily'!O30)</f>
        <v>77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1124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7</v>
      </c>
      <c r="S28" s="4">
        <f>IF(('Hampshire Daily'!V31-'Hampshire Daily'!V30&lt;0), "0",'Hampshire Daily'!V31-'Hampshire Daily'!V30)</f>
        <v>0</v>
      </c>
      <c r="T28" s="4">
        <f>IF(('Hampshire Daily'!Y31-'Hampshire Daily'!Y30&lt;0), "0",'Hampshire Daily'!Y31-'Hampshire Daily'!Y30)</f>
        <v>9.9999999999909051E-3</v>
      </c>
      <c r="U28" s="4">
        <f>IF(('Hampshire Daily'!X31-'Hampshire Daily'!X30&lt;0), "0",'Hampshire Daily'!X31-'Hampshire Daily'!X30)</f>
        <v>0</v>
      </c>
      <c r="V28" s="4">
        <f>IF(('Hampshire Daily'!Y31-'Hampshire Daily'!Y30&lt;0), "0",'Hampshire Daily'!Y31-'Hampshire Daily'!Y30)</f>
        <v>9.9999999999909051E-3</v>
      </c>
      <c r="W28" s="4">
        <f>IF(('Hampshire Daily'!Z31-'Hampshire Daily'!Z30&lt;0), "0",'Hampshire Daily'!Z31-'Hampshire Daily'!Z30)</f>
        <v>6.0000000003128662E-3</v>
      </c>
      <c r="X28" s="4">
        <f>IF(('Hampshire Daily'!AA31-'Hampshire Daily'!AA30&lt;0), "0",'Hampshire Daily'!AA31-'Hampshire Daily'!AA30)</f>
        <v>0</v>
      </c>
      <c r="Y28" s="4">
        <f>IF(('Hampshire Daily'!AB31-'Hampshire Daily'!AB30&lt;0), "0",'Hampshire Daily'!AB31-'Hampshire Daily'!AB30)</f>
        <v>6</v>
      </c>
      <c r="Z28" s="4">
        <f>'Hampshire Daily'!B31</f>
        <v>78</v>
      </c>
      <c r="AA28" s="4">
        <f>'Hampshire Daily'!C31</f>
        <v>214</v>
      </c>
    </row>
    <row r="29" spans="1:27" x14ac:dyDescent="0.25">
      <c r="A29" s="3" t="s">
        <v>12</v>
      </c>
      <c r="B29" s="1">
        <f t="shared" si="0"/>
        <v>28</v>
      </c>
      <c r="C29" s="17">
        <v>10</v>
      </c>
      <c r="D29" s="1">
        <v>2020</v>
      </c>
      <c r="E29" s="4">
        <f>IF(('Hampshire Daily'!D32-'Hampshire Daily'!D31&lt;0), "0",('Hampshire Daily'!D32-'Hampshire Daily'!D31)*1)</f>
        <v>3640</v>
      </c>
      <c r="F29" s="4">
        <f>IF(('Hampshire Daily'!F32-'Hampshire Daily'!F31&lt;0), "0",('Hampshire Daily'!F32-'Hampshire Daily'!F31)*1)</f>
        <v>1995</v>
      </c>
      <c r="G29" s="4">
        <f>IF(('Hampshire Daily'!H32-'Hampshire Daily'!H31&lt;0), "0",'Hampshire Daily'!H32-'Hampshire Daily'!H31)</f>
        <v>97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938</v>
      </c>
      <c r="L29" s="4">
        <f>IF(('Hampshire Daily'!M32-'Hampshire Daily'!M31&lt;0), "0",'Hampshire Daily'!M32-'Hampshire Daily'!M31)</f>
        <v>93</v>
      </c>
      <c r="M29" s="4">
        <f>IF(('Hampshire Daily'!N32-'Hampshire Daily'!N31&lt;0), "0",'Hampshire Daily'!N32-'Hampshire Daily'!N31)</f>
        <v>2578</v>
      </c>
      <c r="N29" s="4">
        <f>IF(('Hampshire Daily'!O32-'Hampshire Daily'!O31&lt;0), "0",'Hampshire Daily'!O32-'Hampshire Daily'!O31)</f>
        <v>133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1129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9</v>
      </c>
      <c r="S29" s="4">
        <f>IF(('Hampshire Daily'!V32-'Hampshire Daily'!V31&lt;0), "0",'Hampshire Daily'!V32-'Hampshire Daily'!V31)</f>
        <v>1</v>
      </c>
      <c r="T29" s="4">
        <f>IF(('Hampshire Daily'!Y32-'Hampshire Daily'!Y31&lt;0), "0",'Hampshire Daily'!Y32-'Hampshire Daily'!Y31)</f>
        <v>6.2000000000011823E-2</v>
      </c>
      <c r="U29" s="4">
        <f>IF(('Hampshire Daily'!X32-'Hampshire Daily'!X31&lt;0), "0",'Hampshire Daily'!X32-'Hampshire Daily'!X31)</f>
        <v>0</v>
      </c>
      <c r="V29" s="4">
        <f>IF(('Hampshire Daily'!Y32-'Hampshire Daily'!Y31&lt;0), "0",'Hampshire Daily'!Y32-'Hampshire Daily'!Y31)</f>
        <v>6.2000000000011823E-2</v>
      </c>
      <c r="W29" s="4">
        <f>IF(('Hampshire Daily'!Z32-'Hampshire Daily'!Z31&lt;0), "0",'Hampshire Daily'!Z32-'Hampshire Daily'!Z31)</f>
        <v>6.9999999996070983E-3</v>
      </c>
      <c r="X29" s="4">
        <f>IF(('Hampshire Daily'!AA32-'Hampshire Daily'!AA31&lt;0), "0",'Hampshire Daily'!AA32-'Hampshire Daily'!AA31)</f>
        <v>0</v>
      </c>
      <c r="Y29" s="4">
        <f>IF(('Hampshire Daily'!AB32-'Hampshire Daily'!AB31&lt;0), "0",'Hampshire Daily'!AB32-'Hampshire Daily'!AB31)</f>
        <v>8</v>
      </c>
      <c r="Z29" s="4">
        <f>'Hampshire Daily'!B32</f>
        <v>86</v>
      </c>
      <c r="AA29" s="4">
        <f>'Hampshire Daily'!C32</f>
        <v>238</v>
      </c>
    </row>
    <row r="30" spans="1:27" x14ac:dyDescent="0.25">
      <c r="A30" s="3" t="s">
        <v>12</v>
      </c>
      <c r="B30" s="1">
        <f t="shared" si="0"/>
        <v>29</v>
      </c>
      <c r="C30" s="17">
        <v>10</v>
      </c>
      <c r="D30" s="1">
        <v>2020</v>
      </c>
      <c r="E30" s="4">
        <f>IF(('Hampshire Daily'!D33-'Hampshire Daily'!D32&lt;0), "0",('Hampshire Daily'!D33-'Hampshire Daily'!D32)*1)</f>
        <v>2717</v>
      </c>
      <c r="F30" s="4">
        <f>IF(('Hampshire Daily'!F33-'Hampshire Daily'!F32&lt;0), "0",('Hampshire Daily'!F33-'Hampshire Daily'!F32)*1)</f>
        <v>2546</v>
      </c>
      <c r="G30" s="4">
        <f>IF(('Hampshire Daily'!H33-'Hampshire Daily'!H32&lt;0), "0",'Hampshire Daily'!H33-'Hampshire Daily'!H32)</f>
        <v>242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1741</v>
      </c>
      <c r="L30" s="4">
        <f>IF(('Hampshire Daily'!M33-'Hampshire Daily'!M32&lt;0), "0",'Hampshire Daily'!M33-'Hampshire Daily'!M32)</f>
        <v>126</v>
      </c>
      <c r="M30" s="4">
        <f>IF(('Hampshire Daily'!N33-'Hampshire Daily'!N32&lt;0), "0",'Hampshire Daily'!N33-'Hampshire Daily'!N32)</f>
        <v>2429</v>
      </c>
      <c r="N30" s="4">
        <f>IF(('Hampshire Daily'!O33-'Hampshire Daily'!O32&lt;0), "0",'Hampshire Daily'!O33-'Hampshire Daily'!O32)</f>
        <v>249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1040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7</v>
      </c>
      <c r="S30" s="4">
        <f>IF(('Hampshire Daily'!V33-'Hampshire Daily'!V32&lt;0), "0",'Hampshire Daily'!V33-'Hampshire Daily'!V32)</f>
        <v>0</v>
      </c>
      <c r="T30" s="4">
        <f>IF(('Hampshire Daily'!Y33-'Hampshire Daily'!Y32&lt;0), "0",'Hampshire Daily'!Y33-'Hampshire Daily'!Y32)</f>
        <v>3.6999999999920874E-2</v>
      </c>
      <c r="U30" s="4">
        <f>IF(('Hampshire Daily'!X33-'Hampshire Daily'!X32&lt;0), "0",'Hampshire Daily'!X33-'Hampshire Daily'!X32)</f>
        <v>0</v>
      </c>
      <c r="V30" s="4">
        <f>IF(('Hampshire Daily'!Y33-'Hampshire Daily'!Y32&lt;0), "0",'Hampshire Daily'!Y33-'Hampshire Daily'!Y32)</f>
        <v>3.6999999999920874E-2</v>
      </c>
      <c r="W30" s="4">
        <f>IF(('Hampshire Daily'!Z33-'Hampshire Daily'!Z32&lt;0), "0",'Hampshire Daily'!Z33-'Hampshire Daily'!Z32)</f>
        <v>5.0000000001091394E-3</v>
      </c>
      <c r="X30" s="4">
        <f>IF(('Hampshire Daily'!AA33-'Hampshire Daily'!AA32&lt;0), "0",'Hampshire Daily'!AA33-'Hampshire Daily'!AA32)</f>
        <v>0</v>
      </c>
      <c r="Y30" s="4">
        <f>IF(('Hampshire Daily'!AB33-'Hampshire Daily'!AB32&lt;0), "0",'Hampshire Daily'!AB33-'Hampshire Daily'!AB32)</f>
        <v>5</v>
      </c>
      <c r="Z30" s="4">
        <f>'Hampshire Daily'!B33</f>
        <v>92</v>
      </c>
      <c r="AA30" s="4">
        <f>'Hampshire Daily'!C33</f>
        <v>262</v>
      </c>
    </row>
    <row r="31" spans="1:27" x14ac:dyDescent="0.25">
      <c r="A31" s="3" t="s">
        <v>12</v>
      </c>
      <c r="B31" s="1">
        <f t="shared" si="0"/>
        <v>30</v>
      </c>
      <c r="C31" s="17">
        <v>10</v>
      </c>
      <c r="D31" s="1">
        <v>2020</v>
      </c>
      <c r="E31" s="4">
        <f>IF(('Hampshire Daily'!D34-'Hampshire Daily'!D33&lt;0), "0",('Hampshire Daily'!D34-'Hampshire Daily'!D33)*1)</f>
        <v>3164</v>
      </c>
      <c r="F31" s="4">
        <f>IF(('Hampshire Daily'!F34-'Hampshire Daily'!F33&lt;0), "0",('Hampshire Daily'!F34-'Hampshire Daily'!F33)*1)</f>
        <v>2021</v>
      </c>
      <c r="G31" s="4">
        <f>IF(('Hampshire Daily'!H34-'Hampshire Daily'!H33&lt;0), "0",'Hampshire Daily'!H34-'Hampshire Daily'!H33)</f>
        <v>0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938</v>
      </c>
      <c r="L31" s="4">
        <f>IF(('Hampshire Daily'!M34-'Hampshire Daily'!M33&lt;0), "0",'Hampshire Daily'!M34-'Hampshire Daily'!M33)</f>
        <v>0</v>
      </c>
      <c r="M31" s="4">
        <f>IF(('Hampshire Daily'!N34-'Hampshire Daily'!N33&lt;0), "0",'Hampshire Daily'!N34-'Hampshire Daily'!N33)</f>
        <v>2661</v>
      </c>
      <c r="N31" s="4">
        <f>IF(('Hampshire Daily'!O34-'Hampshire Daily'!O33&lt;0), "0",'Hampshire Daily'!O34-'Hampshire Daily'!O33)</f>
        <v>48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1499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9</v>
      </c>
      <c r="S31" s="4">
        <f>IF(('Hampshire Daily'!V34-'Hampshire Daily'!V33&lt;0), "0",'Hampshire Daily'!V34-'Hampshire Daily'!V33)</f>
        <v>0</v>
      </c>
      <c r="T31" s="4">
        <f>IF(('Hampshire Daily'!Y34-'Hampshire Daily'!Y33&lt;0), "0",'Hampshire Daily'!Y34-'Hampshire Daily'!Y33)</f>
        <v>1.3000000000033651E-2</v>
      </c>
      <c r="U31" s="4">
        <f>IF(('Hampshire Daily'!X34-'Hampshire Daily'!X33&lt;0), "0",'Hampshire Daily'!X34-'Hampshire Daily'!X33)</f>
        <v>0</v>
      </c>
      <c r="V31" s="4">
        <f>IF(('Hampshire Daily'!Y34-'Hampshire Daily'!Y33&lt;0), "0",'Hampshire Daily'!Y34-'Hampshire Daily'!Y33)</f>
        <v>1.3000000000033651E-2</v>
      </c>
      <c r="W31" s="4">
        <f>IF(('Hampshire Daily'!Z34-'Hampshire Daily'!Z33&lt;0), "0",'Hampshire Daily'!Z34-'Hampshire Daily'!Z33)</f>
        <v>3.9999999999054126E-3</v>
      </c>
      <c r="X31" s="4">
        <f>IF(('Hampshire Daily'!AA34-'Hampshire Daily'!AA33&lt;0), "0",'Hampshire Daily'!AA34-'Hampshire Daily'!AA33)</f>
        <v>0</v>
      </c>
      <c r="Y31" s="4">
        <f>IF(('Hampshire Daily'!AB34-'Hampshire Daily'!AB33&lt;0), "0",'Hampshire Daily'!AB34-'Hampshire Daily'!AB33)</f>
        <v>4</v>
      </c>
      <c r="Z31" s="4">
        <f>'Hampshire Daily'!B34</f>
        <v>106</v>
      </c>
      <c r="AA31" s="4">
        <f>'Hampshire Daily'!C34</f>
        <v>309</v>
      </c>
    </row>
    <row r="32" spans="1:27" x14ac:dyDescent="0.25">
      <c r="A32" s="3" t="s">
        <v>12</v>
      </c>
      <c r="B32" s="1">
        <f t="shared" si="0"/>
        <v>31</v>
      </c>
      <c r="C32" s="17">
        <v>10</v>
      </c>
      <c r="D32" s="1">
        <v>2020</v>
      </c>
      <c r="E32" s="4">
        <f>IF(('Hampshire Daily'!D35-'Hampshire Daily'!D34&lt;0), "0",('Hampshire Daily'!D35-'Hampshire Daily'!D34)*1)</f>
        <v>2768</v>
      </c>
      <c r="F32" s="4">
        <f>IF(('Hampshire Daily'!F35-'Hampshire Daily'!F34&lt;0), "0",('Hampshire Daily'!F35-'Hampshire Daily'!F34)*1)</f>
        <v>1838</v>
      </c>
      <c r="G32" s="4">
        <f>IF(('Hampshire Daily'!H35-'Hampshire Daily'!H34&lt;0), "0",'Hampshire Daily'!H35-'Hampshire Daily'!H34)</f>
        <v>0</v>
      </c>
      <c r="H32" s="4">
        <f>IF(('Hampshire Daily'!I35-'Hampshire Daily'!I34&lt;0), "0",'Hampshire Daily'!I35-'Hampshire Daily'!I34)</f>
        <v>6786982</v>
      </c>
      <c r="I32" s="4">
        <f>IF(('Hampshire Daily'!J35-'Hampshire Daily'!J34&lt;0), "0",'Hampshire Daily'!J35-'Hampshire Daily'!J34)</f>
        <v>31845</v>
      </c>
      <c r="J32" s="4">
        <f>IF(('Hampshire Daily'!K35-'Hampshire Daily'!K34&lt;0), "0",'Hampshire Daily'!K35-'Hampshire Daily'!K34)</f>
        <v>0</v>
      </c>
      <c r="K32" s="4">
        <f>IF(('Hampshire Daily'!L35-'Hampshire Daily'!L34&lt;0), "0",'Hampshire Daily'!L35-'Hampshire Daily'!L34)</f>
        <v>544</v>
      </c>
      <c r="L32" s="4">
        <f>IF(('Hampshire Daily'!M35-'Hampshire Daily'!M34&lt;0), "0",'Hampshire Daily'!M35-'Hampshire Daily'!M34)</f>
        <v>0</v>
      </c>
      <c r="M32" s="4">
        <f>IF(('Hampshire Daily'!N35-'Hampshire Daily'!N34&lt;0), "0",'Hampshire Daily'!N35-'Hampshire Daily'!N34)</f>
        <v>2419</v>
      </c>
      <c r="N32" s="4">
        <f>IF(('Hampshire Daily'!O35-'Hampshire Daily'!O34&lt;0), "0",'Hampshire Daily'!O35-'Hampshire Daily'!O34)</f>
        <v>33</v>
      </c>
      <c r="O32" s="4">
        <f>IF(('Hampshire Daily'!P35-'Hampshire Daily'!P34&lt;0), "0",'Hampshire Daily'!P35-'Hampshire Daily'!P34)</f>
        <v>0</v>
      </c>
      <c r="P32" s="4">
        <f>IF(('Hampshire Daily'!Q35-'Hampshire Daily'!Q34&lt;0), "0",'Hampshire Daily'!Q35-'Hampshire Daily'!Q34)</f>
        <v>1332</v>
      </c>
      <c r="Q32" s="4">
        <f>IF(('Hampshire Daily'!R35-'Hampshire Daily'!R34&lt;0), "0",'Hampshire Daily'!R35-'Hampshire Daily'!R34)</f>
        <v>0</v>
      </c>
      <c r="R32" s="4">
        <f>IF(('Hampshire Daily'!U35-'Hampshire Daily'!U34&lt;0), "0",'Hampshire Daily'!U35-'Hampshire Daily'!U34)</f>
        <v>8</v>
      </c>
      <c r="S32" s="4">
        <f>IF(('Hampshire Daily'!V35-'Hampshire Daily'!V34&lt;0), "0",'Hampshire Daily'!V35-'Hampshire Daily'!V34)</f>
        <v>1</v>
      </c>
      <c r="T32" s="4">
        <f>IF(('Hampshire Daily'!Y35-'Hampshire Daily'!Y34&lt;0), "0",'Hampshire Daily'!Y35-'Hampshire Daily'!Y34)</f>
        <v>8.0000000000381988E-3</v>
      </c>
      <c r="U32" s="4">
        <f>IF(('Hampshire Daily'!X35-'Hampshire Daily'!X34&lt;0), "0",'Hampshire Daily'!X35-'Hampshire Daily'!X34)</f>
        <v>0</v>
      </c>
      <c r="V32" s="4">
        <f>IF(('Hampshire Daily'!Y35-'Hampshire Daily'!Y34&lt;0), "0",'Hampshire Daily'!Y35-'Hampshire Daily'!Y34)</f>
        <v>8.0000000000381988E-3</v>
      </c>
      <c r="W32" s="4">
        <f>IF(('Hampshire Daily'!Z35-'Hampshire Daily'!Z34&lt;0), "0",'Hampshire Daily'!Z35-'Hampshire Daily'!Z34)</f>
        <v>4.0000000003601599E-3</v>
      </c>
      <c r="X32" s="4">
        <f>IF(('Hampshire Daily'!AA35-'Hampshire Daily'!AA34&lt;0), "0",'Hampshire Daily'!AA35-'Hampshire Daily'!AA34)</f>
        <v>0</v>
      </c>
      <c r="Y32" s="4">
        <f>IF(('Hampshire Daily'!AB35-'Hampshire Daily'!AB34&lt;0), "0",'Hampshire Daily'!AB35-'Hampshire Daily'!AB34)</f>
        <v>1</v>
      </c>
      <c r="Z32" s="4">
        <f>'Hampshire Daily'!B35</f>
        <v>91</v>
      </c>
      <c r="AA32" s="4">
        <f>'Hampshire Daily'!C35</f>
        <v>260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6"/>
  <sheetViews>
    <sheetView zoomScale="85" zoomScaleNormal="85" workbookViewId="0">
      <pane xSplit="1" topLeftCell="B1" activePane="topRight" state="frozen"/>
      <selection pane="topRight" activeCell="L14" sqref="L14"/>
    </sheetView>
  </sheetViews>
  <sheetFormatPr defaultRowHeight="15" x14ac:dyDescent="0.25"/>
  <cols>
    <col min="1" max="1" width="8.85546875" style="16" customWidth="1"/>
    <col min="2" max="3" width="8.85546875" style="25" customWidth="1"/>
    <col min="26" max="26" width="10.42578125" style="21" bestFit="1" customWidth="1"/>
    <col min="27" max="27" width="10.28515625" customWidth="1"/>
  </cols>
  <sheetData>
    <row r="1" spans="1:29" x14ac:dyDescent="0.25">
      <c r="A1" s="50"/>
      <c r="B1" s="24"/>
      <c r="C1" s="24"/>
      <c r="D1" s="53" t="s">
        <v>36</v>
      </c>
      <c r="E1" s="53"/>
      <c r="F1" s="53"/>
      <c r="G1" s="53"/>
      <c r="H1" s="53"/>
      <c r="I1" s="53"/>
      <c r="J1" s="53"/>
      <c r="K1" s="53"/>
      <c r="L1" s="53"/>
      <c r="M1" s="53"/>
      <c r="N1" s="46" t="s">
        <v>37</v>
      </c>
      <c r="O1" s="39" t="s">
        <v>38</v>
      </c>
      <c r="P1" s="31"/>
      <c r="Q1" s="31"/>
      <c r="R1" s="31"/>
      <c r="S1" s="39" t="s">
        <v>39</v>
      </c>
      <c r="T1" s="40"/>
      <c r="U1" s="39" t="s">
        <v>40</v>
      </c>
      <c r="V1" s="39" t="s">
        <v>41</v>
      </c>
      <c r="W1" s="31"/>
      <c r="X1" s="39" t="s">
        <v>42</v>
      </c>
      <c r="Y1" s="39" t="s">
        <v>43</v>
      </c>
      <c r="Z1" s="57" t="s">
        <v>44</v>
      </c>
      <c r="AA1" s="39" t="s">
        <v>45</v>
      </c>
      <c r="AB1" s="49" t="s">
        <v>46</v>
      </c>
    </row>
    <row r="2" spans="1:29" x14ac:dyDescent="0.25">
      <c r="A2" s="51"/>
      <c r="B2" s="55" t="s">
        <v>47</v>
      </c>
      <c r="C2" s="55" t="s">
        <v>48</v>
      </c>
      <c r="D2" s="44" t="s">
        <v>49</v>
      </c>
      <c r="E2" s="44" t="s">
        <v>50</v>
      </c>
      <c r="F2" s="44" t="s">
        <v>51</v>
      </c>
      <c r="G2" s="44" t="s">
        <v>52</v>
      </c>
      <c r="H2" s="44" t="s">
        <v>53</v>
      </c>
      <c r="I2" s="44" t="s">
        <v>54</v>
      </c>
      <c r="J2" s="44" t="s">
        <v>55</v>
      </c>
      <c r="K2" s="44" t="s">
        <v>56</v>
      </c>
      <c r="L2" s="44" t="s">
        <v>57</v>
      </c>
      <c r="M2" s="44" t="s">
        <v>58</v>
      </c>
      <c r="N2" s="47"/>
      <c r="O2" s="39"/>
      <c r="P2" s="31" t="s">
        <v>59</v>
      </c>
      <c r="Q2" s="31" t="s">
        <v>59</v>
      </c>
      <c r="R2" s="31" t="s">
        <v>59</v>
      </c>
      <c r="S2" s="39"/>
      <c r="T2" s="40"/>
      <c r="U2" s="39"/>
      <c r="V2" s="39"/>
      <c r="W2" s="39" t="s">
        <v>60</v>
      </c>
      <c r="X2" s="39"/>
      <c r="Y2" s="39"/>
      <c r="Z2" s="57"/>
      <c r="AA2" s="39"/>
      <c r="AB2" s="49"/>
    </row>
    <row r="3" spans="1:29" ht="27" customHeight="1" thickBot="1" x14ac:dyDescent="0.3">
      <c r="A3" s="52"/>
      <c r="B3" s="56"/>
      <c r="C3" s="56"/>
      <c r="D3" s="59"/>
      <c r="E3" s="59"/>
      <c r="F3" s="59"/>
      <c r="G3" s="59"/>
      <c r="H3" s="45"/>
      <c r="I3" s="45"/>
      <c r="J3" s="45"/>
      <c r="K3" s="45"/>
      <c r="L3" s="45"/>
      <c r="M3" s="54"/>
      <c r="N3" s="48"/>
      <c r="O3" s="42"/>
      <c r="P3" s="33">
        <v>2</v>
      </c>
      <c r="Q3" s="33">
        <v>3</v>
      </c>
      <c r="R3" s="33">
        <v>4</v>
      </c>
      <c r="S3" s="41"/>
      <c r="T3" s="41"/>
      <c r="U3" s="42"/>
      <c r="V3" s="42"/>
      <c r="W3" s="43"/>
      <c r="X3" s="43"/>
      <c r="Y3" s="43"/>
      <c r="Z3" s="58"/>
      <c r="AA3" s="43"/>
      <c r="AB3" s="49"/>
    </row>
    <row r="4" spans="1:29" s="19" customFormat="1" ht="19.7" customHeight="1" x14ac:dyDescent="0.25">
      <c r="A4" s="22" t="s">
        <v>61</v>
      </c>
      <c r="B4" s="27">
        <v>33</v>
      </c>
      <c r="C4" s="27">
        <v>70</v>
      </c>
      <c r="D4" s="20">
        <v>932132</v>
      </c>
      <c r="E4" s="20">
        <v>934640</v>
      </c>
      <c r="F4" s="20">
        <v>183018</v>
      </c>
      <c r="G4" s="20">
        <v>182243</v>
      </c>
      <c r="H4" s="20">
        <v>166826</v>
      </c>
      <c r="I4" s="27"/>
      <c r="J4" s="27"/>
      <c r="K4" s="27"/>
      <c r="L4" s="20">
        <v>542253</v>
      </c>
      <c r="M4" s="20">
        <v>2619630</v>
      </c>
      <c r="N4" s="20">
        <v>463356</v>
      </c>
      <c r="O4" s="20">
        <v>339728</v>
      </c>
      <c r="P4" s="20">
        <v>1471360</v>
      </c>
      <c r="Q4" s="20">
        <v>516834</v>
      </c>
      <c r="R4" s="20">
        <v>667</v>
      </c>
      <c r="S4" s="20">
        <v>321987</v>
      </c>
      <c r="T4" s="20">
        <v>21366</v>
      </c>
      <c r="U4" s="20">
        <v>49617</v>
      </c>
      <c r="V4" s="20">
        <v>30216</v>
      </c>
      <c r="W4" s="20"/>
      <c r="X4" s="20">
        <v>422.065</v>
      </c>
      <c r="Y4" s="20">
        <v>855.375</v>
      </c>
      <c r="Z4" s="20">
        <v>3880.7820000000002</v>
      </c>
      <c r="AA4" s="35"/>
      <c r="AB4" s="35"/>
    </row>
    <row r="5" spans="1:29" x14ac:dyDescent="0.25">
      <c r="A5" s="23">
        <v>44105</v>
      </c>
      <c r="B5" s="27">
        <v>58</v>
      </c>
      <c r="C5" s="28">
        <v>115</v>
      </c>
      <c r="D5" s="36">
        <v>932646</v>
      </c>
      <c r="E5" s="36">
        <v>935155</v>
      </c>
      <c r="F5" s="36">
        <v>183446</v>
      </c>
      <c r="G5" s="36">
        <v>182669</v>
      </c>
      <c r="H5" s="36">
        <v>167671</v>
      </c>
      <c r="I5" s="36"/>
      <c r="J5" s="36"/>
      <c r="K5" s="36"/>
      <c r="L5" s="36">
        <v>543843</v>
      </c>
      <c r="M5" s="36">
        <v>2620130</v>
      </c>
      <c r="N5" s="36">
        <v>464414</v>
      </c>
      <c r="O5" s="36">
        <v>339969</v>
      </c>
      <c r="P5" s="36">
        <v>1471360</v>
      </c>
      <c r="Q5" s="36">
        <v>517539</v>
      </c>
      <c r="R5" s="32">
        <v>670</v>
      </c>
      <c r="S5" s="36">
        <v>321969</v>
      </c>
      <c r="T5" s="36">
        <v>21397</v>
      </c>
      <c r="U5" s="36">
        <v>49627</v>
      </c>
      <c r="V5" s="36">
        <v>30229</v>
      </c>
      <c r="W5" s="26"/>
      <c r="X5" s="36">
        <v>424.84199999999998</v>
      </c>
      <c r="Y5" s="36">
        <v>855.34699999999998</v>
      </c>
      <c r="Z5" s="36">
        <v>3880.8110000000001</v>
      </c>
      <c r="AA5" s="36">
        <v>1806</v>
      </c>
      <c r="AB5" s="37">
        <v>375</v>
      </c>
    </row>
    <row r="6" spans="1:29" x14ac:dyDescent="0.25">
      <c r="A6" s="23">
        <v>44106</v>
      </c>
      <c r="B6" s="27">
        <v>73</v>
      </c>
      <c r="C6" s="28">
        <v>178</v>
      </c>
      <c r="D6" s="36">
        <v>932874</v>
      </c>
      <c r="E6" s="36">
        <v>935383</v>
      </c>
      <c r="F6" s="36">
        <v>183919</v>
      </c>
      <c r="G6" s="36">
        <v>183141</v>
      </c>
      <c r="H6" s="36">
        <v>168466</v>
      </c>
      <c r="I6" s="36"/>
      <c r="J6" s="36"/>
      <c r="K6" s="36"/>
      <c r="L6" s="36">
        <f t="shared" ref="L6:L11" si="0">L5+938</f>
        <v>544781</v>
      </c>
      <c r="M6" s="36">
        <v>2620130</v>
      </c>
      <c r="N6" s="36">
        <v>466267</v>
      </c>
      <c r="O6" s="36">
        <v>340045</v>
      </c>
      <c r="P6" s="36">
        <v>1471360</v>
      </c>
      <c r="Q6" s="36">
        <v>518602</v>
      </c>
      <c r="R6" s="32">
        <v>670</v>
      </c>
      <c r="S6" s="36">
        <v>322015</v>
      </c>
      <c r="T6" s="36">
        <v>21472</v>
      </c>
      <c r="U6" s="36">
        <v>49638</v>
      </c>
      <c r="V6" s="36">
        <v>30229</v>
      </c>
      <c r="W6" s="26"/>
      <c r="X6" s="36">
        <v>426.851</v>
      </c>
      <c r="Y6" s="36">
        <v>855.63300000000004</v>
      </c>
      <c r="Z6" s="36">
        <v>3880.819</v>
      </c>
      <c r="AA6" s="36">
        <v>1829</v>
      </c>
      <c r="AB6" s="37">
        <v>381</v>
      </c>
    </row>
    <row r="7" spans="1:29" x14ac:dyDescent="0.25">
      <c r="A7" s="23">
        <v>44107</v>
      </c>
      <c r="B7" s="27">
        <v>94</v>
      </c>
      <c r="C7" s="28">
        <v>225</v>
      </c>
      <c r="D7" s="36">
        <v>933112</v>
      </c>
      <c r="E7" s="36">
        <v>935622</v>
      </c>
      <c r="F7" s="36">
        <v>184425</v>
      </c>
      <c r="G7" s="36">
        <v>183647</v>
      </c>
      <c r="H7" s="36">
        <v>169242</v>
      </c>
      <c r="I7" s="36"/>
      <c r="J7" s="36"/>
      <c r="K7" s="36"/>
      <c r="L7" s="36">
        <f t="shared" si="0"/>
        <v>545719</v>
      </c>
      <c r="M7" s="36">
        <v>2620130</v>
      </c>
      <c r="N7" s="36">
        <v>468358</v>
      </c>
      <c r="O7" s="36">
        <f>O6+128</f>
        <v>340173</v>
      </c>
      <c r="P7" s="36">
        <v>1471360</v>
      </c>
      <c r="Q7" s="36">
        <v>519708</v>
      </c>
      <c r="R7" s="32">
        <v>670</v>
      </c>
      <c r="S7" s="36">
        <v>322079</v>
      </c>
      <c r="T7" s="36">
        <v>21552</v>
      </c>
      <c r="U7" s="36">
        <v>49650</v>
      </c>
      <c r="V7" s="36">
        <v>30229</v>
      </c>
      <c r="W7" s="26"/>
      <c r="X7" s="36">
        <v>428.90499999999997</v>
      </c>
      <c r="Y7" s="36">
        <v>855.65499999999997</v>
      </c>
      <c r="Z7" s="36">
        <v>3880.8240000000001</v>
      </c>
      <c r="AA7" s="36">
        <v>1860</v>
      </c>
      <c r="AB7" s="37">
        <v>388</v>
      </c>
    </row>
    <row r="8" spans="1:29" x14ac:dyDescent="0.25">
      <c r="A8" s="23">
        <v>44108</v>
      </c>
      <c r="B8" s="27">
        <v>28</v>
      </c>
      <c r="C8" s="28">
        <v>70</v>
      </c>
      <c r="D8" s="36">
        <v>933378</v>
      </c>
      <c r="E8" s="36">
        <v>935887</v>
      </c>
      <c r="F8" s="36">
        <v>184986</v>
      </c>
      <c r="G8" s="36">
        <v>184207</v>
      </c>
      <c r="H8" s="36">
        <f>H7+363</f>
        <v>169605</v>
      </c>
      <c r="I8" s="36"/>
      <c r="J8" s="36"/>
      <c r="K8" s="36"/>
      <c r="L8" s="36">
        <f t="shared" si="0"/>
        <v>546657</v>
      </c>
      <c r="M8" s="36">
        <v>2620130</v>
      </c>
      <c r="N8" s="36">
        <v>470726</v>
      </c>
      <c r="O8" s="36">
        <f>O7+128</f>
        <v>340301</v>
      </c>
      <c r="P8" s="36">
        <v>1471360</v>
      </c>
      <c r="Q8" s="36">
        <v>520927</v>
      </c>
      <c r="R8" s="32">
        <v>670</v>
      </c>
      <c r="S8" s="36">
        <v>322170</v>
      </c>
      <c r="T8" s="36">
        <v>21652</v>
      </c>
      <c r="U8" s="36">
        <v>49661</v>
      </c>
      <c r="V8" s="36">
        <v>30229</v>
      </c>
      <c r="W8" s="26"/>
      <c r="X8" s="36">
        <v>430.959</v>
      </c>
      <c r="Y8" s="36">
        <v>855.68</v>
      </c>
      <c r="Z8" s="36">
        <v>3880.8380000000002</v>
      </c>
      <c r="AA8" s="36">
        <f>AA7+23</f>
        <v>1883</v>
      </c>
      <c r="AB8" s="37">
        <v>369</v>
      </c>
    </row>
    <row r="9" spans="1:29" x14ac:dyDescent="0.25">
      <c r="A9" s="23">
        <v>44109</v>
      </c>
      <c r="B9" s="27">
        <v>19</v>
      </c>
      <c r="C9" s="28">
        <v>53</v>
      </c>
      <c r="D9" s="36">
        <v>933551</v>
      </c>
      <c r="E9" s="36">
        <v>936061</v>
      </c>
      <c r="F9" s="36">
        <v>185402</v>
      </c>
      <c r="G9" s="36">
        <v>184623</v>
      </c>
      <c r="H9" s="36">
        <v>170861</v>
      </c>
      <c r="I9" s="36"/>
      <c r="J9" s="36"/>
      <c r="K9" s="36"/>
      <c r="L9" s="36">
        <f t="shared" si="0"/>
        <v>547595</v>
      </c>
      <c r="M9" s="36">
        <v>2620310</v>
      </c>
      <c r="N9" s="36">
        <v>472611</v>
      </c>
      <c r="O9" s="36">
        <v>340540</v>
      </c>
      <c r="P9" s="36">
        <v>1471360</v>
      </c>
      <c r="Q9" s="36">
        <v>521744</v>
      </c>
      <c r="R9" s="36">
        <v>670</v>
      </c>
      <c r="S9" s="36">
        <v>322248</v>
      </c>
      <c r="T9" s="36">
        <v>21738</v>
      </c>
      <c r="U9" s="36">
        <v>49673</v>
      </c>
      <c r="V9" s="36">
        <v>30232</v>
      </c>
      <c r="W9" s="26"/>
      <c r="X9" s="36">
        <v>433.03500000000003</v>
      </c>
      <c r="Y9" s="36">
        <v>855.70500000000004</v>
      </c>
      <c r="Z9" s="36">
        <v>3880.848</v>
      </c>
      <c r="AA9" s="36">
        <v>1898</v>
      </c>
      <c r="AB9" s="37">
        <v>405</v>
      </c>
    </row>
    <row r="10" spans="1:29" x14ac:dyDescent="0.25">
      <c r="A10" s="23">
        <v>44110</v>
      </c>
      <c r="B10" s="27">
        <v>34</v>
      </c>
      <c r="C10" s="28">
        <v>73</v>
      </c>
      <c r="D10" s="36">
        <v>933749</v>
      </c>
      <c r="E10" s="36">
        <v>936259</v>
      </c>
      <c r="F10" s="36">
        <v>185868</v>
      </c>
      <c r="G10" s="36">
        <v>185089</v>
      </c>
      <c r="H10" s="36">
        <v>171666</v>
      </c>
      <c r="I10" s="36"/>
      <c r="J10" s="36"/>
      <c r="K10" s="36"/>
      <c r="L10" s="36">
        <f t="shared" si="0"/>
        <v>548533</v>
      </c>
      <c r="M10" s="36">
        <v>2620133</v>
      </c>
      <c r="N10" s="36">
        <v>474592</v>
      </c>
      <c r="O10" s="36">
        <v>340632</v>
      </c>
      <c r="P10" s="36">
        <v>1471360</v>
      </c>
      <c r="Q10" s="36">
        <v>522807</v>
      </c>
      <c r="R10" s="36">
        <v>670</v>
      </c>
      <c r="S10" s="36">
        <v>322295</v>
      </c>
      <c r="T10" s="36">
        <v>21802</v>
      </c>
      <c r="U10" s="36">
        <v>49683</v>
      </c>
      <c r="V10" s="36">
        <v>30233</v>
      </c>
      <c r="W10" s="26"/>
      <c r="X10" s="36">
        <v>435.13900000000001</v>
      </c>
      <c r="Y10" s="36">
        <v>855.70799999999997</v>
      </c>
      <c r="Z10" s="36">
        <v>3880.857</v>
      </c>
      <c r="AA10" s="36">
        <v>1922</v>
      </c>
      <c r="AB10" s="37">
        <v>413</v>
      </c>
      <c r="AC10" s="29"/>
    </row>
    <row r="11" spans="1:29" x14ac:dyDescent="0.25">
      <c r="A11" s="23">
        <v>44111</v>
      </c>
      <c r="B11" s="27">
        <v>27</v>
      </c>
      <c r="C11" s="28">
        <v>64</v>
      </c>
      <c r="D11" s="36">
        <v>934028</v>
      </c>
      <c r="E11" s="36">
        <v>936538</v>
      </c>
      <c r="F11" s="36">
        <v>186332</v>
      </c>
      <c r="G11" s="36">
        <v>185553</v>
      </c>
      <c r="H11" s="36">
        <v>172507</v>
      </c>
      <c r="I11" s="36"/>
      <c r="J11" s="36"/>
      <c r="K11" s="36"/>
      <c r="L11" s="36">
        <f t="shared" si="0"/>
        <v>549471</v>
      </c>
      <c r="M11" s="36">
        <v>2620311</v>
      </c>
      <c r="N11" s="36">
        <v>476435</v>
      </c>
      <c r="O11" s="36">
        <v>340746</v>
      </c>
      <c r="P11" s="36">
        <v>1471360</v>
      </c>
      <c r="Q11" s="36">
        <v>523861</v>
      </c>
      <c r="R11" s="36">
        <v>670</v>
      </c>
      <c r="S11" s="36">
        <v>322352</v>
      </c>
      <c r="T11" s="36">
        <v>21870</v>
      </c>
      <c r="U11" s="36">
        <v>49691</v>
      </c>
      <c r="V11" s="36">
        <v>30234</v>
      </c>
      <c r="W11" s="26"/>
      <c r="X11" s="36">
        <v>437.238</v>
      </c>
      <c r="Y11" s="36">
        <v>855.72799999999995</v>
      </c>
      <c r="Z11" s="36">
        <v>3880.866</v>
      </c>
      <c r="AA11" s="36">
        <v>1945</v>
      </c>
      <c r="AB11" s="37">
        <v>417</v>
      </c>
      <c r="AC11" s="29"/>
    </row>
    <row r="12" spans="1:29" x14ac:dyDescent="0.25">
      <c r="A12" s="23">
        <v>44112</v>
      </c>
      <c r="B12" s="27">
        <v>38</v>
      </c>
      <c r="C12" s="28">
        <v>92</v>
      </c>
      <c r="D12" s="36">
        <v>934219</v>
      </c>
      <c r="E12" s="36">
        <v>936729</v>
      </c>
      <c r="F12" s="36">
        <v>186816</v>
      </c>
      <c r="G12" s="36">
        <v>186037</v>
      </c>
      <c r="H12" s="36">
        <f>H11+363</f>
        <v>172870</v>
      </c>
      <c r="I12" s="36"/>
      <c r="J12" s="36"/>
      <c r="K12" s="36"/>
      <c r="L12" s="36">
        <v>550865</v>
      </c>
      <c r="M12" s="36">
        <v>2620313</v>
      </c>
      <c r="N12" s="36">
        <v>478335</v>
      </c>
      <c r="O12" s="36">
        <v>340887</v>
      </c>
      <c r="P12" s="36">
        <v>1471360</v>
      </c>
      <c r="Q12" s="36">
        <v>524927</v>
      </c>
      <c r="R12" s="36">
        <v>670</v>
      </c>
      <c r="S12" s="36">
        <v>322407</v>
      </c>
      <c r="T12" s="36">
        <v>21936</v>
      </c>
      <c r="U12" s="36">
        <v>49700</v>
      </c>
      <c r="V12" s="36">
        <v>30255</v>
      </c>
      <c r="W12" s="26"/>
      <c r="X12" s="36">
        <v>439.31900000000002</v>
      </c>
      <c r="Y12" s="36">
        <v>855.73699999999997</v>
      </c>
      <c r="Z12" s="36">
        <v>3880.877</v>
      </c>
      <c r="AA12" s="36">
        <v>1968</v>
      </c>
      <c r="AB12" s="37">
        <v>422</v>
      </c>
      <c r="AC12" s="29"/>
    </row>
    <row r="13" spans="1:29" x14ac:dyDescent="0.25">
      <c r="A13" s="23">
        <v>44113</v>
      </c>
      <c r="B13" s="27">
        <v>83</v>
      </c>
      <c r="C13" s="28">
        <v>190</v>
      </c>
      <c r="D13" s="36">
        <v>934436</v>
      </c>
      <c r="E13" s="36">
        <v>936947</v>
      </c>
      <c r="F13" s="36">
        <v>187300</v>
      </c>
      <c r="G13" s="36">
        <v>186520</v>
      </c>
      <c r="H13" s="36">
        <v>174172</v>
      </c>
      <c r="I13" s="36"/>
      <c r="J13" s="36"/>
      <c r="K13" s="36"/>
      <c r="L13" s="36">
        <v>551884</v>
      </c>
      <c r="M13" s="36">
        <v>2620337</v>
      </c>
      <c r="N13" s="36">
        <v>480319</v>
      </c>
      <c r="O13" s="36">
        <v>340995</v>
      </c>
      <c r="P13" s="36">
        <v>1471360</v>
      </c>
      <c r="Q13" s="36">
        <v>526093</v>
      </c>
      <c r="R13" s="36">
        <v>670</v>
      </c>
      <c r="S13" s="36">
        <v>322462</v>
      </c>
      <c r="T13" s="36">
        <v>22005</v>
      </c>
      <c r="U13" s="36">
        <v>49708</v>
      </c>
      <c r="V13" s="36">
        <v>30256</v>
      </c>
      <c r="W13" s="26"/>
      <c r="X13" s="36">
        <v>441.49900000000002</v>
      </c>
      <c r="Y13" s="36">
        <v>856.59799999999996</v>
      </c>
      <c r="Z13" s="36">
        <v>3880.89</v>
      </c>
      <c r="AA13" s="36">
        <v>1991</v>
      </c>
      <c r="AB13" s="37">
        <v>425</v>
      </c>
      <c r="AC13" s="29"/>
    </row>
    <row r="14" spans="1:29" x14ac:dyDescent="0.25">
      <c r="A14" s="23">
        <v>44114</v>
      </c>
      <c r="B14" s="27">
        <v>108</v>
      </c>
      <c r="C14" s="28">
        <v>268</v>
      </c>
      <c r="D14" s="36">
        <v>934662</v>
      </c>
      <c r="E14" s="36">
        <v>937173</v>
      </c>
      <c r="F14" s="36">
        <v>187811</v>
      </c>
      <c r="G14" s="36">
        <v>187031</v>
      </c>
      <c r="H14" s="36">
        <v>175001</v>
      </c>
      <c r="I14" s="36"/>
      <c r="J14" s="36"/>
      <c r="K14" s="36"/>
      <c r="L14" s="36">
        <f>L13+938</f>
        <v>552822</v>
      </c>
      <c r="M14" s="36">
        <v>2620337</v>
      </c>
      <c r="N14" s="36">
        <v>482663</v>
      </c>
      <c r="O14" s="36">
        <v>341127</v>
      </c>
      <c r="P14" s="36">
        <v>1471360</v>
      </c>
      <c r="Q14" s="36">
        <v>527187</v>
      </c>
      <c r="R14" s="36">
        <v>670</v>
      </c>
      <c r="S14" s="36">
        <v>322541</v>
      </c>
      <c r="T14" s="36">
        <v>22094</v>
      </c>
      <c r="U14" s="36">
        <v>49718</v>
      </c>
      <c r="V14" s="36">
        <v>30256</v>
      </c>
      <c r="W14" s="26"/>
      <c r="X14" s="36">
        <v>443.779</v>
      </c>
      <c r="Y14" s="36">
        <v>856.76900000000001</v>
      </c>
      <c r="Z14" s="36">
        <v>3880.9009999999998</v>
      </c>
      <c r="AA14" s="36">
        <v>2016</v>
      </c>
      <c r="AB14" s="37">
        <v>432</v>
      </c>
      <c r="AC14" s="29"/>
    </row>
    <row r="15" spans="1:29" x14ac:dyDescent="0.25">
      <c r="A15" s="23">
        <v>44115</v>
      </c>
      <c r="B15" s="27">
        <v>57</v>
      </c>
      <c r="C15" s="28">
        <v>144</v>
      </c>
      <c r="D15" s="36">
        <v>934899</v>
      </c>
      <c r="E15" s="36">
        <v>937410</v>
      </c>
      <c r="F15" s="36">
        <v>188319</v>
      </c>
      <c r="G15" s="36">
        <v>187539</v>
      </c>
      <c r="H15" s="36">
        <v>175833</v>
      </c>
      <c r="I15" s="36"/>
      <c r="J15" s="36"/>
      <c r="K15" s="36"/>
      <c r="L15" s="36">
        <f>L14+938</f>
        <v>553760</v>
      </c>
      <c r="M15" s="36">
        <v>2620338</v>
      </c>
      <c r="N15" s="36">
        <v>485182</v>
      </c>
      <c r="O15" s="36">
        <v>341217</v>
      </c>
      <c r="P15" s="36">
        <v>1471360</v>
      </c>
      <c r="Q15" s="36">
        <v>528437</v>
      </c>
      <c r="R15" s="36">
        <v>670</v>
      </c>
      <c r="S15" s="36">
        <v>322637</v>
      </c>
      <c r="T15" s="36">
        <v>22196</v>
      </c>
      <c r="U15" s="36">
        <v>49728</v>
      </c>
      <c r="V15" s="36">
        <v>30257</v>
      </c>
      <c r="W15" s="26"/>
      <c r="X15" s="36">
        <v>446.03899999999999</v>
      </c>
      <c r="Y15" s="36">
        <v>856.822</v>
      </c>
      <c r="Z15" s="36">
        <v>3880.9090000000001</v>
      </c>
      <c r="AA15" s="36">
        <v>2039</v>
      </c>
      <c r="AB15" s="37">
        <v>437</v>
      </c>
      <c r="AC15" s="29"/>
    </row>
    <row r="16" spans="1:29" x14ac:dyDescent="0.25">
      <c r="A16" s="23">
        <v>44116</v>
      </c>
      <c r="B16" s="27">
        <v>37</v>
      </c>
      <c r="C16" s="28">
        <v>92</v>
      </c>
      <c r="D16" s="36">
        <v>935113</v>
      </c>
      <c r="E16" s="36">
        <v>937624</v>
      </c>
      <c r="F16" s="36">
        <v>188805</v>
      </c>
      <c r="G16" s="36">
        <v>188025</v>
      </c>
      <c r="H16" s="36">
        <v>176682</v>
      </c>
      <c r="I16" s="36"/>
      <c r="J16" s="36"/>
      <c r="K16" s="36"/>
      <c r="L16" s="36">
        <v>555250</v>
      </c>
      <c r="M16" s="36">
        <v>2620340</v>
      </c>
      <c r="N16" s="36">
        <v>487502</v>
      </c>
      <c r="O16" s="36">
        <v>341435</v>
      </c>
      <c r="P16" s="36">
        <v>1471360</v>
      </c>
      <c r="Q16" s="36">
        <v>529620</v>
      </c>
      <c r="R16" s="36">
        <v>670</v>
      </c>
      <c r="S16" s="36">
        <v>322730</v>
      </c>
      <c r="T16" s="36">
        <v>22295</v>
      </c>
      <c r="U16" s="36">
        <v>49738</v>
      </c>
      <c r="V16" s="36">
        <v>30265</v>
      </c>
      <c r="W16" s="26"/>
      <c r="X16" s="36">
        <v>448.31099999999998</v>
      </c>
      <c r="Y16" s="36">
        <v>856.83500000000004</v>
      </c>
      <c r="Z16" s="36">
        <v>3880.9180000000001</v>
      </c>
      <c r="AA16" s="36">
        <v>2060</v>
      </c>
      <c r="AB16" s="37">
        <v>445</v>
      </c>
      <c r="AC16" s="29"/>
    </row>
    <row r="17" spans="1:30" x14ac:dyDescent="0.25">
      <c r="A17" s="23">
        <v>44117</v>
      </c>
      <c r="B17" s="27">
        <v>30</v>
      </c>
      <c r="C17" s="28">
        <v>70</v>
      </c>
      <c r="D17" s="36">
        <v>935348</v>
      </c>
      <c r="E17" s="36">
        <v>937859</v>
      </c>
      <c r="F17" s="36">
        <v>190077</v>
      </c>
      <c r="G17" s="36">
        <v>189297</v>
      </c>
      <c r="H17" s="36">
        <v>178517</v>
      </c>
      <c r="I17" s="36">
        <v>1272</v>
      </c>
      <c r="J17" s="36"/>
      <c r="K17" s="36"/>
      <c r="L17" s="36">
        <f>L16+938</f>
        <v>556188</v>
      </c>
      <c r="M17" s="36">
        <v>2620340</v>
      </c>
      <c r="N17" s="36">
        <v>489826</v>
      </c>
      <c r="O17" s="36">
        <f>O16+128</f>
        <v>341563</v>
      </c>
      <c r="P17" s="36">
        <v>1471360</v>
      </c>
      <c r="Q17" s="36">
        <v>530734</v>
      </c>
      <c r="R17" s="36">
        <v>670</v>
      </c>
      <c r="S17" s="36">
        <v>322808</v>
      </c>
      <c r="T17" s="36">
        <v>23377</v>
      </c>
      <c r="U17" s="36">
        <v>49749</v>
      </c>
      <c r="V17" s="36">
        <v>30265</v>
      </c>
      <c r="W17" s="26"/>
      <c r="X17" s="36">
        <v>450.61599999999999</v>
      </c>
      <c r="Y17" s="36">
        <v>856.91</v>
      </c>
      <c r="Z17" s="36">
        <v>3880.9259999999999</v>
      </c>
      <c r="AA17" s="36">
        <f>AA16</f>
        <v>2060</v>
      </c>
      <c r="AB17" s="37">
        <v>455</v>
      </c>
      <c r="AC17" s="29"/>
    </row>
    <row r="18" spans="1:30" x14ac:dyDescent="0.25">
      <c r="A18" s="22">
        <v>44118</v>
      </c>
      <c r="B18" s="27">
        <v>32</v>
      </c>
      <c r="C18" s="28">
        <v>81</v>
      </c>
      <c r="D18" s="36">
        <v>1813</v>
      </c>
      <c r="E18" s="36">
        <v>1817</v>
      </c>
      <c r="F18" s="36">
        <v>3525</v>
      </c>
      <c r="G18" s="36">
        <v>3522</v>
      </c>
      <c r="H18" s="36">
        <f>H17+363</f>
        <v>178880</v>
      </c>
      <c r="I18" s="36"/>
      <c r="J18" s="36"/>
      <c r="K18" s="36"/>
      <c r="L18" s="36">
        <f>L17+938</f>
        <v>557126</v>
      </c>
      <c r="M18" s="36">
        <v>2620340</v>
      </c>
      <c r="N18" s="36">
        <v>492553</v>
      </c>
      <c r="O18" s="36">
        <v>341744</v>
      </c>
      <c r="P18" s="36">
        <v>1471360</v>
      </c>
      <c r="Q18" s="36">
        <v>531740</v>
      </c>
      <c r="R18" s="36">
        <v>670</v>
      </c>
      <c r="S18" s="36">
        <v>322870</v>
      </c>
      <c r="T18" s="36">
        <v>22452</v>
      </c>
      <c r="U18" s="36">
        <v>49758</v>
      </c>
      <c r="V18" s="36">
        <v>30226</v>
      </c>
      <c r="W18" s="26"/>
      <c r="X18" s="36">
        <v>453.02</v>
      </c>
      <c r="Y18" s="36">
        <v>856.94100000000003</v>
      </c>
      <c r="Z18" s="36">
        <v>3880.9340000000002</v>
      </c>
      <c r="AA18" s="36">
        <f>AA17+23</f>
        <v>2083</v>
      </c>
      <c r="AB18" s="37">
        <v>467</v>
      </c>
      <c r="AC18" s="29"/>
    </row>
    <row r="19" spans="1:30" x14ac:dyDescent="0.25">
      <c r="A19" s="23">
        <v>44119</v>
      </c>
      <c r="B19" s="27">
        <v>52</v>
      </c>
      <c r="C19" s="28">
        <v>115</v>
      </c>
      <c r="D19" s="36">
        <v>4295</v>
      </c>
      <c r="E19" s="36">
        <v>4303</v>
      </c>
      <c r="F19" s="36">
        <v>8508</v>
      </c>
      <c r="G19" s="36">
        <v>8498</v>
      </c>
      <c r="H19" s="36">
        <v>179244</v>
      </c>
      <c r="I19" s="36"/>
      <c r="J19" s="36"/>
      <c r="K19" s="36"/>
      <c r="L19" s="36">
        <f>L18+938</f>
        <v>558064</v>
      </c>
      <c r="M19" s="36">
        <v>2620340</v>
      </c>
      <c r="N19" s="36">
        <v>494333</v>
      </c>
      <c r="O19" s="36">
        <f t="shared" ref="O19:O24" si="1">O18+128</f>
        <v>341872</v>
      </c>
      <c r="P19" s="36">
        <v>1471360</v>
      </c>
      <c r="Q19" s="36">
        <v>532792</v>
      </c>
      <c r="R19" s="36">
        <v>670</v>
      </c>
      <c r="S19" s="36">
        <v>322920</v>
      </c>
      <c r="T19" s="36">
        <v>22524</v>
      </c>
      <c r="U19" s="36">
        <v>49767</v>
      </c>
      <c r="V19" s="36">
        <v>30266</v>
      </c>
      <c r="W19" s="26"/>
      <c r="X19" s="36">
        <v>455.44600000000003</v>
      </c>
      <c r="Y19" s="36">
        <v>856.96</v>
      </c>
      <c r="Z19" s="36">
        <v>3880.9430000000002</v>
      </c>
      <c r="AA19" s="36">
        <v>2132</v>
      </c>
      <c r="AB19" s="37">
        <v>475</v>
      </c>
      <c r="AC19" s="29"/>
    </row>
    <row r="20" spans="1:30" x14ac:dyDescent="0.25">
      <c r="A20" s="23">
        <v>44120</v>
      </c>
      <c r="B20" s="27">
        <v>74</v>
      </c>
      <c r="C20" s="28">
        <v>178</v>
      </c>
      <c r="D20" s="36">
        <v>6543</v>
      </c>
      <c r="E20" s="36">
        <v>6554</v>
      </c>
      <c r="F20" s="36">
        <v>13029</v>
      </c>
      <c r="G20" s="36">
        <v>13014</v>
      </c>
      <c r="H20" s="36">
        <v>180027</v>
      </c>
      <c r="I20" s="36"/>
      <c r="J20" s="36"/>
      <c r="K20" s="36"/>
      <c r="L20" s="36">
        <f>L19+938</f>
        <v>559002</v>
      </c>
      <c r="M20" s="36">
        <v>2620340</v>
      </c>
      <c r="N20" s="36">
        <v>496496</v>
      </c>
      <c r="O20" s="36">
        <f t="shared" si="1"/>
        <v>342000</v>
      </c>
      <c r="P20" s="36">
        <v>1471360</v>
      </c>
      <c r="Q20" s="36">
        <v>533708</v>
      </c>
      <c r="R20" s="36">
        <v>670</v>
      </c>
      <c r="S20" s="36">
        <v>322990</v>
      </c>
      <c r="T20" s="36">
        <v>22601</v>
      </c>
      <c r="U20" s="36">
        <v>49776</v>
      </c>
      <c r="V20" s="36">
        <v>30267</v>
      </c>
      <c r="W20" s="26"/>
      <c r="X20" s="36">
        <v>457.90100000000001</v>
      </c>
      <c r="Y20" s="36">
        <v>856.99199999999996</v>
      </c>
      <c r="Z20" s="36">
        <v>3880.9490000000001</v>
      </c>
      <c r="AA20" s="36">
        <v>2153</v>
      </c>
      <c r="AB20" s="37">
        <v>480</v>
      </c>
      <c r="AC20" s="29"/>
    </row>
    <row r="21" spans="1:30" x14ac:dyDescent="0.25">
      <c r="A21" s="23">
        <v>44121</v>
      </c>
      <c r="B21" s="27">
        <v>97</v>
      </c>
      <c r="C21" s="28">
        <v>243</v>
      </c>
      <c r="D21" s="36">
        <v>9201</v>
      </c>
      <c r="E21" s="36">
        <v>9218</v>
      </c>
      <c r="F21" s="36">
        <v>18238</v>
      </c>
      <c r="G21" s="36">
        <v>18218</v>
      </c>
      <c r="H21" s="36">
        <v>180861</v>
      </c>
      <c r="I21" s="36"/>
      <c r="J21" s="36"/>
      <c r="K21" s="36"/>
      <c r="L21" s="36">
        <v>559941</v>
      </c>
      <c r="M21" s="36">
        <v>2620348</v>
      </c>
      <c r="N21" s="36">
        <v>498862</v>
      </c>
      <c r="O21" s="36">
        <f t="shared" si="1"/>
        <v>342128</v>
      </c>
      <c r="P21" s="36">
        <v>1471360</v>
      </c>
      <c r="Q21" s="36">
        <v>534830</v>
      </c>
      <c r="R21" s="36">
        <v>670</v>
      </c>
      <c r="S21" s="36">
        <v>323076</v>
      </c>
      <c r="T21" s="36">
        <v>22689</v>
      </c>
      <c r="U21" s="36">
        <v>49786</v>
      </c>
      <c r="V21" s="36">
        <v>30268</v>
      </c>
      <c r="W21" s="26"/>
      <c r="X21" s="36">
        <v>460.45400000000001</v>
      </c>
      <c r="Y21" s="36">
        <v>857.00400000000002</v>
      </c>
      <c r="Z21" s="36">
        <v>3880.9560000000001</v>
      </c>
      <c r="AA21" s="36">
        <v>2153</v>
      </c>
      <c r="AB21" s="37">
        <v>485</v>
      </c>
    </row>
    <row r="22" spans="1:30" x14ac:dyDescent="0.25">
      <c r="A22" s="23">
        <v>44122</v>
      </c>
      <c r="B22" s="27">
        <v>61</v>
      </c>
      <c r="C22" s="27">
        <v>166</v>
      </c>
      <c r="D22" s="36">
        <v>11739</v>
      </c>
      <c r="E22" s="36">
        <v>11760</v>
      </c>
      <c r="F22" s="36">
        <v>23570</v>
      </c>
      <c r="G22" s="36">
        <v>23542</v>
      </c>
      <c r="H22" s="36">
        <v>181714</v>
      </c>
      <c r="I22" s="36"/>
      <c r="J22" s="36"/>
      <c r="K22" s="36"/>
      <c r="L22" s="36">
        <v>561072</v>
      </c>
      <c r="M22" s="36">
        <v>2620348</v>
      </c>
      <c r="N22" s="36">
        <v>501269</v>
      </c>
      <c r="O22" s="36">
        <f t="shared" si="1"/>
        <v>342256</v>
      </c>
      <c r="P22" s="36">
        <v>1471360</v>
      </c>
      <c r="Q22" s="36">
        <v>535958</v>
      </c>
      <c r="R22" s="36">
        <v>670</v>
      </c>
      <c r="S22" s="36">
        <v>323164</v>
      </c>
      <c r="T22" s="36">
        <v>22790</v>
      </c>
      <c r="U22" s="36">
        <v>49797</v>
      </c>
      <c r="V22" s="36">
        <v>30268</v>
      </c>
      <c r="W22" s="26"/>
      <c r="X22" s="36">
        <v>463.99400000000003</v>
      </c>
      <c r="Y22" s="36">
        <v>857.01599999999996</v>
      </c>
      <c r="Z22" s="36">
        <v>3880.9639999999999</v>
      </c>
      <c r="AA22" s="36">
        <v>2153</v>
      </c>
      <c r="AB22" s="37">
        <v>498</v>
      </c>
    </row>
    <row r="23" spans="1:30" x14ac:dyDescent="0.25">
      <c r="A23" s="23">
        <v>44123</v>
      </c>
      <c r="B23" s="27">
        <v>76</v>
      </c>
      <c r="C23" s="27">
        <v>199</v>
      </c>
      <c r="D23" s="36">
        <v>13933</v>
      </c>
      <c r="E23" s="36">
        <v>13957</v>
      </c>
      <c r="F23" s="36">
        <v>28445</v>
      </c>
      <c r="G23" s="36">
        <v>28411</v>
      </c>
      <c r="H23" s="36">
        <v>182544</v>
      </c>
      <c r="I23" s="36"/>
      <c r="J23" s="36"/>
      <c r="K23" s="36"/>
      <c r="L23" s="36">
        <v>562183</v>
      </c>
      <c r="M23" s="36">
        <v>2620348</v>
      </c>
      <c r="N23" s="36">
        <v>503513</v>
      </c>
      <c r="O23" s="36">
        <f t="shared" si="1"/>
        <v>342384</v>
      </c>
      <c r="P23" s="36">
        <v>1471360</v>
      </c>
      <c r="Q23" s="36">
        <v>537028</v>
      </c>
      <c r="R23" s="36">
        <v>670</v>
      </c>
      <c r="S23" s="36">
        <v>323245</v>
      </c>
      <c r="T23" s="36">
        <v>22882</v>
      </c>
      <c r="U23" s="36">
        <v>49806</v>
      </c>
      <c r="V23" s="36">
        <v>30276</v>
      </c>
      <c r="W23" s="26"/>
      <c r="X23" s="36">
        <v>465.59399999999999</v>
      </c>
      <c r="Y23" s="36">
        <v>857.04899999999998</v>
      </c>
      <c r="Z23" s="36">
        <v>3880.9720000000002</v>
      </c>
      <c r="AA23" s="36">
        <v>2153</v>
      </c>
      <c r="AB23" s="37">
        <v>506</v>
      </c>
    </row>
    <row r="24" spans="1:30" x14ac:dyDescent="0.25">
      <c r="A24" s="23">
        <v>44124</v>
      </c>
      <c r="B24" s="27">
        <v>74</v>
      </c>
      <c r="C24" s="27">
        <v>195</v>
      </c>
      <c r="D24" s="36">
        <v>16438</v>
      </c>
      <c r="E24" s="36">
        <v>16466</v>
      </c>
      <c r="F24" s="36">
        <v>33217</v>
      </c>
      <c r="G24" s="36">
        <v>33176</v>
      </c>
      <c r="H24" s="36">
        <v>183350</v>
      </c>
      <c r="I24" s="36"/>
      <c r="J24" s="36"/>
      <c r="K24" s="36"/>
      <c r="L24" s="36">
        <f>L23+938</f>
        <v>563121</v>
      </c>
      <c r="M24" s="36">
        <v>2620456</v>
      </c>
      <c r="N24" s="36">
        <v>505742</v>
      </c>
      <c r="O24" s="36">
        <f t="shared" si="1"/>
        <v>342512</v>
      </c>
      <c r="P24" s="36">
        <v>1471360</v>
      </c>
      <c r="Q24" s="36">
        <v>538291</v>
      </c>
      <c r="R24" s="36">
        <v>670</v>
      </c>
      <c r="S24" s="36">
        <v>323320</v>
      </c>
      <c r="T24" s="36">
        <v>22970</v>
      </c>
      <c r="U24" s="36">
        <v>49816</v>
      </c>
      <c r="V24" s="36">
        <v>30276</v>
      </c>
      <c r="W24" s="26"/>
      <c r="X24" s="36">
        <v>468.21300000000002</v>
      </c>
      <c r="Y24" s="36">
        <v>857.21600000000001</v>
      </c>
      <c r="Z24" s="36">
        <v>3880.9780000000001</v>
      </c>
      <c r="AA24" s="36">
        <v>2153</v>
      </c>
      <c r="AB24" s="37">
        <v>511</v>
      </c>
    </row>
    <row r="25" spans="1:30" x14ac:dyDescent="0.25">
      <c r="A25" s="23">
        <v>44125</v>
      </c>
      <c r="B25" s="27">
        <v>74</v>
      </c>
      <c r="C25" s="27">
        <v>204</v>
      </c>
      <c r="D25" s="36">
        <v>20271</v>
      </c>
      <c r="E25" s="36">
        <v>20304</v>
      </c>
      <c r="F25" s="36">
        <v>38077</v>
      </c>
      <c r="G25" s="36">
        <v>38031</v>
      </c>
      <c r="H25" s="36">
        <v>184203</v>
      </c>
      <c r="I25" s="36"/>
      <c r="J25" s="36"/>
      <c r="K25" s="36"/>
      <c r="L25" s="36">
        <f>L24+938</f>
        <v>564059</v>
      </c>
      <c r="M25" s="36">
        <v>2620520</v>
      </c>
      <c r="N25" s="36">
        <v>507721</v>
      </c>
      <c r="O25" s="36">
        <v>342631</v>
      </c>
      <c r="P25" s="36">
        <v>1471360</v>
      </c>
      <c r="Q25" s="36">
        <v>539702</v>
      </c>
      <c r="R25" s="36">
        <v>670</v>
      </c>
      <c r="S25" s="36">
        <v>323405</v>
      </c>
      <c r="T25" s="36">
        <v>23066</v>
      </c>
      <c r="U25" s="36">
        <v>49826</v>
      </c>
      <c r="V25" s="36">
        <v>30277</v>
      </c>
      <c r="W25" s="26"/>
      <c r="X25" s="36">
        <v>470.875</v>
      </c>
      <c r="Y25" s="36">
        <v>857.24400000000003</v>
      </c>
      <c r="Z25" s="36">
        <v>3880.9850000000001</v>
      </c>
      <c r="AA25" s="36">
        <v>2153</v>
      </c>
      <c r="AB25" s="37">
        <v>520</v>
      </c>
    </row>
    <row r="26" spans="1:30" x14ac:dyDescent="0.25">
      <c r="A26" s="23">
        <v>44126</v>
      </c>
      <c r="B26" s="27">
        <v>81</v>
      </c>
      <c r="C26" s="27">
        <v>220</v>
      </c>
      <c r="D26" s="36">
        <v>22774</v>
      </c>
      <c r="E26" s="36">
        <v>22812</v>
      </c>
      <c r="F26" s="36">
        <v>42725</v>
      </c>
      <c r="G26" s="36">
        <v>42673</v>
      </c>
      <c r="H26" s="36">
        <v>184901</v>
      </c>
      <c r="I26" s="36"/>
      <c r="J26" s="36"/>
      <c r="K26" s="36"/>
      <c r="L26" s="36">
        <v>565250</v>
      </c>
      <c r="M26" s="36">
        <v>2620654</v>
      </c>
      <c r="N26" s="36">
        <v>509967</v>
      </c>
      <c r="O26" s="36">
        <f>O25+128</f>
        <v>342759</v>
      </c>
      <c r="P26" s="36">
        <v>1471360</v>
      </c>
      <c r="Q26" s="36">
        <v>541044</v>
      </c>
      <c r="R26" s="36">
        <v>670</v>
      </c>
      <c r="S26" s="36">
        <v>323499</v>
      </c>
      <c r="T26" s="36">
        <v>23166</v>
      </c>
      <c r="U26" s="36">
        <v>49836</v>
      </c>
      <c r="V26" s="36">
        <v>30277</v>
      </c>
      <c r="W26" s="26"/>
      <c r="X26" s="36">
        <v>473.57299999999998</v>
      </c>
      <c r="Y26" s="36">
        <v>857.29</v>
      </c>
      <c r="Z26" s="36">
        <v>3880.9920000000002</v>
      </c>
      <c r="AA26" s="36">
        <v>2153</v>
      </c>
      <c r="AB26" s="37">
        <v>530</v>
      </c>
    </row>
    <row r="27" spans="1:30" x14ac:dyDescent="0.25">
      <c r="A27" s="23">
        <v>44127</v>
      </c>
      <c r="B27" s="27">
        <v>93</v>
      </c>
      <c r="C27" s="27">
        <v>253</v>
      </c>
      <c r="D27" s="36">
        <v>25449</v>
      </c>
      <c r="E27" s="36">
        <v>25491</v>
      </c>
      <c r="F27" s="36">
        <v>47006</v>
      </c>
      <c r="G27" s="36">
        <v>46949</v>
      </c>
      <c r="H27" s="36">
        <v>185567</v>
      </c>
      <c r="I27" s="36"/>
      <c r="J27" s="36"/>
      <c r="K27" s="36"/>
      <c r="L27" s="36">
        <v>566347</v>
      </c>
      <c r="M27" s="36">
        <v>2620654</v>
      </c>
      <c r="N27" s="36">
        <v>512204</v>
      </c>
      <c r="O27" s="36">
        <f>O26+128</f>
        <v>342887</v>
      </c>
      <c r="P27" s="36">
        <v>1471360</v>
      </c>
      <c r="Q27" s="36">
        <v>542375</v>
      </c>
      <c r="R27" s="36">
        <v>670</v>
      </c>
      <c r="S27" s="36">
        <v>323593</v>
      </c>
      <c r="T27" s="36">
        <v>23264</v>
      </c>
      <c r="U27" s="36">
        <v>49846</v>
      </c>
      <c r="V27" s="36">
        <v>30278</v>
      </c>
      <c r="W27" s="26"/>
      <c r="X27" s="36">
        <v>474.351</v>
      </c>
      <c r="Y27" s="36">
        <v>857.33600000000001</v>
      </c>
      <c r="Z27" s="36">
        <v>3880.9989999999998</v>
      </c>
      <c r="AA27" s="36">
        <v>2153</v>
      </c>
      <c r="AB27" s="37">
        <v>539</v>
      </c>
    </row>
    <row r="28" spans="1:30" x14ac:dyDescent="0.25">
      <c r="A28" s="23">
        <v>44128</v>
      </c>
      <c r="B28" s="27">
        <v>93</v>
      </c>
      <c r="C28" s="27">
        <v>253</v>
      </c>
      <c r="D28" s="36">
        <v>28202</v>
      </c>
      <c r="E28" s="36">
        <v>28248</v>
      </c>
      <c r="F28" s="36">
        <v>49185</v>
      </c>
      <c r="G28" s="36">
        <v>49125</v>
      </c>
      <c r="H28" s="36">
        <v>185632</v>
      </c>
      <c r="I28" s="36"/>
      <c r="J28" s="36"/>
      <c r="K28" s="36"/>
      <c r="L28" s="36">
        <f>L27+938</f>
        <v>567285</v>
      </c>
      <c r="M28" s="36">
        <v>2620699</v>
      </c>
      <c r="N28" s="36">
        <v>514801</v>
      </c>
      <c r="O28" s="36">
        <v>343015</v>
      </c>
      <c r="P28" s="36">
        <v>1471360</v>
      </c>
      <c r="Q28" s="36">
        <v>543633</v>
      </c>
      <c r="R28" s="36">
        <v>670</v>
      </c>
      <c r="S28" s="36">
        <v>323679</v>
      </c>
      <c r="T28" s="36">
        <v>23366</v>
      </c>
      <c r="U28" s="36">
        <v>49855</v>
      </c>
      <c r="V28" s="36">
        <v>30278</v>
      </c>
      <c r="W28" s="26"/>
      <c r="X28" s="36">
        <v>474.351</v>
      </c>
      <c r="Y28" s="36">
        <v>857.351</v>
      </c>
      <c r="Z28" s="36">
        <v>3881.002</v>
      </c>
      <c r="AA28" s="36">
        <v>2153</v>
      </c>
      <c r="AB28" s="37">
        <v>546</v>
      </c>
    </row>
    <row r="29" spans="1:30" x14ac:dyDescent="0.25">
      <c r="A29" s="23">
        <v>44129</v>
      </c>
      <c r="B29" s="27">
        <v>68</v>
      </c>
      <c r="C29" s="27">
        <v>182</v>
      </c>
      <c r="D29" s="36">
        <v>31120</v>
      </c>
      <c r="E29" s="36">
        <v>31170</v>
      </c>
      <c r="F29" s="36">
        <v>51060</v>
      </c>
      <c r="G29" s="36">
        <v>50998</v>
      </c>
      <c r="H29" s="36">
        <v>185632</v>
      </c>
      <c r="I29" s="36"/>
      <c r="J29" s="36"/>
      <c r="K29" s="36"/>
      <c r="L29" s="36">
        <f>L28+938</f>
        <v>568223</v>
      </c>
      <c r="M29" s="36">
        <v>2620740</v>
      </c>
      <c r="N29" s="36">
        <v>517555</v>
      </c>
      <c r="O29" s="36">
        <v>343145</v>
      </c>
      <c r="P29" s="36">
        <v>1471360</v>
      </c>
      <c r="Q29" s="36">
        <v>544933</v>
      </c>
      <c r="R29" s="36">
        <v>670</v>
      </c>
      <c r="S29" s="36">
        <v>323777</v>
      </c>
      <c r="T29" s="36">
        <v>23479</v>
      </c>
      <c r="U29" s="36">
        <v>49863</v>
      </c>
      <c r="V29" s="36">
        <v>30279</v>
      </c>
      <c r="W29" s="26"/>
      <c r="X29" s="38">
        <v>474.351</v>
      </c>
      <c r="Y29" s="36">
        <v>857.37800000000004</v>
      </c>
      <c r="Z29" s="36">
        <v>3881.0189999999998</v>
      </c>
      <c r="AA29" s="36">
        <v>2153</v>
      </c>
      <c r="AB29" s="37">
        <v>555</v>
      </c>
      <c r="AD29" t="s">
        <v>35</v>
      </c>
    </row>
    <row r="30" spans="1:30" x14ac:dyDescent="0.25">
      <c r="A30" s="23">
        <v>44130</v>
      </c>
      <c r="B30" s="27">
        <v>86</v>
      </c>
      <c r="C30" s="27">
        <v>228</v>
      </c>
      <c r="D30" s="36">
        <v>33272</v>
      </c>
      <c r="E30" s="36">
        <v>33326</v>
      </c>
      <c r="F30" s="36">
        <v>52863</v>
      </c>
      <c r="G30" s="36">
        <v>52800</v>
      </c>
      <c r="H30" s="36">
        <v>185632</v>
      </c>
      <c r="I30" s="36"/>
      <c r="J30" s="36"/>
      <c r="K30" s="36"/>
      <c r="L30" s="36">
        <f>L29+938</f>
        <v>569161</v>
      </c>
      <c r="M30" s="36">
        <v>2620742</v>
      </c>
      <c r="N30" s="36">
        <v>520317</v>
      </c>
      <c r="O30" s="36">
        <v>343325</v>
      </c>
      <c r="P30" s="36">
        <v>1471360</v>
      </c>
      <c r="Q30" s="36">
        <v>546000</v>
      </c>
      <c r="R30" s="36">
        <v>670</v>
      </c>
      <c r="S30" s="36">
        <v>323855</v>
      </c>
      <c r="T30" s="36">
        <v>23572</v>
      </c>
      <c r="U30" s="36">
        <v>49870</v>
      </c>
      <c r="V30" s="36">
        <v>30292</v>
      </c>
      <c r="W30" s="26"/>
      <c r="X30" s="38">
        <v>474.351</v>
      </c>
      <c r="Y30" s="36">
        <v>857.39200000000005</v>
      </c>
      <c r="Z30" s="36">
        <v>3881.0149999999999</v>
      </c>
      <c r="AA30" s="36">
        <v>2153</v>
      </c>
      <c r="AB30" s="37">
        <v>564</v>
      </c>
    </row>
    <row r="31" spans="1:30" x14ac:dyDescent="0.25">
      <c r="A31" s="23">
        <v>44131</v>
      </c>
      <c r="B31" s="27">
        <v>78</v>
      </c>
      <c r="C31" s="27">
        <v>214</v>
      </c>
      <c r="D31" s="36">
        <v>35724</v>
      </c>
      <c r="E31" s="36">
        <v>35782</v>
      </c>
      <c r="F31" s="36">
        <v>54617</v>
      </c>
      <c r="G31" s="36">
        <v>54552</v>
      </c>
      <c r="H31" s="36">
        <v>185632</v>
      </c>
      <c r="I31" s="36"/>
      <c r="J31" s="36"/>
      <c r="K31" s="36"/>
      <c r="L31" s="36">
        <f>L30+938</f>
        <v>570099</v>
      </c>
      <c r="M31" s="36">
        <v>2620742</v>
      </c>
      <c r="N31" s="36">
        <v>523012</v>
      </c>
      <c r="O31" s="36">
        <v>343402</v>
      </c>
      <c r="P31" s="36">
        <v>1471360</v>
      </c>
      <c r="Q31" s="36">
        <v>547124</v>
      </c>
      <c r="R31" s="36">
        <v>670</v>
      </c>
      <c r="S31" s="36">
        <v>323938</v>
      </c>
      <c r="T31" s="36">
        <v>23665</v>
      </c>
      <c r="U31" s="36">
        <v>49877</v>
      </c>
      <c r="V31" s="36">
        <v>30292</v>
      </c>
      <c r="W31" s="26"/>
      <c r="X31" s="38">
        <v>474.351</v>
      </c>
      <c r="Y31" s="36">
        <v>857.40200000000004</v>
      </c>
      <c r="Z31" s="36">
        <v>3881.0210000000002</v>
      </c>
      <c r="AA31" s="36">
        <v>2153</v>
      </c>
      <c r="AB31" s="37">
        <v>570</v>
      </c>
    </row>
    <row r="32" spans="1:30" x14ac:dyDescent="0.25">
      <c r="A32" s="23">
        <v>44132</v>
      </c>
      <c r="B32" s="27">
        <v>86</v>
      </c>
      <c r="C32" s="27">
        <v>238</v>
      </c>
      <c r="D32" s="36">
        <v>39364</v>
      </c>
      <c r="E32" s="36">
        <v>39427</v>
      </c>
      <c r="F32" s="36">
        <v>56612</v>
      </c>
      <c r="G32" s="36">
        <v>56545</v>
      </c>
      <c r="H32" s="36">
        <v>185729</v>
      </c>
      <c r="I32" s="36"/>
      <c r="J32" s="36"/>
      <c r="K32" s="36"/>
      <c r="L32" s="36">
        <f>L31+938</f>
        <v>571037</v>
      </c>
      <c r="M32" s="36">
        <v>2620835</v>
      </c>
      <c r="N32" s="36">
        <v>525590</v>
      </c>
      <c r="O32" s="36">
        <v>343535</v>
      </c>
      <c r="P32" s="36">
        <v>1471360</v>
      </c>
      <c r="Q32" s="36">
        <v>548253</v>
      </c>
      <c r="R32" s="36">
        <v>670</v>
      </c>
      <c r="S32" s="36">
        <v>324030</v>
      </c>
      <c r="T32" s="36">
        <v>23771</v>
      </c>
      <c r="U32" s="36">
        <v>49886</v>
      </c>
      <c r="V32" s="36">
        <v>30293</v>
      </c>
      <c r="W32" s="26"/>
      <c r="X32" s="36">
        <v>474.351</v>
      </c>
      <c r="Y32" s="36">
        <v>857.46400000000006</v>
      </c>
      <c r="Z32" s="36">
        <v>3881.0279999999998</v>
      </c>
      <c r="AA32" s="36">
        <v>2153</v>
      </c>
      <c r="AB32" s="37">
        <v>578</v>
      </c>
    </row>
    <row r="33" spans="1:28" x14ac:dyDescent="0.25">
      <c r="A33" s="23">
        <v>44133</v>
      </c>
      <c r="B33" s="27">
        <v>92</v>
      </c>
      <c r="C33" s="27">
        <v>262</v>
      </c>
      <c r="D33" s="36">
        <v>42081</v>
      </c>
      <c r="E33" s="36">
        <v>42148</v>
      </c>
      <c r="F33" s="36">
        <v>59158</v>
      </c>
      <c r="G33" s="36">
        <v>59088</v>
      </c>
      <c r="H33" s="36">
        <v>185971</v>
      </c>
      <c r="I33" s="36"/>
      <c r="J33" s="36"/>
      <c r="K33" s="36"/>
      <c r="L33" s="36">
        <v>572778</v>
      </c>
      <c r="M33" s="36">
        <v>2620961</v>
      </c>
      <c r="N33" s="36">
        <v>528019</v>
      </c>
      <c r="O33" s="36">
        <v>343784</v>
      </c>
      <c r="P33" s="36">
        <v>1471360</v>
      </c>
      <c r="Q33" s="36">
        <v>549293</v>
      </c>
      <c r="R33" s="36">
        <v>670</v>
      </c>
      <c r="S33" s="36">
        <v>324117</v>
      </c>
      <c r="T33" s="36">
        <v>23869</v>
      </c>
      <c r="U33" s="36">
        <v>49893</v>
      </c>
      <c r="V33" s="36">
        <v>30293</v>
      </c>
      <c r="W33" s="26"/>
      <c r="X33" s="36">
        <v>474.351</v>
      </c>
      <c r="Y33" s="36">
        <v>857.50099999999998</v>
      </c>
      <c r="Z33" s="36">
        <v>3881.0329999999999</v>
      </c>
      <c r="AA33" s="36">
        <v>2153</v>
      </c>
      <c r="AB33" s="37">
        <v>583</v>
      </c>
    </row>
    <row r="34" spans="1:28" x14ac:dyDescent="0.25">
      <c r="A34" s="23">
        <v>44134</v>
      </c>
      <c r="B34" s="27">
        <v>106</v>
      </c>
      <c r="C34" s="27">
        <v>309</v>
      </c>
      <c r="D34" s="36">
        <v>45245</v>
      </c>
      <c r="E34" s="36">
        <v>45317</v>
      </c>
      <c r="F34" s="36">
        <v>61179</v>
      </c>
      <c r="G34" s="36">
        <v>61107</v>
      </c>
      <c r="H34" s="36">
        <v>185971</v>
      </c>
      <c r="I34" s="36"/>
      <c r="J34" s="36"/>
      <c r="K34" s="36"/>
      <c r="L34" s="36">
        <f>L33+938</f>
        <v>573716</v>
      </c>
      <c r="M34" s="36">
        <v>2620961</v>
      </c>
      <c r="N34" s="36">
        <v>530680</v>
      </c>
      <c r="O34" s="36">
        <v>343832</v>
      </c>
      <c r="P34" s="36">
        <v>1471360</v>
      </c>
      <c r="Q34" s="36">
        <v>550792</v>
      </c>
      <c r="R34" s="36">
        <v>670</v>
      </c>
      <c r="S34" s="36">
        <v>324208</v>
      </c>
      <c r="T34" s="36">
        <v>23974</v>
      </c>
      <c r="U34" s="36">
        <v>49902</v>
      </c>
      <c r="V34" s="36">
        <v>30293</v>
      </c>
      <c r="W34" s="26"/>
      <c r="X34" s="36">
        <v>474.351</v>
      </c>
      <c r="Y34" s="36">
        <v>857.51400000000001</v>
      </c>
      <c r="Z34" s="36">
        <v>3881.0369999999998</v>
      </c>
      <c r="AA34" s="36">
        <v>2153</v>
      </c>
      <c r="AB34" s="37">
        <v>587</v>
      </c>
    </row>
    <row r="35" spans="1:28" x14ac:dyDescent="0.25">
      <c r="A35" s="23">
        <v>44135</v>
      </c>
      <c r="B35" s="27">
        <v>91</v>
      </c>
      <c r="C35" s="27">
        <v>260</v>
      </c>
      <c r="D35" s="36">
        <v>48013</v>
      </c>
      <c r="E35" s="36">
        <v>48089</v>
      </c>
      <c r="F35" s="36">
        <v>63017</v>
      </c>
      <c r="G35" s="36">
        <v>62943</v>
      </c>
      <c r="H35" s="36">
        <v>185971</v>
      </c>
      <c r="I35" s="36">
        <v>6786982</v>
      </c>
      <c r="J35" s="36">
        <v>31845</v>
      </c>
      <c r="K35" s="36"/>
      <c r="L35" s="36">
        <v>574260</v>
      </c>
      <c r="M35" s="36">
        <v>2620961</v>
      </c>
      <c r="N35" s="36">
        <v>533099</v>
      </c>
      <c r="O35" s="36">
        <v>343865</v>
      </c>
      <c r="P35" s="36">
        <v>1471360</v>
      </c>
      <c r="Q35" s="36">
        <v>552124</v>
      </c>
      <c r="R35" s="36">
        <v>670</v>
      </c>
      <c r="S35" s="36">
        <v>324290</v>
      </c>
      <c r="T35" s="36">
        <v>24115</v>
      </c>
      <c r="U35" s="36">
        <v>49910</v>
      </c>
      <c r="V35" s="36">
        <v>30294</v>
      </c>
      <c r="W35" s="26"/>
      <c r="X35" s="36">
        <v>474.351</v>
      </c>
      <c r="Y35" s="36">
        <v>857.52200000000005</v>
      </c>
      <c r="Z35" s="36">
        <v>3881.0410000000002</v>
      </c>
      <c r="AA35" s="36">
        <v>2153</v>
      </c>
      <c r="AB35" s="37">
        <v>588</v>
      </c>
    </row>
    <row r="36" spans="1:28" x14ac:dyDescent="0.25">
      <c r="B36" s="34"/>
      <c r="C36" s="34"/>
    </row>
  </sheetData>
  <mergeCells count="25">
    <mergeCell ref="AB1:AB3"/>
    <mergeCell ref="W2:W3"/>
    <mergeCell ref="A1:A3"/>
    <mergeCell ref="D1:M1"/>
    <mergeCell ref="K2:K3"/>
    <mergeCell ref="L2:L3"/>
    <mergeCell ref="M2:M3"/>
    <mergeCell ref="B2:B3"/>
    <mergeCell ref="C2:C3"/>
    <mergeCell ref="Y1:Y3"/>
    <mergeCell ref="Z1:Z3"/>
    <mergeCell ref="AA1:AA3"/>
    <mergeCell ref="D2:D3"/>
    <mergeCell ref="E2:E3"/>
    <mergeCell ref="F2:F3"/>
    <mergeCell ref="G2:G3"/>
    <mergeCell ref="S1:T3"/>
    <mergeCell ref="U1:U3"/>
    <mergeCell ref="V1:V3"/>
    <mergeCell ref="X1:X3"/>
    <mergeCell ref="H2:H3"/>
    <mergeCell ref="I2:I3"/>
    <mergeCell ref="J2:J3"/>
    <mergeCell ref="N1:N3"/>
    <mergeCell ref="O1:O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F71708-3ECB-4A8E-8C8C-59BE45349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0D59BF-BF2D-4055-ADB1-2FD62F6883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64C0F5A-B60B-4EE5-B1D3-32E47B5A30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2020-12-03T12:18:59Z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