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<sst xmlns="http://schemas.openxmlformats.org/spreadsheetml/2006/main" count="111" uniqueCount="34">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</sst>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2" sqref="L3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14</v>
      </c>
      <c r="B1" s="28" t="s">
        <v>0</v>
      </c>
      <c r="C1" s="28" t="s">
        <v>15</v>
      </c>
      <c r="D1" s="28" t="s">
        <v>16</v>
      </c>
      <c r="E1" s="29" t="s">
        <v>26</v>
      </c>
      <c r="F1" s="29" t="s">
        <v>27</v>
      </c>
      <c r="G1" s="29" t="s">
        <v>28</v>
      </c>
      <c r="H1" s="30" t="s">
        <v>29</v>
      </c>
      <c r="I1" s="29" t="s">
        <v>30</v>
      </c>
      <c r="J1" s="29" t="s">
        <v>31</v>
      </c>
      <c r="K1" s="29" t="s">
        <v>32</v>
      </c>
      <c r="L1" s="29" t="s">
        <v>33</v>
      </c>
    </row>
    <row r="2" spans="1:12" x14ac:dyDescent="0.25">
      <c r="A2" t="s">
        <v>25</v>
      </c>
      <c r="B2">
        <v>1</v>
      </c>
      <c r="C2" s="23">
        <v>4</v>
      </c>
      <c r="D2" s="23">
        <v>2022</v>
      </c>
      <c r="E2" s="24">
        <f>Submetering!E2+Submetering!F2+Submetering!G2+Submetering!H2</f>
        <v>29562</v>
      </c>
      <c r="F2" s="31">
        <v>0.36499999999999999</v>
      </c>
      <c r="G2" s="24">
        <f>Submetering!I2+Submetering!J2+Submetering!K2</f>
        <v>282</v>
      </c>
      <c r="H2" s="26">
        <f>(1/22.25)*47.17</f>
        <v>2.12</v>
      </c>
      <c r="I2" s="25">
        <f>Submetering!L2</f>
        <v>254</v>
      </c>
      <c r="J2" s="25">
        <v>2.2799999999999998</v>
      </c>
      <c r="K2" s="32">
        <v>105</v>
      </c>
      <c r="L2" s="32">
        <v>198</v>
      </c>
    </row>
    <row r="3" spans="1:12" x14ac:dyDescent="0.25">
      <c r="A3" t="s">
        <v>25</v>
      </c>
      <c r="B3">
        <v>2</v>
      </c>
      <c r="C3" s="23">
        <v>4</v>
      </c>
      <c r="D3" s="23">
        <v>2022</v>
      </c>
      <c r="E3" s="24">
        <f>Submetering!E3+Submetering!F3+Submetering!G3+Submetering!H3</f>
        <v>36232</v>
      </c>
      <c r="F3" s="31">
        <v>0.36499999999999999</v>
      </c>
      <c r="G3" s="24">
        <f>Submetering!I3+Submetering!J3+Submetering!K3</f>
        <v>342</v>
      </c>
      <c r="H3" s="26">
        <f t="shared" ref="H3:H31" si="0">(1/22.25)*47.17</f>
        <v>2.12</v>
      </c>
      <c r="I3" s="25">
        <f>Submetering!L3</f>
        <v>294</v>
      </c>
      <c r="J3" s="25">
        <v>2.2799999999999998</v>
      </c>
      <c r="K3" s="32">
        <v>93</v>
      </c>
      <c r="L3" s="32">
        <v>182</v>
      </c>
    </row>
    <row r="4" spans="1:12" x14ac:dyDescent="0.25">
      <c r="A4" t="s">
        <v>25</v>
      </c>
      <c r="B4">
        <v>3</v>
      </c>
      <c r="C4" s="23">
        <v>4</v>
      </c>
      <c r="D4" s="23">
        <v>2022</v>
      </c>
      <c r="E4" s="24">
        <f>Submetering!E4+Submetering!F4+Submetering!G4+Submetering!H4</f>
        <v>35302</v>
      </c>
      <c r="F4" s="31">
        <v>0.36499999999999999</v>
      </c>
      <c r="G4" s="24">
        <f>Submetering!I4+Submetering!J4+Submetering!K4</f>
        <v>292</v>
      </c>
      <c r="H4" s="26">
        <f t="shared" si="0"/>
        <v>2.12</v>
      </c>
      <c r="I4" s="25">
        <f>Submetering!L4</f>
        <v>355</v>
      </c>
      <c r="J4" s="25">
        <v>2.2799999999999998</v>
      </c>
      <c r="K4" s="32">
        <v>68</v>
      </c>
      <c r="L4" s="32">
        <v>116</v>
      </c>
    </row>
    <row r="5" spans="1:12" x14ac:dyDescent="0.25">
      <c r="A5" t="s">
        <v>25</v>
      </c>
      <c r="B5">
        <v>4</v>
      </c>
      <c r="C5" s="23">
        <v>4</v>
      </c>
      <c r="D5" s="23">
        <v>2022</v>
      </c>
      <c r="E5" s="24">
        <f>Submetering!E5+Submetering!F5+Submetering!G5+Submetering!H5</f>
        <v>33502</v>
      </c>
      <c r="F5" s="31">
        <v>0.36499999999999999</v>
      </c>
      <c r="G5" s="24">
        <f>Submetering!I5+Submetering!J5+Submetering!K5</f>
        <v>316</v>
      </c>
      <c r="H5" s="26">
        <f t="shared" si="0"/>
        <v>2.12</v>
      </c>
      <c r="I5" s="25">
        <f>Submetering!L5</f>
        <v>322</v>
      </c>
      <c r="J5" s="25">
        <v>2.2799999999999998</v>
      </c>
      <c r="K5" s="32">
        <v>64</v>
      </c>
      <c r="L5" s="32">
        <v>97</v>
      </c>
    </row>
    <row r="6" spans="1:12" x14ac:dyDescent="0.25">
      <c r="A6" t="s">
        <v>25</v>
      </c>
      <c r="B6">
        <v>5</v>
      </c>
      <c r="C6" s="23">
        <v>4</v>
      </c>
      <c r="D6" s="23">
        <v>2022</v>
      </c>
      <c r="E6" s="24">
        <f>Submetering!E6+Submetering!F6+Submetering!G6+Submetering!H6</f>
        <v>32943</v>
      </c>
      <c r="F6" s="31">
        <v>0.36499999999999999</v>
      </c>
      <c r="G6" s="24">
        <f>Submetering!I6+Submetering!J6+Submetering!K6</f>
        <v>270</v>
      </c>
      <c r="H6" s="26">
        <f t="shared" si="0"/>
        <v>2.12</v>
      </c>
      <c r="I6" s="25">
        <f>Submetering!L6</f>
        <v>329</v>
      </c>
      <c r="J6" s="25">
        <v>2.2799999999999998</v>
      </c>
      <c r="K6" s="32">
        <v>78</v>
      </c>
      <c r="L6" s="32">
        <v>110</v>
      </c>
    </row>
    <row r="7" spans="1:12" x14ac:dyDescent="0.25">
      <c r="A7" t="s">
        <v>25</v>
      </c>
      <c r="B7">
        <v>6</v>
      </c>
      <c r="C7" s="23">
        <v>4</v>
      </c>
      <c r="D7" s="23">
        <v>2022</v>
      </c>
      <c r="E7" s="24">
        <f>Submetering!E7+Submetering!F7+Submetering!G7+Submetering!H7</f>
        <v>33217</v>
      </c>
      <c r="F7" s="31">
        <v>0.36499999999999999</v>
      </c>
      <c r="G7" s="24">
        <f>Submetering!I7+Submetering!J7+Submetering!K7</f>
        <v>281</v>
      </c>
      <c r="H7" s="26">
        <f t="shared" si="0"/>
        <v>2.12</v>
      </c>
      <c r="I7" s="25">
        <f>Submetering!L7</f>
        <v>340</v>
      </c>
      <c r="J7" s="25">
        <v>2.2799999999999998</v>
      </c>
      <c r="K7" s="32">
        <v>92</v>
      </c>
      <c r="L7" s="32">
        <v>139</v>
      </c>
    </row>
    <row r="8" spans="1:12" x14ac:dyDescent="0.25">
      <c r="A8" t="s">
        <v>25</v>
      </c>
      <c r="B8">
        <v>7</v>
      </c>
      <c r="C8" s="23">
        <v>4</v>
      </c>
      <c r="D8" s="23">
        <v>2022</v>
      </c>
      <c r="E8" s="24">
        <f>Submetering!E8+Submetering!F8+Submetering!G8+Submetering!H8</f>
        <v>32567</v>
      </c>
      <c r="F8" s="31">
        <v>0.36499999999999999</v>
      </c>
      <c r="G8" s="24">
        <f>Submetering!I8+Submetering!J8+Submetering!K8</f>
        <v>303</v>
      </c>
      <c r="H8" s="26">
        <f t="shared" si="0"/>
        <v>2.12</v>
      </c>
      <c r="I8" s="25">
        <f>Submetering!L8</f>
        <v>263</v>
      </c>
      <c r="J8" s="25">
        <v>2.2799999999999998</v>
      </c>
      <c r="K8" s="32">
        <v>92</v>
      </c>
      <c r="L8" s="32">
        <v>134</v>
      </c>
    </row>
    <row r="9" spans="1:12" x14ac:dyDescent="0.25">
      <c r="A9" t="s">
        <v>25</v>
      </c>
      <c r="B9">
        <v>8</v>
      </c>
      <c r="C9" s="23">
        <v>4</v>
      </c>
      <c r="D9" s="23">
        <v>2022</v>
      </c>
      <c r="E9" s="24">
        <f>Submetering!E9+Submetering!F9+Submetering!G9+Submetering!H9</f>
        <v>33805</v>
      </c>
      <c r="F9" s="31">
        <v>0.36499999999999999</v>
      </c>
      <c r="G9" s="24">
        <f>Submetering!I9+Submetering!J9+Submetering!K9</f>
        <v>392</v>
      </c>
      <c r="H9" s="26">
        <f t="shared" si="0"/>
        <v>2.12</v>
      </c>
      <c r="I9" s="25">
        <f>Submetering!L9</f>
        <v>470</v>
      </c>
      <c r="J9" s="25">
        <v>2.2799999999999998</v>
      </c>
      <c r="K9" s="32">
        <v>91</v>
      </c>
      <c r="L9" s="32">
        <v>146</v>
      </c>
    </row>
    <row r="10" spans="1:12" x14ac:dyDescent="0.25">
      <c r="A10" t="s">
        <v>25</v>
      </c>
      <c r="B10">
        <v>9</v>
      </c>
      <c r="C10" s="23">
        <v>4</v>
      </c>
      <c r="D10" s="23">
        <v>2022</v>
      </c>
      <c r="E10" s="24">
        <f>Submetering!E10+Submetering!F10+Submetering!G10+Submetering!H10</f>
        <v>35160</v>
      </c>
      <c r="F10" s="31">
        <v>0.36499999999999999</v>
      </c>
      <c r="G10" s="24">
        <f>Submetering!I10+Submetering!J10+Submetering!K10</f>
        <v>370</v>
      </c>
      <c r="H10" s="26">
        <f t="shared" si="0"/>
        <v>2.12</v>
      </c>
      <c r="I10" s="25">
        <f>Submetering!L10</f>
        <v>329</v>
      </c>
      <c r="J10" s="25">
        <v>2.2799999999999998</v>
      </c>
      <c r="K10" s="32">
        <v>117</v>
      </c>
      <c r="L10" s="32">
        <v>210</v>
      </c>
    </row>
    <row r="11" spans="1:12" x14ac:dyDescent="0.25">
      <c r="A11" t="s">
        <v>25</v>
      </c>
      <c r="B11">
        <v>10</v>
      </c>
      <c r="C11" s="23">
        <v>4</v>
      </c>
      <c r="D11" s="23">
        <v>2022</v>
      </c>
      <c r="E11" s="24">
        <f>Submetering!E11+Submetering!F11+Submetering!G11+Submetering!H11</f>
        <v>32306</v>
      </c>
      <c r="F11" s="31">
        <v>0.36499999999999999</v>
      </c>
      <c r="G11" s="24">
        <f>Submetering!I11+Submetering!J11+Submetering!K11</f>
        <v>253</v>
      </c>
      <c r="H11" s="26">
        <f t="shared" si="0"/>
        <v>2.12</v>
      </c>
      <c r="I11" s="25">
        <f>Submetering!L11</f>
        <v>330</v>
      </c>
      <c r="J11" s="25">
        <v>2.2799999999999998</v>
      </c>
      <c r="K11" s="32">
        <v>98</v>
      </c>
      <c r="L11" s="32">
        <v>150</v>
      </c>
    </row>
    <row r="12" spans="1:12" x14ac:dyDescent="0.25">
      <c r="A12" t="s">
        <v>25</v>
      </c>
      <c r="B12">
        <v>11</v>
      </c>
      <c r="C12" s="23">
        <v>4</v>
      </c>
      <c r="D12" s="23">
        <v>2022</v>
      </c>
      <c r="E12" s="24">
        <f>Submetering!E12+Submetering!F12+Submetering!G12+Submetering!H12</f>
        <v>32902</v>
      </c>
      <c r="F12" s="31">
        <v>0.36499999999999999</v>
      </c>
      <c r="G12" s="24">
        <f>Submetering!I12+Submetering!J12+Submetering!K12</f>
        <v>295</v>
      </c>
      <c r="H12" s="26">
        <f t="shared" si="0"/>
        <v>2.12</v>
      </c>
      <c r="I12" s="25">
        <f>Submetering!L12</f>
        <v>279</v>
      </c>
      <c r="J12" s="25">
        <v>2.2799999999999998</v>
      </c>
      <c r="K12" s="32">
        <v>116</v>
      </c>
      <c r="L12" s="32">
        <v>171</v>
      </c>
    </row>
    <row r="13" spans="1:12" x14ac:dyDescent="0.25">
      <c r="A13" t="s">
        <v>25</v>
      </c>
      <c r="B13">
        <v>12</v>
      </c>
      <c r="C13" s="23">
        <v>4</v>
      </c>
      <c r="D13" s="23">
        <v>2022</v>
      </c>
      <c r="E13" s="24">
        <f>Submetering!E13+Submetering!F13+Submetering!G13+Submetering!H13</f>
        <v>35027</v>
      </c>
      <c r="F13" s="31">
        <v>0.36499999999999999</v>
      </c>
      <c r="G13" s="24">
        <f>Submetering!I13+Submetering!J13+Submetering!K13</f>
        <v>334</v>
      </c>
      <c r="H13" s="26">
        <f t="shared" si="0"/>
        <v>2.12</v>
      </c>
      <c r="I13" s="25">
        <f>Submetering!L13</f>
        <v>464</v>
      </c>
      <c r="J13" s="25">
        <v>2.2799999999999998</v>
      </c>
      <c r="K13" s="32">
        <v>119</v>
      </c>
      <c r="L13" s="32">
        <v>170</v>
      </c>
    </row>
    <row r="14" spans="1:12" x14ac:dyDescent="0.25">
      <c r="A14" t="s">
        <v>25</v>
      </c>
      <c r="B14">
        <v>13</v>
      </c>
      <c r="C14" s="23">
        <v>4</v>
      </c>
      <c r="D14" s="23">
        <v>2022</v>
      </c>
      <c r="E14" s="24">
        <f>Submetering!E14+Submetering!F14+Submetering!G14+Submetering!H14</f>
        <v>33597</v>
      </c>
      <c r="F14" s="31">
        <v>0.36499999999999999</v>
      </c>
      <c r="G14" s="24">
        <f>Submetering!I14+Submetering!J14+Submetering!K14</f>
        <v>348</v>
      </c>
      <c r="H14" s="26">
        <f t="shared" si="0"/>
        <v>2.12</v>
      </c>
      <c r="I14" s="25">
        <f>Submetering!L14</f>
        <v>318</v>
      </c>
      <c r="J14" s="25">
        <v>2.2799999999999998</v>
      </c>
      <c r="K14" s="32">
        <v>97</v>
      </c>
      <c r="L14" s="32">
        <v>147</v>
      </c>
    </row>
    <row r="15" spans="1:12" x14ac:dyDescent="0.25">
      <c r="A15" t="s">
        <v>25</v>
      </c>
      <c r="B15">
        <v>14</v>
      </c>
      <c r="C15" s="23">
        <v>4</v>
      </c>
      <c r="D15" s="23">
        <v>2022</v>
      </c>
      <c r="E15" s="24">
        <f>Submetering!E15+Submetering!F15+Submetering!G15+Submetering!H15</f>
        <v>34633</v>
      </c>
      <c r="F15" s="31">
        <v>0.36499999999999999</v>
      </c>
      <c r="G15" s="24">
        <f>Submetering!I15+Submetering!J15+Submetering!K15</f>
        <v>346</v>
      </c>
      <c r="H15" s="26">
        <f t="shared" si="0"/>
        <v>2.12</v>
      </c>
      <c r="I15" s="25">
        <f>Submetering!L15</f>
        <v>517</v>
      </c>
      <c r="J15" s="25">
        <v>2.2799999999999998</v>
      </c>
      <c r="K15" s="32">
        <v>97</v>
      </c>
      <c r="L15" s="32">
        <v>157</v>
      </c>
    </row>
    <row r="16" spans="1:12" x14ac:dyDescent="0.25">
      <c r="A16" t="s">
        <v>25</v>
      </c>
      <c r="B16">
        <v>15</v>
      </c>
      <c r="C16" s="23">
        <v>4</v>
      </c>
      <c r="D16" s="23">
        <v>2022</v>
      </c>
      <c r="E16" s="24">
        <f>Submetering!E16+Submetering!F16+Submetering!G16+Submetering!H16</f>
        <v>35798</v>
      </c>
      <c r="F16" s="31">
        <v>0.36499999999999999</v>
      </c>
      <c r="G16" s="24">
        <f>Submetering!I16+Submetering!J16+Submetering!K16</f>
        <v>348</v>
      </c>
      <c r="H16" s="26">
        <f t="shared" si="0"/>
        <v>2.12</v>
      </c>
      <c r="I16" s="25">
        <f>Submetering!L16</f>
        <v>477</v>
      </c>
      <c r="J16" s="25">
        <v>2.2799999999999998</v>
      </c>
      <c r="K16" s="32">
        <v>131</v>
      </c>
      <c r="L16" s="32">
        <v>243</v>
      </c>
    </row>
    <row r="17" spans="1:12" x14ac:dyDescent="0.25">
      <c r="A17" t="s">
        <v>25</v>
      </c>
      <c r="B17">
        <v>16</v>
      </c>
      <c r="C17" s="23">
        <v>4</v>
      </c>
      <c r="D17" s="23">
        <v>2022</v>
      </c>
      <c r="E17" s="24">
        <f>Submetering!E17+Submetering!F17+Submetering!G17+Submetering!H17</f>
        <v>36391</v>
      </c>
      <c r="F17" s="31">
        <v>0.36499999999999999</v>
      </c>
      <c r="G17" s="24">
        <f>Submetering!I17+Submetering!J17+Submetering!K17</f>
        <v>372</v>
      </c>
      <c r="H17" s="26">
        <f t="shared" si="0"/>
        <v>2.12</v>
      </c>
      <c r="I17" s="25">
        <f>Submetering!L17</f>
        <v>303</v>
      </c>
      <c r="J17" s="25">
        <v>2.2799999999999998</v>
      </c>
      <c r="K17" s="32">
        <v>147</v>
      </c>
      <c r="L17" s="32">
        <v>268</v>
      </c>
    </row>
    <row r="18" spans="1:12" x14ac:dyDescent="0.25">
      <c r="A18" t="s">
        <v>25</v>
      </c>
      <c r="B18">
        <v>17</v>
      </c>
      <c r="C18" s="23">
        <v>4</v>
      </c>
      <c r="D18" s="23">
        <v>2022</v>
      </c>
      <c r="E18" s="24">
        <f>Submetering!E18+Submetering!F18+Submetering!G18+Submetering!H18</f>
        <v>33808</v>
      </c>
      <c r="F18" s="31">
        <v>0.36499999999999999</v>
      </c>
      <c r="G18" s="24">
        <f>Submetering!I18+Submetering!J18+Submetering!K18</f>
        <v>255</v>
      </c>
      <c r="H18" s="26">
        <f t="shared" si="0"/>
        <v>2.12</v>
      </c>
      <c r="I18" s="25">
        <f>Submetering!L18</f>
        <v>383</v>
      </c>
      <c r="J18" s="25">
        <v>2.2799999999999998</v>
      </c>
      <c r="K18" s="32">
        <v>86</v>
      </c>
      <c r="L18" s="32">
        <v>163</v>
      </c>
    </row>
    <row r="19" spans="1:12" x14ac:dyDescent="0.25">
      <c r="A19" t="s">
        <v>25</v>
      </c>
      <c r="B19">
        <v>18</v>
      </c>
      <c r="C19" s="23">
        <v>4</v>
      </c>
      <c r="D19" s="23">
        <v>2022</v>
      </c>
      <c r="E19" s="24">
        <f>Submetering!E19+Submetering!F19+Submetering!G19+Submetering!H19</f>
        <v>34229</v>
      </c>
      <c r="F19" s="31">
        <v>0.36499999999999999</v>
      </c>
      <c r="G19" s="24">
        <f>Submetering!I19+Submetering!J19+Submetering!K19</f>
        <v>281</v>
      </c>
      <c r="H19" s="26">
        <f t="shared" si="0"/>
        <v>2.12</v>
      </c>
      <c r="I19" s="25">
        <f>Submetering!L19</f>
        <v>449</v>
      </c>
      <c r="J19" s="25">
        <v>2.2799999999999998</v>
      </c>
      <c r="K19" s="32">
        <v>86</v>
      </c>
      <c r="L19" s="32">
        <v>156</v>
      </c>
    </row>
    <row r="20" spans="1:12" x14ac:dyDescent="0.25">
      <c r="A20" t="s">
        <v>25</v>
      </c>
      <c r="B20">
        <v>19</v>
      </c>
      <c r="C20" s="23">
        <v>4</v>
      </c>
      <c r="D20" s="23">
        <v>2022</v>
      </c>
      <c r="E20" s="24">
        <f>Submetering!E20+Submetering!F20+Submetering!G20+Submetering!H20</f>
        <v>33149</v>
      </c>
      <c r="F20" s="31">
        <v>0.36499999999999999</v>
      </c>
      <c r="G20" s="24">
        <f>Submetering!I20+Submetering!J20+Submetering!K20</f>
        <v>298</v>
      </c>
      <c r="H20" s="26">
        <f t="shared" si="0"/>
        <v>2.12</v>
      </c>
      <c r="I20" s="25">
        <f>Submetering!L20</f>
        <v>158</v>
      </c>
      <c r="J20" s="25">
        <v>2.2799999999999998</v>
      </c>
      <c r="K20" s="32">
        <v>92</v>
      </c>
      <c r="L20" s="32">
        <v>164</v>
      </c>
    </row>
    <row r="21" spans="1:12" x14ac:dyDescent="0.25">
      <c r="A21" t="s">
        <v>25</v>
      </c>
      <c r="B21">
        <v>20</v>
      </c>
      <c r="C21" s="23">
        <v>4</v>
      </c>
      <c r="D21" s="23">
        <v>2022</v>
      </c>
      <c r="E21" s="24">
        <f>Submetering!E21+Submetering!F21+Submetering!G21+Submetering!H21</f>
        <v>35270</v>
      </c>
      <c r="F21" s="31">
        <v>0.36499999999999999</v>
      </c>
      <c r="G21" s="24">
        <f>Submetering!I21+Submetering!J21+Submetering!K21</f>
        <v>298</v>
      </c>
      <c r="H21" s="26">
        <f t="shared" si="0"/>
        <v>2.12</v>
      </c>
      <c r="I21" s="25">
        <f>Submetering!L21</f>
        <v>518</v>
      </c>
      <c r="J21" s="25">
        <v>2.2799999999999998</v>
      </c>
      <c r="K21" s="32">
        <v>101</v>
      </c>
      <c r="L21" s="32">
        <v>162</v>
      </c>
    </row>
    <row r="22" spans="1:12" x14ac:dyDescent="0.25">
      <c r="A22" t="s">
        <v>25</v>
      </c>
      <c r="B22">
        <v>21</v>
      </c>
      <c r="C22" s="23">
        <v>4</v>
      </c>
      <c r="D22" s="23">
        <v>2022</v>
      </c>
      <c r="E22" s="24">
        <f>Submetering!E22+Submetering!F22+Submetering!G22+Submetering!H22</f>
        <v>34535</v>
      </c>
      <c r="F22" s="31">
        <v>0.36499999999999999</v>
      </c>
      <c r="G22" s="24">
        <f>Submetering!I22+Submetering!J22+Submetering!K22</f>
        <v>328</v>
      </c>
      <c r="H22" s="26">
        <f t="shared" si="0"/>
        <v>2.12</v>
      </c>
      <c r="I22" s="25">
        <f>Submetering!L22</f>
        <v>300</v>
      </c>
      <c r="J22" s="25">
        <v>2.2799999999999998</v>
      </c>
      <c r="K22" s="32">
        <v>105</v>
      </c>
      <c r="L22" s="32">
        <v>171</v>
      </c>
    </row>
    <row r="23" spans="1:12" x14ac:dyDescent="0.25">
      <c r="A23" t="s">
        <v>25</v>
      </c>
      <c r="B23">
        <v>22</v>
      </c>
      <c r="C23" s="23">
        <v>4</v>
      </c>
      <c r="D23" s="23">
        <v>2022</v>
      </c>
      <c r="E23" s="24">
        <f>Submetering!E23+Submetering!F23+Submetering!G23+Submetering!H23</f>
        <v>33941</v>
      </c>
      <c r="F23" s="31">
        <v>0.36499999999999999</v>
      </c>
      <c r="G23" s="24">
        <f>Submetering!I23+Submetering!J23+Submetering!K23</f>
        <v>302</v>
      </c>
      <c r="H23" s="26">
        <f t="shared" si="0"/>
        <v>2.12</v>
      </c>
      <c r="I23" s="25">
        <f>Submetering!L23</f>
        <v>147</v>
      </c>
      <c r="J23" s="25">
        <v>2.2799999999999998</v>
      </c>
      <c r="K23" s="32">
        <v>118</v>
      </c>
      <c r="L23" s="32">
        <v>226</v>
      </c>
    </row>
    <row r="24" spans="1:12" x14ac:dyDescent="0.25">
      <c r="A24" t="s">
        <v>25</v>
      </c>
      <c r="B24">
        <v>23</v>
      </c>
      <c r="C24" s="23">
        <v>4</v>
      </c>
      <c r="D24" s="23">
        <v>2022</v>
      </c>
      <c r="E24" s="24">
        <f>Submetering!E24+Submetering!F24+Submetering!G24+Submetering!H24</f>
        <v>33779</v>
      </c>
      <c r="F24" s="31">
        <v>0.36499999999999999</v>
      </c>
      <c r="G24" s="24">
        <f>Submetering!I24+Submetering!J24+Submetering!K24</f>
        <v>328</v>
      </c>
      <c r="H24" s="26">
        <f t="shared" si="0"/>
        <v>2.12</v>
      </c>
      <c r="I24" s="25">
        <f>Submetering!L24</f>
        <v>357</v>
      </c>
      <c r="J24" s="25">
        <v>2.2799999999999998</v>
      </c>
      <c r="K24" s="32">
        <v>116</v>
      </c>
      <c r="L24" s="32">
        <v>243</v>
      </c>
    </row>
    <row r="25" spans="1:12" x14ac:dyDescent="0.25">
      <c r="A25" t="s">
        <v>25</v>
      </c>
      <c r="B25">
        <v>24</v>
      </c>
      <c r="C25" s="23">
        <v>4</v>
      </c>
      <c r="D25" s="23">
        <v>2022</v>
      </c>
      <c r="E25" s="24">
        <f>Submetering!E25+Submetering!F25+Submetering!G25+Submetering!H25</f>
        <v>31615</v>
      </c>
      <c r="F25" s="31">
        <v>0.36499999999999999</v>
      </c>
      <c r="G25" s="24">
        <f>Submetering!I25+Submetering!J25+Submetering!K25</f>
        <v>283</v>
      </c>
      <c r="H25" s="26">
        <f t="shared" si="0"/>
        <v>2.12</v>
      </c>
      <c r="I25" s="25">
        <f>Submetering!L25</f>
        <v>260</v>
      </c>
      <c r="J25" s="25">
        <v>2.2799999999999998</v>
      </c>
      <c r="K25" s="32">
        <v>87</v>
      </c>
      <c r="L25" s="32">
        <v>155</v>
      </c>
    </row>
    <row r="26" spans="1:12" x14ac:dyDescent="0.25">
      <c r="A26" t="s">
        <v>25</v>
      </c>
      <c r="B26">
        <v>25</v>
      </c>
      <c r="C26" s="23">
        <v>4</v>
      </c>
      <c r="D26" s="23">
        <v>2022</v>
      </c>
      <c r="E26" s="24">
        <f>Submetering!E26+Submetering!F26+Submetering!G26+Submetering!H26</f>
        <v>32954</v>
      </c>
      <c r="F26" s="31">
        <v>0.36499999999999999</v>
      </c>
      <c r="G26" s="24">
        <f>Submetering!I26+Submetering!J26+Submetering!K26</f>
        <v>331</v>
      </c>
      <c r="H26" s="26">
        <f t="shared" si="0"/>
        <v>2.12</v>
      </c>
      <c r="I26" s="25">
        <f>Submetering!L26</f>
        <v>290</v>
      </c>
      <c r="J26" s="25">
        <v>2.2799999999999998</v>
      </c>
      <c r="K26" s="32">
        <v>77</v>
      </c>
      <c r="L26" s="32">
        <v>139</v>
      </c>
    </row>
    <row r="27" spans="1:12" x14ac:dyDescent="0.25">
      <c r="A27" t="s">
        <v>25</v>
      </c>
      <c r="B27">
        <v>26</v>
      </c>
      <c r="C27" s="23">
        <v>4</v>
      </c>
      <c r="D27" s="23">
        <v>2022</v>
      </c>
      <c r="E27" s="24">
        <f>Submetering!E27+Submetering!F27+Submetering!G27+Submetering!H27</f>
        <v>34993</v>
      </c>
      <c r="F27" s="31">
        <v>0.36499999999999999</v>
      </c>
      <c r="G27" s="24">
        <f>Submetering!I27+Submetering!J27+Submetering!K27</f>
        <v>361</v>
      </c>
      <c r="H27" s="26">
        <f t="shared" si="0"/>
        <v>2.12</v>
      </c>
      <c r="I27" s="25">
        <f>Submetering!L27</f>
        <v>433</v>
      </c>
      <c r="J27" s="25">
        <v>2.2799999999999998</v>
      </c>
      <c r="K27" s="32">
        <v>84</v>
      </c>
      <c r="L27" s="32">
        <v>151</v>
      </c>
    </row>
    <row r="28" spans="1:12" x14ac:dyDescent="0.25">
      <c r="A28" t="s">
        <v>25</v>
      </c>
      <c r="B28">
        <v>27</v>
      </c>
      <c r="C28" s="23">
        <v>4</v>
      </c>
      <c r="D28" s="23">
        <v>2022</v>
      </c>
      <c r="E28" s="24">
        <f>Submetering!E28+Submetering!F28+Submetering!G28+Submetering!H28</f>
        <v>35428</v>
      </c>
      <c r="F28" s="31">
        <v>0.36499999999999999</v>
      </c>
      <c r="G28" s="24">
        <f>Submetering!I28+Submetering!J28+Submetering!K28</f>
        <v>365</v>
      </c>
      <c r="H28" s="26">
        <f t="shared" si="0"/>
        <v>2.12</v>
      </c>
      <c r="I28" s="25">
        <f>Submetering!L28</f>
        <v>479</v>
      </c>
      <c r="J28" s="25">
        <v>2.2799999999999998</v>
      </c>
      <c r="K28" s="32">
        <v>86</v>
      </c>
      <c r="L28" s="32">
        <v>155</v>
      </c>
    </row>
    <row r="29" spans="1:12" x14ac:dyDescent="0.25">
      <c r="A29" t="s">
        <v>25</v>
      </c>
      <c r="B29">
        <v>28</v>
      </c>
      <c r="C29" s="23">
        <v>4</v>
      </c>
      <c r="D29" s="23">
        <v>2022</v>
      </c>
      <c r="E29" s="24">
        <f>Submetering!E29+Submetering!F29+Submetering!G29+Submetering!H29</f>
        <v>35000</v>
      </c>
      <c r="F29" s="31">
        <v>0.36499999999999999</v>
      </c>
      <c r="G29" s="24">
        <f>Submetering!I29+Submetering!J29+Submetering!K29</f>
        <v>299</v>
      </c>
      <c r="H29" s="26">
        <f t="shared" si="0"/>
        <v>2.12</v>
      </c>
      <c r="I29" s="25">
        <f>Submetering!L29</f>
        <v>554</v>
      </c>
      <c r="J29" s="25">
        <v>2.2799999999999998</v>
      </c>
      <c r="K29" s="32">
        <v>77</v>
      </c>
      <c r="L29" s="32">
        <v>144</v>
      </c>
    </row>
    <row r="30" spans="1:12" x14ac:dyDescent="0.25">
      <c r="A30" t="s">
        <v>25</v>
      </c>
      <c r="B30">
        <v>29</v>
      </c>
      <c r="C30" s="23">
        <v>4</v>
      </c>
      <c r="D30" s="23">
        <v>2022</v>
      </c>
      <c r="E30" s="24">
        <f>Submetering!E30+Submetering!F30+Submetering!G30+Submetering!H30</f>
        <v>31532</v>
      </c>
      <c r="F30" s="31">
        <v>0.36499999999999999</v>
      </c>
      <c r="G30" s="24">
        <f>Submetering!I30+Submetering!J30+Submetering!K30</f>
        <v>293</v>
      </c>
      <c r="H30" s="26">
        <f t="shared" si="0"/>
        <v>2.12</v>
      </c>
      <c r="I30" s="25">
        <f>Submetering!L30</f>
        <v>449</v>
      </c>
      <c r="J30" s="25">
        <v>2.2799999999999998</v>
      </c>
      <c r="K30" s="32">
        <v>79</v>
      </c>
      <c r="L30" s="32">
        <v>154</v>
      </c>
    </row>
    <row r="31" spans="1:12" x14ac:dyDescent="0.25">
      <c r="A31" t="s">
        <v>25</v>
      </c>
      <c r="B31">
        <v>30</v>
      </c>
      <c r="C31" s="23">
        <v>4</v>
      </c>
      <c r="D31" s="23">
        <v>2022</v>
      </c>
      <c r="E31" s="24">
        <f>Submetering!E31+Submetering!F31+Submetering!G31+Submetering!H31</f>
        <v>38610</v>
      </c>
      <c r="F31" s="31">
        <v>0.36499999999999999</v>
      </c>
      <c r="G31" s="24">
        <f>Submetering!I31+Submetering!J31+Submetering!K31</f>
        <v>295</v>
      </c>
      <c r="H31" s="26">
        <f t="shared" si="0"/>
        <v>2.12</v>
      </c>
      <c r="I31" s="25">
        <f>Submetering!L31</f>
        <v>608</v>
      </c>
      <c r="J31" s="25">
        <v>2.2799999999999998</v>
      </c>
      <c r="K31" s="32">
        <v>126</v>
      </c>
      <c r="L31" s="32">
        <v>265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1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14</v>
      </c>
      <c r="B1" s="20" t="s">
        <v>0</v>
      </c>
      <c r="C1" s="20" t="s">
        <v>15</v>
      </c>
      <c r="D1" s="20" t="s">
        <v>16</v>
      </c>
      <c r="E1" s="21" t="s">
        <v>17</v>
      </c>
      <c r="F1" s="21" t="s">
        <v>18</v>
      </c>
      <c r="G1" s="21" t="s">
        <v>19</v>
      </c>
      <c r="H1" s="22" t="s">
        <v>20</v>
      </c>
      <c r="I1" s="21" t="s">
        <v>21</v>
      </c>
      <c r="J1" s="21" t="s">
        <v>22</v>
      </c>
      <c r="K1" s="21" t="s">
        <v>23</v>
      </c>
      <c r="L1" s="21" t="s">
        <v>24</v>
      </c>
      <c r="M1" s="29" t="s">
        <v>32</v>
      </c>
    </row>
    <row r="2" spans="1:13" ht="13.5" customHeight="1" x14ac:dyDescent="0.25">
      <c r="A2" t="s">
        <v>25</v>
      </c>
      <c r="B2">
        <v>1</v>
      </c>
      <c r="C2" s="23">
        <v>4</v>
      </c>
      <c r="D2" s="23">
        <v>2022</v>
      </c>
      <c r="E2" s="24">
        <f>'Daily Meter Reading'!C3</f>
        <v>9776</v>
      </c>
      <c r="F2" s="25">
        <f>'Daily Meter Reading'!E3</f>
        <v>7693</v>
      </c>
      <c r="G2" s="24">
        <f>'Daily Meter Reading'!G3</f>
        <v>5099</v>
      </c>
      <c r="H2" s="26">
        <f>'Daily Meter Reading'!I3</f>
        <v>6994</v>
      </c>
      <c r="I2" s="25">
        <f>'Daily Meter Reading'!K3</f>
        <v>110</v>
      </c>
      <c r="J2" s="25">
        <f>'Daily Meter Reading'!M3</f>
        <v>0</v>
      </c>
      <c r="K2" s="25">
        <f>'Daily Meter Reading'!O3</f>
        <v>172</v>
      </c>
      <c r="L2" s="25">
        <f>'Daily Meter Reading'!Q3</f>
        <v>254</v>
      </c>
      <c r="M2" s="32">
        <v>105</v>
      </c>
    </row>
    <row r="3" spans="1:13" ht="13.5" customHeight="1" x14ac:dyDescent="0.25">
      <c r="A3" t="s">
        <v>25</v>
      </c>
      <c r="B3">
        <v>2</v>
      </c>
      <c r="C3" s="23">
        <v>4</v>
      </c>
      <c r="D3" s="23">
        <v>2022</v>
      </c>
      <c r="E3" s="24">
        <f>'Daily Meter Reading'!C4</f>
        <v>12755</v>
      </c>
      <c r="F3" s="25">
        <f>'Daily Meter Reading'!E4</f>
        <v>9283</v>
      </c>
      <c r="G3" s="24">
        <f>'Daily Meter Reading'!G4</f>
        <v>5782</v>
      </c>
      <c r="H3" s="26">
        <f>'Daily Meter Reading'!I4</f>
        <v>8412</v>
      </c>
      <c r="I3" s="25">
        <f>'Daily Meter Reading'!K4</f>
        <v>142</v>
      </c>
      <c r="J3" s="25">
        <f>'Daily Meter Reading'!M4</f>
        <v>19</v>
      </c>
      <c r="K3" s="25">
        <f>'Daily Meter Reading'!O4</f>
        <v>181</v>
      </c>
      <c r="L3" s="25">
        <f>'Daily Meter Reading'!Q4</f>
        <v>294</v>
      </c>
      <c r="M3" s="32">
        <v>93</v>
      </c>
    </row>
    <row r="4" spans="1:13" ht="13.5" customHeight="1" x14ac:dyDescent="0.25">
      <c r="A4" t="s">
        <v>25</v>
      </c>
      <c r="B4">
        <v>3</v>
      </c>
      <c r="C4" s="23">
        <v>4</v>
      </c>
      <c r="D4" s="23">
        <v>2022</v>
      </c>
      <c r="E4" s="24">
        <f>'Daily Meter Reading'!C5</f>
        <v>12338</v>
      </c>
      <c r="F4" s="25">
        <f>'Daily Meter Reading'!E5</f>
        <v>9343</v>
      </c>
      <c r="G4" s="24">
        <f>'Daily Meter Reading'!G5</f>
        <v>5286</v>
      </c>
      <c r="H4" s="26">
        <f>'Daily Meter Reading'!I5</f>
        <v>8335</v>
      </c>
      <c r="I4" s="25">
        <f>'Daily Meter Reading'!K5</f>
        <v>144</v>
      </c>
      <c r="J4" s="25">
        <f>'Daily Meter Reading'!M5</f>
        <v>11</v>
      </c>
      <c r="K4" s="25">
        <f>'Daily Meter Reading'!O5</f>
        <v>137</v>
      </c>
      <c r="L4" s="25">
        <f>'Daily Meter Reading'!Q5</f>
        <v>355</v>
      </c>
      <c r="M4" s="32">
        <v>68</v>
      </c>
    </row>
    <row r="5" spans="1:13" ht="12.75" customHeight="1" x14ac:dyDescent="0.25">
      <c r="A5" t="s">
        <v>25</v>
      </c>
      <c r="B5">
        <v>4</v>
      </c>
      <c r="C5" s="23">
        <v>4</v>
      </c>
      <c r="D5" s="23">
        <v>2022</v>
      </c>
      <c r="E5" s="24">
        <f>'Daily Meter Reading'!C6</f>
        <v>11688</v>
      </c>
      <c r="F5" s="25">
        <f>'Daily Meter Reading'!E6</f>
        <v>8676</v>
      </c>
      <c r="G5" s="24">
        <f>'Daily Meter Reading'!G6</f>
        <v>4915</v>
      </c>
      <c r="H5" s="26">
        <f>'Daily Meter Reading'!I6</f>
        <v>8223</v>
      </c>
      <c r="I5" s="25">
        <f>'Daily Meter Reading'!K6</f>
        <v>113</v>
      </c>
      <c r="J5" s="25">
        <f>'Daily Meter Reading'!M6</f>
        <v>20</v>
      </c>
      <c r="K5" s="25">
        <f>'Daily Meter Reading'!O6</f>
        <v>183</v>
      </c>
      <c r="L5" s="25">
        <f>'Daily Meter Reading'!Q6</f>
        <v>322</v>
      </c>
      <c r="M5" s="32">
        <v>64</v>
      </c>
    </row>
    <row r="6" spans="1:13" x14ac:dyDescent="0.25">
      <c r="A6" t="s">
        <v>25</v>
      </c>
      <c r="B6">
        <v>5</v>
      </c>
      <c r="C6" s="23">
        <v>4</v>
      </c>
      <c r="D6" s="23">
        <v>2022</v>
      </c>
      <c r="E6" s="24">
        <f>'Daily Meter Reading'!C7</f>
        <v>11524</v>
      </c>
      <c r="F6" s="25">
        <f>'Daily Meter Reading'!E7</f>
        <v>8698</v>
      </c>
      <c r="G6" s="24">
        <f>'Daily Meter Reading'!G7</f>
        <v>4807</v>
      </c>
      <c r="H6" s="26">
        <f>'Daily Meter Reading'!I7</f>
        <v>7914</v>
      </c>
      <c r="I6" s="25">
        <f>'Daily Meter Reading'!K7</f>
        <v>115</v>
      </c>
      <c r="J6" s="25">
        <f>'Daily Meter Reading'!M7</f>
        <v>9</v>
      </c>
      <c r="K6" s="25">
        <f>'Daily Meter Reading'!O7</f>
        <v>146</v>
      </c>
      <c r="L6" s="25">
        <f>'Daily Meter Reading'!Q7</f>
        <v>329</v>
      </c>
      <c r="M6" s="32">
        <v>78</v>
      </c>
    </row>
    <row r="7" spans="1:13" x14ac:dyDescent="0.25">
      <c r="A7" t="s">
        <v>25</v>
      </c>
      <c r="B7">
        <v>6</v>
      </c>
      <c r="C7" s="23">
        <v>4</v>
      </c>
      <c r="D7" s="23">
        <v>2022</v>
      </c>
      <c r="E7" s="24">
        <f>'Daily Meter Reading'!C8</f>
        <v>11805</v>
      </c>
      <c r="F7" s="25">
        <f>'Daily Meter Reading'!E8</f>
        <v>8545</v>
      </c>
      <c r="G7" s="24">
        <f>'Daily Meter Reading'!G8</f>
        <v>4846</v>
      </c>
      <c r="H7" s="26">
        <f>'Daily Meter Reading'!I8</f>
        <v>8021</v>
      </c>
      <c r="I7" s="25">
        <f>'Daily Meter Reading'!K8</f>
        <v>115</v>
      </c>
      <c r="J7" s="25">
        <f>'Daily Meter Reading'!M8</f>
        <v>3</v>
      </c>
      <c r="K7" s="25">
        <f>'Daily Meter Reading'!O8</f>
        <v>163</v>
      </c>
      <c r="L7" s="25">
        <f>'Daily Meter Reading'!Q8</f>
        <v>340</v>
      </c>
      <c r="M7" s="32">
        <v>92</v>
      </c>
    </row>
    <row r="8" spans="1:13" x14ac:dyDescent="0.25">
      <c r="A8" t="s">
        <v>25</v>
      </c>
      <c r="B8">
        <v>7</v>
      </c>
      <c r="C8" s="23">
        <v>4</v>
      </c>
      <c r="D8" s="23">
        <v>2022</v>
      </c>
      <c r="E8" s="24">
        <f>'Daily Meter Reading'!C9</f>
        <v>11764</v>
      </c>
      <c r="F8" s="25">
        <f>'Daily Meter Reading'!E9</f>
        <v>8921</v>
      </c>
      <c r="G8" s="24">
        <f>'Daily Meter Reading'!G9</f>
        <v>3635</v>
      </c>
      <c r="H8" s="26">
        <f>'Daily Meter Reading'!I9</f>
        <v>8247</v>
      </c>
      <c r="I8" s="25">
        <f>'Daily Meter Reading'!K9</f>
        <v>122</v>
      </c>
      <c r="J8" s="25">
        <f>'Daily Meter Reading'!M9</f>
        <v>35</v>
      </c>
      <c r="K8" s="25">
        <f>'Daily Meter Reading'!O9</f>
        <v>146</v>
      </c>
      <c r="L8" s="25">
        <f>'Daily Meter Reading'!Q9</f>
        <v>263</v>
      </c>
      <c r="M8" s="32">
        <v>92</v>
      </c>
    </row>
    <row r="9" spans="1:13" x14ac:dyDescent="0.25">
      <c r="A9" t="s">
        <v>25</v>
      </c>
      <c r="B9">
        <v>8</v>
      </c>
      <c r="C9" s="23">
        <v>4</v>
      </c>
      <c r="D9" s="23">
        <v>2022</v>
      </c>
      <c r="E9" s="24">
        <f>'Daily Meter Reading'!C10</f>
        <v>11935</v>
      </c>
      <c r="F9" s="25">
        <f>'Daily Meter Reading'!E10</f>
        <v>9474</v>
      </c>
      <c r="G9" s="24">
        <f>'Daily Meter Reading'!G10</f>
        <v>4007</v>
      </c>
      <c r="H9" s="26">
        <f>'Daily Meter Reading'!I10</f>
        <v>8389</v>
      </c>
      <c r="I9" s="25">
        <f>'Daily Meter Reading'!K10</f>
        <v>158</v>
      </c>
      <c r="J9" s="25">
        <f>'Daily Meter Reading'!M10</f>
        <v>62</v>
      </c>
      <c r="K9" s="25">
        <f>'Daily Meter Reading'!O10</f>
        <v>172</v>
      </c>
      <c r="L9" s="25">
        <f>'Daily Meter Reading'!Q10</f>
        <v>470</v>
      </c>
      <c r="M9" s="32">
        <v>91</v>
      </c>
    </row>
    <row r="10" spans="1:13" x14ac:dyDescent="0.25">
      <c r="A10" t="s">
        <v>25</v>
      </c>
      <c r="B10">
        <v>9</v>
      </c>
      <c r="C10" s="23">
        <v>4</v>
      </c>
      <c r="D10" s="23">
        <v>2022</v>
      </c>
      <c r="E10" s="24">
        <f>'Daily Meter Reading'!C11</f>
        <v>12243</v>
      </c>
      <c r="F10" s="25">
        <f>'Daily Meter Reading'!E11</f>
        <v>9472</v>
      </c>
      <c r="G10" s="24">
        <f>'Daily Meter Reading'!G11</f>
        <v>4913</v>
      </c>
      <c r="H10" s="26">
        <f>'Daily Meter Reading'!I11</f>
        <v>8532</v>
      </c>
      <c r="I10" s="25">
        <f>'Daily Meter Reading'!K11</f>
        <v>152</v>
      </c>
      <c r="J10" s="25">
        <f>'Daily Meter Reading'!M11</f>
        <v>20</v>
      </c>
      <c r="K10" s="25">
        <f>'Daily Meter Reading'!O11</f>
        <v>198</v>
      </c>
      <c r="L10" s="25">
        <f>'Daily Meter Reading'!Q11</f>
        <v>329</v>
      </c>
      <c r="M10" s="32">
        <v>117</v>
      </c>
    </row>
    <row r="11" spans="1:13" x14ac:dyDescent="0.25">
      <c r="A11" t="s">
        <v>25</v>
      </c>
      <c r="B11">
        <v>10</v>
      </c>
      <c r="C11" s="23">
        <v>4</v>
      </c>
      <c r="D11" s="23">
        <v>2022</v>
      </c>
      <c r="E11" s="24">
        <f>'Daily Meter Reading'!C12</f>
        <v>11009</v>
      </c>
      <c r="F11" s="25">
        <f>'Daily Meter Reading'!E12</f>
        <v>8650</v>
      </c>
      <c r="G11" s="24">
        <f>'Daily Meter Reading'!G12</f>
        <v>4809</v>
      </c>
      <c r="H11" s="26">
        <f>'Daily Meter Reading'!I12</f>
        <v>7838</v>
      </c>
      <c r="I11" s="25">
        <f>'Daily Meter Reading'!K12</f>
        <v>132</v>
      </c>
      <c r="J11" s="25">
        <f>'Daily Meter Reading'!M12</f>
        <v>13</v>
      </c>
      <c r="K11" s="25">
        <f>'Daily Meter Reading'!O12</f>
        <v>108</v>
      </c>
      <c r="L11" s="25">
        <f>'Daily Meter Reading'!Q12</f>
        <v>330</v>
      </c>
      <c r="M11" s="32">
        <v>98</v>
      </c>
    </row>
    <row r="12" spans="1:13" x14ac:dyDescent="0.25">
      <c r="A12" t="s">
        <v>25</v>
      </c>
      <c r="B12">
        <v>11</v>
      </c>
      <c r="C12" s="23">
        <v>4</v>
      </c>
      <c r="D12" s="23">
        <v>2022</v>
      </c>
      <c r="E12" s="24">
        <f>'Daily Meter Reading'!C13</f>
        <v>11818</v>
      </c>
      <c r="F12" s="25">
        <f>'Daily Meter Reading'!E13</f>
        <v>9091</v>
      </c>
      <c r="G12" s="24">
        <f>'Daily Meter Reading'!G13</f>
        <v>4066</v>
      </c>
      <c r="H12" s="26">
        <f>'Daily Meter Reading'!I13</f>
        <v>7927</v>
      </c>
      <c r="I12" s="25">
        <f>'Daily Meter Reading'!K13</f>
        <v>109</v>
      </c>
      <c r="J12" s="25">
        <f>'Daily Meter Reading'!M13</f>
        <v>50</v>
      </c>
      <c r="K12" s="25">
        <f>'Daily Meter Reading'!O13</f>
        <v>136</v>
      </c>
      <c r="L12" s="25">
        <f>'Daily Meter Reading'!Q13</f>
        <v>279</v>
      </c>
      <c r="M12" s="32">
        <v>116</v>
      </c>
    </row>
    <row r="13" spans="1:13" x14ac:dyDescent="0.25">
      <c r="A13" t="s">
        <v>25</v>
      </c>
      <c r="B13">
        <v>12</v>
      </c>
      <c r="C13" s="23">
        <v>4</v>
      </c>
      <c r="D13" s="23">
        <v>2022</v>
      </c>
      <c r="E13" s="24">
        <f>'Daily Meter Reading'!C14</f>
        <v>12197</v>
      </c>
      <c r="F13" s="25">
        <f>'Daily Meter Reading'!E14</f>
        <v>9447</v>
      </c>
      <c r="G13" s="24">
        <f>'Daily Meter Reading'!G14</f>
        <v>4959</v>
      </c>
      <c r="H13" s="26">
        <f>'Daily Meter Reading'!I14</f>
        <v>8424</v>
      </c>
      <c r="I13" s="25">
        <f>'Daily Meter Reading'!K14</f>
        <v>122</v>
      </c>
      <c r="J13" s="25">
        <f>'Daily Meter Reading'!M14</f>
        <v>63</v>
      </c>
      <c r="K13" s="25">
        <f>'Daily Meter Reading'!O14</f>
        <v>149</v>
      </c>
      <c r="L13" s="25">
        <f>'Daily Meter Reading'!Q14</f>
        <v>464</v>
      </c>
      <c r="M13" s="32">
        <v>119</v>
      </c>
    </row>
    <row r="14" spans="1:13" x14ac:dyDescent="0.25">
      <c r="A14" t="s">
        <v>25</v>
      </c>
      <c r="B14">
        <v>13</v>
      </c>
      <c r="C14" s="23">
        <v>4</v>
      </c>
      <c r="D14" s="23">
        <v>2022</v>
      </c>
      <c r="E14" s="24">
        <f>'Daily Meter Reading'!C15</f>
        <v>11334</v>
      </c>
      <c r="F14" s="25">
        <f>'Daily Meter Reading'!E15</f>
        <v>8997</v>
      </c>
      <c r="G14" s="24">
        <f>'Daily Meter Reading'!G15</f>
        <v>5759</v>
      </c>
      <c r="H14" s="26">
        <f>'Daily Meter Reading'!I15</f>
        <v>7507</v>
      </c>
      <c r="I14" s="25">
        <f>'Daily Meter Reading'!K15</f>
        <v>129</v>
      </c>
      <c r="J14" s="25">
        <f>'Daily Meter Reading'!M15</f>
        <v>46</v>
      </c>
      <c r="K14" s="25">
        <f>'Daily Meter Reading'!O15</f>
        <v>173</v>
      </c>
      <c r="L14" s="25">
        <f>'Daily Meter Reading'!Q15</f>
        <v>318</v>
      </c>
      <c r="M14" s="32">
        <v>97</v>
      </c>
    </row>
    <row r="15" spans="1:13" x14ac:dyDescent="0.25">
      <c r="A15" t="s">
        <v>25</v>
      </c>
      <c r="B15">
        <v>14</v>
      </c>
      <c r="C15" s="23">
        <v>4</v>
      </c>
      <c r="D15" s="23">
        <v>2022</v>
      </c>
      <c r="E15" s="24">
        <f>'Daily Meter Reading'!C16</f>
        <v>11780</v>
      </c>
      <c r="F15" s="25">
        <f>'Daily Meter Reading'!E16</f>
        <v>9037</v>
      </c>
      <c r="G15" s="24">
        <f>'Daily Meter Reading'!G16</f>
        <v>5955</v>
      </c>
      <c r="H15" s="26">
        <f>'Daily Meter Reading'!I16</f>
        <v>7861</v>
      </c>
      <c r="I15" s="25">
        <f>'Daily Meter Reading'!K16</f>
        <v>138</v>
      </c>
      <c r="J15" s="25">
        <f>'Daily Meter Reading'!M16</f>
        <v>57</v>
      </c>
      <c r="K15" s="25">
        <f>'Daily Meter Reading'!O16</f>
        <v>151</v>
      </c>
      <c r="L15" s="25">
        <f>'Daily Meter Reading'!Q16</f>
        <v>517</v>
      </c>
      <c r="M15" s="32">
        <v>97</v>
      </c>
    </row>
    <row r="16" spans="1:13" x14ac:dyDescent="0.25">
      <c r="A16" t="s">
        <v>25</v>
      </c>
      <c r="B16">
        <v>15</v>
      </c>
      <c r="C16" s="23">
        <v>4</v>
      </c>
      <c r="D16" s="23">
        <v>2022</v>
      </c>
      <c r="E16" s="24">
        <f>'Daily Meter Reading'!C17</f>
        <v>12260</v>
      </c>
      <c r="F16" s="25">
        <f>'Daily Meter Reading'!E17</f>
        <v>9754</v>
      </c>
      <c r="G16" s="24">
        <f>'Daily Meter Reading'!G17</f>
        <v>5554</v>
      </c>
      <c r="H16" s="26">
        <f>'Daily Meter Reading'!I17</f>
        <v>8230</v>
      </c>
      <c r="I16" s="25">
        <f>'Daily Meter Reading'!K17</f>
        <v>116</v>
      </c>
      <c r="J16" s="25">
        <f>'Daily Meter Reading'!M17</f>
        <v>61</v>
      </c>
      <c r="K16" s="25">
        <f>'Daily Meter Reading'!O17</f>
        <v>171</v>
      </c>
      <c r="L16" s="25">
        <f>'Daily Meter Reading'!Q17</f>
        <v>477</v>
      </c>
      <c r="M16" s="32">
        <v>131</v>
      </c>
    </row>
    <row r="17" spans="1:13" x14ac:dyDescent="0.25">
      <c r="A17" t="s">
        <v>25</v>
      </c>
      <c r="B17">
        <v>16</v>
      </c>
      <c r="C17" s="23">
        <v>4</v>
      </c>
      <c r="D17" s="23">
        <v>2022</v>
      </c>
      <c r="E17" s="24">
        <f>'Daily Meter Reading'!C18</f>
        <v>12302</v>
      </c>
      <c r="F17" s="25">
        <f>'Daily Meter Reading'!E18</f>
        <v>9961</v>
      </c>
      <c r="G17" s="24">
        <f>'Daily Meter Reading'!G18</f>
        <v>5667</v>
      </c>
      <c r="H17" s="26">
        <f>'Daily Meter Reading'!I18</f>
        <v>8461</v>
      </c>
      <c r="I17" s="25">
        <f>'Daily Meter Reading'!K18</f>
        <v>140</v>
      </c>
      <c r="J17" s="25">
        <f>'Daily Meter Reading'!M18</f>
        <v>84</v>
      </c>
      <c r="K17" s="25">
        <f>'Daily Meter Reading'!O18</f>
        <v>148</v>
      </c>
      <c r="L17" s="25">
        <f>'Daily Meter Reading'!Q18</f>
        <v>303</v>
      </c>
      <c r="M17" s="32">
        <v>147</v>
      </c>
    </row>
    <row r="18" spans="1:13" x14ac:dyDescent="0.25">
      <c r="A18" t="s">
        <v>25</v>
      </c>
      <c r="B18">
        <v>17</v>
      </c>
      <c r="C18" s="23">
        <v>4</v>
      </c>
      <c r="D18" s="23">
        <v>2022</v>
      </c>
      <c r="E18" s="24">
        <f>'Daily Meter Reading'!C19</f>
        <v>11625</v>
      </c>
      <c r="F18" s="25">
        <f>'Daily Meter Reading'!E19</f>
        <v>8632</v>
      </c>
      <c r="G18" s="24">
        <f>'Daily Meter Reading'!G19</f>
        <v>6223</v>
      </c>
      <c r="H18" s="26">
        <f>'Daily Meter Reading'!I19</f>
        <v>7328</v>
      </c>
      <c r="I18" s="25">
        <f>'Daily Meter Reading'!K19</f>
        <v>136</v>
      </c>
      <c r="J18" s="25">
        <f>'Daily Meter Reading'!M19</f>
        <v>12</v>
      </c>
      <c r="K18" s="25">
        <f>'Daily Meter Reading'!O19</f>
        <v>107</v>
      </c>
      <c r="L18" s="25">
        <f>'Daily Meter Reading'!Q19</f>
        <v>383</v>
      </c>
      <c r="M18" s="32">
        <v>86</v>
      </c>
    </row>
    <row r="19" spans="1:13" x14ac:dyDescent="0.25">
      <c r="A19" t="s">
        <v>25</v>
      </c>
      <c r="B19">
        <v>18</v>
      </c>
      <c r="C19" s="23">
        <v>4</v>
      </c>
      <c r="D19" s="23">
        <v>2022</v>
      </c>
      <c r="E19" s="24">
        <f>'Daily Meter Reading'!C20</f>
        <v>11939</v>
      </c>
      <c r="F19" s="25">
        <f>'Daily Meter Reading'!E20</f>
        <v>8799</v>
      </c>
      <c r="G19" s="24">
        <f>'Daily Meter Reading'!G20</f>
        <v>6845</v>
      </c>
      <c r="H19" s="26">
        <f>'Daily Meter Reading'!I20</f>
        <v>6646</v>
      </c>
      <c r="I19" s="25">
        <f>'Daily Meter Reading'!K20</f>
        <v>100</v>
      </c>
      <c r="J19" s="25">
        <f>'Daily Meter Reading'!M20</f>
        <v>37</v>
      </c>
      <c r="K19" s="25">
        <f>'Daily Meter Reading'!O20</f>
        <v>144</v>
      </c>
      <c r="L19" s="25">
        <f>'Daily Meter Reading'!Q20</f>
        <v>449</v>
      </c>
      <c r="M19" s="32">
        <v>86</v>
      </c>
    </row>
    <row r="20" spans="1:13" x14ac:dyDescent="0.25">
      <c r="A20" t="s">
        <v>25</v>
      </c>
      <c r="B20">
        <v>19</v>
      </c>
      <c r="C20" s="23">
        <v>4</v>
      </c>
      <c r="D20" s="23">
        <v>2022</v>
      </c>
      <c r="E20" s="24">
        <f>'Daily Meter Reading'!C21</f>
        <v>11287</v>
      </c>
      <c r="F20" s="25">
        <f>'Daily Meter Reading'!E21</f>
        <v>8597</v>
      </c>
      <c r="G20" s="24">
        <f>'Daily Meter Reading'!G21</f>
        <v>6004</v>
      </c>
      <c r="H20" s="26">
        <f>'Daily Meter Reading'!I21</f>
        <v>7261</v>
      </c>
      <c r="I20" s="25">
        <f>'Daily Meter Reading'!K21</f>
        <v>116</v>
      </c>
      <c r="J20" s="25">
        <f>'Daily Meter Reading'!M21</f>
        <v>33</v>
      </c>
      <c r="K20" s="25">
        <f>'Daily Meter Reading'!O21</f>
        <v>149</v>
      </c>
      <c r="L20" s="25">
        <f>'Daily Meter Reading'!Q21</f>
        <v>158</v>
      </c>
      <c r="M20" s="32">
        <v>92</v>
      </c>
    </row>
    <row r="21" spans="1:13" x14ac:dyDescent="0.25">
      <c r="A21" t="s">
        <v>25</v>
      </c>
      <c r="B21">
        <v>20</v>
      </c>
      <c r="C21" s="23">
        <v>4</v>
      </c>
      <c r="D21" s="23">
        <v>2022</v>
      </c>
      <c r="E21" s="24">
        <f>'Daily Meter Reading'!C22</f>
        <v>12102</v>
      </c>
      <c r="F21" s="25">
        <f>'Daily Meter Reading'!E22</f>
        <v>9224</v>
      </c>
      <c r="G21" s="24">
        <f>'Daily Meter Reading'!G22</f>
        <v>6238</v>
      </c>
      <c r="H21" s="26">
        <f>'Daily Meter Reading'!I22</f>
        <v>7706</v>
      </c>
      <c r="I21" s="25">
        <f>'Daily Meter Reading'!K22</f>
        <v>107</v>
      </c>
      <c r="J21" s="25">
        <f>'Daily Meter Reading'!M22</f>
        <v>42</v>
      </c>
      <c r="K21" s="25">
        <f>'Daily Meter Reading'!O22</f>
        <v>149</v>
      </c>
      <c r="L21" s="25">
        <f>'Daily Meter Reading'!Q22</f>
        <v>518</v>
      </c>
      <c r="M21" s="32">
        <v>101</v>
      </c>
    </row>
    <row r="22" spans="1:13" x14ac:dyDescent="0.25">
      <c r="A22" t="s">
        <v>25</v>
      </c>
      <c r="B22">
        <v>21</v>
      </c>
      <c r="C22" s="23">
        <v>4</v>
      </c>
      <c r="D22" s="23">
        <v>2022</v>
      </c>
      <c r="E22" s="24">
        <f>'Daily Meter Reading'!C23</f>
        <v>11769</v>
      </c>
      <c r="F22" s="25">
        <f>'Daily Meter Reading'!E23</f>
        <v>9420</v>
      </c>
      <c r="G22" s="24">
        <f>'Daily Meter Reading'!G23</f>
        <v>5641</v>
      </c>
      <c r="H22" s="26">
        <f>'Daily Meter Reading'!I23</f>
        <v>7705</v>
      </c>
      <c r="I22" s="25">
        <f>'Daily Meter Reading'!K23</f>
        <v>117</v>
      </c>
      <c r="J22" s="25">
        <f>'Daily Meter Reading'!M23</f>
        <v>66</v>
      </c>
      <c r="K22" s="25">
        <f>'Daily Meter Reading'!O23</f>
        <v>145</v>
      </c>
      <c r="L22" s="25">
        <f>'Daily Meter Reading'!Q23</f>
        <v>300</v>
      </c>
      <c r="M22" s="32">
        <v>105</v>
      </c>
    </row>
    <row r="23" spans="1:13" x14ac:dyDescent="0.25">
      <c r="A23" t="s">
        <v>25</v>
      </c>
      <c r="B23">
        <v>22</v>
      </c>
      <c r="C23" s="23">
        <v>4</v>
      </c>
      <c r="D23" s="23">
        <v>2022</v>
      </c>
      <c r="E23" s="24">
        <f>'Daily Meter Reading'!C24</f>
        <v>11594</v>
      </c>
      <c r="F23" s="25">
        <f>'Daily Meter Reading'!E24</f>
        <v>9179</v>
      </c>
      <c r="G23" s="24">
        <f>'Daily Meter Reading'!G24</f>
        <v>5621</v>
      </c>
      <c r="H23" s="26">
        <f>'Daily Meter Reading'!I24</f>
        <v>7547</v>
      </c>
      <c r="I23" s="25">
        <f>'Daily Meter Reading'!K24</f>
        <v>104</v>
      </c>
      <c r="J23" s="25">
        <f>'Daily Meter Reading'!M24</f>
        <v>53</v>
      </c>
      <c r="K23" s="25">
        <f>'Daily Meter Reading'!O24</f>
        <v>145</v>
      </c>
      <c r="L23" s="25">
        <f>'Daily Meter Reading'!Q24</f>
        <v>147</v>
      </c>
      <c r="M23" s="32">
        <v>118</v>
      </c>
    </row>
    <row r="24" spans="1:13" x14ac:dyDescent="0.25">
      <c r="A24" t="s">
        <v>25</v>
      </c>
      <c r="B24">
        <v>23</v>
      </c>
      <c r="C24" s="23">
        <v>4</v>
      </c>
      <c r="D24" s="23">
        <v>2022</v>
      </c>
      <c r="E24" s="24">
        <f>'Daily Meter Reading'!C25</f>
        <v>11852</v>
      </c>
      <c r="F24" s="25">
        <f>'Daily Meter Reading'!E25</f>
        <v>8962</v>
      </c>
      <c r="G24" s="24">
        <f>'Daily Meter Reading'!G25</f>
        <v>5538</v>
      </c>
      <c r="H24" s="26">
        <f>'Daily Meter Reading'!I25</f>
        <v>7427</v>
      </c>
      <c r="I24" s="25">
        <f>'Daily Meter Reading'!K25</f>
        <v>129</v>
      </c>
      <c r="J24" s="25">
        <f>'Daily Meter Reading'!M25</f>
        <v>21</v>
      </c>
      <c r="K24" s="25">
        <f>'Daily Meter Reading'!O25</f>
        <v>178</v>
      </c>
      <c r="L24" s="25">
        <f>'Daily Meter Reading'!Q25</f>
        <v>357</v>
      </c>
      <c r="M24" s="32">
        <v>116</v>
      </c>
    </row>
    <row r="25" spans="1:13" x14ac:dyDescent="0.25">
      <c r="A25" t="s">
        <v>25</v>
      </c>
      <c r="B25">
        <v>24</v>
      </c>
      <c r="C25" s="23">
        <v>4</v>
      </c>
      <c r="D25" s="23">
        <v>2022</v>
      </c>
      <c r="E25" s="24">
        <f>'Daily Meter Reading'!C26</f>
        <v>10820</v>
      </c>
      <c r="F25" s="25">
        <f>'Daily Meter Reading'!E26</f>
        <v>8299</v>
      </c>
      <c r="G25" s="24">
        <f>'Daily Meter Reading'!G26</f>
        <v>5363</v>
      </c>
      <c r="H25" s="26">
        <f>'Daily Meter Reading'!I26</f>
        <v>7133</v>
      </c>
      <c r="I25" s="25">
        <f>'Daily Meter Reading'!K26</f>
        <v>129</v>
      </c>
      <c r="J25" s="25">
        <f>'Daily Meter Reading'!M26</f>
        <v>32</v>
      </c>
      <c r="K25" s="25">
        <f>'Daily Meter Reading'!O26</f>
        <v>122</v>
      </c>
      <c r="L25" s="25">
        <f>'Daily Meter Reading'!Q26</f>
        <v>260</v>
      </c>
      <c r="M25" s="32">
        <v>87</v>
      </c>
    </row>
    <row r="26" spans="1:13" x14ac:dyDescent="0.25">
      <c r="A26" t="s">
        <v>25</v>
      </c>
      <c r="B26">
        <v>25</v>
      </c>
      <c r="C26" s="23">
        <v>4</v>
      </c>
      <c r="D26" s="23">
        <v>2022</v>
      </c>
      <c r="E26" s="24">
        <f>'Daily Meter Reading'!C27</f>
        <v>11532</v>
      </c>
      <c r="F26" s="25">
        <f>'Daily Meter Reading'!E27</f>
        <v>8807</v>
      </c>
      <c r="G26" s="24">
        <f>'Daily Meter Reading'!G27</f>
        <v>5117</v>
      </c>
      <c r="H26" s="26">
        <f>'Daily Meter Reading'!I27</f>
        <v>7498</v>
      </c>
      <c r="I26" s="25">
        <f>'Daily Meter Reading'!K27</f>
        <v>104</v>
      </c>
      <c r="J26" s="25">
        <f>'Daily Meter Reading'!M27</f>
        <v>39</v>
      </c>
      <c r="K26" s="25">
        <f>'Daily Meter Reading'!O27</f>
        <v>188</v>
      </c>
      <c r="L26" s="25">
        <f>'Daily Meter Reading'!Q27</f>
        <v>290</v>
      </c>
      <c r="M26" s="32">
        <v>77</v>
      </c>
    </row>
    <row r="27" spans="1:13" x14ac:dyDescent="0.25">
      <c r="A27" t="s">
        <v>25</v>
      </c>
      <c r="B27">
        <v>26</v>
      </c>
      <c r="C27" s="23">
        <v>4</v>
      </c>
      <c r="D27" s="23">
        <v>2022</v>
      </c>
      <c r="E27" s="24">
        <f>'Daily Meter Reading'!C28</f>
        <v>11729</v>
      </c>
      <c r="F27" s="25">
        <f>'Daily Meter Reading'!E28</f>
        <v>9304</v>
      </c>
      <c r="G27" s="24">
        <f>'Daily Meter Reading'!G28</f>
        <v>5735</v>
      </c>
      <c r="H27" s="26">
        <f>'Daily Meter Reading'!I28</f>
        <v>8225</v>
      </c>
      <c r="I27" s="25">
        <f>'Daily Meter Reading'!K28</f>
        <v>143</v>
      </c>
      <c r="J27" s="25">
        <f>'Daily Meter Reading'!M28</f>
        <v>56</v>
      </c>
      <c r="K27" s="25">
        <f>'Daily Meter Reading'!O28</f>
        <v>162</v>
      </c>
      <c r="L27" s="25">
        <f>'Daily Meter Reading'!Q28</f>
        <v>433</v>
      </c>
      <c r="M27" s="32">
        <v>84</v>
      </c>
    </row>
    <row r="28" spans="1:13" x14ac:dyDescent="0.25">
      <c r="A28" t="s">
        <v>25</v>
      </c>
      <c r="B28">
        <v>27</v>
      </c>
      <c r="C28" s="23">
        <v>4</v>
      </c>
      <c r="D28" s="23">
        <v>2022</v>
      </c>
      <c r="E28" s="24">
        <f>'Daily Meter Reading'!C29</f>
        <v>11926</v>
      </c>
      <c r="F28" s="25">
        <f>'Daily Meter Reading'!E29</f>
        <v>9524</v>
      </c>
      <c r="G28" s="24">
        <f>'Daily Meter Reading'!G29</f>
        <v>5868</v>
      </c>
      <c r="H28" s="26">
        <f>'Daily Meter Reading'!I29</f>
        <v>8110</v>
      </c>
      <c r="I28" s="25">
        <f>'Daily Meter Reading'!K29</f>
        <v>122</v>
      </c>
      <c r="J28" s="25">
        <f>'Daily Meter Reading'!M29</f>
        <v>88</v>
      </c>
      <c r="K28" s="25">
        <f>'Daily Meter Reading'!O29</f>
        <v>155</v>
      </c>
      <c r="L28" s="25">
        <f>'Daily Meter Reading'!Q29</f>
        <v>479</v>
      </c>
      <c r="M28" s="32">
        <v>86</v>
      </c>
    </row>
    <row r="29" spans="1:13" x14ac:dyDescent="0.25">
      <c r="A29" t="s">
        <v>25</v>
      </c>
      <c r="B29">
        <v>28</v>
      </c>
      <c r="C29" s="23">
        <v>4</v>
      </c>
      <c r="D29" s="23">
        <v>2022</v>
      </c>
      <c r="E29" s="24">
        <f>'Daily Meter Reading'!C30</f>
        <v>11852</v>
      </c>
      <c r="F29" s="25">
        <f>'Daily Meter Reading'!E30</f>
        <v>9018</v>
      </c>
      <c r="G29" s="24">
        <f>'Daily Meter Reading'!G30</f>
        <v>5891</v>
      </c>
      <c r="H29" s="26">
        <f>'Daily Meter Reading'!I30</f>
        <v>8239</v>
      </c>
      <c r="I29" s="25">
        <f>'Daily Meter Reading'!K30</f>
        <v>99</v>
      </c>
      <c r="J29" s="25">
        <f>'Daily Meter Reading'!M30</f>
        <v>30</v>
      </c>
      <c r="K29" s="25">
        <f>'Daily Meter Reading'!O30</f>
        <v>170</v>
      </c>
      <c r="L29" s="25">
        <f>'Daily Meter Reading'!Q30</f>
        <v>554</v>
      </c>
      <c r="M29" s="32">
        <v>77</v>
      </c>
    </row>
    <row r="30" spans="1:13" x14ac:dyDescent="0.25">
      <c r="A30" t="s">
        <v>25</v>
      </c>
      <c r="B30">
        <v>29</v>
      </c>
      <c r="C30" s="23">
        <v>4</v>
      </c>
      <c r="D30" s="23">
        <v>2022</v>
      </c>
      <c r="E30" s="24">
        <f>'Daily Meter Reading'!C31</f>
        <v>10470</v>
      </c>
      <c r="F30" s="25">
        <f>'Daily Meter Reading'!E31</f>
        <v>8179</v>
      </c>
      <c r="G30" s="24">
        <f>'Daily Meter Reading'!G31</f>
        <v>5725</v>
      </c>
      <c r="H30" s="26">
        <f>'Daily Meter Reading'!I31</f>
        <v>7158</v>
      </c>
      <c r="I30" s="25">
        <f>'Daily Meter Reading'!K31</f>
        <v>105</v>
      </c>
      <c r="J30" s="25">
        <f>'Daily Meter Reading'!M31</f>
        <v>9</v>
      </c>
      <c r="K30" s="25">
        <f>'Daily Meter Reading'!O31</f>
        <v>179</v>
      </c>
      <c r="L30" s="25">
        <f>'Daily Meter Reading'!Q31</f>
        <v>449</v>
      </c>
      <c r="M30" s="32">
        <v>79</v>
      </c>
    </row>
    <row r="31" spans="1:13" x14ac:dyDescent="0.25">
      <c r="A31" t="s">
        <v>25</v>
      </c>
      <c r="B31">
        <v>30</v>
      </c>
      <c r="C31" s="23">
        <v>4</v>
      </c>
      <c r="D31" s="23">
        <v>2022</v>
      </c>
      <c r="E31" s="24">
        <f>'Daily Meter Reading'!C32</f>
        <v>13608</v>
      </c>
      <c r="F31" s="25">
        <f>'Daily Meter Reading'!E32</f>
        <v>10213</v>
      </c>
      <c r="G31" s="24">
        <f>'Daily Meter Reading'!G32</f>
        <v>5625</v>
      </c>
      <c r="H31" s="26">
        <f>'Daily Meter Reading'!I32</f>
        <v>9164</v>
      </c>
      <c r="I31" s="25">
        <f>'Daily Meter Reading'!K32</f>
        <v>122</v>
      </c>
      <c r="J31" s="25">
        <f>'Daily Meter Reading'!M32</f>
        <v>7</v>
      </c>
      <c r="K31" s="25">
        <f>'Daily Meter Reading'!O32</f>
        <v>166</v>
      </c>
      <c r="L31" s="25">
        <f>'Daily Meter Reading'!Q32</f>
        <v>608</v>
      </c>
      <c r="M31" s="32">
        <v>126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70" zoomScaleNormal="70" workbookViewId="0">
      <selection activeCell="N39" sqref="N39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5" t="s">
        <v>1</v>
      </c>
      <c r="C1" s="36"/>
      <c r="D1" s="37" t="s">
        <v>2</v>
      </c>
      <c r="E1" s="38"/>
      <c r="F1" s="37" t="s">
        <v>3</v>
      </c>
      <c r="G1" s="38"/>
      <c r="H1" s="35" t="s">
        <v>4</v>
      </c>
      <c r="I1" s="36"/>
      <c r="J1" s="33" t="s">
        <v>5</v>
      </c>
      <c r="K1" s="34"/>
      <c r="L1" s="33" t="s">
        <v>6</v>
      </c>
      <c r="M1" s="34"/>
      <c r="N1" s="33" t="s">
        <v>7</v>
      </c>
      <c r="O1" s="34"/>
      <c r="P1" s="35" t="s">
        <v>8</v>
      </c>
      <c r="Q1" s="36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3">
        <v>1489041</v>
      </c>
      <c r="C3" s="11">
        <f t="shared" ref="C3:C32" si="0">B4-B3</f>
        <v>9776</v>
      </c>
      <c r="D3" s="13">
        <v>5244961</v>
      </c>
      <c r="E3" s="11">
        <f t="shared" ref="E3:E32" si="1">D4-D3</f>
        <v>7693</v>
      </c>
      <c r="F3" s="13">
        <v>2565104</v>
      </c>
      <c r="G3" s="11">
        <f t="shared" ref="G3:G32" si="2">F4-F3</f>
        <v>5099</v>
      </c>
      <c r="H3" s="13">
        <v>5692913</v>
      </c>
      <c r="I3" s="11">
        <f t="shared" ref="I3:I32" si="3">H4-H3</f>
        <v>6994</v>
      </c>
      <c r="J3" s="13">
        <v>126543</v>
      </c>
      <c r="K3" s="12">
        <f>J4-J3</f>
        <v>110</v>
      </c>
      <c r="L3" s="13">
        <v>17009</v>
      </c>
      <c r="M3" s="12">
        <f>L4-L3</f>
        <v>0</v>
      </c>
      <c r="N3" s="13">
        <v>167910</v>
      </c>
      <c r="O3" s="12">
        <f>N4-N3</f>
        <v>172</v>
      </c>
      <c r="P3" s="10">
        <v>404158</v>
      </c>
      <c r="Q3" s="14">
        <f>P4-P3</f>
        <v>254</v>
      </c>
    </row>
    <row r="4" spans="1:17" ht="18" x14ac:dyDescent="0.25">
      <c r="A4" s="9">
        <v>2</v>
      </c>
      <c r="B4" s="10">
        <v>1498817</v>
      </c>
      <c r="C4" s="11">
        <f t="shared" si="0"/>
        <v>12755</v>
      </c>
      <c r="D4" s="10">
        <v>5252654</v>
      </c>
      <c r="E4" s="11">
        <f t="shared" si="1"/>
        <v>9283</v>
      </c>
      <c r="F4" s="10">
        <v>2570203</v>
      </c>
      <c r="G4" s="11">
        <f t="shared" si="2"/>
        <v>5782</v>
      </c>
      <c r="H4" s="10">
        <v>5699907</v>
      </c>
      <c r="I4" s="11">
        <f t="shared" si="3"/>
        <v>8412</v>
      </c>
      <c r="J4" s="10">
        <v>126653</v>
      </c>
      <c r="K4" s="12">
        <f>J5-J4</f>
        <v>142</v>
      </c>
      <c r="L4" s="13">
        <v>17009</v>
      </c>
      <c r="M4" s="12">
        <f t="shared" ref="M4:M31" si="4">L5-L4</f>
        <v>19</v>
      </c>
      <c r="N4" s="13">
        <v>168082</v>
      </c>
      <c r="O4" s="12">
        <f t="shared" ref="O4:O31" si="5">N5-N4</f>
        <v>181</v>
      </c>
      <c r="P4" s="10">
        <v>404412</v>
      </c>
      <c r="Q4" s="14">
        <f t="shared" ref="Q4:Q31" si="6">P5-P4</f>
        <v>294</v>
      </c>
    </row>
    <row r="5" spans="1:17" ht="18" x14ac:dyDescent="0.25">
      <c r="A5" s="9">
        <v>3</v>
      </c>
      <c r="B5" s="10">
        <v>1511572</v>
      </c>
      <c r="C5" s="11">
        <f t="shared" si="0"/>
        <v>12338</v>
      </c>
      <c r="D5" s="10">
        <v>5261937</v>
      </c>
      <c r="E5" s="11">
        <f t="shared" si="1"/>
        <v>9343</v>
      </c>
      <c r="F5" s="10">
        <v>2575985</v>
      </c>
      <c r="G5" s="11">
        <f t="shared" si="2"/>
        <v>5286</v>
      </c>
      <c r="H5" s="10">
        <v>5708319</v>
      </c>
      <c r="I5" s="11">
        <f t="shared" si="3"/>
        <v>8335</v>
      </c>
      <c r="J5" s="10">
        <v>126795</v>
      </c>
      <c r="K5" s="12">
        <f>J6-J5</f>
        <v>144</v>
      </c>
      <c r="L5" s="13">
        <v>17028</v>
      </c>
      <c r="M5" s="12">
        <f t="shared" si="4"/>
        <v>11</v>
      </c>
      <c r="N5" s="13">
        <v>168263</v>
      </c>
      <c r="O5" s="12">
        <f t="shared" si="5"/>
        <v>137</v>
      </c>
      <c r="P5" s="10">
        <v>404706</v>
      </c>
      <c r="Q5" s="14">
        <f t="shared" si="6"/>
        <v>355</v>
      </c>
    </row>
    <row r="6" spans="1:17" ht="18" x14ac:dyDescent="0.25">
      <c r="A6" s="9">
        <v>4</v>
      </c>
      <c r="B6" s="10">
        <v>1523910</v>
      </c>
      <c r="C6" s="11">
        <f t="shared" si="0"/>
        <v>11688</v>
      </c>
      <c r="D6" s="10">
        <v>5271280</v>
      </c>
      <c r="E6" s="11">
        <f t="shared" si="1"/>
        <v>8676</v>
      </c>
      <c r="F6" s="10">
        <v>2581271</v>
      </c>
      <c r="G6" s="11">
        <f t="shared" si="2"/>
        <v>4915</v>
      </c>
      <c r="H6" s="10">
        <v>5716654</v>
      </c>
      <c r="I6" s="11">
        <f t="shared" si="3"/>
        <v>8223</v>
      </c>
      <c r="J6" s="10">
        <v>126939</v>
      </c>
      <c r="K6" s="12">
        <f>J7-J6</f>
        <v>113</v>
      </c>
      <c r="L6" s="13">
        <v>17039</v>
      </c>
      <c r="M6" s="12">
        <f t="shared" si="4"/>
        <v>20</v>
      </c>
      <c r="N6" s="13">
        <v>168400</v>
      </c>
      <c r="O6" s="12">
        <f t="shared" si="5"/>
        <v>183</v>
      </c>
      <c r="P6" s="10">
        <v>405061</v>
      </c>
      <c r="Q6" s="14">
        <f t="shared" si="6"/>
        <v>322</v>
      </c>
    </row>
    <row r="7" spans="1:17" ht="18" x14ac:dyDescent="0.25">
      <c r="A7" s="15">
        <v>5</v>
      </c>
      <c r="B7" s="10">
        <v>1535598</v>
      </c>
      <c r="C7" s="11">
        <f t="shared" si="0"/>
        <v>11524</v>
      </c>
      <c r="D7" s="10">
        <v>5279956</v>
      </c>
      <c r="E7" s="11">
        <f t="shared" si="1"/>
        <v>8698</v>
      </c>
      <c r="F7" s="10">
        <v>2586186</v>
      </c>
      <c r="G7" s="11">
        <f t="shared" si="2"/>
        <v>4807</v>
      </c>
      <c r="H7" s="10">
        <v>5724877</v>
      </c>
      <c r="I7" s="11">
        <f t="shared" si="3"/>
        <v>7914</v>
      </c>
      <c r="J7" s="10">
        <v>127052</v>
      </c>
      <c r="K7" s="12">
        <f t="shared" ref="K7:K20" si="7">SUM(J8-J7)</f>
        <v>115</v>
      </c>
      <c r="L7" s="13">
        <v>17059</v>
      </c>
      <c r="M7" s="12">
        <f t="shared" si="4"/>
        <v>9</v>
      </c>
      <c r="N7" s="13">
        <v>168583</v>
      </c>
      <c r="O7" s="12">
        <f t="shared" si="5"/>
        <v>146</v>
      </c>
      <c r="P7" s="10">
        <v>405383</v>
      </c>
      <c r="Q7" s="14">
        <f t="shared" si="6"/>
        <v>329</v>
      </c>
    </row>
    <row r="8" spans="1:17" ht="18" x14ac:dyDescent="0.25">
      <c r="A8" s="15">
        <v>6</v>
      </c>
      <c r="B8" s="10">
        <v>1547122</v>
      </c>
      <c r="C8" s="11">
        <f t="shared" si="0"/>
        <v>11805</v>
      </c>
      <c r="D8" s="10">
        <v>5288654</v>
      </c>
      <c r="E8" s="11">
        <f t="shared" si="1"/>
        <v>8545</v>
      </c>
      <c r="F8" s="10">
        <v>2590993</v>
      </c>
      <c r="G8" s="11">
        <f t="shared" si="2"/>
        <v>4846</v>
      </c>
      <c r="H8" s="10">
        <v>5732791</v>
      </c>
      <c r="I8" s="11">
        <f t="shared" si="3"/>
        <v>8021</v>
      </c>
      <c r="J8" s="10">
        <v>127167</v>
      </c>
      <c r="K8" s="12">
        <f t="shared" si="7"/>
        <v>115</v>
      </c>
      <c r="L8" s="13">
        <v>17068</v>
      </c>
      <c r="M8" s="12">
        <f t="shared" si="4"/>
        <v>3</v>
      </c>
      <c r="N8" s="13">
        <v>168729</v>
      </c>
      <c r="O8" s="12">
        <f t="shared" si="5"/>
        <v>163</v>
      </c>
      <c r="P8" s="10">
        <v>405712</v>
      </c>
      <c r="Q8" s="14">
        <f t="shared" si="6"/>
        <v>340</v>
      </c>
    </row>
    <row r="9" spans="1:17" ht="18" x14ac:dyDescent="0.25">
      <c r="A9" s="15">
        <v>7</v>
      </c>
      <c r="B9" s="10">
        <v>1558927</v>
      </c>
      <c r="C9" s="11">
        <f t="shared" si="0"/>
        <v>11764</v>
      </c>
      <c r="D9" s="10">
        <v>5297199</v>
      </c>
      <c r="E9" s="11">
        <f t="shared" si="1"/>
        <v>8921</v>
      </c>
      <c r="F9" s="10">
        <v>2595839</v>
      </c>
      <c r="G9" s="11">
        <f t="shared" si="2"/>
        <v>3635</v>
      </c>
      <c r="H9" s="10">
        <v>5740812</v>
      </c>
      <c r="I9" s="11">
        <f t="shared" si="3"/>
        <v>8247</v>
      </c>
      <c r="J9" s="10">
        <v>127282</v>
      </c>
      <c r="K9" s="12">
        <f t="shared" si="7"/>
        <v>122</v>
      </c>
      <c r="L9" s="13">
        <v>17071</v>
      </c>
      <c r="M9" s="12">
        <f t="shared" si="4"/>
        <v>35</v>
      </c>
      <c r="N9" s="13">
        <v>168892</v>
      </c>
      <c r="O9" s="12">
        <f t="shared" si="5"/>
        <v>146</v>
      </c>
      <c r="P9" s="10">
        <v>406052</v>
      </c>
      <c r="Q9" s="14">
        <f t="shared" si="6"/>
        <v>263</v>
      </c>
    </row>
    <row r="10" spans="1:17" ht="18" x14ac:dyDescent="0.25">
      <c r="A10" s="15">
        <v>8</v>
      </c>
      <c r="B10" s="10">
        <v>1570691</v>
      </c>
      <c r="C10" s="11">
        <f t="shared" si="0"/>
        <v>11935</v>
      </c>
      <c r="D10" s="10">
        <v>5306120</v>
      </c>
      <c r="E10" s="11">
        <f t="shared" si="1"/>
        <v>9474</v>
      </c>
      <c r="F10" s="10">
        <v>2599474</v>
      </c>
      <c r="G10" s="11">
        <f t="shared" si="2"/>
        <v>4007</v>
      </c>
      <c r="H10" s="10">
        <v>5749059</v>
      </c>
      <c r="I10" s="11">
        <f t="shared" si="3"/>
        <v>8389</v>
      </c>
      <c r="J10" s="10">
        <v>127404</v>
      </c>
      <c r="K10" s="12">
        <f t="shared" si="7"/>
        <v>158</v>
      </c>
      <c r="L10" s="13">
        <v>17106</v>
      </c>
      <c r="M10" s="12">
        <f t="shared" si="4"/>
        <v>62</v>
      </c>
      <c r="N10" s="13">
        <v>169038</v>
      </c>
      <c r="O10" s="12">
        <f t="shared" si="5"/>
        <v>172</v>
      </c>
      <c r="P10" s="10">
        <v>406315</v>
      </c>
      <c r="Q10" s="14">
        <f t="shared" si="6"/>
        <v>470</v>
      </c>
    </row>
    <row r="11" spans="1:17" ht="18" x14ac:dyDescent="0.25">
      <c r="A11" s="15">
        <v>9</v>
      </c>
      <c r="B11" s="10">
        <v>1582626</v>
      </c>
      <c r="C11" s="11">
        <f t="shared" si="0"/>
        <v>12243</v>
      </c>
      <c r="D11" s="10">
        <v>5315594</v>
      </c>
      <c r="E11" s="11">
        <f t="shared" si="1"/>
        <v>9472</v>
      </c>
      <c r="F11" s="10">
        <v>2603481</v>
      </c>
      <c r="G11" s="11">
        <f t="shared" si="2"/>
        <v>4913</v>
      </c>
      <c r="H11" s="10">
        <v>5757448</v>
      </c>
      <c r="I11" s="11">
        <f t="shared" si="3"/>
        <v>8532</v>
      </c>
      <c r="J11" s="10">
        <v>127562</v>
      </c>
      <c r="K11" s="12">
        <f t="shared" si="7"/>
        <v>152</v>
      </c>
      <c r="L11" s="13">
        <v>17168</v>
      </c>
      <c r="M11" s="12">
        <f t="shared" si="4"/>
        <v>20</v>
      </c>
      <c r="N11" s="13">
        <v>169210</v>
      </c>
      <c r="O11" s="12">
        <f t="shared" si="5"/>
        <v>198</v>
      </c>
      <c r="P11" s="10">
        <v>406785</v>
      </c>
      <c r="Q11" s="14">
        <f t="shared" si="6"/>
        <v>329</v>
      </c>
    </row>
    <row r="12" spans="1:17" ht="18" x14ac:dyDescent="0.25">
      <c r="A12" s="16">
        <v>10</v>
      </c>
      <c r="B12" s="10">
        <v>1594869</v>
      </c>
      <c r="C12" s="11">
        <f t="shared" si="0"/>
        <v>11009</v>
      </c>
      <c r="D12" s="10">
        <v>5325066</v>
      </c>
      <c r="E12" s="11">
        <f t="shared" si="1"/>
        <v>8650</v>
      </c>
      <c r="F12" s="10">
        <v>2608394</v>
      </c>
      <c r="G12" s="11">
        <f t="shared" si="2"/>
        <v>4809</v>
      </c>
      <c r="H12" s="10">
        <v>5765980</v>
      </c>
      <c r="I12" s="11">
        <f t="shared" si="3"/>
        <v>7838</v>
      </c>
      <c r="J12" s="10">
        <v>127714</v>
      </c>
      <c r="K12" s="12">
        <f t="shared" si="7"/>
        <v>132</v>
      </c>
      <c r="L12" s="13">
        <v>17188</v>
      </c>
      <c r="M12" s="12">
        <f t="shared" si="4"/>
        <v>13</v>
      </c>
      <c r="N12" s="13">
        <v>169408</v>
      </c>
      <c r="O12" s="12">
        <f t="shared" si="5"/>
        <v>108</v>
      </c>
      <c r="P12" s="10">
        <v>407114</v>
      </c>
      <c r="Q12" s="14">
        <f t="shared" si="6"/>
        <v>330</v>
      </c>
    </row>
    <row r="13" spans="1:17" ht="18" x14ac:dyDescent="0.25">
      <c r="A13" s="16">
        <v>11</v>
      </c>
      <c r="B13" s="10">
        <v>1605878</v>
      </c>
      <c r="C13" s="11">
        <f t="shared" si="0"/>
        <v>11818</v>
      </c>
      <c r="D13" s="10">
        <v>5333716</v>
      </c>
      <c r="E13" s="11">
        <f t="shared" si="1"/>
        <v>9091</v>
      </c>
      <c r="F13" s="10">
        <v>2613203</v>
      </c>
      <c r="G13" s="11">
        <f t="shared" si="2"/>
        <v>4066</v>
      </c>
      <c r="H13" s="10">
        <v>5773818</v>
      </c>
      <c r="I13" s="11">
        <f t="shared" si="3"/>
        <v>7927</v>
      </c>
      <c r="J13" s="10">
        <v>127846</v>
      </c>
      <c r="K13" s="12">
        <f t="shared" si="7"/>
        <v>109</v>
      </c>
      <c r="L13" s="13">
        <v>17201</v>
      </c>
      <c r="M13" s="12">
        <f t="shared" si="4"/>
        <v>50</v>
      </c>
      <c r="N13" s="13">
        <v>169516</v>
      </c>
      <c r="O13" s="12">
        <f t="shared" si="5"/>
        <v>136</v>
      </c>
      <c r="P13" s="10">
        <v>407444</v>
      </c>
      <c r="Q13" s="14">
        <f t="shared" si="6"/>
        <v>279</v>
      </c>
    </row>
    <row r="14" spans="1:17" ht="18" x14ac:dyDescent="0.25">
      <c r="A14" s="16">
        <v>12</v>
      </c>
      <c r="B14" s="10">
        <v>1617696</v>
      </c>
      <c r="C14" s="11">
        <f t="shared" si="0"/>
        <v>12197</v>
      </c>
      <c r="D14" s="10">
        <v>5342807</v>
      </c>
      <c r="E14" s="11">
        <f t="shared" si="1"/>
        <v>9447</v>
      </c>
      <c r="F14" s="10">
        <v>2617269</v>
      </c>
      <c r="G14" s="11">
        <f t="shared" si="2"/>
        <v>4959</v>
      </c>
      <c r="H14" s="10">
        <v>5781745</v>
      </c>
      <c r="I14" s="11">
        <f t="shared" si="3"/>
        <v>8424</v>
      </c>
      <c r="J14" s="10">
        <v>127955</v>
      </c>
      <c r="K14" s="12">
        <f t="shared" si="7"/>
        <v>122</v>
      </c>
      <c r="L14" s="13">
        <v>17251</v>
      </c>
      <c r="M14" s="12">
        <f t="shared" si="4"/>
        <v>63</v>
      </c>
      <c r="N14" s="13">
        <v>169652</v>
      </c>
      <c r="O14" s="12">
        <f t="shared" si="5"/>
        <v>149</v>
      </c>
      <c r="P14" s="10">
        <v>407723</v>
      </c>
      <c r="Q14" s="14">
        <f t="shared" si="6"/>
        <v>464</v>
      </c>
    </row>
    <row r="15" spans="1:17" ht="18" x14ac:dyDescent="0.25">
      <c r="A15" s="9">
        <v>13</v>
      </c>
      <c r="B15" s="10">
        <v>1629893</v>
      </c>
      <c r="C15" s="11">
        <f t="shared" si="0"/>
        <v>11334</v>
      </c>
      <c r="D15" s="10">
        <v>5352254</v>
      </c>
      <c r="E15" s="11">
        <f t="shared" si="1"/>
        <v>8997</v>
      </c>
      <c r="F15" s="10">
        <v>2622228</v>
      </c>
      <c r="G15" s="11">
        <f t="shared" si="2"/>
        <v>5759</v>
      </c>
      <c r="H15" s="10">
        <v>5790169</v>
      </c>
      <c r="I15" s="11">
        <f t="shared" si="3"/>
        <v>7507</v>
      </c>
      <c r="J15" s="10">
        <v>128077</v>
      </c>
      <c r="K15" s="12">
        <f t="shared" si="7"/>
        <v>129</v>
      </c>
      <c r="L15" s="13">
        <v>17314</v>
      </c>
      <c r="M15" s="12">
        <f t="shared" si="4"/>
        <v>46</v>
      </c>
      <c r="N15" s="13">
        <v>169801</v>
      </c>
      <c r="O15" s="12">
        <f t="shared" si="5"/>
        <v>173</v>
      </c>
      <c r="P15" s="10">
        <v>408187</v>
      </c>
      <c r="Q15" s="14">
        <f t="shared" si="6"/>
        <v>318</v>
      </c>
    </row>
    <row r="16" spans="1:17" ht="18" x14ac:dyDescent="0.25">
      <c r="A16" s="9">
        <v>14</v>
      </c>
      <c r="B16" s="10">
        <v>1641227</v>
      </c>
      <c r="C16" s="11">
        <f t="shared" si="0"/>
        <v>11780</v>
      </c>
      <c r="D16" s="10">
        <v>5361251</v>
      </c>
      <c r="E16" s="11">
        <f t="shared" si="1"/>
        <v>9037</v>
      </c>
      <c r="F16" s="10">
        <v>2627987</v>
      </c>
      <c r="G16" s="11">
        <f t="shared" si="2"/>
        <v>5955</v>
      </c>
      <c r="H16" s="10">
        <v>5797676</v>
      </c>
      <c r="I16" s="11">
        <f t="shared" si="3"/>
        <v>7861</v>
      </c>
      <c r="J16" s="10">
        <v>128206</v>
      </c>
      <c r="K16" s="12">
        <f t="shared" si="7"/>
        <v>138</v>
      </c>
      <c r="L16" s="13">
        <v>17360</v>
      </c>
      <c r="M16" s="12">
        <f t="shared" si="4"/>
        <v>57</v>
      </c>
      <c r="N16" s="13">
        <v>169974</v>
      </c>
      <c r="O16" s="12">
        <f t="shared" si="5"/>
        <v>151</v>
      </c>
      <c r="P16" s="10">
        <v>408505</v>
      </c>
      <c r="Q16" s="14">
        <f t="shared" si="6"/>
        <v>517</v>
      </c>
    </row>
    <row r="17" spans="1:17" ht="18" x14ac:dyDescent="0.25">
      <c r="A17" s="9">
        <v>15</v>
      </c>
      <c r="B17" s="10">
        <v>1653007</v>
      </c>
      <c r="C17" s="11">
        <f t="shared" si="0"/>
        <v>12260</v>
      </c>
      <c r="D17" s="10">
        <v>5370288</v>
      </c>
      <c r="E17" s="11">
        <f t="shared" si="1"/>
        <v>9754</v>
      </c>
      <c r="F17" s="10">
        <v>2633942</v>
      </c>
      <c r="G17" s="11">
        <f t="shared" si="2"/>
        <v>5554</v>
      </c>
      <c r="H17" s="10">
        <v>5805537</v>
      </c>
      <c r="I17" s="11">
        <f t="shared" si="3"/>
        <v>8230</v>
      </c>
      <c r="J17" s="10">
        <v>128344</v>
      </c>
      <c r="K17" s="12">
        <f t="shared" si="7"/>
        <v>116</v>
      </c>
      <c r="L17" s="13">
        <v>17417</v>
      </c>
      <c r="M17" s="12">
        <f t="shared" si="4"/>
        <v>61</v>
      </c>
      <c r="N17" s="13">
        <v>170125</v>
      </c>
      <c r="O17" s="12">
        <f t="shared" si="5"/>
        <v>171</v>
      </c>
      <c r="P17" s="10">
        <v>409022</v>
      </c>
      <c r="Q17" s="14">
        <f t="shared" si="6"/>
        <v>477</v>
      </c>
    </row>
    <row r="18" spans="1:17" ht="18" x14ac:dyDescent="0.25">
      <c r="A18" s="9">
        <v>16</v>
      </c>
      <c r="B18" s="10">
        <v>1665267</v>
      </c>
      <c r="C18" s="11">
        <f t="shared" si="0"/>
        <v>12302</v>
      </c>
      <c r="D18" s="10">
        <v>5380042</v>
      </c>
      <c r="E18" s="11">
        <f t="shared" si="1"/>
        <v>9961</v>
      </c>
      <c r="F18" s="10">
        <v>2639496</v>
      </c>
      <c r="G18" s="11">
        <f t="shared" si="2"/>
        <v>5667</v>
      </c>
      <c r="H18" s="10">
        <v>5813767</v>
      </c>
      <c r="I18" s="11">
        <f t="shared" si="3"/>
        <v>8461</v>
      </c>
      <c r="J18" s="10">
        <v>128460</v>
      </c>
      <c r="K18" s="12">
        <f t="shared" si="7"/>
        <v>140</v>
      </c>
      <c r="L18" s="13">
        <v>17478</v>
      </c>
      <c r="M18" s="12">
        <f t="shared" si="4"/>
        <v>84</v>
      </c>
      <c r="N18" s="13">
        <v>170296</v>
      </c>
      <c r="O18" s="12">
        <f t="shared" si="5"/>
        <v>148</v>
      </c>
      <c r="P18" s="10">
        <v>409499</v>
      </c>
      <c r="Q18" s="14">
        <f t="shared" si="6"/>
        <v>303</v>
      </c>
    </row>
    <row r="19" spans="1:17" ht="18" x14ac:dyDescent="0.25">
      <c r="A19" s="9">
        <v>17</v>
      </c>
      <c r="B19" s="10">
        <v>1677569</v>
      </c>
      <c r="C19" s="11">
        <f t="shared" si="0"/>
        <v>11625</v>
      </c>
      <c r="D19" s="10">
        <v>5390003</v>
      </c>
      <c r="E19" s="11">
        <f t="shared" si="1"/>
        <v>8632</v>
      </c>
      <c r="F19" s="10">
        <v>2645163</v>
      </c>
      <c r="G19" s="11">
        <f t="shared" si="2"/>
        <v>6223</v>
      </c>
      <c r="H19" s="10">
        <v>5822228</v>
      </c>
      <c r="I19" s="11">
        <f t="shared" si="3"/>
        <v>7328</v>
      </c>
      <c r="J19" s="10">
        <v>128600</v>
      </c>
      <c r="K19" s="12">
        <f t="shared" si="7"/>
        <v>136</v>
      </c>
      <c r="L19" s="13">
        <v>17562</v>
      </c>
      <c r="M19" s="12">
        <f t="shared" si="4"/>
        <v>12</v>
      </c>
      <c r="N19" s="13">
        <v>170444</v>
      </c>
      <c r="O19" s="12">
        <f t="shared" si="5"/>
        <v>107</v>
      </c>
      <c r="P19" s="10">
        <v>409802</v>
      </c>
      <c r="Q19" s="14">
        <f t="shared" si="6"/>
        <v>383</v>
      </c>
    </row>
    <row r="20" spans="1:17" ht="18" x14ac:dyDescent="0.25">
      <c r="A20" s="9">
        <v>18</v>
      </c>
      <c r="B20" s="10">
        <v>1689194</v>
      </c>
      <c r="C20" s="11">
        <f t="shared" si="0"/>
        <v>11939</v>
      </c>
      <c r="D20" s="10">
        <v>5398635</v>
      </c>
      <c r="E20" s="11">
        <f t="shared" si="1"/>
        <v>8799</v>
      </c>
      <c r="F20" s="10">
        <v>2651386</v>
      </c>
      <c r="G20" s="11">
        <f t="shared" si="2"/>
        <v>6845</v>
      </c>
      <c r="H20" s="10">
        <v>5829556</v>
      </c>
      <c r="I20" s="11">
        <f t="shared" si="3"/>
        <v>6646</v>
      </c>
      <c r="J20" s="10">
        <v>128736</v>
      </c>
      <c r="K20" s="12">
        <f t="shared" si="7"/>
        <v>100</v>
      </c>
      <c r="L20" s="13">
        <v>17574</v>
      </c>
      <c r="M20" s="12">
        <f t="shared" si="4"/>
        <v>37</v>
      </c>
      <c r="N20" s="13">
        <v>170551</v>
      </c>
      <c r="O20" s="12">
        <f t="shared" si="5"/>
        <v>144</v>
      </c>
      <c r="P20" s="10">
        <v>410185</v>
      </c>
      <c r="Q20" s="14">
        <f t="shared" si="6"/>
        <v>449</v>
      </c>
    </row>
    <row r="21" spans="1:17" ht="18" x14ac:dyDescent="0.25">
      <c r="A21" s="9">
        <v>19</v>
      </c>
      <c r="B21" s="10">
        <v>1701133</v>
      </c>
      <c r="C21" s="11">
        <f t="shared" si="0"/>
        <v>11287</v>
      </c>
      <c r="D21" s="10">
        <v>5407434</v>
      </c>
      <c r="E21" s="11">
        <f t="shared" si="1"/>
        <v>8597</v>
      </c>
      <c r="F21" s="10">
        <v>2658231</v>
      </c>
      <c r="G21" s="11">
        <f t="shared" si="2"/>
        <v>6004</v>
      </c>
      <c r="H21" s="10">
        <v>5836202</v>
      </c>
      <c r="I21" s="11">
        <f t="shared" si="3"/>
        <v>7261</v>
      </c>
      <c r="J21" s="10">
        <v>128836</v>
      </c>
      <c r="K21" s="12">
        <f t="shared" ref="K21:K31" si="8">SUM(J22-J21)</f>
        <v>116</v>
      </c>
      <c r="L21" s="13">
        <v>17611</v>
      </c>
      <c r="M21" s="12">
        <f t="shared" si="4"/>
        <v>33</v>
      </c>
      <c r="N21" s="13">
        <v>170695</v>
      </c>
      <c r="O21" s="12">
        <f t="shared" si="5"/>
        <v>149</v>
      </c>
      <c r="P21" s="10">
        <v>410634</v>
      </c>
      <c r="Q21" s="14">
        <f t="shared" si="6"/>
        <v>158</v>
      </c>
    </row>
    <row r="22" spans="1:17" ht="18" x14ac:dyDescent="0.25">
      <c r="A22" s="9">
        <v>20</v>
      </c>
      <c r="B22" s="10">
        <v>1712420</v>
      </c>
      <c r="C22" s="11">
        <f t="shared" si="0"/>
        <v>12102</v>
      </c>
      <c r="D22" s="10">
        <v>5416031</v>
      </c>
      <c r="E22" s="11">
        <f t="shared" si="1"/>
        <v>9224</v>
      </c>
      <c r="F22" s="10">
        <v>2664235</v>
      </c>
      <c r="G22" s="11">
        <f t="shared" si="2"/>
        <v>6238</v>
      </c>
      <c r="H22" s="10">
        <v>5843463</v>
      </c>
      <c r="I22" s="11">
        <f t="shared" si="3"/>
        <v>7706</v>
      </c>
      <c r="J22" s="10">
        <v>128952</v>
      </c>
      <c r="K22" s="12">
        <f t="shared" si="8"/>
        <v>107</v>
      </c>
      <c r="L22" s="13">
        <v>17644</v>
      </c>
      <c r="M22" s="12">
        <f t="shared" si="4"/>
        <v>42</v>
      </c>
      <c r="N22" s="13">
        <v>170844</v>
      </c>
      <c r="O22" s="12">
        <f t="shared" si="5"/>
        <v>149</v>
      </c>
      <c r="P22" s="10">
        <v>410792</v>
      </c>
      <c r="Q22" s="17">
        <f t="shared" si="6"/>
        <v>518</v>
      </c>
    </row>
    <row r="23" spans="1:17" ht="18" x14ac:dyDescent="0.25">
      <c r="A23" s="9">
        <v>21</v>
      </c>
      <c r="B23" s="10">
        <v>1724522</v>
      </c>
      <c r="C23" s="11">
        <f t="shared" si="0"/>
        <v>11769</v>
      </c>
      <c r="D23" s="10">
        <v>5425255</v>
      </c>
      <c r="E23" s="11">
        <f t="shared" si="1"/>
        <v>9420</v>
      </c>
      <c r="F23" s="10">
        <v>2670473</v>
      </c>
      <c r="G23" s="11">
        <f t="shared" si="2"/>
        <v>5641</v>
      </c>
      <c r="H23" s="10">
        <v>5851169</v>
      </c>
      <c r="I23" s="11">
        <f t="shared" si="3"/>
        <v>7705</v>
      </c>
      <c r="J23" s="10">
        <v>129059</v>
      </c>
      <c r="K23" s="12">
        <f t="shared" si="8"/>
        <v>117</v>
      </c>
      <c r="L23" s="13">
        <v>17686</v>
      </c>
      <c r="M23" s="12">
        <f t="shared" si="4"/>
        <v>66</v>
      </c>
      <c r="N23" s="13">
        <v>170993</v>
      </c>
      <c r="O23" s="12">
        <f t="shared" si="5"/>
        <v>145</v>
      </c>
      <c r="P23" s="10">
        <v>411310</v>
      </c>
      <c r="Q23" s="14">
        <f t="shared" si="6"/>
        <v>300</v>
      </c>
    </row>
    <row r="24" spans="1:17" ht="18" x14ac:dyDescent="0.25">
      <c r="A24" s="9">
        <v>22</v>
      </c>
      <c r="B24" s="10">
        <v>1736291</v>
      </c>
      <c r="C24" s="11">
        <f t="shared" si="0"/>
        <v>11594</v>
      </c>
      <c r="D24" s="10">
        <v>5434675</v>
      </c>
      <c r="E24" s="11">
        <f t="shared" si="1"/>
        <v>9179</v>
      </c>
      <c r="F24" s="10">
        <v>2676114</v>
      </c>
      <c r="G24" s="11">
        <f t="shared" si="2"/>
        <v>5621</v>
      </c>
      <c r="H24" s="10">
        <v>5858874</v>
      </c>
      <c r="I24" s="11">
        <f t="shared" si="3"/>
        <v>7547</v>
      </c>
      <c r="J24" s="10">
        <v>129176</v>
      </c>
      <c r="K24" s="12">
        <f t="shared" si="8"/>
        <v>104</v>
      </c>
      <c r="L24" s="13">
        <v>17752</v>
      </c>
      <c r="M24" s="12">
        <f t="shared" si="4"/>
        <v>53</v>
      </c>
      <c r="N24" s="13">
        <v>171138</v>
      </c>
      <c r="O24" s="12">
        <f>N25-N24</f>
        <v>145</v>
      </c>
      <c r="P24" s="10">
        <v>411610</v>
      </c>
      <c r="Q24" s="18">
        <f t="shared" si="6"/>
        <v>147</v>
      </c>
    </row>
    <row r="25" spans="1:17" ht="18" x14ac:dyDescent="0.25">
      <c r="A25" s="9">
        <v>23</v>
      </c>
      <c r="B25" s="10">
        <v>1747885</v>
      </c>
      <c r="C25" s="11">
        <f t="shared" si="0"/>
        <v>11852</v>
      </c>
      <c r="D25" s="10">
        <v>5443854</v>
      </c>
      <c r="E25" s="11">
        <f t="shared" si="1"/>
        <v>8962</v>
      </c>
      <c r="F25" s="10">
        <v>2681735</v>
      </c>
      <c r="G25" s="11">
        <f t="shared" si="2"/>
        <v>5538</v>
      </c>
      <c r="H25" s="10">
        <v>5866421</v>
      </c>
      <c r="I25" s="11">
        <f t="shared" si="3"/>
        <v>7427</v>
      </c>
      <c r="J25" s="10">
        <v>129280</v>
      </c>
      <c r="K25" s="12">
        <f t="shared" si="8"/>
        <v>129</v>
      </c>
      <c r="L25" s="13">
        <v>17805</v>
      </c>
      <c r="M25" s="12">
        <f t="shared" si="4"/>
        <v>21</v>
      </c>
      <c r="N25" s="13">
        <v>171283</v>
      </c>
      <c r="O25" s="12">
        <f t="shared" si="5"/>
        <v>178</v>
      </c>
      <c r="P25" s="10">
        <v>411757</v>
      </c>
      <c r="Q25" s="14">
        <f t="shared" si="6"/>
        <v>357</v>
      </c>
    </row>
    <row r="26" spans="1:17" ht="18" x14ac:dyDescent="0.25">
      <c r="A26" s="9">
        <v>24</v>
      </c>
      <c r="B26" s="10">
        <v>1759737</v>
      </c>
      <c r="C26" s="11">
        <f t="shared" si="0"/>
        <v>10820</v>
      </c>
      <c r="D26" s="10">
        <v>5452816</v>
      </c>
      <c r="E26" s="11">
        <f t="shared" si="1"/>
        <v>8299</v>
      </c>
      <c r="F26" s="10">
        <v>2687273</v>
      </c>
      <c r="G26" s="11">
        <f t="shared" si="2"/>
        <v>5363</v>
      </c>
      <c r="H26" s="10">
        <v>5873848</v>
      </c>
      <c r="I26" s="11">
        <f t="shared" si="3"/>
        <v>7133</v>
      </c>
      <c r="J26" s="10">
        <v>129409</v>
      </c>
      <c r="K26" s="12">
        <f t="shared" si="8"/>
        <v>129</v>
      </c>
      <c r="L26" s="13">
        <v>17826</v>
      </c>
      <c r="M26" s="12">
        <f t="shared" si="4"/>
        <v>32</v>
      </c>
      <c r="N26" s="13">
        <v>171461</v>
      </c>
      <c r="O26" s="12">
        <f t="shared" si="5"/>
        <v>122</v>
      </c>
      <c r="P26" s="10">
        <v>412114</v>
      </c>
      <c r="Q26" s="14">
        <f t="shared" si="6"/>
        <v>260</v>
      </c>
    </row>
    <row r="27" spans="1:17" ht="18" x14ac:dyDescent="0.25">
      <c r="A27" s="9">
        <v>25</v>
      </c>
      <c r="B27" s="10">
        <v>1770557</v>
      </c>
      <c r="C27" s="11">
        <f t="shared" si="0"/>
        <v>11532</v>
      </c>
      <c r="D27" s="10">
        <v>5461115</v>
      </c>
      <c r="E27" s="11">
        <f t="shared" si="1"/>
        <v>8807</v>
      </c>
      <c r="F27" s="10">
        <v>2692636</v>
      </c>
      <c r="G27" s="11">
        <f t="shared" si="2"/>
        <v>5117</v>
      </c>
      <c r="H27" s="10">
        <v>5880981</v>
      </c>
      <c r="I27" s="11">
        <f t="shared" si="3"/>
        <v>7498</v>
      </c>
      <c r="J27" s="10">
        <v>129538</v>
      </c>
      <c r="K27" s="12">
        <f t="shared" si="8"/>
        <v>104</v>
      </c>
      <c r="L27" s="13">
        <v>17858</v>
      </c>
      <c r="M27" s="12">
        <f t="shared" si="4"/>
        <v>39</v>
      </c>
      <c r="N27" s="13">
        <v>171583</v>
      </c>
      <c r="O27" s="12">
        <f t="shared" si="5"/>
        <v>188</v>
      </c>
      <c r="P27" s="10">
        <v>412374</v>
      </c>
      <c r="Q27" s="14">
        <f t="shared" si="6"/>
        <v>290</v>
      </c>
    </row>
    <row r="28" spans="1:17" ht="18" x14ac:dyDescent="0.25">
      <c r="A28" s="9">
        <v>26</v>
      </c>
      <c r="B28" s="10">
        <v>1782089</v>
      </c>
      <c r="C28" s="11">
        <f t="shared" si="0"/>
        <v>11729</v>
      </c>
      <c r="D28" s="10">
        <v>5469922</v>
      </c>
      <c r="E28" s="11">
        <f t="shared" si="1"/>
        <v>9304</v>
      </c>
      <c r="F28" s="10">
        <v>2697753</v>
      </c>
      <c r="G28" s="11">
        <f t="shared" si="2"/>
        <v>5735</v>
      </c>
      <c r="H28" s="10">
        <v>5888479</v>
      </c>
      <c r="I28" s="11">
        <f t="shared" si="3"/>
        <v>8225</v>
      </c>
      <c r="J28" s="10">
        <v>129642</v>
      </c>
      <c r="K28" s="12">
        <f t="shared" si="8"/>
        <v>143</v>
      </c>
      <c r="L28" s="13">
        <v>17897</v>
      </c>
      <c r="M28" s="12">
        <f t="shared" si="4"/>
        <v>56</v>
      </c>
      <c r="N28" s="13">
        <v>171771</v>
      </c>
      <c r="O28" s="12">
        <f t="shared" si="5"/>
        <v>162</v>
      </c>
      <c r="P28" s="10">
        <v>412664</v>
      </c>
      <c r="Q28" s="14">
        <f t="shared" si="6"/>
        <v>433</v>
      </c>
    </row>
    <row r="29" spans="1:17" ht="18" x14ac:dyDescent="0.25">
      <c r="A29" s="9">
        <v>27</v>
      </c>
      <c r="B29" s="10">
        <v>1793818</v>
      </c>
      <c r="C29" s="11">
        <f t="shared" si="0"/>
        <v>11926</v>
      </c>
      <c r="D29" s="10">
        <v>5479226</v>
      </c>
      <c r="E29" s="11">
        <f t="shared" si="1"/>
        <v>9524</v>
      </c>
      <c r="F29" s="10">
        <v>2703488</v>
      </c>
      <c r="G29" s="11">
        <f t="shared" si="2"/>
        <v>5868</v>
      </c>
      <c r="H29" s="10">
        <v>5896704</v>
      </c>
      <c r="I29" s="11">
        <f t="shared" si="3"/>
        <v>8110</v>
      </c>
      <c r="J29" s="10">
        <v>129785</v>
      </c>
      <c r="K29" s="12">
        <f t="shared" si="8"/>
        <v>122</v>
      </c>
      <c r="L29" s="13">
        <v>17953</v>
      </c>
      <c r="M29" s="12">
        <f t="shared" si="4"/>
        <v>88</v>
      </c>
      <c r="N29" s="13">
        <v>171933</v>
      </c>
      <c r="O29" s="12">
        <f t="shared" si="5"/>
        <v>155</v>
      </c>
      <c r="P29" s="10">
        <v>413097</v>
      </c>
      <c r="Q29" s="14">
        <f t="shared" si="6"/>
        <v>479</v>
      </c>
    </row>
    <row r="30" spans="1:17" ht="18" x14ac:dyDescent="0.25">
      <c r="A30" s="9">
        <v>28</v>
      </c>
      <c r="B30" s="10">
        <v>1805744</v>
      </c>
      <c r="C30" s="11">
        <f t="shared" si="0"/>
        <v>11852</v>
      </c>
      <c r="D30" s="10">
        <v>5488750</v>
      </c>
      <c r="E30" s="11">
        <f t="shared" si="1"/>
        <v>9018</v>
      </c>
      <c r="F30" s="10">
        <v>2709356</v>
      </c>
      <c r="G30" s="11">
        <f t="shared" si="2"/>
        <v>5891</v>
      </c>
      <c r="H30" s="10">
        <v>5904814</v>
      </c>
      <c r="I30" s="11">
        <f t="shared" si="3"/>
        <v>8239</v>
      </c>
      <c r="J30" s="10">
        <v>129907</v>
      </c>
      <c r="K30" s="12">
        <f t="shared" si="8"/>
        <v>99</v>
      </c>
      <c r="L30" s="13">
        <v>18041</v>
      </c>
      <c r="M30" s="12">
        <f t="shared" si="4"/>
        <v>30</v>
      </c>
      <c r="N30" s="13">
        <v>172088</v>
      </c>
      <c r="O30" s="12">
        <f t="shared" si="5"/>
        <v>170</v>
      </c>
      <c r="P30" s="10">
        <v>413576</v>
      </c>
      <c r="Q30" s="14">
        <f t="shared" si="6"/>
        <v>554</v>
      </c>
    </row>
    <row r="31" spans="1:17" ht="18" x14ac:dyDescent="0.25">
      <c r="A31" s="9">
        <v>29</v>
      </c>
      <c r="B31" s="10">
        <v>1817596</v>
      </c>
      <c r="C31" s="11">
        <f t="shared" si="0"/>
        <v>10470</v>
      </c>
      <c r="D31" s="10">
        <v>5497768</v>
      </c>
      <c r="E31" s="11">
        <f t="shared" si="1"/>
        <v>8179</v>
      </c>
      <c r="F31" s="10">
        <v>2715247</v>
      </c>
      <c r="G31" s="11">
        <f t="shared" si="2"/>
        <v>5725</v>
      </c>
      <c r="H31" s="10">
        <v>5913053</v>
      </c>
      <c r="I31" s="11">
        <f t="shared" si="3"/>
        <v>7158</v>
      </c>
      <c r="J31" s="10">
        <v>130006</v>
      </c>
      <c r="K31" s="12">
        <f t="shared" si="8"/>
        <v>105</v>
      </c>
      <c r="L31" s="13">
        <v>18071</v>
      </c>
      <c r="M31" s="12">
        <f t="shared" si="4"/>
        <v>9</v>
      </c>
      <c r="N31" s="13">
        <v>172258</v>
      </c>
      <c r="O31" s="12">
        <f t="shared" si="5"/>
        <v>179</v>
      </c>
      <c r="P31" s="10">
        <v>414130</v>
      </c>
      <c r="Q31" s="14">
        <f t="shared" si="6"/>
        <v>449</v>
      </c>
    </row>
    <row r="32" spans="1:17" ht="18" x14ac:dyDescent="0.25">
      <c r="A32" s="16">
        <v>30</v>
      </c>
      <c r="B32" s="10">
        <v>1828066</v>
      </c>
      <c r="C32" s="11">
        <f t="shared" si="0"/>
        <v>13608</v>
      </c>
      <c r="D32" s="10">
        <v>5505947</v>
      </c>
      <c r="E32" s="11">
        <f t="shared" si="1"/>
        <v>10213</v>
      </c>
      <c r="F32" s="10">
        <v>2720972</v>
      </c>
      <c r="G32" s="11">
        <f t="shared" si="2"/>
        <v>5625</v>
      </c>
      <c r="H32" s="10">
        <v>5920211</v>
      </c>
      <c r="I32" s="11">
        <f t="shared" si="3"/>
        <v>9164</v>
      </c>
      <c r="J32" s="10">
        <v>130111</v>
      </c>
      <c r="K32" s="12">
        <f>SUM(J33-J32)</f>
        <v>122</v>
      </c>
      <c r="L32" s="13">
        <v>18080</v>
      </c>
      <c r="M32" s="12">
        <f>L33-L32</f>
        <v>7</v>
      </c>
      <c r="N32" s="13">
        <v>172437</v>
      </c>
      <c r="O32" s="12">
        <f>N33-N32</f>
        <v>166</v>
      </c>
      <c r="P32" s="10">
        <v>414579</v>
      </c>
      <c r="Q32" s="14">
        <f>P33-P32</f>
        <v>608</v>
      </c>
    </row>
    <row r="33" spans="1:17" ht="18" x14ac:dyDescent="0.25">
      <c r="A33" s="16">
        <v>1</v>
      </c>
      <c r="B33" s="10">
        <v>1841674</v>
      </c>
      <c r="C33" s="11"/>
      <c r="D33" s="10">
        <v>5516160</v>
      </c>
      <c r="E33" s="11"/>
      <c r="F33" s="10">
        <v>2726597</v>
      </c>
      <c r="G33" s="11"/>
      <c r="H33" s="10">
        <v>5929375</v>
      </c>
      <c r="I33" s="11"/>
      <c r="J33" s="10">
        <v>130233</v>
      </c>
      <c r="K33" s="12"/>
      <c r="L33" s="13">
        <v>18087</v>
      </c>
      <c r="M33" s="12"/>
      <c r="N33" s="13">
        <v>172603</v>
      </c>
      <c r="O33" s="12"/>
      <c r="P33" s="10">
        <v>415187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2023-02-19T09:47:51Z</dcterms:modified>
</cp:coreProperties>
</file>