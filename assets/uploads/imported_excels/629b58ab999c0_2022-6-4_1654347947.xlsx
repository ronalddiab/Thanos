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8" i="3" l="1"/>
  <c r="I38" i="3" s="1"/>
  <c r="D38" i="3"/>
  <c r="F38" i="3"/>
  <c r="K38" i="3"/>
  <c r="M38" i="3"/>
  <c r="O38" i="3"/>
  <c r="P38" i="3" s="1"/>
  <c r="R38" i="3"/>
  <c r="S38" i="3" s="1"/>
  <c r="U38" i="3"/>
  <c r="V38" i="3" s="1"/>
  <c r="X38" i="3"/>
  <c r="Y38" i="3" s="1"/>
  <c r="AA38" i="3"/>
  <c r="AC38" i="3"/>
  <c r="AE38" i="3"/>
  <c r="AG38" i="3"/>
  <c r="AI38" i="3"/>
  <c r="E8" i="4"/>
  <c r="F9" i="4" s="1"/>
  <c r="E7" i="4"/>
  <c r="S37" i="4"/>
  <c r="R37" i="4"/>
  <c r="N37" i="4"/>
  <c r="L37" i="4"/>
  <c r="M37" i="4" s="1"/>
  <c r="P37" i="4"/>
  <c r="J37" i="4"/>
  <c r="H37" i="4"/>
  <c r="F37" i="4"/>
  <c r="D37" i="4"/>
  <c r="O7" i="4"/>
  <c r="O8" i="4" s="1"/>
  <c r="K7" i="4"/>
  <c r="K8" i="4" s="1"/>
  <c r="C7" i="4"/>
  <c r="C8" i="4" s="1"/>
  <c r="BC9" i="5"/>
  <c r="BC10" i="5" s="1"/>
  <c r="BA9" i="5"/>
  <c r="BB9" i="5" s="1"/>
  <c r="AY9" i="5"/>
  <c r="AY10" i="5" s="1"/>
  <c r="AS9" i="5"/>
  <c r="AS10" i="5" s="1"/>
  <c r="AQ9" i="5"/>
  <c r="AR9" i="5" s="1"/>
  <c r="AO9" i="5"/>
  <c r="AO10" i="5" s="1"/>
  <c r="AM9" i="5"/>
  <c r="AM10" i="5" s="1"/>
  <c r="AI10" i="5"/>
  <c r="AJ10" i="5" s="1"/>
  <c r="AI9" i="5"/>
  <c r="AG9" i="5"/>
  <c r="AG10" i="5" s="1"/>
  <c r="AE10" i="5"/>
  <c r="AF11" i="5" s="1"/>
  <c r="AE9" i="5"/>
  <c r="AF9" i="5" s="1"/>
  <c r="AC9" i="5"/>
  <c r="AC10" i="5" s="1"/>
  <c r="AA10" i="5"/>
  <c r="AB10" i="5" s="1"/>
  <c r="AA9" i="5"/>
  <c r="Y10" i="5"/>
  <c r="Z11" i="5" s="1"/>
  <c r="Y9" i="5"/>
  <c r="W9" i="5"/>
  <c r="X9" i="5" s="1"/>
  <c r="U10" i="5"/>
  <c r="U9" i="5"/>
  <c r="S9" i="5"/>
  <c r="S10" i="5" s="1"/>
  <c r="Q9" i="5"/>
  <c r="Q10" i="5" s="1"/>
  <c r="O9" i="5"/>
  <c r="P9" i="5" s="1"/>
  <c r="M9" i="5"/>
  <c r="M10" i="5" s="1"/>
  <c r="K9" i="5"/>
  <c r="L9" i="5" s="1"/>
  <c r="I9" i="5"/>
  <c r="I10" i="5" s="1"/>
  <c r="G9" i="5"/>
  <c r="G10" i="5" s="1"/>
  <c r="C10" i="5"/>
  <c r="C9" i="5"/>
  <c r="BF38" i="5"/>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E37" i="5" s="1"/>
  <c r="BF36" i="5"/>
  <c r="BD36" i="5"/>
  <c r="BB36" i="5"/>
  <c r="AZ36" i="5"/>
  <c r="AX36" i="5"/>
  <c r="AV36" i="5"/>
  <c r="AT36" i="5"/>
  <c r="AR36" i="5"/>
  <c r="AP36" i="5"/>
  <c r="AN36" i="5"/>
  <c r="BI36" i="5" s="1"/>
  <c r="AL36" i="5"/>
  <c r="AJ36" i="5"/>
  <c r="AH36" i="5"/>
  <c r="AF36" i="5"/>
  <c r="AD36" i="5"/>
  <c r="AB36" i="5"/>
  <c r="Z36" i="5"/>
  <c r="X36" i="5"/>
  <c r="V36" i="5"/>
  <c r="T36" i="5"/>
  <c r="R36" i="5"/>
  <c r="P36" i="5"/>
  <c r="N36" i="5"/>
  <c r="L36" i="5"/>
  <c r="J36" i="5"/>
  <c r="H36" i="5"/>
  <c r="F36" i="5"/>
  <c r="E36" i="5"/>
  <c r="D36" i="5"/>
  <c r="BF35" i="5"/>
  <c r="BD35" i="5"/>
  <c r="BB35" i="5"/>
  <c r="AZ35" i="5"/>
  <c r="AX35" i="5"/>
  <c r="AV35" i="5"/>
  <c r="AT35" i="5"/>
  <c r="AR35" i="5"/>
  <c r="AP35" i="5"/>
  <c r="AN35" i="5"/>
  <c r="AL35" i="5"/>
  <c r="AJ35" i="5"/>
  <c r="AH35" i="5"/>
  <c r="AF35" i="5"/>
  <c r="AD35" i="5"/>
  <c r="AB35" i="5"/>
  <c r="Z35" i="5"/>
  <c r="X35" i="5"/>
  <c r="V35" i="5"/>
  <c r="T35" i="5"/>
  <c r="R35" i="5"/>
  <c r="P35" i="5"/>
  <c r="N35" i="5"/>
  <c r="L35" i="5"/>
  <c r="J35" i="5"/>
  <c r="H35" i="5"/>
  <c r="D35" i="5"/>
  <c r="F35" i="5" s="1"/>
  <c r="BF34" i="5"/>
  <c r="BD34" i="5"/>
  <c r="BB34" i="5"/>
  <c r="AZ34" i="5"/>
  <c r="AX34" i="5"/>
  <c r="AV34" i="5"/>
  <c r="AT34" i="5"/>
  <c r="AR34" i="5"/>
  <c r="AP34" i="5"/>
  <c r="AN34" i="5"/>
  <c r="AL34" i="5"/>
  <c r="AJ34" i="5"/>
  <c r="AH34" i="5"/>
  <c r="AF34" i="5"/>
  <c r="AD34" i="5"/>
  <c r="AB34" i="5"/>
  <c r="Z34" i="5"/>
  <c r="X34" i="5"/>
  <c r="V34" i="5"/>
  <c r="T34" i="5"/>
  <c r="R34" i="5"/>
  <c r="P34" i="5"/>
  <c r="N34" i="5"/>
  <c r="L34" i="5"/>
  <c r="J34" i="5"/>
  <c r="H34" i="5"/>
  <c r="D34" i="5"/>
  <c r="F34" i="5" s="1"/>
  <c r="BF33" i="5"/>
  <c r="BD33" i="5"/>
  <c r="BB33" i="5"/>
  <c r="AZ33" i="5"/>
  <c r="AX33" i="5"/>
  <c r="AV33" i="5"/>
  <c r="AT33" i="5"/>
  <c r="AR33" i="5"/>
  <c r="AP33" i="5"/>
  <c r="AN33" i="5"/>
  <c r="AL33" i="5"/>
  <c r="AJ33" i="5"/>
  <c r="AH33" i="5"/>
  <c r="AF33" i="5"/>
  <c r="AD33" i="5"/>
  <c r="AB33" i="5"/>
  <c r="Z33" i="5"/>
  <c r="X33" i="5"/>
  <c r="V33" i="5"/>
  <c r="T33" i="5"/>
  <c r="R33" i="5"/>
  <c r="P33" i="5"/>
  <c r="N33" i="5"/>
  <c r="L33" i="5"/>
  <c r="J33" i="5"/>
  <c r="H33" i="5"/>
  <c r="D33" i="5"/>
  <c r="E33" i="5" s="1"/>
  <c r="BH33" i="5" s="1"/>
  <c r="BF32" i="5"/>
  <c r="BD32" i="5"/>
  <c r="BB32" i="5"/>
  <c r="AZ32" i="5"/>
  <c r="AX32" i="5"/>
  <c r="AV32" i="5"/>
  <c r="AT32" i="5"/>
  <c r="AR32" i="5"/>
  <c r="AP32" i="5"/>
  <c r="AN32" i="5"/>
  <c r="AL32" i="5"/>
  <c r="AJ32" i="5"/>
  <c r="AH32" i="5"/>
  <c r="AF32" i="5"/>
  <c r="AD32" i="5"/>
  <c r="AB32" i="5"/>
  <c r="Z32" i="5"/>
  <c r="X32" i="5"/>
  <c r="V32" i="5"/>
  <c r="T32" i="5"/>
  <c r="R32" i="5"/>
  <c r="P32" i="5"/>
  <c r="N32" i="5"/>
  <c r="L32" i="5"/>
  <c r="J32" i="5"/>
  <c r="H32" i="5"/>
  <c r="F32" i="5"/>
  <c r="E32" i="5"/>
  <c r="D32" i="5"/>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F31" i="5" s="1"/>
  <c r="BI31" i="5" s="1"/>
  <c r="BF30" i="5"/>
  <c r="BD30" i="5"/>
  <c r="BB30" i="5"/>
  <c r="AZ30" i="5"/>
  <c r="AX30" i="5"/>
  <c r="AV30" i="5"/>
  <c r="AT30" i="5"/>
  <c r="AR30" i="5"/>
  <c r="AP30" i="5"/>
  <c r="AN30" i="5"/>
  <c r="AL30" i="5"/>
  <c r="AJ30" i="5"/>
  <c r="AH30" i="5"/>
  <c r="AF30" i="5"/>
  <c r="AD30" i="5"/>
  <c r="AB30" i="5"/>
  <c r="Z30" i="5"/>
  <c r="X30" i="5"/>
  <c r="V30" i="5"/>
  <c r="T30" i="5"/>
  <c r="R30" i="5"/>
  <c r="P30" i="5"/>
  <c r="N30" i="5"/>
  <c r="L30" i="5"/>
  <c r="J30" i="5"/>
  <c r="H30" i="5"/>
  <c r="D30" i="5"/>
  <c r="F30" i="5" s="1"/>
  <c r="BF29" i="5"/>
  <c r="BD29" i="5"/>
  <c r="BB29" i="5"/>
  <c r="AZ29" i="5"/>
  <c r="AX29" i="5"/>
  <c r="AV29" i="5"/>
  <c r="AT29" i="5"/>
  <c r="AR29" i="5"/>
  <c r="AP29" i="5"/>
  <c r="AN29" i="5"/>
  <c r="AL29" i="5"/>
  <c r="AJ29" i="5"/>
  <c r="AH29" i="5"/>
  <c r="AF29" i="5"/>
  <c r="AD29" i="5"/>
  <c r="AB29" i="5"/>
  <c r="Z29" i="5"/>
  <c r="X29" i="5"/>
  <c r="V29" i="5"/>
  <c r="T29" i="5"/>
  <c r="R29" i="5"/>
  <c r="P29" i="5"/>
  <c r="N29" i="5"/>
  <c r="L29" i="5"/>
  <c r="J29" i="5"/>
  <c r="H29" i="5"/>
  <c r="D29" i="5"/>
  <c r="E29" i="5" s="1"/>
  <c r="BF28" i="5"/>
  <c r="BD28" i="5"/>
  <c r="BB28" i="5"/>
  <c r="AZ28" i="5"/>
  <c r="AX28" i="5"/>
  <c r="AV28" i="5"/>
  <c r="AT28" i="5"/>
  <c r="AR28" i="5"/>
  <c r="AP28" i="5"/>
  <c r="AN28" i="5"/>
  <c r="BI28" i="5" s="1"/>
  <c r="AL28" i="5"/>
  <c r="AJ28" i="5"/>
  <c r="AH28" i="5"/>
  <c r="AF28" i="5"/>
  <c r="AD28" i="5"/>
  <c r="AB28" i="5"/>
  <c r="Z28" i="5"/>
  <c r="X28" i="5"/>
  <c r="V28" i="5"/>
  <c r="T28" i="5"/>
  <c r="R28" i="5"/>
  <c r="P28" i="5"/>
  <c r="N28" i="5"/>
  <c r="L28" i="5"/>
  <c r="J28" i="5"/>
  <c r="H28" i="5"/>
  <c r="F28" i="5"/>
  <c r="E28" i="5"/>
  <c r="D28" i="5"/>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F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F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E25" i="5" s="1"/>
  <c r="BH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E24" i="5"/>
  <c r="D24" i="5"/>
  <c r="F24" i="5" s="1"/>
  <c r="BF23" i="5"/>
  <c r="BD23" i="5"/>
  <c r="BB23" i="5"/>
  <c r="AZ23" i="5"/>
  <c r="AX23" i="5"/>
  <c r="AV23" i="5"/>
  <c r="AT23" i="5"/>
  <c r="AR23" i="5"/>
  <c r="AP23" i="5"/>
  <c r="AN23" i="5"/>
  <c r="AL23" i="5"/>
  <c r="AJ23" i="5"/>
  <c r="AH23" i="5"/>
  <c r="AF23" i="5"/>
  <c r="AD23" i="5"/>
  <c r="AB23" i="5"/>
  <c r="Z23" i="5"/>
  <c r="X23" i="5"/>
  <c r="V23" i="5"/>
  <c r="T23" i="5"/>
  <c r="R23" i="5"/>
  <c r="P23" i="5"/>
  <c r="N23" i="5"/>
  <c r="L23" i="5"/>
  <c r="J23" i="5"/>
  <c r="H23" i="5"/>
  <c r="D23" i="5"/>
  <c r="F23" i="5" s="1"/>
  <c r="BF22" i="5"/>
  <c r="BD22" i="5"/>
  <c r="BB22" i="5"/>
  <c r="AZ22" i="5"/>
  <c r="AX22" i="5"/>
  <c r="AV22" i="5"/>
  <c r="AT22" i="5"/>
  <c r="AR22" i="5"/>
  <c r="AP22" i="5"/>
  <c r="AN22" i="5"/>
  <c r="AL22" i="5"/>
  <c r="AJ22" i="5"/>
  <c r="AH22" i="5"/>
  <c r="AF22" i="5"/>
  <c r="AD22" i="5"/>
  <c r="AB22" i="5"/>
  <c r="Z22" i="5"/>
  <c r="X22" i="5"/>
  <c r="V22" i="5"/>
  <c r="T22" i="5"/>
  <c r="R22" i="5"/>
  <c r="P22" i="5"/>
  <c r="N22" i="5"/>
  <c r="L22" i="5"/>
  <c r="J22" i="5"/>
  <c r="H22" i="5"/>
  <c r="D22" i="5"/>
  <c r="F22" i="5" s="1"/>
  <c r="BF21" i="5"/>
  <c r="BD21" i="5"/>
  <c r="BB21" i="5"/>
  <c r="AZ21" i="5"/>
  <c r="AX21" i="5"/>
  <c r="AV21" i="5"/>
  <c r="AT21" i="5"/>
  <c r="AR21" i="5"/>
  <c r="AP21" i="5"/>
  <c r="AN21" i="5"/>
  <c r="AL21" i="5"/>
  <c r="AJ21" i="5"/>
  <c r="AH21" i="5"/>
  <c r="AF21" i="5"/>
  <c r="AD21" i="5"/>
  <c r="AB21" i="5"/>
  <c r="Z21" i="5"/>
  <c r="X21" i="5"/>
  <c r="V21" i="5"/>
  <c r="T21" i="5"/>
  <c r="R21" i="5"/>
  <c r="P21" i="5"/>
  <c r="N21" i="5"/>
  <c r="L21" i="5"/>
  <c r="J21" i="5"/>
  <c r="H21" i="5"/>
  <c r="D21" i="5"/>
  <c r="E21" i="5" s="1"/>
  <c r="BF20" i="5"/>
  <c r="BD20" i="5"/>
  <c r="BB20" i="5"/>
  <c r="AZ20" i="5"/>
  <c r="AX20" i="5"/>
  <c r="AV20" i="5"/>
  <c r="AT20" i="5"/>
  <c r="AR20" i="5"/>
  <c r="AP20" i="5"/>
  <c r="AN20" i="5"/>
  <c r="AL20" i="5"/>
  <c r="AJ20" i="5"/>
  <c r="AH20" i="5"/>
  <c r="AF20" i="5"/>
  <c r="AD20" i="5"/>
  <c r="AB20" i="5"/>
  <c r="Z20" i="5"/>
  <c r="X20" i="5"/>
  <c r="V20" i="5"/>
  <c r="T20" i="5"/>
  <c r="R20" i="5"/>
  <c r="P20" i="5"/>
  <c r="N20" i="5"/>
  <c r="L20" i="5"/>
  <c r="J20" i="5"/>
  <c r="H20" i="5"/>
  <c r="E20" i="5"/>
  <c r="BH20" i="5" s="1"/>
  <c r="D20" i="5"/>
  <c r="F20" i="5" s="1"/>
  <c r="BF19" i="5"/>
  <c r="BD19" i="5"/>
  <c r="BB19" i="5"/>
  <c r="AZ19" i="5"/>
  <c r="AX19" i="5"/>
  <c r="AV19" i="5"/>
  <c r="AT19" i="5"/>
  <c r="AR19" i="5"/>
  <c r="AP19" i="5"/>
  <c r="AN19" i="5"/>
  <c r="AL19" i="5"/>
  <c r="AJ19" i="5"/>
  <c r="AH19" i="5"/>
  <c r="AF19" i="5"/>
  <c r="AD19" i="5"/>
  <c r="AB19" i="5"/>
  <c r="Z19" i="5"/>
  <c r="X19" i="5"/>
  <c r="V19" i="5"/>
  <c r="R19" i="5"/>
  <c r="P19" i="5"/>
  <c r="N19" i="5"/>
  <c r="L19" i="5"/>
  <c r="J19" i="5"/>
  <c r="H19" i="5"/>
  <c r="D19" i="5"/>
  <c r="F19" i="5" s="1"/>
  <c r="BF18" i="5"/>
  <c r="BD18" i="5"/>
  <c r="BB18" i="5"/>
  <c r="AZ18" i="5"/>
  <c r="AX18" i="5"/>
  <c r="AV18" i="5"/>
  <c r="AT18" i="5"/>
  <c r="AR18" i="5"/>
  <c r="AP18" i="5"/>
  <c r="AN18" i="5"/>
  <c r="AL18" i="5"/>
  <c r="AJ18" i="5"/>
  <c r="AH18" i="5"/>
  <c r="AF18" i="5"/>
  <c r="AD18" i="5"/>
  <c r="AB18" i="5"/>
  <c r="Z18" i="5"/>
  <c r="X18" i="5"/>
  <c r="V18" i="5"/>
  <c r="T18" i="5"/>
  <c r="T19" i="5"/>
  <c r="R18" i="5"/>
  <c r="P18" i="5"/>
  <c r="N18" i="5"/>
  <c r="L18" i="5"/>
  <c r="J18" i="5"/>
  <c r="H18" i="5"/>
  <c r="D18" i="5"/>
  <c r="E18" i="5" s="1"/>
  <c r="BF17" i="5"/>
  <c r="BD17" i="5"/>
  <c r="BB17" i="5"/>
  <c r="AZ17" i="5"/>
  <c r="AX17" i="5"/>
  <c r="AV17" i="5"/>
  <c r="AT17" i="5"/>
  <c r="AR17" i="5"/>
  <c r="AP17" i="5"/>
  <c r="AN17" i="5"/>
  <c r="AL17" i="5"/>
  <c r="AJ17" i="5"/>
  <c r="AH17" i="5"/>
  <c r="AF17" i="5"/>
  <c r="AD17" i="5"/>
  <c r="AB17" i="5"/>
  <c r="Z17" i="5"/>
  <c r="X17" i="5"/>
  <c r="V17" i="5"/>
  <c r="T17" i="5"/>
  <c r="R17" i="5"/>
  <c r="P17" i="5"/>
  <c r="N17" i="5"/>
  <c r="L17" i="5"/>
  <c r="J17" i="5"/>
  <c r="H17" i="5"/>
  <c r="F17" i="5"/>
  <c r="E17" i="5"/>
  <c r="D17" i="5"/>
  <c r="BF16" i="5"/>
  <c r="BD16" i="5"/>
  <c r="BB16" i="5"/>
  <c r="AZ16" i="5"/>
  <c r="AX16" i="5"/>
  <c r="AV16" i="5"/>
  <c r="AT16" i="5"/>
  <c r="AR16" i="5"/>
  <c r="AP16" i="5"/>
  <c r="AN16" i="5"/>
  <c r="AL16" i="5"/>
  <c r="AJ16" i="5"/>
  <c r="AH16" i="5"/>
  <c r="AF16" i="5"/>
  <c r="AD16" i="5"/>
  <c r="AB16" i="5"/>
  <c r="Z16" i="5"/>
  <c r="X16" i="5"/>
  <c r="V16" i="5"/>
  <c r="T16" i="5"/>
  <c r="R16" i="5"/>
  <c r="P16" i="5"/>
  <c r="N16" i="5"/>
  <c r="L16" i="5"/>
  <c r="J16" i="5"/>
  <c r="H16" i="5"/>
  <c r="D16" i="5"/>
  <c r="F16" i="5" s="1"/>
  <c r="BF15" i="5"/>
  <c r="BD15" i="5"/>
  <c r="BB15" i="5"/>
  <c r="AZ15" i="5"/>
  <c r="AX15" i="5"/>
  <c r="AV15" i="5"/>
  <c r="AT15" i="5"/>
  <c r="AR15" i="5"/>
  <c r="AP15" i="5"/>
  <c r="AN15" i="5"/>
  <c r="AL15" i="5"/>
  <c r="AJ15" i="5"/>
  <c r="AH15" i="5"/>
  <c r="AF15" i="5"/>
  <c r="AD15" i="5"/>
  <c r="AB15" i="5"/>
  <c r="Z15" i="5"/>
  <c r="X15" i="5"/>
  <c r="V15" i="5"/>
  <c r="T15" i="5"/>
  <c r="R15" i="5"/>
  <c r="P15" i="5"/>
  <c r="N15" i="5"/>
  <c r="L15" i="5"/>
  <c r="J15" i="5"/>
  <c r="H15" i="5"/>
  <c r="D15" i="5"/>
  <c r="F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E14" i="5" s="1"/>
  <c r="BF13" i="5"/>
  <c r="BD13" i="5"/>
  <c r="BB13" i="5"/>
  <c r="AZ13" i="5"/>
  <c r="AX13" i="5"/>
  <c r="AV13" i="5"/>
  <c r="AT13" i="5"/>
  <c r="AR13" i="5"/>
  <c r="AP13" i="5"/>
  <c r="AN13" i="5"/>
  <c r="AL13" i="5"/>
  <c r="AJ13" i="5"/>
  <c r="AH13" i="5"/>
  <c r="AF13" i="5"/>
  <c r="AD13" i="5"/>
  <c r="AB13" i="5"/>
  <c r="Z13" i="5"/>
  <c r="X13" i="5"/>
  <c r="V13" i="5"/>
  <c r="T13" i="5"/>
  <c r="R13" i="5"/>
  <c r="P13" i="5"/>
  <c r="N13" i="5"/>
  <c r="L13" i="5"/>
  <c r="J13" i="5"/>
  <c r="H13" i="5"/>
  <c r="F13" i="5"/>
  <c r="E13" i="5"/>
  <c r="D13" i="5"/>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F12" i="5" s="1"/>
  <c r="BF11" i="5"/>
  <c r="AX11" i="5"/>
  <c r="AV11" i="5"/>
  <c r="AL11" i="5"/>
  <c r="AJ11" i="5"/>
  <c r="AB11" i="5"/>
  <c r="V11" i="5"/>
  <c r="D11" i="5"/>
  <c r="F11" i="5" s="1"/>
  <c r="BF10" i="5"/>
  <c r="AX10" i="5"/>
  <c r="AV10" i="5"/>
  <c r="AL10" i="5"/>
  <c r="AF10" i="5"/>
  <c r="Z10" i="5"/>
  <c r="V10" i="5"/>
  <c r="D10" i="5"/>
  <c r="E10" i="5" s="1"/>
  <c r="BF9" i="5"/>
  <c r="BD9" i="5"/>
  <c r="AX9" i="5"/>
  <c r="AV9" i="5"/>
  <c r="AT9" i="5"/>
  <c r="AP9" i="5"/>
  <c r="AL9" i="5"/>
  <c r="AJ9" i="5"/>
  <c r="AH9" i="5"/>
  <c r="AD9" i="5"/>
  <c r="AB9" i="5"/>
  <c r="Z9" i="5"/>
  <c r="V9" i="5"/>
  <c r="R9" i="5"/>
  <c r="J9" i="5"/>
  <c r="D9" i="5"/>
  <c r="E9" i="5" s="1"/>
  <c r="P36" i="4"/>
  <c r="L36" i="4"/>
  <c r="M36" i="4" s="1"/>
  <c r="J36" i="4"/>
  <c r="H36" i="4"/>
  <c r="F36" i="4"/>
  <c r="D36" i="4"/>
  <c r="P35" i="4"/>
  <c r="N35" i="4"/>
  <c r="S35" i="4" s="1"/>
  <c r="M35" i="4"/>
  <c r="L35" i="4"/>
  <c r="J35" i="4"/>
  <c r="H35" i="4"/>
  <c r="F35" i="4"/>
  <c r="D35" i="4"/>
  <c r="P34" i="4"/>
  <c r="L34" i="4"/>
  <c r="N34" i="4" s="1"/>
  <c r="S34" i="4" s="1"/>
  <c r="J34" i="4"/>
  <c r="H34" i="4"/>
  <c r="F34" i="4"/>
  <c r="D34" i="4"/>
  <c r="P33" i="4"/>
  <c r="L33" i="4"/>
  <c r="N33" i="4" s="1"/>
  <c r="J33" i="4"/>
  <c r="H33" i="4"/>
  <c r="F33" i="4"/>
  <c r="D33" i="4"/>
  <c r="P32" i="4"/>
  <c r="L32" i="4"/>
  <c r="N32" i="4" s="1"/>
  <c r="S32" i="4" s="1"/>
  <c r="J32" i="4"/>
  <c r="H32" i="4"/>
  <c r="F32" i="4"/>
  <c r="D32" i="4"/>
  <c r="P31" i="4"/>
  <c r="L31" i="4"/>
  <c r="N31" i="4" s="1"/>
  <c r="J31" i="4"/>
  <c r="H31" i="4"/>
  <c r="F31" i="4"/>
  <c r="D31" i="4"/>
  <c r="P30" i="4"/>
  <c r="L30" i="4"/>
  <c r="N30" i="4" s="1"/>
  <c r="S30" i="4" s="1"/>
  <c r="J30" i="4"/>
  <c r="H30" i="4"/>
  <c r="F30" i="4"/>
  <c r="D30" i="4"/>
  <c r="P29" i="4"/>
  <c r="N29" i="4"/>
  <c r="M29" i="4"/>
  <c r="L29" i="4"/>
  <c r="J29" i="4"/>
  <c r="H29" i="4"/>
  <c r="F29" i="4"/>
  <c r="D29" i="4"/>
  <c r="P28" i="4"/>
  <c r="L28" i="4"/>
  <c r="N28" i="4" s="1"/>
  <c r="J28" i="4"/>
  <c r="H28" i="4"/>
  <c r="F28" i="4"/>
  <c r="D28" i="4"/>
  <c r="P27" i="4"/>
  <c r="N27" i="4"/>
  <c r="S27" i="4" s="1"/>
  <c r="M27" i="4"/>
  <c r="L27" i="4"/>
  <c r="J27" i="4"/>
  <c r="H27" i="4"/>
  <c r="F27" i="4"/>
  <c r="D27" i="4"/>
  <c r="P26" i="4"/>
  <c r="L26" i="4"/>
  <c r="N26" i="4" s="1"/>
  <c r="S26" i="4" s="1"/>
  <c r="J26" i="4"/>
  <c r="H26" i="4"/>
  <c r="F26" i="4"/>
  <c r="D26" i="4"/>
  <c r="P25" i="4"/>
  <c r="L25" i="4"/>
  <c r="M25" i="4" s="1"/>
  <c r="J25" i="4"/>
  <c r="H25" i="4"/>
  <c r="F25" i="4"/>
  <c r="D25" i="4"/>
  <c r="P24" i="4"/>
  <c r="L24" i="4"/>
  <c r="N24" i="4" s="1"/>
  <c r="S24" i="4" s="1"/>
  <c r="J24" i="4"/>
  <c r="H24" i="4"/>
  <c r="F24" i="4"/>
  <c r="D24" i="4"/>
  <c r="P23" i="4"/>
  <c r="L23" i="4"/>
  <c r="N23" i="4" s="1"/>
  <c r="J23" i="4"/>
  <c r="H23" i="4"/>
  <c r="F23" i="4"/>
  <c r="D23" i="4"/>
  <c r="P22" i="4"/>
  <c r="L22" i="4"/>
  <c r="N22" i="4" s="1"/>
  <c r="S22" i="4" s="1"/>
  <c r="J22" i="4"/>
  <c r="H22" i="4"/>
  <c r="F22" i="4"/>
  <c r="D22" i="4"/>
  <c r="P21" i="4"/>
  <c r="N21" i="4"/>
  <c r="M21" i="4"/>
  <c r="L21" i="4"/>
  <c r="J21" i="4"/>
  <c r="H21" i="4"/>
  <c r="F21" i="4"/>
  <c r="D21" i="4"/>
  <c r="P20" i="4"/>
  <c r="L20" i="4"/>
  <c r="N20" i="4" s="1"/>
  <c r="J20" i="4"/>
  <c r="H20" i="4"/>
  <c r="F20" i="4"/>
  <c r="D20" i="4"/>
  <c r="P19" i="4"/>
  <c r="N19" i="4"/>
  <c r="S19" i="4" s="1"/>
  <c r="M19" i="4"/>
  <c r="L19" i="4"/>
  <c r="J19" i="4"/>
  <c r="H19" i="4"/>
  <c r="F19" i="4"/>
  <c r="D19" i="4"/>
  <c r="P18" i="4"/>
  <c r="L18" i="4"/>
  <c r="N18" i="4" s="1"/>
  <c r="S18" i="4" s="1"/>
  <c r="J18" i="4"/>
  <c r="H18" i="4"/>
  <c r="F18" i="4"/>
  <c r="D18" i="4"/>
  <c r="P17" i="4"/>
  <c r="L17" i="4"/>
  <c r="M17" i="4" s="1"/>
  <c r="J17" i="4"/>
  <c r="H17" i="4"/>
  <c r="F17" i="4"/>
  <c r="D17" i="4"/>
  <c r="P16" i="4"/>
  <c r="L16" i="4"/>
  <c r="N16" i="4" s="1"/>
  <c r="S16" i="4" s="1"/>
  <c r="J16" i="4"/>
  <c r="H16" i="4"/>
  <c r="F16" i="4"/>
  <c r="D16" i="4"/>
  <c r="P15" i="4"/>
  <c r="L15" i="4"/>
  <c r="N15" i="4" s="1"/>
  <c r="J15" i="4"/>
  <c r="H15" i="4"/>
  <c r="F15" i="4"/>
  <c r="D15" i="4"/>
  <c r="P14" i="4"/>
  <c r="L14" i="4"/>
  <c r="N14" i="4" s="1"/>
  <c r="S14" i="4" s="1"/>
  <c r="J14" i="4"/>
  <c r="H14" i="4"/>
  <c r="F14" i="4"/>
  <c r="D14" i="4"/>
  <c r="P13" i="4"/>
  <c r="N13" i="4"/>
  <c r="M13" i="4"/>
  <c r="L13" i="4"/>
  <c r="J13" i="4"/>
  <c r="H13" i="4"/>
  <c r="F13" i="4"/>
  <c r="D13" i="4"/>
  <c r="P12" i="4"/>
  <c r="L12" i="4"/>
  <c r="N12" i="4" s="1"/>
  <c r="J12" i="4"/>
  <c r="H12" i="4"/>
  <c r="F12" i="4"/>
  <c r="D12" i="4"/>
  <c r="P11" i="4"/>
  <c r="N11" i="4"/>
  <c r="S11" i="4" s="1"/>
  <c r="M11" i="4"/>
  <c r="L11" i="4"/>
  <c r="J11" i="4"/>
  <c r="H11" i="4"/>
  <c r="F11" i="4"/>
  <c r="D11" i="4"/>
  <c r="P10" i="4"/>
  <c r="L10" i="4"/>
  <c r="N10" i="4" s="1"/>
  <c r="S10" i="4" s="1"/>
  <c r="J10" i="4"/>
  <c r="H10" i="4"/>
  <c r="F10" i="4"/>
  <c r="D10" i="4"/>
  <c r="J9" i="4"/>
  <c r="H9" i="4"/>
  <c r="J8" i="4"/>
  <c r="H8" i="4"/>
  <c r="F8" i="4"/>
  <c r="L7" i="4"/>
  <c r="N7" i="4" s="1"/>
  <c r="J7" i="4"/>
  <c r="H7" i="4"/>
  <c r="F7" i="4"/>
  <c r="D7" i="4"/>
  <c r="D37" i="3"/>
  <c r="F37" i="3"/>
  <c r="H37" i="3"/>
  <c r="I37" i="3" s="1"/>
  <c r="K37" i="3"/>
  <c r="M37" i="3"/>
  <c r="O37" i="3"/>
  <c r="P37" i="3"/>
  <c r="R37" i="3"/>
  <c r="S37" i="3" s="1"/>
  <c r="U37" i="3"/>
  <c r="V37" i="3"/>
  <c r="X37" i="3"/>
  <c r="Y37" i="3" s="1"/>
  <c r="AA37" i="3"/>
  <c r="AC37" i="3"/>
  <c r="AE37" i="3"/>
  <c r="AG37" i="3"/>
  <c r="AI37" i="3"/>
  <c r="AI36" i="3"/>
  <c r="AG36" i="3"/>
  <c r="AE36" i="3"/>
  <c r="AC36" i="3"/>
  <c r="AA36" i="3"/>
  <c r="X36" i="3"/>
  <c r="Y36" i="3" s="1"/>
  <c r="U36" i="3"/>
  <c r="V36" i="3" s="1"/>
  <c r="R36" i="3"/>
  <c r="S36" i="3" s="1"/>
  <c r="O36" i="3"/>
  <c r="P36" i="3" s="1"/>
  <c r="M36" i="3"/>
  <c r="K36" i="3"/>
  <c r="H36" i="3"/>
  <c r="I36" i="3" s="1"/>
  <c r="F36" i="3"/>
  <c r="D36" i="3"/>
  <c r="AI35" i="3"/>
  <c r="AG35" i="3"/>
  <c r="AE35" i="3"/>
  <c r="AC35" i="3"/>
  <c r="AA35" i="3"/>
  <c r="X35" i="3"/>
  <c r="Y35" i="3" s="1"/>
  <c r="U35" i="3"/>
  <c r="V35" i="3" s="1"/>
  <c r="R35" i="3"/>
  <c r="S35" i="3" s="1"/>
  <c r="O35" i="3"/>
  <c r="P35" i="3" s="1"/>
  <c r="M35" i="3"/>
  <c r="K35" i="3"/>
  <c r="I35" i="3"/>
  <c r="H35" i="3"/>
  <c r="F35" i="3"/>
  <c r="D35" i="3"/>
  <c r="AI34" i="3"/>
  <c r="AG34" i="3"/>
  <c r="AE34" i="3"/>
  <c r="AC34" i="3"/>
  <c r="AA34" i="3"/>
  <c r="X34" i="3"/>
  <c r="Y34" i="3" s="1"/>
  <c r="U34" i="3"/>
  <c r="V34" i="3" s="1"/>
  <c r="R34" i="3"/>
  <c r="S34" i="3" s="1"/>
  <c r="P34" i="3"/>
  <c r="O34" i="3"/>
  <c r="M34" i="3"/>
  <c r="K34" i="3"/>
  <c r="H34" i="3"/>
  <c r="I34" i="3" s="1"/>
  <c r="F34" i="3"/>
  <c r="D34" i="3"/>
  <c r="AI33" i="3"/>
  <c r="AG33" i="3"/>
  <c r="AE33" i="3"/>
  <c r="AC33" i="3"/>
  <c r="AA33" i="3"/>
  <c r="Y33" i="3"/>
  <c r="X33" i="3"/>
  <c r="U33" i="3"/>
  <c r="V33" i="3" s="1"/>
  <c r="R33" i="3"/>
  <c r="S33" i="3" s="1"/>
  <c r="O33" i="3"/>
  <c r="P33" i="3" s="1"/>
  <c r="M33" i="3"/>
  <c r="K33" i="3"/>
  <c r="H33" i="3"/>
  <c r="I33" i="3" s="1"/>
  <c r="F33" i="3"/>
  <c r="D33" i="3"/>
  <c r="AI32" i="3"/>
  <c r="AG32" i="3"/>
  <c r="AE32" i="3"/>
  <c r="AC32" i="3"/>
  <c r="AA32" i="3"/>
  <c r="X32" i="3"/>
  <c r="Y32" i="3" s="1"/>
  <c r="U32" i="3"/>
  <c r="V32" i="3" s="1"/>
  <c r="R32" i="3"/>
  <c r="S32" i="3" s="1"/>
  <c r="O32" i="3"/>
  <c r="P32" i="3" s="1"/>
  <c r="M32" i="3"/>
  <c r="K32" i="3"/>
  <c r="H32" i="3"/>
  <c r="I32" i="3" s="1"/>
  <c r="F32" i="3"/>
  <c r="D32" i="3"/>
  <c r="AI31" i="3"/>
  <c r="AG31" i="3"/>
  <c r="AE31" i="3"/>
  <c r="AC31" i="3"/>
  <c r="AA31" i="3"/>
  <c r="X31" i="3"/>
  <c r="Y31" i="3" s="1"/>
  <c r="U31" i="3"/>
  <c r="V31" i="3" s="1"/>
  <c r="R31" i="3"/>
  <c r="S31" i="3" s="1"/>
  <c r="P31" i="3"/>
  <c r="O31" i="3"/>
  <c r="M31" i="3"/>
  <c r="K31" i="3"/>
  <c r="H31" i="3"/>
  <c r="I31" i="3" s="1"/>
  <c r="F31" i="3"/>
  <c r="D31" i="3"/>
  <c r="AI30" i="3"/>
  <c r="AG30" i="3"/>
  <c r="AE30" i="3"/>
  <c r="AC30" i="3"/>
  <c r="AA30" i="3"/>
  <c r="X30" i="3"/>
  <c r="Y30" i="3" s="1"/>
  <c r="U30" i="3"/>
  <c r="V30" i="3" s="1"/>
  <c r="R30" i="3"/>
  <c r="S30" i="3" s="1"/>
  <c r="P30" i="3"/>
  <c r="O30" i="3"/>
  <c r="M30" i="3"/>
  <c r="K30" i="3"/>
  <c r="I30" i="3"/>
  <c r="H30" i="3"/>
  <c r="F30" i="3"/>
  <c r="D30" i="3"/>
  <c r="AI29" i="3"/>
  <c r="AG29" i="3"/>
  <c r="AE29" i="3"/>
  <c r="AC29" i="3"/>
  <c r="AA29" i="3"/>
  <c r="Y29" i="3"/>
  <c r="X29" i="3"/>
  <c r="U29" i="3"/>
  <c r="V29" i="3" s="1"/>
  <c r="R29" i="3"/>
  <c r="S29" i="3" s="1"/>
  <c r="O29" i="3"/>
  <c r="P29" i="3" s="1"/>
  <c r="M29" i="3"/>
  <c r="K29" i="3"/>
  <c r="H29" i="3"/>
  <c r="I29" i="3" s="1"/>
  <c r="F29" i="3"/>
  <c r="D29" i="3"/>
  <c r="AI28" i="3"/>
  <c r="AG28" i="3"/>
  <c r="AE28" i="3"/>
  <c r="AC28" i="3"/>
  <c r="AA28" i="3"/>
  <c r="X28" i="3"/>
  <c r="Y28" i="3" s="1"/>
  <c r="U28" i="3"/>
  <c r="V28" i="3" s="1"/>
  <c r="R28" i="3"/>
  <c r="S28" i="3" s="1"/>
  <c r="O28" i="3"/>
  <c r="P28" i="3" s="1"/>
  <c r="M28" i="3"/>
  <c r="K28" i="3"/>
  <c r="H28" i="3"/>
  <c r="I28" i="3" s="1"/>
  <c r="F28" i="3"/>
  <c r="D28" i="3"/>
  <c r="AI27" i="3"/>
  <c r="AG27" i="3"/>
  <c r="AE27" i="3"/>
  <c r="AC27" i="3"/>
  <c r="AA27" i="3"/>
  <c r="X27" i="3"/>
  <c r="Y27" i="3" s="1"/>
  <c r="U27" i="3"/>
  <c r="V27" i="3" s="1"/>
  <c r="R27" i="3"/>
  <c r="S27" i="3" s="1"/>
  <c r="O27" i="3"/>
  <c r="P27" i="3" s="1"/>
  <c r="M27" i="3"/>
  <c r="K27" i="3"/>
  <c r="H27" i="3"/>
  <c r="I27" i="3" s="1"/>
  <c r="F27" i="3"/>
  <c r="D27" i="3"/>
  <c r="AI26" i="3"/>
  <c r="AG26" i="3"/>
  <c r="AE26" i="3"/>
  <c r="AC26" i="3"/>
  <c r="AA26" i="3"/>
  <c r="X26" i="3"/>
  <c r="Y26" i="3" s="1"/>
  <c r="U26" i="3"/>
  <c r="V26" i="3" s="1"/>
  <c r="R26" i="3"/>
  <c r="S26" i="3" s="1"/>
  <c r="O26" i="3"/>
  <c r="P26" i="3" s="1"/>
  <c r="M26" i="3"/>
  <c r="K26" i="3"/>
  <c r="I26" i="3"/>
  <c r="H26" i="3"/>
  <c r="F26" i="3"/>
  <c r="D26" i="3"/>
  <c r="AI25" i="3"/>
  <c r="AG25" i="3"/>
  <c r="AE25" i="3"/>
  <c r="AC25" i="3"/>
  <c r="AA25" i="3"/>
  <c r="X25" i="3"/>
  <c r="Y25" i="3" s="1"/>
  <c r="U25" i="3"/>
  <c r="V25" i="3" s="1"/>
  <c r="S25" i="3"/>
  <c r="R25" i="3"/>
  <c r="O25" i="3"/>
  <c r="P25" i="3" s="1"/>
  <c r="M25" i="3"/>
  <c r="K25" i="3"/>
  <c r="H25" i="3"/>
  <c r="I25" i="3" s="1"/>
  <c r="F25" i="3"/>
  <c r="D25" i="3"/>
  <c r="AI24" i="3"/>
  <c r="AG24" i="3"/>
  <c r="AE24" i="3"/>
  <c r="AC24" i="3"/>
  <c r="AA24" i="3"/>
  <c r="X24" i="3"/>
  <c r="Y24" i="3" s="1"/>
  <c r="U24" i="3"/>
  <c r="V24" i="3" s="1"/>
  <c r="R24" i="3"/>
  <c r="S24" i="3" s="1"/>
  <c r="O24" i="3"/>
  <c r="P24" i="3" s="1"/>
  <c r="M24" i="3"/>
  <c r="K24" i="3"/>
  <c r="H24" i="3"/>
  <c r="I24" i="3" s="1"/>
  <c r="F24" i="3"/>
  <c r="D24" i="3"/>
  <c r="AI23" i="3"/>
  <c r="AG23" i="3"/>
  <c r="AE23" i="3"/>
  <c r="AC23" i="3"/>
  <c r="AA23" i="3"/>
  <c r="X23" i="3"/>
  <c r="Y23" i="3" s="1"/>
  <c r="V23" i="3"/>
  <c r="U23" i="3"/>
  <c r="R23" i="3"/>
  <c r="S23" i="3" s="1"/>
  <c r="O23" i="3"/>
  <c r="P23" i="3" s="1"/>
  <c r="M23" i="3"/>
  <c r="K23" i="3"/>
  <c r="H23" i="3"/>
  <c r="I23" i="3" s="1"/>
  <c r="F23" i="3"/>
  <c r="D23" i="3"/>
  <c r="AI22" i="3"/>
  <c r="AG22" i="3"/>
  <c r="AE22" i="3"/>
  <c r="AC22" i="3"/>
  <c r="AA22" i="3"/>
  <c r="X22" i="3"/>
  <c r="Y22" i="3" s="1"/>
  <c r="U22" i="3"/>
  <c r="V22" i="3" s="1"/>
  <c r="R22" i="3"/>
  <c r="S22" i="3" s="1"/>
  <c r="O22" i="3"/>
  <c r="P22" i="3" s="1"/>
  <c r="M22" i="3"/>
  <c r="K22" i="3"/>
  <c r="H22" i="3"/>
  <c r="I22" i="3" s="1"/>
  <c r="F22" i="3"/>
  <c r="D22" i="3"/>
  <c r="AI21" i="3"/>
  <c r="AG21" i="3"/>
  <c r="AE21" i="3"/>
  <c r="AC21" i="3"/>
  <c r="AA21" i="3"/>
  <c r="Y21" i="3"/>
  <c r="X21" i="3"/>
  <c r="U21" i="3"/>
  <c r="V21" i="3" s="1"/>
  <c r="S21" i="3"/>
  <c r="R21" i="3"/>
  <c r="O21" i="3"/>
  <c r="P21" i="3" s="1"/>
  <c r="M21" i="3"/>
  <c r="K21" i="3"/>
  <c r="H21" i="3"/>
  <c r="I21" i="3" s="1"/>
  <c r="F21" i="3"/>
  <c r="D21" i="3"/>
  <c r="AI20" i="3"/>
  <c r="AG20" i="3"/>
  <c r="AE20" i="3"/>
  <c r="AC20" i="3"/>
  <c r="AA20" i="3"/>
  <c r="Y20" i="3"/>
  <c r="X20" i="3"/>
  <c r="U20" i="3"/>
  <c r="V20" i="3" s="1"/>
  <c r="S20" i="3"/>
  <c r="R20" i="3"/>
  <c r="O20" i="3"/>
  <c r="P20" i="3" s="1"/>
  <c r="M20" i="3"/>
  <c r="K20" i="3"/>
  <c r="H20" i="3"/>
  <c r="I20" i="3" s="1"/>
  <c r="F20" i="3"/>
  <c r="D20" i="3"/>
  <c r="AI19" i="3"/>
  <c r="AG19" i="3"/>
  <c r="AE19" i="3"/>
  <c r="AC19" i="3"/>
  <c r="AA19" i="3"/>
  <c r="X19" i="3"/>
  <c r="Y19" i="3" s="1"/>
  <c r="U19" i="3"/>
  <c r="V19" i="3" s="1"/>
  <c r="R19" i="3"/>
  <c r="S19" i="3" s="1"/>
  <c r="O19" i="3"/>
  <c r="P19" i="3" s="1"/>
  <c r="M19" i="3"/>
  <c r="K19" i="3"/>
  <c r="I19" i="3"/>
  <c r="H19" i="3"/>
  <c r="F19" i="3"/>
  <c r="D19" i="3"/>
  <c r="AI18" i="3"/>
  <c r="AG18" i="3"/>
  <c r="AE18" i="3"/>
  <c r="AC18" i="3"/>
  <c r="AA18" i="3"/>
  <c r="X18" i="3"/>
  <c r="Y18" i="3" s="1"/>
  <c r="U18" i="3"/>
  <c r="V18" i="3" s="1"/>
  <c r="R18" i="3"/>
  <c r="S18" i="3" s="1"/>
  <c r="P18" i="3"/>
  <c r="O18" i="3"/>
  <c r="M18" i="3"/>
  <c r="K18" i="3"/>
  <c r="H18" i="3"/>
  <c r="I18" i="3" s="1"/>
  <c r="F18" i="3"/>
  <c r="D18" i="3"/>
  <c r="AI17" i="3"/>
  <c r="AG17" i="3"/>
  <c r="AE17" i="3"/>
  <c r="AC17" i="3"/>
  <c r="AA17" i="3"/>
  <c r="Y17" i="3"/>
  <c r="X17" i="3"/>
  <c r="U17" i="3"/>
  <c r="V17" i="3" s="1"/>
  <c r="S17" i="3"/>
  <c r="R17" i="3"/>
  <c r="O17" i="3"/>
  <c r="P17" i="3" s="1"/>
  <c r="M17" i="3"/>
  <c r="K17" i="3"/>
  <c r="H17" i="3"/>
  <c r="I17" i="3" s="1"/>
  <c r="F17" i="3"/>
  <c r="D17" i="3"/>
  <c r="AI16" i="3"/>
  <c r="AG16" i="3"/>
  <c r="AE16" i="3"/>
  <c r="AC16" i="3"/>
  <c r="AA16" i="3"/>
  <c r="X16" i="3"/>
  <c r="Y16" i="3" s="1"/>
  <c r="U16" i="3"/>
  <c r="V16" i="3" s="1"/>
  <c r="R16" i="3"/>
  <c r="S16" i="3" s="1"/>
  <c r="O16" i="3"/>
  <c r="P16" i="3" s="1"/>
  <c r="M16" i="3"/>
  <c r="K16" i="3"/>
  <c r="H16" i="3"/>
  <c r="I16" i="3" s="1"/>
  <c r="F16" i="3"/>
  <c r="D16" i="3"/>
  <c r="AI15" i="3"/>
  <c r="AG15" i="3"/>
  <c r="AE15" i="3"/>
  <c r="AC15" i="3"/>
  <c r="AA15" i="3"/>
  <c r="X15" i="3"/>
  <c r="Y15" i="3" s="1"/>
  <c r="V15" i="3"/>
  <c r="U15" i="3"/>
  <c r="R15" i="3"/>
  <c r="S15" i="3" s="1"/>
  <c r="O15" i="3"/>
  <c r="P15" i="3" s="1"/>
  <c r="M15" i="3"/>
  <c r="K15" i="3"/>
  <c r="I15" i="3"/>
  <c r="H15" i="3"/>
  <c r="F15" i="3"/>
  <c r="D15" i="3"/>
  <c r="AI14" i="3"/>
  <c r="AG14" i="3"/>
  <c r="AE14" i="3"/>
  <c r="AC14" i="3"/>
  <c r="AA14" i="3"/>
  <c r="X14" i="3"/>
  <c r="Y14" i="3" s="1"/>
  <c r="V14" i="3"/>
  <c r="U14" i="3"/>
  <c r="R14" i="3"/>
  <c r="S14" i="3" s="1"/>
  <c r="O14" i="3"/>
  <c r="P14" i="3" s="1"/>
  <c r="M14" i="3"/>
  <c r="K14" i="3"/>
  <c r="H14" i="3"/>
  <c r="I14" i="3" s="1"/>
  <c r="F14" i="3"/>
  <c r="D14" i="3"/>
  <c r="AI13" i="3"/>
  <c r="AG13" i="3"/>
  <c r="AE13" i="3"/>
  <c r="AC13" i="3"/>
  <c r="AA13" i="3"/>
  <c r="Y13" i="3"/>
  <c r="X13" i="3"/>
  <c r="U13" i="3"/>
  <c r="V13" i="3" s="1"/>
  <c r="R13" i="3"/>
  <c r="S13" i="3" s="1"/>
  <c r="O13" i="3"/>
  <c r="P13" i="3" s="1"/>
  <c r="M13" i="3"/>
  <c r="K13" i="3"/>
  <c r="H13" i="3"/>
  <c r="I13" i="3" s="1"/>
  <c r="F13" i="3"/>
  <c r="D13" i="3"/>
  <c r="AI12" i="3"/>
  <c r="AG12" i="3"/>
  <c r="AE12" i="3"/>
  <c r="AC12" i="3"/>
  <c r="AA12" i="3"/>
  <c r="Y12" i="3"/>
  <c r="X12" i="3"/>
  <c r="U12" i="3"/>
  <c r="V12" i="3" s="1"/>
  <c r="R12" i="3"/>
  <c r="S12" i="3" s="1"/>
  <c r="O12" i="3"/>
  <c r="P12" i="3" s="1"/>
  <c r="M12" i="3"/>
  <c r="K12" i="3"/>
  <c r="H12" i="3"/>
  <c r="I12" i="3" s="1"/>
  <c r="F12" i="3"/>
  <c r="D12" i="3"/>
  <c r="AI11" i="3"/>
  <c r="AG11" i="3"/>
  <c r="AE11" i="3"/>
  <c r="AC11" i="3"/>
  <c r="AA11" i="3"/>
  <c r="X11" i="3"/>
  <c r="Y11" i="3" s="1"/>
  <c r="U11" i="3"/>
  <c r="V11" i="3" s="1"/>
  <c r="R11" i="3"/>
  <c r="S11" i="3" s="1"/>
  <c r="O11" i="3"/>
  <c r="P11" i="3" s="1"/>
  <c r="M11" i="3"/>
  <c r="K11" i="3"/>
  <c r="H11" i="3"/>
  <c r="I11" i="3" s="1"/>
  <c r="F11" i="3"/>
  <c r="D11" i="3"/>
  <c r="AI10" i="3"/>
  <c r="AG10" i="3"/>
  <c r="AE10" i="3"/>
  <c r="AC10" i="3"/>
  <c r="AA10" i="3"/>
  <c r="X10" i="3"/>
  <c r="Y10" i="3" s="1"/>
  <c r="V10" i="3"/>
  <c r="U10" i="3"/>
  <c r="R10" i="3"/>
  <c r="S10" i="3" s="1"/>
  <c r="O10" i="3"/>
  <c r="P10" i="3" s="1"/>
  <c r="M10" i="3"/>
  <c r="K10" i="3"/>
  <c r="I10" i="3"/>
  <c r="H10" i="3"/>
  <c r="F10" i="3"/>
  <c r="D10" i="3"/>
  <c r="AI9" i="3"/>
  <c r="AG9" i="3"/>
  <c r="AE9" i="3"/>
  <c r="AC9" i="3"/>
  <c r="AA9" i="3"/>
  <c r="Y9" i="3"/>
  <c r="X9" i="3"/>
  <c r="U9" i="3"/>
  <c r="V9" i="3" s="1"/>
  <c r="S9" i="3"/>
  <c r="R9" i="3"/>
  <c r="O9" i="3"/>
  <c r="P9" i="3" s="1"/>
  <c r="M9" i="3"/>
  <c r="K9" i="3"/>
  <c r="H9" i="3"/>
  <c r="I9" i="3" s="1"/>
  <c r="F9" i="3"/>
  <c r="D9" i="3"/>
  <c r="AI8" i="3"/>
  <c r="AG8" i="3"/>
  <c r="AE8" i="3"/>
  <c r="AC8" i="3"/>
  <c r="AA8" i="3"/>
  <c r="X8" i="3"/>
  <c r="Y8" i="3" s="1"/>
  <c r="U8" i="3"/>
  <c r="V8" i="3" s="1"/>
  <c r="R8" i="3"/>
  <c r="S8" i="3" s="1"/>
  <c r="O8" i="3"/>
  <c r="P8" i="3" s="1"/>
  <c r="M8" i="3"/>
  <c r="K8" i="3"/>
  <c r="H8" i="3"/>
  <c r="I8" i="3" s="1"/>
  <c r="F8" i="3"/>
  <c r="D8" i="3"/>
  <c r="AK38" i="3" l="1"/>
  <c r="AL38" i="3"/>
  <c r="P9" i="4"/>
  <c r="P8" i="4"/>
  <c r="P7" i="4"/>
  <c r="L9" i="4"/>
  <c r="M9" i="4" s="1"/>
  <c r="L8" i="4"/>
  <c r="N8" i="4" s="1"/>
  <c r="S8" i="4" s="1"/>
  <c r="D9" i="4"/>
  <c r="D8" i="4"/>
  <c r="BI17" i="5"/>
  <c r="N9" i="5"/>
  <c r="AZ11" i="5"/>
  <c r="AZ10" i="5"/>
  <c r="BD10" i="5"/>
  <c r="BD11" i="5"/>
  <c r="AZ9" i="5"/>
  <c r="BA10" i="5"/>
  <c r="AP11" i="5"/>
  <c r="AP10" i="5"/>
  <c r="AN11" i="5"/>
  <c r="AN10" i="5"/>
  <c r="AT10" i="5"/>
  <c r="AT11" i="5"/>
  <c r="AN9" i="5"/>
  <c r="AQ10" i="5"/>
  <c r="AD10" i="5"/>
  <c r="AD11" i="5"/>
  <c r="AH11" i="5"/>
  <c r="AH10" i="5"/>
  <c r="T11" i="5"/>
  <c r="T10" i="5"/>
  <c r="T9" i="5"/>
  <c r="BH9" i="5" s="1"/>
  <c r="W10" i="5"/>
  <c r="N10" i="5"/>
  <c r="N11" i="5"/>
  <c r="H11" i="5"/>
  <c r="H10" i="5"/>
  <c r="J10" i="5"/>
  <c r="J11" i="5"/>
  <c r="R10" i="5"/>
  <c r="R11" i="5"/>
  <c r="H9" i="5"/>
  <c r="O10" i="5"/>
  <c r="K10" i="5"/>
  <c r="BI13" i="5"/>
  <c r="BI16" i="5"/>
  <c r="BI19" i="5"/>
  <c r="BI32" i="5"/>
  <c r="BI23" i="5"/>
  <c r="BI30" i="5"/>
  <c r="BI38" i="5"/>
  <c r="BI15" i="5"/>
  <c r="BI22" i="5"/>
  <c r="BI27" i="5"/>
  <c r="BI35" i="5"/>
  <c r="BI12" i="5"/>
  <c r="BI26" i="5"/>
  <c r="BI34" i="5"/>
  <c r="BH32" i="5"/>
  <c r="BH18" i="5"/>
  <c r="BH24" i="5"/>
  <c r="BH29" i="5"/>
  <c r="BH37" i="5"/>
  <c r="BH17" i="5"/>
  <c r="BH28" i="5"/>
  <c r="BH36" i="5"/>
  <c r="BH13" i="5"/>
  <c r="BH14" i="5"/>
  <c r="BH21" i="5"/>
  <c r="F10" i="5"/>
  <c r="E11" i="5"/>
  <c r="F14" i="5"/>
  <c r="BI14" i="5" s="1"/>
  <c r="E15" i="5"/>
  <c r="BH15" i="5" s="1"/>
  <c r="F18" i="5"/>
  <c r="BI18" i="5" s="1"/>
  <c r="F21" i="5"/>
  <c r="BI21" i="5" s="1"/>
  <c r="E22" i="5"/>
  <c r="BH22" i="5" s="1"/>
  <c r="F25" i="5"/>
  <c r="BI25" i="5" s="1"/>
  <c r="E26" i="5"/>
  <c r="BH26" i="5" s="1"/>
  <c r="F29" i="5"/>
  <c r="BI29" i="5" s="1"/>
  <c r="E30" i="5"/>
  <c r="BH30" i="5" s="1"/>
  <c r="F33" i="5"/>
  <c r="BI33" i="5" s="1"/>
  <c r="E34" i="5"/>
  <c r="BH34" i="5" s="1"/>
  <c r="F37" i="5"/>
  <c r="BI37" i="5" s="1"/>
  <c r="E38" i="5"/>
  <c r="BH38" i="5" s="1"/>
  <c r="BI20" i="5"/>
  <c r="BI24" i="5"/>
  <c r="S7" i="4"/>
  <c r="S12" i="4"/>
  <c r="S13" i="4"/>
  <c r="S15" i="4"/>
  <c r="S20" i="4"/>
  <c r="S21" i="4"/>
  <c r="S23" i="4"/>
  <c r="S28" i="4"/>
  <c r="S29" i="4"/>
  <c r="S31" i="4"/>
  <c r="S33" i="4"/>
  <c r="M33" i="4"/>
  <c r="N9" i="4"/>
  <c r="S9" i="4" s="1"/>
  <c r="M15" i="4"/>
  <c r="N17" i="4"/>
  <c r="S17" i="4" s="1"/>
  <c r="M23" i="4"/>
  <c r="N25" i="4"/>
  <c r="S25" i="4" s="1"/>
  <c r="M31" i="4"/>
  <c r="N36" i="4"/>
  <c r="S36" i="4" s="1"/>
  <c r="R10" i="4"/>
  <c r="R15" i="4"/>
  <c r="R18" i="4"/>
  <c r="R23" i="4"/>
  <c r="R26" i="4"/>
  <c r="R31" i="4"/>
  <c r="R34" i="4"/>
  <c r="R8" i="4"/>
  <c r="R13" i="4"/>
  <c r="R16" i="4"/>
  <c r="R21" i="4"/>
  <c r="R24" i="4"/>
  <c r="R29" i="4"/>
  <c r="R32" i="4"/>
  <c r="R11" i="4"/>
  <c r="R14" i="4"/>
  <c r="R19" i="4"/>
  <c r="R22" i="4"/>
  <c r="R27" i="4"/>
  <c r="R30" i="4"/>
  <c r="R35" i="4"/>
  <c r="R7" i="4"/>
  <c r="R9" i="4"/>
  <c r="R12" i="4"/>
  <c r="R17" i="4"/>
  <c r="R20" i="4"/>
  <c r="R25" i="4"/>
  <c r="R28" i="4"/>
  <c r="R33" i="4"/>
  <c r="R36" i="4"/>
  <c r="AL35" i="3"/>
  <c r="AL31" i="3"/>
  <c r="AK37" i="3"/>
  <c r="AL17" i="3"/>
  <c r="AL20" i="3"/>
  <c r="AL21" i="3"/>
  <c r="AL37" i="3"/>
  <c r="AL18" i="3"/>
  <c r="AL19" i="3"/>
  <c r="AL10" i="3"/>
  <c r="AL14" i="3"/>
  <c r="AL26" i="3"/>
  <c r="AK15" i="3"/>
  <c r="AL34" i="3"/>
  <c r="AL22" i="3"/>
  <c r="AK19" i="3"/>
  <c r="AK25" i="3"/>
  <c r="AK26" i="3"/>
  <c r="AK11" i="3"/>
  <c r="AK27" i="3"/>
  <c r="AK31" i="3"/>
  <c r="AK24" i="3"/>
  <c r="AK33" i="3"/>
  <c r="AK34" i="3"/>
  <c r="AK23" i="3"/>
  <c r="AK35" i="3"/>
  <c r="AK36" i="3"/>
  <c r="F9" i="5"/>
  <c r="BI9" i="5" s="1"/>
  <c r="E12" i="5"/>
  <c r="BH12" i="5" s="1"/>
  <c r="E16" i="5"/>
  <c r="BH16" i="5" s="1"/>
  <c r="E19" i="5"/>
  <c r="BH19" i="5" s="1"/>
  <c r="E23" i="5"/>
  <c r="BH23" i="5" s="1"/>
  <c r="E27" i="5"/>
  <c r="BH27" i="5" s="1"/>
  <c r="E31" i="5"/>
  <c r="BH31" i="5" s="1"/>
  <c r="E35" i="5"/>
  <c r="BH35" i="5" s="1"/>
  <c r="M7" i="4"/>
  <c r="M8" i="4"/>
  <c r="M10" i="4"/>
  <c r="M12" i="4"/>
  <c r="M14" i="4"/>
  <c r="M16" i="4"/>
  <c r="M18" i="4"/>
  <c r="M20" i="4"/>
  <c r="M22" i="4"/>
  <c r="M24" i="4"/>
  <c r="M26" i="4"/>
  <c r="M28" i="4"/>
  <c r="M30" i="4"/>
  <c r="M32" i="4"/>
  <c r="M34" i="4"/>
  <c r="AL8" i="3"/>
  <c r="AK8" i="3"/>
  <c r="AK9" i="3"/>
  <c r="AK13" i="3"/>
  <c r="AK20" i="3"/>
  <c r="AL28" i="3"/>
  <c r="AL32" i="3"/>
  <c r="AL11" i="3"/>
  <c r="AL13" i="3"/>
  <c r="AL16" i="3"/>
  <c r="AK29" i="3"/>
  <c r="AK30" i="3"/>
  <c r="AL30" i="3"/>
  <c r="AK32" i="3"/>
  <c r="AK10" i="3"/>
  <c r="AK14" i="3"/>
  <c r="AL25" i="3"/>
  <c r="AL27" i="3"/>
  <c r="AL33" i="3"/>
  <c r="AL9" i="3"/>
  <c r="AL12" i="3"/>
  <c r="AL15" i="3"/>
  <c r="AK28" i="3"/>
  <c r="AK12" i="3"/>
  <c r="AK16" i="3"/>
  <c r="AK17" i="3"/>
  <c r="AK18" i="3"/>
  <c r="AK21" i="3"/>
  <c r="AK22" i="3"/>
  <c r="AL23" i="3"/>
  <c r="AL24" i="3"/>
  <c r="AL29" i="3"/>
  <c r="AL36" i="3"/>
  <c r="C41" i="9"/>
  <c r="BB10" i="5" l="1"/>
  <c r="BB11" i="5"/>
  <c r="BI10" i="5"/>
  <c r="AR10" i="5"/>
  <c r="AR11" i="5"/>
  <c r="BI11" i="5" s="1"/>
  <c r="X11" i="5"/>
  <c r="X10" i="5"/>
  <c r="L11" i="5"/>
  <c r="L10" i="5"/>
  <c r="P11" i="5"/>
  <c r="BH11" i="5" s="1"/>
  <c r="P10" i="5"/>
  <c r="D39" i="5"/>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BH10" i="5" l="1"/>
  <c r="E39" i="5"/>
  <c r="BH39" i="5" s="1"/>
  <c r="BI39" i="5"/>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J38" i="4"/>
  <c r="H23" i="8"/>
  <c r="H38" i="4"/>
  <c r="D38" i="4"/>
  <c r="I30" i="6"/>
  <c r="P38" i="4"/>
  <c r="H5" i="8"/>
  <c r="H9" i="8"/>
  <c r="H17" i="8"/>
  <c r="H6" i="8"/>
  <c r="H14" i="8"/>
  <c r="H3" i="8"/>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M3" i="8" l="1"/>
  <c r="G2" i="10" s="1"/>
  <c r="G2" i="6"/>
  <c r="G4" i="6" l="1"/>
  <c r="M5" i="8"/>
  <c r="G4" i="10" s="1"/>
  <c r="G5" i="6"/>
  <c r="M6" i="8"/>
  <c r="G5" i="10" s="1"/>
  <c r="M4" i="8"/>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<sst xmlns="http://schemas.openxmlformats.org/spreadsheetml/2006/main" count="1420" uniqueCount="404">
  <si>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</si>
  <si>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</si>
  <si>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</si>
  <si>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</si>
  <si>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</si>
  <si>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</si>
  <si>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</si>
  <si>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</si>
  <si>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</si>
  <si>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</si>
  <si>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</si>
  <si>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</si>
  <si>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</si>
  <si>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</si>
  <si>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</si>
  <si>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</si>
  <si>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</si>
  <si>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</si>
  <si>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</si>
  <si>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</si>
  <si>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</si>
  <si>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</si>
  <si>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</si>
  <si>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</si>
  <si>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</si>
  <si>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</si>
  <si>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</si>
  <si>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</si>
  <si>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</si>
  <si>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</si>
  <si>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</si>
  <si>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</si>
  <si>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</si>
  <si>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</si>
  <si>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</si>
  <si>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</si>
  <si>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</si>
  <si>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</si>
  <si>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</si>
  <si>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</si>
  <si>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</si>
  <si>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</si>
  <si>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</si>
  <si>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</si>
  <si>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</si>
  <si>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</si>
  <si>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</si>
  <si>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</si>
  <si>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</si>
  <si>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</si>
  <si>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</si>
  <si>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</si>
  <si>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</si>
  <si>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</si>
  <si>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</si>
  <si>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</si>
  <si>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</si>
  <si>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</si>
  <si>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</si>
  <si>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</si>
  <si>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</si>
  <si>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</si>
  <si>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</si>
  <si>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</si>
  <si>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</si>
  <si>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</si>
  <si>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</si>
  <si>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</si>
  <si>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</si>
  <si>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</si>
  <si>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</si>
  <si>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</si>
  <si>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</si>
  <si>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</si>
  <si>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</si>
  <si>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</si>
  <si>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</si>
  <si>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</si>
  <si>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</si>
  <si>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</si>
  <si>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</si>
  <si>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</si>
  <si>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</si>
  <si>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</si>
  <si>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</si>
  <si>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</si>
  <si>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</si>
  <si>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</si>
  <si>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</si>
  <si>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</si>
  <si>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</si>
  <si>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</si>
  <si>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</si>
  <si>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</si>
  <si>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</si>
  <si>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</si>
  <si>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</si>
  <si>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</si>
  <si>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</si>
  <si>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</si>
  <si>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</si>
  <si>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</si>
  <si>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</si>
  <si>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</si>
  <si>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</si>
  <si>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</si>
  <si>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</si>
  <si>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</si>
  <si>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</si>
  <si>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</si>
  <si>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</si>
  <si>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</si>
  <si>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</si>
  <si>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</si>
  <si>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</si>
  <si>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</si>
  <si>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</si>
  <si>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</si>
  <si>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</si>
  <si>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</si>
  <si>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</si>
  <si>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</si>
  <si>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</si>
  <si>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</si>
  <si>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</si>
  <si>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</si>
  <si>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</si>
  <si>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</si>
  <si>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</si>
  <si>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</si>
  <si>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</si>
  <si>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</si>
  <si>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</si>
  <si>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</si>
  <si>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</si>
  <si>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</si>
  <si>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</si>
  <si>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</si>
  <si>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</si>
  <si>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</si>
  <si>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</si>
  <si>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</si>
  <si>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</si>
  <si>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</si>
  <si>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</si>
  <si>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</si>
  <si>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</si>
  <si>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</si>
  <si>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</si>
  <si>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</si>
  <si>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</si>
  <si>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</si>
  <si>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</si>
  <si>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</si>
  <si>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</si>
  <si>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</si>
  <si>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</si>
  <si>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</si>
  <si>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</si>
  <si>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</si>
  <si>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</si>
  <si>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</si>
  <si>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</si>
  <si>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</si>
  <si>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</si>
  <si>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</si>
  <si>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</si>
  <si>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</si>
  <si>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</si>
  <si>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</si>
  <si>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</si>
  <si>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</si>
  <si>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</si>
  <si>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</si>
  <si>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</si>
  <si>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</si>
  <si>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</si>
  <si>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</si>
  <si>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</si>
  <si>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</si>
  <si>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</si>
  <si>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</si>
  <si>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</si>
  <si>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</si>
  <si>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</si>
  <si>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</si>
  <si>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</si>
  <si>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</si>
  <si>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</si>
  <si>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</si>
  <si>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</si>
  <si>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</si>
  <si>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</si>
  <si>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</si>
  <si>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</si>
  <si>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</si>
  <si>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</si>
  <si>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</si>
  <si>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</si>
  <si>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</si>
  <si>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</si>
  <si>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</si>
  <si>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</si>
  <si>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</si>
  <si>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</si>
  <si>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</si>
  <si>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</si>
  <si>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</si>
  <si>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</si>
  <si>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</si>
  <si>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</si>
  <si>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</si>
  <si>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</si>
  <si>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</si>
  <si>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</si>
  <si>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</si>
  <si>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</si>
  <si>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</si>
  <si>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</si>
  <si>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</si>
  <si>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</si>
  <si>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</si>
  <si>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</si>
  <si>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</si>
  <si>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</si>
  <si>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</si>
  <si>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</si>
  <si>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</si>
  <si>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</si>
  <si>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</si>
  <si>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</si>
  <si>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</si>
  <si>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</si>
  <si>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</si>
  <si>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</si>
  <si>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</si>
  <si>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</si>
  <si>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</si>
  <si>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</si>
  <si>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</si>
  <si>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</si>
  <si>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</si>
  <si>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</si>
  <si>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</si>
  <si>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</si>
  <si>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</si>
  <si>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</si>
  <si>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</si>
  <si>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</si>
  <si>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</si>
  <si>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</si>
  <si>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</si>
  <si>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</si>
  <si>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</si>
  <si>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</si>
  <si>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</si>
  <si>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</si>
  <si>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</si>
  <si>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</si>
  <si>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</si>
  <si>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</si>
  <si>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</si>
  <si>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</si>
  <si>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</si>
  <si>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</si>
  <si>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</si>
  <si>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</si>
  <si>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</si>
  <si>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</si>
  <si>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</si>
  <si>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</si>
  <si>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</si>
  <si>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</si>
  <si>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</si>
  <si>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</si>
  <si>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</si>
  <si>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</si>
  <si>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</si>
  <si>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</si>
  <si>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</si>
  <si>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</si>
  <si>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</si>
  <si>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</si>
  <si>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</si>
  <si>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</si>
  <si>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</si>
  <si>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</si>
  <si>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</si>
  <si>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</si>
  <si>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</si>
  <si>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</si>
  <si>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</si>
  <si>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</si>
  <si>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</si>
  <si>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</si>
  <si>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</si>
  <si>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</si>
  <si>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</si>
  <si>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</si>
  <si>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</si>
  <si>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</si>
  <si>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</si>
  <si>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</si>
  <si>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</si>
  <si>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</si>
  <si>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</si>
  <si>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</si>
  <si>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</si>
  <si>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</si>
  <si>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</si>
  <si>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</si>
  <si>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</si>
  <si>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</si>
  <si>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</si>
  <si>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</si>
  <si>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</si>
  <si>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</si>
  <si>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</si>
  <si>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</si>
  <si>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</si>
  <si>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</si>
  <si>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</si>
  <si>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</si>
  <si>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</si>
  <si>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</si>
  <si>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</si>
  <si>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</si>
  <si>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</si>
  <si>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</si>
  <si>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</si>
  <si>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</si>
  <si>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</si>
  <si>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</si>
  <si>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</si>
  <si>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</si>
  <si>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</si>
  <si>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</si>
  <si>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</si>
  <si>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</si>
  <si>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</si>
  <si>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</si>
  <si>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</si>
  <si>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</si>
  <si>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</si>
  <si>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</si>
  <si>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</si>
  <si>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</si>
  <si>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</si>
  <si>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</si>
  <si>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</si>
  <si>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</si>
  <si>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</si>
  <si>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</si>
  <si>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</si>
  <si>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</si>
  <si>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</si>
  <si>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</si>
  <si>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</si>
  <si>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</si>
  <si>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</si>
  <si>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</si>
  <si>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</si>
  <si>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</si>
  <si>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</si>
  <si>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</si>
  <si>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</si>
  <si>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</si>
  <si>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</si>
  <si>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</si>
  <si>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</si>
  <si>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</si>
  <si>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</si>
  <si>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</si>
  <si>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</si>
  <si>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</si>
  <si>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</si>
  <si>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</si>
  <si>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</si>
  <si>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</si>
  <si>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</si>
  <si>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</si>
  <si>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</si>
  <si>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</si>
  <si>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</si>
  <si>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</si>
  <si>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</si>
  <si>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</si>
  <si>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</si>
  <si>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</si>
  <si>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</si>
  <si>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</si>
  <si>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</si>
  <si>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</si>
  <si>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</si>
  <si>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</si>
  <si>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</si>
  <si>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</si>
  <si>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</si>
  <si>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</si>
  <si>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</si>
  <si>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</si>
  <si>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</si>
  <si>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</si>
  <si>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December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</si>
</sst>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51" fillId="0" borderId="2" xfId="0" applyFont="1" applyBorder="1" applyAlignment="1">
      <alignment horizontal="center" vertical="center"/>
    </xf>
    <xf numFmtId="0" fontId="47" fillId="0" borderId="2" xfId="0"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H2" sqref="H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63</v>
      </c>
      <c r="E1" s="184" t="s">
        <v>394</v>
      </c>
      <c r="F1" s="185" t="s">
        <v>395</v>
      </c>
      <c r="G1" s="184" t="s">
        <v>401</v>
      </c>
      <c r="H1" s="185" t="s">
        <v>396</v>
      </c>
      <c r="I1" s="184" t="s">
        <v>397</v>
      </c>
      <c r="J1" s="186" t="s">
        <v>398</v>
      </c>
      <c r="K1" s="184" t="s">
        <v>399</v>
      </c>
      <c r="L1" s="184" t="s">
        <v>62</v>
      </c>
    </row>
    <row r="2" spans="1:12">
      <c r="A2" s="187" t="s">
        <v>400</v>
      </c>
      <c r="B2" s="188">
        <v>1</v>
      </c>
      <c r="C2" s="189">
        <v>12</v>
      </c>
      <c r="D2" s="188">
        <v>2020</v>
      </c>
      <c r="E2" s="118">
        <f>Combine!G3</f>
        <v>251350</v>
      </c>
      <c r="F2" s="190">
        <v>1.1574</v>
      </c>
      <c r="G2" s="118">
        <f>Combine!M3</f>
        <v>2891.0611758612854</v>
      </c>
      <c r="H2" s="191">
        <v>8.3706999999999994</v>
      </c>
      <c r="I2" s="118">
        <f>Combine!J3</f>
        <v>385.51446666665652</v>
      </c>
      <c r="J2" s="190">
        <v>8.3885000000000005</v>
      </c>
      <c r="K2" s="118">
        <f>Combine!N3</f>
        <v>63</v>
      </c>
      <c r="L2" s="118">
        <f>Combine!O3</f>
        <v>118</v>
      </c>
    </row>
    <row r="3" spans="1:12">
      <c r="A3" s="187" t="s">
        <v>400</v>
      </c>
      <c r="B3" s="188">
        <v>2</v>
      </c>
      <c r="C3" s="189">
        <v>12</v>
      </c>
      <c r="D3" s="188">
        <v>2020</v>
      </c>
      <c r="E3" s="118">
        <f>Combine!G4</f>
        <v>245585</v>
      </c>
      <c r="F3" s="190">
        <v>1.1574</v>
      </c>
      <c r="G3" s="118">
        <f>Combine!M4</f>
        <v>2786.7158421826757</v>
      </c>
      <c r="H3" s="191">
        <v>8.3706999999999994</v>
      </c>
      <c r="I3" s="118">
        <f>Combine!J4</f>
        <v>371.69241111112387</v>
      </c>
      <c r="J3" s="190">
        <v>8.3885000000000005</v>
      </c>
      <c r="K3" s="118">
        <f>Combine!N4</f>
        <v>48</v>
      </c>
      <c r="L3" s="118">
        <f>Combine!O4</f>
        <v>96</v>
      </c>
    </row>
    <row r="4" spans="1:12">
      <c r="A4" s="187" t="s">
        <v>400</v>
      </c>
      <c r="B4" s="188">
        <v>3</v>
      </c>
      <c r="C4" s="189">
        <v>12</v>
      </c>
      <c r="D4" s="188">
        <v>2020</v>
      </c>
      <c r="E4" s="118">
        <f>Combine!G5</f>
        <v>244155</v>
      </c>
      <c r="F4" s="190">
        <v>1.1574</v>
      </c>
      <c r="G4" s="118">
        <f>Combine!M5</f>
        <v>2995.4065095395681</v>
      </c>
      <c r="H4" s="191">
        <v>8.3706999999999994</v>
      </c>
      <c r="I4" s="118">
        <f>Combine!J5</f>
        <v>401.46252222221938</v>
      </c>
      <c r="J4" s="190">
        <v>8.3885000000000005</v>
      </c>
      <c r="K4" s="118">
        <f>Combine!N5</f>
        <v>64</v>
      </c>
      <c r="L4" s="118">
        <f>Combine!O5</f>
        <v>128</v>
      </c>
    </row>
    <row r="5" spans="1:12">
      <c r="A5" s="187" t="s">
        <v>400</v>
      </c>
      <c r="B5" s="188">
        <v>4</v>
      </c>
      <c r="C5" s="189">
        <v>12</v>
      </c>
      <c r="D5" s="188">
        <v>2020</v>
      </c>
      <c r="E5" s="118">
        <f>Combine!G6</f>
        <v>243930</v>
      </c>
      <c r="F5" s="190">
        <v>1.1574</v>
      </c>
      <c r="G5" s="118">
        <f>Combine!M6</f>
        <v>2578.0251748251808</v>
      </c>
      <c r="H5" s="191">
        <v>8.3706999999999994</v>
      </c>
      <c r="I5" s="118">
        <f>Combine!J6</f>
        <v>354.55289999999968</v>
      </c>
      <c r="J5" s="190">
        <v>8.3885000000000005</v>
      </c>
      <c r="K5" s="118">
        <f>Combine!N6</f>
        <v>70</v>
      </c>
      <c r="L5" s="118">
        <f>Combine!O6</f>
        <v>146</v>
      </c>
    </row>
    <row r="6" spans="1:12">
      <c r="A6" s="187" t="s">
        <v>400</v>
      </c>
      <c r="B6" s="188">
        <v>5</v>
      </c>
      <c r="C6" s="189">
        <v>12</v>
      </c>
      <c r="D6" s="188">
        <v>2020</v>
      </c>
      <c r="E6" s="118">
        <f>Combine!G7</f>
        <v>235520</v>
      </c>
      <c r="F6" s="190">
        <v>1.1574</v>
      </c>
      <c r="G6" s="118">
        <f>Combine!M7</f>
        <v>3118.4348096348099</v>
      </c>
      <c r="H6" s="191">
        <v>8.3706999999999994</v>
      </c>
      <c r="I6" s="118">
        <f>Combine!J7</f>
        <v>378.94930000000022</v>
      </c>
      <c r="J6" s="190">
        <v>8.3885000000000005</v>
      </c>
      <c r="K6" s="118">
        <f>Combine!N7</f>
        <v>80</v>
      </c>
      <c r="L6" s="118">
        <f>Combine!O7</f>
        <v>171</v>
      </c>
    </row>
    <row r="7" spans="1:12">
      <c r="A7" s="187" t="s">
        <v>400</v>
      </c>
      <c r="B7" s="188">
        <v>6</v>
      </c>
      <c r="C7" s="189">
        <v>12</v>
      </c>
      <c r="D7" s="188">
        <v>2020</v>
      </c>
      <c r="E7" s="118">
        <f>Combine!G8</f>
        <v>238195</v>
      </c>
      <c r="F7" s="190">
        <v>1.1574</v>
      </c>
      <c r="G7" s="118">
        <f>Combine!M8</f>
        <v>3475.9844599844573</v>
      </c>
      <c r="H7" s="191">
        <v>8.3706999999999994</v>
      </c>
      <c r="I7" s="118">
        <f>Combine!J8</f>
        <v>361.21569999999974</v>
      </c>
      <c r="J7" s="190">
        <v>8.3885000000000005</v>
      </c>
      <c r="K7" s="118">
        <f>Combine!N8</f>
        <v>73</v>
      </c>
      <c r="L7" s="118">
        <f>Combine!O8</f>
        <v>142</v>
      </c>
    </row>
    <row r="8" spans="1:12">
      <c r="A8" s="187" t="s">
        <v>400</v>
      </c>
      <c r="B8" s="188">
        <v>7</v>
      </c>
      <c r="C8" s="189">
        <v>12</v>
      </c>
      <c r="D8" s="188">
        <v>2020</v>
      </c>
      <c r="E8" s="118">
        <f>Combine!G9</f>
        <v>229775</v>
      </c>
      <c r="F8" s="190">
        <v>1.1574</v>
      </c>
      <c r="G8" s="118">
        <f>Combine!M9</f>
        <v>3152.8379176379121</v>
      </c>
      <c r="H8" s="191">
        <v>8.3706999999999994</v>
      </c>
      <c r="I8" s="118">
        <f>Combine!J9</f>
        <v>316.54830000000038</v>
      </c>
      <c r="J8" s="190">
        <v>8.3885000000000005</v>
      </c>
      <c r="K8" s="118">
        <f>Combine!N9</f>
        <v>59</v>
      </c>
      <c r="L8" s="118">
        <f>Combine!O9</f>
        <v>114</v>
      </c>
    </row>
    <row r="9" spans="1:12">
      <c r="A9" s="187" t="s">
        <v>400</v>
      </c>
      <c r="B9" s="188">
        <v>8</v>
      </c>
      <c r="C9" s="189">
        <v>12</v>
      </c>
      <c r="D9" s="188">
        <v>2020</v>
      </c>
      <c r="E9" s="118">
        <f>Combine!G10</f>
        <v>228595</v>
      </c>
      <c r="F9" s="190">
        <v>1.1574</v>
      </c>
      <c r="G9" s="118">
        <f>Combine!M10</f>
        <v>2951.3609945609956</v>
      </c>
      <c r="H9" s="191">
        <v>8.3706999999999994</v>
      </c>
      <c r="I9" s="118">
        <f>Combine!J10</f>
        <v>336.68119999999999</v>
      </c>
      <c r="J9" s="190">
        <v>8.3885000000000005</v>
      </c>
      <c r="K9" s="118">
        <f>Combine!N10</f>
        <v>52</v>
      </c>
      <c r="L9" s="118">
        <f>Combine!O10</f>
        <v>95</v>
      </c>
    </row>
    <row r="10" spans="1:12">
      <c r="A10" s="187" t="s">
        <v>400</v>
      </c>
      <c r="B10" s="188">
        <v>9</v>
      </c>
      <c r="C10" s="189">
        <v>12</v>
      </c>
      <c r="D10" s="188">
        <v>2020</v>
      </c>
      <c r="E10" s="118">
        <f>Combine!G11</f>
        <v>239920</v>
      </c>
      <c r="F10" s="190">
        <v>1.1574</v>
      </c>
      <c r="G10" s="118">
        <f>Combine!M11</f>
        <v>2495.3038073038115</v>
      </c>
      <c r="H10" s="191">
        <v>8.3706999999999994</v>
      </c>
      <c r="I10" s="118">
        <f>Combine!J11</f>
        <v>299.48559999999998</v>
      </c>
      <c r="J10" s="190">
        <v>8.3885000000000005</v>
      </c>
      <c r="K10" s="118">
        <f>Combine!N11</f>
        <v>47</v>
      </c>
      <c r="L10" s="118">
        <f>Combine!O11</f>
        <v>90</v>
      </c>
    </row>
    <row r="11" spans="1:12">
      <c r="A11" s="187" t="s">
        <v>400</v>
      </c>
      <c r="B11" s="188">
        <v>10</v>
      </c>
      <c r="C11" s="189">
        <v>12</v>
      </c>
      <c r="D11" s="188">
        <v>2020</v>
      </c>
      <c r="E11" s="118">
        <f>Combine!G12</f>
        <v>233165</v>
      </c>
      <c r="F11" s="190">
        <v>1.1574</v>
      </c>
      <c r="G11" s="118">
        <f>Combine!M12</f>
        <v>2609.7728049728107</v>
      </c>
      <c r="H11" s="191">
        <v>8.3706999999999994</v>
      </c>
      <c r="I11" s="118">
        <f>Combine!J12</f>
        <v>334.32669999999962</v>
      </c>
      <c r="J11" s="190">
        <v>8.3885000000000005</v>
      </c>
      <c r="K11" s="118">
        <f>Combine!N12</f>
        <v>68</v>
      </c>
      <c r="L11" s="118">
        <f>Combine!O12</f>
        <v>129</v>
      </c>
    </row>
    <row r="12" spans="1:12">
      <c r="A12" s="187" t="s">
        <v>400</v>
      </c>
      <c r="B12" s="188">
        <v>11</v>
      </c>
      <c r="C12" s="189">
        <v>12</v>
      </c>
      <c r="D12" s="188">
        <v>2020</v>
      </c>
      <c r="E12" s="118">
        <f>Combine!G13</f>
        <v>242365</v>
      </c>
      <c r="F12" s="190">
        <v>1.1574</v>
      </c>
      <c r="G12" s="118">
        <f>Combine!M13</f>
        <v>2529.111421911412</v>
      </c>
      <c r="H12" s="191">
        <v>8.3706999999999994</v>
      </c>
      <c r="I12" s="118">
        <f>Combine!J13</f>
        <v>295.44350000000031</v>
      </c>
      <c r="J12" s="190">
        <v>8.3885000000000005</v>
      </c>
      <c r="K12" s="118">
        <f>Combine!N13</f>
        <v>91</v>
      </c>
      <c r="L12" s="118">
        <f>Combine!O13</f>
        <v>174</v>
      </c>
    </row>
    <row r="13" spans="1:12">
      <c r="A13" s="187" t="s">
        <v>400</v>
      </c>
      <c r="B13" s="188">
        <v>12</v>
      </c>
      <c r="C13" s="189">
        <v>12</v>
      </c>
      <c r="D13" s="188">
        <v>2020</v>
      </c>
      <c r="E13" s="118">
        <f>Combine!G14</f>
        <v>249750</v>
      </c>
      <c r="F13" s="190">
        <v>1.1574</v>
      </c>
      <c r="G13" s="118">
        <f>Combine!M14</f>
        <v>2722.449106449119</v>
      </c>
      <c r="H13" s="191">
        <v>8.3706999999999994</v>
      </c>
      <c r="I13" s="118">
        <f>Combine!J14</f>
        <v>331.55649999999969</v>
      </c>
      <c r="J13" s="190">
        <v>8.3885000000000005</v>
      </c>
      <c r="K13" s="118">
        <f>Combine!N14</f>
        <v>130</v>
      </c>
      <c r="L13" s="118">
        <f>Combine!O14</f>
        <v>259</v>
      </c>
    </row>
    <row r="14" spans="1:12">
      <c r="A14" s="187" t="s">
        <v>400</v>
      </c>
      <c r="B14" s="188">
        <v>13</v>
      </c>
      <c r="C14" s="189">
        <v>12</v>
      </c>
      <c r="D14" s="188">
        <v>2020</v>
      </c>
      <c r="E14" s="118">
        <f>Combine!G15</f>
        <v>253380</v>
      </c>
      <c r="F14" s="190">
        <v>1.1574</v>
      </c>
      <c r="G14" s="118">
        <f>Combine!M15</f>
        <v>2809.7864801864698</v>
      </c>
      <c r="H14" s="191">
        <v>8.3706999999999994</v>
      </c>
      <c r="I14" s="118">
        <f>Combine!J15</f>
        <v>408.71680000000015</v>
      </c>
      <c r="J14" s="190">
        <v>8.3885000000000005</v>
      </c>
      <c r="K14" s="118">
        <f>Combine!N15</f>
        <v>102</v>
      </c>
      <c r="L14" s="118">
        <f>Combine!O15</f>
        <v>196</v>
      </c>
    </row>
    <row r="15" spans="1:12">
      <c r="A15" s="187" t="s">
        <v>400</v>
      </c>
      <c r="B15" s="188">
        <v>14</v>
      </c>
      <c r="C15" s="189">
        <v>12</v>
      </c>
      <c r="D15" s="188">
        <v>2020</v>
      </c>
      <c r="E15" s="118">
        <f>Combine!G16</f>
        <v>245125</v>
      </c>
      <c r="F15" s="190">
        <v>1.1574</v>
      </c>
      <c r="G15" s="118">
        <f>Combine!M16</f>
        <v>2893.5857031857026</v>
      </c>
      <c r="H15" s="191">
        <v>8.3706999999999994</v>
      </c>
      <c r="I15" s="118">
        <f>Combine!J16</f>
        <v>450.46389999999974</v>
      </c>
      <c r="J15" s="190">
        <v>8.3885000000000005</v>
      </c>
      <c r="K15" s="118">
        <f>Combine!N16</f>
        <v>70</v>
      </c>
      <c r="L15" s="118">
        <f>Combine!O16</f>
        <v>135</v>
      </c>
    </row>
    <row r="16" spans="1:12">
      <c r="A16" s="187" t="s">
        <v>400</v>
      </c>
      <c r="B16" s="188">
        <v>15</v>
      </c>
      <c r="C16" s="189">
        <v>12</v>
      </c>
      <c r="D16" s="188">
        <v>2020</v>
      </c>
      <c r="E16" s="118">
        <f>Combine!G17</f>
        <v>240250</v>
      </c>
      <c r="F16" s="190">
        <v>1.1574</v>
      </c>
      <c r="G16" s="118">
        <f>Combine!M17</f>
        <v>2911.7799533799575</v>
      </c>
      <c r="H16" s="191">
        <v>8.3706999999999994</v>
      </c>
      <c r="I16" s="118">
        <f>Combine!J17</f>
        <v>367.03970000000027</v>
      </c>
      <c r="J16" s="190">
        <v>8.3885000000000005</v>
      </c>
      <c r="K16" s="118">
        <f>Combine!N17</f>
        <v>83</v>
      </c>
      <c r="L16" s="118">
        <f>Combine!O17</f>
        <v>161</v>
      </c>
    </row>
    <row r="17" spans="1:12">
      <c r="A17" s="187" t="s">
        <v>400</v>
      </c>
      <c r="B17" s="188">
        <v>16</v>
      </c>
      <c r="C17" s="189">
        <v>12</v>
      </c>
      <c r="D17" s="188">
        <v>2020</v>
      </c>
      <c r="E17" s="118">
        <f>Combine!G18</f>
        <v>235970</v>
      </c>
      <c r="F17" s="190">
        <v>1.1574</v>
      </c>
      <c r="G17" s="118">
        <f>Combine!M18</f>
        <v>3505.4060606060593</v>
      </c>
      <c r="H17" s="191">
        <v>8.3706999999999994</v>
      </c>
      <c r="I17" s="118">
        <f>Combine!J18</f>
        <v>357.82949999999983</v>
      </c>
      <c r="J17" s="190">
        <v>8.3885000000000005</v>
      </c>
      <c r="K17" s="118">
        <f>Combine!N18</f>
        <v>94</v>
      </c>
      <c r="L17" s="118">
        <f>Combine!O18</f>
        <v>181</v>
      </c>
    </row>
    <row r="18" spans="1:12">
      <c r="A18" s="187" t="s">
        <v>400</v>
      </c>
      <c r="B18" s="188">
        <v>17</v>
      </c>
      <c r="C18" s="189">
        <v>12</v>
      </c>
      <c r="D18" s="188">
        <v>2020</v>
      </c>
      <c r="E18" s="118">
        <f>Combine!G19</f>
        <v>244985</v>
      </c>
      <c r="F18" s="190">
        <v>1.1574</v>
      </c>
      <c r="G18" s="118">
        <f>Combine!M19</f>
        <v>3375.6096348096453</v>
      </c>
      <c r="H18" s="191">
        <v>8.3706999999999994</v>
      </c>
      <c r="I18" s="118">
        <f>Combine!J19</f>
        <v>363</v>
      </c>
      <c r="J18" s="190">
        <v>8.3885000000000005</v>
      </c>
      <c r="K18" s="118">
        <f>Combine!N19</f>
        <v>90</v>
      </c>
      <c r="L18" s="118">
        <f>Combine!O19</f>
        <v>171</v>
      </c>
    </row>
    <row r="19" spans="1:12">
      <c r="A19" s="187" t="s">
        <v>400</v>
      </c>
      <c r="B19" s="188">
        <v>18</v>
      </c>
      <c r="C19" s="189">
        <v>12</v>
      </c>
      <c r="D19" s="188">
        <v>2020</v>
      </c>
      <c r="E19" s="118">
        <f>Combine!G20</f>
        <v>277440</v>
      </c>
      <c r="F19" s="190">
        <v>1.1574</v>
      </c>
      <c r="G19" s="118">
        <f>Combine!M20</f>
        <v>3359.0750582750543</v>
      </c>
      <c r="H19" s="191">
        <v>8.3706999999999994</v>
      </c>
      <c r="I19" s="118">
        <f>Combine!J20</f>
        <v>347.42919999999958</v>
      </c>
      <c r="J19" s="190">
        <v>8.3885000000000005</v>
      </c>
      <c r="K19" s="118">
        <f>Combine!N20</f>
        <v>122</v>
      </c>
      <c r="L19" s="118">
        <f>Combine!O20</f>
        <v>245</v>
      </c>
    </row>
    <row r="20" spans="1:12">
      <c r="A20" s="187" t="s">
        <v>400</v>
      </c>
      <c r="B20" s="188">
        <v>19</v>
      </c>
      <c r="C20" s="189">
        <v>12</v>
      </c>
      <c r="D20" s="188">
        <v>2020</v>
      </c>
      <c r="E20" s="118">
        <f>Combine!G21</f>
        <v>283960</v>
      </c>
      <c r="F20" s="190">
        <v>1.1574</v>
      </c>
      <c r="G20" s="118">
        <f>Combine!M21</f>
        <v>3237.7311577311471</v>
      </c>
      <c r="H20" s="191">
        <v>8.3706999999999994</v>
      </c>
      <c r="I20" s="118">
        <f>Combine!J21</f>
        <v>368.4974000000002</v>
      </c>
      <c r="J20" s="190">
        <v>8.3885000000000005</v>
      </c>
      <c r="K20" s="118">
        <f>Combine!N21</f>
        <v>133</v>
      </c>
      <c r="L20" s="118">
        <f>Combine!O21</f>
        <v>263</v>
      </c>
    </row>
    <row r="21" spans="1:12">
      <c r="A21" s="187" t="s">
        <v>400</v>
      </c>
      <c r="B21" s="188">
        <v>20</v>
      </c>
      <c r="C21" s="189">
        <v>12</v>
      </c>
      <c r="D21" s="188">
        <v>2020</v>
      </c>
      <c r="E21" s="118">
        <f>Combine!G22</f>
        <v>279420</v>
      </c>
      <c r="F21" s="190">
        <v>1.1574</v>
      </c>
      <c r="G21" s="118">
        <f>Combine!M22</f>
        <v>3476.6620046620146</v>
      </c>
      <c r="H21" s="191">
        <v>8.3706999999999994</v>
      </c>
      <c r="I21" s="118">
        <f>Combine!J22</f>
        <v>467.55550000000039</v>
      </c>
      <c r="J21" s="190">
        <v>8.3885000000000005</v>
      </c>
      <c r="K21" s="118">
        <f>Combine!N22</f>
        <v>140</v>
      </c>
      <c r="L21" s="118">
        <f>Combine!O22</f>
        <v>289</v>
      </c>
    </row>
    <row r="22" spans="1:12">
      <c r="A22" s="187" t="s">
        <v>400</v>
      </c>
      <c r="B22" s="188">
        <v>21</v>
      </c>
      <c r="C22" s="189">
        <v>12</v>
      </c>
      <c r="D22" s="188">
        <v>2020</v>
      </c>
      <c r="E22" s="118">
        <f>Combine!G23</f>
        <v>275620</v>
      </c>
      <c r="F22" s="190">
        <v>1.1574</v>
      </c>
      <c r="G22" s="118">
        <f>Combine!M23</f>
        <v>3498.67288267288</v>
      </c>
      <c r="H22" s="191">
        <v>8.3706999999999994</v>
      </c>
      <c r="I22" s="118">
        <f>Combine!J23</f>
        <v>439.26189999999951</v>
      </c>
      <c r="J22" s="190">
        <v>8.3885000000000005</v>
      </c>
      <c r="K22" s="118">
        <f>Combine!N23</f>
        <v>136</v>
      </c>
      <c r="L22" s="118">
        <f>Combine!O23</f>
        <v>281</v>
      </c>
    </row>
    <row r="23" spans="1:12">
      <c r="A23" s="187" t="s">
        <v>400</v>
      </c>
      <c r="B23" s="188">
        <v>22</v>
      </c>
      <c r="C23" s="189">
        <v>12</v>
      </c>
      <c r="D23" s="188">
        <v>2020</v>
      </c>
      <c r="E23" s="118">
        <f>Combine!G24</f>
        <v>280400</v>
      </c>
      <c r="F23" s="190">
        <v>1.1574</v>
      </c>
      <c r="G23" s="118">
        <f>Combine!M24</f>
        <v>3535.19564879565</v>
      </c>
      <c r="H23" s="191">
        <v>8.3706999999999994</v>
      </c>
      <c r="I23" s="118">
        <f>Combine!J24</f>
        <v>466.98010000000068</v>
      </c>
      <c r="J23" s="190">
        <v>8.3885000000000005</v>
      </c>
      <c r="K23" s="118">
        <f>Combine!N24</f>
        <v>151</v>
      </c>
      <c r="L23" s="118">
        <f>Combine!O24</f>
        <v>322</v>
      </c>
    </row>
    <row r="24" spans="1:12">
      <c r="A24" s="187" t="s">
        <v>400</v>
      </c>
      <c r="B24" s="188">
        <v>23</v>
      </c>
      <c r="C24" s="189">
        <v>12</v>
      </c>
      <c r="D24" s="188">
        <v>2020</v>
      </c>
      <c r="E24" s="118">
        <f>Combine!G25</f>
        <v>279225</v>
      </c>
      <c r="F24" s="190">
        <v>1.1574</v>
      </c>
      <c r="G24" s="118">
        <f>Combine!M25</f>
        <v>3362.9153069153081</v>
      </c>
      <c r="H24" s="191">
        <v>8.3706999999999994</v>
      </c>
      <c r="I24" s="118">
        <f>Combine!J25</f>
        <v>469.96630000000005</v>
      </c>
      <c r="J24" s="190">
        <v>8.3885000000000005</v>
      </c>
      <c r="K24" s="118">
        <f>Combine!N25</f>
        <v>66</v>
      </c>
      <c r="L24" s="118">
        <f>Combine!O25</f>
        <v>146</v>
      </c>
    </row>
    <row r="25" spans="1:12">
      <c r="A25" s="187" t="s">
        <v>400</v>
      </c>
      <c r="B25" s="188">
        <v>24</v>
      </c>
      <c r="C25" s="189">
        <v>12</v>
      </c>
      <c r="D25" s="188">
        <v>2020</v>
      </c>
      <c r="E25" s="118">
        <f>Combine!G26</f>
        <v>283865</v>
      </c>
      <c r="F25" s="190">
        <v>1.1574</v>
      </c>
      <c r="G25" s="118">
        <f>Combine!M26</f>
        <v>3377.6248640248555</v>
      </c>
      <c r="H25" s="191">
        <v>8.3706999999999994</v>
      </c>
      <c r="I25" s="118">
        <f>Combine!J26</f>
        <v>451.11749999999938</v>
      </c>
      <c r="J25" s="190">
        <v>8.3885000000000005</v>
      </c>
      <c r="K25" s="118">
        <f>Combine!N26</f>
        <v>134</v>
      </c>
      <c r="L25" s="118">
        <f>Combine!O26</f>
        <v>274</v>
      </c>
    </row>
    <row r="26" spans="1:12">
      <c r="A26" s="187" t="s">
        <v>400</v>
      </c>
      <c r="B26" s="188">
        <v>25</v>
      </c>
      <c r="C26" s="189">
        <v>12</v>
      </c>
      <c r="D26" s="188">
        <v>2020</v>
      </c>
      <c r="E26" s="118">
        <f>Combine!G27</f>
        <v>294420</v>
      </c>
      <c r="F26" s="190">
        <v>1.1574</v>
      </c>
      <c r="G26" s="118">
        <f>Combine!M27</f>
        <v>3222.3962703962661</v>
      </c>
      <c r="H26" s="191">
        <v>8.3706999999999994</v>
      </c>
      <c r="I26" s="118">
        <f>Combine!J27</f>
        <v>421.71640000000025</v>
      </c>
      <c r="J26" s="190">
        <v>8.3885000000000005</v>
      </c>
      <c r="K26" s="118">
        <f>Combine!N27</f>
        <v>149</v>
      </c>
      <c r="L26" s="118">
        <f>Combine!O27</f>
        <v>315</v>
      </c>
    </row>
    <row r="27" spans="1:12">
      <c r="A27" s="187" t="s">
        <v>400</v>
      </c>
      <c r="B27" s="188">
        <v>26</v>
      </c>
      <c r="C27" s="189">
        <v>12</v>
      </c>
      <c r="D27" s="188">
        <v>2020</v>
      </c>
      <c r="E27" s="118">
        <f>Combine!G28</f>
        <v>285695</v>
      </c>
      <c r="F27" s="190">
        <v>1.1574</v>
      </c>
      <c r="G27" s="118">
        <f>Combine!M28</f>
        <v>3409.5627039627193</v>
      </c>
      <c r="H27" s="191">
        <v>8.3706999999999994</v>
      </c>
      <c r="I27" s="118">
        <f>Combine!J28</f>
        <v>490.36229999999978</v>
      </c>
      <c r="J27" s="190">
        <v>8.3885000000000005</v>
      </c>
      <c r="K27" s="118">
        <f>Combine!N28</f>
        <v>88</v>
      </c>
      <c r="L27" s="118">
        <f>Combine!O28</f>
        <v>184</v>
      </c>
    </row>
    <row r="28" spans="1:12">
      <c r="A28" s="187" t="s">
        <v>400</v>
      </c>
      <c r="B28" s="188">
        <v>27</v>
      </c>
      <c r="C28" s="189">
        <v>12</v>
      </c>
      <c r="D28" s="188">
        <v>2020</v>
      </c>
      <c r="E28" s="118">
        <f>Combine!G29</f>
        <v>266665</v>
      </c>
      <c r="F28" s="190">
        <v>1.1574</v>
      </c>
      <c r="G28" s="118">
        <f>Combine!M29</f>
        <v>3266.1146853146779</v>
      </c>
      <c r="H28" s="191">
        <v>8.3706999999999994</v>
      </c>
      <c r="I28" s="118">
        <f>Combine!J29</f>
        <v>433.8716000000004</v>
      </c>
      <c r="J28" s="190">
        <v>8.3885000000000005</v>
      </c>
      <c r="K28" s="118">
        <f>Combine!N29</f>
        <v>95</v>
      </c>
      <c r="L28" s="118">
        <f>Combine!O29</f>
        <v>190</v>
      </c>
    </row>
    <row r="29" spans="1:12">
      <c r="A29" s="187" t="s">
        <v>400</v>
      </c>
      <c r="B29" s="188">
        <v>28</v>
      </c>
      <c r="C29" s="189">
        <v>12</v>
      </c>
      <c r="D29" s="188">
        <v>2020</v>
      </c>
      <c r="E29" s="118">
        <f>Combine!G30</f>
        <v>252220</v>
      </c>
      <c r="F29" s="190">
        <v>1.1574</v>
      </c>
      <c r="G29" s="118">
        <f>Combine!M30</f>
        <v>3033.1474747474786</v>
      </c>
      <c r="H29" s="191">
        <v>8.3706999999999994</v>
      </c>
      <c r="I29" s="118">
        <f>Combine!J30</f>
        <v>419.23009999999977</v>
      </c>
      <c r="J29" s="190">
        <v>8.3885000000000005</v>
      </c>
      <c r="K29" s="118">
        <f>Combine!N30</f>
        <v>82</v>
      </c>
      <c r="L29" s="118">
        <f>Combine!O30</f>
        <v>172</v>
      </c>
    </row>
    <row r="30" spans="1:12">
      <c r="A30" s="187" t="s">
        <v>400</v>
      </c>
      <c r="B30" s="188">
        <v>29</v>
      </c>
      <c r="C30" s="189">
        <v>12</v>
      </c>
      <c r="D30" s="188">
        <v>2020</v>
      </c>
      <c r="E30" s="118">
        <f>Combine!G31</f>
        <v>229620</v>
      </c>
      <c r="F30" s="190">
        <v>1.1574</v>
      </c>
      <c r="G30" s="118">
        <f>Combine!M31</f>
        <v>2721.3986013986014</v>
      </c>
      <c r="H30" s="191">
        <v>8.3706999999999994</v>
      </c>
      <c r="I30" s="118">
        <f>Combine!J31</f>
        <v>409.61700000000019</v>
      </c>
      <c r="J30" s="190">
        <v>8.3885000000000005</v>
      </c>
      <c r="K30" s="118">
        <f>Combine!N31</f>
        <v>71</v>
      </c>
      <c r="L30" s="118">
        <f>Combine!O31</f>
        <v>146</v>
      </c>
    </row>
    <row r="31" spans="1:12">
      <c r="A31" s="187" t="s">
        <v>400</v>
      </c>
      <c r="B31" s="188">
        <v>30</v>
      </c>
      <c r="C31" s="189">
        <v>12</v>
      </c>
      <c r="D31" s="188">
        <v>2020</v>
      </c>
      <c r="E31" s="118">
        <f>Combine!G32</f>
        <v>238395</v>
      </c>
      <c r="F31" s="190">
        <v>1.1574</v>
      </c>
      <c r="G31" s="118">
        <f>Combine!M32</f>
        <v>2881.9928515928405</v>
      </c>
      <c r="H31" s="191">
        <v>8.3706999999999994</v>
      </c>
      <c r="I31" s="118">
        <f>Combine!J32</f>
        <v>362.98639999999978</v>
      </c>
      <c r="J31" s="190">
        <v>8.3885000000000005</v>
      </c>
      <c r="K31" s="118">
        <f>Combine!N32</f>
        <v>75</v>
      </c>
      <c r="L31" s="118">
        <f>Combine!O32</f>
        <v>156</v>
      </c>
    </row>
    <row r="32" spans="1:12">
      <c r="A32" s="187" t="s">
        <v>400</v>
      </c>
      <c r="B32" s="188">
        <v>31</v>
      </c>
      <c r="C32" s="189">
        <v>12</v>
      </c>
      <c r="D32" s="188">
        <v>2020</v>
      </c>
      <c r="E32" s="118">
        <f>Combine!G33</f>
        <v>281850</v>
      </c>
      <c r="F32" s="190">
        <v>1.1574</v>
      </c>
      <c r="G32" s="118">
        <f>Combine!M33</f>
        <v>3482.3148407148401</v>
      </c>
      <c r="H32" s="191">
        <v>8.3706999999999994</v>
      </c>
      <c r="I32" s="118">
        <f>Combine!J33</f>
        <v>393.22540000000026</v>
      </c>
      <c r="J32" s="190">
        <v>8.3885000000000005</v>
      </c>
      <c r="K32" s="118">
        <f>Combine!N33</f>
        <v>155</v>
      </c>
      <c r="L32" s="118">
        <f>Combine!O33</f>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5"/>
      <c r="C1" s="115"/>
      <c r="D1" s="115"/>
      <c r="E1" s="119" t="s">
        <v>0</v>
      </c>
      <c r="F1" s="120" t="s">
        <v>1</v>
      </c>
      <c r="G1" s="126" t="s">
        <v>2</v>
      </c>
      <c r="H1" s="119" t="s">
        <v>0</v>
      </c>
      <c r="I1" s="120" t="s">
        <v>1</v>
      </c>
      <c r="J1" s="123" t="s">
        <v>2</v>
      </c>
      <c r="K1" s="119" t="s">
        <v>0</v>
      </c>
      <c r="L1" s="120" t="s">
        <v>1</v>
      </c>
      <c r="M1" s="126" t="s">
        <v>2</v>
      </c>
      <c r="N1" s="195" t="s">
        <v>65</v>
      </c>
      <c r="O1" s="196"/>
      <c r="P1" s="197"/>
    </row>
    <row r="2" spans="1:17" s="2" customFormat="1" ht="60" customHeight="1">
      <c r="A2" s="4" t="s">
        <v>3</v>
      </c>
      <c r="B2" s="5" t="s">
        <v>4</v>
      </c>
      <c r="C2" s="5" t="s">
        <v>5</v>
      </c>
      <c r="D2" s="116"/>
      <c r="E2" s="121" t="s">
        <v>6</v>
      </c>
      <c r="F2" s="142" t="s">
        <v>6</v>
      </c>
      <c r="G2" s="152" t="s">
        <v>6</v>
      </c>
      <c r="H2" s="153" t="s">
        <v>9</v>
      </c>
      <c r="I2" s="143" t="s">
        <v>9</v>
      </c>
      <c r="J2" s="152" t="s">
        <v>9</v>
      </c>
      <c r="K2" s="121" t="s">
        <v>7</v>
      </c>
      <c r="L2" s="107">
        <v>335</v>
      </c>
      <c r="M2" s="127" t="s">
        <v>8</v>
      </c>
      <c r="N2" s="159" t="s">
        <v>10</v>
      </c>
      <c r="O2" s="5" t="s">
        <v>11</v>
      </c>
      <c r="P2" s="158" t="s">
        <v>12</v>
      </c>
      <c r="Q2" s="147" t="s">
        <v>393</v>
      </c>
    </row>
    <row r="3" spans="1:17" ht="15.75">
      <c r="A3" s="7" t="s">
        <v>14</v>
      </c>
      <c r="B3" s="7">
        <v>1</v>
      </c>
      <c r="C3" s="189">
        <v>12</v>
      </c>
      <c r="D3" s="117">
        <v>2020</v>
      </c>
      <c r="E3" s="148">
        <f>'Athens Daily - EL'!AK8</f>
        <v>251350</v>
      </c>
      <c r="F3" s="150"/>
      <c r="G3" s="128">
        <f>SUM(E3,F3)</f>
        <v>251350</v>
      </c>
      <c r="H3" s="148">
        <f>'Athens Daily - Water'!R7</f>
        <v>385.51446666665652</v>
      </c>
      <c r="I3" s="118"/>
      <c r="J3" s="124">
        <f t="shared" ref="J3:J33" si="0">SUM(H3,I3)</f>
        <v>385.51446666665652</v>
      </c>
      <c r="K3" s="148">
        <f>'Athens Daily - Gas'!BH9</f>
        <v>111623.87200000422</v>
      </c>
      <c r="L3" s="118"/>
      <c r="M3" s="128">
        <f>SUM(K3,L3)/38.61</f>
        <v>2891.0611758612854</v>
      </c>
      <c r="N3" s="157">
        <f>Occ!G10</f>
        <v>63</v>
      </c>
      <c r="O3" s="100">
        <f>Occ!H10</f>
        <v>118</v>
      </c>
      <c r="P3" s="156">
        <v>918</v>
      </c>
      <c r="Q3" s="165"/>
    </row>
    <row r="4" spans="1:17" ht="15.75">
      <c r="A4" s="7" t="s">
        <v>14</v>
      </c>
      <c r="B4" s="7">
        <v>2</v>
      </c>
      <c r="C4" s="189">
        <v>12</v>
      </c>
      <c r="D4" s="117">
        <v>2020</v>
      </c>
      <c r="E4" s="148">
        <f>'Athens Daily - EL'!AK9</f>
        <v>245585</v>
      </c>
      <c r="F4" s="150"/>
      <c r="G4" s="128">
        <f t="shared" ref="G4:G33" si="1">SUM(E4,F4)</f>
        <v>245585</v>
      </c>
      <c r="H4" s="148">
        <f>'Athens Daily - Water'!R8</f>
        <v>371.69241111112387</v>
      </c>
      <c r="I4" s="118"/>
      <c r="J4" s="124">
        <f t="shared" si="0"/>
        <v>371.69241111112387</v>
      </c>
      <c r="K4" s="148">
        <f>'Athens Daily - Gas'!BH10</f>
        <v>107595.0986666731</v>
      </c>
      <c r="L4" s="118"/>
      <c r="M4" s="128">
        <f t="shared" ref="M4:M33" si="2">SUM(K4,L4)/38.61</f>
        <v>2786.7158421826757</v>
      </c>
      <c r="N4" s="157">
        <f>Occ!G11</f>
        <v>48</v>
      </c>
      <c r="O4" s="100">
        <f>Occ!H11</f>
        <v>96</v>
      </c>
      <c r="P4" s="156">
        <v>918</v>
      </c>
      <c r="Q4" s="165"/>
    </row>
    <row r="5" spans="1:17" ht="15.75">
      <c r="A5" s="7" t="s">
        <v>14</v>
      </c>
      <c r="B5" s="7">
        <v>3</v>
      </c>
      <c r="C5" s="189">
        <v>12</v>
      </c>
      <c r="D5" s="117">
        <v>2020</v>
      </c>
      <c r="E5" s="148">
        <f>'Athens Daily - EL'!AK10</f>
        <v>244155</v>
      </c>
      <c r="F5" s="150"/>
      <c r="G5" s="128">
        <f t="shared" si="1"/>
        <v>244155</v>
      </c>
      <c r="H5" s="148">
        <f>'Athens Daily - Water'!R9</f>
        <v>401.46252222221938</v>
      </c>
      <c r="I5" s="118"/>
      <c r="J5" s="124">
        <f t="shared" si="0"/>
        <v>401.46252222221938</v>
      </c>
      <c r="K5" s="148">
        <f>'Athens Daily - Gas'!BH11</f>
        <v>115652.64533332273</v>
      </c>
      <c r="L5" s="118"/>
      <c r="M5" s="128">
        <f t="shared" si="2"/>
        <v>2995.4065095395681</v>
      </c>
      <c r="N5" s="157">
        <f>Occ!G12</f>
        <v>64</v>
      </c>
      <c r="O5" s="100">
        <f>Occ!H12</f>
        <v>128</v>
      </c>
      <c r="P5" s="156">
        <v>918</v>
      </c>
      <c r="Q5" s="165"/>
    </row>
    <row r="6" spans="1:17" ht="15.75">
      <c r="A6" s="7" t="s">
        <v>14</v>
      </c>
      <c r="B6" s="7">
        <v>4</v>
      </c>
      <c r="C6" s="189">
        <v>12</v>
      </c>
      <c r="D6" s="117">
        <v>2020</v>
      </c>
      <c r="E6" s="148">
        <f>'Athens Daily - EL'!AK11</f>
        <v>243930</v>
      </c>
      <c r="F6" s="150"/>
      <c r="G6" s="128">
        <f t="shared" si="1"/>
        <v>243930</v>
      </c>
      <c r="H6" s="148">
        <f>'Athens Daily - Water'!R10</f>
        <v>354.55289999999968</v>
      </c>
      <c r="I6" s="118"/>
      <c r="J6" s="124">
        <f t="shared" si="0"/>
        <v>354.55289999999968</v>
      </c>
      <c r="K6" s="148">
        <f>'Athens Daily - Gas'!BH12</f>
        <v>99537.552000000229</v>
      </c>
      <c r="L6" s="118"/>
      <c r="M6" s="128">
        <f t="shared" si="2"/>
        <v>2578.0251748251808</v>
      </c>
      <c r="N6" s="157">
        <f>Occ!G13</f>
        <v>70</v>
      </c>
      <c r="O6" s="100">
        <f>Occ!H13</f>
        <v>146</v>
      </c>
      <c r="P6" s="156">
        <v>918</v>
      </c>
      <c r="Q6" s="165"/>
    </row>
    <row r="7" spans="1:17" ht="15.75">
      <c r="A7" s="7" t="s">
        <v>14</v>
      </c>
      <c r="B7" s="7">
        <v>5</v>
      </c>
      <c r="C7" s="189">
        <v>12</v>
      </c>
      <c r="D7" s="117">
        <v>2020</v>
      </c>
      <c r="E7" s="148">
        <f>'Athens Daily - EL'!AK12</f>
        <v>235520</v>
      </c>
      <c r="F7" s="150"/>
      <c r="G7" s="128">
        <f t="shared" si="1"/>
        <v>235520</v>
      </c>
      <c r="H7" s="148">
        <f>'Athens Daily - Water'!R11</f>
        <v>378.94930000000022</v>
      </c>
      <c r="I7" s="118"/>
      <c r="J7" s="124">
        <f t="shared" si="0"/>
        <v>378.94930000000022</v>
      </c>
      <c r="K7" s="148">
        <f>'Athens Daily - Gas'!BH13</f>
        <v>120402.76800000001</v>
      </c>
      <c r="L7" s="118"/>
      <c r="M7" s="128">
        <f t="shared" si="2"/>
        <v>3118.4348096348099</v>
      </c>
      <c r="N7" s="157">
        <f>Occ!G14</f>
        <v>80</v>
      </c>
      <c r="O7" s="100">
        <f>Occ!H14</f>
        <v>171</v>
      </c>
      <c r="P7" s="156">
        <v>918</v>
      </c>
      <c r="Q7" s="165"/>
    </row>
    <row r="8" spans="1:17" ht="15.75">
      <c r="A8" s="7" t="s">
        <v>14</v>
      </c>
      <c r="B8" s="7">
        <v>6</v>
      </c>
      <c r="C8" s="189">
        <v>12</v>
      </c>
      <c r="D8" s="117">
        <v>2020</v>
      </c>
      <c r="E8" s="148">
        <f>'Athens Daily - EL'!AK13</f>
        <v>238195</v>
      </c>
      <c r="F8" s="150"/>
      <c r="G8" s="128">
        <f t="shared" si="1"/>
        <v>238195</v>
      </c>
      <c r="H8" s="148">
        <f>'Athens Daily - Water'!R12</f>
        <v>361.21569999999974</v>
      </c>
      <c r="I8" s="118"/>
      <c r="J8" s="124">
        <f t="shared" si="0"/>
        <v>361.21569999999974</v>
      </c>
      <c r="K8" s="148">
        <f>'Athens Daily - Gas'!BH14</f>
        <v>134207.75999999989</v>
      </c>
      <c r="L8" s="118"/>
      <c r="M8" s="128">
        <f t="shared" si="2"/>
        <v>3475.9844599844573</v>
      </c>
      <c r="N8" s="157">
        <f>Occ!G15</f>
        <v>73</v>
      </c>
      <c r="O8" s="100">
        <f>Occ!H15</f>
        <v>142</v>
      </c>
      <c r="P8" s="156">
        <v>918</v>
      </c>
      <c r="Q8" s="165"/>
    </row>
    <row r="9" spans="1:17" ht="15.75">
      <c r="A9" s="7" t="s">
        <v>14</v>
      </c>
      <c r="B9" s="7">
        <v>7</v>
      </c>
      <c r="C9" s="189">
        <v>12</v>
      </c>
      <c r="D9" s="117">
        <v>2020</v>
      </c>
      <c r="E9" s="148">
        <f>'Athens Daily - EL'!AK14</f>
        <v>229775</v>
      </c>
      <c r="F9" s="150"/>
      <c r="G9" s="128">
        <f t="shared" si="1"/>
        <v>229775</v>
      </c>
      <c r="H9" s="148">
        <f>'Athens Daily - Water'!R13</f>
        <v>316.54830000000038</v>
      </c>
      <c r="I9" s="118"/>
      <c r="J9" s="124">
        <f t="shared" si="0"/>
        <v>316.54830000000038</v>
      </c>
      <c r="K9" s="148">
        <f>'Athens Daily - Gas'!BH15</f>
        <v>121731.07199999978</v>
      </c>
      <c r="L9" s="118"/>
      <c r="M9" s="128">
        <f t="shared" si="2"/>
        <v>3152.8379176379121</v>
      </c>
      <c r="N9" s="157">
        <f>Occ!G16</f>
        <v>59</v>
      </c>
      <c r="O9" s="100">
        <f>Occ!H16</f>
        <v>114</v>
      </c>
      <c r="P9" s="156">
        <v>918</v>
      </c>
      <c r="Q9" s="165"/>
    </row>
    <row r="10" spans="1:17">
      <c r="A10" s="7" t="s">
        <v>14</v>
      </c>
      <c r="B10" s="7">
        <v>8</v>
      </c>
      <c r="C10" s="189">
        <v>12</v>
      </c>
      <c r="D10" s="117">
        <v>2020</v>
      </c>
      <c r="E10" s="148">
        <f>'Athens Daily - EL'!AK15</f>
        <v>228595</v>
      </c>
      <c r="F10" s="150"/>
      <c r="G10" s="128">
        <f t="shared" si="1"/>
        <v>228595</v>
      </c>
      <c r="H10" s="148">
        <f>'Athens Daily - Water'!R14</f>
        <v>336.68119999999999</v>
      </c>
      <c r="I10" s="118"/>
      <c r="J10" s="124">
        <f t="shared" si="0"/>
        <v>336.68119999999999</v>
      </c>
      <c r="K10" s="148">
        <f>'Athens Daily - Gas'!BH16</f>
        <v>113952.04800000004</v>
      </c>
      <c r="L10" s="118"/>
      <c r="M10" s="128">
        <f t="shared" si="2"/>
        <v>2951.3609945609956</v>
      </c>
      <c r="N10" s="157">
        <f>Occ!G17</f>
        <v>52</v>
      </c>
      <c r="O10" s="100">
        <f>Occ!H17</f>
        <v>95</v>
      </c>
      <c r="P10" s="156">
        <v>918</v>
      </c>
      <c r="Q10" s="98"/>
    </row>
    <row r="11" spans="1:17">
      <c r="A11" s="7" t="s">
        <v>14</v>
      </c>
      <c r="B11" s="7">
        <v>9</v>
      </c>
      <c r="C11" s="189">
        <v>12</v>
      </c>
      <c r="D11" s="117">
        <v>2020</v>
      </c>
      <c r="E11" s="148">
        <f>'Athens Daily - EL'!AK16</f>
        <v>239920</v>
      </c>
      <c r="F11" s="150"/>
      <c r="G11" s="128">
        <f t="shared" si="1"/>
        <v>239920</v>
      </c>
      <c r="H11" s="148">
        <f>'Athens Daily - Water'!R15</f>
        <v>299.48559999999998</v>
      </c>
      <c r="I11" s="118"/>
      <c r="J11" s="124">
        <f t="shared" si="0"/>
        <v>299.48559999999998</v>
      </c>
      <c r="K11" s="148">
        <f>'Athens Daily - Gas'!BH17</f>
        <v>96343.680000000168</v>
      </c>
      <c r="L11" s="118"/>
      <c r="M11" s="128">
        <f t="shared" si="2"/>
        <v>2495.3038073038115</v>
      </c>
      <c r="N11" s="157">
        <f>Occ!G18</f>
        <v>47</v>
      </c>
      <c r="O11" s="100">
        <f>Occ!H18</f>
        <v>90</v>
      </c>
      <c r="P11" s="156">
        <v>918</v>
      </c>
      <c r="Q11" s="98"/>
    </row>
    <row r="12" spans="1:17" ht="15.75">
      <c r="A12" s="7" t="s">
        <v>14</v>
      </c>
      <c r="B12" s="7">
        <v>10</v>
      </c>
      <c r="C12" s="189">
        <v>12</v>
      </c>
      <c r="D12" s="117">
        <v>2020</v>
      </c>
      <c r="E12" s="148">
        <f>'Athens Daily - EL'!AK17</f>
        <v>233165</v>
      </c>
      <c r="F12" s="150"/>
      <c r="G12" s="128">
        <f t="shared" si="1"/>
        <v>233165</v>
      </c>
      <c r="H12" s="148">
        <f>'Athens Daily - Water'!R16</f>
        <v>334.32669999999962</v>
      </c>
      <c r="I12" s="118"/>
      <c r="J12" s="124">
        <f t="shared" si="0"/>
        <v>334.32669999999962</v>
      </c>
      <c r="K12" s="148">
        <f>'Athens Daily - Gas'!BH18</f>
        <v>100763.32800000021</v>
      </c>
      <c r="L12" s="118"/>
      <c r="M12" s="128">
        <f t="shared" si="2"/>
        <v>2609.7728049728107</v>
      </c>
      <c r="N12" s="157">
        <f>Occ!G19</f>
        <v>68</v>
      </c>
      <c r="O12" s="100">
        <f>Occ!H19</f>
        <v>129</v>
      </c>
      <c r="P12" s="156">
        <v>918</v>
      </c>
      <c r="Q12" s="165"/>
    </row>
    <row r="13" spans="1:17" ht="15.75">
      <c r="A13" s="7" t="s">
        <v>14</v>
      </c>
      <c r="B13" s="7">
        <v>11</v>
      </c>
      <c r="C13" s="189">
        <v>12</v>
      </c>
      <c r="D13" s="117">
        <v>2020</v>
      </c>
      <c r="E13" s="148">
        <f>'Athens Daily - EL'!AK18</f>
        <v>242365</v>
      </c>
      <c r="F13" s="150"/>
      <c r="G13" s="128">
        <f t="shared" si="1"/>
        <v>242365</v>
      </c>
      <c r="H13" s="148">
        <f>'Athens Daily - Water'!R17</f>
        <v>295.44350000000031</v>
      </c>
      <c r="I13" s="118"/>
      <c r="J13" s="124">
        <f t="shared" si="0"/>
        <v>295.44350000000031</v>
      </c>
      <c r="K13" s="148">
        <f>'Athens Daily - Gas'!BH19</f>
        <v>97648.99199999962</v>
      </c>
      <c r="L13" s="118"/>
      <c r="M13" s="128">
        <f t="shared" si="2"/>
        <v>2529.111421911412</v>
      </c>
      <c r="N13" s="157">
        <f>Occ!G20</f>
        <v>91</v>
      </c>
      <c r="O13" s="100">
        <f>Occ!H20</f>
        <v>174</v>
      </c>
      <c r="P13" s="156">
        <v>918</v>
      </c>
      <c r="Q13" s="165"/>
    </row>
    <row r="14" spans="1:17" ht="15.75">
      <c r="A14" s="7" t="s">
        <v>14</v>
      </c>
      <c r="B14" s="7">
        <v>12</v>
      </c>
      <c r="C14" s="189">
        <v>12</v>
      </c>
      <c r="D14" s="117">
        <v>2020</v>
      </c>
      <c r="E14" s="148">
        <f>'Athens Daily - EL'!AK19</f>
        <v>249750</v>
      </c>
      <c r="F14" s="150"/>
      <c r="G14" s="128">
        <f t="shared" si="1"/>
        <v>249750</v>
      </c>
      <c r="H14" s="148">
        <f>'Athens Daily - Water'!R18</f>
        <v>331.55649999999969</v>
      </c>
      <c r="I14" s="118"/>
      <c r="J14" s="124">
        <f t="shared" si="0"/>
        <v>331.55649999999969</v>
      </c>
      <c r="K14" s="148">
        <f>'Athens Daily - Gas'!BH20</f>
        <v>105113.76000000047</v>
      </c>
      <c r="L14" s="118"/>
      <c r="M14" s="128">
        <f t="shared" si="2"/>
        <v>2722.449106449119</v>
      </c>
      <c r="N14" s="157">
        <f>Occ!G21</f>
        <v>130</v>
      </c>
      <c r="O14" s="100">
        <f>Occ!H21</f>
        <v>259</v>
      </c>
      <c r="P14" s="156">
        <v>918</v>
      </c>
      <c r="Q14" s="165"/>
    </row>
    <row r="15" spans="1:17">
      <c r="A15" s="7" t="s">
        <v>14</v>
      </c>
      <c r="B15" s="7">
        <v>13</v>
      </c>
      <c r="C15" s="189">
        <v>12</v>
      </c>
      <c r="D15" s="117">
        <v>2020</v>
      </c>
      <c r="E15" s="148">
        <f>'Athens Daily - EL'!AK20</f>
        <v>253380</v>
      </c>
      <c r="F15" s="166"/>
      <c r="G15" s="128">
        <f t="shared" si="1"/>
        <v>253380</v>
      </c>
      <c r="H15" s="148">
        <f>'Athens Daily - Water'!R19</f>
        <v>408.71680000000015</v>
      </c>
      <c r="I15" s="118"/>
      <c r="J15" s="124">
        <f t="shared" si="0"/>
        <v>408.71680000000015</v>
      </c>
      <c r="K15" s="148">
        <f>'Athens Daily - Gas'!BH21</f>
        <v>108485.85599999959</v>
      </c>
      <c r="L15" s="118"/>
      <c r="M15" s="128">
        <f t="shared" si="2"/>
        <v>2809.7864801864698</v>
      </c>
      <c r="N15" s="157">
        <f>Occ!G22</f>
        <v>102</v>
      </c>
      <c r="O15" s="100">
        <f>Occ!H22</f>
        <v>196</v>
      </c>
      <c r="P15" s="156">
        <v>918</v>
      </c>
      <c r="Q15" s="162"/>
    </row>
    <row r="16" spans="1:17">
      <c r="A16" s="7" t="s">
        <v>14</v>
      </c>
      <c r="B16" s="7">
        <v>14</v>
      </c>
      <c r="C16" s="189">
        <v>12</v>
      </c>
      <c r="D16" s="117">
        <v>2020</v>
      </c>
      <c r="E16" s="148">
        <f>'Athens Daily - EL'!AK21</f>
        <v>245125</v>
      </c>
      <c r="F16" s="150"/>
      <c r="G16" s="128">
        <f t="shared" si="1"/>
        <v>245125</v>
      </c>
      <c r="H16" s="148">
        <f>'Athens Daily - Water'!R20</f>
        <v>450.46389999999974</v>
      </c>
      <c r="I16" s="118"/>
      <c r="J16" s="124">
        <f t="shared" si="0"/>
        <v>450.46389999999974</v>
      </c>
      <c r="K16" s="148">
        <f>'Athens Daily - Gas'!BH22</f>
        <v>111721.34399999998</v>
      </c>
      <c r="L16" s="118"/>
      <c r="M16" s="128">
        <f t="shared" si="2"/>
        <v>2893.5857031857026</v>
      </c>
      <c r="N16" s="157">
        <f>Occ!G23</f>
        <v>70</v>
      </c>
      <c r="O16" s="100">
        <f>Occ!H23</f>
        <v>135</v>
      </c>
      <c r="P16" s="156">
        <v>918</v>
      </c>
      <c r="Q16" s="162"/>
    </row>
    <row r="17" spans="1:17">
      <c r="A17" s="7" t="s">
        <v>14</v>
      </c>
      <c r="B17" s="7">
        <v>15</v>
      </c>
      <c r="C17" s="189">
        <v>12</v>
      </c>
      <c r="D17" s="117">
        <v>2020</v>
      </c>
      <c r="E17" s="148">
        <f>'Athens Daily - EL'!AK22</f>
        <v>240250</v>
      </c>
      <c r="F17" s="150"/>
      <c r="G17" s="128">
        <f t="shared" si="1"/>
        <v>240250</v>
      </c>
      <c r="H17" s="148">
        <f>'Athens Daily - Water'!R21</f>
        <v>367.03970000000027</v>
      </c>
      <c r="I17" s="118"/>
      <c r="J17" s="124">
        <f t="shared" si="0"/>
        <v>367.03970000000027</v>
      </c>
      <c r="K17" s="148">
        <f>'Athens Daily - Gas'!BH23</f>
        <v>112423.82400000015</v>
      </c>
      <c r="L17" s="118"/>
      <c r="M17" s="128">
        <f t="shared" si="2"/>
        <v>2911.7799533799575</v>
      </c>
      <c r="N17" s="157">
        <f>Occ!G24</f>
        <v>83</v>
      </c>
      <c r="O17" s="100">
        <f>Occ!H24</f>
        <v>161</v>
      </c>
      <c r="P17" s="156">
        <v>918</v>
      </c>
      <c r="Q17" s="162"/>
    </row>
    <row r="18" spans="1:17">
      <c r="A18" s="7" t="s">
        <v>14</v>
      </c>
      <c r="B18" s="7">
        <v>16</v>
      </c>
      <c r="C18" s="189">
        <v>12</v>
      </c>
      <c r="D18" s="117">
        <v>2020</v>
      </c>
      <c r="E18" s="148">
        <f>'Athens Daily - EL'!AK23</f>
        <v>235970</v>
      </c>
      <c r="F18" s="150"/>
      <c r="G18" s="128">
        <f t="shared" si="1"/>
        <v>235970</v>
      </c>
      <c r="H18" s="148">
        <f>'Athens Daily - Water'!R22</f>
        <v>357.82949999999983</v>
      </c>
      <c r="I18" s="118"/>
      <c r="J18" s="124">
        <f t="shared" si="0"/>
        <v>357.82949999999983</v>
      </c>
      <c r="K18" s="148">
        <f>'Athens Daily - Gas'!BH24</f>
        <v>135343.72799999994</v>
      </c>
      <c r="L18" s="118"/>
      <c r="M18" s="128">
        <f t="shared" si="2"/>
        <v>3505.4060606060593</v>
      </c>
      <c r="N18" s="157">
        <f>Occ!G25</f>
        <v>94</v>
      </c>
      <c r="O18" s="100">
        <f>Occ!H25</f>
        <v>181</v>
      </c>
      <c r="P18" s="156">
        <v>918</v>
      </c>
      <c r="Q18" s="161"/>
    </row>
    <row r="19" spans="1:17">
      <c r="A19" s="7" t="s">
        <v>14</v>
      </c>
      <c r="B19" s="7">
        <v>17</v>
      </c>
      <c r="C19" s="189">
        <v>12</v>
      </c>
      <c r="D19" s="117">
        <v>2020</v>
      </c>
      <c r="E19" s="148">
        <f>'Athens Daily - EL'!AK24</f>
        <v>244985</v>
      </c>
      <c r="F19" s="150"/>
      <c r="G19" s="128">
        <f t="shared" si="1"/>
        <v>244985</v>
      </c>
      <c r="H19" s="148">
        <f>'Athens Daily - Water'!R23</f>
        <v>363</v>
      </c>
      <c r="I19" s="118"/>
      <c r="J19" s="124">
        <f t="shared" si="0"/>
        <v>363</v>
      </c>
      <c r="K19" s="148">
        <f>'Athens Daily - Gas'!BH25</f>
        <v>130332.28800000041</v>
      </c>
      <c r="L19" s="118"/>
      <c r="M19" s="128">
        <f t="shared" si="2"/>
        <v>3375.6096348096453</v>
      </c>
      <c r="N19" s="157">
        <f>Occ!G26</f>
        <v>90</v>
      </c>
      <c r="O19" s="100">
        <f>Occ!H26</f>
        <v>171</v>
      </c>
      <c r="P19" s="156">
        <v>918</v>
      </c>
      <c r="Q19" s="161"/>
    </row>
    <row r="20" spans="1:17">
      <c r="A20" s="7" t="s">
        <v>14</v>
      </c>
      <c r="B20" s="7">
        <v>18</v>
      </c>
      <c r="C20" s="189">
        <v>12</v>
      </c>
      <c r="D20" s="117">
        <v>2020</v>
      </c>
      <c r="E20" s="148">
        <f>'Athens Daily - EL'!AK25</f>
        <v>277440</v>
      </c>
      <c r="F20" s="150"/>
      <c r="G20" s="128">
        <f t="shared" si="1"/>
        <v>277440</v>
      </c>
      <c r="H20" s="148">
        <f>'Athens Daily - Water'!R24</f>
        <v>347.42919999999958</v>
      </c>
      <c r="I20" s="118"/>
      <c r="J20" s="124">
        <f t="shared" si="0"/>
        <v>347.42919999999958</v>
      </c>
      <c r="K20" s="148">
        <f>'Athens Daily - Gas'!BH26</f>
        <v>129693.88799999985</v>
      </c>
      <c r="L20" s="118"/>
      <c r="M20" s="128">
        <f t="shared" si="2"/>
        <v>3359.0750582750543</v>
      </c>
      <c r="N20" s="157">
        <f>Occ!G27</f>
        <v>122</v>
      </c>
      <c r="O20" s="100">
        <f>Occ!H27</f>
        <v>245</v>
      </c>
      <c r="P20" s="156">
        <v>918</v>
      </c>
      <c r="Q20" s="161"/>
    </row>
    <row r="21" spans="1:17">
      <c r="A21" s="7" t="s">
        <v>14</v>
      </c>
      <c r="B21" s="7">
        <v>19</v>
      </c>
      <c r="C21" s="189">
        <v>12</v>
      </c>
      <c r="D21" s="117">
        <v>2020</v>
      </c>
      <c r="E21" s="148">
        <f>'Athens Daily - EL'!AK26</f>
        <v>283960</v>
      </c>
      <c r="F21" s="150"/>
      <c r="G21" s="128">
        <f t="shared" si="1"/>
        <v>283960</v>
      </c>
      <c r="H21" s="148">
        <f>'Athens Daily - Water'!R25</f>
        <v>368.4974000000002</v>
      </c>
      <c r="I21" s="118"/>
      <c r="J21" s="124">
        <f t="shared" si="0"/>
        <v>368.4974000000002</v>
      </c>
      <c r="K21" s="148">
        <f>'Athens Daily - Gas'!BH27</f>
        <v>125008.79999999958</v>
      </c>
      <c r="L21" s="170"/>
      <c r="M21" s="128">
        <f t="shared" si="2"/>
        <v>3237.7311577311471</v>
      </c>
      <c r="N21" s="157">
        <f>Occ!G28</f>
        <v>133</v>
      </c>
      <c r="O21" s="100">
        <f>Occ!H28</f>
        <v>263</v>
      </c>
      <c r="P21" s="156">
        <v>918</v>
      </c>
      <c r="Q21" s="161"/>
    </row>
    <row r="22" spans="1:17">
      <c r="A22" s="7" t="s">
        <v>14</v>
      </c>
      <c r="B22" s="7">
        <v>20</v>
      </c>
      <c r="C22" s="189">
        <v>12</v>
      </c>
      <c r="D22" s="117">
        <v>2020</v>
      </c>
      <c r="E22" s="148">
        <f>'Athens Daily - EL'!AK27</f>
        <v>279420</v>
      </c>
      <c r="F22" s="150"/>
      <c r="G22" s="128">
        <f t="shared" si="1"/>
        <v>279420</v>
      </c>
      <c r="H22" s="148">
        <f>'Athens Daily - Water'!R26</f>
        <v>467.55550000000039</v>
      </c>
      <c r="I22" s="118"/>
      <c r="J22" s="124">
        <f t="shared" si="0"/>
        <v>467.55550000000039</v>
      </c>
      <c r="K22" s="148">
        <f>'Athens Daily - Gas'!BH28</f>
        <v>134233.92000000039</v>
      </c>
      <c r="L22" s="118"/>
      <c r="M22" s="128">
        <f t="shared" si="2"/>
        <v>3476.6620046620146</v>
      </c>
      <c r="N22" s="157">
        <f>Occ!G29</f>
        <v>140</v>
      </c>
      <c r="O22" s="100">
        <f>Occ!H29</f>
        <v>289</v>
      </c>
      <c r="P22" s="156">
        <v>918</v>
      </c>
      <c r="Q22" s="162"/>
    </row>
    <row r="23" spans="1:17">
      <c r="A23" s="7" t="s">
        <v>14</v>
      </c>
      <c r="B23" s="7">
        <v>21</v>
      </c>
      <c r="C23" s="189">
        <v>12</v>
      </c>
      <c r="D23" s="117">
        <v>2020</v>
      </c>
      <c r="E23" s="148">
        <f>'Athens Daily - EL'!AK28</f>
        <v>275620</v>
      </c>
      <c r="F23" s="150"/>
      <c r="G23" s="128">
        <f t="shared" si="1"/>
        <v>275620</v>
      </c>
      <c r="H23" s="169">
        <f>'Athens Daily - Water'!R27</f>
        <v>439.26189999999951</v>
      </c>
      <c r="I23" s="170"/>
      <c r="J23" s="124">
        <f t="shared" si="0"/>
        <v>439.26189999999951</v>
      </c>
      <c r="K23" s="148">
        <f>'Athens Daily - Gas'!BH29</f>
        <v>135083.75999999989</v>
      </c>
      <c r="L23" s="118"/>
      <c r="M23" s="128">
        <f t="shared" si="2"/>
        <v>3498.67288267288</v>
      </c>
      <c r="N23" s="157">
        <f>Occ!G30</f>
        <v>136</v>
      </c>
      <c r="O23" s="100">
        <f>Occ!H30</f>
        <v>281</v>
      </c>
      <c r="P23" s="156">
        <v>918</v>
      </c>
      <c r="Q23" s="162"/>
    </row>
    <row r="24" spans="1:17">
      <c r="A24" s="7" t="s">
        <v>14</v>
      </c>
      <c r="B24" s="7">
        <v>22</v>
      </c>
      <c r="C24" s="189">
        <v>12</v>
      </c>
      <c r="D24" s="117">
        <v>2020</v>
      </c>
      <c r="E24" s="148">
        <f>'Athens Daily - EL'!AK29</f>
        <v>280400</v>
      </c>
      <c r="F24" s="150"/>
      <c r="G24" s="128">
        <f t="shared" si="1"/>
        <v>280400</v>
      </c>
      <c r="H24" s="169">
        <f>'Athens Daily - Water'!R28</f>
        <v>466.98010000000068</v>
      </c>
      <c r="I24" s="170"/>
      <c r="J24" s="124">
        <f t="shared" si="0"/>
        <v>466.98010000000068</v>
      </c>
      <c r="K24" s="148">
        <f>'Athens Daily - Gas'!BH30</f>
        <v>136493.90400000004</v>
      </c>
      <c r="L24" s="118"/>
      <c r="M24" s="128">
        <f t="shared" si="2"/>
        <v>3535.19564879565</v>
      </c>
      <c r="N24" s="157">
        <f>Occ!G31</f>
        <v>151</v>
      </c>
      <c r="O24" s="100">
        <f>Occ!H31</f>
        <v>322</v>
      </c>
      <c r="P24" s="156">
        <v>918</v>
      </c>
      <c r="Q24" s="162"/>
    </row>
    <row r="25" spans="1:17">
      <c r="A25" s="7" t="s">
        <v>14</v>
      </c>
      <c r="B25" s="7">
        <v>23</v>
      </c>
      <c r="C25" s="189">
        <v>12</v>
      </c>
      <c r="D25" s="117">
        <v>2020</v>
      </c>
      <c r="E25" s="148">
        <f>'Athens Daily - EL'!AK30</f>
        <v>279225</v>
      </c>
      <c r="F25" s="150"/>
      <c r="G25" s="128">
        <f t="shared" si="1"/>
        <v>279225</v>
      </c>
      <c r="H25" s="169">
        <f>'Athens Daily - Water'!R29</f>
        <v>469.96630000000005</v>
      </c>
      <c r="I25" s="170"/>
      <c r="J25" s="124">
        <f t="shared" si="0"/>
        <v>469.96630000000005</v>
      </c>
      <c r="K25" s="169">
        <f>'Athens Daily - Gas'!BH31</f>
        <v>129842.16000000005</v>
      </c>
      <c r="L25" s="118"/>
      <c r="M25" s="128">
        <f t="shared" si="2"/>
        <v>3362.9153069153081</v>
      </c>
      <c r="N25" s="157">
        <f>Occ!G32</f>
        <v>66</v>
      </c>
      <c r="O25" s="100">
        <f>Occ!H32</f>
        <v>146</v>
      </c>
      <c r="P25" s="156">
        <v>918</v>
      </c>
      <c r="Q25" s="162"/>
    </row>
    <row r="26" spans="1:17">
      <c r="A26" s="7" t="s">
        <v>14</v>
      </c>
      <c r="B26" s="7">
        <v>24</v>
      </c>
      <c r="C26" s="189">
        <v>12</v>
      </c>
      <c r="D26" s="117">
        <v>2020</v>
      </c>
      <c r="E26" s="148">
        <f>'Athens Daily - EL'!AK31</f>
        <v>283865</v>
      </c>
      <c r="F26" s="150"/>
      <c r="G26" s="128">
        <f t="shared" si="1"/>
        <v>283865</v>
      </c>
      <c r="H26" s="169">
        <f>'Athens Daily - Water'!R30</f>
        <v>451.11749999999938</v>
      </c>
      <c r="I26" s="170"/>
      <c r="J26" s="124">
        <f t="shared" si="0"/>
        <v>451.11749999999938</v>
      </c>
      <c r="K26" s="148">
        <f>'Athens Daily - Gas'!BH32</f>
        <v>130410.09599999967</v>
      </c>
      <c r="L26" s="118"/>
      <c r="M26" s="128">
        <f t="shared" si="2"/>
        <v>3377.6248640248555</v>
      </c>
      <c r="N26" s="157">
        <f>Occ!G33</f>
        <v>134</v>
      </c>
      <c r="O26" s="100">
        <f>Occ!H33</f>
        <v>274</v>
      </c>
      <c r="P26" s="156">
        <v>918</v>
      </c>
      <c r="Q26" s="162"/>
    </row>
    <row r="27" spans="1:17">
      <c r="A27" s="7" t="s">
        <v>14</v>
      </c>
      <c r="B27" s="7">
        <v>25</v>
      </c>
      <c r="C27" s="189">
        <v>12</v>
      </c>
      <c r="D27" s="117">
        <v>2020</v>
      </c>
      <c r="E27" s="148">
        <f>'Athens Daily - EL'!AK32</f>
        <v>294420</v>
      </c>
      <c r="F27" s="150"/>
      <c r="G27" s="128">
        <f t="shared" si="1"/>
        <v>294420</v>
      </c>
      <c r="H27" s="169">
        <f>'Athens Daily - Water'!R31</f>
        <v>421.71640000000025</v>
      </c>
      <c r="I27" s="170"/>
      <c r="J27" s="124">
        <f t="shared" si="0"/>
        <v>421.71640000000025</v>
      </c>
      <c r="K27" s="148">
        <f>'Athens Daily - Gas'!BH33</f>
        <v>124416.71999999983</v>
      </c>
      <c r="L27" s="118"/>
      <c r="M27" s="128">
        <f t="shared" si="2"/>
        <v>3222.3962703962661</v>
      </c>
      <c r="N27" s="157">
        <f>Occ!G34</f>
        <v>149</v>
      </c>
      <c r="O27" s="100">
        <f>Occ!H34</f>
        <v>315</v>
      </c>
      <c r="P27" s="156">
        <v>918</v>
      </c>
      <c r="Q27" s="160"/>
    </row>
    <row r="28" spans="1:17">
      <c r="A28" s="7" t="s">
        <v>14</v>
      </c>
      <c r="B28" s="7">
        <v>26</v>
      </c>
      <c r="C28" s="189">
        <v>12</v>
      </c>
      <c r="D28" s="117">
        <v>2020</v>
      </c>
      <c r="E28" s="148">
        <f>'Athens Daily - EL'!AK33</f>
        <v>285695</v>
      </c>
      <c r="F28" s="150"/>
      <c r="G28" s="128">
        <f t="shared" si="1"/>
        <v>285695</v>
      </c>
      <c r="H28" s="148">
        <f>'Athens Daily - Water'!R32</f>
        <v>490.36229999999978</v>
      </c>
      <c r="I28" s="118"/>
      <c r="J28" s="124">
        <f t="shared" si="0"/>
        <v>490.36229999999978</v>
      </c>
      <c r="K28" s="148">
        <f>'Athens Daily - Gas'!BH34</f>
        <v>131643.2160000006</v>
      </c>
      <c r="L28" s="118"/>
      <c r="M28" s="128">
        <f t="shared" si="2"/>
        <v>3409.5627039627193</v>
      </c>
      <c r="N28" s="157">
        <f>Occ!G35</f>
        <v>88</v>
      </c>
      <c r="O28" s="100">
        <f>Occ!H35</f>
        <v>184</v>
      </c>
      <c r="P28" s="156">
        <v>918</v>
      </c>
      <c r="Q28" s="160"/>
    </row>
    <row r="29" spans="1:17">
      <c r="A29" s="7" t="s">
        <v>14</v>
      </c>
      <c r="B29" s="7">
        <v>27</v>
      </c>
      <c r="C29" s="189">
        <v>12</v>
      </c>
      <c r="D29" s="117">
        <v>2020</v>
      </c>
      <c r="E29" s="148">
        <f>'Athens Daily - EL'!AK34</f>
        <v>266665</v>
      </c>
      <c r="F29" s="150"/>
      <c r="G29" s="128">
        <f t="shared" si="1"/>
        <v>266665</v>
      </c>
      <c r="H29" s="148">
        <f>'Athens Daily - Water'!R33</f>
        <v>433.8716000000004</v>
      </c>
      <c r="I29" s="118"/>
      <c r="J29" s="124">
        <f t="shared" si="0"/>
        <v>433.8716000000004</v>
      </c>
      <c r="K29" s="148">
        <f>'Athens Daily - Gas'!BH35</f>
        <v>126104.6879999997</v>
      </c>
      <c r="L29" s="118"/>
      <c r="M29" s="128">
        <f t="shared" si="2"/>
        <v>3266.1146853146779</v>
      </c>
      <c r="N29" s="157">
        <f>Occ!G36</f>
        <v>95</v>
      </c>
      <c r="O29" s="100">
        <f>Occ!H36</f>
        <v>190</v>
      </c>
      <c r="P29" s="156">
        <v>918</v>
      </c>
      <c r="Q29" s="160"/>
    </row>
    <row r="30" spans="1:17">
      <c r="A30" s="7" t="s">
        <v>14</v>
      </c>
      <c r="B30" s="7">
        <v>28</v>
      </c>
      <c r="C30" s="189">
        <v>12</v>
      </c>
      <c r="D30" s="117">
        <v>2020</v>
      </c>
      <c r="E30" s="148">
        <f>'Athens Daily - EL'!AK35</f>
        <v>252220</v>
      </c>
      <c r="F30" s="150"/>
      <c r="G30" s="128">
        <f t="shared" si="1"/>
        <v>252220</v>
      </c>
      <c r="H30" s="148">
        <f>'Athens Daily - Water'!R34</f>
        <v>419.23009999999977</v>
      </c>
      <c r="I30" s="118"/>
      <c r="J30" s="124">
        <f t="shared" si="0"/>
        <v>419.23009999999977</v>
      </c>
      <c r="K30" s="148">
        <f>'Athens Daily - Gas'!BH36</f>
        <v>117109.82400000015</v>
      </c>
      <c r="L30" s="118"/>
      <c r="M30" s="128">
        <f t="shared" si="2"/>
        <v>3033.1474747474786</v>
      </c>
      <c r="N30" s="157">
        <f>Occ!G37</f>
        <v>82</v>
      </c>
      <c r="O30" s="100">
        <f>Occ!H37</f>
        <v>172</v>
      </c>
      <c r="P30" s="156">
        <v>918</v>
      </c>
      <c r="Q30" s="160"/>
    </row>
    <row r="31" spans="1:17">
      <c r="A31" s="7" t="s">
        <v>14</v>
      </c>
      <c r="B31" s="7">
        <v>29</v>
      </c>
      <c r="C31" s="189">
        <v>12</v>
      </c>
      <c r="D31" s="117">
        <v>2020</v>
      </c>
      <c r="E31" s="148">
        <f>'Athens Daily - EL'!AK36</f>
        <v>229620</v>
      </c>
      <c r="F31" s="150"/>
      <c r="G31" s="128">
        <f t="shared" si="1"/>
        <v>229620</v>
      </c>
      <c r="H31" s="148">
        <f>'Athens Daily - Water'!R35</f>
        <v>409.61700000000019</v>
      </c>
      <c r="I31" s="118"/>
      <c r="J31" s="124">
        <f t="shared" si="0"/>
        <v>409.61700000000019</v>
      </c>
      <c r="K31" s="148">
        <f>'Athens Daily - Gas'!BH37</f>
        <v>105073.2</v>
      </c>
      <c r="L31" s="118"/>
      <c r="M31" s="128">
        <f t="shared" si="2"/>
        <v>2721.3986013986014</v>
      </c>
      <c r="N31" s="157">
        <f>Occ!G38</f>
        <v>71</v>
      </c>
      <c r="O31" s="100">
        <f>Occ!H38</f>
        <v>146</v>
      </c>
      <c r="P31" s="156">
        <v>918</v>
      </c>
      <c r="Q31" s="160"/>
    </row>
    <row r="32" spans="1:17">
      <c r="A32" s="7" t="s">
        <v>14</v>
      </c>
      <c r="B32" s="7">
        <v>30</v>
      </c>
      <c r="C32" s="189">
        <v>12</v>
      </c>
      <c r="D32" s="117">
        <v>2020</v>
      </c>
      <c r="E32" s="148">
        <f>'Athens Daily - EL'!AK37</f>
        <v>238395</v>
      </c>
      <c r="F32" s="150"/>
      <c r="G32" s="128">
        <f t="shared" si="1"/>
        <v>238395</v>
      </c>
      <c r="H32" s="148">
        <f>'Athens Daily - Water'!R36</f>
        <v>362.98639999999978</v>
      </c>
      <c r="I32" s="118"/>
      <c r="J32" s="124">
        <f t="shared" si="0"/>
        <v>362.98639999999978</v>
      </c>
      <c r="K32" s="148">
        <f>'Athens Daily - Gas'!BH38</f>
        <v>111273.74399999957</v>
      </c>
      <c r="L32" s="118"/>
      <c r="M32" s="128">
        <f t="shared" si="2"/>
        <v>2881.9928515928405</v>
      </c>
      <c r="N32" s="157">
        <f>Occ!G39</f>
        <v>75</v>
      </c>
      <c r="O32" s="100">
        <f>Occ!H39</f>
        <v>156</v>
      </c>
      <c r="P32" s="156">
        <v>918</v>
      </c>
      <c r="Q32" s="160"/>
    </row>
    <row r="33" spans="1:17" ht="15.75" thickBot="1">
      <c r="A33" s="7" t="s">
        <v>14</v>
      </c>
      <c r="B33" s="7">
        <v>31</v>
      </c>
      <c r="C33" s="189">
        <v>12</v>
      </c>
      <c r="D33" s="117">
        <v>2020</v>
      </c>
      <c r="E33" s="149">
        <f>'Athens Daily - EL'!AK38</f>
        <v>281850</v>
      </c>
      <c r="F33" s="151"/>
      <c r="G33" s="129">
        <f t="shared" si="1"/>
        <v>281850</v>
      </c>
      <c r="H33" s="149">
        <f>'Athens Daily - Water'!R37</f>
        <v>393.22540000000026</v>
      </c>
      <c r="I33" s="122"/>
      <c r="J33" s="125">
        <f t="shared" si="0"/>
        <v>393.22540000000026</v>
      </c>
      <c r="K33" s="149">
        <f>'Athens Daily - Gas'!BH39</f>
        <v>134452.17599999998</v>
      </c>
      <c r="L33" s="122"/>
      <c r="M33" s="129">
        <f t="shared" si="2"/>
        <v>3482.3148407148401</v>
      </c>
      <c r="N33" s="164">
        <f>Occ!G40</f>
        <v>155</v>
      </c>
      <c r="O33" s="155">
        <f>Occ!H40</f>
        <v>330</v>
      </c>
      <c r="P33" s="154">
        <v>918</v>
      </c>
      <c r="Q33" s="160"/>
    </row>
    <row r="35" spans="1:17">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44" sqref="L4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8" t="s">
        <v>22</v>
      </c>
      <c r="H8" s="199"/>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63</v>
      </c>
      <c r="D10" s="141">
        <v>118</v>
      </c>
      <c r="E10" s="140"/>
      <c r="F10" s="141"/>
      <c r="G10" s="163">
        <f>SUM(C10+E10)</f>
        <v>63</v>
      </c>
      <c r="H10" s="141">
        <f>D10+F10</f>
        <v>118</v>
      </c>
      <c r="I10" s="138">
        <v>918</v>
      </c>
      <c r="J10" s="130"/>
      <c r="K10" s="130"/>
      <c r="L10" s="130"/>
      <c r="M10" s="130"/>
      <c r="N10" s="130"/>
    </row>
    <row r="11" spans="1:14">
      <c r="A11" s="130"/>
      <c r="B11" s="139" t="s">
        <v>29</v>
      </c>
      <c r="C11" s="140">
        <v>48</v>
      </c>
      <c r="D11" s="141">
        <v>96</v>
      </c>
      <c r="E11" s="140"/>
      <c r="F11" s="141"/>
      <c r="G11" s="163">
        <f t="shared" ref="G11:G40" si="0">SUM(C11+E11)</f>
        <v>48</v>
      </c>
      <c r="H11" s="141">
        <f t="shared" ref="H11:H14" si="1">D11+F11</f>
        <v>96</v>
      </c>
      <c r="I11" s="138">
        <v>918</v>
      </c>
      <c r="J11" s="130"/>
      <c r="K11" s="130"/>
      <c r="L11" s="130"/>
      <c r="M11" s="130"/>
      <c r="N11" s="130"/>
    </row>
    <row r="12" spans="1:14">
      <c r="A12" s="130"/>
      <c r="B12" s="139" t="s">
        <v>30</v>
      </c>
      <c r="C12" s="140">
        <v>64</v>
      </c>
      <c r="D12" s="141">
        <v>128</v>
      </c>
      <c r="E12" s="140"/>
      <c r="F12" s="141"/>
      <c r="G12" s="163">
        <f t="shared" si="0"/>
        <v>64</v>
      </c>
      <c r="H12" s="141">
        <f t="shared" si="1"/>
        <v>128</v>
      </c>
      <c r="I12" s="138">
        <v>918</v>
      </c>
      <c r="J12" s="130"/>
      <c r="K12" s="130"/>
      <c r="L12" s="130"/>
      <c r="M12" s="130"/>
      <c r="N12" s="130"/>
    </row>
    <row r="13" spans="1:14">
      <c r="A13" s="130"/>
      <c r="B13" s="139" t="s">
        <v>31</v>
      </c>
      <c r="C13" s="140">
        <v>70</v>
      </c>
      <c r="D13" s="141">
        <v>146</v>
      </c>
      <c r="E13" s="140"/>
      <c r="F13" s="141"/>
      <c r="G13" s="163">
        <f t="shared" si="0"/>
        <v>70</v>
      </c>
      <c r="H13" s="141">
        <f t="shared" si="1"/>
        <v>146</v>
      </c>
      <c r="I13" s="138">
        <v>918</v>
      </c>
      <c r="J13" s="130"/>
      <c r="K13" s="130"/>
      <c r="L13" s="130"/>
      <c r="M13" s="130"/>
      <c r="N13" s="130"/>
    </row>
    <row r="14" spans="1:14">
      <c r="A14" s="130"/>
      <c r="B14" s="139" t="s">
        <v>32</v>
      </c>
      <c r="C14" s="140">
        <v>80</v>
      </c>
      <c r="D14" s="141">
        <v>171</v>
      </c>
      <c r="E14" s="140"/>
      <c r="F14" s="141"/>
      <c r="G14" s="163">
        <f t="shared" si="0"/>
        <v>80</v>
      </c>
      <c r="H14" s="141">
        <f t="shared" si="1"/>
        <v>171</v>
      </c>
      <c r="I14" s="138">
        <v>918</v>
      </c>
      <c r="J14" s="130"/>
      <c r="K14" s="130"/>
      <c r="L14" s="130"/>
      <c r="M14" s="130"/>
      <c r="N14" s="130"/>
    </row>
    <row r="15" spans="1:14">
      <c r="A15" s="130"/>
      <c r="B15" s="139" t="s">
        <v>33</v>
      </c>
      <c r="C15" s="140">
        <v>73</v>
      </c>
      <c r="D15" s="141">
        <v>142</v>
      </c>
      <c r="E15" s="140"/>
      <c r="F15" s="141"/>
      <c r="G15" s="163">
        <f t="shared" si="0"/>
        <v>73</v>
      </c>
      <c r="H15" s="141">
        <f t="shared" ref="H15:H40" si="2">D15+F15</f>
        <v>142</v>
      </c>
      <c r="I15" s="138">
        <v>918</v>
      </c>
      <c r="J15" s="130"/>
      <c r="K15" s="130"/>
      <c r="L15" s="130"/>
      <c r="M15" s="130"/>
      <c r="N15" s="130"/>
    </row>
    <row r="16" spans="1:14">
      <c r="A16" s="130"/>
      <c r="B16" s="139" t="s">
        <v>34</v>
      </c>
      <c r="C16" s="140">
        <v>59</v>
      </c>
      <c r="D16" s="141">
        <v>114</v>
      </c>
      <c r="E16" s="140"/>
      <c r="F16" s="141"/>
      <c r="G16" s="163">
        <f t="shared" si="0"/>
        <v>59</v>
      </c>
      <c r="H16" s="141">
        <f t="shared" si="2"/>
        <v>114</v>
      </c>
      <c r="I16" s="138">
        <v>918</v>
      </c>
      <c r="J16" s="130"/>
      <c r="K16" s="130"/>
      <c r="L16" s="130"/>
      <c r="M16" s="130"/>
      <c r="N16" s="130"/>
    </row>
    <row r="17" spans="1:14">
      <c r="A17" s="130"/>
      <c r="B17" s="139" t="s">
        <v>35</v>
      </c>
      <c r="C17" s="140">
        <v>52</v>
      </c>
      <c r="D17" s="141">
        <v>95</v>
      </c>
      <c r="E17" s="140"/>
      <c r="F17" s="141"/>
      <c r="G17" s="163">
        <f t="shared" si="0"/>
        <v>52</v>
      </c>
      <c r="H17" s="141">
        <f t="shared" si="2"/>
        <v>95</v>
      </c>
      <c r="I17" s="138">
        <v>918</v>
      </c>
      <c r="J17" s="130"/>
      <c r="K17" s="130"/>
      <c r="L17" s="130"/>
      <c r="M17" s="130"/>
      <c r="N17" s="130"/>
    </row>
    <row r="18" spans="1:14">
      <c r="A18" s="130"/>
      <c r="B18" s="139" t="s">
        <v>36</v>
      </c>
      <c r="C18" s="140">
        <v>47</v>
      </c>
      <c r="D18" s="141">
        <v>90</v>
      </c>
      <c r="E18" s="140"/>
      <c r="F18" s="141"/>
      <c r="G18" s="163">
        <f t="shared" si="0"/>
        <v>47</v>
      </c>
      <c r="H18" s="141">
        <f t="shared" si="2"/>
        <v>90</v>
      </c>
      <c r="I18" s="138">
        <v>918</v>
      </c>
      <c r="J18" s="130"/>
      <c r="K18" s="130"/>
      <c r="L18" s="130"/>
      <c r="M18" s="130"/>
      <c r="N18" s="130"/>
    </row>
    <row r="19" spans="1:14">
      <c r="A19" s="130"/>
      <c r="B19" s="139" t="s">
        <v>37</v>
      </c>
      <c r="C19" s="140">
        <v>68</v>
      </c>
      <c r="D19" s="141">
        <v>129</v>
      </c>
      <c r="E19" s="140"/>
      <c r="F19" s="141"/>
      <c r="G19" s="163">
        <f t="shared" si="0"/>
        <v>68</v>
      </c>
      <c r="H19" s="141">
        <f t="shared" si="2"/>
        <v>129</v>
      </c>
      <c r="I19" s="138">
        <v>918</v>
      </c>
      <c r="J19" s="130"/>
      <c r="K19" s="130"/>
      <c r="L19" s="130"/>
      <c r="M19" s="130"/>
      <c r="N19" s="130"/>
    </row>
    <row r="20" spans="1:14">
      <c r="A20" s="130"/>
      <c r="B20" s="139" t="s">
        <v>38</v>
      </c>
      <c r="C20" s="140">
        <v>91</v>
      </c>
      <c r="D20" s="141">
        <v>174</v>
      </c>
      <c r="E20" s="140"/>
      <c r="F20" s="141"/>
      <c r="G20" s="163">
        <f t="shared" si="0"/>
        <v>91</v>
      </c>
      <c r="H20" s="141">
        <f t="shared" si="2"/>
        <v>174</v>
      </c>
      <c r="I20" s="138">
        <v>918</v>
      </c>
      <c r="J20" s="130"/>
      <c r="K20" s="130"/>
      <c r="L20" s="130"/>
      <c r="M20" s="130"/>
      <c r="N20" s="130"/>
    </row>
    <row r="21" spans="1:14">
      <c r="A21" s="130"/>
      <c r="B21" s="139" t="s">
        <v>39</v>
      </c>
      <c r="C21" s="140">
        <v>130</v>
      </c>
      <c r="D21" s="141">
        <v>259</v>
      </c>
      <c r="E21" s="163"/>
      <c r="F21" s="141"/>
      <c r="G21" s="163">
        <f t="shared" ref="G21:G34" si="3">SUM(C21+E21)</f>
        <v>130</v>
      </c>
      <c r="H21" s="141">
        <f t="shared" ref="H21:H34" si="4">D21+F21</f>
        <v>259</v>
      </c>
      <c r="I21" s="138">
        <v>918</v>
      </c>
      <c r="J21" s="130"/>
      <c r="K21" s="130"/>
      <c r="L21" s="130"/>
      <c r="M21" s="130"/>
      <c r="N21" s="130"/>
    </row>
    <row r="22" spans="1:14">
      <c r="A22" s="130"/>
      <c r="B22" s="139" t="s">
        <v>40</v>
      </c>
      <c r="C22" s="140">
        <v>102</v>
      </c>
      <c r="D22" s="141">
        <v>196</v>
      </c>
      <c r="E22" s="163"/>
      <c r="F22" s="141"/>
      <c r="G22" s="163">
        <f t="shared" si="3"/>
        <v>102</v>
      </c>
      <c r="H22" s="141">
        <f t="shared" si="4"/>
        <v>196</v>
      </c>
      <c r="I22" s="138">
        <v>918</v>
      </c>
      <c r="J22" s="130"/>
      <c r="K22" s="130"/>
      <c r="L22" s="130"/>
      <c r="M22" s="130"/>
      <c r="N22" s="130"/>
    </row>
    <row r="23" spans="1:14">
      <c r="A23" s="130"/>
      <c r="B23" s="139" t="s">
        <v>41</v>
      </c>
      <c r="C23" s="140">
        <v>70</v>
      </c>
      <c r="D23" s="141">
        <v>135</v>
      </c>
      <c r="E23" s="163"/>
      <c r="F23" s="141"/>
      <c r="G23" s="163">
        <f t="shared" si="3"/>
        <v>70</v>
      </c>
      <c r="H23" s="141">
        <f t="shared" si="4"/>
        <v>135</v>
      </c>
      <c r="I23" s="138">
        <v>918</v>
      </c>
      <c r="J23" s="130"/>
      <c r="K23" s="130"/>
      <c r="L23" s="130"/>
      <c r="M23" s="130"/>
      <c r="N23" s="130"/>
    </row>
    <row r="24" spans="1:14">
      <c r="A24" s="130"/>
      <c r="B24" s="139" t="s">
        <v>42</v>
      </c>
      <c r="C24" s="140">
        <v>83</v>
      </c>
      <c r="D24" s="141">
        <v>161</v>
      </c>
      <c r="E24" s="163"/>
      <c r="F24" s="141"/>
      <c r="G24" s="163">
        <f t="shared" si="3"/>
        <v>83</v>
      </c>
      <c r="H24" s="141">
        <f t="shared" si="4"/>
        <v>161</v>
      </c>
      <c r="I24" s="138">
        <v>918</v>
      </c>
      <c r="J24" s="130"/>
      <c r="K24" s="130"/>
      <c r="L24" s="130"/>
      <c r="M24" s="130"/>
      <c r="N24" s="130"/>
    </row>
    <row r="25" spans="1:14">
      <c r="A25" s="130"/>
      <c r="B25" s="139" t="s">
        <v>43</v>
      </c>
      <c r="C25" s="140">
        <v>94</v>
      </c>
      <c r="D25" s="141">
        <v>181</v>
      </c>
      <c r="E25" s="163"/>
      <c r="F25" s="141"/>
      <c r="G25" s="163">
        <f t="shared" si="3"/>
        <v>94</v>
      </c>
      <c r="H25" s="141">
        <f t="shared" si="4"/>
        <v>181</v>
      </c>
      <c r="I25" s="138">
        <v>918</v>
      </c>
      <c r="J25" s="130"/>
      <c r="K25" s="130"/>
      <c r="L25" s="130"/>
      <c r="M25" s="130"/>
      <c r="N25" s="130"/>
    </row>
    <row r="26" spans="1:14">
      <c r="A26" s="130"/>
      <c r="B26" s="139" t="s">
        <v>44</v>
      </c>
      <c r="C26" s="140">
        <v>90</v>
      </c>
      <c r="D26" s="141">
        <v>171</v>
      </c>
      <c r="E26" s="163"/>
      <c r="F26" s="141"/>
      <c r="G26" s="163">
        <f t="shared" si="3"/>
        <v>90</v>
      </c>
      <c r="H26" s="141">
        <f t="shared" si="4"/>
        <v>171</v>
      </c>
      <c r="I26" s="138">
        <v>918</v>
      </c>
      <c r="J26" s="130"/>
      <c r="K26" s="130"/>
      <c r="L26" s="130"/>
      <c r="M26" s="130"/>
      <c r="N26" s="130"/>
    </row>
    <row r="27" spans="1:14">
      <c r="A27" s="130"/>
      <c r="B27" s="139" t="s">
        <v>45</v>
      </c>
      <c r="C27" s="140">
        <v>122</v>
      </c>
      <c r="D27" s="141">
        <v>245</v>
      </c>
      <c r="E27" s="163"/>
      <c r="F27" s="141"/>
      <c r="G27" s="163">
        <f t="shared" si="3"/>
        <v>122</v>
      </c>
      <c r="H27" s="141">
        <f t="shared" si="4"/>
        <v>245</v>
      </c>
      <c r="I27" s="138">
        <v>918</v>
      </c>
      <c r="J27" s="130"/>
      <c r="K27" s="130"/>
      <c r="L27" s="130"/>
      <c r="M27" s="130"/>
      <c r="N27" s="130"/>
    </row>
    <row r="28" spans="1:14">
      <c r="A28" s="130"/>
      <c r="B28" s="139" t="s">
        <v>46</v>
      </c>
      <c r="C28" s="140">
        <v>133</v>
      </c>
      <c r="D28" s="141">
        <v>263</v>
      </c>
      <c r="E28" s="163"/>
      <c r="F28" s="141"/>
      <c r="G28" s="163">
        <f t="shared" si="3"/>
        <v>133</v>
      </c>
      <c r="H28" s="141">
        <f t="shared" si="4"/>
        <v>263</v>
      </c>
      <c r="I28" s="138">
        <v>918</v>
      </c>
      <c r="J28" s="130"/>
      <c r="K28" s="130"/>
      <c r="L28" s="130"/>
      <c r="M28" s="130"/>
      <c r="N28" s="130"/>
    </row>
    <row r="29" spans="1:14">
      <c r="A29" s="130"/>
      <c r="B29" s="139" t="s">
        <v>47</v>
      </c>
      <c r="C29" s="140">
        <v>140</v>
      </c>
      <c r="D29" s="141">
        <v>289</v>
      </c>
      <c r="E29" s="163"/>
      <c r="F29" s="141"/>
      <c r="G29" s="163">
        <f t="shared" si="3"/>
        <v>140</v>
      </c>
      <c r="H29" s="141">
        <f t="shared" si="4"/>
        <v>289</v>
      </c>
      <c r="I29" s="138">
        <v>918</v>
      </c>
      <c r="J29" s="130"/>
      <c r="K29" s="130"/>
      <c r="L29" s="130"/>
      <c r="M29" s="130"/>
      <c r="N29" s="130"/>
    </row>
    <row r="30" spans="1:14">
      <c r="A30" s="130"/>
      <c r="B30" s="139" t="s">
        <v>48</v>
      </c>
      <c r="C30" s="140">
        <v>136</v>
      </c>
      <c r="D30" s="141">
        <v>281</v>
      </c>
      <c r="E30" s="163"/>
      <c r="F30" s="141"/>
      <c r="G30" s="163">
        <f t="shared" si="3"/>
        <v>136</v>
      </c>
      <c r="H30" s="141">
        <f t="shared" si="4"/>
        <v>281</v>
      </c>
      <c r="I30" s="138">
        <v>918</v>
      </c>
      <c r="J30" s="130"/>
      <c r="K30" s="130"/>
      <c r="L30" s="130"/>
      <c r="M30" s="130"/>
      <c r="N30" s="130"/>
    </row>
    <row r="31" spans="1:14">
      <c r="A31" s="130"/>
      <c r="B31" s="139" t="s">
        <v>49</v>
      </c>
      <c r="C31" s="140">
        <v>151</v>
      </c>
      <c r="D31" s="141">
        <v>322</v>
      </c>
      <c r="E31" s="163"/>
      <c r="F31" s="141"/>
      <c r="G31" s="163">
        <f t="shared" si="3"/>
        <v>151</v>
      </c>
      <c r="H31" s="141">
        <f t="shared" si="4"/>
        <v>322</v>
      </c>
      <c r="I31" s="138">
        <v>918</v>
      </c>
      <c r="J31" s="130"/>
      <c r="K31" s="130"/>
      <c r="L31" s="130"/>
      <c r="M31" s="130"/>
      <c r="N31" s="130"/>
    </row>
    <row r="32" spans="1:14">
      <c r="A32" s="130"/>
      <c r="B32" s="139" t="s">
        <v>50</v>
      </c>
      <c r="C32" s="140">
        <v>66</v>
      </c>
      <c r="D32" s="141">
        <v>146</v>
      </c>
      <c r="E32" s="163"/>
      <c r="F32" s="141"/>
      <c r="G32" s="163">
        <f t="shared" si="3"/>
        <v>66</v>
      </c>
      <c r="H32" s="141">
        <f t="shared" si="4"/>
        <v>146</v>
      </c>
      <c r="I32" s="138">
        <v>918</v>
      </c>
      <c r="J32" s="130"/>
      <c r="K32" s="130"/>
      <c r="L32" s="130"/>
      <c r="M32" s="130"/>
      <c r="N32" s="130"/>
    </row>
    <row r="33" spans="1:14">
      <c r="A33" s="130"/>
      <c r="B33" s="139" t="s">
        <v>51</v>
      </c>
      <c r="C33" s="140">
        <v>134</v>
      </c>
      <c r="D33" s="141">
        <v>274</v>
      </c>
      <c r="E33" s="163"/>
      <c r="F33" s="141"/>
      <c r="G33" s="163">
        <f t="shared" si="3"/>
        <v>134</v>
      </c>
      <c r="H33" s="141">
        <f t="shared" si="4"/>
        <v>274</v>
      </c>
      <c r="I33" s="138">
        <v>918</v>
      </c>
      <c r="J33" s="130"/>
      <c r="K33" s="130"/>
      <c r="L33" s="130"/>
      <c r="M33" s="130"/>
      <c r="N33" s="130"/>
    </row>
    <row r="34" spans="1:14">
      <c r="A34" s="130"/>
      <c r="B34" s="139" t="s">
        <v>52</v>
      </c>
      <c r="C34" s="140">
        <v>149</v>
      </c>
      <c r="D34" s="141">
        <v>315</v>
      </c>
      <c r="E34" s="163"/>
      <c r="F34" s="141"/>
      <c r="G34" s="163">
        <f t="shared" si="3"/>
        <v>149</v>
      </c>
      <c r="H34" s="141">
        <f t="shared" si="4"/>
        <v>315</v>
      </c>
      <c r="I34" s="138">
        <v>918</v>
      </c>
      <c r="J34" s="130"/>
      <c r="K34" s="130"/>
      <c r="L34" s="130"/>
      <c r="M34" s="130"/>
      <c r="N34" s="130"/>
    </row>
    <row r="35" spans="1:14">
      <c r="A35" s="130"/>
      <c r="B35" s="139" t="s">
        <v>53</v>
      </c>
      <c r="C35" s="140">
        <v>88</v>
      </c>
      <c r="D35" s="141">
        <v>184</v>
      </c>
      <c r="E35" s="140"/>
      <c r="F35" s="141"/>
      <c r="G35" s="163">
        <f t="shared" si="0"/>
        <v>88</v>
      </c>
      <c r="H35" s="141">
        <f t="shared" si="2"/>
        <v>184</v>
      </c>
      <c r="I35" s="138">
        <v>918</v>
      </c>
      <c r="J35" s="130"/>
      <c r="K35" s="130"/>
      <c r="L35" s="130"/>
      <c r="M35" s="130"/>
      <c r="N35" s="130"/>
    </row>
    <row r="36" spans="1:14">
      <c r="A36" s="130"/>
      <c r="B36" s="139" t="s">
        <v>54</v>
      </c>
      <c r="C36" s="140">
        <v>95</v>
      </c>
      <c r="D36" s="141">
        <v>190</v>
      </c>
      <c r="E36" s="140"/>
      <c r="F36" s="141"/>
      <c r="G36" s="163">
        <f t="shared" si="0"/>
        <v>95</v>
      </c>
      <c r="H36" s="141">
        <f t="shared" si="2"/>
        <v>190</v>
      </c>
      <c r="I36" s="138">
        <v>918</v>
      </c>
      <c r="J36" s="130"/>
      <c r="K36" s="130"/>
      <c r="L36" s="130"/>
      <c r="M36" s="130"/>
      <c r="N36" s="130"/>
    </row>
    <row r="37" spans="1:14">
      <c r="A37" s="130"/>
      <c r="B37" s="139" t="s">
        <v>55</v>
      </c>
      <c r="C37" s="140">
        <v>82</v>
      </c>
      <c r="D37" s="141">
        <v>172</v>
      </c>
      <c r="E37" s="140"/>
      <c r="F37" s="141"/>
      <c r="G37" s="163">
        <f t="shared" si="0"/>
        <v>82</v>
      </c>
      <c r="H37" s="141">
        <f t="shared" si="2"/>
        <v>172</v>
      </c>
      <c r="I37" s="138">
        <v>918</v>
      </c>
      <c r="J37" s="130"/>
      <c r="K37" s="130"/>
      <c r="L37" s="130"/>
      <c r="M37" s="130"/>
      <c r="N37" s="130"/>
    </row>
    <row r="38" spans="1:14" s="177" customFormat="1">
      <c r="A38" s="171"/>
      <c r="B38" s="172" t="s">
        <v>56</v>
      </c>
      <c r="C38" s="173">
        <v>71</v>
      </c>
      <c r="D38" s="174">
        <v>146</v>
      </c>
      <c r="E38" s="173"/>
      <c r="F38" s="174"/>
      <c r="G38" s="175">
        <f t="shared" si="0"/>
        <v>71</v>
      </c>
      <c r="H38" s="174">
        <f t="shared" si="2"/>
        <v>146</v>
      </c>
      <c r="I38" s="176">
        <v>918</v>
      </c>
      <c r="J38" s="171"/>
      <c r="K38" s="171"/>
      <c r="L38" s="171"/>
      <c r="M38" s="171"/>
      <c r="N38" s="171"/>
    </row>
    <row r="39" spans="1:14" s="177" customFormat="1">
      <c r="A39" s="171"/>
      <c r="B39" s="172" t="s">
        <v>57</v>
      </c>
      <c r="C39" s="173">
        <v>75</v>
      </c>
      <c r="D39" s="174">
        <v>156</v>
      </c>
      <c r="E39" s="173"/>
      <c r="F39" s="174"/>
      <c r="G39" s="175">
        <f t="shared" si="0"/>
        <v>75</v>
      </c>
      <c r="H39" s="174">
        <f t="shared" si="2"/>
        <v>156</v>
      </c>
      <c r="I39" s="176">
        <v>918</v>
      </c>
      <c r="J39" s="171"/>
      <c r="K39" s="171"/>
      <c r="L39" s="171"/>
      <c r="M39" s="171"/>
      <c r="N39" s="171"/>
    </row>
    <row r="40" spans="1:14" s="177" customFormat="1" ht="15.75" thickBot="1">
      <c r="A40" s="171"/>
      <c r="B40" s="172" t="s">
        <v>402</v>
      </c>
      <c r="C40" s="178">
        <v>155</v>
      </c>
      <c r="D40" s="179">
        <v>330</v>
      </c>
      <c r="E40" s="178"/>
      <c r="F40" s="179"/>
      <c r="G40" s="180">
        <f t="shared" si="0"/>
        <v>155</v>
      </c>
      <c r="H40" s="179">
        <f t="shared" si="2"/>
        <v>330</v>
      </c>
      <c r="I40" s="176">
        <v>918</v>
      </c>
      <c r="J40" s="171"/>
      <c r="K40" s="171"/>
      <c r="L40" s="171"/>
      <c r="M40" s="171"/>
      <c r="N40" s="171"/>
    </row>
    <row r="41" spans="1:14">
      <c r="C41" s="3">
        <f>SUM(C10:C40)</f>
        <v>2881</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0">
        <f>'Athens Daily - EL'!AK8</f>
        <v>251350</v>
      </c>
      <c r="F2" s="100"/>
      <c r="G2" s="100">
        <f>'Athens Daily - Gas'!BH9</f>
        <v>111623.87200000422</v>
      </c>
      <c r="H2" s="100">
        <f>G2/38.3</f>
        <v>2914.4614099217815</v>
      </c>
      <c r="I2" s="100"/>
      <c r="J2" s="100">
        <f>'Athens Daily - Water'!R7</f>
        <v>385.51446666665652</v>
      </c>
      <c r="K2" s="100"/>
      <c r="L2" s="101">
        <v>142</v>
      </c>
      <c r="M2" s="100">
        <f>L2*2</f>
        <v>284</v>
      </c>
      <c r="N2" s="98">
        <v>10</v>
      </c>
    </row>
    <row r="3" spans="1:14">
      <c r="A3" s="7" t="s">
        <v>14</v>
      </c>
      <c r="B3" s="7">
        <v>2</v>
      </c>
      <c r="C3" s="7">
        <v>1</v>
      </c>
      <c r="D3" s="7">
        <v>2021</v>
      </c>
      <c r="E3" s="100">
        <f>'Athens Daily - EL'!AK9</f>
        <v>245585</v>
      </c>
      <c r="F3" s="100"/>
      <c r="G3" s="100">
        <f>'Athens Daily - Gas'!BH10</f>
        <v>107595.0986666731</v>
      </c>
      <c r="H3" s="100">
        <f t="shared" ref="H3:H32" si="0">G3/38.3</f>
        <v>2809.2715056572615</v>
      </c>
      <c r="I3" s="100"/>
      <c r="J3" s="100">
        <f>'Athens Daily - Water'!R8</f>
        <v>371.69241111112387</v>
      </c>
      <c r="K3" s="100"/>
      <c r="L3" s="101">
        <v>102</v>
      </c>
      <c r="M3" s="100">
        <f t="shared" ref="M3:M32" si="1">L3*2</f>
        <v>204</v>
      </c>
      <c r="N3" s="98">
        <v>12</v>
      </c>
    </row>
    <row r="4" spans="1:14">
      <c r="A4" s="7" t="s">
        <v>14</v>
      </c>
      <c r="B4" s="7">
        <v>3</v>
      </c>
      <c r="C4" s="7">
        <v>1</v>
      </c>
      <c r="D4" s="7">
        <v>2021</v>
      </c>
      <c r="E4" s="100">
        <f>'Athens Daily - EL'!AK10</f>
        <v>244155</v>
      </c>
      <c r="F4" s="100"/>
      <c r="G4" s="100">
        <f>'Athens Daily - Gas'!BH11</f>
        <v>115652.64533332273</v>
      </c>
      <c r="H4" s="100">
        <f t="shared" si="0"/>
        <v>3019.6513141859723</v>
      </c>
      <c r="I4" s="100"/>
      <c r="J4" s="100">
        <f>'Athens Daily - Water'!R9</f>
        <v>401.46252222221938</v>
      </c>
      <c r="K4" s="100"/>
      <c r="L4" s="101">
        <v>55</v>
      </c>
      <c r="M4" s="100">
        <f t="shared" si="1"/>
        <v>110</v>
      </c>
      <c r="N4" s="98">
        <v>15</v>
      </c>
    </row>
    <row r="5" spans="1:14">
      <c r="A5" s="7" t="s">
        <v>14</v>
      </c>
      <c r="B5" s="7">
        <v>4</v>
      </c>
      <c r="C5" s="7">
        <v>1</v>
      </c>
      <c r="D5" s="7">
        <v>2021</v>
      </c>
      <c r="E5" s="100">
        <f>'Athens Daily - EL'!AK11</f>
        <v>243930</v>
      </c>
      <c r="F5" s="100"/>
      <c r="G5" s="100">
        <f>'Athens Daily - Gas'!BH12</f>
        <v>99537.552000000229</v>
      </c>
      <c r="H5" s="100">
        <f t="shared" si="0"/>
        <v>2598.8916971279436</v>
      </c>
      <c r="I5" s="100"/>
      <c r="J5" s="100">
        <f>'Athens Daily - Water'!R10</f>
        <v>354.55289999999968</v>
      </c>
      <c r="K5" s="100"/>
      <c r="L5" s="101">
        <v>45</v>
      </c>
      <c r="M5" s="100">
        <f t="shared" si="1"/>
        <v>90</v>
      </c>
      <c r="N5" s="98">
        <v>17</v>
      </c>
    </row>
    <row r="6" spans="1:14">
      <c r="A6" s="7" t="s">
        <v>14</v>
      </c>
      <c r="B6" s="7">
        <v>5</v>
      </c>
      <c r="C6" s="7">
        <v>1</v>
      </c>
      <c r="D6" s="7">
        <v>2021</v>
      </c>
      <c r="E6" s="100">
        <f>'Athens Daily - EL'!AK12</f>
        <v>235520</v>
      </c>
      <c r="F6" s="100"/>
      <c r="G6" s="100">
        <f>'Athens Daily - Gas'!BH13</f>
        <v>120402.76800000001</v>
      </c>
      <c r="H6" s="100">
        <f t="shared" si="0"/>
        <v>3143.6754046997394</v>
      </c>
      <c r="I6" s="100"/>
      <c r="J6" s="100">
        <f>'Athens Daily - Water'!R11</f>
        <v>378.94930000000022</v>
      </c>
      <c r="K6" s="100"/>
      <c r="L6" s="101">
        <v>34</v>
      </c>
      <c r="M6" s="100">
        <f t="shared" si="1"/>
        <v>68</v>
      </c>
      <c r="N6" s="98">
        <v>15</v>
      </c>
    </row>
    <row r="7" spans="1:14">
      <c r="A7" s="7" t="s">
        <v>14</v>
      </c>
      <c r="B7" s="7">
        <v>6</v>
      </c>
      <c r="C7" s="7">
        <v>1</v>
      </c>
      <c r="D7" s="7">
        <v>2021</v>
      </c>
      <c r="E7" s="100">
        <f>'Athens Daily - EL'!AK13</f>
        <v>238195</v>
      </c>
      <c r="F7" s="100"/>
      <c r="G7" s="100">
        <f>'Athens Daily - Gas'!BH14</f>
        <v>134207.75999999989</v>
      </c>
      <c r="H7" s="100">
        <f t="shared" si="0"/>
        <v>3504.1190600522168</v>
      </c>
      <c r="I7" s="100"/>
      <c r="J7" s="100">
        <f>'Athens Daily - Water'!R12</f>
        <v>361.21569999999974</v>
      </c>
      <c r="K7" s="100"/>
      <c r="L7" s="101">
        <v>36</v>
      </c>
      <c r="M7" s="100">
        <f t="shared" si="1"/>
        <v>72</v>
      </c>
      <c r="N7" s="98"/>
    </row>
    <row r="8" spans="1:14">
      <c r="A8" s="7" t="s">
        <v>14</v>
      </c>
      <c r="B8" s="7">
        <v>7</v>
      </c>
      <c r="C8" s="7">
        <v>1</v>
      </c>
      <c r="D8" s="7">
        <v>2021</v>
      </c>
      <c r="E8" s="100">
        <f>'Athens Daily - EL'!AK14</f>
        <v>229775</v>
      </c>
      <c r="F8" s="100"/>
      <c r="G8" s="100">
        <f>'Athens Daily - Gas'!BH15</f>
        <v>121731.07199999978</v>
      </c>
      <c r="H8" s="100">
        <f t="shared" si="0"/>
        <v>3178.3569712793678</v>
      </c>
      <c r="I8" s="100"/>
      <c r="J8" s="100">
        <f>'Athens Daily - Water'!R13</f>
        <v>316.54830000000038</v>
      </c>
      <c r="K8" s="100"/>
      <c r="L8" s="101">
        <v>60</v>
      </c>
      <c r="M8" s="100">
        <f t="shared" si="1"/>
        <v>120</v>
      </c>
      <c r="N8" s="98"/>
    </row>
    <row r="9" spans="1:14">
      <c r="A9" s="7" t="s">
        <v>14</v>
      </c>
      <c r="B9" s="7">
        <v>8</v>
      </c>
      <c r="C9" s="7">
        <v>1</v>
      </c>
      <c r="D9" s="7">
        <v>2021</v>
      </c>
      <c r="E9" s="100">
        <f>'Athens Daily - EL'!AK15</f>
        <v>228595</v>
      </c>
      <c r="F9" s="100"/>
      <c r="G9" s="100">
        <f>'Athens Daily - Gas'!BH16</f>
        <v>113952.04800000004</v>
      </c>
      <c r="H9" s="100">
        <f t="shared" si="0"/>
        <v>2975.2492950391656</v>
      </c>
      <c r="I9" s="100"/>
      <c r="J9" s="100">
        <f>'Athens Daily - Water'!R14</f>
        <v>336.68119999999999</v>
      </c>
      <c r="K9" s="100"/>
      <c r="L9" s="101">
        <v>64</v>
      </c>
      <c r="M9" s="100">
        <f t="shared" si="1"/>
        <v>128</v>
      </c>
      <c r="N9" s="98"/>
    </row>
    <row r="10" spans="1:14">
      <c r="A10" s="7" t="s">
        <v>14</v>
      </c>
      <c r="B10" s="7">
        <v>9</v>
      </c>
      <c r="C10" s="7">
        <v>1</v>
      </c>
      <c r="D10" s="7">
        <v>2021</v>
      </c>
      <c r="E10" s="100">
        <f>'Athens Daily - EL'!AK16</f>
        <v>239920</v>
      </c>
      <c r="F10" s="100"/>
      <c r="G10" s="100">
        <f>'Athens Daily - Gas'!BH17</f>
        <v>96343.680000000168</v>
      </c>
      <c r="H10" s="100">
        <f t="shared" si="0"/>
        <v>2515.5007832898218</v>
      </c>
      <c r="I10" s="100"/>
      <c r="J10" s="100">
        <f>'Athens Daily - Water'!R15</f>
        <v>299.48559999999998</v>
      </c>
      <c r="K10" s="100"/>
      <c r="L10" s="101">
        <v>100</v>
      </c>
      <c r="M10" s="100">
        <f t="shared" si="1"/>
        <v>200</v>
      </c>
      <c r="N10" s="98">
        <v>9</v>
      </c>
    </row>
    <row r="11" spans="1:14">
      <c r="A11" s="7" t="s">
        <v>14</v>
      </c>
      <c r="B11" s="7">
        <v>10</v>
      </c>
      <c r="C11" s="7">
        <v>1</v>
      </c>
      <c r="D11" s="7">
        <v>2021</v>
      </c>
      <c r="E11" s="100">
        <f>'Athens Daily - EL'!AK17</f>
        <v>233165</v>
      </c>
      <c r="F11" s="100"/>
      <c r="G11" s="100">
        <f>'Athens Daily - Gas'!BH18</f>
        <v>100763.32800000021</v>
      </c>
      <c r="H11" s="100">
        <f t="shared" si="0"/>
        <v>2630.8962924282041</v>
      </c>
      <c r="I11" s="100"/>
      <c r="J11" s="100">
        <f>'Athens Daily - Water'!R16</f>
        <v>334.32669999999962</v>
      </c>
      <c r="K11" s="100"/>
      <c r="L11" s="101">
        <v>63</v>
      </c>
      <c r="M11" s="100">
        <f t="shared" si="1"/>
        <v>126</v>
      </c>
      <c r="N11" s="98">
        <v>12</v>
      </c>
    </row>
    <row r="12" spans="1:14">
      <c r="A12" s="7" t="s">
        <v>14</v>
      </c>
      <c r="B12" s="7">
        <v>11</v>
      </c>
      <c r="C12" s="7">
        <v>1</v>
      </c>
      <c r="D12" s="7">
        <v>2021</v>
      </c>
      <c r="E12" s="100">
        <f>'Athens Daily - EL'!AK18</f>
        <v>242365</v>
      </c>
      <c r="F12" s="100"/>
      <c r="G12" s="100">
        <f>'Athens Daily - Gas'!BH19</f>
        <v>97648.99199999962</v>
      </c>
      <c r="H12" s="100">
        <f t="shared" si="0"/>
        <v>2549.5820365535151</v>
      </c>
      <c r="I12" s="100"/>
      <c r="J12" s="100">
        <f>'Athens Daily - Water'!R17</f>
        <v>295.44350000000031</v>
      </c>
      <c r="K12" s="100"/>
      <c r="L12" s="101">
        <v>39</v>
      </c>
      <c r="M12" s="100">
        <f t="shared" si="1"/>
        <v>78</v>
      </c>
      <c r="N12" s="98">
        <v>12</v>
      </c>
    </row>
    <row r="13" spans="1:14">
      <c r="A13" s="7" t="s">
        <v>14</v>
      </c>
      <c r="B13" s="7">
        <v>12</v>
      </c>
      <c r="C13" s="7">
        <v>1</v>
      </c>
      <c r="D13" s="7">
        <v>2021</v>
      </c>
      <c r="E13" s="100">
        <f>'Athens Daily - EL'!AK19</f>
        <v>249750</v>
      </c>
      <c r="F13" s="100"/>
      <c r="G13" s="100">
        <f>'Athens Daily - Gas'!BH20</f>
        <v>105113.76000000047</v>
      </c>
      <c r="H13" s="100">
        <f t="shared" si="0"/>
        <v>2744.4845953002737</v>
      </c>
      <c r="I13" s="100"/>
      <c r="J13" s="100">
        <f>'Athens Daily - Water'!R18</f>
        <v>331.55649999999969</v>
      </c>
      <c r="K13" s="100"/>
      <c r="L13" s="101">
        <v>43</v>
      </c>
      <c r="M13" s="100">
        <f t="shared" si="1"/>
        <v>86</v>
      </c>
      <c r="N13" s="98">
        <v>10</v>
      </c>
    </row>
    <row r="14" spans="1:14">
      <c r="A14" s="7" t="s">
        <v>14</v>
      </c>
      <c r="B14" s="7">
        <v>13</v>
      </c>
      <c r="C14" s="7">
        <v>1</v>
      </c>
      <c r="D14" s="7">
        <v>2021</v>
      </c>
      <c r="E14" s="100">
        <f>'Athens Daily - EL'!AK20</f>
        <v>253380</v>
      </c>
      <c r="F14" s="100"/>
      <c r="G14" s="100">
        <f>'Athens Daily - Gas'!BH21</f>
        <v>108485.85599999959</v>
      </c>
      <c r="H14" s="100">
        <f t="shared" si="0"/>
        <v>2832.5288772845847</v>
      </c>
      <c r="I14" s="100"/>
      <c r="J14" s="100">
        <f>'Athens Daily - Water'!R19</f>
        <v>408.71680000000015</v>
      </c>
      <c r="K14" s="100"/>
      <c r="L14" s="101">
        <v>46</v>
      </c>
      <c r="M14" s="100">
        <f t="shared" si="1"/>
        <v>92</v>
      </c>
      <c r="N14" s="98">
        <v>12</v>
      </c>
    </row>
    <row r="15" spans="1:14">
      <c r="A15" s="7" t="s">
        <v>14</v>
      </c>
      <c r="B15" s="7">
        <v>14</v>
      </c>
      <c r="C15" s="7">
        <v>1</v>
      </c>
      <c r="D15" s="7">
        <v>2021</v>
      </c>
      <c r="E15" s="100">
        <f>'Athens Daily - EL'!AK21</f>
        <v>245125</v>
      </c>
      <c r="F15" s="100"/>
      <c r="G15" s="100">
        <f>'Athens Daily - Gas'!BH22</f>
        <v>111721.34399999998</v>
      </c>
      <c r="H15" s="100">
        <f t="shared" si="0"/>
        <v>2917.0063707571799</v>
      </c>
      <c r="I15" s="100"/>
      <c r="J15" s="100">
        <f>'Athens Daily - Water'!R20</f>
        <v>450.46389999999974</v>
      </c>
      <c r="K15" s="100"/>
      <c r="L15" s="101">
        <v>55</v>
      </c>
      <c r="M15" s="100">
        <f t="shared" si="1"/>
        <v>110</v>
      </c>
      <c r="N15" s="98">
        <v>13</v>
      </c>
    </row>
    <row r="16" spans="1:14">
      <c r="A16" s="7" t="s">
        <v>14</v>
      </c>
      <c r="B16" s="7">
        <v>15</v>
      </c>
      <c r="C16" s="7">
        <v>1</v>
      </c>
      <c r="D16" s="7">
        <v>2021</v>
      </c>
      <c r="E16" s="100">
        <f>'Athens Daily - EL'!AK22</f>
        <v>240250</v>
      </c>
      <c r="F16" s="100"/>
      <c r="G16" s="100">
        <f>'Athens Daily - Gas'!BH23</f>
        <v>112423.82400000015</v>
      </c>
      <c r="H16" s="100">
        <f t="shared" si="0"/>
        <v>2935.3478851174978</v>
      </c>
      <c r="I16" s="100"/>
      <c r="J16" s="100">
        <f>'Athens Daily - Water'!R21</f>
        <v>367.03970000000027</v>
      </c>
      <c r="K16" s="100"/>
      <c r="L16" s="101">
        <v>74</v>
      </c>
      <c r="M16" s="100">
        <f t="shared" si="1"/>
        <v>148</v>
      </c>
      <c r="N16" s="98">
        <v>13</v>
      </c>
    </row>
    <row r="17" spans="1:14">
      <c r="A17" s="7" t="s">
        <v>14</v>
      </c>
      <c r="B17" s="7">
        <v>16</v>
      </c>
      <c r="C17" s="7">
        <v>1</v>
      </c>
      <c r="D17" s="7">
        <v>2021</v>
      </c>
      <c r="E17" s="100">
        <f>'Athens Daily - EL'!AK23</f>
        <v>235970</v>
      </c>
      <c r="F17" s="100"/>
      <c r="G17" s="100">
        <f>'Athens Daily - Gas'!BH24</f>
        <v>135343.72799999994</v>
      </c>
      <c r="H17" s="100">
        <f t="shared" si="0"/>
        <v>3533.7787989556123</v>
      </c>
      <c r="I17" s="100"/>
      <c r="J17" s="100">
        <f>'Athens Daily - Water'!R22</f>
        <v>357.82949999999983</v>
      </c>
      <c r="K17" s="100"/>
      <c r="L17" s="101">
        <v>149</v>
      </c>
      <c r="M17" s="100">
        <f t="shared" si="1"/>
        <v>298</v>
      </c>
      <c r="N17" s="102"/>
    </row>
    <row r="18" spans="1:14">
      <c r="A18" s="7" t="s">
        <v>14</v>
      </c>
      <c r="B18" s="7">
        <v>17</v>
      </c>
      <c r="C18" s="7">
        <v>1</v>
      </c>
      <c r="D18" s="7">
        <v>2021</v>
      </c>
      <c r="E18" s="100">
        <f>'Athens Daily - EL'!AK24</f>
        <v>244985</v>
      </c>
      <c r="F18" s="100"/>
      <c r="G18" s="100">
        <f>'Athens Daily - Gas'!BH25</f>
        <v>130332.28800000041</v>
      </c>
      <c r="H18" s="100">
        <f t="shared" si="0"/>
        <v>3402.9318015665904</v>
      </c>
      <c r="I18" s="100"/>
      <c r="J18" s="100">
        <f>'Athens Daily - Water'!R23</f>
        <v>363</v>
      </c>
      <c r="K18" s="100"/>
      <c r="L18" s="101">
        <v>64</v>
      </c>
      <c r="M18" s="100">
        <f t="shared" si="1"/>
        <v>128</v>
      </c>
      <c r="N18" s="102"/>
    </row>
    <row r="19" spans="1:14">
      <c r="A19" s="7" t="s">
        <v>14</v>
      </c>
      <c r="B19" s="7">
        <v>18</v>
      </c>
      <c r="C19" s="7">
        <v>1</v>
      </c>
      <c r="D19" s="7">
        <v>2021</v>
      </c>
      <c r="E19" s="100">
        <f>'Athens Daily - EL'!AK25</f>
        <v>277440</v>
      </c>
      <c r="F19" s="100"/>
      <c r="G19" s="100">
        <f>'Athens Daily - Gas'!BH26</f>
        <v>129693.88799999985</v>
      </c>
      <c r="H19" s="100">
        <f t="shared" si="0"/>
        <v>3386.2633942558709</v>
      </c>
      <c r="I19" s="100"/>
      <c r="J19" s="100">
        <f>'Athens Daily - Water'!R24</f>
        <v>347.42919999999958</v>
      </c>
      <c r="K19" s="100"/>
      <c r="L19" s="101">
        <v>58</v>
      </c>
      <c r="M19" s="100">
        <f t="shared" si="1"/>
        <v>116</v>
      </c>
      <c r="N19" s="102"/>
    </row>
    <row r="20" spans="1:14">
      <c r="A20" s="7" t="s">
        <v>14</v>
      </c>
      <c r="B20" s="7">
        <v>19</v>
      </c>
      <c r="C20" s="7">
        <v>1</v>
      </c>
      <c r="D20" s="7">
        <v>2021</v>
      </c>
      <c r="E20" s="100">
        <f>'Athens Daily - EL'!AK26</f>
        <v>283960</v>
      </c>
      <c r="F20" s="100"/>
      <c r="G20" s="100">
        <f>'Athens Daily - Gas'!BH27</f>
        <v>125008.79999999958</v>
      </c>
      <c r="H20" s="100">
        <f t="shared" si="0"/>
        <v>3263.9373368146107</v>
      </c>
      <c r="I20" s="100"/>
      <c r="J20" s="100">
        <f>'Athens Daily - Water'!R25</f>
        <v>368.4974000000002</v>
      </c>
      <c r="K20" s="100"/>
      <c r="L20" s="101">
        <v>69</v>
      </c>
      <c r="M20" s="100">
        <f t="shared" si="1"/>
        <v>138</v>
      </c>
      <c r="N20" s="102"/>
    </row>
    <row r="21" spans="1:14">
      <c r="A21" s="7" t="s">
        <v>14</v>
      </c>
      <c r="B21" s="7">
        <v>20</v>
      </c>
      <c r="C21" s="7">
        <v>1</v>
      </c>
      <c r="D21" s="7">
        <v>2021</v>
      </c>
      <c r="E21" s="100">
        <f>'Athens Daily - EL'!AK27</f>
        <v>279420</v>
      </c>
      <c r="F21" s="100"/>
      <c r="G21" s="100">
        <f>'Athens Daily - Gas'!BH28</f>
        <v>134233.92000000039</v>
      </c>
      <c r="H21" s="100">
        <f t="shared" si="0"/>
        <v>3504.8020887728562</v>
      </c>
      <c r="I21" s="100"/>
      <c r="J21" s="100">
        <f>'Athens Daily - Water'!R26</f>
        <v>467.55550000000039</v>
      </c>
      <c r="K21" s="100"/>
      <c r="L21" s="101">
        <v>42</v>
      </c>
      <c r="M21" s="100">
        <f t="shared" si="1"/>
        <v>84</v>
      </c>
      <c r="N21" s="98"/>
    </row>
    <row r="22" spans="1:14">
      <c r="A22" s="7" t="s">
        <v>14</v>
      </c>
      <c r="B22" s="7">
        <v>21</v>
      </c>
      <c r="C22" s="7">
        <v>1</v>
      </c>
      <c r="D22" s="7">
        <v>2021</v>
      </c>
      <c r="E22" s="100">
        <f>'Athens Daily - EL'!AK28</f>
        <v>275620</v>
      </c>
      <c r="F22" s="100"/>
      <c r="G22" s="100">
        <f>'Athens Daily - Gas'!BH29</f>
        <v>135083.75999999989</v>
      </c>
      <c r="H22" s="100">
        <f t="shared" si="0"/>
        <v>3526.9911227154021</v>
      </c>
      <c r="I22" s="100"/>
      <c r="J22" s="100">
        <f>'Athens Daily - Water'!R27</f>
        <v>439.26189999999951</v>
      </c>
      <c r="K22" s="100"/>
      <c r="L22" s="101">
        <v>45</v>
      </c>
      <c r="M22" s="100">
        <f t="shared" si="1"/>
        <v>90</v>
      </c>
      <c r="N22" s="98"/>
    </row>
    <row r="23" spans="1:14">
      <c r="A23" s="7" t="s">
        <v>14</v>
      </c>
      <c r="B23" s="7">
        <v>22</v>
      </c>
      <c r="C23" s="7">
        <v>1</v>
      </c>
      <c r="D23" s="7">
        <v>2021</v>
      </c>
      <c r="E23" s="100">
        <f>'Athens Daily - EL'!AK29</f>
        <v>280400</v>
      </c>
      <c r="F23" s="100"/>
      <c r="G23" s="100">
        <f>'Athens Daily - Gas'!BH30</f>
        <v>136493.90400000004</v>
      </c>
      <c r="H23" s="100">
        <f t="shared" si="0"/>
        <v>3563.8095039164505</v>
      </c>
      <c r="I23" s="100"/>
      <c r="J23" s="100">
        <f>'Athens Daily - Water'!R28</f>
        <v>466.98010000000068</v>
      </c>
      <c r="K23" s="100"/>
      <c r="L23" s="101">
        <v>82</v>
      </c>
      <c r="M23" s="100">
        <f t="shared" si="1"/>
        <v>164</v>
      </c>
      <c r="N23" s="98">
        <v>19</v>
      </c>
    </row>
    <row r="24" spans="1:14">
      <c r="A24" s="7" t="s">
        <v>14</v>
      </c>
      <c r="B24" s="7">
        <v>23</v>
      </c>
      <c r="C24" s="7">
        <v>1</v>
      </c>
      <c r="D24" s="7">
        <v>2021</v>
      </c>
      <c r="E24" s="100">
        <f>'Athens Daily - EL'!AK30</f>
        <v>279225</v>
      </c>
      <c r="F24" s="100"/>
      <c r="G24" s="100">
        <f>'Athens Daily - Gas'!BH31</f>
        <v>129842.16000000005</v>
      </c>
      <c r="H24" s="100">
        <f t="shared" si="0"/>
        <v>3390.1347258485653</v>
      </c>
      <c r="I24" s="100"/>
      <c r="J24" s="100">
        <f>'Athens Daily - Water'!R29</f>
        <v>469.96630000000005</v>
      </c>
      <c r="K24" s="100"/>
      <c r="L24" s="101">
        <v>170</v>
      </c>
      <c r="M24" s="100">
        <f t="shared" si="1"/>
        <v>340</v>
      </c>
      <c r="N24" s="98">
        <v>20</v>
      </c>
    </row>
    <row r="25" spans="1:14">
      <c r="A25" s="7" t="s">
        <v>14</v>
      </c>
      <c r="B25" s="7">
        <v>24</v>
      </c>
      <c r="C25" s="7">
        <v>1</v>
      </c>
      <c r="D25" s="7">
        <v>2021</v>
      </c>
      <c r="E25" s="100">
        <f>'Athens Daily - EL'!AK31</f>
        <v>283865</v>
      </c>
      <c r="F25" s="100"/>
      <c r="G25" s="100">
        <f>'Athens Daily - Gas'!BH32</f>
        <v>130410.09599999967</v>
      </c>
      <c r="H25" s="100">
        <f t="shared" si="0"/>
        <v>3404.9633420365453</v>
      </c>
      <c r="I25" s="100"/>
      <c r="J25" s="100">
        <f>'Athens Daily - Water'!R30</f>
        <v>451.11749999999938</v>
      </c>
      <c r="K25" s="100"/>
      <c r="L25" s="101">
        <v>91</v>
      </c>
      <c r="M25" s="100">
        <f t="shared" si="1"/>
        <v>182</v>
      </c>
      <c r="N25" s="98">
        <v>19</v>
      </c>
    </row>
    <row r="26" spans="1:14">
      <c r="A26" s="7" t="s">
        <v>14</v>
      </c>
      <c r="B26" s="7">
        <v>25</v>
      </c>
      <c r="C26" s="7">
        <v>1</v>
      </c>
      <c r="D26" s="7">
        <v>2021</v>
      </c>
      <c r="E26" s="100">
        <f>'Athens Daily - EL'!AK32</f>
        <v>294420</v>
      </c>
      <c r="F26" s="100"/>
      <c r="G26" s="100">
        <f>'Athens Daily - Gas'!BH33</f>
        <v>124416.71999999983</v>
      </c>
      <c r="H26" s="100">
        <f t="shared" si="0"/>
        <v>3248.4783289817187</v>
      </c>
      <c r="I26" s="100"/>
      <c r="J26" s="100">
        <f>'Athens Daily - Water'!R31</f>
        <v>421.71640000000025</v>
      </c>
      <c r="K26" s="100"/>
      <c r="L26" s="101">
        <v>56</v>
      </c>
      <c r="M26" s="100">
        <f t="shared" si="1"/>
        <v>112</v>
      </c>
      <c r="N26" s="99"/>
    </row>
    <row r="27" spans="1:14">
      <c r="A27" s="7" t="s">
        <v>14</v>
      </c>
      <c r="B27" s="7">
        <v>26</v>
      </c>
      <c r="C27" s="7">
        <v>1</v>
      </c>
      <c r="D27" s="7">
        <v>2021</v>
      </c>
      <c r="E27" s="100">
        <f>'Athens Daily - EL'!AK33</f>
        <v>285695</v>
      </c>
      <c r="F27" s="100"/>
      <c r="G27" s="100">
        <f>'Athens Daily - Gas'!BH34</f>
        <v>131643.2160000006</v>
      </c>
      <c r="H27" s="100">
        <f t="shared" si="0"/>
        <v>3437.1596866840891</v>
      </c>
      <c r="I27" s="100"/>
      <c r="J27" s="100">
        <f>'Athens Daily - Water'!R32</f>
        <v>490.36229999999978</v>
      </c>
      <c r="K27" s="100"/>
      <c r="L27" s="100"/>
      <c r="M27" s="100">
        <f t="shared" si="1"/>
        <v>0</v>
      </c>
      <c r="N27" s="99"/>
    </row>
    <row r="28" spans="1:14">
      <c r="A28" s="7" t="s">
        <v>14</v>
      </c>
      <c r="B28" s="7">
        <v>27</v>
      </c>
      <c r="C28" s="7">
        <v>1</v>
      </c>
      <c r="D28" s="7">
        <v>2021</v>
      </c>
      <c r="E28" s="100">
        <f>'Athens Daily - EL'!AK34</f>
        <v>266665</v>
      </c>
      <c r="F28" s="100"/>
      <c r="G28" s="100">
        <f>'Athens Daily - Gas'!BH35</f>
        <v>126104.6879999997</v>
      </c>
      <c r="H28" s="100">
        <f t="shared" si="0"/>
        <v>3292.5506005221855</v>
      </c>
      <c r="I28" s="100"/>
      <c r="J28" s="100">
        <f>'Athens Daily - Water'!R33</f>
        <v>433.8716000000004</v>
      </c>
      <c r="K28" s="100"/>
      <c r="L28" s="100"/>
      <c r="M28" s="100">
        <f t="shared" si="1"/>
        <v>0</v>
      </c>
      <c r="N28" s="99"/>
    </row>
    <row r="29" spans="1:14">
      <c r="A29" s="7" t="s">
        <v>14</v>
      </c>
      <c r="B29" s="7">
        <v>28</v>
      </c>
      <c r="C29" s="7">
        <v>1</v>
      </c>
      <c r="D29" s="7">
        <v>2021</v>
      </c>
      <c r="E29" s="100">
        <f>'Athens Daily - EL'!AK35</f>
        <v>252220</v>
      </c>
      <c r="F29" s="100"/>
      <c r="G29" s="100">
        <f>'Athens Daily - Gas'!BH36</f>
        <v>117109.82400000015</v>
      </c>
      <c r="H29" s="100">
        <f t="shared" si="0"/>
        <v>3057.6977545691948</v>
      </c>
      <c r="I29" s="100"/>
      <c r="J29" s="100">
        <f>'Athens Daily - Water'!R34</f>
        <v>419.23009999999977</v>
      </c>
      <c r="K29" s="100"/>
      <c r="L29" s="100"/>
      <c r="M29" s="100">
        <f t="shared" si="1"/>
        <v>0</v>
      </c>
      <c r="N29" s="99"/>
    </row>
    <row r="30" spans="1:14">
      <c r="A30" s="7" t="s">
        <v>14</v>
      </c>
      <c r="B30" s="7">
        <v>29</v>
      </c>
      <c r="C30" s="7">
        <v>1</v>
      </c>
      <c r="D30" s="7">
        <v>2021</v>
      </c>
      <c r="E30" s="100">
        <f>'Athens Daily - EL'!AK36</f>
        <v>229620</v>
      </c>
      <c r="F30" s="100"/>
      <c r="G30" s="100">
        <f>'Athens Daily - Gas'!BH37</f>
        <v>105073.2</v>
      </c>
      <c r="H30" s="100">
        <f t="shared" si="0"/>
        <v>2743.4255874673631</v>
      </c>
      <c r="I30" s="100"/>
      <c r="J30" s="100">
        <f>'Athens Daily - Water'!R35</f>
        <v>409.61700000000019</v>
      </c>
      <c r="K30" s="100"/>
      <c r="L30" s="100"/>
      <c r="M30" s="100">
        <f t="shared" si="1"/>
        <v>0</v>
      </c>
      <c r="N30" s="99"/>
    </row>
    <row r="31" spans="1:14">
      <c r="A31" s="7" t="s">
        <v>14</v>
      </c>
      <c r="B31" s="7">
        <v>30</v>
      </c>
      <c r="C31" s="7">
        <v>1</v>
      </c>
      <c r="D31" s="7">
        <v>2021</v>
      </c>
      <c r="E31" s="100">
        <f>'Athens Daily - EL'!AK37</f>
        <v>238395</v>
      </c>
      <c r="F31" s="100"/>
      <c r="G31" s="100">
        <f>'Athens Daily - Gas'!BH38</f>
        <v>111273.74399999957</v>
      </c>
      <c r="H31" s="100">
        <f t="shared" si="0"/>
        <v>2905.3196866840622</v>
      </c>
      <c r="I31" s="100"/>
      <c r="J31" s="100">
        <f>'Athens Daily - Water'!R37</f>
        <v>393.22540000000026</v>
      </c>
      <c r="K31" s="100"/>
      <c r="L31" s="100"/>
      <c r="M31" s="100">
        <f t="shared" si="1"/>
        <v>0</v>
      </c>
      <c r="N31" s="99"/>
    </row>
    <row r="32" spans="1:14">
      <c r="A32" s="7" t="s">
        <v>14</v>
      </c>
      <c r="B32" s="7">
        <v>31</v>
      </c>
      <c r="C32" s="7">
        <v>1</v>
      </c>
      <c r="D32" s="7">
        <v>2021</v>
      </c>
      <c r="E32" s="100">
        <f>'Athens Daily - EL'!AK38</f>
        <v>281850</v>
      </c>
      <c r="F32" s="100"/>
      <c r="G32" s="100">
        <f>'Athens Daily - Gas'!BH39</f>
        <v>134452.17599999998</v>
      </c>
      <c r="H32" s="100">
        <f t="shared" si="0"/>
        <v>3510.5006788511746</v>
      </c>
      <c r="I32" s="100"/>
      <c r="J32" s="100">
        <f>'Athens Daily - Water'!R38</f>
        <v>0</v>
      </c>
      <c r="K32" s="100"/>
      <c r="L32" s="100"/>
      <c r="M32" s="100">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20745</v>
      </c>
      <c r="F2" s="7"/>
      <c r="G2" s="39">
        <f>'Athens Daily - Gas'!BI9</f>
        <v>59388.800000005962</v>
      </c>
      <c r="H2" s="7"/>
      <c r="I2" s="40">
        <f>'Athens Daily - Water'!S7</f>
        <v>161.76666666667151</v>
      </c>
      <c r="J2" s="7"/>
      <c r="K2" s="7">
        <v>286</v>
      </c>
      <c r="L2" s="7">
        <v>2</v>
      </c>
    </row>
    <row r="3" spans="1:12">
      <c r="A3" s="7" t="s">
        <v>14</v>
      </c>
      <c r="B3" s="7">
        <v>2</v>
      </c>
      <c r="C3" s="7">
        <v>1</v>
      </c>
      <c r="D3" s="7">
        <v>2021</v>
      </c>
      <c r="E3" s="7">
        <f>'Athens Daily - EL'!AL9</f>
        <v>21975</v>
      </c>
      <c r="F3" s="7"/>
      <c r="G3" s="39">
        <f>'Athens Daily - Gas'!BI10</f>
        <v>57467.733333337077</v>
      </c>
      <c r="H3" s="7"/>
      <c r="I3" s="40">
        <f>'Athens Daily - Water'!S8</f>
        <v>162.36111111111168</v>
      </c>
      <c r="J3" s="7"/>
      <c r="K3" s="7">
        <v>285</v>
      </c>
      <c r="L3" s="7">
        <v>2</v>
      </c>
    </row>
    <row r="4" spans="1:12">
      <c r="A4" s="7" t="s">
        <v>14</v>
      </c>
      <c r="B4" s="7">
        <v>3</v>
      </c>
      <c r="C4" s="7">
        <v>1</v>
      </c>
      <c r="D4" s="7">
        <v>2021</v>
      </c>
      <c r="E4" s="7">
        <f>'Athens Daily - EL'!AL10</f>
        <v>19925</v>
      </c>
      <c r="F4" s="7"/>
      <c r="G4" s="39">
        <f>'Athens Daily - Gas'!BI11</f>
        <v>61309.86666665697</v>
      </c>
      <c r="H4" s="7"/>
      <c r="I4" s="40">
        <f>'Athens Daily - Water'!S9</f>
        <v>161.17222222221682</v>
      </c>
      <c r="J4" s="7"/>
      <c r="K4" s="7">
        <v>282</v>
      </c>
      <c r="L4" s="7">
        <v>2</v>
      </c>
    </row>
    <row r="5" spans="1:12">
      <c r="A5" s="7" t="s">
        <v>14</v>
      </c>
      <c r="B5" s="7">
        <v>4</v>
      </c>
      <c r="C5" s="7">
        <v>1</v>
      </c>
      <c r="D5" s="7">
        <v>2021</v>
      </c>
      <c r="E5" s="7">
        <f>'Athens Daily - EL'!AL11</f>
        <v>19815</v>
      </c>
      <c r="F5" s="7"/>
      <c r="G5" s="39">
        <f>'Athens Daily - Gas'!BI12</f>
        <v>53625.600000000006</v>
      </c>
      <c r="H5" s="7"/>
      <c r="I5" s="40">
        <f>'Athens Daily - Water'!S10</f>
        <v>163.55000000000001</v>
      </c>
      <c r="J5" s="7"/>
      <c r="K5" s="7">
        <v>284</v>
      </c>
      <c r="L5" s="7">
        <v>2</v>
      </c>
    </row>
    <row r="6" spans="1:12">
      <c r="A6" s="7" t="s">
        <v>14</v>
      </c>
      <c r="B6" s="7">
        <v>5</v>
      </c>
      <c r="C6" s="7">
        <v>1</v>
      </c>
      <c r="D6" s="7">
        <v>2021</v>
      </c>
      <c r="E6" s="7">
        <f>'Athens Daily - EL'!AL12</f>
        <v>22165</v>
      </c>
      <c r="F6" s="7"/>
      <c r="G6" s="39">
        <f>'Athens Daily - Gas'!BI13</f>
        <v>67305.600000000006</v>
      </c>
      <c r="H6" s="7"/>
      <c r="I6" s="40">
        <f>'Athens Daily - Water'!S11</f>
        <v>157.30000000000001</v>
      </c>
      <c r="J6" s="7"/>
      <c r="K6" s="7">
        <v>286</v>
      </c>
      <c r="L6" s="7">
        <v>2</v>
      </c>
    </row>
    <row r="7" spans="1:12">
      <c r="A7" s="7" t="s">
        <v>14</v>
      </c>
      <c r="B7" s="7">
        <v>6</v>
      </c>
      <c r="C7" s="7">
        <v>1</v>
      </c>
      <c r="D7" s="7">
        <v>2021</v>
      </c>
      <c r="E7" s="7">
        <f>'Athens Daily - EL'!AL13</f>
        <v>16210</v>
      </c>
      <c r="F7" s="7"/>
      <c r="G7" s="39">
        <f>'Athens Daily - Gas'!BI14</f>
        <v>72806.399999999994</v>
      </c>
      <c r="H7" s="7"/>
      <c r="I7" s="40">
        <f>'Athens Daily - Water'!S12</f>
        <v>169.3</v>
      </c>
      <c r="J7" s="7"/>
      <c r="K7" s="7">
        <v>288</v>
      </c>
      <c r="L7" s="7">
        <v>2</v>
      </c>
    </row>
    <row r="8" spans="1:12">
      <c r="A8" s="7" t="s">
        <v>14</v>
      </c>
      <c r="B8" s="7">
        <v>7</v>
      </c>
      <c r="C8" s="7">
        <v>1</v>
      </c>
      <c r="D8" s="7">
        <v>2021</v>
      </c>
      <c r="E8" s="7">
        <f>'Athens Daily - EL'!AL14</f>
        <v>19565</v>
      </c>
      <c r="F8" s="7"/>
      <c r="G8" s="39">
        <f>'Athens Daily - Gas'!BI15</f>
        <v>63177.600000000006</v>
      </c>
      <c r="H8" s="7"/>
      <c r="I8" s="40">
        <f>'Athens Daily - Water'!S13</f>
        <v>152.25</v>
      </c>
      <c r="J8" s="7"/>
      <c r="K8" s="7">
        <v>286</v>
      </c>
      <c r="L8" s="7">
        <v>2</v>
      </c>
    </row>
    <row r="9" spans="1:12">
      <c r="A9" s="7" t="s">
        <v>14</v>
      </c>
      <c r="B9" s="7">
        <v>8</v>
      </c>
      <c r="C9" s="7">
        <v>1</v>
      </c>
      <c r="D9" s="7">
        <v>2021</v>
      </c>
      <c r="E9" s="7">
        <f>'Athens Daily - EL'!AL15</f>
        <v>19645</v>
      </c>
      <c r="F9" s="7"/>
      <c r="G9" s="39">
        <f>'Athens Daily - Gas'!BI16</f>
        <v>63177.600000000006</v>
      </c>
      <c r="H9" s="7"/>
      <c r="I9" s="40">
        <f>'Athens Daily - Water'!S14</f>
        <v>159.1</v>
      </c>
      <c r="J9" s="7"/>
      <c r="K9" s="7">
        <v>287</v>
      </c>
      <c r="L9" s="7">
        <v>2</v>
      </c>
    </row>
    <row r="10" spans="1:12">
      <c r="A10" s="7" t="s">
        <v>14</v>
      </c>
      <c r="B10" s="7">
        <v>9</v>
      </c>
      <c r="C10" s="7">
        <v>1</v>
      </c>
      <c r="D10" s="7">
        <v>2021</v>
      </c>
      <c r="E10" s="7">
        <f>'Athens Daily - EL'!AL16</f>
        <v>20130</v>
      </c>
      <c r="F10" s="7"/>
      <c r="G10" s="39">
        <f>'Athens Daily - Gas'!BI17</f>
        <v>51456</v>
      </c>
      <c r="H10" s="7"/>
      <c r="I10" s="40">
        <f>'Athens Daily - Water'!S15</f>
        <v>151.1</v>
      </c>
      <c r="J10" s="7"/>
      <c r="K10" s="7">
        <v>284</v>
      </c>
      <c r="L10" s="7">
        <v>2</v>
      </c>
    </row>
    <row r="11" spans="1:12">
      <c r="A11" s="7" t="s">
        <v>14</v>
      </c>
      <c r="B11" s="7">
        <v>10</v>
      </c>
      <c r="C11" s="7">
        <v>1</v>
      </c>
      <c r="D11" s="7">
        <v>2021</v>
      </c>
      <c r="E11" s="7">
        <f>'Athens Daily - EL'!AL17</f>
        <v>18950</v>
      </c>
      <c r="F11" s="7"/>
      <c r="G11" s="39">
        <f>'Athens Daily - Gas'!BI18</f>
        <v>54624</v>
      </c>
      <c r="H11" s="7"/>
      <c r="I11" s="40">
        <f>'Athens Daily - Water'!S16</f>
        <v>234.05</v>
      </c>
      <c r="J11" s="7"/>
      <c r="K11" s="7">
        <v>284</v>
      </c>
      <c r="L11" s="7">
        <v>2</v>
      </c>
    </row>
    <row r="12" spans="1:12">
      <c r="A12" s="7" t="s">
        <v>14</v>
      </c>
      <c r="B12" s="7">
        <v>11</v>
      </c>
      <c r="C12" s="7">
        <v>1</v>
      </c>
      <c r="D12" s="7">
        <v>2021</v>
      </c>
      <c r="E12" s="7">
        <f>'Athens Daily - EL'!AL18</f>
        <v>19615</v>
      </c>
      <c r="F12" s="7"/>
      <c r="G12" s="39">
        <f>'Athens Daily - Gas'!BI19</f>
        <v>57792</v>
      </c>
      <c r="H12" s="7"/>
      <c r="I12" s="40">
        <f>'Athens Daily - Water'!S17</f>
        <v>177.25</v>
      </c>
      <c r="J12" s="7"/>
      <c r="K12" s="7">
        <v>284</v>
      </c>
      <c r="L12" s="7">
        <v>2</v>
      </c>
    </row>
    <row r="13" spans="1:12">
      <c r="A13" s="7" t="s">
        <v>14</v>
      </c>
      <c r="B13" s="7">
        <v>12</v>
      </c>
      <c r="C13" s="7">
        <v>1</v>
      </c>
      <c r="D13" s="7">
        <v>2021</v>
      </c>
      <c r="E13" s="7">
        <f>'Athens Daily - EL'!AL19</f>
        <v>18795</v>
      </c>
      <c r="F13" s="7"/>
      <c r="G13" s="39">
        <f>'Athens Daily - Gas'!BI20</f>
        <v>61296</v>
      </c>
      <c r="H13" s="7"/>
      <c r="I13" s="40">
        <f>'Athens Daily - Water'!S18</f>
        <v>139.15</v>
      </c>
      <c r="J13" s="7"/>
      <c r="K13" s="7">
        <v>286</v>
      </c>
      <c r="L13" s="7">
        <v>2</v>
      </c>
    </row>
    <row r="14" spans="1:12">
      <c r="A14" s="7" t="s">
        <v>14</v>
      </c>
      <c r="B14" s="7">
        <v>13</v>
      </c>
      <c r="C14" s="7">
        <v>1</v>
      </c>
      <c r="D14" s="7">
        <v>2021</v>
      </c>
      <c r="E14" s="7">
        <f>'Athens Daily - EL'!AL20</f>
        <v>18505</v>
      </c>
      <c r="F14" s="7"/>
      <c r="G14" s="39">
        <f>'Athens Daily - Gas'!BI21</f>
        <v>61718.400000000001</v>
      </c>
      <c r="H14" s="7"/>
      <c r="I14" s="40">
        <f>'Athens Daily - Water'!S19</f>
        <v>143.15</v>
      </c>
      <c r="J14" s="7"/>
      <c r="K14" s="7">
        <v>287</v>
      </c>
      <c r="L14" s="7">
        <v>2</v>
      </c>
    </row>
    <row r="15" spans="1:12">
      <c r="A15" s="7" t="s">
        <v>14</v>
      </c>
      <c r="B15" s="7">
        <v>14</v>
      </c>
      <c r="C15" s="7">
        <v>1</v>
      </c>
      <c r="D15" s="7">
        <v>2021</v>
      </c>
      <c r="E15" s="7">
        <f>'Athens Daily - EL'!AL21</f>
        <v>20745</v>
      </c>
      <c r="F15" s="7"/>
      <c r="G15" s="39">
        <f>'Athens Daily - Gas'!BI22</f>
        <v>61987.200000000004</v>
      </c>
      <c r="H15" s="7"/>
      <c r="I15" s="40">
        <f>'Athens Daily - Water'!S20</f>
        <v>136.15</v>
      </c>
      <c r="J15" s="7"/>
      <c r="K15" s="7">
        <v>287</v>
      </c>
      <c r="L15" s="7">
        <v>2</v>
      </c>
    </row>
    <row r="16" spans="1:12">
      <c r="A16" s="7" t="s">
        <v>14</v>
      </c>
      <c r="B16" s="7">
        <v>15</v>
      </c>
      <c r="C16" s="7">
        <v>1</v>
      </c>
      <c r="D16" s="7">
        <v>2021</v>
      </c>
      <c r="E16" s="7">
        <f>'Athens Daily - EL'!AL22</f>
        <v>21760</v>
      </c>
      <c r="F16" s="7"/>
      <c r="G16" s="39">
        <f>'Athens Daily - Gas'!BI23</f>
        <v>65078.400000000001</v>
      </c>
      <c r="H16" s="7"/>
      <c r="I16" s="40">
        <f>'Athens Daily - Water'!S21</f>
        <v>137.35</v>
      </c>
      <c r="J16" s="7"/>
      <c r="K16" s="7">
        <v>288</v>
      </c>
      <c r="L16" s="7">
        <v>2</v>
      </c>
    </row>
    <row r="17" spans="1:12">
      <c r="A17" s="7" t="s">
        <v>14</v>
      </c>
      <c r="B17" s="7">
        <v>16</v>
      </c>
      <c r="C17" s="7">
        <v>1</v>
      </c>
      <c r="D17" s="7">
        <v>2021</v>
      </c>
      <c r="E17" s="7">
        <f>'Athens Daily - EL'!AL23</f>
        <v>19825</v>
      </c>
      <c r="F17" s="7"/>
      <c r="G17" s="39">
        <f>'Athens Daily - Gas'!BI24</f>
        <v>78844.800000000003</v>
      </c>
      <c r="H17" s="7"/>
      <c r="I17" s="40">
        <f>'Athens Daily - Water'!S22</f>
        <v>140.5</v>
      </c>
      <c r="J17" s="7"/>
      <c r="K17" s="7">
        <v>288</v>
      </c>
      <c r="L17" s="7">
        <v>2</v>
      </c>
    </row>
    <row r="18" spans="1:12">
      <c r="A18" s="7" t="s">
        <v>14</v>
      </c>
      <c r="B18" s="7">
        <v>17</v>
      </c>
      <c r="C18" s="7">
        <v>1</v>
      </c>
      <c r="D18" s="7">
        <v>2021</v>
      </c>
      <c r="E18" s="7">
        <f>'Athens Daily - EL'!AL24</f>
        <v>21040</v>
      </c>
      <c r="F18" s="7"/>
      <c r="G18" s="39">
        <f>'Athens Daily - Gas'!BI25</f>
        <v>76320</v>
      </c>
      <c r="H18" s="7"/>
      <c r="I18" s="40">
        <f>'Athens Daily - Water'!S23</f>
        <v>148.94999999999999</v>
      </c>
      <c r="J18" s="7"/>
      <c r="K18" s="7">
        <v>288</v>
      </c>
      <c r="L18" s="7">
        <v>2</v>
      </c>
    </row>
    <row r="19" spans="1:12">
      <c r="A19" s="7" t="s">
        <v>14</v>
      </c>
      <c r="B19" s="7">
        <v>18</v>
      </c>
      <c r="C19" s="7">
        <v>1</v>
      </c>
      <c r="D19" s="7">
        <v>2021</v>
      </c>
      <c r="E19" s="7">
        <f>'Athens Daily - EL'!AL25</f>
        <v>21190</v>
      </c>
      <c r="F19" s="7"/>
      <c r="G19" s="39">
        <f>'Athens Daily - Gas'!BI26</f>
        <v>74284.800000000003</v>
      </c>
      <c r="H19" s="7"/>
      <c r="I19" s="40">
        <f>'Athens Daily - Water'!S24</f>
        <v>136.35</v>
      </c>
      <c r="J19" s="7"/>
      <c r="K19" s="7">
        <v>291</v>
      </c>
      <c r="L19" s="7">
        <v>2</v>
      </c>
    </row>
    <row r="20" spans="1:12">
      <c r="A20" s="7" t="s">
        <v>14</v>
      </c>
      <c r="B20" s="7">
        <v>19</v>
      </c>
      <c r="C20" s="7">
        <v>1</v>
      </c>
      <c r="D20" s="7">
        <v>2021</v>
      </c>
      <c r="E20" s="7">
        <f>'Athens Daily - EL'!AL26</f>
        <v>20825</v>
      </c>
      <c r="F20" s="7"/>
      <c r="G20" s="39">
        <f>'Athens Daily - Gas'!BI27</f>
        <v>69840</v>
      </c>
      <c r="H20" s="7"/>
      <c r="I20" s="40">
        <f>'Athens Daily - Water'!S25</f>
        <v>138</v>
      </c>
      <c r="J20" s="7"/>
      <c r="K20" s="7">
        <v>290</v>
      </c>
      <c r="L20" s="7">
        <v>2</v>
      </c>
    </row>
    <row r="21" spans="1:12">
      <c r="A21" s="7" t="s">
        <v>14</v>
      </c>
      <c r="B21" s="7">
        <v>20</v>
      </c>
      <c r="C21" s="7">
        <v>1</v>
      </c>
      <c r="D21" s="7">
        <v>2021</v>
      </c>
      <c r="E21" s="7">
        <f>'Athens Daily - EL'!AL27</f>
        <v>20805</v>
      </c>
      <c r="F21" s="7"/>
      <c r="G21" s="39">
        <f>'Athens Daily - Gas'!BI28</f>
        <v>71520</v>
      </c>
      <c r="H21" s="7"/>
      <c r="I21" s="40">
        <f>'Athens Daily - Water'!S26</f>
        <v>171.25</v>
      </c>
      <c r="J21" s="7"/>
      <c r="K21" s="7">
        <v>292</v>
      </c>
      <c r="L21" s="7">
        <v>2</v>
      </c>
    </row>
    <row r="22" spans="1:12">
      <c r="A22" s="7" t="s">
        <v>14</v>
      </c>
      <c r="B22" s="7">
        <v>21</v>
      </c>
      <c r="C22" s="7">
        <v>1</v>
      </c>
      <c r="D22" s="7">
        <v>2021</v>
      </c>
      <c r="E22" s="7">
        <f>'Athens Daily - EL'!AL28</f>
        <v>20390</v>
      </c>
      <c r="F22" s="7"/>
      <c r="G22" s="39">
        <f>'Athens Daily - Gas'!BI29</f>
        <v>73670.399999999994</v>
      </c>
      <c r="H22" s="7"/>
      <c r="I22" s="40">
        <f>'Athens Daily - Water'!S27</f>
        <v>116.1</v>
      </c>
      <c r="J22" s="7"/>
      <c r="K22" s="7">
        <v>293</v>
      </c>
      <c r="L22" s="7">
        <v>2</v>
      </c>
    </row>
    <row r="23" spans="1:12">
      <c r="A23" s="7" t="s">
        <v>14</v>
      </c>
      <c r="B23" s="7">
        <v>22</v>
      </c>
      <c r="C23" s="7">
        <v>1</v>
      </c>
      <c r="D23" s="7">
        <v>2021</v>
      </c>
      <c r="E23" s="7">
        <f>'Athens Daily - EL'!AL29</f>
        <v>21885</v>
      </c>
      <c r="F23" s="7"/>
      <c r="G23" s="39">
        <f>'Athens Daily - Gas'!BI30</f>
        <v>72931.199999999997</v>
      </c>
      <c r="H23" s="7"/>
      <c r="I23" s="40">
        <f>'Athens Daily - Water'!S28</f>
        <v>141.05000000000001</v>
      </c>
      <c r="J23" s="7"/>
      <c r="K23" s="7">
        <v>293</v>
      </c>
      <c r="L23" s="7">
        <v>2</v>
      </c>
    </row>
    <row r="24" spans="1:12">
      <c r="A24" s="7" t="s">
        <v>14</v>
      </c>
      <c r="B24" s="7">
        <v>23</v>
      </c>
      <c r="C24" s="7">
        <v>1</v>
      </c>
      <c r="D24" s="7">
        <v>2021</v>
      </c>
      <c r="E24" s="7">
        <f>'Athens Daily - EL'!AL30</f>
        <v>20735</v>
      </c>
      <c r="F24" s="7"/>
      <c r="G24" s="39">
        <f>'Athens Daily - Gas'!BI31</f>
        <v>70310.399999999994</v>
      </c>
      <c r="H24" s="7"/>
      <c r="I24" s="40">
        <f>'Athens Daily - Water'!S29</f>
        <v>157.69999999999999</v>
      </c>
      <c r="J24" s="7"/>
      <c r="K24" s="7">
        <v>294</v>
      </c>
      <c r="L24" s="7">
        <v>2</v>
      </c>
    </row>
    <row r="25" spans="1:12">
      <c r="A25" s="7" t="s">
        <v>14</v>
      </c>
      <c r="B25" s="7">
        <v>24</v>
      </c>
      <c r="C25" s="7">
        <v>1</v>
      </c>
      <c r="D25" s="7">
        <v>2021</v>
      </c>
      <c r="E25" s="7">
        <f>'Athens Daily - EL'!AL31</f>
        <v>20800</v>
      </c>
      <c r="F25" s="7"/>
      <c r="G25" s="39">
        <f>'Athens Daily - Gas'!BI32</f>
        <v>73584</v>
      </c>
      <c r="H25" s="7"/>
      <c r="I25" s="40">
        <f>'Athens Daily - Water'!S30</f>
        <v>149.65</v>
      </c>
      <c r="J25" s="7"/>
      <c r="K25" s="7">
        <v>294</v>
      </c>
      <c r="L25" s="7">
        <v>2</v>
      </c>
    </row>
    <row r="26" spans="1:12">
      <c r="A26" s="7" t="s">
        <v>14</v>
      </c>
      <c r="B26" s="7">
        <v>25</v>
      </c>
      <c r="C26" s="7">
        <v>1</v>
      </c>
      <c r="D26" s="7">
        <v>2021</v>
      </c>
      <c r="E26" s="7">
        <f>'Athens Daily - EL'!AL32</f>
        <v>20835</v>
      </c>
      <c r="F26" s="7"/>
      <c r="G26" s="39">
        <f>'Athens Daily - Gas'!BI33</f>
        <v>69753.600000000006</v>
      </c>
      <c r="H26" s="7"/>
      <c r="I26" s="40">
        <f>'Athens Daily - Water'!S31</f>
        <v>158.05000000000001</v>
      </c>
      <c r="J26" s="7"/>
      <c r="K26" s="7">
        <v>291</v>
      </c>
      <c r="L26" s="7">
        <v>2</v>
      </c>
    </row>
    <row r="27" spans="1:12">
      <c r="A27" s="7" t="s">
        <v>14</v>
      </c>
      <c r="B27" s="7">
        <v>26</v>
      </c>
      <c r="C27" s="7">
        <v>1</v>
      </c>
      <c r="D27" s="7">
        <v>2021</v>
      </c>
      <c r="E27" s="7">
        <f>'Athens Daily - EL'!AL33</f>
        <v>20500</v>
      </c>
      <c r="F27" s="7"/>
      <c r="G27" s="39">
        <f>'Athens Daily - Gas'!BI34</f>
        <v>72326.399999999994</v>
      </c>
      <c r="H27" s="7"/>
      <c r="I27" s="40">
        <f>'Athens Daily - Water'!S32</f>
        <v>146.35000000000002</v>
      </c>
      <c r="J27" s="7"/>
      <c r="K27" s="7">
        <v>291</v>
      </c>
      <c r="L27" s="7">
        <v>2</v>
      </c>
    </row>
    <row r="28" spans="1:12">
      <c r="A28" s="7" t="s">
        <v>14</v>
      </c>
      <c r="B28" s="7">
        <v>27</v>
      </c>
      <c r="C28" s="7">
        <v>1</v>
      </c>
      <c r="D28" s="7">
        <v>2021</v>
      </c>
      <c r="E28" s="7">
        <f>'Athens Daily - EL'!AL34</f>
        <v>20430</v>
      </c>
      <c r="F28" s="7"/>
      <c r="G28" s="39">
        <f>'Athens Daily - Gas'!BI35</f>
        <v>70185.600000000006</v>
      </c>
      <c r="H28" s="7"/>
      <c r="I28" s="40">
        <f>'Athens Daily - Water'!S33</f>
        <v>128.85</v>
      </c>
      <c r="J28" s="7"/>
      <c r="K28" s="7">
        <v>288</v>
      </c>
      <c r="L28" s="7">
        <v>2</v>
      </c>
    </row>
    <row r="29" spans="1:12">
      <c r="A29" s="7" t="s">
        <v>14</v>
      </c>
      <c r="B29" s="7">
        <v>28</v>
      </c>
      <c r="C29" s="7">
        <v>1</v>
      </c>
      <c r="D29" s="7">
        <v>2021</v>
      </c>
      <c r="E29" s="7">
        <f>'Athens Daily - EL'!AL35</f>
        <v>20525</v>
      </c>
      <c r="F29" s="7"/>
      <c r="G29" s="39">
        <f>'Athens Daily - Gas'!BI36</f>
        <v>63926.400000000001</v>
      </c>
      <c r="H29" s="7"/>
      <c r="I29" s="40">
        <f>'Athens Daily - Water'!S34</f>
        <v>130.44999999999999</v>
      </c>
      <c r="J29" s="7"/>
      <c r="K29" s="7">
        <v>290</v>
      </c>
      <c r="L29" s="7">
        <v>2</v>
      </c>
    </row>
    <row r="30" spans="1:12">
      <c r="A30" s="7" t="s">
        <v>14</v>
      </c>
      <c r="B30" s="7">
        <v>29</v>
      </c>
      <c r="C30" s="7">
        <v>1</v>
      </c>
      <c r="D30" s="7">
        <v>2021</v>
      </c>
      <c r="E30" s="7">
        <f>'Athens Daily - EL'!AL36</f>
        <v>17960</v>
      </c>
      <c r="F30" s="7"/>
      <c r="G30" s="39">
        <f>'Athens Daily - Gas'!BI37</f>
        <v>57676.800000000003</v>
      </c>
      <c r="H30" s="7"/>
      <c r="I30" s="40">
        <f>'Athens Daily - Water'!S35</f>
        <v>149.94999999999999</v>
      </c>
      <c r="J30" s="7"/>
      <c r="K30" s="7">
        <v>291</v>
      </c>
      <c r="L30" s="7">
        <v>2</v>
      </c>
    </row>
    <row r="31" spans="1:12">
      <c r="A31" s="7" t="s">
        <v>14</v>
      </c>
      <c r="B31" s="7">
        <v>30</v>
      </c>
      <c r="C31" s="7">
        <v>1</v>
      </c>
      <c r="D31" s="7">
        <v>2021</v>
      </c>
      <c r="E31" s="7">
        <f>'Athens Daily - EL'!AL37</f>
        <v>19880</v>
      </c>
      <c r="F31" s="7"/>
      <c r="G31" s="39">
        <f>'Athens Daily - Gas'!BI38</f>
        <v>64473.600000000006</v>
      </c>
      <c r="H31" s="7"/>
      <c r="I31" s="40">
        <f>'Athens Daily - Water'!S37</f>
        <v>148.25</v>
      </c>
      <c r="J31" s="7"/>
      <c r="K31" s="7">
        <v>290</v>
      </c>
      <c r="L31" s="7">
        <v>2</v>
      </c>
    </row>
    <row r="32" spans="1:12">
      <c r="A32" s="7" t="s">
        <v>14</v>
      </c>
      <c r="B32" s="7">
        <v>31</v>
      </c>
      <c r="C32" s="7">
        <v>1</v>
      </c>
      <c r="D32" s="7">
        <v>2021</v>
      </c>
      <c r="E32" s="7">
        <f>'Athens Daily - EL'!AL38</f>
        <v>22555</v>
      </c>
      <c r="F32" s="7"/>
      <c r="G32" s="39">
        <f>'Athens Daily - Gas'!BI39</f>
        <v>71952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9" activePane="bottomRight" state="frozen"/>
      <selection pane="topRight" activeCell="C2" sqref="C2"/>
      <selection pane="bottomLeft" activeCell="A7" sqref="A7"/>
      <selection pane="bottomRight" activeCell="AM43" sqref="AM43"/>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8"/>
      <c r="B1" s="108"/>
      <c r="C1" s="216" t="s">
        <v>64</v>
      </c>
      <c r="D1" s="216"/>
      <c r="E1" s="216" t="s">
        <v>64</v>
      </c>
      <c r="F1" s="216"/>
      <c r="G1" s="216" t="s">
        <v>64</v>
      </c>
      <c r="H1" s="216"/>
      <c r="I1" s="108"/>
      <c r="J1" s="216" t="s">
        <v>64</v>
      </c>
      <c r="K1" s="216"/>
      <c r="L1" s="216" t="s">
        <v>64</v>
      </c>
      <c r="M1" s="216"/>
      <c r="N1" s="202" t="s">
        <v>65</v>
      </c>
      <c r="O1" s="203"/>
      <c r="P1" s="204"/>
      <c r="Q1" s="202" t="s">
        <v>65</v>
      </c>
      <c r="R1" s="203"/>
      <c r="S1" s="204"/>
      <c r="T1" s="202" t="s">
        <v>65</v>
      </c>
      <c r="U1" s="203"/>
      <c r="V1" s="204"/>
      <c r="W1" s="202" t="s">
        <v>65</v>
      </c>
      <c r="X1" s="203"/>
      <c r="Y1" s="204"/>
      <c r="Z1" s="216" t="s">
        <v>66</v>
      </c>
      <c r="AA1" s="216"/>
      <c r="AB1" s="216" t="s">
        <v>66</v>
      </c>
      <c r="AC1" s="216"/>
      <c r="AD1" s="216" t="s">
        <v>66</v>
      </c>
      <c r="AE1" s="216"/>
      <c r="AF1" s="216" t="s">
        <v>66</v>
      </c>
      <c r="AG1" s="216"/>
      <c r="AH1" s="216" t="s">
        <v>66</v>
      </c>
      <c r="AI1" s="216"/>
    </row>
    <row r="2" spans="1:38" s="3" customFormat="1" ht="113.25" customHeight="1">
      <c r="A2" s="13"/>
      <c r="B2" s="14"/>
      <c r="C2" s="215" t="s">
        <v>67</v>
      </c>
      <c r="D2" s="215"/>
      <c r="E2" s="215" t="s">
        <v>68</v>
      </c>
      <c r="F2" s="215"/>
      <c r="G2" s="205" t="s">
        <v>69</v>
      </c>
      <c r="H2" s="206"/>
      <c r="I2" s="207"/>
      <c r="J2" s="215" t="s">
        <v>70</v>
      </c>
      <c r="K2" s="215"/>
      <c r="L2" s="215" t="s">
        <v>71</v>
      </c>
      <c r="M2" s="215"/>
      <c r="N2" s="205" t="s">
        <v>72</v>
      </c>
      <c r="O2" s="206"/>
      <c r="P2" s="207"/>
      <c r="Q2" s="205" t="s">
        <v>73</v>
      </c>
      <c r="R2" s="206"/>
      <c r="S2" s="207"/>
      <c r="T2" s="205" t="s">
        <v>74</v>
      </c>
      <c r="U2" s="206"/>
      <c r="V2" s="207"/>
      <c r="W2" s="205" t="s">
        <v>75</v>
      </c>
      <c r="X2" s="206"/>
      <c r="Y2" s="207"/>
      <c r="Z2" s="215" t="s">
        <v>76</v>
      </c>
      <c r="AA2" s="215"/>
      <c r="AB2" s="215" t="s">
        <v>77</v>
      </c>
      <c r="AC2" s="215"/>
      <c r="AD2" s="215" t="s">
        <v>78</v>
      </c>
      <c r="AE2" s="215"/>
      <c r="AF2" s="215" t="s">
        <v>77</v>
      </c>
      <c r="AG2" s="215"/>
      <c r="AH2" s="215" t="s">
        <v>79</v>
      </c>
      <c r="AI2" s="215"/>
      <c r="AJ2" s="115"/>
      <c r="AK2" s="115"/>
      <c r="AL2" s="115"/>
    </row>
    <row r="3" spans="1:38" s="25" customFormat="1" ht="30" customHeight="1">
      <c r="A3" s="106"/>
      <c r="B3" s="49"/>
      <c r="C3" s="208">
        <v>5003566</v>
      </c>
      <c r="D3" s="210"/>
      <c r="E3" s="208">
        <v>5003596</v>
      </c>
      <c r="F3" s="210"/>
      <c r="G3" s="208">
        <v>507329</v>
      </c>
      <c r="H3" s="209"/>
      <c r="I3" s="210"/>
      <c r="J3" s="208">
        <v>5003563</v>
      </c>
      <c r="K3" s="210"/>
      <c r="L3" s="208">
        <v>5003562</v>
      </c>
      <c r="M3" s="210"/>
      <c r="N3" s="208">
        <v>507155</v>
      </c>
      <c r="O3" s="209"/>
      <c r="P3" s="210"/>
      <c r="Q3" s="208">
        <v>5003077</v>
      </c>
      <c r="R3" s="209"/>
      <c r="S3" s="210"/>
      <c r="T3" s="208">
        <v>5003079</v>
      </c>
      <c r="U3" s="209"/>
      <c r="V3" s="210"/>
      <c r="W3" s="208">
        <v>5003078</v>
      </c>
      <c r="X3" s="209"/>
      <c r="Y3" s="210"/>
      <c r="Z3" s="208">
        <v>5003565</v>
      </c>
      <c r="AA3" s="210"/>
      <c r="AB3" s="208">
        <v>5003564</v>
      </c>
      <c r="AC3" s="210"/>
      <c r="AD3" s="208">
        <v>5003597</v>
      </c>
      <c r="AE3" s="210"/>
      <c r="AF3" s="208">
        <v>5003598</v>
      </c>
      <c r="AG3" s="210"/>
      <c r="AH3" s="208">
        <v>5003599</v>
      </c>
      <c r="AI3" s="210"/>
      <c r="AK3" s="217" t="s">
        <v>80</v>
      </c>
      <c r="AL3" s="217"/>
    </row>
    <row r="4" spans="1:38" s="24" customFormat="1" ht="30" customHeight="1">
      <c r="A4" s="106"/>
      <c r="B4" s="112"/>
      <c r="C4" s="211" t="s">
        <v>81</v>
      </c>
      <c r="D4" s="213"/>
      <c r="E4" s="211" t="s">
        <v>82</v>
      </c>
      <c r="F4" s="213"/>
      <c r="G4" s="211" t="s">
        <v>83</v>
      </c>
      <c r="H4" s="212"/>
      <c r="I4" s="213"/>
      <c r="J4" s="211" t="s">
        <v>84</v>
      </c>
      <c r="K4" s="213"/>
      <c r="L4" s="211" t="s">
        <v>85</v>
      </c>
      <c r="M4" s="213"/>
      <c r="N4" s="211" t="s">
        <v>86</v>
      </c>
      <c r="O4" s="212"/>
      <c r="P4" s="213"/>
      <c r="Q4" s="211" t="s">
        <v>87</v>
      </c>
      <c r="R4" s="212"/>
      <c r="S4" s="213"/>
      <c r="T4" s="211" t="s">
        <v>88</v>
      </c>
      <c r="U4" s="212"/>
      <c r="V4" s="213"/>
      <c r="W4" s="211" t="s">
        <v>89</v>
      </c>
      <c r="X4" s="212"/>
      <c r="Y4" s="213"/>
      <c r="Z4" s="211" t="s">
        <v>90</v>
      </c>
      <c r="AA4" s="213"/>
      <c r="AB4" s="211" t="s">
        <v>91</v>
      </c>
      <c r="AC4" s="213"/>
      <c r="AD4" s="211" t="s">
        <v>92</v>
      </c>
      <c r="AE4" s="213"/>
      <c r="AF4" s="211" t="s">
        <v>93</v>
      </c>
      <c r="AG4" s="213"/>
      <c r="AH4" s="211" t="s">
        <v>94</v>
      </c>
      <c r="AI4" s="213"/>
      <c r="AK4" s="217"/>
      <c r="AL4" s="217"/>
    </row>
    <row r="5" spans="1:38" s="8" customFormat="1" ht="30" customHeight="1">
      <c r="A5" s="106" t="s">
        <v>95</v>
      </c>
      <c r="B5" s="50"/>
      <c r="C5" s="200" t="s">
        <v>96</v>
      </c>
      <c r="D5" s="201"/>
      <c r="E5" s="200" t="s">
        <v>96</v>
      </c>
      <c r="F5" s="201"/>
      <c r="G5" s="200" t="s">
        <v>96</v>
      </c>
      <c r="H5" s="214"/>
      <c r="I5" s="201"/>
      <c r="J5" s="50" t="s">
        <v>96</v>
      </c>
      <c r="K5" s="50"/>
      <c r="L5" s="200" t="s">
        <v>96</v>
      </c>
      <c r="M5" s="201"/>
      <c r="N5" s="200" t="s">
        <v>96</v>
      </c>
      <c r="O5" s="214"/>
      <c r="P5" s="201"/>
      <c r="Q5" s="200" t="s">
        <v>97</v>
      </c>
      <c r="R5" s="214"/>
      <c r="S5" s="201"/>
      <c r="T5" s="200" t="s">
        <v>97</v>
      </c>
      <c r="U5" s="214"/>
      <c r="V5" s="201"/>
      <c r="W5" s="200" t="s">
        <v>97</v>
      </c>
      <c r="X5" s="214"/>
      <c r="Y5" s="201"/>
      <c r="Z5" s="200" t="s">
        <v>96</v>
      </c>
      <c r="AA5" s="201"/>
      <c r="AB5" s="200" t="s">
        <v>96</v>
      </c>
      <c r="AC5" s="201"/>
      <c r="AD5" s="200" t="s">
        <v>96</v>
      </c>
      <c r="AE5" s="201"/>
      <c r="AF5" s="200" t="s">
        <v>96</v>
      </c>
      <c r="AG5" s="201"/>
      <c r="AH5" s="200" t="s">
        <v>96</v>
      </c>
      <c r="AI5" s="201"/>
    </row>
    <row r="6" spans="1:38" s="10" customFormat="1" ht="50.1" hidden="1" customHeight="1">
      <c r="A6" s="106" t="s">
        <v>98</v>
      </c>
      <c r="B6" s="106"/>
      <c r="C6" s="106" t="s">
        <v>99</v>
      </c>
      <c r="D6" s="106" t="s">
        <v>100</v>
      </c>
      <c r="E6" s="106" t="s">
        <v>99</v>
      </c>
      <c r="F6" s="106" t="s">
        <v>100</v>
      </c>
      <c r="G6" s="106" t="s">
        <v>99</v>
      </c>
      <c r="H6" s="106" t="s">
        <v>100</v>
      </c>
      <c r="I6" s="106" t="s">
        <v>101</v>
      </c>
      <c r="J6" s="106" t="s">
        <v>99</v>
      </c>
      <c r="K6" s="106" t="s">
        <v>100</v>
      </c>
      <c r="L6" s="106" t="s">
        <v>99</v>
      </c>
      <c r="M6" s="106" t="s">
        <v>100</v>
      </c>
      <c r="N6" s="106" t="s">
        <v>99</v>
      </c>
      <c r="O6" s="106" t="s">
        <v>100</v>
      </c>
      <c r="P6" s="106" t="s">
        <v>101</v>
      </c>
      <c r="Q6" s="106" t="s">
        <v>99</v>
      </c>
      <c r="R6" s="106" t="s">
        <v>100</v>
      </c>
      <c r="S6" s="106" t="s">
        <v>101</v>
      </c>
      <c r="T6" s="106" t="s">
        <v>99</v>
      </c>
      <c r="U6" s="106" t="s">
        <v>100</v>
      </c>
      <c r="V6" s="106" t="s">
        <v>101</v>
      </c>
      <c r="W6" s="106" t="s">
        <v>99</v>
      </c>
      <c r="X6" s="106" t="s">
        <v>100</v>
      </c>
      <c r="Y6" s="106" t="s">
        <v>101</v>
      </c>
      <c r="Z6" s="106" t="s">
        <v>99</v>
      </c>
      <c r="AA6" s="106" t="s">
        <v>100</v>
      </c>
      <c r="AB6" s="106" t="s">
        <v>99</v>
      </c>
      <c r="AC6" s="106" t="s">
        <v>100</v>
      </c>
      <c r="AD6" s="106" t="s">
        <v>99</v>
      </c>
      <c r="AE6" s="106" t="s">
        <v>100</v>
      </c>
      <c r="AF6" s="106" t="s">
        <v>99</v>
      </c>
      <c r="AG6" s="106" t="s">
        <v>100</v>
      </c>
      <c r="AH6" s="106" t="s">
        <v>99</v>
      </c>
      <c r="AI6" s="106" t="s">
        <v>100</v>
      </c>
      <c r="AK6" s="106" t="s">
        <v>64</v>
      </c>
      <c r="AL6" s="106" t="s">
        <v>66</v>
      </c>
    </row>
    <row r="7" spans="1:38" s="146" customFormat="1" ht="39.950000000000003" customHeight="1">
      <c r="A7" s="144">
        <v>44165</v>
      </c>
      <c r="B7" s="145"/>
      <c r="C7" s="73">
        <v>40471</v>
      </c>
      <c r="D7" s="17"/>
      <c r="E7" s="73">
        <v>63494</v>
      </c>
      <c r="F7" s="17"/>
      <c r="G7" s="73">
        <v>807551</v>
      </c>
      <c r="H7" s="17"/>
      <c r="I7" s="17"/>
      <c r="J7" s="73">
        <v>59521</v>
      </c>
      <c r="K7" s="17"/>
      <c r="L7" s="73">
        <v>93510</v>
      </c>
      <c r="M7" s="17"/>
      <c r="N7" s="73">
        <v>792045</v>
      </c>
      <c r="O7" s="17"/>
      <c r="P7" s="17"/>
      <c r="Q7" s="73">
        <v>129880</v>
      </c>
      <c r="R7" s="17"/>
      <c r="S7" s="17"/>
      <c r="T7" s="73">
        <v>70143</v>
      </c>
      <c r="U7" s="17"/>
      <c r="V7" s="17"/>
      <c r="W7" s="73">
        <v>143258</v>
      </c>
      <c r="X7" s="17"/>
      <c r="Y7" s="17"/>
      <c r="Z7" s="73">
        <v>14454</v>
      </c>
      <c r="AA7" s="17"/>
      <c r="AB7" s="73">
        <v>29064</v>
      </c>
      <c r="AC7" s="17"/>
      <c r="AD7" s="73">
        <v>53161</v>
      </c>
      <c r="AE7" s="17"/>
      <c r="AF7" s="73">
        <v>29188</v>
      </c>
      <c r="AG7" s="17"/>
      <c r="AH7" s="73">
        <v>140163</v>
      </c>
      <c r="AI7" s="17"/>
      <c r="AK7" s="96"/>
      <c r="AL7" s="97"/>
    </row>
    <row r="8" spans="1:38" s="2" customFormat="1" ht="39.950000000000003" customHeight="1">
      <c r="A8" s="144">
        <v>44166</v>
      </c>
      <c r="B8" s="15"/>
      <c r="C8" s="165">
        <v>40816</v>
      </c>
      <c r="D8" s="193">
        <f>(C8-C7)*100</f>
        <v>34500</v>
      </c>
      <c r="E8" s="165">
        <v>64130</v>
      </c>
      <c r="F8" s="193">
        <f>(E8-E7)*100</f>
        <v>63600</v>
      </c>
      <c r="G8" s="165">
        <v>808094</v>
      </c>
      <c r="H8" s="193">
        <f>(G8-G7)*10</f>
        <v>5430</v>
      </c>
      <c r="I8" s="193">
        <f>H8*50%</f>
        <v>2715</v>
      </c>
      <c r="J8" s="165">
        <v>60083</v>
      </c>
      <c r="K8" s="193">
        <f>(J8-J7)*100</f>
        <v>56200</v>
      </c>
      <c r="L8" s="165">
        <v>94408</v>
      </c>
      <c r="M8" s="193">
        <f>(L8-L7)*100</f>
        <v>89800</v>
      </c>
      <c r="N8" s="165">
        <v>792492</v>
      </c>
      <c r="O8" s="193">
        <f t="shared" ref="O8:O37" si="0">(N8-N7)*10</f>
        <v>4470</v>
      </c>
      <c r="P8" s="193">
        <f>O8*50%</f>
        <v>2235</v>
      </c>
      <c r="Q8" s="165">
        <v>129882</v>
      </c>
      <c r="R8" s="193">
        <f t="shared" ref="R8:R37" si="1">(Q8-Q7)*10</f>
        <v>20</v>
      </c>
      <c r="S8" s="193">
        <f>R8*50%</f>
        <v>10</v>
      </c>
      <c r="T8" s="165">
        <v>70145</v>
      </c>
      <c r="U8" s="193">
        <f>(T8-T7)*10</f>
        <v>20</v>
      </c>
      <c r="V8" s="193">
        <f>U8*50%</f>
        <v>10</v>
      </c>
      <c r="W8" s="165">
        <v>143714</v>
      </c>
      <c r="X8" s="193">
        <f>(W8-W7)*10</f>
        <v>4560</v>
      </c>
      <c r="Y8" s="193">
        <f>X8*50%</f>
        <v>2280</v>
      </c>
      <c r="Z8" s="165">
        <v>14554</v>
      </c>
      <c r="AA8" s="193">
        <f>(Z8-Z7)*10</f>
        <v>1000</v>
      </c>
      <c r="AB8" s="165">
        <v>29266</v>
      </c>
      <c r="AC8" s="193">
        <f>(AB8-AB7)*10</f>
        <v>2020</v>
      </c>
      <c r="AD8" s="165">
        <v>53513</v>
      </c>
      <c r="AE8" s="193">
        <f>(AD8-AD7)*10</f>
        <v>3520</v>
      </c>
      <c r="AF8" s="165">
        <v>29266</v>
      </c>
      <c r="AG8" s="193">
        <f>(AF8-AF7)*10</f>
        <v>780</v>
      </c>
      <c r="AH8" s="165">
        <v>141052</v>
      </c>
      <c r="AI8" s="193">
        <f>(AH8-AH7)*10</f>
        <v>8890</v>
      </c>
      <c r="AK8" s="96">
        <f>SUM(D8,F8,I8,K8,M8,P8,S8,V8,Y8)</f>
        <v>251350</v>
      </c>
      <c r="AL8" s="97">
        <f>SUM(P8,S8,V8,Y8,AA8,AC8,AE8,AG8,AI8)</f>
        <v>20745</v>
      </c>
    </row>
    <row r="9" spans="1:38" ht="39.950000000000003" customHeight="1">
      <c r="A9" s="144">
        <v>44167</v>
      </c>
      <c r="B9" s="16"/>
      <c r="C9" s="165">
        <v>41157</v>
      </c>
      <c r="D9" s="193">
        <f t="shared" ref="D9:D38" si="2">(C9-C8)*100</f>
        <v>34100</v>
      </c>
      <c r="E9" s="165">
        <v>64728</v>
      </c>
      <c r="F9" s="193">
        <f t="shared" ref="F9:F38" si="3">(E9-E8)*100</f>
        <v>59800</v>
      </c>
      <c r="G9" s="165">
        <v>808684</v>
      </c>
      <c r="H9" s="193">
        <f t="shared" ref="H9:H10" si="4">(G9-G8)*10</f>
        <v>5900</v>
      </c>
      <c r="I9" s="193">
        <f t="shared" ref="I9:I37" si="5">H9*50%</f>
        <v>2950</v>
      </c>
      <c r="J9" s="165">
        <v>60638</v>
      </c>
      <c r="K9" s="193">
        <f t="shared" ref="K9:K37" si="6">(J9-J8)*100</f>
        <v>55500</v>
      </c>
      <c r="L9" s="165">
        <v>95297</v>
      </c>
      <c r="M9" s="193">
        <f t="shared" ref="K9:M38" si="7">(L9-L8)*100</f>
        <v>88900</v>
      </c>
      <c r="N9" s="165">
        <v>792925</v>
      </c>
      <c r="O9" s="193">
        <f t="shared" si="0"/>
        <v>4330</v>
      </c>
      <c r="P9" s="193">
        <f t="shared" ref="P9:P37" si="8">O9*50%</f>
        <v>2165</v>
      </c>
      <c r="Q9" s="165">
        <v>129884</v>
      </c>
      <c r="R9" s="193">
        <f t="shared" si="1"/>
        <v>20</v>
      </c>
      <c r="S9" s="193">
        <f t="shared" ref="S9:S37" si="9">R9*50%</f>
        <v>10</v>
      </c>
      <c r="T9" s="165">
        <v>70147</v>
      </c>
      <c r="U9" s="193">
        <f t="shared" ref="U9:U37" si="10">(T9-T8)*10</f>
        <v>20</v>
      </c>
      <c r="V9" s="193">
        <f t="shared" ref="V9:V37" si="11">U9*50%</f>
        <v>10</v>
      </c>
      <c r="W9" s="165">
        <v>144144</v>
      </c>
      <c r="X9" s="193">
        <f t="shared" ref="X9:X37" si="12">(W9-W8)*10</f>
        <v>4300</v>
      </c>
      <c r="Y9" s="193">
        <f t="shared" ref="Y9:Y37" si="13">X9*50%</f>
        <v>2150</v>
      </c>
      <c r="Z9" s="165">
        <v>14656</v>
      </c>
      <c r="AA9" s="193">
        <f t="shared" ref="AA9:AA37" si="14">(Z9-Z8)*10</f>
        <v>1020</v>
      </c>
      <c r="AB9" s="165">
        <v>29471</v>
      </c>
      <c r="AC9" s="193">
        <f t="shared" ref="AC9:AC37" si="15">(AB9-AB8)*10</f>
        <v>2050</v>
      </c>
      <c r="AD9" s="165">
        <v>53860</v>
      </c>
      <c r="AE9" s="193">
        <f t="shared" ref="AE9:AE37" si="16">(AD9-AD8)*10</f>
        <v>3470</v>
      </c>
      <c r="AF9" s="165">
        <v>29471</v>
      </c>
      <c r="AG9" s="193">
        <f t="shared" ref="AA9:AI38" si="17">(AF9-AF8)*10</f>
        <v>2050</v>
      </c>
      <c r="AH9" s="165">
        <v>141957</v>
      </c>
      <c r="AI9" s="193">
        <f t="shared" si="17"/>
        <v>9050</v>
      </c>
      <c r="AK9" s="96">
        <f t="shared" ref="AK9:AK37" si="18">SUM(D9,F9,I9,K9,M9,P9,S9,V9,Y9)</f>
        <v>245585</v>
      </c>
      <c r="AL9" s="97">
        <f t="shared" ref="AL9:AL37" si="19">SUM(P9,S9,V9,Y9,AA9,AC9,AE9,AG9,AI9)</f>
        <v>21975</v>
      </c>
    </row>
    <row r="10" spans="1:38" ht="39.950000000000003" customHeight="1">
      <c r="A10" s="144">
        <v>44168</v>
      </c>
      <c r="B10" s="16"/>
      <c r="C10" s="165">
        <v>41503</v>
      </c>
      <c r="D10" s="193">
        <f t="shared" si="2"/>
        <v>34600</v>
      </c>
      <c r="E10" s="165">
        <v>65320</v>
      </c>
      <c r="F10" s="193">
        <f t="shared" si="3"/>
        <v>59200</v>
      </c>
      <c r="G10" s="165">
        <v>809596</v>
      </c>
      <c r="H10" s="193">
        <f t="shared" si="4"/>
        <v>9120</v>
      </c>
      <c r="I10" s="193">
        <f t="shared" si="5"/>
        <v>4560</v>
      </c>
      <c r="J10" s="165">
        <v>61194</v>
      </c>
      <c r="K10" s="193">
        <f t="shared" si="6"/>
        <v>55600</v>
      </c>
      <c r="L10" s="165">
        <v>96177</v>
      </c>
      <c r="M10" s="193">
        <f t="shared" si="7"/>
        <v>88000</v>
      </c>
      <c r="N10" s="165">
        <v>793353</v>
      </c>
      <c r="O10" s="193">
        <f t="shared" si="0"/>
        <v>4280</v>
      </c>
      <c r="P10" s="193">
        <f t="shared" si="8"/>
        <v>2140</v>
      </c>
      <c r="Q10" s="165">
        <v>129886</v>
      </c>
      <c r="R10" s="193">
        <f t="shared" si="1"/>
        <v>20</v>
      </c>
      <c r="S10" s="193">
        <f t="shared" si="9"/>
        <v>10</v>
      </c>
      <c r="T10" s="165">
        <v>70149</v>
      </c>
      <c r="U10" s="193">
        <f t="shared" si="10"/>
        <v>20</v>
      </c>
      <c r="V10" s="193">
        <f t="shared" si="11"/>
        <v>10</v>
      </c>
      <c r="W10" s="165">
        <v>144151</v>
      </c>
      <c r="X10" s="193">
        <f t="shared" si="12"/>
        <v>70</v>
      </c>
      <c r="Y10" s="193">
        <f t="shared" si="13"/>
        <v>35</v>
      </c>
      <c r="Z10" s="165">
        <v>14751</v>
      </c>
      <c r="AA10" s="193">
        <f t="shared" si="14"/>
        <v>950</v>
      </c>
      <c r="AB10" s="165">
        <v>29684</v>
      </c>
      <c r="AC10" s="193">
        <f t="shared" si="15"/>
        <v>2130</v>
      </c>
      <c r="AD10" s="165">
        <v>54210</v>
      </c>
      <c r="AE10" s="193">
        <f t="shared" si="16"/>
        <v>3500</v>
      </c>
      <c r="AF10" s="165">
        <v>29684</v>
      </c>
      <c r="AG10" s="193">
        <f t="shared" si="17"/>
        <v>2130</v>
      </c>
      <c r="AH10" s="165">
        <v>142859</v>
      </c>
      <c r="AI10" s="193">
        <f t="shared" si="17"/>
        <v>9020</v>
      </c>
      <c r="AK10" s="96">
        <f t="shared" si="18"/>
        <v>244155</v>
      </c>
      <c r="AL10" s="97">
        <f t="shared" si="19"/>
        <v>19925</v>
      </c>
    </row>
    <row r="11" spans="1:38" ht="39.950000000000003" customHeight="1">
      <c r="A11" s="144">
        <v>44169</v>
      </c>
      <c r="B11" s="16"/>
      <c r="C11" s="165">
        <v>41847</v>
      </c>
      <c r="D11" s="193">
        <f t="shared" si="2"/>
        <v>34400</v>
      </c>
      <c r="E11" s="165">
        <v>65914</v>
      </c>
      <c r="F11" s="193">
        <f t="shared" si="3"/>
        <v>59400</v>
      </c>
      <c r="G11" s="165">
        <v>810433</v>
      </c>
      <c r="H11" s="193">
        <f>(G11-G10)*10</f>
        <v>8370</v>
      </c>
      <c r="I11" s="193">
        <f t="shared" si="5"/>
        <v>4185</v>
      </c>
      <c r="J11" s="165">
        <v>61763</v>
      </c>
      <c r="K11" s="193">
        <f t="shared" si="6"/>
        <v>56900</v>
      </c>
      <c r="L11" s="165">
        <v>97049</v>
      </c>
      <c r="M11" s="193">
        <f t="shared" si="7"/>
        <v>87200</v>
      </c>
      <c r="N11" s="165">
        <v>793708</v>
      </c>
      <c r="O11" s="193">
        <f t="shared" si="0"/>
        <v>3550</v>
      </c>
      <c r="P11" s="193">
        <f t="shared" si="8"/>
        <v>1775</v>
      </c>
      <c r="Q11" s="165">
        <v>129889</v>
      </c>
      <c r="R11" s="193">
        <f t="shared" si="1"/>
        <v>30</v>
      </c>
      <c r="S11" s="193">
        <f t="shared" si="9"/>
        <v>15</v>
      </c>
      <c r="T11" s="165">
        <v>70152</v>
      </c>
      <c r="U11" s="193">
        <f t="shared" si="10"/>
        <v>30</v>
      </c>
      <c r="V11" s="193">
        <f t="shared" si="11"/>
        <v>15</v>
      </c>
      <c r="W11" s="165">
        <v>144159</v>
      </c>
      <c r="X11" s="193">
        <f t="shared" si="12"/>
        <v>80</v>
      </c>
      <c r="Y11" s="193">
        <f t="shared" si="13"/>
        <v>40</v>
      </c>
      <c r="Z11" s="165">
        <v>14845</v>
      </c>
      <c r="AA11" s="193">
        <f t="shared" si="14"/>
        <v>940</v>
      </c>
      <c r="AB11" s="165">
        <v>29906</v>
      </c>
      <c r="AC11" s="193">
        <f t="shared" si="15"/>
        <v>2220</v>
      </c>
      <c r="AD11" s="165">
        <v>54555</v>
      </c>
      <c r="AE11" s="193">
        <f t="shared" si="16"/>
        <v>3450</v>
      </c>
      <c r="AF11" s="165">
        <v>29906</v>
      </c>
      <c r="AG11" s="193">
        <f t="shared" si="17"/>
        <v>2220</v>
      </c>
      <c r="AH11" s="165">
        <v>143773</v>
      </c>
      <c r="AI11" s="193">
        <f t="shared" si="17"/>
        <v>9140</v>
      </c>
      <c r="AK11" s="96">
        <f t="shared" si="18"/>
        <v>243930</v>
      </c>
      <c r="AL11" s="97">
        <f t="shared" si="19"/>
        <v>19815</v>
      </c>
    </row>
    <row r="12" spans="1:38" ht="39.950000000000003" customHeight="1">
      <c r="A12" s="144">
        <v>44170</v>
      </c>
      <c r="B12" s="16"/>
      <c r="C12" s="165">
        <v>42205</v>
      </c>
      <c r="D12" s="193">
        <f t="shared" si="2"/>
        <v>35800</v>
      </c>
      <c r="E12" s="165">
        <v>66506</v>
      </c>
      <c r="F12" s="193">
        <f t="shared" si="3"/>
        <v>59200</v>
      </c>
      <c r="G12" s="165">
        <v>811310</v>
      </c>
      <c r="H12" s="193">
        <f t="shared" ref="H12:H37" si="20">(G12-G11)*10</f>
        <v>8770</v>
      </c>
      <c r="I12" s="193">
        <f t="shared" si="5"/>
        <v>4385</v>
      </c>
      <c r="J12" s="165">
        <v>62315</v>
      </c>
      <c r="K12" s="193">
        <f t="shared" si="6"/>
        <v>55200</v>
      </c>
      <c r="L12" s="165">
        <v>97840</v>
      </c>
      <c r="M12" s="193">
        <f t="shared" si="7"/>
        <v>79100</v>
      </c>
      <c r="N12" s="165">
        <v>794064</v>
      </c>
      <c r="O12" s="193">
        <f t="shared" si="0"/>
        <v>3560</v>
      </c>
      <c r="P12" s="193">
        <f t="shared" si="8"/>
        <v>1780</v>
      </c>
      <c r="Q12" s="165">
        <v>129891</v>
      </c>
      <c r="R12" s="193">
        <f t="shared" si="1"/>
        <v>20</v>
      </c>
      <c r="S12" s="193">
        <f t="shared" si="9"/>
        <v>10</v>
      </c>
      <c r="T12" s="165">
        <v>70154</v>
      </c>
      <c r="U12" s="193">
        <f t="shared" si="10"/>
        <v>20</v>
      </c>
      <c r="V12" s="193">
        <f t="shared" si="11"/>
        <v>10</v>
      </c>
      <c r="W12" s="165">
        <v>144166</v>
      </c>
      <c r="X12" s="193">
        <f t="shared" si="12"/>
        <v>70</v>
      </c>
      <c r="Y12" s="193">
        <f t="shared" si="13"/>
        <v>35</v>
      </c>
      <c r="Z12" s="165">
        <v>14939</v>
      </c>
      <c r="AA12" s="193">
        <f t="shared" si="14"/>
        <v>940</v>
      </c>
      <c r="AB12" s="165">
        <v>30113</v>
      </c>
      <c r="AC12" s="193">
        <f t="shared" si="15"/>
        <v>2070</v>
      </c>
      <c r="AD12" s="165">
        <v>54883</v>
      </c>
      <c r="AE12" s="193">
        <f t="shared" si="16"/>
        <v>3280</v>
      </c>
      <c r="AF12" s="165">
        <v>30113</v>
      </c>
      <c r="AG12" s="193">
        <f t="shared" si="17"/>
        <v>2070</v>
      </c>
      <c r="AH12" s="165">
        <v>144970</v>
      </c>
      <c r="AI12" s="193">
        <f t="shared" si="17"/>
        <v>11970</v>
      </c>
      <c r="AK12" s="96">
        <f t="shared" si="18"/>
        <v>235520</v>
      </c>
      <c r="AL12" s="97">
        <f t="shared" si="19"/>
        <v>22165</v>
      </c>
    </row>
    <row r="13" spans="1:38" ht="39.950000000000003" customHeight="1">
      <c r="A13" s="144">
        <v>44171</v>
      </c>
      <c r="B13" s="16"/>
      <c r="C13" s="165">
        <v>42557</v>
      </c>
      <c r="D13" s="193">
        <f t="shared" si="2"/>
        <v>35200</v>
      </c>
      <c r="E13" s="165">
        <v>67101</v>
      </c>
      <c r="F13" s="193">
        <f t="shared" si="3"/>
        <v>59500</v>
      </c>
      <c r="G13" s="165">
        <v>812201</v>
      </c>
      <c r="H13" s="193">
        <f t="shared" si="20"/>
        <v>8910</v>
      </c>
      <c r="I13" s="193">
        <f t="shared" si="5"/>
        <v>4455</v>
      </c>
      <c r="J13" s="165">
        <v>62883</v>
      </c>
      <c r="K13" s="193">
        <f t="shared" si="6"/>
        <v>56800</v>
      </c>
      <c r="L13" s="165">
        <v>98644</v>
      </c>
      <c r="M13" s="193">
        <f t="shared" si="7"/>
        <v>80400</v>
      </c>
      <c r="N13" s="165">
        <v>794420</v>
      </c>
      <c r="O13" s="193">
        <f t="shared" si="0"/>
        <v>3560</v>
      </c>
      <c r="P13" s="193">
        <f t="shared" si="8"/>
        <v>1780</v>
      </c>
      <c r="Q13" s="165">
        <v>129893</v>
      </c>
      <c r="R13" s="193">
        <f t="shared" si="1"/>
        <v>20</v>
      </c>
      <c r="S13" s="193">
        <f t="shared" si="9"/>
        <v>10</v>
      </c>
      <c r="T13" s="165">
        <v>70156</v>
      </c>
      <c r="U13" s="193">
        <f t="shared" si="10"/>
        <v>20</v>
      </c>
      <c r="V13" s="193">
        <f t="shared" si="11"/>
        <v>10</v>
      </c>
      <c r="W13" s="165">
        <v>144174</v>
      </c>
      <c r="X13" s="193">
        <f t="shared" si="12"/>
        <v>80</v>
      </c>
      <c r="Y13" s="193">
        <f t="shared" si="13"/>
        <v>40</v>
      </c>
      <c r="Z13" s="165">
        <v>15037</v>
      </c>
      <c r="AA13" s="193">
        <f t="shared" si="14"/>
        <v>980</v>
      </c>
      <c r="AB13" s="165">
        <v>30319</v>
      </c>
      <c r="AC13" s="193">
        <f t="shared" si="15"/>
        <v>2060</v>
      </c>
      <c r="AD13" s="165">
        <v>55207</v>
      </c>
      <c r="AE13" s="193">
        <f t="shared" si="16"/>
        <v>3240</v>
      </c>
      <c r="AF13" s="165">
        <v>30319</v>
      </c>
      <c r="AG13" s="193">
        <f t="shared" si="17"/>
        <v>2060</v>
      </c>
      <c r="AH13" s="165">
        <v>145573</v>
      </c>
      <c r="AI13" s="193">
        <f t="shared" si="17"/>
        <v>6030</v>
      </c>
      <c r="AK13" s="96">
        <f t="shared" si="18"/>
        <v>238195</v>
      </c>
      <c r="AL13" s="97">
        <f t="shared" si="19"/>
        <v>16210</v>
      </c>
    </row>
    <row r="14" spans="1:38" ht="39.950000000000003" customHeight="1">
      <c r="A14" s="144">
        <v>44172</v>
      </c>
      <c r="B14" s="16"/>
      <c r="C14" s="165">
        <v>42895</v>
      </c>
      <c r="D14" s="193">
        <f t="shared" si="2"/>
        <v>33800</v>
      </c>
      <c r="E14" s="165">
        <v>67661</v>
      </c>
      <c r="F14" s="193">
        <f t="shared" si="3"/>
        <v>56000</v>
      </c>
      <c r="G14" s="165">
        <v>813203</v>
      </c>
      <c r="H14" s="193">
        <f t="shared" si="20"/>
        <v>10020</v>
      </c>
      <c r="I14" s="193">
        <f t="shared" si="5"/>
        <v>5010</v>
      </c>
      <c r="J14" s="165">
        <v>63426</v>
      </c>
      <c r="K14" s="193">
        <f t="shared" si="6"/>
        <v>54300</v>
      </c>
      <c r="L14" s="165">
        <v>99431</v>
      </c>
      <c r="M14" s="193">
        <f t="shared" si="7"/>
        <v>78700</v>
      </c>
      <c r="N14" s="165">
        <v>794802</v>
      </c>
      <c r="O14" s="193">
        <f t="shared" si="0"/>
        <v>3820</v>
      </c>
      <c r="P14" s="193">
        <f t="shared" si="8"/>
        <v>1910</v>
      </c>
      <c r="Q14" s="165">
        <v>129895</v>
      </c>
      <c r="R14" s="193">
        <f t="shared" si="1"/>
        <v>20</v>
      </c>
      <c r="S14" s="193">
        <f t="shared" si="9"/>
        <v>10</v>
      </c>
      <c r="T14" s="165">
        <v>70158</v>
      </c>
      <c r="U14" s="193">
        <f t="shared" si="10"/>
        <v>20</v>
      </c>
      <c r="V14" s="193">
        <f t="shared" si="11"/>
        <v>10</v>
      </c>
      <c r="W14" s="165">
        <v>144181</v>
      </c>
      <c r="X14" s="193">
        <f t="shared" si="12"/>
        <v>70</v>
      </c>
      <c r="Y14" s="193">
        <f t="shared" si="13"/>
        <v>35</v>
      </c>
      <c r="Z14" s="165">
        <v>15131</v>
      </c>
      <c r="AA14" s="193">
        <f t="shared" si="14"/>
        <v>940</v>
      </c>
      <c r="AB14" s="165">
        <v>30527</v>
      </c>
      <c r="AC14" s="193">
        <f t="shared" si="15"/>
        <v>2080</v>
      </c>
      <c r="AD14" s="165">
        <v>55543</v>
      </c>
      <c r="AE14" s="193">
        <f t="shared" si="16"/>
        <v>3360</v>
      </c>
      <c r="AF14" s="165">
        <v>30527</v>
      </c>
      <c r="AG14" s="193">
        <f t="shared" si="17"/>
        <v>2080</v>
      </c>
      <c r="AH14" s="165">
        <v>146487</v>
      </c>
      <c r="AI14" s="193">
        <f t="shared" si="17"/>
        <v>9140</v>
      </c>
      <c r="AK14" s="96">
        <f t="shared" si="18"/>
        <v>229775</v>
      </c>
      <c r="AL14" s="97">
        <f t="shared" si="19"/>
        <v>19565</v>
      </c>
    </row>
    <row r="15" spans="1:38" ht="39.950000000000003" customHeight="1">
      <c r="A15" s="144">
        <v>44173</v>
      </c>
      <c r="B15" s="16"/>
      <c r="C15" s="165">
        <v>43217</v>
      </c>
      <c r="D15" s="193">
        <f t="shared" si="2"/>
        <v>32200</v>
      </c>
      <c r="E15" s="165">
        <v>68210</v>
      </c>
      <c r="F15" s="193">
        <f t="shared" si="3"/>
        <v>54900</v>
      </c>
      <c r="G15" s="165">
        <v>814135</v>
      </c>
      <c r="H15" s="193">
        <f t="shared" si="20"/>
        <v>9320</v>
      </c>
      <c r="I15" s="193">
        <f t="shared" si="5"/>
        <v>4660</v>
      </c>
      <c r="J15" s="165">
        <v>63971</v>
      </c>
      <c r="K15" s="193">
        <f t="shared" si="6"/>
        <v>54500</v>
      </c>
      <c r="L15" s="165">
        <v>100232</v>
      </c>
      <c r="M15" s="193">
        <f t="shared" si="7"/>
        <v>80100</v>
      </c>
      <c r="N15" s="165">
        <v>795236</v>
      </c>
      <c r="O15" s="193">
        <f t="shared" si="0"/>
        <v>4340</v>
      </c>
      <c r="P15" s="193">
        <f t="shared" si="8"/>
        <v>2170</v>
      </c>
      <c r="Q15" s="165">
        <v>129897</v>
      </c>
      <c r="R15" s="193">
        <f t="shared" si="1"/>
        <v>20</v>
      </c>
      <c r="S15" s="193">
        <f t="shared" si="9"/>
        <v>10</v>
      </c>
      <c r="T15" s="165">
        <v>70161</v>
      </c>
      <c r="U15" s="193">
        <f t="shared" si="10"/>
        <v>30</v>
      </c>
      <c r="V15" s="193">
        <f t="shared" si="11"/>
        <v>15</v>
      </c>
      <c r="W15" s="165">
        <v>144189</v>
      </c>
      <c r="X15" s="193">
        <f t="shared" si="12"/>
        <v>80</v>
      </c>
      <c r="Y15" s="193">
        <f t="shared" si="13"/>
        <v>40</v>
      </c>
      <c r="Z15" s="165">
        <v>15221</v>
      </c>
      <c r="AA15" s="193">
        <f t="shared" si="14"/>
        <v>900</v>
      </c>
      <c r="AB15" s="165">
        <v>30733</v>
      </c>
      <c r="AC15" s="193">
        <f t="shared" si="15"/>
        <v>2060</v>
      </c>
      <c r="AD15" s="165">
        <v>55881</v>
      </c>
      <c r="AE15" s="193">
        <f t="shared" si="16"/>
        <v>3380</v>
      </c>
      <c r="AF15" s="165">
        <v>30733</v>
      </c>
      <c r="AG15" s="193">
        <f t="shared" si="17"/>
        <v>2060</v>
      </c>
      <c r="AH15" s="165">
        <v>147388</v>
      </c>
      <c r="AI15" s="193">
        <f t="shared" si="17"/>
        <v>9010</v>
      </c>
      <c r="AK15" s="96">
        <f t="shared" si="18"/>
        <v>228595</v>
      </c>
      <c r="AL15" s="97">
        <f t="shared" si="19"/>
        <v>19645</v>
      </c>
    </row>
    <row r="16" spans="1:38" ht="39.950000000000003" customHeight="1">
      <c r="A16" s="144">
        <v>44174</v>
      </c>
      <c r="B16" s="16"/>
      <c r="C16" s="165">
        <v>43541</v>
      </c>
      <c r="D16" s="193">
        <f t="shared" si="2"/>
        <v>32400</v>
      </c>
      <c r="E16" s="165">
        <v>68770</v>
      </c>
      <c r="F16" s="193">
        <f t="shared" si="3"/>
        <v>56000</v>
      </c>
      <c r="G16" s="165">
        <v>815081</v>
      </c>
      <c r="H16" s="193">
        <f t="shared" si="20"/>
        <v>9460</v>
      </c>
      <c r="I16" s="193">
        <f t="shared" si="5"/>
        <v>4730</v>
      </c>
      <c r="J16" s="165">
        <v>64531</v>
      </c>
      <c r="K16" s="193">
        <f t="shared" si="6"/>
        <v>56000</v>
      </c>
      <c r="L16" s="165">
        <v>101117</v>
      </c>
      <c r="M16" s="193">
        <f t="shared" si="7"/>
        <v>88500</v>
      </c>
      <c r="N16" s="165">
        <v>795682</v>
      </c>
      <c r="O16" s="193">
        <f t="shared" si="0"/>
        <v>4460</v>
      </c>
      <c r="P16" s="193">
        <f t="shared" si="8"/>
        <v>2230</v>
      </c>
      <c r="Q16" s="165">
        <v>129899</v>
      </c>
      <c r="R16" s="193">
        <f t="shared" si="1"/>
        <v>20</v>
      </c>
      <c r="S16" s="193">
        <f t="shared" si="9"/>
        <v>10</v>
      </c>
      <c r="T16" s="165">
        <v>70163</v>
      </c>
      <c r="U16" s="193">
        <f t="shared" si="10"/>
        <v>20</v>
      </c>
      <c r="V16" s="193">
        <f t="shared" si="11"/>
        <v>10</v>
      </c>
      <c r="W16" s="165">
        <v>144197</v>
      </c>
      <c r="X16" s="193">
        <f t="shared" si="12"/>
        <v>80</v>
      </c>
      <c r="Y16" s="193">
        <f t="shared" si="13"/>
        <v>40</v>
      </c>
      <c r="Z16" s="165">
        <v>15318</v>
      </c>
      <c r="AA16" s="193">
        <f t="shared" si="14"/>
        <v>970</v>
      </c>
      <c r="AB16" s="165">
        <v>30954</v>
      </c>
      <c r="AC16" s="193">
        <f t="shared" si="15"/>
        <v>2210</v>
      </c>
      <c r="AD16" s="165">
        <v>56225</v>
      </c>
      <c r="AE16" s="193">
        <f t="shared" si="16"/>
        <v>3440</v>
      </c>
      <c r="AF16" s="165">
        <v>30954</v>
      </c>
      <c r="AG16" s="193">
        <f t="shared" si="17"/>
        <v>2210</v>
      </c>
      <c r="AH16" s="165">
        <v>148289</v>
      </c>
      <c r="AI16" s="193">
        <f t="shared" si="17"/>
        <v>9010</v>
      </c>
      <c r="AK16" s="96">
        <f t="shared" si="18"/>
        <v>239920</v>
      </c>
      <c r="AL16" s="97">
        <f t="shared" si="19"/>
        <v>20130</v>
      </c>
    </row>
    <row r="17" spans="1:38" ht="39.950000000000003" customHeight="1">
      <c r="A17" s="144">
        <v>44175</v>
      </c>
      <c r="B17" s="16"/>
      <c r="C17" s="165">
        <v>43872</v>
      </c>
      <c r="D17" s="193">
        <f t="shared" si="2"/>
        <v>33100</v>
      </c>
      <c r="E17" s="165">
        <v>69364</v>
      </c>
      <c r="F17" s="193">
        <f t="shared" si="3"/>
        <v>59400</v>
      </c>
      <c r="G17" s="165">
        <v>816156</v>
      </c>
      <c r="H17" s="193">
        <f t="shared" si="20"/>
        <v>10750</v>
      </c>
      <c r="I17" s="193">
        <f t="shared" si="5"/>
        <v>5375</v>
      </c>
      <c r="J17" s="165">
        <v>65055</v>
      </c>
      <c r="K17" s="193">
        <f t="shared" si="6"/>
        <v>52400</v>
      </c>
      <c r="L17" s="165">
        <v>101924</v>
      </c>
      <c r="M17" s="193">
        <f t="shared" si="7"/>
        <v>80700</v>
      </c>
      <c r="N17" s="165">
        <v>796109</v>
      </c>
      <c r="O17" s="193">
        <f t="shared" si="0"/>
        <v>4270</v>
      </c>
      <c r="P17" s="193">
        <f t="shared" si="8"/>
        <v>2135</v>
      </c>
      <c r="Q17" s="165">
        <v>129901</v>
      </c>
      <c r="R17" s="193">
        <f t="shared" si="1"/>
        <v>20</v>
      </c>
      <c r="S17" s="193">
        <f t="shared" si="9"/>
        <v>10</v>
      </c>
      <c r="T17" s="165">
        <v>70165</v>
      </c>
      <c r="U17" s="193">
        <f t="shared" si="10"/>
        <v>20</v>
      </c>
      <c r="V17" s="193">
        <f t="shared" si="11"/>
        <v>10</v>
      </c>
      <c r="W17" s="165">
        <v>144204</v>
      </c>
      <c r="X17" s="193">
        <f t="shared" si="12"/>
        <v>70</v>
      </c>
      <c r="Y17" s="193">
        <f t="shared" si="13"/>
        <v>35</v>
      </c>
      <c r="Z17" s="165">
        <v>15419</v>
      </c>
      <c r="AA17" s="193">
        <f t="shared" si="14"/>
        <v>1010</v>
      </c>
      <c r="AB17" s="165">
        <v>31151</v>
      </c>
      <c r="AC17" s="193">
        <f t="shared" si="15"/>
        <v>1970</v>
      </c>
      <c r="AD17" s="165">
        <v>56554</v>
      </c>
      <c r="AE17" s="193">
        <f t="shared" si="16"/>
        <v>3290</v>
      </c>
      <c r="AF17" s="165">
        <v>31151</v>
      </c>
      <c r="AG17" s="193">
        <f t="shared" si="17"/>
        <v>1970</v>
      </c>
      <c r="AH17" s="165">
        <v>149141</v>
      </c>
      <c r="AI17" s="193">
        <f t="shared" si="17"/>
        <v>8520</v>
      </c>
      <c r="AK17" s="96">
        <f t="shared" si="18"/>
        <v>233165</v>
      </c>
      <c r="AL17" s="97">
        <f t="shared" si="19"/>
        <v>18950</v>
      </c>
    </row>
    <row r="18" spans="1:38" ht="39.950000000000003" customHeight="1">
      <c r="A18" s="144">
        <v>44176</v>
      </c>
      <c r="B18" s="16"/>
      <c r="C18" s="165">
        <v>44204</v>
      </c>
      <c r="D18" s="193">
        <f t="shared" si="2"/>
        <v>33200</v>
      </c>
      <c r="E18" s="165">
        <v>69970</v>
      </c>
      <c r="F18" s="193">
        <f t="shared" si="3"/>
        <v>60600</v>
      </c>
      <c r="G18" s="165">
        <v>817288</v>
      </c>
      <c r="H18" s="193">
        <f t="shared" si="20"/>
        <v>11320</v>
      </c>
      <c r="I18" s="193">
        <f t="shared" si="5"/>
        <v>5660</v>
      </c>
      <c r="J18" s="165">
        <v>65607</v>
      </c>
      <c r="K18" s="193">
        <f t="shared" si="6"/>
        <v>55200</v>
      </c>
      <c r="L18" s="165">
        <v>102780</v>
      </c>
      <c r="M18" s="193">
        <f t="shared" si="7"/>
        <v>85600</v>
      </c>
      <c r="N18" s="165">
        <v>796517</v>
      </c>
      <c r="O18" s="193">
        <f t="shared" si="0"/>
        <v>4080</v>
      </c>
      <c r="P18" s="193">
        <f t="shared" si="8"/>
        <v>2040</v>
      </c>
      <c r="Q18" s="165">
        <v>129904</v>
      </c>
      <c r="R18" s="193">
        <f t="shared" si="1"/>
        <v>30</v>
      </c>
      <c r="S18" s="193">
        <f t="shared" si="9"/>
        <v>15</v>
      </c>
      <c r="T18" s="165">
        <v>70167</v>
      </c>
      <c r="U18" s="193">
        <f t="shared" si="10"/>
        <v>20</v>
      </c>
      <c r="V18" s="193">
        <f t="shared" si="11"/>
        <v>10</v>
      </c>
      <c r="W18" s="165">
        <v>144212</v>
      </c>
      <c r="X18" s="193">
        <f t="shared" si="12"/>
        <v>80</v>
      </c>
      <c r="Y18" s="193">
        <f t="shared" si="13"/>
        <v>40</v>
      </c>
      <c r="Z18" s="165">
        <v>15526</v>
      </c>
      <c r="AA18" s="193">
        <f t="shared" si="14"/>
        <v>1070</v>
      </c>
      <c r="AB18" s="165">
        <v>31350</v>
      </c>
      <c r="AC18" s="193">
        <f t="shared" si="15"/>
        <v>1990</v>
      </c>
      <c r="AD18" s="165">
        <v>56901</v>
      </c>
      <c r="AE18" s="193">
        <f t="shared" si="16"/>
        <v>3470</v>
      </c>
      <c r="AF18" s="165">
        <v>31350</v>
      </c>
      <c r="AG18" s="193">
        <f t="shared" si="17"/>
        <v>1990</v>
      </c>
      <c r="AH18" s="165">
        <v>150040</v>
      </c>
      <c r="AI18" s="193">
        <f t="shared" si="17"/>
        <v>8990</v>
      </c>
      <c r="AK18" s="96">
        <f t="shared" si="18"/>
        <v>242365</v>
      </c>
      <c r="AL18" s="97">
        <f t="shared" si="19"/>
        <v>19615</v>
      </c>
    </row>
    <row r="19" spans="1:38" ht="39.950000000000003" customHeight="1">
      <c r="A19" s="144">
        <v>44177</v>
      </c>
      <c r="B19" s="16"/>
      <c r="C19" s="165">
        <v>44555</v>
      </c>
      <c r="D19" s="193">
        <f t="shared" si="2"/>
        <v>35100</v>
      </c>
      <c r="E19" s="165">
        <v>70619</v>
      </c>
      <c r="F19" s="193">
        <f t="shared" si="3"/>
        <v>64900</v>
      </c>
      <c r="G19" s="165">
        <v>818361</v>
      </c>
      <c r="H19" s="193">
        <f t="shared" si="20"/>
        <v>10730</v>
      </c>
      <c r="I19" s="193">
        <f t="shared" si="5"/>
        <v>5365</v>
      </c>
      <c r="J19" s="165">
        <v>66169</v>
      </c>
      <c r="K19" s="193">
        <f t="shared" si="6"/>
        <v>56200</v>
      </c>
      <c r="L19" s="165">
        <v>103641</v>
      </c>
      <c r="M19" s="193">
        <f t="shared" si="7"/>
        <v>86100</v>
      </c>
      <c r="N19" s="165">
        <v>796922</v>
      </c>
      <c r="O19" s="193">
        <f t="shared" si="0"/>
        <v>4050</v>
      </c>
      <c r="P19" s="193">
        <f t="shared" si="8"/>
        <v>2025</v>
      </c>
      <c r="Q19" s="165">
        <v>129906</v>
      </c>
      <c r="R19" s="193">
        <f t="shared" si="1"/>
        <v>20</v>
      </c>
      <c r="S19" s="193">
        <f t="shared" si="9"/>
        <v>10</v>
      </c>
      <c r="T19" s="165">
        <v>70170</v>
      </c>
      <c r="U19" s="193">
        <f t="shared" si="10"/>
        <v>30</v>
      </c>
      <c r="V19" s="193">
        <f t="shared" si="11"/>
        <v>15</v>
      </c>
      <c r="W19" s="165">
        <v>144219</v>
      </c>
      <c r="X19" s="193">
        <f t="shared" si="12"/>
        <v>70</v>
      </c>
      <c r="Y19" s="193">
        <f t="shared" si="13"/>
        <v>35</v>
      </c>
      <c r="Z19" s="165">
        <v>15633</v>
      </c>
      <c r="AA19" s="193">
        <f t="shared" si="14"/>
        <v>1070</v>
      </c>
      <c r="AB19" s="165">
        <v>31535</v>
      </c>
      <c r="AC19" s="193">
        <f t="shared" si="15"/>
        <v>1850</v>
      </c>
      <c r="AD19" s="165">
        <v>57234</v>
      </c>
      <c r="AE19" s="193">
        <f t="shared" si="16"/>
        <v>3330</v>
      </c>
      <c r="AF19" s="165">
        <v>31535</v>
      </c>
      <c r="AG19" s="193">
        <f t="shared" si="17"/>
        <v>1850</v>
      </c>
      <c r="AH19" s="165">
        <v>150901</v>
      </c>
      <c r="AI19" s="193">
        <f t="shared" si="17"/>
        <v>8610</v>
      </c>
      <c r="AK19" s="96">
        <f t="shared" si="18"/>
        <v>249750</v>
      </c>
      <c r="AL19" s="97">
        <f t="shared" si="19"/>
        <v>18795</v>
      </c>
    </row>
    <row r="20" spans="1:38" ht="39.950000000000003" customHeight="1">
      <c r="A20" s="144">
        <v>44178</v>
      </c>
      <c r="B20" s="16"/>
      <c r="C20" s="165">
        <v>44902</v>
      </c>
      <c r="D20" s="193">
        <f t="shared" si="2"/>
        <v>34700</v>
      </c>
      <c r="E20" s="165">
        <v>71288</v>
      </c>
      <c r="F20" s="193">
        <f t="shared" si="3"/>
        <v>66900</v>
      </c>
      <c r="G20" s="165">
        <v>819408</v>
      </c>
      <c r="H20" s="193">
        <f t="shared" si="20"/>
        <v>10470</v>
      </c>
      <c r="I20" s="193">
        <f t="shared" si="5"/>
        <v>5235</v>
      </c>
      <c r="J20" s="165">
        <v>66734</v>
      </c>
      <c r="K20" s="193">
        <f t="shared" si="6"/>
        <v>56500</v>
      </c>
      <c r="L20" s="165">
        <v>104520</v>
      </c>
      <c r="M20" s="193">
        <f t="shared" si="7"/>
        <v>87900</v>
      </c>
      <c r="N20" s="165">
        <v>797339</v>
      </c>
      <c r="O20" s="193">
        <f t="shared" si="0"/>
        <v>4170</v>
      </c>
      <c r="P20" s="193">
        <f t="shared" si="8"/>
        <v>2085</v>
      </c>
      <c r="Q20" s="165">
        <v>129908</v>
      </c>
      <c r="R20" s="193">
        <f t="shared" si="1"/>
        <v>20</v>
      </c>
      <c r="S20" s="193">
        <f t="shared" si="9"/>
        <v>10</v>
      </c>
      <c r="T20" s="165">
        <v>70172</v>
      </c>
      <c r="U20" s="193">
        <f t="shared" si="10"/>
        <v>20</v>
      </c>
      <c r="V20" s="193">
        <f t="shared" si="11"/>
        <v>10</v>
      </c>
      <c r="W20" s="165">
        <v>144227</v>
      </c>
      <c r="X20" s="193">
        <f t="shared" si="12"/>
        <v>80</v>
      </c>
      <c r="Y20" s="193">
        <f t="shared" si="13"/>
        <v>40</v>
      </c>
      <c r="Z20" s="165">
        <v>15734</v>
      </c>
      <c r="AA20" s="193">
        <f t="shared" si="14"/>
        <v>1010</v>
      </c>
      <c r="AB20" s="165">
        <v>31712</v>
      </c>
      <c r="AC20" s="193">
        <f t="shared" si="15"/>
        <v>1770</v>
      </c>
      <c r="AD20" s="165">
        <v>57556</v>
      </c>
      <c r="AE20" s="193">
        <f t="shared" si="16"/>
        <v>3220</v>
      </c>
      <c r="AF20" s="165">
        <v>31712</v>
      </c>
      <c r="AG20" s="193">
        <f t="shared" si="17"/>
        <v>1770</v>
      </c>
      <c r="AH20" s="165">
        <v>151760</v>
      </c>
      <c r="AI20" s="193">
        <f t="shared" si="17"/>
        <v>8590</v>
      </c>
      <c r="AK20" s="96">
        <f t="shared" si="18"/>
        <v>253380</v>
      </c>
      <c r="AL20" s="97">
        <f t="shared" si="19"/>
        <v>18505</v>
      </c>
    </row>
    <row r="21" spans="1:38" ht="39.950000000000003" customHeight="1">
      <c r="A21" s="144">
        <v>44179</v>
      </c>
      <c r="B21" s="16"/>
      <c r="C21" s="165">
        <v>45242</v>
      </c>
      <c r="D21" s="193">
        <f t="shared" si="2"/>
        <v>34000</v>
      </c>
      <c r="E21" s="165">
        <v>71929</v>
      </c>
      <c r="F21" s="193">
        <f t="shared" si="3"/>
        <v>64100</v>
      </c>
      <c r="G21" s="165">
        <v>820044</v>
      </c>
      <c r="H21" s="193">
        <f t="shared" si="20"/>
        <v>6360</v>
      </c>
      <c r="I21" s="193">
        <f t="shared" si="5"/>
        <v>3180</v>
      </c>
      <c r="J21" s="165">
        <v>67281</v>
      </c>
      <c r="K21" s="193">
        <f t="shared" si="6"/>
        <v>54700</v>
      </c>
      <c r="L21" s="165">
        <v>105373</v>
      </c>
      <c r="M21" s="193">
        <f t="shared" si="7"/>
        <v>85300</v>
      </c>
      <c r="N21" s="165">
        <v>797808</v>
      </c>
      <c r="O21" s="193">
        <f t="shared" si="0"/>
        <v>4690</v>
      </c>
      <c r="P21" s="193">
        <f t="shared" si="8"/>
        <v>2345</v>
      </c>
      <c r="Q21" s="165">
        <v>130025</v>
      </c>
      <c r="R21" s="193">
        <f t="shared" si="1"/>
        <v>1170</v>
      </c>
      <c r="S21" s="193">
        <f t="shared" si="9"/>
        <v>585</v>
      </c>
      <c r="T21" s="165">
        <v>70333</v>
      </c>
      <c r="U21" s="193">
        <f t="shared" si="10"/>
        <v>1610</v>
      </c>
      <c r="V21" s="193">
        <f t="shared" si="11"/>
        <v>805</v>
      </c>
      <c r="W21" s="165">
        <v>144249</v>
      </c>
      <c r="X21" s="193">
        <f t="shared" si="12"/>
        <v>220</v>
      </c>
      <c r="Y21" s="193">
        <f t="shared" si="13"/>
        <v>110</v>
      </c>
      <c r="Z21" s="165">
        <v>15837</v>
      </c>
      <c r="AA21" s="193">
        <f t="shared" si="14"/>
        <v>1030</v>
      </c>
      <c r="AB21" s="165">
        <v>31902</v>
      </c>
      <c r="AC21" s="193">
        <f t="shared" si="15"/>
        <v>1900</v>
      </c>
      <c r="AD21" s="165">
        <v>57889</v>
      </c>
      <c r="AE21" s="193">
        <f t="shared" si="16"/>
        <v>3330</v>
      </c>
      <c r="AF21" s="165">
        <v>31902</v>
      </c>
      <c r="AG21" s="193">
        <f t="shared" si="17"/>
        <v>1900</v>
      </c>
      <c r="AH21" s="165">
        <v>152634</v>
      </c>
      <c r="AI21" s="193">
        <f t="shared" si="17"/>
        <v>8740</v>
      </c>
      <c r="AK21" s="96">
        <f t="shared" si="18"/>
        <v>245125</v>
      </c>
      <c r="AL21" s="97">
        <f t="shared" si="19"/>
        <v>20745</v>
      </c>
    </row>
    <row r="22" spans="1:38" ht="39.950000000000003" customHeight="1">
      <c r="A22" s="144">
        <v>44180</v>
      </c>
      <c r="B22" s="16"/>
      <c r="C22" s="165">
        <v>45589</v>
      </c>
      <c r="D22" s="193">
        <f t="shared" si="2"/>
        <v>34700</v>
      </c>
      <c r="E22" s="165">
        <v>72559</v>
      </c>
      <c r="F22" s="193">
        <f t="shared" si="3"/>
        <v>63000</v>
      </c>
      <c r="G22" s="165">
        <v>820320</v>
      </c>
      <c r="H22" s="193">
        <f t="shared" si="20"/>
        <v>2760</v>
      </c>
      <c r="I22" s="193">
        <f t="shared" si="5"/>
        <v>1380</v>
      </c>
      <c r="J22" s="165">
        <v>67823</v>
      </c>
      <c r="K22" s="193">
        <f t="shared" si="6"/>
        <v>54200</v>
      </c>
      <c r="L22" s="165">
        <v>106197</v>
      </c>
      <c r="M22" s="193">
        <f t="shared" si="7"/>
        <v>82400</v>
      </c>
      <c r="N22" s="165">
        <v>798425</v>
      </c>
      <c r="O22" s="193">
        <f t="shared" si="0"/>
        <v>6170</v>
      </c>
      <c r="P22" s="193">
        <f t="shared" si="8"/>
        <v>3085</v>
      </c>
      <c r="Q22" s="165">
        <v>130027</v>
      </c>
      <c r="R22" s="193">
        <f t="shared" si="1"/>
        <v>20</v>
      </c>
      <c r="S22" s="193">
        <f t="shared" si="9"/>
        <v>10</v>
      </c>
      <c r="T22" s="165">
        <v>70537</v>
      </c>
      <c r="U22" s="193">
        <f t="shared" si="10"/>
        <v>2040</v>
      </c>
      <c r="V22" s="193">
        <f t="shared" si="11"/>
        <v>1020</v>
      </c>
      <c r="W22" s="165">
        <v>144340</v>
      </c>
      <c r="X22" s="193">
        <f t="shared" si="12"/>
        <v>910</v>
      </c>
      <c r="Y22" s="193">
        <f t="shared" si="13"/>
        <v>455</v>
      </c>
      <c r="Z22" s="165">
        <v>15933</v>
      </c>
      <c r="AA22" s="193">
        <f t="shared" si="14"/>
        <v>960</v>
      </c>
      <c r="AB22" s="165">
        <v>32098</v>
      </c>
      <c r="AC22" s="193">
        <f t="shared" si="15"/>
        <v>1960</v>
      </c>
      <c r="AD22" s="165">
        <v>58222</v>
      </c>
      <c r="AE22" s="193">
        <f t="shared" si="16"/>
        <v>3330</v>
      </c>
      <c r="AF22" s="165">
        <v>32098</v>
      </c>
      <c r="AG22" s="193">
        <f t="shared" si="17"/>
        <v>1960</v>
      </c>
      <c r="AH22" s="165">
        <v>153532</v>
      </c>
      <c r="AI22" s="193">
        <f t="shared" si="17"/>
        <v>8980</v>
      </c>
      <c r="AK22" s="96">
        <f t="shared" si="18"/>
        <v>240250</v>
      </c>
      <c r="AL22" s="97">
        <f t="shared" si="19"/>
        <v>21760</v>
      </c>
    </row>
    <row r="23" spans="1:38" ht="39.950000000000003" customHeight="1">
      <c r="A23" s="144">
        <v>44181</v>
      </c>
      <c r="B23" s="16"/>
      <c r="C23" s="165">
        <v>45934</v>
      </c>
      <c r="D23" s="193">
        <f t="shared" si="2"/>
        <v>34500</v>
      </c>
      <c r="E23" s="165">
        <v>73164</v>
      </c>
      <c r="F23" s="193">
        <f t="shared" si="3"/>
        <v>60500</v>
      </c>
      <c r="G23" s="165">
        <v>820843</v>
      </c>
      <c r="H23" s="193">
        <f t="shared" si="20"/>
        <v>5230</v>
      </c>
      <c r="I23" s="193">
        <f t="shared" si="5"/>
        <v>2615</v>
      </c>
      <c r="J23" s="165">
        <v>68375</v>
      </c>
      <c r="K23" s="193">
        <f t="shared" si="6"/>
        <v>55200</v>
      </c>
      <c r="L23" s="165">
        <v>106999</v>
      </c>
      <c r="M23" s="193">
        <f t="shared" si="7"/>
        <v>80200</v>
      </c>
      <c r="N23" s="165">
        <v>799005</v>
      </c>
      <c r="O23" s="193">
        <f t="shared" si="0"/>
        <v>5800</v>
      </c>
      <c r="P23" s="193">
        <f t="shared" si="8"/>
        <v>2900</v>
      </c>
      <c r="Q23" s="165">
        <v>130029</v>
      </c>
      <c r="R23" s="193">
        <f t="shared" si="1"/>
        <v>20</v>
      </c>
      <c r="S23" s="193">
        <f t="shared" si="9"/>
        <v>10</v>
      </c>
      <c r="T23" s="165">
        <v>70539</v>
      </c>
      <c r="U23" s="193">
        <f t="shared" si="10"/>
        <v>20</v>
      </c>
      <c r="V23" s="193">
        <f t="shared" si="11"/>
        <v>10</v>
      </c>
      <c r="W23" s="165">
        <v>144347</v>
      </c>
      <c r="X23" s="193">
        <f t="shared" si="12"/>
        <v>70</v>
      </c>
      <c r="Y23" s="193">
        <f t="shared" si="13"/>
        <v>35</v>
      </c>
      <c r="Z23" s="165">
        <v>16028</v>
      </c>
      <c r="AA23" s="193">
        <f t="shared" si="14"/>
        <v>950</v>
      </c>
      <c r="AB23" s="165">
        <v>32289</v>
      </c>
      <c r="AC23" s="193">
        <f t="shared" si="15"/>
        <v>1910</v>
      </c>
      <c r="AD23" s="165">
        <v>58550</v>
      </c>
      <c r="AE23" s="193">
        <f t="shared" si="16"/>
        <v>3280</v>
      </c>
      <c r="AF23" s="165">
        <v>32289</v>
      </c>
      <c r="AG23" s="193">
        <f t="shared" si="17"/>
        <v>1910</v>
      </c>
      <c r="AH23" s="165">
        <v>154414</v>
      </c>
      <c r="AI23" s="193">
        <f t="shared" si="17"/>
        <v>8820</v>
      </c>
      <c r="AK23" s="96">
        <f t="shared" si="18"/>
        <v>235970</v>
      </c>
      <c r="AL23" s="97">
        <f t="shared" si="19"/>
        <v>19825</v>
      </c>
    </row>
    <row r="24" spans="1:38" ht="39.950000000000003" customHeight="1">
      <c r="A24" s="144">
        <v>44182</v>
      </c>
      <c r="B24" s="16"/>
      <c r="C24" s="165">
        <v>46342</v>
      </c>
      <c r="D24" s="193">
        <f t="shared" si="2"/>
        <v>40800</v>
      </c>
      <c r="E24" s="165">
        <v>73791</v>
      </c>
      <c r="F24" s="193">
        <f t="shared" si="3"/>
        <v>62700</v>
      </c>
      <c r="G24" s="165">
        <v>821320</v>
      </c>
      <c r="H24" s="193">
        <f t="shared" si="20"/>
        <v>4770</v>
      </c>
      <c r="I24" s="193">
        <f t="shared" si="5"/>
        <v>2385</v>
      </c>
      <c r="J24" s="165">
        <v>68929</v>
      </c>
      <c r="K24" s="193">
        <f t="shared" si="6"/>
        <v>55400</v>
      </c>
      <c r="L24" s="165">
        <v>107804</v>
      </c>
      <c r="M24" s="193">
        <f t="shared" si="7"/>
        <v>80500</v>
      </c>
      <c r="N24" s="165">
        <v>799561</v>
      </c>
      <c r="O24" s="193">
        <f t="shared" si="0"/>
        <v>5560</v>
      </c>
      <c r="P24" s="193">
        <f t="shared" si="8"/>
        <v>2780</v>
      </c>
      <c r="Q24" s="165">
        <v>130031</v>
      </c>
      <c r="R24" s="193">
        <f t="shared" si="1"/>
        <v>20</v>
      </c>
      <c r="S24" s="193">
        <f t="shared" si="9"/>
        <v>10</v>
      </c>
      <c r="T24" s="165">
        <v>70542</v>
      </c>
      <c r="U24" s="193">
        <f t="shared" si="10"/>
        <v>30</v>
      </c>
      <c r="V24" s="193">
        <f t="shared" si="11"/>
        <v>15</v>
      </c>
      <c r="W24" s="165">
        <v>144426</v>
      </c>
      <c r="X24" s="193">
        <f t="shared" si="12"/>
        <v>790</v>
      </c>
      <c r="Y24" s="193">
        <f t="shared" si="13"/>
        <v>395</v>
      </c>
      <c r="Z24" s="165">
        <v>16128</v>
      </c>
      <c r="AA24" s="193">
        <f t="shared" si="14"/>
        <v>1000</v>
      </c>
      <c r="AB24" s="165">
        <v>32492</v>
      </c>
      <c r="AC24" s="193">
        <f t="shared" si="15"/>
        <v>2030</v>
      </c>
      <c r="AD24" s="165">
        <v>58887</v>
      </c>
      <c r="AE24" s="193">
        <f t="shared" si="16"/>
        <v>3370</v>
      </c>
      <c r="AF24" s="165">
        <v>32492</v>
      </c>
      <c r="AG24" s="193">
        <f t="shared" si="17"/>
        <v>2030</v>
      </c>
      <c r="AH24" s="165">
        <v>155355</v>
      </c>
      <c r="AI24" s="193">
        <f t="shared" si="17"/>
        <v>9410</v>
      </c>
      <c r="AK24" s="96">
        <f t="shared" si="18"/>
        <v>244985</v>
      </c>
      <c r="AL24" s="97">
        <f t="shared" si="19"/>
        <v>21040</v>
      </c>
    </row>
    <row r="25" spans="1:38" ht="39.950000000000003" customHeight="1">
      <c r="A25" s="144">
        <v>44183</v>
      </c>
      <c r="B25" s="16"/>
      <c r="C25" s="165">
        <v>47028</v>
      </c>
      <c r="D25" s="193">
        <f t="shared" si="2"/>
        <v>68600</v>
      </c>
      <c r="E25" s="165">
        <v>74432</v>
      </c>
      <c r="F25" s="193">
        <f t="shared" si="3"/>
        <v>64100</v>
      </c>
      <c r="G25" s="165">
        <v>822104</v>
      </c>
      <c r="H25" s="193">
        <f t="shared" si="20"/>
        <v>7840</v>
      </c>
      <c r="I25" s="193">
        <f t="shared" si="5"/>
        <v>3920</v>
      </c>
      <c r="J25" s="165">
        <v>69504</v>
      </c>
      <c r="K25" s="193">
        <f t="shared" si="6"/>
        <v>57500</v>
      </c>
      <c r="L25" s="165">
        <v>108616</v>
      </c>
      <c r="M25" s="193">
        <f t="shared" si="7"/>
        <v>81200</v>
      </c>
      <c r="N25" s="165">
        <v>799972</v>
      </c>
      <c r="O25" s="193">
        <f t="shared" si="0"/>
        <v>4110</v>
      </c>
      <c r="P25" s="193">
        <f t="shared" si="8"/>
        <v>2055</v>
      </c>
      <c r="Q25" s="165">
        <v>130034</v>
      </c>
      <c r="R25" s="193">
        <f t="shared" si="1"/>
        <v>30</v>
      </c>
      <c r="S25" s="193">
        <f t="shared" si="9"/>
        <v>15</v>
      </c>
      <c r="T25" s="165">
        <v>70544</v>
      </c>
      <c r="U25" s="193">
        <f t="shared" si="10"/>
        <v>20</v>
      </c>
      <c r="V25" s="193">
        <f t="shared" si="11"/>
        <v>10</v>
      </c>
      <c r="W25" s="165">
        <v>144434</v>
      </c>
      <c r="X25" s="193">
        <f t="shared" si="12"/>
        <v>80</v>
      </c>
      <c r="Y25" s="193">
        <f t="shared" si="13"/>
        <v>40</v>
      </c>
      <c r="Z25" s="165">
        <v>16221</v>
      </c>
      <c r="AA25" s="193">
        <f t="shared" si="14"/>
        <v>930</v>
      </c>
      <c r="AB25" s="165">
        <v>32693</v>
      </c>
      <c r="AC25" s="193">
        <f t="shared" si="15"/>
        <v>2010</v>
      </c>
      <c r="AD25" s="165">
        <v>59218</v>
      </c>
      <c r="AE25" s="193">
        <f t="shared" si="16"/>
        <v>3310</v>
      </c>
      <c r="AF25" s="165">
        <v>32693</v>
      </c>
      <c r="AG25" s="193">
        <f t="shared" si="17"/>
        <v>2010</v>
      </c>
      <c r="AH25" s="165">
        <v>156436</v>
      </c>
      <c r="AI25" s="193">
        <f t="shared" si="17"/>
        <v>10810</v>
      </c>
      <c r="AK25" s="96">
        <f t="shared" si="18"/>
        <v>277440</v>
      </c>
      <c r="AL25" s="97">
        <f t="shared" si="19"/>
        <v>21190</v>
      </c>
    </row>
    <row r="26" spans="1:38" ht="39.950000000000003" customHeight="1">
      <c r="A26" s="144">
        <v>44184</v>
      </c>
      <c r="B26" s="16"/>
      <c r="C26" s="165">
        <v>47726</v>
      </c>
      <c r="D26" s="193">
        <f t="shared" si="2"/>
        <v>69800</v>
      </c>
      <c r="E26" s="165">
        <v>75091</v>
      </c>
      <c r="F26" s="193">
        <f t="shared" si="3"/>
        <v>65900</v>
      </c>
      <c r="G26" s="165">
        <v>822859</v>
      </c>
      <c r="H26" s="193">
        <f t="shared" si="20"/>
        <v>7550</v>
      </c>
      <c r="I26" s="193">
        <f t="shared" si="5"/>
        <v>3775</v>
      </c>
      <c r="J26" s="165">
        <v>70089</v>
      </c>
      <c r="K26" s="193">
        <f t="shared" si="6"/>
        <v>58500</v>
      </c>
      <c r="L26" s="165">
        <v>109455</v>
      </c>
      <c r="M26" s="193">
        <f t="shared" si="7"/>
        <v>83900</v>
      </c>
      <c r="N26" s="165">
        <v>800377</v>
      </c>
      <c r="O26" s="193">
        <f t="shared" si="0"/>
        <v>4050</v>
      </c>
      <c r="P26" s="193">
        <f t="shared" si="8"/>
        <v>2025</v>
      </c>
      <c r="Q26" s="165">
        <v>130036</v>
      </c>
      <c r="R26" s="193">
        <f t="shared" si="1"/>
        <v>20</v>
      </c>
      <c r="S26" s="193">
        <f t="shared" si="9"/>
        <v>10</v>
      </c>
      <c r="T26" s="165">
        <v>70546</v>
      </c>
      <c r="U26" s="193">
        <f t="shared" si="10"/>
        <v>20</v>
      </c>
      <c r="V26" s="193">
        <f t="shared" si="11"/>
        <v>10</v>
      </c>
      <c r="W26" s="165">
        <v>144442</v>
      </c>
      <c r="X26" s="193">
        <f t="shared" si="12"/>
        <v>80</v>
      </c>
      <c r="Y26" s="193">
        <f t="shared" si="13"/>
        <v>40</v>
      </c>
      <c r="Z26" s="165">
        <v>16314</v>
      </c>
      <c r="AA26" s="193">
        <f t="shared" si="14"/>
        <v>930</v>
      </c>
      <c r="AB26" s="165">
        <v>32888</v>
      </c>
      <c r="AC26" s="193">
        <f t="shared" si="15"/>
        <v>1950</v>
      </c>
      <c r="AD26" s="165">
        <v>59540</v>
      </c>
      <c r="AE26" s="193">
        <f t="shared" si="16"/>
        <v>3220</v>
      </c>
      <c r="AF26" s="165">
        <v>32888</v>
      </c>
      <c r="AG26" s="193">
        <f t="shared" si="17"/>
        <v>1950</v>
      </c>
      <c r="AH26" s="165">
        <v>157505</v>
      </c>
      <c r="AI26" s="193">
        <f t="shared" si="17"/>
        <v>10690</v>
      </c>
      <c r="AK26" s="96">
        <f t="shared" si="18"/>
        <v>283960</v>
      </c>
      <c r="AL26" s="97">
        <f t="shared" si="19"/>
        <v>20825</v>
      </c>
    </row>
    <row r="27" spans="1:38" ht="39.950000000000003" customHeight="1">
      <c r="A27" s="144">
        <v>44185</v>
      </c>
      <c r="B27" s="16"/>
      <c r="C27" s="165">
        <v>48423</v>
      </c>
      <c r="D27" s="193">
        <f t="shared" si="2"/>
        <v>69700</v>
      </c>
      <c r="E27" s="165">
        <v>75737</v>
      </c>
      <c r="F27" s="193">
        <f t="shared" si="3"/>
        <v>64600</v>
      </c>
      <c r="G27" s="165">
        <v>823600</v>
      </c>
      <c r="H27" s="193">
        <f t="shared" si="20"/>
        <v>7410</v>
      </c>
      <c r="I27" s="193">
        <f t="shared" si="5"/>
        <v>3705</v>
      </c>
      <c r="J27" s="165">
        <v>70660</v>
      </c>
      <c r="K27" s="193">
        <f t="shared" si="6"/>
        <v>57100</v>
      </c>
      <c r="L27" s="165">
        <v>110278</v>
      </c>
      <c r="M27" s="193">
        <f t="shared" si="7"/>
        <v>82300</v>
      </c>
      <c r="N27" s="165">
        <v>800769</v>
      </c>
      <c r="O27" s="193">
        <f t="shared" si="0"/>
        <v>3920</v>
      </c>
      <c r="P27" s="193">
        <f t="shared" si="8"/>
        <v>1960</v>
      </c>
      <c r="Q27" s="165">
        <v>130038</v>
      </c>
      <c r="R27" s="193">
        <f t="shared" si="1"/>
        <v>20</v>
      </c>
      <c r="S27" s="193">
        <f t="shared" si="9"/>
        <v>10</v>
      </c>
      <c r="T27" s="165">
        <v>70548</v>
      </c>
      <c r="U27" s="193">
        <f t="shared" si="10"/>
        <v>20</v>
      </c>
      <c r="V27" s="193">
        <f t="shared" si="11"/>
        <v>10</v>
      </c>
      <c r="W27" s="165">
        <v>144449</v>
      </c>
      <c r="X27" s="193">
        <f t="shared" si="12"/>
        <v>70</v>
      </c>
      <c r="Y27" s="193">
        <f t="shared" si="13"/>
        <v>35</v>
      </c>
      <c r="Z27" s="165">
        <v>16410</v>
      </c>
      <c r="AA27" s="193">
        <f t="shared" si="14"/>
        <v>960</v>
      </c>
      <c r="AB27" s="165">
        <v>33081</v>
      </c>
      <c r="AC27" s="193">
        <f t="shared" si="15"/>
        <v>1930</v>
      </c>
      <c r="AD27" s="165">
        <v>59861</v>
      </c>
      <c r="AE27" s="193">
        <f t="shared" si="16"/>
        <v>3210</v>
      </c>
      <c r="AF27" s="165">
        <v>33081</v>
      </c>
      <c r="AG27" s="193">
        <f t="shared" si="17"/>
        <v>1930</v>
      </c>
      <c r="AH27" s="165">
        <v>158581</v>
      </c>
      <c r="AI27" s="193">
        <f t="shared" si="17"/>
        <v>10760</v>
      </c>
      <c r="AK27" s="96">
        <f t="shared" si="18"/>
        <v>279420</v>
      </c>
      <c r="AL27" s="97">
        <f t="shared" si="19"/>
        <v>20805</v>
      </c>
    </row>
    <row r="28" spans="1:38" ht="39.950000000000003" customHeight="1">
      <c r="A28" s="144">
        <v>44186</v>
      </c>
      <c r="B28" s="16"/>
      <c r="C28" s="165">
        <v>49112</v>
      </c>
      <c r="D28" s="193">
        <f t="shared" si="2"/>
        <v>68900</v>
      </c>
      <c r="E28" s="165">
        <v>76367</v>
      </c>
      <c r="F28" s="193">
        <f t="shared" si="3"/>
        <v>63000</v>
      </c>
      <c r="G28" s="165">
        <v>824352</v>
      </c>
      <c r="H28" s="193">
        <f t="shared" si="20"/>
        <v>7520</v>
      </c>
      <c r="I28" s="193">
        <f t="shared" si="5"/>
        <v>3760</v>
      </c>
      <c r="J28" s="165">
        <v>71222</v>
      </c>
      <c r="K28" s="193">
        <f t="shared" si="6"/>
        <v>56200</v>
      </c>
      <c r="L28" s="165">
        <v>111096</v>
      </c>
      <c r="M28" s="193">
        <f t="shared" si="7"/>
        <v>81800</v>
      </c>
      <c r="N28" s="165">
        <v>801148</v>
      </c>
      <c r="O28" s="193">
        <f t="shared" si="0"/>
        <v>3790</v>
      </c>
      <c r="P28" s="193">
        <f t="shared" si="8"/>
        <v>1895</v>
      </c>
      <c r="Q28" s="165">
        <v>130040</v>
      </c>
      <c r="R28" s="193">
        <f t="shared" si="1"/>
        <v>20</v>
      </c>
      <c r="S28" s="193">
        <f t="shared" si="9"/>
        <v>10</v>
      </c>
      <c r="T28" s="165">
        <v>70551</v>
      </c>
      <c r="U28" s="193">
        <f t="shared" si="10"/>
        <v>30</v>
      </c>
      <c r="V28" s="193">
        <f t="shared" si="11"/>
        <v>15</v>
      </c>
      <c r="W28" s="165">
        <v>144457</v>
      </c>
      <c r="X28" s="193">
        <f t="shared" si="12"/>
        <v>80</v>
      </c>
      <c r="Y28" s="193">
        <f t="shared" si="13"/>
        <v>40</v>
      </c>
      <c r="Z28" s="165">
        <v>16511</v>
      </c>
      <c r="AA28" s="193">
        <f t="shared" si="14"/>
        <v>1010</v>
      </c>
      <c r="AB28" s="165">
        <v>33266</v>
      </c>
      <c r="AC28" s="193">
        <f t="shared" si="15"/>
        <v>1850</v>
      </c>
      <c r="AD28" s="165">
        <v>60190</v>
      </c>
      <c r="AE28" s="193">
        <f t="shared" si="16"/>
        <v>3290</v>
      </c>
      <c r="AF28" s="165">
        <v>33266</v>
      </c>
      <c r="AG28" s="193">
        <f t="shared" si="17"/>
        <v>1850</v>
      </c>
      <c r="AH28" s="165">
        <v>159624</v>
      </c>
      <c r="AI28" s="193">
        <f t="shared" si="17"/>
        <v>10430</v>
      </c>
      <c r="AK28" s="96">
        <f t="shared" si="18"/>
        <v>275620</v>
      </c>
      <c r="AL28" s="97">
        <f t="shared" si="19"/>
        <v>20390</v>
      </c>
    </row>
    <row r="29" spans="1:38" ht="39.950000000000003" customHeight="1">
      <c r="A29" s="144">
        <v>44187</v>
      </c>
      <c r="B29" s="16"/>
      <c r="C29" s="165">
        <v>49823</v>
      </c>
      <c r="D29" s="193">
        <f t="shared" si="2"/>
        <v>71100</v>
      </c>
      <c r="E29" s="165">
        <v>77027</v>
      </c>
      <c r="F29" s="193">
        <f t="shared" si="3"/>
        <v>66000</v>
      </c>
      <c r="G29" s="165">
        <v>824997</v>
      </c>
      <c r="H29" s="193">
        <f t="shared" si="20"/>
        <v>6450</v>
      </c>
      <c r="I29" s="193">
        <f t="shared" si="5"/>
        <v>3225</v>
      </c>
      <c r="J29" s="165">
        <v>71765</v>
      </c>
      <c r="K29" s="193">
        <f t="shared" si="6"/>
        <v>54300</v>
      </c>
      <c r="L29" s="165">
        <v>111926</v>
      </c>
      <c r="M29" s="193">
        <f t="shared" si="7"/>
        <v>83000</v>
      </c>
      <c r="N29" s="165">
        <v>801692</v>
      </c>
      <c r="O29" s="193">
        <f t="shared" si="0"/>
        <v>5440</v>
      </c>
      <c r="P29" s="193">
        <f t="shared" si="8"/>
        <v>2720</v>
      </c>
      <c r="Q29" s="165">
        <v>130042</v>
      </c>
      <c r="R29" s="193">
        <f t="shared" si="1"/>
        <v>20</v>
      </c>
      <c r="S29" s="193">
        <f t="shared" si="9"/>
        <v>10</v>
      </c>
      <c r="T29" s="165">
        <v>70553</v>
      </c>
      <c r="U29" s="193">
        <f t="shared" si="10"/>
        <v>20</v>
      </c>
      <c r="V29" s="193">
        <f t="shared" si="11"/>
        <v>10</v>
      </c>
      <c r="W29" s="165">
        <v>144464</v>
      </c>
      <c r="X29" s="193">
        <f t="shared" si="12"/>
        <v>70</v>
      </c>
      <c r="Y29" s="193">
        <f t="shared" si="13"/>
        <v>35</v>
      </c>
      <c r="Z29" s="165">
        <v>16609</v>
      </c>
      <c r="AA29" s="193">
        <f t="shared" si="14"/>
        <v>980</v>
      </c>
      <c r="AB29" s="165">
        <v>33462</v>
      </c>
      <c r="AC29" s="193">
        <f t="shared" si="15"/>
        <v>1960</v>
      </c>
      <c r="AD29" s="165">
        <v>60531</v>
      </c>
      <c r="AE29" s="193">
        <f t="shared" si="16"/>
        <v>3410</v>
      </c>
      <c r="AF29" s="165">
        <v>33462</v>
      </c>
      <c r="AG29" s="193">
        <f t="shared" si="17"/>
        <v>1960</v>
      </c>
      <c r="AH29" s="165">
        <v>160704</v>
      </c>
      <c r="AI29" s="193">
        <f t="shared" si="17"/>
        <v>10800</v>
      </c>
      <c r="AK29" s="96">
        <f t="shared" si="18"/>
        <v>280400</v>
      </c>
      <c r="AL29" s="97">
        <f t="shared" si="19"/>
        <v>21885</v>
      </c>
    </row>
    <row r="30" spans="1:38" ht="39.950000000000003" customHeight="1">
      <c r="A30" s="144">
        <v>44188</v>
      </c>
      <c r="B30" s="16"/>
      <c r="C30" s="165">
        <v>50504</v>
      </c>
      <c r="D30" s="193">
        <f t="shared" si="2"/>
        <v>68100</v>
      </c>
      <c r="E30" s="165">
        <v>77677</v>
      </c>
      <c r="F30" s="193">
        <f t="shared" si="3"/>
        <v>65000</v>
      </c>
      <c r="G30" s="165">
        <v>825851</v>
      </c>
      <c r="H30" s="193">
        <f t="shared" si="20"/>
        <v>8540</v>
      </c>
      <c r="I30" s="193">
        <f t="shared" si="5"/>
        <v>4270</v>
      </c>
      <c r="J30" s="165">
        <v>72329</v>
      </c>
      <c r="K30" s="193">
        <f t="shared" si="6"/>
        <v>56400</v>
      </c>
      <c r="L30" s="165">
        <v>112760</v>
      </c>
      <c r="M30" s="193">
        <f t="shared" si="7"/>
        <v>83400</v>
      </c>
      <c r="N30" s="165">
        <v>802091</v>
      </c>
      <c r="O30" s="193">
        <f t="shared" si="0"/>
        <v>3990</v>
      </c>
      <c r="P30" s="193">
        <f t="shared" si="8"/>
        <v>1995</v>
      </c>
      <c r="Q30" s="165">
        <v>130044</v>
      </c>
      <c r="R30" s="193">
        <f t="shared" si="1"/>
        <v>20</v>
      </c>
      <c r="S30" s="193">
        <f t="shared" si="9"/>
        <v>10</v>
      </c>
      <c r="T30" s="165">
        <v>70555</v>
      </c>
      <c r="U30" s="193">
        <f t="shared" si="10"/>
        <v>20</v>
      </c>
      <c r="V30" s="193">
        <f t="shared" si="11"/>
        <v>10</v>
      </c>
      <c r="W30" s="165">
        <v>144472</v>
      </c>
      <c r="X30" s="193">
        <f t="shared" si="12"/>
        <v>80</v>
      </c>
      <c r="Y30" s="193">
        <f t="shared" si="13"/>
        <v>40</v>
      </c>
      <c r="Z30" s="165">
        <v>16708</v>
      </c>
      <c r="AA30" s="193">
        <f t="shared" si="14"/>
        <v>990</v>
      </c>
      <c r="AB30" s="165">
        <v>33649</v>
      </c>
      <c r="AC30" s="193">
        <f t="shared" si="15"/>
        <v>1870</v>
      </c>
      <c r="AD30" s="165">
        <v>60865</v>
      </c>
      <c r="AE30" s="193">
        <f t="shared" si="16"/>
        <v>3340</v>
      </c>
      <c r="AF30" s="165">
        <v>33649</v>
      </c>
      <c r="AG30" s="193">
        <f t="shared" si="17"/>
        <v>1870</v>
      </c>
      <c r="AH30" s="165">
        <v>161765</v>
      </c>
      <c r="AI30" s="193">
        <f t="shared" si="17"/>
        <v>10610</v>
      </c>
      <c r="AK30" s="96">
        <f t="shared" si="18"/>
        <v>279225</v>
      </c>
      <c r="AL30" s="97">
        <f t="shared" si="19"/>
        <v>20735</v>
      </c>
    </row>
    <row r="31" spans="1:38" ht="39.950000000000003" customHeight="1">
      <c r="A31" s="144">
        <v>44189</v>
      </c>
      <c r="B31" s="16"/>
      <c r="C31" s="165">
        <v>51190</v>
      </c>
      <c r="D31" s="193">
        <f t="shared" si="2"/>
        <v>68600</v>
      </c>
      <c r="E31" s="165">
        <v>78320</v>
      </c>
      <c r="F31" s="193">
        <f t="shared" si="3"/>
        <v>64300</v>
      </c>
      <c r="G31" s="165">
        <v>826882</v>
      </c>
      <c r="H31" s="193">
        <f t="shared" si="20"/>
        <v>10310</v>
      </c>
      <c r="I31" s="193">
        <f t="shared" si="5"/>
        <v>5155</v>
      </c>
      <c r="J31" s="165">
        <v>72905</v>
      </c>
      <c r="K31" s="193">
        <f t="shared" si="6"/>
        <v>57600</v>
      </c>
      <c r="L31" s="165">
        <v>113623</v>
      </c>
      <c r="M31" s="193">
        <f t="shared" si="7"/>
        <v>86300</v>
      </c>
      <c r="N31" s="165">
        <v>802462</v>
      </c>
      <c r="O31" s="193">
        <f t="shared" si="0"/>
        <v>3710</v>
      </c>
      <c r="P31" s="193">
        <f t="shared" si="8"/>
        <v>1855</v>
      </c>
      <c r="Q31" s="165">
        <v>130046</v>
      </c>
      <c r="R31" s="193">
        <f t="shared" si="1"/>
        <v>20</v>
      </c>
      <c r="S31" s="193">
        <f t="shared" si="9"/>
        <v>10</v>
      </c>
      <c r="T31" s="165">
        <v>70557</v>
      </c>
      <c r="U31" s="193">
        <f t="shared" si="10"/>
        <v>20</v>
      </c>
      <c r="V31" s="193">
        <f t="shared" si="11"/>
        <v>10</v>
      </c>
      <c r="W31" s="165">
        <v>144479</v>
      </c>
      <c r="X31" s="193">
        <f t="shared" si="12"/>
        <v>70</v>
      </c>
      <c r="Y31" s="193">
        <f t="shared" si="13"/>
        <v>35</v>
      </c>
      <c r="Z31" s="165">
        <v>16809</v>
      </c>
      <c r="AA31" s="193">
        <f t="shared" si="14"/>
        <v>1010</v>
      </c>
      <c r="AB31" s="165">
        <v>33839</v>
      </c>
      <c r="AC31" s="193">
        <f t="shared" si="15"/>
        <v>1900</v>
      </c>
      <c r="AD31" s="165">
        <v>61201</v>
      </c>
      <c r="AE31" s="193">
        <f t="shared" si="16"/>
        <v>3360</v>
      </c>
      <c r="AF31" s="165">
        <v>33839</v>
      </c>
      <c r="AG31" s="193">
        <f t="shared" si="17"/>
        <v>1900</v>
      </c>
      <c r="AH31" s="165">
        <v>162837</v>
      </c>
      <c r="AI31" s="193">
        <f t="shared" si="17"/>
        <v>10720</v>
      </c>
      <c r="AK31" s="96">
        <f t="shared" si="18"/>
        <v>283865</v>
      </c>
      <c r="AL31" s="97">
        <f t="shared" si="19"/>
        <v>20800</v>
      </c>
    </row>
    <row r="32" spans="1:38" ht="39.950000000000003" customHeight="1">
      <c r="A32" s="144">
        <v>44190</v>
      </c>
      <c r="B32" s="16"/>
      <c r="C32" s="194">
        <v>51906</v>
      </c>
      <c r="D32" s="193">
        <f t="shared" si="2"/>
        <v>71600</v>
      </c>
      <c r="E32" s="194">
        <v>79013</v>
      </c>
      <c r="F32" s="193">
        <f t="shared" si="3"/>
        <v>69300</v>
      </c>
      <c r="G32" s="194">
        <v>827863</v>
      </c>
      <c r="H32" s="193">
        <f t="shared" si="20"/>
        <v>9810</v>
      </c>
      <c r="I32" s="193">
        <f t="shared" si="5"/>
        <v>4905</v>
      </c>
      <c r="J32" s="194">
        <v>73484</v>
      </c>
      <c r="K32" s="193">
        <f t="shared" si="6"/>
        <v>57900</v>
      </c>
      <c r="L32" s="194">
        <v>114510</v>
      </c>
      <c r="M32" s="193">
        <f t="shared" si="7"/>
        <v>88700</v>
      </c>
      <c r="N32" s="194">
        <v>802851</v>
      </c>
      <c r="O32" s="193">
        <f t="shared" si="0"/>
        <v>3890</v>
      </c>
      <c r="P32" s="193">
        <f t="shared" si="8"/>
        <v>1945</v>
      </c>
      <c r="Q32" s="194">
        <v>130049</v>
      </c>
      <c r="R32" s="193">
        <f t="shared" si="1"/>
        <v>30</v>
      </c>
      <c r="S32" s="193">
        <f t="shared" si="9"/>
        <v>15</v>
      </c>
      <c r="T32" s="194">
        <v>70560</v>
      </c>
      <c r="U32" s="193">
        <f t="shared" si="10"/>
        <v>30</v>
      </c>
      <c r="V32" s="193">
        <f t="shared" si="11"/>
        <v>15</v>
      </c>
      <c r="W32" s="194">
        <v>144487</v>
      </c>
      <c r="X32" s="193">
        <f t="shared" si="12"/>
        <v>80</v>
      </c>
      <c r="Y32" s="193">
        <f t="shared" si="13"/>
        <v>40</v>
      </c>
      <c r="Z32" s="194">
        <v>16916</v>
      </c>
      <c r="AA32" s="193">
        <f t="shared" si="14"/>
        <v>1070</v>
      </c>
      <c r="AB32" s="194">
        <v>34025</v>
      </c>
      <c r="AC32" s="193">
        <f t="shared" si="15"/>
        <v>1860</v>
      </c>
      <c r="AD32" s="194">
        <v>61528</v>
      </c>
      <c r="AE32" s="193">
        <f t="shared" si="16"/>
        <v>3270</v>
      </c>
      <c r="AF32" s="194">
        <v>34025</v>
      </c>
      <c r="AG32" s="193">
        <f t="shared" si="17"/>
        <v>1860</v>
      </c>
      <c r="AH32" s="194">
        <v>163913</v>
      </c>
      <c r="AI32" s="193">
        <f t="shared" si="17"/>
        <v>10760</v>
      </c>
      <c r="AK32" s="96">
        <f t="shared" si="18"/>
        <v>294420</v>
      </c>
      <c r="AL32" s="97">
        <f t="shared" si="19"/>
        <v>20835</v>
      </c>
    </row>
    <row r="33" spans="1:38" ht="39.950000000000003" customHeight="1">
      <c r="A33" s="144">
        <v>44191</v>
      </c>
      <c r="B33" s="16"/>
      <c r="C33" s="194">
        <v>52604</v>
      </c>
      <c r="D33" s="193">
        <f t="shared" si="2"/>
        <v>69800</v>
      </c>
      <c r="E33" s="194">
        <v>79691</v>
      </c>
      <c r="F33" s="193">
        <f t="shared" si="3"/>
        <v>67800</v>
      </c>
      <c r="G33" s="194">
        <v>828816</v>
      </c>
      <c r="H33" s="193">
        <f t="shared" si="20"/>
        <v>9530</v>
      </c>
      <c r="I33" s="193">
        <f t="shared" si="5"/>
        <v>4765</v>
      </c>
      <c r="J33" s="194">
        <v>74049</v>
      </c>
      <c r="K33" s="193">
        <f t="shared" si="6"/>
        <v>56500</v>
      </c>
      <c r="L33" s="194">
        <v>115358</v>
      </c>
      <c r="M33" s="193">
        <f t="shared" si="7"/>
        <v>84800</v>
      </c>
      <c r="N33" s="194">
        <v>803246</v>
      </c>
      <c r="O33" s="193">
        <f t="shared" si="0"/>
        <v>3950</v>
      </c>
      <c r="P33" s="193">
        <f t="shared" si="8"/>
        <v>1975</v>
      </c>
      <c r="Q33" s="194">
        <v>130051</v>
      </c>
      <c r="R33" s="193">
        <f t="shared" si="1"/>
        <v>20</v>
      </c>
      <c r="S33" s="193">
        <f t="shared" si="9"/>
        <v>10</v>
      </c>
      <c r="T33" s="194">
        <v>70562</v>
      </c>
      <c r="U33" s="193">
        <f t="shared" si="10"/>
        <v>20</v>
      </c>
      <c r="V33" s="193">
        <f t="shared" si="11"/>
        <v>10</v>
      </c>
      <c r="W33" s="194">
        <v>144494</v>
      </c>
      <c r="X33" s="193">
        <f t="shared" si="12"/>
        <v>70</v>
      </c>
      <c r="Y33" s="193">
        <f t="shared" si="13"/>
        <v>35</v>
      </c>
      <c r="Z33" s="194">
        <v>17021</v>
      </c>
      <c r="AA33" s="193">
        <f t="shared" si="14"/>
        <v>1050</v>
      </c>
      <c r="AB33" s="194">
        <v>34203</v>
      </c>
      <c r="AC33" s="193">
        <f t="shared" si="15"/>
        <v>1780</v>
      </c>
      <c r="AD33" s="194">
        <v>61845</v>
      </c>
      <c r="AE33" s="193">
        <f t="shared" si="16"/>
        <v>3170</v>
      </c>
      <c r="AF33" s="194">
        <v>34203</v>
      </c>
      <c r="AG33" s="193">
        <f t="shared" si="17"/>
        <v>1780</v>
      </c>
      <c r="AH33" s="194">
        <v>164982</v>
      </c>
      <c r="AI33" s="193">
        <f t="shared" si="17"/>
        <v>10690</v>
      </c>
      <c r="AK33" s="96">
        <f t="shared" si="18"/>
        <v>285695</v>
      </c>
      <c r="AL33" s="97">
        <f t="shared" si="19"/>
        <v>20500</v>
      </c>
    </row>
    <row r="34" spans="1:38" ht="39.950000000000003" customHeight="1">
      <c r="A34" s="144">
        <v>44192</v>
      </c>
      <c r="B34" s="16"/>
      <c r="C34" s="194">
        <v>53214</v>
      </c>
      <c r="D34" s="193">
        <f t="shared" si="2"/>
        <v>61000</v>
      </c>
      <c r="E34" s="194">
        <v>80290</v>
      </c>
      <c r="F34" s="193">
        <f t="shared" si="3"/>
        <v>59900</v>
      </c>
      <c r="G34" s="194">
        <v>829829</v>
      </c>
      <c r="H34" s="193">
        <f t="shared" si="20"/>
        <v>10130</v>
      </c>
      <c r="I34" s="193">
        <f t="shared" si="5"/>
        <v>5065</v>
      </c>
      <c r="J34" s="194">
        <v>74612</v>
      </c>
      <c r="K34" s="193">
        <f t="shared" si="6"/>
        <v>56300</v>
      </c>
      <c r="L34" s="194">
        <v>116182</v>
      </c>
      <c r="M34" s="193">
        <f t="shared" si="7"/>
        <v>82400</v>
      </c>
      <c r="N34" s="194">
        <v>803634</v>
      </c>
      <c r="O34" s="193">
        <f t="shared" si="0"/>
        <v>3880</v>
      </c>
      <c r="P34" s="193">
        <f t="shared" si="8"/>
        <v>1940</v>
      </c>
      <c r="Q34" s="194">
        <v>130053</v>
      </c>
      <c r="R34" s="193">
        <f t="shared" si="1"/>
        <v>20</v>
      </c>
      <c r="S34" s="193">
        <f t="shared" si="9"/>
        <v>10</v>
      </c>
      <c r="T34" s="194">
        <v>70564</v>
      </c>
      <c r="U34" s="193">
        <f t="shared" si="10"/>
        <v>20</v>
      </c>
      <c r="V34" s="193">
        <f t="shared" si="11"/>
        <v>10</v>
      </c>
      <c r="W34" s="194">
        <v>144502</v>
      </c>
      <c r="X34" s="193">
        <f t="shared" si="12"/>
        <v>80</v>
      </c>
      <c r="Y34" s="193">
        <f t="shared" si="13"/>
        <v>40</v>
      </c>
      <c r="Z34" s="194">
        <v>17123</v>
      </c>
      <c r="AA34" s="193">
        <f t="shared" si="14"/>
        <v>1020</v>
      </c>
      <c r="AB34" s="194">
        <v>34374</v>
      </c>
      <c r="AC34" s="193">
        <f t="shared" si="15"/>
        <v>1710</v>
      </c>
      <c r="AD34" s="194">
        <v>62168</v>
      </c>
      <c r="AE34" s="193">
        <f t="shared" si="16"/>
        <v>3230</v>
      </c>
      <c r="AF34" s="194">
        <v>34374</v>
      </c>
      <c r="AG34" s="193">
        <f t="shared" si="17"/>
        <v>1710</v>
      </c>
      <c r="AH34" s="194">
        <v>166058</v>
      </c>
      <c r="AI34" s="193">
        <f t="shared" si="17"/>
        <v>10760</v>
      </c>
      <c r="AK34" s="96">
        <f t="shared" si="18"/>
        <v>266665</v>
      </c>
      <c r="AL34" s="97">
        <f t="shared" si="19"/>
        <v>20430</v>
      </c>
    </row>
    <row r="35" spans="1:38" ht="39.950000000000003" customHeight="1">
      <c r="A35" s="144">
        <v>44193</v>
      </c>
      <c r="B35" s="16"/>
      <c r="C35" s="194">
        <v>53646</v>
      </c>
      <c r="D35" s="193">
        <f t="shared" si="2"/>
        <v>43200</v>
      </c>
      <c r="E35" s="194">
        <v>80891</v>
      </c>
      <c r="F35" s="193">
        <f t="shared" si="3"/>
        <v>60100</v>
      </c>
      <c r="G35" s="194">
        <v>830832</v>
      </c>
      <c r="H35" s="193">
        <f t="shared" si="20"/>
        <v>10030</v>
      </c>
      <c r="I35" s="193">
        <f t="shared" si="5"/>
        <v>5015</v>
      </c>
      <c r="J35" s="194">
        <v>75192</v>
      </c>
      <c r="K35" s="193">
        <f t="shared" si="6"/>
        <v>58000</v>
      </c>
      <c r="L35" s="194">
        <v>117019</v>
      </c>
      <c r="M35" s="193">
        <f t="shared" si="7"/>
        <v>83700</v>
      </c>
      <c r="N35" s="194">
        <v>804062</v>
      </c>
      <c r="O35" s="193">
        <f t="shared" si="0"/>
        <v>4280</v>
      </c>
      <c r="P35" s="193">
        <f t="shared" si="8"/>
        <v>2140</v>
      </c>
      <c r="Q35" s="194">
        <v>130055</v>
      </c>
      <c r="R35" s="193">
        <f t="shared" si="1"/>
        <v>20</v>
      </c>
      <c r="S35" s="193">
        <f t="shared" si="9"/>
        <v>10</v>
      </c>
      <c r="T35" s="194">
        <v>70567</v>
      </c>
      <c r="U35" s="193">
        <f t="shared" si="10"/>
        <v>30</v>
      </c>
      <c r="V35" s="193">
        <f t="shared" si="11"/>
        <v>15</v>
      </c>
      <c r="W35" s="194">
        <v>144510</v>
      </c>
      <c r="X35" s="193">
        <f t="shared" si="12"/>
        <v>80</v>
      </c>
      <c r="Y35" s="193">
        <f t="shared" si="13"/>
        <v>40</v>
      </c>
      <c r="Z35" s="194">
        <v>17231</v>
      </c>
      <c r="AA35" s="193">
        <f t="shared" si="14"/>
        <v>1080</v>
      </c>
      <c r="AB35" s="194">
        <v>34570</v>
      </c>
      <c r="AC35" s="193">
        <f t="shared" si="15"/>
        <v>1960</v>
      </c>
      <c r="AD35" s="194">
        <v>62516</v>
      </c>
      <c r="AE35" s="193">
        <f t="shared" si="16"/>
        <v>3480</v>
      </c>
      <c r="AF35" s="194">
        <v>34570</v>
      </c>
      <c r="AG35" s="193">
        <f t="shared" si="17"/>
        <v>1960</v>
      </c>
      <c r="AH35" s="194">
        <v>167042</v>
      </c>
      <c r="AI35" s="193">
        <f t="shared" si="17"/>
        <v>9840</v>
      </c>
      <c r="AK35" s="96">
        <f t="shared" si="18"/>
        <v>252220</v>
      </c>
      <c r="AL35" s="97">
        <f t="shared" si="19"/>
        <v>20525</v>
      </c>
    </row>
    <row r="36" spans="1:38" ht="39.950000000000003" customHeight="1">
      <c r="A36" s="144">
        <v>44194</v>
      </c>
      <c r="B36" s="16"/>
      <c r="C36" s="194">
        <v>54006</v>
      </c>
      <c r="D36" s="193">
        <f t="shared" si="2"/>
        <v>36000</v>
      </c>
      <c r="E36" s="194">
        <v>81483</v>
      </c>
      <c r="F36" s="193">
        <f t="shared" si="3"/>
        <v>59200</v>
      </c>
      <c r="G36" s="194">
        <v>831868</v>
      </c>
      <c r="H36" s="193">
        <f t="shared" si="20"/>
        <v>10360</v>
      </c>
      <c r="I36" s="193">
        <f t="shared" si="5"/>
        <v>5180</v>
      </c>
      <c r="J36" s="194">
        <v>75720</v>
      </c>
      <c r="K36" s="193">
        <f t="shared" si="6"/>
        <v>52800</v>
      </c>
      <c r="L36" s="194">
        <v>117762</v>
      </c>
      <c r="M36" s="193">
        <f t="shared" si="7"/>
        <v>74300</v>
      </c>
      <c r="N36" s="194">
        <v>804479</v>
      </c>
      <c r="O36" s="193">
        <f t="shared" si="0"/>
        <v>4170</v>
      </c>
      <c r="P36" s="193">
        <f t="shared" si="8"/>
        <v>2085</v>
      </c>
      <c r="Q36" s="194">
        <v>130057</v>
      </c>
      <c r="R36" s="193">
        <f t="shared" si="1"/>
        <v>20</v>
      </c>
      <c r="S36" s="193">
        <f t="shared" si="9"/>
        <v>10</v>
      </c>
      <c r="T36" s="194">
        <v>70569</v>
      </c>
      <c r="U36" s="193">
        <f t="shared" si="10"/>
        <v>20</v>
      </c>
      <c r="V36" s="193">
        <f t="shared" si="11"/>
        <v>10</v>
      </c>
      <c r="W36" s="194">
        <v>144517</v>
      </c>
      <c r="X36" s="193">
        <f t="shared" si="12"/>
        <v>70</v>
      </c>
      <c r="Y36" s="193">
        <f t="shared" si="13"/>
        <v>35</v>
      </c>
      <c r="Z36" s="194">
        <v>17331</v>
      </c>
      <c r="AA36" s="193">
        <f t="shared" si="14"/>
        <v>1000</v>
      </c>
      <c r="AB36" s="194">
        <v>34746</v>
      </c>
      <c r="AC36" s="193">
        <f t="shared" si="15"/>
        <v>1760</v>
      </c>
      <c r="AD36" s="194">
        <v>62838</v>
      </c>
      <c r="AE36" s="193">
        <f t="shared" si="16"/>
        <v>3220</v>
      </c>
      <c r="AF36" s="194">
        <v>34746</v>
      </c>
      <c r="AG36" s="193">
        <f t="shared" si="17"/>
        <v>1760</v>
      </c>
      <c r="AH36" s="194">
        <v>167850</v>
      </c>
      <c r="AI36" s="193">
        <f t="shared" si="17"/>
        <v>8080</v>
      </c>
      <c r="AK36" s="96">
        <f t="shared" si="18"/>
        <v>229620</v>
      </c>
      <c r="AL36" s="97">
        <f t="shared" si="19"/>
        <v>17960</v>
      </c>
    </row>
    <row r="37" spans="1:38" ht="39.950000000000003" customHeight="1">
      <c r="A37" s="144">
        <v>44195</v>
      </c>
      <c r="B37" s="16"/>
      <c r="C37" s="194">
        <v>54418</v>
      </c>
      <c r="D37" s="193">
        <f t="shared" si="2"/>
        <v>41200</v>
      </c>
      <c r="E37" s="194">
        <v>82037</v>
      </c>
      <c r="F37" s="193">
        <f t="shared" si="3"/>
        <v>55400</v>
      </c>
      <c r="G37" s="194">
        <v>832669</v>
      </c>
      <c r="H37" s="193">
        <f t="shared" si="20"/>
        <v>8010</v>
      </c>
      <c r="I37" s="193">
        <f t="shared" si="5"/>
        <v>4005</v>
      </c>
      <c r="J37" s="194">
        <v>76277</v>
      </c>
      <c r="K37" s="193">
        <f t="shared" si="6"/>
        <v>55700</v>
      </c>
      <c r="L37" s="194">
        <v>118563</v>
      </c>
      <c r="M37" s="193">
        <f t="shared" si="7"/>
        <v>80100</v>
      </c>
      <c r="N37" s="194">
        <v>804865</v>
      </c>
      <c r="O37" s="193">
        <f t="shared" si="0"/>
        <v>3860</v>
      </c>
      <c r="P37" s="193">
        <f t="shared" si="8"/>
        <v>1930</v>
      </c>
      <c r="Q37" s="194">
        <v>130059</v>
      </c>
      <c r="R37" s="193">
        <f t="shared" si="1"/>
        <v>20</v>
      </c>
      <c r="S37" s="193">
        <f t="shared" si="9"/>
        <v>10</v>
      </c>
      <c r="T37" s="194">
        <v>70571</v>
      </c>
      <c r="U37" s="193">
        <f t="shared" si="10"/>
        <v>20</v>
      </c>
      <c r="V37" s="193">
        <f t="shared" si="11"/>
        <v>10</v>
      </c>
      <c r="W37" s="194">
        <v>144525</v>
      </c>
      <c r="X37" s="193">
        <f t="shared" si="12"/>
        <v>80</v>
      </c>
      <c r="Y37" s="193">
        <f t="shared" si="13"/>
        <v>40</v>
      </c>
      <c r="Z37" s="194">
        <v>17436</v>
      </c>
      <c r="AA37" s="193">
        <f t="shared" si="14"/>
        <v>1050</v>
      </c>
      <c r="AB37" s="194">
        <v>34944</v>
      </c>
      <c r="AC37" s="193">
        <f t="shared" si="15"/>
        <v>1980</v>
      </c>
      <c r="AD37" s="194">
        <v>63187</v>
      </c>
      <c r="AE37" s="193">
        <f t="shared" si="16"/>
        <v>3490</v>
      </c>
      <c r="AF37" s="194">
        <v>34944</v>
      </c>
      <c r="AG37" s="193">
        <f t="shared" si="17"/>
        <v>1980</v>
      </c>
      <c r="AH37" s="194">
        <v>168789</v>
      </c>
      <c r="AI37" s="193">
        <f t="shared" si="17"/>
        <v>9390</v>
      </c>
      <c r="AK37" s="96">
        <f t="shared" si="18"/>
        <v>238395</v>
      </c>
      <c r="AL37" s="97">
        <f t="shared" si="19"/>
        <v>19880</v>
      </c>
    </row>
    <row r="38" spans="1:38" s="146" customFormat="1" ht="39.950000000000003" customHeight="1">
      <c r="A38" s="144">
        <v>44196</v>
      </c>
      <c r="B38" s="145"/>
      <c r="C38" s="194">
        <v>55158</v>
      </c>
      <c r="D38" s="193">
        <f t="shared" si="2"/>
        <v>74000</v>
      </c>
      <c r="E38" s="194">
        <v>82665</v>
      </c>
      <c r="F38" s="193">
        <f t="shared" si="3"/>
        <v>62800</v>
      </c>
      <c r="G38" s="194">
        <v>833316</v>
      </c>
      <c r="H38" s="193">
        <f t="shared" ref="H38" si="21">(G38-G37)*10</f>
        <v>6470</v>
      </c>
      <c r="I38" s="193">
        <f t="shared" ref="I38" si="22">H38*50%</f>
        <v>3235</v>
      </c>
      <c r="J38" s="194">
        <v>76861</v>
      </c>
      <c r="K38" s="193">
        <f t="shared" si="7"/>
        <v>58400</v>
      </c>
      <c r="L38" s="194">
        <v>119381</v>
      </c>
      <c r="M38" s="193">
        <f t="shared" si="7"/>
        <v>81800</v>
      </c>
      <c r="N38" s="194">
        <v>805176</v>
      </c>
      <c r="O38" s="193">
        <f t="shared" ref="O38" si="23">(N38-N37)*10</f>
        <v>3110</v>
      </c>
      <c r="P38" s="193">
        <f t="shared" ref="P38" si="24">O38*50%</f>
        <v>1555</v>
      </c>
      <c r="Q38" s="194">
        <v>130062</v>
      </c>
      <c r="R38" s="193">
        <f t="shared" ref="R38" si="25">(Q38-Q37)*10</f>
        <v>30</v>
      </c>
      <c r="S38" s="193">
        <f t="shared" ref="S38" si="26">R38*50%</f>
        <v>15</v>
      </c>
      <c r="T38" s="194">
        <v>70573</v>
      </c>
      <c r="U38" s="193">
        <f t="shared" ref="U38" si="27">(T38-T37)*10</f>
        <v>20</v>
      </c>
      <c r="V38" s="193">
        <f t="shared" ref="V38" si="28">U38*50%</f>
        <v>10</v>
      </c>
      <c r="W38" s="194">
        <v>144532</v>
      </c>
      <c r="X38" s="193">
        <f t="shared" ref="X38" si="29">(W38-W37)*10</f>
        <v>70</v>
      </c>
      <c r="Y38" s="193">
        <f t="shared" ref="Y38" si="30">X38*50%</f>
        <v>35</v>
      </c>
      <c r="Z38" s="194">
        <v>17538</v>
      </c>
      <c r="AA38" s="193">
        <f t="shared" si="17"/>
        <v>1020</v>
      </c>
      <c r="AB38" s="194">
        <v>35147</v>
      </c>
      <c r="AC38" s="193">
        <f t="shared" si="17"/>
        <v>2030</v>
      </c>
      <c r="AD38" s="194">
        <v>63531</v>
      </c>
      <c r="AE38" s="193">
        <f t="shared" si="17"/>
        <v>3440</v>
      </c>
      <c r="AF38" s="194">
        <v>35147</v>
      </c>
      <c r="AG38" s="193">
        <f t="shared" si="17"/>
        <v>2030</v>
      </c>
      <c r="AH38" s="194">
        <v>170031</v>
      </c>
      <c r="AI38" s="193">
        <f t="shared" si="17"/>
        <v>12420</v>
      </c>
      <c r="AK38" s="96">
        <f t="shared" ref="AK38" si="31">SUM(D38,F38,I38,K38,M38,P38,S38,V38,Y38)</f>
        <v>281850</v>
      </c>
      <c r="AL38" s="97">
        <f t="shared" ref="AL38" si="32">SUM(P38,S38,V38,Y38,AA38,AC38,AE38,AG38,AI38)</f>
        <v>22555</v>
      </c>
    </row>
    <row r="39" spans="1:38" s="22" customFormat="1" ht="39.950000000000003" customHeight="1">
      <c r="A39" s="21"/>
      <c r="C39" s="74"/>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23" activePane="bottomRight" state="frozen"/>
      <selection pane="topRight" activeCell="C1" sqref="C1"/>
      <selection pane="bottomLeft" activeCell="A5" sqref="A5"/>
      <selection pane="bottomRight" activeCell="L35" sqref="L3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8"/>
      <c r="B1" s="108"/>
      <c r="C1" s="216" t="s">
        <v>64</v>
      </c>
      <c r="D1" s="216"/>
      <c r="E1" s="216" t="s">
        <v>64</v>
      </c>
      <c r="F1" s="216"/>
      <c r="G1" s="216" t="s">
        <v>64</v>
      </c>
      <c r="H1" s="216"/>
      <c r="I1" s="216" t="s">
        <v>64</v>
      </c>
      <c r="J1" s="216"/>
      <c r="K1" s="202" t="s">
        <v>65</v>
      </c>
      <c r="L1" s="203"/>
      <c r="M1" s="203"/>
      <c r="N1" s="204"/>
      <c r="O1" s="216" t="s">
        <v>66</v>
      </c>
      <c r="P1" s="216"/>
    </row>
    <row r="2" spans="1:19" s="27" customFormat="1" ht="113.25" customHeight="1">
      <c r="A2" s="26"/>
      <c r="B2" s="26"/>
      <c r="C2" s="218" t="s">
        <v>102</v>
      </c>
      <c r="D2" s="219"/>
      <c r="E2" s="218" t="s">
        <v>103</v>
      </c>
      <c r="F2" s="219"/>
      <c r="G2" s="218" t="s">
        <v>104</v>
      </c>
      <c r="H2" s="219"/>
      <c r="I2" s="218" t="s">
        <v>105</v>
      </c>
      <c r="J2" s="219"/>
      <c r="K2" s="220" t="s">
        <v>106</v>
      </c>
      <c r="L2" s="221"/>
      <c r="M2" s="221"/>
      <c r="N2" s="222"/>
      <c r="O2" s="218" t="s">
        <v>107</v>
      </c>
      <c r="P2" s="219"/>
    </row>
    <row r="3" spans="1:19" s="32" customFormat="1" ht="50.1" customHeight="1">
      <c r="A3" s="41"/>
      <c r="B3" s="41"/>
      <c r="C3" s="223" t="s">
        <v>108</v>
      </c>
      <c r="D3" s="224"/>
      <c r="E3" s="225" t="s">
        <v>109</v>
      </c>
      <c r="F3" s="226"/>
      <c r="G3" s="225" t="s">
        <v>110</v>
      </c>
      <c r="H3" s="226"/>
      <c r="I3" s="225" t="s">
        <v>111</v>
      </c>
      <c r="J3" s="226"/>
      <c r="K3" s="227" t="s">
        <v>112</v>
      </c>
      <c r="L3" s="228"/>
      <c r="M3" s="228"/>
      <c r="N3" s="229"/>
      <c r="O3" s="223" t="s">
        <v>113</v>
      </c>
      <c r="P3" s="224"/>
      <c r="R3" s="217" t="s">
        <v>80</v>
      </c>
      <c r="S3" s="217"/>
    </row>
    <row r="4" spans="1:19" s="8" customFormat="1" ht="30" customHeight="1">
      <c r="A4" s="106" t="s">
        <v>95</v>
      </c>
      <c r="B4" s="50"/>
      <c r="C4" s="200"/>
      <c r="D4" s="201"/>
      <c r="E4" s="200"/>
      <c r="F4" s="201"/>
      <c r="G4" s="200"/>
      <c r="H4" s="201"/>
      <c r="I4" s="200"/>
      <c r="J4" s="201"/>
      <c r="K4" s="200"/>
      <c r="L4" s="214"/>
      <c r="M4" s="214"/>
      <c r="N4" s="201"/>
      <c r="O4" s="50"/>
      <c r="P4" s="50"/>
      <c r="R4" s="217"/>
      <c r="S4" s="217"/>
    </row>
    <row r="5" spans="1:19" s="10" customFormat="1" ht="50.1" customHeight="1">
      <c r="A5" s="106" t="s">
        <v>98</v>
      </c>
      <c r="B5" s="106"/>
      <c r="C5" s="106" t="s">
        <v>114</v>
      </c>
      <c r="D5" s="106" t="s">
        <v>115</v>
      </c>
      <c r="E5" s="106" t="s">
        <v>114</v>
      </c>
      <c r="F5" s="106" t="s">
        <v>115</v>
      </c>
      <c r="G5" s="106" t="s">
        <v>114</v>
      </c>
      <c r="H5" s="106" t="s">
        <v>115</v>
      </c>
      <c r="I5" s="106" t="s">
        <v>114</v>
      </c>
      <c r="J5" s="106" t="s">
        <v>115</v>
      </c>
      <c r="K5" s="106" t="s">
        <v>114</v>
      </c>
      <c r="L5" s="106" t="s">
        <v>115</v>
      </c>
      <c r="M5" s="106" t="s">
        <v>64</v>
      </c>
      <c r="N5" s="106" t="s">
        <v>66</v>
      </c>
      <c r="O5" s="106" t="s">
        <v>114</v>
      </c>
      <c r="P5" s="106" t="s">
        <v>115</v>
      </c>
      <c r="R5" s="106"/>
      <c r="S5" s="106"/>
    </row>
    <row r="6" spans="1:19" ht="39.950000000000003" customHeight="1">
      <c r="A6" s="144">
        <v>44165</v>
      </c>
      <c r="B6" s="16"/>
      <c r="C6" s="83">
        <v>185208</v>
      </c>
      <c r="D6" s="181"/>
      <c r="E6" s="83">
        <v>171979</v>
      </c>
      <c r="F6" s="181"/>
      <c r="G6" s="83">
        <v>5718.5709000000006</v>
      </c>
      <c r="H6" s="181"/>
      <c r="I6" s="83">
        <v>11531</v>
      </c>
      <c r="J6" s="181"/>
      <c r="K6" s="83">
        <v>126555</v>
      </c>
      <c r="L6" s="75"/>
      <c r="M6" s="181"/>
      <c r="N6" s="181"/>
      <c r="O6" s="83">
        <v>92677</v>
      </c>
      <c r="P6" s="181"/>
      <c r="R6" s="96"/>
      <c r="S6" s="97"/>
    </row>
    <row r="7" spans="1:19" s="2" customFormat="1" ht="39.950000000000003" customHeight="1">
      <c r="A7" s="144">
        <v>44166</v>
      </c>
      <c r="B7" s="15"/>
      <c r="C7" s="82">
        <f>(C9-C6)/3+C6</f>
        <v>185354</v>
      </c>
      <c r="D7" s="181">
        <f>(C7-C6)</f>
        <v>146</v>
      </c>
      <c r="E7" s="82">
        <f>(E9-E6)/3+E6</f>
        <v>172214.66666666666</v>
      </c>
      <c r="F7" s="181">
        <f>(E7-E6)</f>
        <v>235.66666666665697</v>
      </c>
      <c r="G7" s="83">
        <v>5722.4187000000002</v>
      </c>
      <c r="H7" s="181">
        <f>(G7-G6)</f>
        <v>3.8477999999995518</v>
      </c>
      <c r="I7" s="83">
        <v>11587</v>
      </c>
      <c r="J7" s="181">
        <f>(I7-I6)</f>
        <v>56</v>
      </c>
      <c r="K7" s="82">
        <f>(K9-K6)/3+K6</f>
        <v>126693</v>
      </c>
      <c r="L7" s="181">
        <f>(K7-K6)</f>
        <v>138</v>
      </c>
      <c r="M7" s="181">
        <f>L7*55%</f>
        <v>75.900000000000006</v>
      </c>
      <c r="N7" s="181">
        <f>L7*45%</f>
        <v>62.1</v>
      </c>
      <c r="O7" s="82">
        <f>(O9-O6)/3+O6</f>
        <v>92776.666666666672</v>
      </c>
      <c r="P7" s="181">
        <f>(O7-O6)</f>
        <v>99.666666666671517</v>
      </c>
      <c r="R7" s="105">
        <f t="shared" ref="R7:R36" si="0">SUM(D7,F7,M71,H7)</f>
        <v>385.51446666665652</v>
      </c>
      <c r="S7" s="97">
        <f>SUM(N7,P7)</f>
        <v>161.76666666667151</v>
      </c>
    </row>
    <row r="8" spans="1:19" ht="39.950000000000003" customHeight="1">
      <c r="A8" s="144">
        <v>44167</v>
      </c>
      <c r="B8" s="16"/>
      <c r="C8" s="82">
        <f>(C10-C7)/3+C7</f>
        <v>185492.33333333334</v>
      </c>
      <c r="D8" s="181">
        <f t="shared" ref="D8:F35" si="1">(C8-C7)</f>
        <v>138.33333333334303</v>
      </c>
      <c r="E8" s="82">
        <f>(E10-E7)/3+E7</f>
        <v>172442.44444444444</v>
      </c>
      <c r="F8" s="181">
        <f t="shared" si="1"/>
        <v>227.77777777778101</v>
      </c>
      <c r="G8" s="83">
        <v>5728</v>
      </c>
      <c r="H8" s="181">
        <f t="shared" ref="H8:H36" si="2">(G8-G7)</f>
        <v>5.5812999999998283</v>
      </c>
      <c r="I8" s="83">
        <v>11596</v>
      </c>
      <c r="J8" s="181">
        <f t="shared" ref="J8:J36" si="3">(I8-I7)</f>
        <v>9</v>
      </c>
      <c r="K8" s="82">
        <f>(K10-K7)/3+K7</f>
        <v>126824.66666666667</v>
      </c>
      <c r="L8" s="181">
        <f t="shared" ref="L8:L36" si="4">(K8-K7)</f>
        <v>131.66666666667152</v>
      </c>
      <c r="M8" s="181">
        <f t="shared" ref="M8:M36" si="5">L8*55%</f>
        <v>72.416666666669343</v>
      </c>
      <c r="N8" s="181">
        <f t="shared" ref="N8:N36" si="6">L8*45%</f>
        <v>59.250000000002181</v>
      </c>
      <c r="O8" s="82">
        <f>(O10-O7)/3+O7</f>
        <v>92879.777777777781</v>
      </c>
      <c r="P8" s="181">
        <f t="shared" ref="P8:P37" si="7">(O8-O7)</f>
        <v>103.11111111110949</v>
      </c>
      <c r="R8" s="105">
        <f t="shared" si="0"/>
        <v>371.69241111112387</v>
      </c>
      <c r="S8" s="97">
        <f t="shared" ref="S8:S36" si="8">SUM(N8,P8)</f>
        <v>162.36111111111168</v>
      </c>
    </row>
    <row r="9" spans="1:19" ht="39.950000000000003" customHeight="1">
      <c r="A9" s="144">
        <v>44168</v>
      </c>
      <c r="B9" s="16"/>
      <c r="C9" s="83">
        <v>185646</v>
      </c>
      <c r="D9" s="181">
        <f t="shared" si="1"/>
        <v>153.66666666665697</v>
      </c>
      <c r="E9" s="83">
        <v>172686</v>
      </c>
      <c r="F9" s="181">
        <f t="shared" si="1"/>
        <v>243.55555555556202</v>
      </c>
      <c r="G9" s="83">
        <v>5732.2403000000004</v>
      </c>
      <c r="H9" s="181">
        <f t="shared" si="2"/>
        <v>4.2403000000003885</v>
      </c>
      <c r="I9" s="83">
        <v>11611</v>
      </c>
      <c r="J9" s="181">
        <f t="shared" si="3"/>
        <v>15</v>
      </c>
      <c r="K9" s="83">
        <v>126969</v>
      </c>
      <c r="L9" s="181">
        <f t="shared" si="4"/>
        <v>144.33333333332848</v>
      </c>
      <c r="M9" s="181">
        <f t="shared" si="5"/>
        <v>79.383333333330668</v>
      </c>
      <c r="N9" s="181">
        <f t="shared" si="6"/>
        <v>64.949999999997814</v>
      </c>
      <c r="O9" s="83">
        <v>92976</v>
      </c>
      <c r="P9" s="181">
        <f t="shared" si="7"/>
        <v>96.222222222218988</v>
      </c>
      <c r="R9" s="105">
        <f t="shared" si="0"/>
        <v>401.46252222221938</v>
      </c>
      <c r="S9" s="97">
        <f t="shared" si="8"/>
        <v>161.17222222221682</v>
      </c>
    </row>
    <row r="10" spans="1:19" ht="39.950000000000003" customHeight="1">
      <c r="A10" s="144">
        <v>44169</v>
      </c>
      <c r="B10" s="16"/>
      <c r="C10" s="83">
        <v>185769</v>
      </c>
      <c r="D10" s="181">
        <f t="shared" si="1"/>
        <v>123</v>
      </c>
      <c r="E10" s="83">
        <v>172898</v>
      </c>
      <c r="F10" s="181">
        <f t="shared" si="1"/>
        <v>212</v>
      </c>
      <c r="G10" s="83">
        <v>5751.7932000000001</v>
      </c>
      <c r="H10" s="181">
        <f t="shared" si="2"/>
        <v>19.552899999999681</v>
      </c>
      <c r="I10" s="83">
        <v>11621</v>
      </c>
      <c r="J10" s="181">
        <f t="shared" si="3"/>
        <v>10</v>
      </c>
      <c r="K10" s="83">
        <v>127088</v>
      </c>
      <c r="L10" s="181">
        <f t="shared" si="4"/>
        <v>119</v>
      </c>
      <c r="M10" s="181">
        <f t="shared" si="5"/>
        <v>65.45</v>
      </c>
      <c r="N10" s="181">
        <f t="shared" si="6"/>
        <v>53.550000000000004</v>
      </c>
      <c r="O10" s="83">
        <v>93086</v>
      </c>
      <c r="P10" s="181">
        <f t="shared" si="7"/>
        <v>110</v>
      </c>
      <c r="R10" s="105">
        <f t="shared" si="0"/>
        <v>354.55289999999968</v>
      </c>
      <c r="S10" s="97">
        <f t="shared" si="8"/>
        <v>163.55000000000001</v>
      </c>
    </row>
    <row r="11" spans="1:19" ht="39.950000000000003" customHeight="1">
      <c r="A11" s="144">
        <v>44170</v>
      </c>
      <c r="B11" s="16"/>
      <c r="C11" s="83">
        <v>185910</v>
      </c>
      <c r="D11" s="181">
        <f t="shared" si="1"/>
        <v>141</v>
      </c>
      <c r="E11" s="83">
        <v>173130</v>
      </c>
      <c r="F11" s="181">
        <f t="shared" si="1"/>
        <v>232</v>
      </c>
      <c r="G11" s="83">
        <v>5757.7425000000003</v>
      </c>
      <c r="H11" s="181">
        <f t="shared" si="2"/>
        <v>5.9493000000002212</v>
      </c>
      <c r="I11" s="83">
        <v>11630</v>
      </c>
      <c r="J11" s="181">
        <f t="shared" si="3"/>
        <v>9</v>
      </c>
      <c r="K11" s="83">
        <v>127222</v>
      </c>
      <c r="L11" s="181">
        <f t="shared" si="4"/>
        <v>134</v>
      </c>
      <c r="M11" s="181">
        <f t="shared" si="5"/>
        <v>73.7</v>
      </c>
      <c r="N11" s="181">
        <f t="shared" si="6"/>
        <v>60.300000000000004</v>
      </c>
      <c r="O11" s="83">
        <v>93183</v>
      </c>
      <c r="P11" s="181">
        <f t="shared" si="7"/>
        <v>97</v>
      </c>
      <c r="R11" s="105">
        <f t="shared" si="0"/>
        <v>378.94930000000022</v>
      </c>
      <c r="S11" s="97">
        <f t="shared" si="8"/>
        <v>157.30000000000001</v>
      </c>
    </row>
    <row r="12" spans="1:19" ht="39.950000000000003" customHeight="1">
      <c r="A12" s="144">
        <v>44171</v>
      </c>
      <c r="B12" s="16"/>
      <c r="C12" s="83">
        <v>186051</v>
      </c>
      <c r="D12" s="181">
        <f t="shared" si="1"/>
        <v>141</v>
      </c>
      <c r="E12" s="83">
        <v>173347</v>
      </c>
      <c r="F12" s="181">
        <f t="shared" si="1"/>
        <v>217</v>
      </c>
      <c r="G12" s="83">
        <v>5760.9582</v>
      </c>
      <c r="H12" s="181">
        <f t="shared" si="2"/>
        <v>3.2156999999997424</v>
      </c>
      <c r="I12" s="83">
        <v>11640</v>
      </c>
      <c r="J12" s="181">
        <f t="shared" si="3"/>
        <v>10</v>
      </c>
      <c r="K12" s="83">
        <v>127376</v>
      </c>
      <c r="L12" s="181">
        <f t="shared" si="4"/>
        <v>154</v>
      </c>
      <c r="M12" s="181">
        <f t="shared" si="5"/>
        <v>84.7</v>
      </c>
      <c r="N12" s="181">
        <f t="shared" si="6"/>
        <v>69.3</v>
      </c>
      <c r="O12" s="83">
        <v>93283</v>
      </c>
      <c r="P12" s="181">
        <f t="shared" si="7"/>
        <v>100</v>
      </c>
      <c r="R12" s="105">
        <f t="shared" si="0"/>
        <v>361.21569999999974</v>
      </c>
      <c r="S12" s="97">
        <f t="shared" si="8"/>
        <v>169.3</v>
      </c>
    </row>
    <row r="13" spans="1:19" ht="39.950000000000003" customHeight="1">
      <c r="A13" s="144">
        <v>44172</v>
      </c>
      <c r="B13" s="16"/>
      <c r="C13" s="83">
        <v>186178</v>
      </c>
      <c r="D13" s="181">
        <f t="shared" si="1"/>
        <v>127</v>
      </c>
      <c r="E13" s="83">
        <v>173534</v>
      </c>
      <c r="F13" s="181">
        <f t="shared" si="1"/>
        <v>187</v>
      </c>
      <c r="G13" s="83">
        <v>5763.5065000000004</v>
      </c>
      <c r="H13" s="181">
        <f t="shared" si="2"/>
        <v>2.5483000000003813</v>
      </c>
      <c r="I13" s="83">
        <v>11648</v>
      </c>
      <c r="J13" s="181">
        <f t="shared" si="3"/>
        <v>8</v>
      </c>
      <c r="K13" s="83">
        <v>127501</v>
      </c>
      <c r="L13" s="75">
        <f t="shared" si="4"/>
        <v>125</v>
      </c>
      <c r="M13" s="181">
        <f t="shared" si="5"/>
        <v>68.75</v>
      </c>
      <c r="N13" s="181">
        <f t="shared" si="6"/>
        <v>56.25</v>
      </c>
      <c r="O13" s="83">
        <v>93379</v>
      </c>
      <c r="P13" s="181">
        <f t="shared" si="7"/>
        <v>96</v>
      </c>
      <c r="R13" s="105">
        <f t="shared" si="0"/>
        <v>316.54830000000038</v>
      </c>
      <c r="S13" s="97">
        <f t="shared" si="8"/>
        <v>152.25</v>
      </c>
    </row>
    <row r="14" spans="1:19" ht="39.950000000000003" customHeight="1">
      <c r="A14" s="144">
        <v>44173</v>
      </c>
      <c r="B14" s="16"/>
      <c r="C14" s="83">
        <v>186310</v>
      </c>
      <c r="D14" s="181">
        <f t="shared" si="1"/>
        <v>132</v>
      </c>
      <c r="E14" s="83">
        <v>173735</v>
      </c>
      <c r="F14" s="181">
        <f t="shared" si="1"/>
        <v>201</v>
      </c>
      <c r="G14" s="83">
        <v>5767.1877000000004</v>
      </c>
      <c r="H14" s="181">
        <f t="shared" si="2"/>
        <v>3.6811999999999898</v>
      </c>
      <c r="I14" s="83">
        <v>11649</v>
      </c>
      <c r="J14" s="181">
        <f t="shared" si="3"/>
        <v>1</v>
      </c>
      <c r="K14" s="83">
        <v>127639</v>
      </c>
      <c r="L14" s="75">
        <f t="shared" si="4"/>
        <v>138</v>
      </c>
      <c r="M14" s="181">
        <f t="shared" si="5"/>
        <v>75.900000000000006</v>
      </c>
      <c r="N14" s="181">
        <f t="shared" si="6"/>
        <v>62.1</v>
      </c>
      <c r="O14" s="83">
        <v>93476</v>
      </c>
      <c r="P14" s="181">
        <f t="shared" si="7"/>
        <v>97</v>
      </c>
      <c r="R14" s="105">
        <f t="shared" si="0"/>
        <v>336.68119999999999</v>
      </c>
      <c r="S14" s="97">
        <f t="shared" si="8"/>
        <v>159.1</v>
      </c>
    </row>
    <row r="15" spans="1:19" ht="39.950000000000003" customHeight="1">
      <c r="A15" s="144">
        <v>44174</v>
      </c>
      <c r="B15" s="16"/>
      <c r="C15" s="83">
        <v>186406</v>
      </c>
      <c r="D15" s="181">
        <f t="shared" si="1"/>
        <v>96</v>
      </c>
      <c r="E15" s="83">
        <v>173935</v>
      </c>
      <c r="F15" s="181">
        <f t="shared" si="1"/>
        <v>200</v>
      </c>
      <c r="G15" s="83">
        <v>5770.6733000000004</v>
      </c>
      <c r="H15" s="181">
        <f t="shared" si="2"/>
        <v>3.4855999999999767</v>
      </c>
      <c r="I15" s="83">
        <v>11655</v>
      </c>
      <c r="J15" s="181">
        <f t="shared" si="3"/>
        <v>6</v>
      </c>
      <c r="K15" s="83">
        <v>127777</v>
      </c>
      <c r="L15" s="75">
        <f t="shared" si="4"/>
        <v>138</v>
      </c>
      <c r="M15" s="181">
        <f t="shared" si="5"/>
        <v>75.900000000000006</v>
      </c>
      <c r="N15" s="181">
        <f t="shared" si="6"/>
        <v>62.1</v>
      </c>
      <c r="O15" s="83">
        <v>93565</v>
      </c>
      <c r="P15" s="181">
        <f t="shared" si="7"/>
        <v>89</v>
      </c>
      <c r="R15" s="105">
        <f t="shared" si="0"/>
        <v>299.48559999999998</v>
      </c>
      <c r="S15" s="97">
        <f t="shared" si="8"/>
        <v>151.1</v>
      </c>
    </row>
    <row r="16" spans="1:19" ht="39.950000000000003" customHeight="1">
      <c r="A16" s="144">
        <v>44175</v>
      </c>
      <c r="B16" s="16"/>
      <c r="C16" s="83">
        <v>186511</v>
      </c>
      <c r="D16" s="181">
        <f t="shared" si="1"/>
        <v>105</v>
      </c>
      <c r="E16" s="83">
        <v>174160</v>
      </c>
      <c r="F16" s="181">
        <f t="shared" si="1"/>
        <v>225</v>
      </c>
      <c r="G16" s="83">
        <v>5775</v>
      </c>
      <c r="H16" s="181">
        <f t="shared" si="2"/>
        <v>4.3266999999996187</v>
      </c>
      <c r="I16" s="83">
        <v>11659</v>
      </c>
      <c r="J16" s="181">
        <f t="shared" si="3"/>
        <v>4</v>
      </c>
      <c r="K16" s="83">
        <v>127906</v>
      </c>
      <c r="L16" s="75">
        <f t="shared" si="4"/>
        <v>129</v>
      </c>
      <c r="M16" s="181">
        <f t="shared" si="5"/>
        <v>70.95</v>
      </c>
      <c r="N16" s="181">
        <f t="shared" si="6"/>
        <v>58.050000000000004</v>
      </c>
      <c r="O16" s="83">
        <v>93741</v>
      </c>
      <c r="P16" s="181">
        <f t="shared" si="7"/>
        <v>176</v>
      </c>
      <c r="R16" s="105">
        <f t="shared" si="0"/>
        <v>334.32669999999962</v>
      </c>
      <c r="S16" s="97">
        <f t="shared" si="8"/>
        <v>234.05</v>
      </c>
    </row>
    <row r="17" spans="1:19" ht="39.950000000000003" customHeight="1">
      <c r="A17" s="144">
        <v>44176</v>
      </c>
      <c r="B17" s="16"/>
      <c r="C17" s="82">
        <v>186611</v>
      </c>
      <c r="D17" s="181">
        <f t="shared" si="1"/>
        <v>100</v>
      </c>
      <c r="E17" s="82">
        <v>174352</v>
      </c>
      <c r="F17" s="181">
        <f t="shared" si="1"/>
        <v>192</v>
      </c>
      <c r="G17" s="82">
        <v>5778.4435000000003</v>
      </c>
      <c r="H17" s="181">
        <f t="shared" si="2"/>
        <v>3.4435000000003129</v>
      </c>
      <c r="I17" s="82">
        <v>11660</v>
      </c>
      <c r="J17" s="181">
        <f t="shared" si="3"/>
        <v>1</v>
      </c>
      <c r="K17" s="82">
        <v>128031</v>
      </c>
      <c r="L17" s="75">
        <f t="shared" si="4"/>
        <v>125</v>
      </c>
      <c r="M17" s="181">
        <f t="shared" si="5"/>
        <v>68.75</v>
      </c>
      <c r="N17" s="181">
        <f t="shared" si="6"/>
        <v>56.25</v>
      </c>
      <c r="O17" s="82">
        <v>93862</v>
      </c>
      <c r="P17" s="181">
        <f t="shared" si="7"/>
        <v>121</v>
      </c>
      <c r="R17" s="105">
        <f t="shared" si="0"/>
        <v>295.44350000000031</v>
      </c>
      <c r="S17" s="97">
        <f t="shared" si="8"/>
        <v>177.25</v>
      </c>
    </row>
    <row r="18" spans="1:19" ht="39.950000000000003" customHeight="1">
      <c r="A18" s="144">
        <v>44177</v>
      </c>
      <c r="B18" s="16"/>
      <c r="C18" s="82">
        <v>186713</v>
      </c>
      <c r="D18" s="181">
        <f t="shared" si="1"/>
        <v>102</v>
      </c>
      <c r="E18" s="82">
        <v>174580</v>
      </c>
      <c r="F18" s="181">
        <f t="shared" si="1"/>
        <v>228</v>
      </c>
      <c r="G18" s="82">
        <v>5780</v>
      </c>
      <c r="H18" s="181">
        <f t="shared" si="2"/>
        <v>1.5564999999996871</v>
      </c>
      <c r="I18" s="82">
        <v>11662</v>
      </c>
      <c r="J18" s="181">
        <f t="shared" si="3"/>
        <v>2</v>
      </c>
      <c r="K18" s="82">
        <v>128158</v>
      </c>
      <c r="L18" s="75">
        <f t="shared" si="4"/>
        <v>127</v>
      </c>
      <c r="M18" s="181">
        <f t="shared" si="5"/>
        <v>69.850000000000009</v>
      </c>
      <c r="N18" s="181">
        <f t="shared" si="6"/>
        <v>57.15</v>
      </c>
      <c r="O18" s="82">
        <v>93944</v>
      </c>
      <c r="P18" s="181">
        <f t="shared" si="7"/>
        <v>82</v>
      </c>
      <c r="R18" s="105">
        <f t="shared" si="0"/>
        <v>331.55649999999969</v>
      </c>
      <c r="S18" s="97">
        <f t="shared" si="8"/>
        <v>139.15</v>
      </c>
    </row>
    <row r="19" spans="1:19" s="78" customFormat="1" ht="39.950000000000003" customHeight="1">
      <c r="A19" s="144">
        <v>44178</v>
      </c>
      <c r="B19" s="81"/>
      <c r="C19" s="83">
        <v>186858</v>
      </c>
      <c r="D19" s="181">
        <f t="shared" si="1"/>
        <v>145</v>
      </c>
      <c r="E19" s="83">
        <v>174841</v>
      </c>
      <c r="F19" s="181">
        <f t="shared" si="1"/>
        <v>261</v>
      </c>
      <c r="G19" s="83">
        <v>5782.7168000000001</v>
      </c>
      <c r="H19" s="181">
        <f t="shared" si="2"/>
        <v>2.7168000000001484</v>
      </c>
      <c r="I19" s="83">
        <v>11664</v>
      </c>
      <c r="J19" s="181">
        <f t="shared" si="3"/>
        <v>2</v>
      </c>
      <c r="K19" s="83">
        <v>128265</v>
      </c>
      <c r="L19" s="75">
        <f t="shared" si="4"/>
        <v>107</v>
      </c>
      <c r="M19" s="181">
        <f t="shared" si="5"/>
        <v>58.85</v>
      </c>
      <c r="N19" s="181">
        <f t="shared" si="6"/>
        <v>48.15</v>
      </c>
      <c r="O19" s="83">
        <v>94039</v>
      </c>
      <c r="P19" s="181">
        <f t="shared" si="7"/>
        <v>95</v>
      </c>
      <c r="R19" s="167">
        <f t="shared" si="0"/>
        <v>408.71680000000015</v>
      </c>
      <c r="S19" s="104">
        <f t="shared" si="8"/>
        <v>143.15</v>
      </c>
    </row>
    <row r="20" spans="1:19" s="78" customFormat="1" ht="39.950000000000003" customHeight="1">
      <c r="A20" s="144">
        <v>44179</v>
      </c>
      <c r="B20" s="81"/>
      <c r="C20" s="83">
        <v>187019</v>
      </c>
      <c r="D20" s="181">
        <f t="shared" si="1"/>
        <v>161</v>
      </c>
      <c r="E20" s="83">
        <v>175128</v>
      </c>
      <c r="F20" s="181">
        <f t="shared" si="1"/>
        <v>287</v>
      </c>
      <c r="G20" s="83">
        <v>5785.1806999999999</v>
      </c>
      <c r="H20" s="181">
        <f t="shared" si="2"/>
        <v>2.4638999999997395</v>
      </c>
      <c r="I20" s="83">
        <v>11667</v>
      </c>
      <c r="J20" s="181">
        <f t="shared" si="3"/>
        <v>3</v>
      </c>
      <c r="K20" s="83">
        <v>128392</v>
      </c>
      <c r="L20" s="75">
        <f t="shared" si="4"/>
        <v>127</v>
      </c>
      <c r="M20" s="181">
        <f t="shared" si="5"/>
        <v>69.850000000000009</v>
      </c>
      <c r="N20" s="181">
        <f t="shared" si="6"/>
        <v>57.15</v>
      </c>
      <c r="O20" s="83">
        <v>94118</v>
      </c>
      <c r="P20" s="181">
        <f t="shared" si="7"/>
        <v>79</v>
      </c>
      <c r="R20" s="167">
        <f t="shared" si="0"/>
        <v>450.46389999999974</v>
      </c>
      <c r="S20" s="104">
        <f t="shared" si="8"/>
        <v>136.15</v>
      </c>
    </row>
    <row r="21" spans="1:19" s="78" customFormat="1" ht="39.950000000000003" customHeight="1">
      <c r="A21" s="144">
        <v>44180</v>
      </c>
      <c r="B21" s="81"/>
      <c r="C21" s="83">
        <v>187142</v>
      </c>
      <c r="D21" s="181">
        <f t="shared" si="1"/>
        <v>123</v>
      </c>
      <c r="E21" s="83">
        <v>175369</v>
      </c>
      <c r="F21" s="181">
        <f>(E21-E20)</f>
        <v>241</v>
      </c>
      <c r="G21" s="83">
        <v>5788.2204000000002</v>
      </c>
      <c r="H21" s="181">
        <f t="shared" si="2"/>
        <v>3.0397000000002663</v>
      </c>
      <c r="I21" s="83">
        <v>11682</v>
      </c>
      <c r="J21" s="181">
        <f t="shared" si="3"/>
        <v>15</v>
      </c>
      <c r="K21" s="83">
        <v>128515</v>
      </c>
      <c r="L21" s="75">
        <f t="shared" si="4"/>
        <v>123</v>
      </c>
      <c r="M21" s="181">
        <f t="shared" si="5"/>
        <v>67.650000000000006</v>
      </c>
      <c r="N21" s="181">
        <f t="shared" si="6"/>
        <v>55.35</v>
      </c>
      <c r="O21" s="83">
        <v>94200</v>
      </c>
      <c r="P21" s="181">
        <f t="shared" si="7"/>
        <v>82</v>
      </c>
      <c r="R21" s="167">
        <f t="shared" si="0"/>
        <v>367.03970000000027</v>
      </c>
      <c r="S21" s="104">
        <f t="shared" si="8"/>
        <v>137.35</v>
      </c>
    </row>
    <row r="22" spans="1:19" s="78" customFormat="1" ht="39.950000000000003" customHeight="1">
      <c r="A22" s="144">
        <v>44181</v>
      </c>
      <c r="B22" s="81"/>
      <c r="C22" s="82">
        <v>187271</v>
      </c>
      <c r="D22" s="181">
        <f t="shared" si="1"/>
        <v>129</v>
      </c>
      <c r="E22" s="82">
        <v>175596</v>
      </c>
      <c r="F22" s="181">
        <f>(E22-E21)</f>
        <v>227</v>
      </c>
      <c r="G22" s="82">
        <v>5790.0499</v>
      </c>
      <c r="H22" s="181">
        <f t="shared" si="2"/>
        <v>1.8294999999998254</v>
      </c>
      <c r="I22" s="82">
        <v>11686</v>
      </c>
      <c r="J22" s="181">
        <f t="shared" si="3"/>
        <v>4</v>
      </c>
      <c r="K22" s="82">
        <v>128645</v>
      </c>
      <c r="L22" s="75">
        <f t="shared" si="4"/>
        <v>130</v>
      </c>
      <c r="M22" s="181">
        <f t="shared" si="5"/>
        <v>71.5</v>
      </c>
      <c r="N22" s="181">
        <f t="shared" si="6"/>
        <v>58.5</v>
      </c>
      <c r="O22" s="82">
        <v>94282</v>
      </c>
      <c r="P22" s="181">
        <f t="shared" si="7"/>
        <v>82</v>
      </c>
      <c r="R22" s="167">
        <f t="shared" si="0"/>
        <v>357.82949999999983</v>
      </c>
      <c r="S22" s="104">
        <f t="shared" si="8"/>
        <v>140.5</v>
      </c>
    </row>
    <row r="23" spans="1:19" s="78" customFormat="1" ht="39.950000000000003" customHeight="1">
      <c r="A23" s="144">
        <v>44182</v>
      </c>
      <c r="B23" s="81"/>
      <c r="C23" s="82">
        <v>187402</v>
      </c>
      <c r="D23" s="181">
        <f t="shared" si="1"/>
        <v>131</v>
      </c>
      <c r="E23" s="82">
        <v>175828</v>
      </c>
      <c r="F23" s="181">
        <f>(E23-E22)</f>
        <v>232</v>
      </c>
      <c r="G23" s="82">
        <v>5790.0499</v>
      </c>
      <c r="H23" s="181">
        <f t="shared" si="2"/>
        <v>0</v>
      </c>
      <c r="I23" s="82">
        <v>11699</v>
      </c>
      <c r="J23" s="181">
        <f t="shared" si="3"/>
        <v>13</v>
      </c>
      <c r="K23" s="82">
        <v>128776</v>
      </c>
      <c r="L23" s="75">
        <f t="shared" si="4"/>
        <v>131</v>
      </c>
      <c r="M23" s="181">
        <f t="shared" si="5"/>
        <v>72.050000000000011</v>
      </c>
      <c r="N23" s="181">
        <f t="shared" si="6"/>
        <v>58.95</v>
      </c>
      <c r="O23" s="82">
        <v>94372</v>
      </c>
      <c r="P23" s="181">
        <f t="shared" si="7"/>
        <v>90</v>
      </c>
      <c r="R23" s="167">
        <f t="shared" si="0"/>
        <v>363</v>
      </c>
      <c r="S23" s="104">
        <f t="shared" si="8"/>
        <v>148.94999999999999</v>
      </c>
    </row>
    <row r="24" spans="1:19" s="78" customFormat="1" ht="39.950000000000003" customHeight="1">
      <c r="A24" s="144">
        <v>44183</v>
      </c>
      <c r="B24" s="81"/>
      <c r="C24" s="82">
        <v>187527</v>
      </c>
      <c r="D24" s="181">
        <f t="shared" si="1"/>
        <v>125</v>
      </c>
      <c r="E24" s="82">
        <v>176043</v>
      </c>
      <c r="F24" s="181">
        <f t="shared" si="1"/>
        <v>215</v>
      </c>
      <c r="G24" s="82">
        <v>5797.4790999999996</v>
      </c>
      <c r="H24" s="181">
        <f t="shared" si="2"/>
        <v>7.4291999999995824</v>
      </c>
      <c r="I24" s="82">
        <v>11710</v>
      </c>
      <c r="J24" s="181">
        <f t="shared" si="3"/>
        <v>11</v>
      </c>
      <c r="K24" s="82">
        <v>128899</v>
      </c>
      <c r="L24" s="75">
        <f t="shared" si="4"/>
        <v>123</v>
      </c>
      <c r="M24" s="181">
        <f t="shared" si="5"/>
        <v>67.650000000000006</v>
      </c>
      <c r="N24" s="181">
        <f t="shared" si="6"/>
        <v>55.35</v>
      </c>
      <c r="O24" s="82">
        <v>94453</v>
      </c>
      <c r="P24" s="181">
        <f t="shared" si="7"/>
        <v>81</v>
      </c>
      <c r="R24" s="167">
        <f t="shared" si="0"/>
        <v>347.42919999999958</v>
      </c>
      <c r="S24" s="104">
        <f t="shared" si="8"/>
        <v>136.35</v>
      </c>
    </row>
    <row r="25" spans="1:19" s="78" customFormat="1" ht="39.950000000000003" customHeight="1">
      <c r="A25" s="144">
        <v>44184</v>
      </c>
      <c r="B25" s="81"/>
      <c r="C25" s="82">
        <v>187670</v>
      </c>
      <c r="D25" s="181">
        <f t="shared" si="1"/>
        <v>143</v>
      </c>
      <c r="E25" s="82">
        <v>176266</v>
      </c>
      <c r="F25" s="181">
        <f t="shared" si="1"/>
        <v>223</v>
      </c>
      <c r="G25" s="82">
        <v>5799.9764999999998</v>
      </c>
      <c r="H25" s="181">
        <f t="shared" si="2"/>
        <v>2.4974000000001979</v>
      </c>
      <c r="I25" s="82">
        <v>11718</v>
      </c>
      <c r="J25" s="181">
        <f t="shared" si="3"/>
        <v>8</v>
      </c>
      <c r="K25" s="82">
        <v>129019</v>
      </c>
      <c r="L25" s="75">
        <f t="shared" si="4"/>
        <v>120</v>
      </c>
      <c r="M25" s="181">
        <f t="shared" si="5"/>
        <v>66</v>
      </c>
      <c r="N25" s="181">
        <f t="shared" si="6"/>
        <v>54</v>
      </c>
      <c r="O25" s="82">
        <v>94537</v>
      </c>
      <c r="P25" s="181">
        <f t="shared" si="7"/>
        <v>84</v>
      </c>
      <c r="R25" s="167">
        <f t="shared" si="0"/>
        <v>368.4974000000002</v>
      </c>
      <c r="S25" s="104">
        <f t="shared" si="8"/>
        <v>138</v>
      </c>
    </row>
    <row r="26" spans="1:19" ht="39.950000000000003" customHeight="1">
      <c r="A26" s="144">
        <v>44185</v>
      </c>
      <c r="B26" s="81"/>
      <c r="C26" s="82">
        <v>187858</v>
      </c>
      <c r="D26" s="181">
        <f t="shared" si="1"/>
        <v>188</v>
      </c>
      <c r="E26" s="82">
        <v>176528</v>
      </c>
      <c r="F26" s="181">
        <f t="shared" si="1"/>
        <v>262</v>
      </c>
      <c r="G26" s="82">
        <v>5817.5320000000002</v>
      </c>
      <c r="H26" s="181">
        <f t="shared" si="2"/>
        <v>17.555500000000393</v>
      </c>
      <c r="I26" s="82">
        <v>11725</v>
      </c>
      <c r="J26" s="181">
        <f t="shared" si="3"/>
        <v>7</v>
      </c>
      <c r="K26" s="82">
        <v>129144</v>
      </c>
      <c r="L26" s="75">
        <f t="shared" si="4"/>
        <v>125</v>
      </c>
      <c r="M26" s="181">
        <f t="shared" si="5"/>
        <v>68.75</v>
      </c>
      <c r="N26" s="181">
        <f t="shared" si="6"/>
        <v>56.25</v>
      </c>
      <c r="O26" s="82">
        <v>94652</v>
      </c>
      <c r="P26" s="181">
        <f t="shared" si="7"/>
        <v>115</v>
      </c>
      <c r="R26" s="105">
        <f t="shared" si="0"/>
        <v>467.55550000000039</v>
      </c>
      <c r="S26" s="97">
        <f t="shared" si="8"/>
        <v>171.25</v>
      </c>
    </row>
    <row r="27" spans="1:19" ht="39.950000000000003" customHeight="1">
      <c r="A27" s="144">
        <v>44186</v>
      </c>
      <c r="B27" s="81"/>
      <c r="C27" s="83">
        <v>188035</v>
      </c>
      <c r="D27" s="181">
        <f t="shared" si="1"/>
        <v>177</v>
      </c>
      <c r="E27" s="83">
        <v>176782</v>
      </c>
      <c r="F27" s="181">
        <f t="shared" si="1"/>
        <v>254</v>
      </c>
      <c r="G27" s="83">
        <v>5825.7938999999997</v>
      </c>
      <c r="H27" s="181">
        <f t="shared" si="2"/>
        <v>8.261899999999514</v>
      </c>
      <c r="I27" s="83">
        <v>11734</v>
      </c>
      <c r="J27" s="181">
        <f t="shared" si="3"/>
        <v>9</v>
      </c>
      <c r="K27" s="83">
        <v>129282</v>
      </c>
      <c r="L27" s="75">
        <f t="shared" si="4"/>
        <v>138</v>
      </c>
      <c r="M27" s="181">
        <f t="shared" si="5"/>
        <v>75.900000000000006</v>
      </c>
      <c r="N27" s="181">
        <f t="shared" si="6"/>
        <v>62.1</v>
      </c>
      <c r="O27" s="83">
        <v>94706</v>
      </c>
      <c r="P27" s="181">
        <f t="shared" si="7"/>
        <v>54</v>
      </c>
      <c r="R27" s="105">
        <f t="shared" si="0"/>
        <v>439.26189999999951</v>
      </c>
      <c r="S27" s="97">
        <f t="shared" si="8"/>
        <v>116.1</v>
      </c>
    </row>
    <row r="28" spans="1:19" ht="39.950000000000003" customHeight="1">
      <c r="A28" s="144">
        <v>44187</v>
      </c>
      <c r="B28" s="81"/>
      <c r="C28" s="82">
        <v>188222</v>
      </c>
      <c r="D28" s="181">
        <f t="shared" si="1"/>
        <v>187</v>
      </c>
      <c r="E28" s="82">
        <v>177059</v>
      </c>
      <c r="F28" s="181">
        <f t="shared" si="1"/>
        <v>277</v>
      </c>
      <c r="G28" s="82">
        <v>5828.7740000000003</v>
      </c>
      <c r="H28" s="181">
        <f t="shared" si="2"/>
        <v>2.9801000000006752</v>
      </c>
      <c r="I28" s="82">
        <v>11746</v>
      </c>
      <c r="J28" s="181">
        <f t="shared" si="3"/>
        <v>12</v>
      </c>
      <c r="K28" s="82">
        <v>129411</v>
      </c>
      <c r="L28" s="75">
        <f t="shared" si="4"/>
        <v>129</v>
      </c>
      <c r="M28" s="181">
        <f t="shared" si="5"/>
        <v>70.95</v>
      </c>
      <c r="N28" s="181">
        <f t="shared" si="6"/>
        <v>58.050000000000004</v>
      </c>
      <c r="O28" s="82">
        <v>94789</v>
      </c>
      <c r="P28" s="181">
        <f t="shared" si="7"/>
        <v>83</v>
      </c>
      <c r="R28" s="105">
        <f t="shared" si="0"/>
        <v>466.98010000000068</v>
      </c>
      <c r="S28" s="97">
        <f t="shared" si="8"/>
        <v>141.05000000000001</v>
      </c>
    </row>
    <row r="29" spans="1:19" ht="39.950000000000003" customHeight="1">
      <c r="A29" s="144">
        <v>44188</v>
      </c>
      <c r="B29" s="81"/>
      <c r="C29" s="82">
        <v>188413</v>
      </c>
      <c r="D29" s="181">
        <f t="shared" si="1"/>
        <v>191</v>
      </c>
      <c r="E29" s="82">
        <v>177331</v>
      </c>
      <c r="F29" s="181">
        <f t="shared" si="1"/>
        <v>272</v>
      </c>
      <c r="G29" s="82">
        <v>5835.7403000000004</v>
      </c>
      <c r="H29" s="181">
        <f t="shared" si="2"/>
        <v>6.9663000000000466</v>
      </c>
      <c r="I29" s="82">
        <v>11755</v>
      </c>
      <c r="J29" s="181">
        <f t="shared" si="3"/>
        <v>9</v>
      </c>
      <c r="K29" s="82">
        <v>129557</v>
      </c>
      <c r="L29" s="75">
        <f t="shared" si="4"/>
        <v>146</v>
      </c>
      <c r="M29" s="181">
        <f t="shared" si="5"/>
        <v>80.300000000000011</v>
      </c>
      <c r="N29" s="181">
        <f t="shared" si="6"/>
        <v>65.7</v>
      </c>
      <c r="O29" s="82">
        <v>94881</v>
      </c>
      <c r="P29" s="181">
        <f t="shared" si="7"/>
        <v>92</v>
      </c>
      <c r="R29" s="105">
        <f t="shared" si="0"/>
        <v>469.96630000000005</v>
      </c>
      <c r="S29" s="97">
        <f t="shared" si="8"/>
        <v>157.69999999999999</v>
      </c>
    </row>
    <row r="30" spans="1:19" ht="39.950000000000003" customHeight="1">
      <c r="A30" s="144">
        <v>44189</v>
      </c>
      <c r="B30" s="81"/>
      <c r="C30" s="82">
        <v>188587</v>
      </c>
      <c r="D30" s="181">
        <f t="shared" si="1"/>
        <v>174</v>
      </c>
      <c r="E30" s="82">
        <v>177606</v>
      </c>
      <c r="F30" s="181">
        <f t="shared" si="1"/>
        <v>275</v>
      </c>
      <c r="G30" s="82">
        <v>5837.8577999999998</v>
      </c>
      <c r="H30" s="181">
        <f t="shared" si="2"/>
        <v>2.1174999999993815</v>
      </c>
      <c r="I30" s="82">
        <v>11762</v>
      </c>
      <c r="J30" s="181">
        <f t="shared" si="3"/>
        <v>7</v>
      </c>
      <c r="K30" s="82">
        <v>129734</v>
      </c>
      <c r="L30" s="75">
        <f t="shared" si="4"/>
        <v>177</v>
      </c>
      <c r="M30" s="181">
        <f t="shared" si="5"/>
        <v>97.350000000000009</v>
      </c>
      <c r="N30" s="181">
        <f t="shared" si="6"/>
        <v>79.650000000000006</v>
      </c>
      <c r="O30" s="82">
        <v>94951</v>
      </c>
      <c r="P30" s="181">
        <f t="shared" si="7"/>
        <v>70</v>
      </c>
      <c r="R30" s="105">
        <f t="shared" si="0"/>
        <v>451.11749999999938</v>
      </c>
      <c r="S30" s="97">
        <f t="shared" si="8"/>
        <v>149.65</v>
      </c>
    </row>
    <row r="31" spans="1:19" ht="39.950000000000003" customHeight="1">
      <c r="A31" s="144">
        <v>44190</v>
      </c>
      <c r="B31" s="81"/>
      <c r="C31" s="82">
        <v>188728</v>
      </c>
      <c r="D31" s="181">
        <f t="shared" si="1"/>
        <v>141</v>
      </c>
      <c r="E31" s="82">
        <v>177884</v>
      </c>
      <c r="F31" s="181">
        <f t="shared" si="1"/>
        <v>278</v>
      </c>
      <c r="G31" s="82">
        <v>5840.5742</v>
      </c>
      <c r="H31" s="181">
        <f t="shared" si="2"/>
        <v>2.7164000000002488</v>
      </c>
      <c r="I31" s="82">
        <v>11770</v>
      </c>
      <c r="J31" s="181">
        <f t="shared" si="3"/>
        <v>8</v>
      </c>
      <c r="K31" s="82">
        <v>129883</v>
      </c>
      <c r="L31" s="75">
        <f t="shared" si="4"/>
        <v>149</v>
      </c>
      <c r="M31" s="181">
        <f t="shared" si="5"/>
        <v>81.95</v>
      </c>
      <c r="N31" s="181">
        <f t="shared" si="6"/>
        <v>67.05</v>
      </c>
      <c r="O31" s="82">
        <v>95042</v>
      </c>
      <c r="P31" s="181">
        <f t="shared" si="7"/>
        <v>91</v>
      </c>
      <c r="R31" s="105">
        <f t="shared" si="0"/>
        <v>421.71640000000025</v>
      </c>
      <c r="S31" s="97">
        <f t="shared" si="8"/>
        <v>158.05000000000001</v>
      </c>
    </row>
    <row r="32" spans="1:19" ht="39.950000000000003" customHeight="1">
      <c r="A32" s="144">
        <v>44191</v>
      </c>
      <c r="B32" s="81"/>
      <c r="C32" s="82">
        <v>188916</v>
      </c>
      <c r="D32" s="181">
        <f t="shared" si="1"/>
        <v>188</v>
      </c>
      <c r="E32" s="82">
        <v>178184</v>
      </c>
      <c r="F32" s="181">
        <f t="shared" si="1"/>
        <v>300</v>
      </c>
      <c r="G32" s="82">
        <v>5842.9364999999998</v>
      </c>
      <c r="H32" s="181">
        <f t="shared" si="2"/>
        <v>2.3622999999997774</v>
      </c>
      <c r="I32" s="82">
        <v>11778</v>
      </c>
      <c r="J32" s="181">
        <f t="shared" si="3"/>
        <v>8</v>
      </c>
      <c r="K32" s="82">
        <v>130026</v>
      </c>
      <c r="L32" s="75">
        <f t="shared" si="4"/>
        <v>143</v>
      </c>
      <c r="M32" s="181">
        <f t="shared" si="5"/>
        <v>78.650000000000006</v>
      </c>
      <c r="N32" s="181">
        <f t="shared" si="6"/>
        <v>64.350000000000009</v>
      </c>
      <c r="O32" s="82">
        <v>95124</v>
      </c>
      <c r="P32" s="181">
        <f t="shared" si="7"/>
        <v>82</v>
      </c>
      <c r="R32" s="105">
        <f t="shared" si="0"/>
        <v>490.36229999999978</v>
      </c>
      <c r="S32" s="97">
        <f t="shared" si="8"/>
        <v>146.35000000000002</v>
      </c>
    </row>
    <row r="33" spans="1:19" ht="39.950000000000003" customHeight="1">
      <c r="A33" s="144">
        <v>44192</v>
      </c>
      <c r="B33" s="81"/>
      <c r="C33" s="82">
        <v>189082</v>
      </c>
      <c r="D33" s="181">
        <f t="shared" si="1"/>
        <v>166</v>
      </c>
      <c r="E33" s="82">
        <v>178446</v>
      </c>
      <c r="F33" s="181">
        <f t="shared" si="1"/>
        <v>262</v>
      </c>
      <c r="G33" s="82">
        <v>5848.8081000000002</v>
      </c>
      <c r="H33" s="181">
        <f t="shared" si="2"/>
        <v>5.8716000000003987</v>
      </c>
      <c r="I33" s="82">
        <v>11787</v>
      </c>
      <c r="J33" s="181">
        <f t="shared" si="3"/>
        <v>9</v>
      </c>
      <c r="K33" s="82">
        <v>130159</v>
      </c>
      <c r="L33" s="75">
        <f t="shared" si="4"/>
        <v>133</v>
      </c>
      <c r="M33" s="181">
        <f t="shared" si="5"/>
        <v>73.150000000000006</v>
      </c>
      <c r="N33" s="181">
        <f t="shared" si="6"/>
        <v>59.85</v>
      </c>
      <c r="O33" s="82">
        <v>95193</v>
      </c>
      <c r="P33" s="181">
        <f t="shared" si="7"/>
        <v>69</v>
      </c>
      <c r="R33" s="105">
        <f t="shared" si="0"/>
        <v>433.8716000000004</v>
      </c>
      <c r="S33" s="97">
        <f t="shared" si="8"/>
        <v>128.85</v>
      </c>
    </row>
    <row r="34" spans="1:19" ht="39.950000000000003" customHeight="1">
      <c r="A34" s="144">
        <v>44193</v>
      </c>
      <c r="B34" s="81"/>
      <c r="C34" s="82">
        <v>189243</v>
      </c>
      <c r="D34" s="181">
        <f t="shared" si="1"/>
        <v>161</v>
      </c>
      <c r="E34" s="82">
        <v>178699</v>
      </c>
      <c r="F34" s="181">
        <f t="shared" si="1"/>
        <v>253</v>
      </c>
      <c r="G34" s="82">
        <v>5854.0382</v>
      </c>
      <c r="H34" s="181">
        <f t="shared" si="2"/>
        <v>5.2300999999997657</v>
      </c>
      <c r="I34" s="82">
        <v>11797</v>
      </c>
      <c r="J34" s="181">
        <f t="shared" si="3"/>
        <v>10</v>
      </c>
      <c r="K34" s="82">
        <v>130280</v>
      </c>
      <c r="L34" s="75">
        <f t="shared" si="4"/>
        <v>121</v>
      </c>
      <c r="M34" s="181">
        <f t="shared" si="5"/>
        <v>66.550000000000011</v>
      </c>
      <c r="N34" s="181">
        <f t="shared" si="6"/>
        <v>54.45</v>
      </c>
      <c r="O34" s="82">
        <v>95269</v>
      </c>
      <c r="P34" s="181">
        <f t="shared" si="7"/>
        <v>76</v>
      </c>
      <c r="R34" s="105">
        <f t="shared" si="0"/>
        <v>419.23009999999977</v>
      </c>
      <c r="S34" s="97">
        <f t="shared" si="8"/>
        <v>130.44999999999999</v>
      </c>
    </row>
    <row r="35" spans="1:19" ht="39.950000000000003" customHeight="1">
      <c r="A35" s="144">
        <v>44194</v>
      </c>
      <c r="B35" s="81"/>
      <c r="C35" s="82">
        <v>189386</v>
      </c>
      <c r="D35" s="181">
        <f t="shared" si="1"/>
        <v>143</v>
      </c>
      <c r="E35" s="82">
        <v>178947</v>
      </c>
      <c r="F35" s="181">
        <f t="shared" si="1"/>
        <v>248</v>
      </c>
      <c r="G35" s="82">
        <v>5872.6552000000001</v>
      </c>
      <c r="H35" s="181">
        <f t="shared" si="2"/>
        <v>18.617000000000189</v>
      </c>
      <c r="I35" s="82">
        <v>11806</v>
      </c>
      <c r="J35" s="181">
        <f t="shared" si="3"/>
        <v>9</v>
      </c>
      <c r="K35" s="82">
        <v>130411</v>
      </c>
      <c r="L35" s="75">
        <f t="shared" si="4"/>
        <v>131</v>
      </c>
      <c r="M35" s="181">
        <f t="shared" si="5"/>
        <v>72.050000000000011</v>
      </c>
      <c r="N35" s="181">
        <f t="shared" si="6"/>
        <v>58.95</v>
      </c>
      <c r="O35" s="82">
        <v>95360</v>
      </c>
      <c r="P35" s="181">
        <f t="shared" si="7"/>
        <v>91</v>
      </c>
      <c r="R35" s="105">
        <f t="shared" si="0"/>
        <v>409.61700000000019</v>
      </c>
      <c r="S35" s="97">
        <f t="shared" si="8"/>
        <v>149.94999999999999</v>
      </c>
    </row>
    <row r="36" spans="1:19" ht="39.950000000000003" customHeight="1">
      <c r="A36" s="144">
        <v>44195</v>
      </c>
      <c r="B36" s="81"/>
      <c r="C36" s="82">
        <v>189497</v>
      </c>
      <c r="D36" s="181">
        <f t="shared" ref="D36:J37" si="9">(C36-C35)</f>
        <v>111</v>
      </c>
      <c r="E36" s="82">
        <v>179180</v>
      </c>
      <c r="F36" s="181">
        <f t="shared" ref="F36" si="10">(E36-E35)</f>
        <v>233</v>
      </c>
      <c r="G36" s="82">
        <v>5891.6415999999999</v>
      </c>
      <c r="H36" s="181">
        <f t="shared" si="2"/>
        <v>18.986399999999776</v>
      </c>
      <c r="I36" s="82">
        <v>11816</v>
      </c>
      <c r="J36" s="181">
        <f t="shared" si="3"/>
        <v>10</v>
      </c>
      <c r="K36" s="82">
        <v>130521</v>
      </c>
      <c r="L36" s="75">
        <f t="shared" si="4"/>
        <v>110</v>
      </c>
      <c r="M36" s="181">
        <f t="shared" si="5"/>
        <v>60.500000000000007</v>
      </c>
      <c r="N36" s="181">
        <f t="shared" si="6"/>
        <v>49.5</v>
      </c>
      <c r="O36" s="82">
        <v>95429</v>
      </c>
      <c r="P36" s="181">
        <f t="shared" si="7"/>
        <v>69</v>
      </c>
      <c r="R36" s="105">
        <f t="shared" si="0"/>
        <v>362.98639999999978</v>
      </c>
      <c r="S36" s="97">
        <f t="shared" si="8"/>
        <v>118.5</v>
      </c>
    </row>
    <row r="37" spans="1:19" ht="39.950000000000003" customHeight="1">
      <c r="A37" s="144">
        <v>44196</v>
      </c>
      <c r="B37" s="16"/>
      <c r="C37" s="83">
        <v>189629</v>
      </c>
      <c r="D37" s="181">
        <f t="shared" si="9"/>
        <v>132</v>
      </c>
      <c r="E37" s="83">
        <v>179407</v>
      </c>
      <c r="F37" s="181">
        <f t="shared" si="9"/>
        <v>227</v>
      </c>
      <c r="G37" s="83">
        <v>5925.8670000000002</v>
      </c>
      <c r="H37" s="181">
        <f t="shared" si="9"/>
        <v>34.225400000000263</v>
      </c>
      <c r="I37" s="83">
        <v>11832</v>
      </c>
      <c r="J37" s="181">
        <f t="shared" si="9"/>
        <v>16</v>
      </c>
      <c r="K37" s="83">
        <v>130646</v>
      </c>
      <c r="L37" s="75">
        <f t="shared" ref="L37" si="11">(K37-K36)</f>
        <v>125</v>
      </c>
      <c r="M37" s="181">
        <f t="shared" ref="M37" si="12">L37*55%</f>
        <v>68.75</v>
      </c>
      <c r="N37" s="181">
        <f t="shared" ref="N37" si="13">L37*45%</f>
        <v>56.25</v>
      </c>
      <c r="O37" s="83">
        <v>95521</v>
      </c>
      <c r="P37" s="181">
        <f t="shared" si="7"/>
        <v>92</v>
      </c>
      <c r="R37" s="105">
        <f t="shared" ref="R37" si="14">SUM(D37,F37,M101,H37)</f>
        <v>393.22540000000026</v>
      </c>
      <c r="S37" s="97">
        <f t="shared" ref="S37" si="15">SUM(N37,P37)</f>
        <v>148.25</v>
      </c>
    </row>
    <row r="38" spans="1:19" s="22" customFormat="1" ht="39.950000000000003" customHeight="1">
      <c r="A38" s="21"/>
      <c r="D38" s="23">
        <f>SUM(D7:D37)</f>
        <v>4421</v>
      </c>
      <c r="F38" s="23">
        <f>SUM(F7:F37)</f>
        <v>7428</v>
      </c>
      <c r="H38" s="23">
        <f>SUM(H7:H37)</f>
        <v>207.29609999999957</v>
      </c>
      <c r="J38" s="23">
        <f>SUM(J7:J37)</f>
        <v>301</v>
      </c>
      <c r="L38" s="23">
        <f>SUM(L7:L37)</f>
        <v>4091</v>
      </c>
      <c r="M38" s="23"/>
      <c r="N38" s="23"/>
      <c r="P38" s="23">
        <f>SUM(P7:P37)</f>
        <v>2844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C9" sqref="C9:C10"/>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8"/>
      <c r="B1" s="108"/>
      <c r="C1" s="216" t="s">
        <v>65</v>
      </c>
      <c r="D1" s="216"/>
      <c r="E1" s="216"/>
      <c r="F1" s="216"/>
      <c r="G1" s="216" t="s">
        <v>64</v>
      </c>
      <c r="H1" s="216"/>
      <c r="I1" s="216" t="s">
        <v>64</v>
      </c>
      <c r="J1" s="216"/>
      <c r="K1" s="216" t="s">
        <v>64</v>
      </c>
      <c r="L1" s="216"/>
      <c r="M1" s="216" t="s">
        <v>64</v>
      </c>
      <c r="N1" s="216"/>
      <c r="O1" s="216" t="s">
        <v>64</v>
      </c>
      <c r="P1" s="216"/>
      <c r="Q1" s="202" t="s">
        <v>64</v>
      </c>
      <c r="R1" s="203"/>
      <c r="S1" s="202" t="s">
        <v>64</v>
      </c>
      <c r="T1" s="203"/>
      <c r="U1" s="202" t="s">
        <v>64</v>
      </c>
      <c r="V1" s="203"/>
      <c r="W1" s="202" t="s">
        <v>64</v>
      </c>
      <c r="X1" s="204"/>
      <c r="Y1" s="216" t="s">
        <v>64</v>
      </c>
      <c r="Z1" s="216"/>
      <c r="AA1" s="202" t="s">
        <v>64</v>
      </c>
      <c r="AB1" s="203"/>
      <c r="AC1" s="216" t="s">
        <v>64</v>
      </c>
      <c r="AD1" s="216"/>
      <c r="AE1" s="216" t="s">
        <v>64</v>
      </c>
      <c r="AF1" s="216"/>
      <c r="AG1" s="216" t="s">
        <v>64</v>
      </c>
      <c r="AH1" s="216"/>
      <c r="AI1" s="216" t="s">
        <v>64</v>
      </c>
      <c r="AJ1" s="216"/>
      <c r="AK1" s="216" t="s">
        <v>64</v>
      </c>
      <c r="AL1" s="216"/>
      <c r="AM1" s="216" t="s">
        <v>66</v>
      </c>
      <c r="AN1" s="216"/>
      <c r="AO1" s="216" t="s">
        <v>66</v>
      </c>
      <c r="AP1" s="216"/>
      <c r="AQ1" s="216" t="s">
        <v>66</v>
      </c>
      <c r="AR1" s="216"/>
      <c r="AS1" s="216" t="s">
        <v>66</v>
      </c>
      <c r="AT1" s="216"/>
      <c r="AU1" s="216" t="s">
        <v>66</v>
      </c>
      <c r="AV1" s="216"/>
      <c r="AW1" s="216" t="s">
        <v>66</v>
      </c>
      <c r="AX1" s="216"/>
      <c r="AY1" s="216" t="s">
        <v>66</v>
      </c>
      <c r="AZ1" s="216"/>
      <c r="BA1" s="216" t="s">
        <v>66</v>
      </c>
      <c r="BB1" s="216"/>
      <c r="BC1" s="216" t="s">
        <v>66</v>
      </c>
      <c r="BD1" s="216"/>
      <c r="BE1" s="216" t="s">
        <v>66</v>
      </c>
      <c r="BF1" s="216"/>
      <c r="BH1" s="33"/>
      <c r="BI1" s="33"/>
    </row>
    <row r="2" spans="1:61" s="25" customFormat="1" ht="75.75" customHeight="1">
      <c r="A2" s="49"/>
      <c r="B2" s="49"/>
      <c r="C2" s="232" t="s">
        <v>116</v>
      </c>
      <c r="D2" s="232"/>
      <c r="E2" s="232"/>
      <c r="F2" s="232"/>
      <c r="G2" s="232" t="s">
        <v>117</v>
      </c>
      <c r="H2" s="232"/>
      <c r="I2" s="232" t="s">
        <v>118</v>
      </c>
      <c r="J2" s="232"/>
      <c r="K2" s="232" t="s">
        <v>119</v>
      </c>
      <c r="L2" s="232"/>
      <c r="M2" s="232" t="s">
        <v>120</v>
      </c>
      <c r="N2" s="232"/>
      <c r="O2" s="230" t="s">
        <v>121</v>
      </c>
      <c r="P2" s="231"/>
      <c r="Q2" s="230" t="s">
        <v>122</v>
      </c>
      <c r="R2" s="231"/>
      <c r="S2" s="230" t="s">
        <v>123</v>
      </c>
      <c r="T2" s="231"/>
      <c r="U2" s="230" t="s">
        <v>124</v>
      </c>
      <c r="V2" s="231"/>
      <c r="W2" s="230" t="s">
        <v>125</v>
      </c>
      <c r="X2" s="233"/>
      <c r="Y2" s="232" t="s">
        <v>126</v>
      </c>
      <c r="Z2" s="232"/>
      <c r="AA2" s="230" t="s">
        <v>127</v>
      </c>
      <c r="AB2" s="231"/>
      <c r="AC2" s="232" t="s">
        <v>128</v>
      </c>
      <c r="AD2" s="232"/>
      <c r="AE2" s="232" t="s">
        <v>129</v>
      </c>
      <c r="AF2" s="232"/>
      <c r="AG2" s="232" t="s">
        <v>129</v>
      </c>
      <c r="AH2" s="232"/>
      <c r="AI2" s="232" t="s">
        <v>129</v>
      </c>
      <c r="AJ2" s="232"/>
      <c r="AK2" s="232" t="s">
        <v>129</v>
      </c>
      <c r="AL2" s="232"/>
      <c r="AM2" s="232" t="s">
        <v>130</v>
      </c>
      <c r="AN2" s="232"/>
      <c r="AO2" s="232" t="s">
        <v>131</v>
      </c>
      <c r="AP2" s="232"/>
      <c r="AQ2" s="232" t="s">
        <v>132</v>
      </c>
      <c r="AR2" s="232"/>
      <c r="AS2" s="232" t="s">
        <v>132</v>
      </c>
      <c r="AT2" s="232"/>
      <c r="AU2" s="232" t="s">
        <v>133</v>
      </c>
      <c r="AV2" s="232"/>
      <c r="AW2" s="232" t="s">
        <v>134</v>
      </c>
      <c r="AX2" s="232"/>
      <c r="AY2" s="232" t="s">
        <v>135</v>
      </c>
      <c r="AZ2" s="232"/>
      <c r="BA2" s="232" t="s">
        <v>135</v>
      </c>
      <c r="BB2" s="232"/>
      <c r="BC2" s="232" t="s">
        <v>136</v>
      </c>
      <c r="BD2" s="232"/>
      <c r="BE2" s="232" t="s">
        <v>136</v>
      </c>
      <c r="BF2" s="232"/>
      <c r="BH2" s="33"/>
      <c r="BI2" s="33"/>
    </row>
    <row r="3" spans="1:61" s="10" customFormat="1" ht="87.75" customHeight="1">
      <c r="A3" s="106"/>
      <c r="B3" s="106"/>
      <c r="C3" s="237" t="s">
        <v>137</v>
      </c>
      <c r="D3" s="238"/>
      <c r="E3" s="106" t="s">
        <v>64</v>
      </c>
      <c r="F3" s="108" t="s">
        <v>66</v>
      </c>
      <c r="G3" s="236" t="s">
        <v>138</v>
      </c>
      <c r="H3" s="235"/>
      <c r="I3" s="236" t="s">
        <v>138</v>
      </c>
      <c r="J3" s="235"/>
      <c r="K3" s="236" t="s">
        <v>138</v>
      </c>
      <c r="L3" s="235"/>
      <c r="M3" s="239" t="s">
        <v>139</v>
      </c>
      <c r="N3" s="240"/>
      <c r="O3" s="236" t="s">
        <v>138</v>
      </c>
      <c r="P3" s="235"/>
      <c r="Q3" s="236" t="s">
        <v>138</v>
      </c>
      <c r="R3" s="235"/>
      <c r="S3" s="243" t="s">
        <v>138</v>
      </c>
      <c r="T3" s="244"/>
      <c r="U3" s="236" t="s">
        <v>138</v>
      </c>
      <c r="V3" s="235"/>
      <c r="W3" s="236" t="s">
        <v>138</v>
      </c>
      <c r="X3" s="235"/>
      <c r="Y3" s="234" t="s">
        <v>140</v>
      </c>
      <c r="Z3" s="235"/>
      <c r="AA3" s="236" t="s">
        <v>141</v>
      </c>
      <c r="AB3" s="235"/>
      <c r="AC3" s="236" t="s">
        <v>142</v>
      </c>
      <c r="AD3" s="235"/>
      <c r="AE3" s="236" t="s">
        <v>142</v>
      </c>
      <c r="AF3" s="235"/>
      <c r="AG3" s="234" t="s">
        <v>143</v>
      </c>
      <c r="AH3" s="235"/>
      <c r="AI3" s="236" t="s">
        <v>144</v>
      </c>
      <c r="AJ3" s="235"/>
      <c r="AK3" s="234" t="s">
        <v>145</v>
      </c>
      <c r="AL3" s="235"/>
      <c r="AM3" s="236" t="s">
        <v>146</v>
      </c>
      <c r="AN3" s="235"/>
      <c r="AO3" s="236" t="s">
        <v>146</v>
      </c>
      <c r="AP3" s="235"/>
      <c r="AQ3" s="234" t="s">
        <v>147</v>
      </c>
      <c r="AR3" s="235"/>
      <c r="AS3" s="236" t="s">
        <v>148</v>
      </c>
      <c r="AT3" s="235"/>
      <c r="AU3" s="234" t="s">
        <v>149</v>
      </c>
      <c r="AV3" s="235"/>
      <c r="AW3" s="234" t="s">
        <v>149</v>
      </c>
      <c r="AX3" s="235"/>
      <c r="AY3" s="236" t="s">
        <v>144</v>
      </c>
      <c r="AZ3" s="235"/>
      <c r="BA3" s="234" t="s">
        <v>145</v>
      </c>
      <c r="BB3" s="235"/>
      <c r="BC3" s="236" t="s">
        <v>144</v>
      </c>
      <c r="BD3" s="235"/>
      <c r="BE3" s="234" t="s">
        <v>145</v>
      </c>
      <c r="BF3" s="235"/>
      <c r="BH3" s="33"/>
      <c r="BI3" s="33"/>
    </row>
    <row r="4" spans="1:61" s="25" customFormat="1" ht="50.1" customHeight="1">
      <c r="A4" s="106"/>
      <c r="B4" s="49"/>
      <c r="C4" s="208" t="s">
        <v>150</v>
      </c>
      <c r="D4" s="210"/>
      <c r="E4" s="241" t="s">
        <v>151</v>
      </c>
      <c r="F4" s="242"/>
      <c r="G4" s="208" t="s">
        <v>152</v>
      </c>
      <c r="H4" s="210"/>
      <c r="I4" s="208" t="s">
        <v>153</v>
      </c>
      <c r="J4" s="210"/>
      <c r="K4" s="208" t="s">
        <v>154</v>
      </c>
      <c r="L4" s="210"/>
      <c r="M4" s="208">
        <v>7092801222</v>
      </c>
      <c r="N4" s="210"/>
      <c r="O4" s="208" t="s">
        <v>155</v>
      </c>
      <c r="P4" s="209"/>
      <c r="Q4" s="208" t="s">
        <v>156</v>
      </c>
      <c r="R4" s="209"/>
      <c r="S4" s="208" t="s">
        <v>157</v>
      </c>
      <c r="T4" s="209"/>
      <c r="U4" s="208" t="s">
        <v>158</v>
      </c>
      <c r="V4" s="209"/>
      <c r="W4" s="208" t="s">
        <v>159</v>
      </c>
      <c r="X4" s="210"/>
      <c r="Y4" s="208" t="s">
        <v>160</v>
      </c>
      <c r="Z4" s="210"/>
      <c r="AA4" s="208" t="s">
        <v>161</v>
      </c>
      <c r="AB4" s="209"/>
      <c r="AC4" s="208" t="s">
        <v>162</v>
      </c>
      <c r="AD4" s="210"/>
      <c r="AE4" s="208" t="s">
        <v>163</v>
      </c>
      <c r="AF4" s="210"/>
      <c r="AG4" s="208" t="s">
        <v>164</v>
      </c>
      <c r="AH4" s="210"/>
      <c r="AI4" s="208">
        <v>7105826734</v>
      </c>
      <c r="AJ4" s="210"/>
      <c r="AK4" s="208">
        <v>7105825932</v>
      </c>
      <c r="AL4" s="210"/>
      <c r="AM4" s="208" t="s">
        <v>165</v>
      </c>
      <c r="AN4" s="210"/>
      <c r="AO4" s="208" t="s">
        <v>166</v>
      </c>
      <c r="AP4" s="210"/>
      <c r="AQ4" s="208" t="s">
        <v>167</v>
      </c>
      <c r="AR4" s="210"/>
      <c r="AS4" s="208" t="s">
        <v>168</v>
      </c>
      <c r="AT4" s="210"/>
      <c r="AU4" s="208" t="s">
        <v>169</v>
      </c>
      <c r="AV4" s="210"/>
      <c r="AW4" s="208" t="s">
        <v>170</v>
      </c>
      <c r="AX4" s="210"/>
      <c r="AY4" s="208">
        <v>7111912486</v>
      </c>
      <c r="AZ4" s="210"/>
      <c r="BA4" s="208">
        <v>7111911842</v>
      </c>
      <c r="BB4" s="210"/>
      <c r="BC4" s="208">
        <v>7111913281</v>
      </c>
      <c r="BD4" s="210"/>
      <c r="BE4" s="208">
        <v>7111912723</v>
      </c>
      <c r="BF4" s="210"/>
      <c r="BH4" s="217" t="s">
        <v>80</v>
      </c>
      <c r="BI4" s="217"/>
    </row>
    <row r="5" spans="1:61" s="25" customFormat="1" ht="50.1" customHeight="1">
      <c r="A5" s="49" t="s">
        <v>171</v>
      </c>
      <c r="B5" s="49"/>
      <c r="C5" s="208" t="s">
        <v>172</v>
      </c>
      <c r="D5" s="210"/>
      <c r="E5" s="79">
        <v>0.6</v>
      </c>
      <c r="F5" s="31">
        <v>0.4</v>
      </c>
      <c r="G5" s="208" t="s">
        <v>173</v>
      </c>
      <c r="H5" s="210"/>
      <c r="I5" s="208" t="s">
        <v>174</v>
      </c>
      <c r="J5" s="210"/>
      <c r="K5" s="208" t="s">
        <v>175</v>
      </c>
      <c r="L5" s="210"/>
      <c r="M5" s="208" t="s">
        <v>176</v>
      </c>
      <c r="N5" s="210"/>
      <c r="O5" s="208" t="s">
        <v>177</v>
      </c>
      <c r="P5" s="209"/>
      <c r="Q5" s="208" t="s">
        <v>178</v>
      </c>
      <c r="R5" s="209"/>
      <c r="S5" s="208" t="s">
        <v>179</v>
      </c>
      <c r="T5" s="209"/>
      <c r="U5" s="208" t="s">
        <v>180</v>
      </c>
      <c r="V5" s="209"/>
      <c r="W5" s="208" t="s">
        <v>181</v>
      </c>
      <c r="X5" s="210"/>
      <c r="Y5" s="208" t="s">
        <v>182</v>
      </c>
      <c r="Z5" s="210"/>
      <c r="AA5" s="208" t="s">
        <v>183</v>
      </c>
      <c r="AB5" s="209"/>
      <c r="AC5" s="208" t="s">
        <v>184</v>
      </c>
      <c r="AD5" s="210"/>
      <c r="AE5" s="208" t="s">
        <v>185</v>
      </c>
      <c r="AF5" s="210"/>
      <c r="AG5" s="208" t="s">
        <v>186</v>
      </c>
      <c r="AH5" s="210"/>
      <c r="AI5" s="208" t="s">
        <v>187</v>
      </c>
      <c r="AJ5" s="210"/>
      <c r="AK5" s="208" t="s">
        <v>188</v>
      </c>
      <c r="AL5" s="210"/>
      <c r="AM5" s="208" t="s">
        <v>189</v>
      </c>
      <c r="AN5" s="210"/>
      <c r="AO5" s="208" t="s">
        <v>190</v>
      </c>
      <c r="AP5" s="210"/>
      <c r="AQ5" s="208" t="s">
        <v>191</v>
      </c>
      <c r="AR5" s="210"/>
      <c r="AS5" s="208" t="s">
        <v>192</v>
      </c>
      <c r="AT5" s="210"/>
      <c r="AU5" s="208" t="s">
        <v>193</v>
      </c>
      <c r="AV5" s="210"/>
      <c r="AW5" s="208" t="s">
        <v>194</v>
      </c>
      <c r="AX5" s="210"/>
      <c r="AY5" s="208">
        <v>744483</v>
      </c>
      <c r="AZ5" s="210"/>
      <c r="BA5" s="208">
        <v>119314</v>
      </c>
      <c r="BB5" s="210"/>
      <c r="BC5" s="208">
        <v>1053229</v>
      </c>
      <c r="BD5" s="210"/>
      <c r="BE5" s="208">
        <v>1053215</v>
      </c>
      <c r="BF5" s="210"/>
      <c r="BH5" s="217"/>
      <c r="BI5" s="217"/>
    </row>
    <row r="6" spans="1:61" s="8" customFormat="1" ht="30" customHeight="1">
      <c r="A6" s="106" t="s">
        <v>95</v>
      </c>
      <c r="B6" s="50"/>
      <c r="C6" s="200"/>
      <c r="D6" s="201"/>
      <c r="E6" s="80"/>
      <c r="F6" s="111"/>
      <c r="G6" s="106"/>
      <c r="H6" s="50"/>
      <c r="I6" s="200"/>
      <c r="J6" s="201"/>
      <c r="K6" s="200"/>
      <c r="L6" s="201"/>
      <c r="M6" s="200"/>
      <c r="N6" s="201"/>
      <c r="O6" s="200"/>
      <c r="P6" s="214"/>
      <c r="Q6" s="200"/>
      <c r="R6" s="214"/>
      <c r="S6" s="200"/>
      <c r="T6" s="214"/>
      <c r="U6" s="200"/>
      <c r="V6" s="214"/>
      <c r="W6" s="200"/>
      <c r="X6" s="201"/>
      <c r="Y6" s="200"/>
      <c r="Z6" s="201"/>
      <c r="AA6" s="200"/>
      <c r="AB6" s="214"/>
      <c r="AC6" s="200"/>
      <c r="AD6" s="201"/>
      <c r="AE6" s="200"/>
      <c r="AF6" s="201"/>
      <c r="AG6" s="200"/>
      <c r="AH6" s="201"/>
      <c r="AI6" s="200"/>
      <c r="AJ6" s="201"/>
      <c r="AK6" s="200"/>
      <c r="AL6" s="201"/>
      <c r="AM6" s="200"/>
      <c r="AN6" s="201"/>
      <c r="AO6" s="200"/>
      <c r="AP6" s="201"/>
      <c r="AQ6" s="200"/>
      <c r="AR6" s="201"/>
      <c r="AS6" s="200"/>
      <c r="AT6" s="201"/>
      <c r="AU6" s="200"/>
      <c r="AV6" s="201"/>
      <c r="AW6" s="200"/>
      <c r="AX6" s="201"/>
      <c r="AY6" s="200"/>
      <c r="AZ6" s="201"/>
      <c r="BA6" s="200"/>
      <c r="BB6" s="201"/>
      <c r="BC6" s="200"/>
      <c r="BD6" s="201"/>
      <c r="BE6" s="200"/>
      <c r="BF6" s="201"/>
      <c r="BH6" s="33"/>
      <c r="BI6" s="33"/>
    </row>
    <row r="7" spans="1:61" s="10" customFormat="1" ht="50.1" customHeight="1">
      <c r="A7" s="106" t="s">
        <v>98</v>
      </c>
      <c r="B7" s="106"/>
      <c r="C7" s="106" t="s">
        <v>114</v>
      </c>
      <c r="D7" s="106" t="s">
        <v>195</v>
      </c>
      <c r="E7" s="106" t="s">
        <v>195</v>
      </c>
      <c r="F7" s="106" t="s">
        <v>195</v>
      </c>
      <c r="G7" s="106" t="s">
        <v>114</v>
      </c>
      <c r="H7" s="106" t="s">
        <v>195</v>
      </c>
      <c r="I7" s="106" t="s">
        <v>114</v>
      </c>
      <c r="J7" s="106" t="s">
        <v>195</v>
      </c>
      <c r="K7" s="106" t="s">
        <v>114</v>
      </c>
      <c r="L7" s="106" t="s">
        <v>195</v>
      </c>
      <c r="M7" s="106" t="s">
        <v>114</v>
      </c>
      <c r="N7" s="106" t="s">
        <v>195</v>
      </c>
      <c r="O7" s="106" t="s">
        <v>114</v>
      </c>
      <c r="P7" s="106" t="s">
        <v>195</v>
      </c>
      <c r="Q7" s="106" t="s">
        <v>114</v>
      </c>
      <c r="R7" s="106" t="s">
        <v>195</v>
      </c>
      <c r="S7" s="106" t="s">
        <v>114</v>
      </c>
      <c r="T7" s="106" t="s">
        <v>195</v>
      </c>
      <c r="U7" s="106" t="s">
        <v>114</v>
      </c>
      <c r="V7" s="106" t="s">
        <v>195</v>
      </c>
      <c r="W7" s="106" t="s">
        <v>114</v>
      </c>
      <c r="X7" s="106" t="s">
        <v>195</v>
      </c>
      <c r="Y7" s="106" t="s">
        <v>114</v>
      </c>
      <c r="Z7" s="106" t="s">
        <v>195</v>
      </c>
      <c r="AA7" s="106" t="s">
        <v>114</v>
      </c>
      <c r="AB7" s="106" t="s">
        <v>195</v>
      </c>
      <c r="AC7" s="106" t="s">
        <v>114</v>
      </c>
      <c r="AD7" s="106" t="s">
        <v>195</v>
      </c>
      <c r="AE7" s="13" t="s">
        <v>114</v>
      </c>
      <c r="AF7" s="106" t="s">
        <v>195</v>
      </c>
      <c r="AG7" s="13" t="s">
        <v>114</v>
      </c>
      <c r="AH7" s="106" t="s">
        <v>195</v>
      </c>
      <c r="AI7" s="13" t="s">
        <v>114</v>
      </c>
      <c r="AJ7" s="106" t="s">
        <v>195</v>
      </c>
      <c r="AK7" s="13" t="s">
        <v>114</v>
      </c>
      <c r="AL7" s="106" t="s">
        <v>195</v>
      </c>
      <c r="AM7" s="13" t="s">
        <v>114</v>
      </c>
      <c r="AN7" s="106" t="s">
        <v>195</v>
      </c>
      <c r="AO7" s="13" t="s">
        <v>114</v>
      </c>
      <c r="AP7" s="106" t="s">
        <v>195</v>
      </c>
      <c r="AQ7" s="13" t="s">
        <v>114</v>
      </c>
      <c r="AR7" s="106" t="s">
        <v>195</v>
      </c>
      <c r="AS7" s="13" t="s">
        <v>114</v>
      </c>
      <c r="AT7" s="106" t="s">
        <v>195</v>
      </c>
      <c r="AU7" s="13" t="s">
        <v>114</v>
      </c>
      <c r="AV7" s="106" t="s">
        <v>195</v>
      </c>
      <c r="AW7" s="13" t="s">
        <v>114</v>
      </c>
      <c r="AX7" s="106" t="s">
        <v>195</v>
      </c>
      <c r="AY7" s="13" t="s">
        <v>114</v>
      </c>
      <c r="AZ7" s="106" t="s">
        <v>195</v>
      </c>
      <c r="BA7" s="13" t="s">
        <v>114</v>
      </c>
      <c r="BB7" s="106" t="s">
        <v>195</v>
      </c>
      <c r="BC7" s="13" t="s">
        <v>114</v>
      </c>
      <c r="BD7" s="106" t="s">
        <v>195</v>
      </c>
      <c r="BE7" s="13" t="s">
        <v>114</v>
      </c>
      <c r="BF7" s="106" t="s">
        <v>195</v>
      </c>
      <c r="BH7" s="106" t="s">
        <v>64</v>
      </c>
      <c r="BI7" s="106" t="s">
        <v>66</v>
      </c>
    </row>
    <row r="8" spans="1:61" s="36" customFormat="1" ht="39.950000000000003" customHeight="1">
      <c r="A8" s="144">
        <v>44165</v>
      </c>
      <c r="B8" s="35"/>
      <c r="C8" s="76">
        <v>5628460</v>
      </c>
      <c r="D8" s="103"/>
      <c r="E8" s="38"/>
      <c r="F8" s="103"/>
      <c r="G8" s="77">
        <v>276989</v>
      </c>
      <c r="H8" s="103"/>
      <c r="I8" s="77">
        <v>95642</v>
      </c>
      <c r="J8" s="103"/>
      <c r="K8" s="77">
        <v>255835</v>
      </c>
      <c r="L8" s="103"/>
      <c r="M8" s="77">
        <v>24465</v>
      </c>
      <c r="N8" s="103"/>
      <c r="O8" s="76">
        <v>232269</v>
      </c>
      <c r="P8" s="103"/>
      <c r="Q8" s="76">
        <v>437196</v>
      </c>
      <c r="R8" s="103"/>
      <c r="S8" s="76">
        <v>702616</v>
      </c>
      <c r="T8" s="103"/>
      <c r="U8" s="76">
        <v>96046.058999999994</v>
      </c>
      <c r="V8" s="103"/>
      <c r="W8" s="76">
        <v>78897</v>
      </c>
      <c r="X8" s="103"/>
      <c r="Y8" s="76">
        <v>1493535</v>
      </c>
      <c r="Z8" s="103"/>
      <c r="AA8" s="76">
        <v>13204</v>
      </c>
      <c r="AB8" s="103"/>
      <c r="AC8" s="76">
        <v>437267</v>
      </c>
      <c r="AD8" s="103"/>
      <c r="AE8" s="76">
        <v>514736</v>
      </c>
      <c r="AF8" s="103"/>
      <c r="AG8" s="76">
        <v>48992</v>
      </c>
      <c r="AH8" s="103"/>
      <c r="AI8" s="76">
        <v>397182</v>
      </c>
      <c r="AJ8" s="103"/>
      <c r="AK8" s="77">
        <v>102371</v>
      </c>
      <c r="AL8" s="103"/>
      <c r="AM8" s="76">
        <v>561285</v>
      </c>
      <c r="AN8" s="103"/>
      <c r="AO8" s="76">
        <v>902511</v>
      </c>
      <c r="AP8" s="103"/>
      <c r="AQ8" s="76">
        <v>73842</v>
      </c>
      <c r="AR8" s="103"/>
      <c r="AS8" s="77">
        <v>2235</v>
      </c>
      <c r="AT8" s="103"/>
      <c r="AU8" s="77">
        <v>918</v>
      </c>
      <c r="AV8" s="103"/>
      <c r="AW8" s="77">
        <v>3108</v>
      </c>
      <c r="AX8" s="103"/>
      <c r="AY8" s="76">
        <v>303642</v>
      </c>
      <c r="AZ8" s="103"/>
      <c r="BA8" s="77">
        <v>160171</v>
      </c>
      <c r="BB8" s="103"/>
      <c r="BC8" s="76">
        <v>207851</v>
      </c>
      <c r="BD8" s="103"/>
      <c r="BE8" s="77">
        <v>5347</v>
      </c>
      <c r="BF8" s="103"/>
      <c r="BH8" s="104"/>
      <c r="BI8" s="104"/>
    </row>
    <row r="9" spans="1:61" s="29" customFormat="1" ht="39.950000000000003" customHeight="1">
      <c r="A9" s="144">
        <v>44166</v>
      </c>
      <c r="B9" s="28"/>
      <c r="C9" s="82">
        <f>(C11-C8)/3+C8</f>
        <v>5630570.666666667</v>
      </c>
      <c r="D9" s="103">
        <f>(+C9-+C8)*48</f>
        <v>101312.0000000149</v>
      </c>
      <c r="E9" s="38">
        <f>D9*0.6</f>
        <v>60787.200000008939</v>
      </c>
      <c r="F9" s="38">
        <f>D9*0.4</f>
        <v>40524.800000005962</v>
      </c>
      <c r="G9" s="82">
        <f>(G11-G8)/3+G8</f>
        <v>277021.33333333331</v>
      </c>
      <c r="H9" s="38">
        <f>(+G9-+G8)*48</f>
        <v>1551.9999999990687</v>
      </c>
      <c r="I9" s="82">
        <f>(I11-I8)/3+I8</f>
        <v>95814.333333333328</v>
      </c>
      <c r="J9" s="38">
        <f>(+I9-+I8)*48</f>
        <v>8271.9999999997672</v>
      </c>
      <c r="K9" s="82">
        <f>(K11-K8)/3+K8</f>
        <v>255839.66666666666</v>
      </c>
      <c r="L9" s="38">
        <f>(+K9-+K8)*48</f>
        <v>223.99999999953434</v>
      </c>
      <c r="M9" s="82">
        <f>(M11-M8)/3+M8</f>
        <v>24466</v>
      </c>
      <c r="N9" s="38">
        <f>(+M9-+M8)*48</f>
        <v>48</v>
      </c>
      <c r="O9" s="82">
        <f>(O11-O8)/3+O8</f>
        <v>232452.66666666666</v>
      </c>
      <c r="P9" s="38">
        <f>(+O9-+O8)*48</f>
        <v>8815.9999999995343</v>
      </c>
      <c r="Q9" s="82">
        <f>(Q11-Q8)/3+Q8</f>
        <v>437252</v>
      </c>
      <c r="R9" s="38">
        <f>(+Q9-+Q8)*48</f>
        <v>2688</v>
      </c>
      <c r="S9" s="82">
        <f>(S11-S8)/3+S8</f>
        <v>702735.33333333337</v>
      </c>
      <c r="T9" s="38">
        <f>(+S9-+S8)*48</f>
        <v>5728.0000000018626</v>
      </c>
      <c r="U9" s="82">
        <f>(U11-U8)/3+U8</f>
        <v>96063.489666666661</v>
      </c>
      <c r="V9" s="103">
        <f>(+U9-+U8)*48</f>
        <v>836.67200000002049</v>
      </c>
      <c r="W9" s="82">
        <f>(W11-W8)/3+W8</f>
        <v>78902</v>
      </c>
      <c r="X9" s="38">
        <f>(+W9-+W8)*48</f>
        <v>240</v>
      </c>
      <c r="Y9" s="82">
        <f>(Y11-Y8)/3+Y8</f>
        <v>1493739.3333333333</v>
      </c>
      <c r="Z9" s="38">
        <f>(+Y9-+Y8)*48</f>
        <v>9807.9999999962747</v>
      </c>
      <c r="AA9" s="82">
        <f>(AA11-AA8)/3+AA8</f>
        <v>13207.333333333334</v>
      </c>
      <c r="AB9" s="38">
        <f>(+AA9-+AA8)*48</f>
        <v>160.0000000000291</v>
      </c>
      <c r="AC9" s="82">
        <f>(AC11-AC8)/3+AC8</f>
        <v>437361</v>
      </c>
      <c r="AD9" s="38">
        <f>(+AC9-+AC8)*48</f>
        <v>4512</v>
      </c>
      <c r="AE9" s="82">
        <f>(AE11-AE8)/3+AE8</f>
        <v>514799.33333333331</v>
      </c>
      <c r="AF9" s="38">
        <f>(+AE9-+AE8)*48</f>
        <v>3039.9999999990687</v>
      </c>
      <c r="AG9" s="82">
        <f>(AG11-AG8)/3+AG8</f>
        <v>48996.333333333336</v>
      </c>
      <c r="AH9" s="38">
        <f>(+AG9-+AG8)*48</f>
        <v>208.00000000011642</v>
      </c>
      <c r="AI9" s="82">
        <f>(AI11-AI8)/3+AI8</f>
        <v>397280</v>
      </c>
      <c r="AJ9" s="38">
        <f>(+AI9-+AI8)*48</f>
        <v>4704</v>
      </c>
      <c r="AK9" s="77">
        <v>102371</v>
      </c>
      <c r="AL9" s="38">
        <f>(+AK9-+AK8)*48</f>
        <v>0</v>
      </c>
      <c r="AM9" s="82">
        <f>(AM11-AM8)/3+AM8</f>
        <v>561305.33333333337</v>
      </c>
      <c r="AN9" s="38">
        <f>(+AM9-+AM8)*48</f>
        <v>976.00000000186265</v>
      </c>
      <c r="AO9" s="82">
        <f>(AO11-AO8)/3+AO8</f>
        <v>902614.66666666663</v>
      </c>
      <c r="AP9" s="38">
        <f>(+AO9-+AO8)*48</f>
        <v>4975.9999999981374</v>
      </c>
      <c r="AQ9" s="82">
        <f>(AQ11-AQ8)/3+AQ8</f>
        <v>73966</v>
      </c>
      <c r="AR9" s="38">
        <f>(+AQ9-+AQ8)*48</f>
        <v>5952</v>
      </c>
      <c r="AS9" s="82">
        <f>(AS11-AS8)/3+AS8</f>
        <v>2241</v>
      </c>
      <c r="AT9" s="38">
        <f>(+AS9-+AS8)*48</f>
        <v>288</v>
      </c>
      <c r="AU9" s="77">
        <v>918</v>
      </c>
      <c r="AV9" s="38">
        <f>(+AU9-+AU8)*48</f>
        <v>0</v>
      </c>
      <c r="AW9" s="77">
        <v>3108</v>
      </c>
      <c r="AX9" s="38">
        <f>(+AW9-+AW8)*48</f>
        <v>0</v>
      </c>
      <c r="AY9" s="82">
        <f>(AY11-AY8)/3+AY8</f>
        <v>303726</v>
      </c>
      <c r="AZ9" s="38">
        <f>(+AY9-+AY8)*48</f>
        <v>4032</v>
      </c>
      <c r="BA9" s="82">
        <f>(BA11-BA8)/3+BA8</f>
        <v>160171</v>
      </c>
      <c r="BB9" s="38">
        <f>(+BA9-+BA8)*48</f>
        <v>0</v>
      </c>
      <c r="BC9" s="82">
        <f>(BC11-BC8)/3+BC8</f>
        <v>207906</v>
      </c>
      <c r="BD9" s="38">
        <f>(+BC9-+BC8)*48</f>
        <v>2640</v>
      </c>
      <c r="BE9" s="77">
        <v>5347</v>
      </c>
      <c r="BF9" s="38">
        <f>(+BE9-+BE8)*48</f>
        <v>0</v>
      </c>
      <c r="BH9" s="104">
        <f t="shared" ref="BH9:BH36" si="0">SUM(E9,J9,P9,H9,L9,R9,T9,V9,X9,N9,AB9,Z9,AD9,AF9,AH9,AL9,AJ9)</f>
        <v>111623.87200000422</v>
      </c>
      <c r="BI9" s="104">
        <f t="shared" ref="BI9:BI36" si="1">SUM(F9,AN9,AP9,AT9,AV9,AX9,AR9,AZ9,BB9,BD9,BF9)</f>
        <v>59388.800000005962</v>
      </c>
    </row>
    <row r="10" spans="1:61" s="36" customFormat="1" ht="39.950000000000003" customHeight="1">
      <c r="A10" s="144">
        <v>44167</v>
      </c>
      <c r="B10" s="35"/>
      <c r="C10" s="82">
        <f>(C12-C9)/3+C9</f>
        <v>5632730.444444445</v>
      </c>
      <c r="D10" s="103">
        <f t="shared" ref="D10:D38" si="2">(+C10-+C9)*48</f>
        <v>103669.33333334327</v>
      </c>
      <c r="E10" s="38">
        <f t="shared" ref="E10:E38" si="3">D10*0.6</f>
        <v>62201.600000005958</v>
      </c>
      <c r="F10" s="103">
        <f t="shared" ref="F10:F38" si="4">D10*0.4</f>
        <v>41467.73333333731</v>
      </c>
      <c r="G10" s="82">
        <f>(G12-G9)/3+G9</f>
        <v>277052.88888888888</v>
      </c>
      <c r="H10" s="103">
        <f t="shared" ref="H10:H25" si="5">(+G10-+G9)*48</f>
        <v>1514.6666666669771</v>
      </c>
      <c r="I10" s="82">
        <f>(I12-I9)/3+I9</f>
        <v>95984.555555555547</v>
      </c>
      <c r="J10" s="103">
        <f t="shared" ref="J10:J38" si="6">(+I10-+I9)*48</f>
        <v>8170.6666666665114</v>
      </c>
      <c r="K10" s="82">
        <f>(K12-K9)/3+K9</f>
        <v>255843.44444444444</v>
      </c>
      <c r="L10" s="103">
        <f t="shared" ref="L10:L38" si="7">(+K10-+K9)*48</f>
        <v>181.33333333348855</v>
      </c>
      <c r="M10" s="82">
        <f>(M12-M9)/3+M9</f>
        <v>24467.333333333332</v>
      </c>
      <c r="N10" s="38">
        <f t="shared" ref="N10:N38" si="8">(+M10-+M9)*48</f>
        <v>63.999999999941792</v>
      </c>
      <c r="O10" s="82">
        <f>(O12-O9)/3+O9</f>
        <v>232627.77777777778</v>
      </c>
      <c r="P10" s="103">
        <f t="shared" ref="P10:P38" si="9">(+O10-+O9)*48</f>
        <v>8405.3333333339542</v>
      </c>
      <c r="Q10" s="82">
        <f>(Q12-Q9)/3+Q9</f>
        <v>437296.33333333331</v>
      </c>
      <c r="R10" s="38">
        <f t="shared" ref="R10:R38" si="10">(+Q10-+Q9)*48</f>
        <v>2127.9999999990687</v>
      </c>
      <c r="S10" s="82">
        <f>(S12-S9)/3+S9</f>
        <v>702859.88888888888</v>
      </c>
      <c r="T10" s="103">
        <f t="shared" ref="T10:T38" si="11">(+S10-+S9)*48</f>
        <v>5978.6666666641831</v>
      </c>
      <c r="U10" s="82">
        <f>(U12-U9)/3+U9</f>
        <v>96081.409777777779</v>
      </c>
      <c r="V10" s="103">
        <f t="shared" ref="V10:V13" si="12">(+U10-+U9)*48</f>
        <v>860.16533333365805</v>
      </c>
      <c r="W10" s="82">
        <f>(W12-W9)/3+W9</f>
        <v>78906.666666666672</v>
      </c>
      <c r="X10" s="38">
        <f t="shared" ref="X10:X38" si="13">(+W10-+W9)*48</f>
        <v>224.00000000023283</v>
      </c>
      <c r="Y10" s="82">
        <f>(Y12-Y9)/3+Y9</f>
        <v>1493876.5555555555</v>
      </c>
      <c r="Z10" s="103">
        <f t="shared" ref="Z10:Z38" si="14">(+Y10-+Y9)*48</f>
        <v>6586.6666666679084</v>
      </c>
      <c r="AA10" s="82">
        <f>(AA12-AA9)/3+AA9</f>
        <v>13209.555555555557</v>
      </c>
      <c r="AB10" s="103">
        <f t="shared" ref="AB10:AB38" si="15">(+AA10-+AA9)*48</f>
        <v>106.66666666668607</v>
      </c>
      <c r="AC10" s="82">
        <f>(AC12-AC9)/3+AC9</f>
        <v>437445.66666666669</v>
      </c>
      <c r="AD10" s="38">
        <f t="shared" ref="AD10:AF37" si="16">(+AC10-+AC9)*48</f>
        <v>4064.0000000009313</v>
      </c>
      <c r="AE10" s="82">
        <f>(AE12-AE9)/3+AE9</f>
        <v>514848.88888888888</v>
      </c>
      <c r="AF10" s="103">
        <f t="shared" si="16"/>
        <v>2378.6666666669771</v>
      </c>
      <c r="AG10" s="82">
        <f>(AG12-AG9)/3+AG9</f>
        <v>49000.888888888891</v>
      </c>
      <c r="AH10" s="103">
        <f t="shared" ref="AH10:AH38" si="17">(+AG10-+AG9)*48</f>
        <v>218.66666666662786</v>
      </c>
      <c r="AI10" s="82">
        <f>(AI12-AI9)/3+AI9</f>
        <v>397374</v>
      </c>
      <c r="AJ10" s="38">
        <f t="shared" ref="AJ10:AJ38" si="18">(+AI10-+AI9)*48</f>
        <v>4512</v>
      </c>
      <c r="AK10" s="83">
        <v>102371</v>
      </c>
      <c r="AL10" s="38">
        <f t="shared" ref="AL10:AL38" si="19">(+AK10-+AK9)*48</f>
        <v>0</v>
      </c>
      <c r="AM10" s="82">
        <f>(AM12-AM9)/3+AM9</f>
        <v>561320.88888888888</v>
      </c>
      <c r="AN10" s="103">
        <f t="shared" ref="AN10:AN38" si="20">(+AM10-+AM9)*48</f>
        <v>746.66666666418314</v>
      </c>
      <c r="AO10" s="82">
        <f>(AO12-AO9)/3+AO9</f>
        <v>902703.77777777775</v>
      </c>
      <c r="AP10" s="103">
        <f t="shared" ref="AP10:AP38" si="21">(+AO10-+AO9)*48</f>
        <v>4277.3333333339542</v>
      </c>
      <c r="AQ10" s="82">
        <f>(AQ12-AQ9)/3+AQ9</f>
        <v>74048.666666666672</v>
      </c>
      <c r="AR10" s="38">
        <f t="shared" ref="AR10:AR38" si="22">(+AQ10-+AQ9)*48</f>
        <v>3968.0000000002328</v>
      </c>
      <c r="AS10" s="82">
        <f>(AS12-AS9)/3+AS9</f>
        <v>2245</v>
      </c>
      <c r="AT10" s="38">
        <f t="shared" ref="AT10:AT38" si="23">(+AS10-+AS9)*48</f>
        <v>192</v>
      </c>
      <c r="AU10" s="83">
        <v>918</v>
      </c>
      <c r="AV10" s="38">
        <f t="shared" ref="AV10:AV38" si="24">(+AU10-+AU9)*48</f>
        <v>0</v>
      </c>
      <c r="AW10" s="83">
        <v>3108</v>
      </c>
      <c r="AX10" s="38">
        <f t="shared" ref="AX10:AX38" si="25">(+AW10-+AW9)*48</f>
        <v>0</v>
      </c>
      <c r="AY10" s="82">
        <f>(AY12-AY9)/3+AY9</f>
        <v>303811.66666666669</v>
      </c>
      <c r="AZ10" s="38">
        <f t="shared" ref="AZ10:AZ25" si="26">(+AY10-+AY9)*48</f>
        <v>4112.0000000009313</v>
      </c>
      <c r="BA10" s="82">
        <f>(BA12-BA9)/3+BA9</f>
        <v>160171</v>
      </c>
      <c r="BB10" s="38">
        <f t="shared" ref="BB10:BB21" si="27">(+BA10-+BA9)*48</f>
        <v>0</v>
      </c>
      <c r="BC10" s="82">
        <f>(BC12-BC9)/3+BC9</f>
        <v>207962.33333333334</v>
      </c>
      <c r="BD10" s="38">
        <f t="shared" ref="BD10:BD38" si="28">(+BC10-+BC9)*48</f>
        <v>2704.0000000004657</v>
      </c>
      <c r="BE10" s="83">
        <v>5347</v>
      </c>
      <c r="BF10" s="38">
        <f t="shared" ref="BF10:BF38" si="29">(+BE10-+BE9)*48</f>
        <v>0</v>
      </c>
      <c r="BH10" s="104">
        <f t="shared" si="0"/>
        <v>107595.0986666731</v>
      </c>
      <c r="BI10" s="104">
        <f t="shared" si="1"/>
        <v>57467.733333337077</v>
      </c>
    </row>
    <row r="11" spans="1:61" s="36" customFormat="1" ht="39.950000000000003" customHeight="1">
      <c r="A11" s="144">
        <v>44168</v>
      </c>
      <c r="B11" s="35"/>
      <c r="C11" s="83">
        <v>5634792</v>
      </c>
      <c r="D11" s="103">
        <f t="shared" si="2"/>
        <v>98954.666666641831</v>
      </c>
      <c r="E11" s="38">
        <f t="shared" si="3"/>
        <v>59372.799999985094</v>
      </c>
      <c r="F11" s="103">
        <f t="shared" si="4"/>
        <v>39581.866666656737</v>
      </c>
      <c r="G11" s="83">
        <v>277086</v>
      </c>
      <c r="H11" s="103">
        <f t="shared" si="5"/>
        <v>1589.3333333339542</v>
      </c>
      <c r="I11" s="83">
        <v>96159</v>
      </c>
      <c r="J11" s="103">
        <f t="shared" si="6"/>
        <v>8373.3333333337214</v>
      </c>
      <c r="K11" s="83">
        <v>255849</v>
      </c>
      <c r="L11" s="103">
        <f t="shared" si="7"/>
        <v>266.66666666697711</v>
      </c>
      <c r="M11" s="83">
        <v>24468</v>
      </c>
      <c r="N11" s="38">
        <f t="shared" si="8"/>
        <v>32.000000000058208</v>
      </c>
      <c r="O11" s="83">
        <v>232820</v>
      </c>
      <c r="P11" s="103">
        <f t="shared" si="9"/>
        <v>9226.6666666665114</v>
      </c>
      <c r="Q11" s="83">
        <v>437364</v>
      </c>
      <c r="R11" s="38">
        <f t="shared" si="10"/>
        <v>3248.0000000009313</v>
      </c>
      <c r="S11" s="83">
        <v>702974</v>
      </c>
      <c r="T11" s="103">
        <f t="shared" si="11"/>
        <v>5477.3333333339542</v>
      </c>
      <c r="U11" s="83">
        <v>96098.350999999995</v>
      </c>
      <c r="V11" s="103">
        <f t="shared" si="12"/>
        <v>813.17866666638292</v>
      </c>
      <c r="W11" s="83">
        <v>78912</v>
      </c>
      <c r="X11" s="38">
        <f t="shared" si="13"/>
        <v>255.99999999976717</v>
      </c>
      <c r="Y11" s="83">
        <v>1494148</v>
      </c>
      <c r="Z11" s="103">
        <f t="shared" si="14"/>
        <v>13029.333333335817</v>
      </c>
      <c r="AA11" s="83">
        <v>13214</v>
      </c>
      <c r="AB11" s="103">
        <f t="shared" si="15"/>
        <v>213.33333333328483</v>
      </c>
      <c r="AC11" s="83">
        <v>437549</v>
      </c>
      <c r="AD11" s="38">
        <f t="shared" si="16"/>
        <v>4959.9999999990687</v>
      </c>
      <c r="AE11" s="83">
        <v>514926</v>
      </c>
      <c r="AF11" s="103">
        <f t="shared" si="16"/>
        <v>3701.3333333339542</v>
      </c>
      <c r="AG11" s="83">
        <v>49005</v>
      </c>
      <c r="AH11" s="103">
        <f t="shared" si="17"/>
        <v>197.33333333325572</v>
      </c>
      <c r="AI11" s="83">
        <v>397476</v>
      </c>
      <c r="AJ11" s="38">
        <f t="shared" si="18"/>
        <v>4896</v>
      </c>
      <c r="AK11" s="83">
        <v>102371</v>
      </c>
      <c r="AL11" s="38">
        <f t="shared" si="19"/>
        <v>0</v>
      </c>
      <c r="AM11" s="83">
        <v>561346</v>
      </c>
      <c r="AN11" s="103">
        <f t="shared" si="20"/>
        <v>1205.3333333339542</v>
      </c>
      <c r="AO11" s="83">
        <v>902822</v>
      </c>
      <c r="AP11" s="103">
        <f t="shared" si="21"/>
        <v>5674.6666666679084</v>
      </c>
      <c r="AQ11" s="83">
        <v>74214</v>
      </c>
      <c r="AR11" s="38">
        <f t="shared" si="22"/>
        <v>7935.9999999997672</v>
      </c>
      <c r="AS11" s="83">
        <v>2253</v>
      </c>
      <c r="AT11" s="38">
        <f t="shared" si="23"/>
        <v>384</v>
      </c>
      <c r="AU11" s="83">
        <v>918</v>
      </c>
      <c r="AV11" s="38">
        <f t="shared" si="24"/>
        <v>0</v>
      </c>
      <c r="AW11" s="83">
        <v>3108</v>
      </c>
      <c r="AX11" s="38">
        <f t="shared" si="25"/>
        <v>0</v>
      </c>
      <c r="AY11" s="83">
        <v>303894</v>
      </c>
      <c r="AZ11" s="38">
        <f t="shared" si="26"/>
        <v>3951.9999999990687</v>
      </c>
      <c r="BA11" s="83">
        <v>160171</v>
      </c>
      <c r="BB11" s="38">
        <f t="shared" si="27"/>
        <v>0</v>
      </c>
      <c r="BC11" s="83">
        <v>208016</v>
      </c>
      <c r="BD11" s="38">
        <f t="shared" si="28"/>
        <v>2575.9999999995343</v>
      </c>
      <c r="BE11" s="83">
        <v>5347</v>
      </c>
      <c r="BF11" s="38">
        <f t="shared" si="29"/>
        <v>0</v>
      </c>
      <c r="BH11" s="104">
        <f t="shared" si="0"/>
        <v>115652.64533332273</v>
      </c>
      <c r="BI11" s="104">
        <f t="shared" si="1"/>
        <v>61309.86666665697</v>
      </c>
    </row>
    <row r="12" spans="1:61" s="36" customFormat="1" ht="39.950000000000003" customHeight="1">
      <c r="A12" s="144">
        <v>44169</v>
      </c>
      <c r="B12" s="35"/>
      <c r="C12" s="83">
        <v>5637050</v>
      </c>
      <c r="D12" s="103">
        <f t="shared" si="2"/>
        <v>108384</v>
      </c>
      <c r="E12" s="38">
        <f t="shared" si="3"/>
        <v>65030.399999999994</v>
      </c>
      <c r="F12" s="103">
        <f t="shared" si="4"/>
        <v>43353.600000000006</v>
      </c>
      <c r="G12" s="83">
        <v>277116</v>
      </c>
      <c r="H12" s="103">
        <f t="shared" si="5"/>
        <v>1440</v>
      </c>
      <c r="I12" s="83">
        <v>96325</v>
      </c>
      <c r="J12" s="103">
        <f t="shared" si="6"/>
        <v>7968</v>
      </c>
      <c r="K12" s="83">
        <v>255851</v>
      </c>
      <c r="L12" s="38">
        <f t="shared" si="7"/>
        <v>96</v>
      </c>
      <c r="M12" s="83">
        <v>24470</v>
      </c>
      <c r="N12" s="38">
        <f t="shared" si="8"/>
        <v>96</v>
      </c>
      <c r="O12" s="83">
        <v>232978</v>
      </c>
      <c r="P12" s="38">
        <f t="shared" si="9"/>
        <v>7584</v>
      </c>
      <c r="Q12" s="83">
        <v>437385</v>
      </c>
      <c r="R12" s="38">
        <f t="shared" si="10"/>
        <v>1008</v>
      </c>
      <c r="S12" s="83">
        <v>703109</v>
      </c>
      <c r="T12" s="38">
        <f t="shared" si="11"/>
        <v>6480</v>
      </c>
      <c r="U12" s="83">
        <v>96117.25</v>
      </c>
      <c r="V12" s="103">
        <f t="shared" si="12"/>
        <v>907.15200000023469</v>
      </c>
      <c r="W12" s="83">
        <v>78916</v>
      </c>
      <c r="X12" s="38">
        <f t="shared" si="13"/>
        <v>192</v>
      </c>
      <c r="Y12" s="83">
        <v>1494151</v>
      </c>
      <c r="Z12" s="38">
        <f t="shared" si="14"/>
        <v>144</v>
      </c>
      <c r="AA12" s="83">
        <v>13214</v>
      </c>
      <c r="AB12" s="38">
        <f t="shared" si="15"/>
        <v>0</v>
      </c>
      <c r="AC12" s="83">
        <v>437615</v>
      </c>
      <c r="AD12" s="38">
        <f t="shared" si="16"/>
        <v>3168</v>
      </c>
      <c r="AE12" s="83">
        <v>514948</v>
      </c>
      <c r="AF12" s="38">
        <f t="shared" si="16"/>
        <v>1056</v>
      </c>
      <c r="AG12" s="83">
        <v>49010</v>
      </c>
      <c r="AH12" s="38">
        <f t="shared" si="17"/>
        <v>240</v>
      </c>
      <c r="AI12" s="83">
        <v>397562</v>
      </c>
      <c r="AJ12" s="38">
        <f t="shared" si="18"/>
        <v>4128</v>
      </c>
      <c r="AK12" s="83">
        <v>102371</v>
      </c>
      <c r="AL12" s="38">
        <f t="shared" si="19"/>
        <v>0</v>
      </c>
      <c r="AM12" s="83">
        <v>561352</v>
      </c>
      <c r="AN12" s="38">
        <f t="shared" si="20"/>
        <v>288</v>
      </c>
      <c r="AO12" s="83">
        <v>902882</v>
      </c>
      <c r="AP12" s="38">
        <f t="shared" si="21"/>
        <v>2880</v>
      </c>
      <c r="AQ12" s="83">
        <v>74214</v>
      </c>
      <c r="AR12" s="38">
        <f t="shared" si="22"/>
        <v>0</v>
      </c>
      <c r="AS12" s="83">
        <v>2253</v>
      </c>
      <c r="AT12" s="38">
        <f t="shared" si="23"/>
        <v>0</v>
      </c>
      <c r="AU12" s="83">
        <v>918</v>
      </c>
      <c r="AV12" s="38">
        <f t="shared" si="24"/>
        <v>0</v>
      </c>
      <c r="AW12" s="83">
        <v>3108</v>
      </c>
      <c r="AX12" s="38">
        <f t="shared" si="25"/>
        <v>0</v>
      </c>
      <c r="AY12" s="83">
        <v>303983</v>
      </c>
      <c r="AZ12" s="38">
        <f t="shared" si="26"/>
        <v>4272</v>
      </c>
      <c r="BA12" s="83">
        <v>160171</v>
      </c>
      <c r="BB12" s="38">
        <f t="shared" si="27"/>
        <v>0</v>
      </c>
      <c r="BC12" s="83">
        <v>208075</v>
      </c>
      <c r="BD12" s="38">
        <f t="shared" si="28"/>
        <v>2832</v>
      </c>
      <c r="BE12" s="83">
        <v>5347</v>
      </c>
      <c r="BF12" s="38">
        <f t="shared" si="29"/>
        <v>0</v>
      </c>
      <c r="BH12" s="104">
        <f t="shared" si="0"/>
        <v>99537.552000000229</v>
      </c>
      <c r="BI12" s="104">
        <f t="shared" si="1"/>
        <v>53625.600000000006</v>
      </c>
    </row>
    <row r="13" spans="1:61" s="36" customFormat="1" ht="39.950000000000003" customHeight="1">
      <c r="A13" s="144">
        <v>44170</v>
      </c>
      <c r="B13" s="35"/>
      <c r="C13" s="83">
        <v>5640058</v>
      </c>
      <c r="D13" s="38">
        <f t="shared" si="2"/>
        <v>144384</v>
      </c>
      <c r="E13" s="38">
        <f t="shared" si="3"/>
        <v>86630.399999999994</v>
      </c>
      <c r="F13" s="103">
        <f t="shared" si="4"/>
        <v>57753.600000000006</v>
      </c>
      <c r="G13" s="83">
        <v>277144</v>
      </c>
      <c r="H13" s="38">
        <f t="shared" si="5"/>
        <v>1344</v>
      </c>
      <c r="I13" s="83">
        <v>96502</v>
      </c>
      <c r="J13" s="103">
        <f t="shared" si="6"/>
        <v>8496</v>
      </c>
      <c r="K13" s="83">
        <v>255854</v>
      </c>
      <c r="L13" s="38">
        <f t="shared" si="7"/>
        <v>144</v>
      </c>
      <c r="M13" s="83">
        <v>24470</v>
      </c>
      <c r="N13" s="38">
        <f t="shared" si="8"/>
        <v>0</v>
      </c>
      <c r="O13" s="83">
        <v>233140</v>
      </c>
      <c r="P13" s="38">
        <f t="shared" si="9"/>
        <v>7776</v>
      </c>
      <c r="Q13" s="83">
        <v>437422</v>
      </c>
      <c r="R13" s="38">
        <f t="shared" si="10"/>
        <v>1776</v>
      </c>
      <c r="S13" s="83">
        <v>703224</v>
      </c>
      <c r="T13" s="38">
        <f t="shared" si="11"/>
        <v>5520</v>
      </c>
      <c r="U13" s="83">
        <v>96134.841</v>
      </c>
      <c r="V13" s="103">
        <f t="shared" si="12"/>
        <v>844.36800000001676</v>
      </c>
      <c r="W13" s="83">
        <v>78921</v>
      </c>
      <c r="X13" s="38">
        <f t="shared" si="13"/>
        <v>240</v>
      </c>
      <c r="Y13" s="83">
        <v>1494151</v>
      </c>
      <c r="Z13" s="38">
        <f t="shared" si="14"/>
        <v>0</v>
      </c>
      <c r="AA13" s="83">
        <v>13214</v>
      </c>
      <c r="AB13" s="38">
        <f t="shared" si="15"/>
        <v>0</v>
      </c>
      <c r="AC13" s="83">
        <v>437665</v>
      </c>
      <c r="AD13" s="38">
        <f t="shared" si="16"/>
        <v>2400</v>
      </c>
      <c r="AE13" s="83">
        <v>514958</v>
      </c>
      <c r="AF13" s="38">
        <f t="shared" si="16"/>
        <v>480</v>
      </c>
      <c r="AG13" s="83">
        <v>49014</v>
      </c>
      <c r="AH13" s="38">
        <f t="shared" si="17"/>
        <v>192</v>
      </c>
      <c r="AI13" s="83">
        <v>397657</v>
      </c>
      <c r="AJ13" s="38">
        <f t="shared" si="18"/>
        <v>4560</v>
      </c>
      <c r="AK13" s="83">
        <v>102371</v>
      </c>
      <c r="AL13" s="38">
        <f t="shared" si="19"/>
        <v>0</v>
      </c>
      <c r="AM13" s="83">
        <v>561355</v>
      </c>
      <c r="AN13" s="38">
        <f t="shared" si="20"/>
        <v>144</v>
      </c>
      <c r="AO13" s="83">
        <v>902922</v>
      </c>
      <c r="AP13" s="38">
        <f t="shared" si="21"/>
        <v>1920</v>
      </c>
      <c r="AQ13" s="83">
        <v>74214</v>
      </c>
      <c r="AR13" s="38">
        <f t="shared" si="22"/>
        <v>0</v>
      </c>
      <c r="AS13" s="83">
        <v>2253</v>
      </c>
      <c r="AT13" s="38">
        <f t="shared" si="23"/>
        <v>0</v>
      </c>
      <c r="AU13" s="83">
        <v>918</v>
      </c>
      <c r="AV13" s="38">
        <f t="shared" si="24"/>
        <v>0</v>
      </c>
      <c r="AW13" s="83">
        <v>3108</v>
      </c>
      <c r="AX13" s="38">
        <f t="shared" si="25"/>
        <v>0</v>
      </c>
      <c r="AY13" s="83">
        <v>304078</v>
      </c>
      <c r="AZ13" s="38">
        <f t="shared" si="26"/>
        <v>4560</v>
      </c>
      <c r="BA13" s="83">
        <v>160171</v>
      </c>
      <c r="BB13" s="38">
        <f t="shared" si="27"/>
        <v>0</v>
      </c>
      <c r="BC13" s="83">
        <v>208136</v>
      </c>
      <c r="BD13" s="38">
        <f t="shared" si="28"/>
        <v>2928</v>
      </c>
      <c r="BE13" s="83">
        <v>5347</v>
      </c>
      <c r="BF13" s="38">
        <f t="shared" si="29"/>
        <v>0</v>
      </c>
      <c r="BH13" s="104">
        <f t="shared" si="0"/>
        <v>120402.76800000001</v>
      </c>
      <c r="BI13" s="104">
        <f t="shared" si="1"/>
        <v>67305.600000000006</v>
      </c>
    </row>
    <row r="14" spans="1:61" s="36" customFormat="1" ht="39.950000000000003" customHeight="1">
      <c r="A14" s="144">
        <v>44171</v>
      </c>
      <c r="B14" s="35"/>
      <c r="C14" s="83">
        <v>5643405</v>
      </c>
      <c r="D14" s="38">
        <f t="shared" si="2"/>
        <v>160656</v>
      </c>
      <c r="E14" s="38">
        <f t="shared" si="3"/>
        <v>96393.599999999991</v>
      </c>
      <c r="F14" s="103">
        <f t="shared" si="4"/>
        <v>64262.400000000001</v>
      </c>
      <c r="G14" s="83">
        <v>277172</v>
      </c>
      <c r="H14" s="38">
        <f t="shared" si="5"/>
        <v>1344</v>
      </c>
      <c r="I14" s="83">
        <v>96676</v>
      </c>
      <c r="J14" s="103">
        <f t="shared" si="6"/>
        <v>8352</v>
      </c>
      <c r="K14" s="83">
        <v>255863</v>
      </c>
      <c r="L14" s="38">
        <f t="shared" si="7"/>
        <v>432</v>
      </c>
      <c r="M14" s="83">
        <v>24470</v>
      </c>
      <c r="N14" s="38">
        <f t="shared" si="8"/>
        <v>0</v>
      </c>
      <c r="O14" s="83">
        <v>233309</v>
      </c>
      <c r="P14" s="38">
        <f t="shared" si="9"/>
        <v>8112</v>
      </c>
      <c r="Q14" s="83">
        <v>437506</v>
      </c>
      <c r="R14" s="38">
        <f t="shared" si="10"/>
        <v>4032</v>
      </c>
      <c r="S14" s="83">
        <v>703350</v>
      </c>
      <c r="T14" s="38">
        <f t="shared" si="11"/>
        <v>6048</v>
      </c>
      <c r="U14" s="83">
        <v>96155.635999999999</v>
      </c>
      <c r="V14" s="103">
        <f>(+U14-+U13)*48</f>
        <v>998.15999999991618</v>
      </c>
      <c r="W14" s="83">
        <v>78921</v>
      </c>
      <c r="X14" s="38">
        <f t="shared" si="13"/>
        <v>0</v>
      </c>
      <c r="Y14" s="83">
        <v>1494151</v>
      </c>
      <c r="Z14" s="38">
        <f t="shared" si="14"/>
        <v>0</v>
      </c>
      <c r="AA14" s="83">
        <v>13214</v>
      </c>
      <c r="AB14" s="38">
        <f t="shared" si="15"/>
        <v>0</v>
      </c>
      <c r="AC14" s="83">
        <v>437715</v>
      </c>
      <c r="AD14" s="38">
        <f t="shared" si="16"/>
        <v>2400</v>
      </c>
      <c r="AE14" s="83">
        <v>514970</v>
      </c>
      <c r="AF14" s="38">
        <f t="shared" si="16"/>
        <v>576</v>
      </c>
      <c r="AG14" s="83">
        <v>49019</v>
      </c>
      <c r="AH14" s="38">
        <f t="shared" si="17"/>
        <v>240</v>
      </c>
      <c r="AI14" s="83">
        <v>397767</v>
      </c>
      <c r="AJ14" s="38">
        <f t="shared" si="18"/>
        <v>5280</v>
      </c>
      <c r="AK14" s="83">
        <v>102371</v>
      </c>
      <c r="AL14" s="38">
        <f t="shared" si="19"/>
        <v>0</v>
      </c>
      <c r="AM14" s="83">
        <v>561356</v>
      </c>
      <c r="AN14" s="38">
        <f t="shared" si="20"/>
        <v>48</v>
      </c>
      <c r="AO14" s="83">
        <v>902963</v>
      </c>
      <c r="AP14" s="38">
        <f t="shared" si="21"/>
        <v>1968</v>
      </c>
      <c r="AQ14" s="83">
        <v>74221</v>
      </c>
      <c r="AR14" s="38">
        <f t="shared" si="22"/>
        <v>336</v>
      </c>
      <c r="AS14" s="83">
        <v>2253</v>
      </c>
      <c r="AT14" s="38">
        <f t="shared" si="23"/>
        <v>0</v>
      </c>
      <c r="AU14" s="83">
        <v>918</v>
      </c>
      <c r="AV14" s="38">
        <f t="shared" si="24"/>
        <v>0</v>
      </c>
      <c r="AW14" s="83">
        <v>3108</v>
      </c>
      <c r="AX14" s="38">
        <f t="shared" si="25"/>
        <v>0</v>
      </c>
      <c r="AY14" s="83">
        <v>304145</v>
      </c>
      <c r="AZ14" s="38">
        <f t="shared" si="26"/>
        <v>3216</v>
      </c>
      <c r="BA14" s="83">
        <v>160171</v>
      </c>
      <c r="BB14" s="38">
        <f t="shared" si="27"/>
        <v>0</v>
      </c>
      <c r="BC14" s="83">
        <v>208198</v>
      </c>
      <c r="BD14" s="38">
        <f t="shared" si="28"/>
        <v>2976</v>
      </c>
      <c r="BE14" s="83">
        <v>5347</v>
      </c>
      <c r="BF14" s="38">
        <f t="shared" si="29"/>
        <v>0</v>
      </c>
      <c r="BH14" s="104">
        <f t="shared" si="0"/>
        <v>134207.75999999989</v>
      </c>
      <c r="BI14" s="104">
        <f t="shared" si="1"/>
        <v>72806.399999999994</v>
      </c>
    </row>
    <row r="15" spans="1:61" s="36" customFormat="1" ht="39.950000000000003" customHeight="1">
      <c r="A15" s="144">
        <v>44172</v>
      </c>
      <c r="B15" s="35"/>
      <c r="C15" s="77">
        <v>5646268</v>
      </c>
      <c r="D15" s="38">
        <f t="shared" si="2"/>
        <v>137424</v>
      </c>
      <c r="E15" s="38">
        <f t="shared" si="3"/>
        <v>82454.399999999994</v>
      </c>
      <c r="F15" s="103">
        <f t="shared" si="4"/>
        <v>54969.600000000006</v>
      </c>
      <c r="G15" s="77">
        <v>277208</v>
      </c>
      <c r="H15" s="38">
        <f t="shared" si="5"/>
        <v>1728</v>
      </c>
      <c r="I15" s="77">
        <v>96839</v>
      </c>
      <c r="J15" s="38">
        <f t="shared" si="6"/>
        <v>7824</v>
      </c>
      <c r="K15" s="77">
        <v>255880</v>
      </c>
      <c r="L15" s="38">
        <f t="shared" si="7"/>
        <v>816</v>
      </c>
      <c r="M15" s="77">
        <v>24470</v>
      </c>
      <c r="N15" s="38">
        <f t="shared" si="8"/>
        <v>0</v>
      </c>
      <c r="O15" s="77">
        <v>233484</v>
      </c>
      <c r="P15" s="38">
        <f t="shared" si="9"/>
        <v>8400</v>
      </c>
      <c r="Q15" s="77">
        <v>437577</v>
      </c>
      <c r="R15" s="38">
        <f t="shared" si="10"/>
        <v>3408</v>
      </c>
      <c r="S15" s="77">
        <v>703457</v>
      </c>
      <c r="T15" s="38">
        <f t="shared" si="11"/>
        <v>5136</v>
      </c>
      <c r="U15" s="82">
        <v>96176.9</v>
      </c>
      <c r="V15" s="103">
        <f t="shared" ref="V15:V17" si="30">(+U15-+U14)*48</f>
        <v>1020.6719999997877</v>
      </c>
      <c r="W15" s="77">
        <v>78921</v>
      </c>
      <c r="X15" s="38">
        <f t="shared" si="13"/>
        <v>0</v>
      </c>
      <c r="Y15" s="77">
        <v>1494151</v>
      </c>
      <c r="Z15" s="38">
        <f t="shared" si="14"/>
        <v>0</v>
      </c>
      <c r="AA15" s="77">
        <v>13215</v>
      </c>
      <c r="AB15" s="38">
        <f t="shared" si="15"/>
        <v>48</v>
      </c>
      <c r="AC15" s="77">
        <v>437798</v>
      </c>
      <c r="AD15" s="38">
        <f t="shared" si="16"/>
        <v>3984</v>
      </c>
      <c r="AE15" s="77">
        <v>515013</v>
      </c>
      <c r="AF15" s="38">
        <f t="shared" si="16"/>
        <v>2064</v>
      </c>
      <c r="AG15" s="77">
        <v>49024</v>
      </c>
      <c r="AH15" s="38">
        <f t="shared" si="17"/>
        <v>240</v>
      </c>
      <c r="AI15" s="77">
        <v>397863</v>
      </c>
      <c r="AJ15" s="38">
        <f t="shared" si="18"/>
        <v>4608</v>
      </c>
      <c r="AK15" s="77">
        <v>102371</v>
      </c>
      <c r="AL15" s="38">
        <f t="shared" si="19"/>
        <v>0</v>
      </c>
      <c r="AM15" s="77">
        <v>561375</v>
      </c>
      <c r="AN15" s="38">
        <f t="shared" si="20"/>
        <v>912</v>
      </c>
      <c r="AO15" s="77">
        <v>903054</v>
      </c>
      <c r="AP15" s="38">
        <f t="shared" si="21"/>
        <v>4368</v>
      </c>
      <c r="AQ15" s="77">
        <v>74221</v>
      </c>
      <c r="AR15" s="38">
        <f t="shared" si="22"/>
        <v>0</v>
      </c>
      <c r="AS15" s="77">
        <v>2253</v>
      </c>
      <c r="AT15" s="38">
        <f t="shared" si="23"/>
        <v>0</v>
      </c>
      <c r="AU15" s="77">
        <v>918</v>
      </c>
      <c r="AV15" s="38">
        <f t="shared" si="24"/>
        <v>0</v>
      </c>
      <c r="AW15" s="77">
        <v>3108</v>
      </c>
      <c r="AX15" s="38">
        <f t="shared" si="25"/>
        <v>0</v>
      </c>
      <c r="AY15" s="77">
        <v>304145</v>
      </c>
      <c r="AZ15" s="38">
        <f t="shared" si="26"/>
        <v>0</v>
      </c>
      <c r="BA15" s="77">
        <v>160173</v>
      </c>
      <c r="BB15" s="38">
        <f t="shared" si="27"/>
        <v>96</v>
      </c>
      <c r="BC15" s="77">
        <v>208257</v>
      </c>
      <c r="BD15" s="38">
        <f t="shared" si="28"/>
        <v>2832</v>
      </c>
      <c r="BE15" s="77">
        <v>5347</v>
      </c>
      <c r="BF15" s="38">
        <f t="shared" si="29"/>
        <v>0</v>
      </c>
      <c r="BH15" s="104">
        <f t="shared" si="0"/>
        <v>121731.07199999978</v>
      </c>
      <c r="BI15" s="104">
        <f t="shared" si="1"/>
        <v>63177.600000000006</v>
      </c>
    </row>
    <row r="16" spans="1:61" s="36" customFormat="1" ht="39.950000000000003" customHeight="1">
      <c r="A16" s="144">
        <v>44173</v>
      </c>
      <c r="B16" s="35"/>
      <c r="C16" s="77">
        <v>5648951</v>
      </c>
      <c r="D16" s="38">
        <f t="shared" si="2"/>
        <v>128784</v>
      </c>
      <c r="E16" s="38">
        <f t="shared" si="3"/>
        <v>77270.399999999994</v>
      </c>
      <c r="F16" s="103">
        <f t="shared" si="4"/>
        <v>51513.600000000006</v>
      </c>
      <c r="G16" s="77">
        <v>277234</v>
      </c>
      <c r="H16" s="38">
        <f t="shared" si="5"/>
        <v>1248</v>
      </c>
      <c r="I16" s="77">
        <v>97008</v>
      </c>
      <c r="J16" s="38">
        <f t="shared" si="6"/>
        <v>8112</v>
      </c>
      <c r="K16" s="77">
        <v>255882</v>
      </c>
      <c r="L16" s="38">
        <f t="shared" si="7"/>
        <v>96</v>
      </c>
      <c r="M16" s="77">
        <v>24470</v>
      </c>
      <c r="N16" s="38">
        <f t="shared" si="8"/>
        <v>0</v>
      </c>
      <c r="O16" s="77">
        <v>233669</v>
      </c>
      <c r="P16" s="38">
        <f t="shared" si="9"/>
        <v>8880</v>
      </c>
      <c r="Q16" s="77">
        <v>437607</v>
      </c>
      <c r="R16" s="38">
        <f t="shared" si="10"/>
        <v>1440</v>
      </c>
      <c r="S16" s="77">
        <v>703582</v>
      </c>
      <c r="T16" s="38">
        <f t="shared" si="11"/>
        <v>6000</v>
      </c>
      <c r="U16" s="82">
        <v>96194.100999999995</v>
      </c>
      <c r="V16" s="103">
        <f t="shared" si="30"/>
        <v>825.6480000000447</v>
      </c>
      <c r="W16" s="77">
        <v>78921</v>
      </c>
      <c r="X16" s="38">
        <f t="shared" si="13"/>
        <v>0</v>
      </c>
      <c r="Y16" s="77">
        <v>1494151</v>
      </c>
      <c r="Z16" s="38">
        <f t="shared" si="14"/>
        <v>0</v>
      </c>
      <c r="AA16" s="77">
        <v>13216</v>
      </c>
      <c r="AB16" s="38">
        <f t="shared" si="15"/>
        <v>48</v>
      </c>
      <c r="AC16" s="77">
        <v>437870</v>
      </c>
      <c r="AD16" s="38">
        <f t="shared" si="16"/>
        <v>3456</v>
      </c>
      <c r="AE16" s="77">
        <v>515057</v>
      </c>
      <c r="AF16" s="38">
        <f t="shared" si="16"/>
        <v>2112</v>
      </c>
      <c r="AG16" s="77">
        <v>49028</v>
      </c>
      <c r="AH16" s="38">
        <f t="shared" si="17"/>
        <v>192</v>
      </c>
      <c r="AI16" s="77">
        <v>397952</v>
      </c>
      <c r="AJ16" s="38">
        <f t="shared" si="18"/>
        <v>4272</v>
      </c>
      <c r="AK16" s="77">
        <v>102371</v>
      </c>
      <c r="AL16" s="38">
        <f t="shared" si="19"/>
        <v>0</v>
      </c>
      <c r="AM16" s="77">
        <v>561384</v>
      </c>
      <c r="AN16" s="38">
        <f t="shared" si="20"/>
        <v>432</v>
      </c>
      <c r="AO16" s="77">
        <v>903130</v>
      </c>
      <c r="AP16" s="38">
        <f t="shared" si="21"/>
        <v>3648</v>
      </c>
      <c r="AQ16" s="77">
        <v>74221</v>
      </c>
      <c r="AR16" s="38">
        <f t="shared" si="22"/>
        <v>0</v>
      </c>
      <c r="AS16" s="77">
        <v>2253</v>
      </c>
      <c r="AT16" s="38">
        <f t="shared" si="23"/>
        <v>0</v>
      </c>
      <c r="AU16" s="77">
        <v>918</v>
      </c>
      <c r="AV16" s="38">
        <f t="shared" si="24"/>
        <v>0</v>
      </c>
      <c r="AW16" s="77">
        <v>3108</v>
      </c>
      <c r="AX16" s="38">
        <f t="shared" si="25"/>
        <v>0</v>
      </c>
      <c r="AY16" s="77">
        <v>304228</v>
      </c>
      <c r="AZ16" s="38">
        <f t="shared" si="26"/>
        <v>3984</v>
      </c>
      <c r="BA16" s="77">
        <v>160186</v>
      </c>
      <c r="BB16" s="38">
        <f t="shared" si="27"/>
        <v>624</v>
      </c>
      <c r="BC16" s="77">
        <v>208319</v>
      </c>
      <c r="BD16" s="38">
        <f t="shared" si="28"/>
        <v>2976</v>
      </c>
      <c r="BE16" s="77">
        <v>5347</v>
      </c>
      <c r="BF16" s="38">
        <f t="shared" si="29"/>
        <v>0</v>
      </c>
      <c r="BH16" s="104">
        <f t="shared" si="0"/>
        <v>113952.04800000004</v>
      </c>
      <c r="BI16" s="104">
        <f t="shared" si="1"/>
        <v>63177.600000000006</v>
      </c>
    </row>
    <row r="17" spans="1:61" s="36" customFormat="1" ht="39.950000000000003" customHeight="1">
      <c r="A17" s="144">
        <v>44174</v>
      </c>
      <c r="B17" s="35"/>
      <c r="C17" s="77">
        <v>5651061</v>
      </c>
      <c r="D17" s="38">
        <f t="shared" si="2"/>
        <v>101280</v>
      </c>
      <c r="E17" s="38">
        <f t="shared" si="3"/>
        <v>60768</v>
      </c>
      <c r="F17" s="103">
        <f t="shared" si="4"/>
        <v>40512</v>
      </c>
      <c r="G17" s="77">
        <v>277259</v>
      </c>
      <c r="H17" s="38">
        <f t="shared" si="5"/>
        <v>1200</v>
      </c>
      <c r="I17" s="77">
        <v>97181</v>
      </c>
      <c r="J17" s="38">
        <f t="shared" si="6"/>
        <v>8304</v>
      </c>
      <c r="K17" s="77">
        <v>255883</v>
      </c>
      <c r="L17" s="38">
        <f t="shared" si="7"/>
        <v>48</v>
      </c>
      <c r="M17" s="77">
        <v>24470</v>
      </c>
      <c r="N17" s="38">
        <f t="shared" si="8"/>
        <v>0</v>
      </c>
      <c r="O17" s="77">
        <v>233837</v>
      </c>
      <c r="P17" s="38">
        <f t="shared" si="9"/>
        <v>8064</v>
      </c>
      <c r="Q17" s="77">
        <v>437646</v>
      </c>
      <c r="R17" s="38">
        <f t="shared" si="10"/>
        <v>1872</v>
      </c>
      <c r="S17" s="77">
        <v>703700</v>
      </c>
      <c r="T17" s="38">
        <f t="shared" si="11"/>
        <v>5664</v>
      </c>
      <c r="U17" s="82">
        <v>96210.260999999999</v>
      </c>
      <c r="V17" s="103">
        <f t="shared" si="30"/>
        <v>775.68000000016764</v>
      </c>
      <c r="W17" s="77">
        <v>78924</v>
      </c>
      <c r="X17" s="38">
        <f t="shared" si="13"/>
        <v>144</v>
      </c>
      <c r="Y17" s="77">
        <v>1494151</v>
      </c>
      <c r="Z17" s="38">
        <f t="shared" si="14"/>
        <v>0</v>
      </c>
      <c r="AA17" s="77">
        <v>13216</v>
      </c>
      <c r="AB17" s="38">
        <f t="shared" si="15"/>
        <v>0</v>
      </c>
      <c r="AC17" s="77">
        <v>437943</v>
      </c>
      <c r="AD17" s="38">
        <f t="shared" si="16"/>
        <v>3504</v>
      </c>
      <c r="AE17" s="77">
        <v>515096</v>
      </c>
      <c r="AF17" s="38">
        <f t="shared" si="16"/>
        <v>1872</v>
      </c>
      <c r="AG17" s="77">
        <v>49032</v>
      </c>
      <c r="AH17" s="38">
        <f t="shared" si="17"/>
        <v>192</v>
      </c>
      <c r="AI17" s="77">
        <v>398034</v>
      </c>
      <c r="AJ17" s="38">
        <f t="shared" si="18"/>
        <v>3936</v>
      </c>
      <c r="AK17" s="77">
        <v>102371</v>
      </c>
      <c r="AL17" s="38">
        <f t="shared" si="19"/>
        <v>0</v>
      </c>
      <c r="AM17" s="77">
        <v>561386</v>
      </c>
      <c r="AN17" s="38">
        <f t="shared" si="20"/>
        <v>96</v>
      </c>
      <c r="AO17" s="77">
        <v>903200</v>
      </c>
      <c r="AP17" s="38">
        <f t="shared" si="21"/>
        <v>3360</v>
      </c>
      <c r="AQ17" s="77">
        <v>74221</v>
      </c>
      <c r="AR17" s="38">
        <f t="shared" si="22"/>
        <v>0</v>
      </c>
      <c r="AS17" s="77">
        <v>2253</v>
      </c>
      <c r="AT17" s="38">
        <f t="shared" si="23"/>
        <v>0</v>
      </c>
      <c r="AU17" s="77">
        <v>918</v>
      </c>
      <c r="AV17" s="38">
        <f t="shared" si="24"/>
        <v>0</v>
      </c>
      <c r="AW17" s="77">
        <v>3108</v>
      </c>
      <c r="AX17" s="38">
        <f t="shared" si="25"/>
        <v>0</v>
      </c>
      <c r="AY17" s="77">
        <v>304322</v>
      </c>
      <c r="AZ17" s="38">
        <f t="shared" si="26"/>
        <v>4512</v>
      </c>
      <c r="BA17" s="77">
        <v>160187</v>
      </c>
      <c r="BB17" s="38">
        <f t="shared" si="27"/>
        <v>48</v>
      </c>
      <c r="BC17" s="77">
        <v>208380</v>
      </c>
      <c r="BD17" s="38">
        <f t="shared" si="28"/>
        <v>2928</v>
      </c>
      <c r="BE17" s="77">
        <v>5347</v>
      </c>
      <c r="BF17" s="38">
        <f t="shared" si="29"/>
        <v>0</v>
      </c>
      <c r="BH17" s="104">
        <f t="shared" si="0"/>
        <v>96343.680000000168</v>
      </c>
      <c r="BI17" s="104">
        <f t="shared" si="1"/>
        <v>51456</v>
      </c>
    </row>
    <row r="18" spans="1:61" s="36" customFormat="1" ht="39.950000000000003" customHeight="1">
      <c r="A18" s="144">
        <v>44175</v>
      </c>
      <c r="B18" s="35"/>
      <c r="C18" s="77">
        <v>5653131</v>
      </c>
      <c r="D18" s="38">
        <f t="shared" si="2"/>
        <v>99360</v>
      </c>
      <c r="E18" s="38">
        <f t="shared" si="3"/>
        <v>59616</v>
      </c>
      <c r="F18" s="103">
        <f t="shared" si="4"/>
        <v>39744</v>
      </c>
      <c r="G18" s="77">
        <v>277290</v>
      </c>
      <c r="H18" s="38">
        <f t="shared" si="5"/>
        <v>1488</v>
      </c>
      <c r="I18" s="77">
        <v>97357</v>
      </c>
      <c r="J18" s="38">
        <f t="shared" si="6"/>
        <v>8448</v>
      </c>
      <c r="K18" s="77">
        <v>255885</v>
      </c>
      <c r="L18" s="38">
        <f t="shared" si="7"/>
        <v>96</v>
      </c>
      <c r="M18" s="77">
        <v>24470</v>
      </c>
      <c r="N18" s="38">
        <f t="shared" si="8"/>
        <v>0</v>
      </c>
      <c r="O18" s="77">
        <v>234004</v>
      </c>
      <c r="P18" s="38">
        <f t="shared" si="9"/>
        <v>8016</v>
      </c>
      <c r="Q18" s="77">
        <v>437698</v>
      </c>
      <c r="R18" s="38">
        <f t="shared" si="10"/>
        <v>2496</v>
      </c>
      <c r="S18" s="77">
        <v>703836</v>
      </c>
      <c r="T18" s="38">
        <f t="shared" si="11"/>
        <v>6528</v>
      </c>
      <c r="U18" s="82">
        <v>96230.497000000003</v>
      </c>
      <c r="V18" s="103">
        <f>(+U18-+U17)*48</f>
        <v>971.32800000021234</v>
      </c>
      <c r="W18" s="77">
        <v>78928</v>
      </c>
      <c r="X18" s="38">
        <f t="shared" si="13"/>
        <v>192</v>
      </c>
      <c r="Y18" s="77">
        <v>1494151</v>
      </c>
      <c r="Z18" s="38">
        <f t="shared" si="14"/>
        <v>0</v>
      </c>
      <c r="AA18" s="77">
        <v>13217</v>
      </c>
      <c r="AB18" s="38">
        <f t="shared" si="15"/>
        <v>48</v>
      </c>
      <c r="AC18" s="77">
        <v>438057</v>
      </c>
      <c r="AD18" s="38">
        <f t="shared" si="16"/>
        <v>5472</v>
      </c>
      <c r="AE18" s="77">
        <v>515157</v>
      </c>
      <c r="AF18" s="38">
        <f t="shared" si="16"/>
        <v>2928</v>
      </c>
      <c r="AG18" s="77">
        <v>49037</v>
      </c>
      <c r="AH18" s="38">
        <f t="shared" si="17"/>
        <v>240</v>
      </c>
      <c r="AI18" s="77">
        <v>398122</v>
      </c>
      <c r="AJ18" s="38">
        <f t="shared" si="18"/>
        <v>4224</v>
      </c>
      <c r="AK18" s="77">
        <v>102371</v>
      </c>
      <c r="AL18" s="38">
        <f t="shared" si="19"/>
        <v>0</v>
      </c>
      <c r="AM18" s="77">
        <v>561428</v>
      </c>
      <c r="AN18" s="38">
        <f t="shared" si="20"/>
        <v>2016</v>
      </c>
      <c r="AO18" s="77">
        <v>903310</v>
      </c>
      <c r="AP18" s="38">
        <f t="shared" si="21"/>
        <v>5280</v>
      </c>
      <c r="AQ18" s="77">
        <v>74221</v>
      </c>
      <c r="AR18" s="38">
        <f t="shared" si="22"/>
        <v>0</v>
      </c>
      <c r="AS18" s="77">
        <v>2253</v>
      </c>
      <c r="AT18" s="38">
        <f t="shared" si="23"/>
        <v>0</v>
      </c>
      <c r="AU18" s="77">
        <v>918</v>
      </c>
      <c r="AV18" s="38">
        <f t="shared" si="24"/>
        <v>0</v>
      </c>
      <c r="AW18" s="77">
        <v>3108</v>
      </c>
      <c r="AX18" s="38">
        <f t="shared" si="25"/>
        <v>0</v>
      </c>
      <c r="AY18" s="77">
        <v>304415</v>
      </c>
      <c r="AZ18" s="38">
        <f t="shared" si="26"/>
        <v>4464</v>
      </c>
      <c r="BA18" s="77">
        <v>160188</v>
      </c>
      <c r="BB18" s="38">
        <f t="shared" si="27"/>
        <v>48</v>
      </c>
      <c r="BC18" s="77">
        <v>208444</v>
      </c>
      <c r="BD18" s="38">
        <f t="shared" si="28"/>
        <v>3072</v>
      </c>
      <c r="BE18" s="77">
        <v>5347</v>
      </c>
      <c r="BF18" s="38">
        <f t="shared" si="29"/>
        <v>0</v>
      </c>
      <c r="BH18" s="104">
        <f t="shared" si="0"/>
        <v>100763.32800000021</v>
      </c>
      <c r="BI18" s="104">
        <f t="shared" si="1"/>
        <v>54624</v>
      </c>
    </row>
    <row r="19" spans="1:61" s="36" customFormat="1" ht="39.950000000000003" customHeight="1">
      <c r="A19" s="144">
        <v>44176</v>
      </c>
      <c r="B19" s="35"/>
      <c r="C19" s="82">
        <v>5655181</v>
      </c>
      <c r="D19" s="38">
        <f t="shared" si="2"/>
        <v>98400</v>
      </c>
      <c r="E19" s="38">
        <f t="shared" si="3"/>
        <v>59040</v>
      </c>
      <c r="F19" s="103">
        <f t="shared" si="4"/>
        <v>39360</v>
      </c>
      <c r="G19" s="82">
        <v>277306</v>
      </c>
      <c r="H19" s="38">
        <f t="shared" si="5"/>
        <v>768</v>
      </c>
      <c r="I19" s="82">
        <v>97524</v>
      </c>
      <c r="J19" s="38">
        <f t="shared" si="6"/>
        <v>8016</v>
      </c>
      <c r="K19" s="82">
        <v>255888</v>
      </c>
      <c r="L19" s="38">
        <f t="shared" si="7"/>
        <v>144</v>
      </c>
      <c r="M19" s="82">
        <v>24470</v>
      </c>
      <c r="N19" s="38">
        <f t="shared" si="8"/>
        <v>0</v>
      </c>
      <c r="O19" s="82">
        <v>234135</v>
      </c>
      <c r="P19" s="38">
        <f t="shared" si="9"/>
        <v>6288</v>
      </c>
      <c r="Q19" s="82">
        <v>437735</v>
      </c>
      <c r="R19" s="38">
        <f t="shared" si="10"/>
        <v>1776</v>
      </c>
      <c r="S19" s="82">
        <v>703960</v>
      </c>
      <c r="T19" s="38">
        <f t="shared" si="11"/>
        <v>5952</v>
      </c>
      <c r="U19" s="82">
        <v>96247.850999999995</v>
      </c>
      <c r="V19" s="103">
        <f t="shared" ref="V19:V38" si="31">(+U19-+U18)*48</f>
        <v>832.99199999962002</v>
      </c>
      <c r="W19" s="82">
        <v>78931</v>
      </c>
      <c r="X19" s="38">
        <f t="shared" si="13"/>
        <v>144</v>
      </c>
      <c r="Y19" s="82">
        <v>1494151</v>
      </c>
      <c r="Z19" s="38">
        <f t="shared" si="14"/>
        <v>0</v>
      </c>
      <c r="AA19" s="82">
        <v>13217</v>
      </c>
      <c r="AB19" s="38">
        <f t="shared" si="15"/>
        <v>0</v>
      </c>
      <c r="AC19" s="82">
        <v>438185</v>
      </c>
      <c r="AD19" s="38">
        <f t="shared" si="16"/>
        <v>6144</v>
      </c>
      <c r="AE19" s="82">
        <v>515240</v>
      </c>
      <c r="AF19" s="38">
        <f t="shared" si="16"/>
        <v>3984</v>
      </c>
      <c r="AG19" s="82">
        <v>49042</v>
      </c>
      <c r="AH19" s="38">
        <f t="shared" si="17"/>
        <v>240</v>
      </c>
      <c r="AI19" s="82">
        <v>398212</v>
      </c>
      <c r="AJ19" s="38">
        <f t="shared" si="18"/>
        <v>4320</v>
      </c>
      <c r="AK19" s="82">
        <v>102371</v>
      </c>
      <c r="AL19" s="38">
        <f t="shared" si="19"/>
        <v>0</v>
      </c>
      <c r="AM19" s="82">
        <v>561512</v>
      </c>
      <c r="AN19" s="38">
        <f t="shared" si="20"/>
        <v>4032</v>
      </c>
      <c r="AO19" s="82">
        <v>903454</v>
      </c>
      <c r="AP19" s="38">
        <f t="shared" si="21"/>
        <v>6912</v>
      </c>
      <c r="AQ19" s="82">
        <v>74221</v>
      </c>
      <c r="AR19" s="38">
        <f t="shared" si="22"/>
        <v>0</v>
      </c>
      <c r="AS19" s="82">
        <v>2253</v>
      </c>
      <c r="AT19" s="38">
        <f t="shared" si="23"/>
        <v>0</v>
      </c>
      <c r="AU19" s="82">
        <v>918</v>
      </c>
      <c r="AV19" s="38">
        <f t="shared" si="24"/>
        <v>0</v>
      </c>
      <c r="AW19" s="82">
        <v>3108</v>
      </c>
      <c r="AX19" s="38">
        <f t="shared" si="25"/>
        <v>0</v>
      </c>
      <c r="AY19" s="82">
        <v>304508</v>
      </c>
      <c r="AZ19" s="38">
        <f t="shared" si="26"/>
        <v>4464</v>
      </c>
      <c r="BA19" s="82">
        <v>160188</v>
      </c>
      <c r="BB19" s="38">
        <f t="shared" si="27"/>
        <v>0</v>
      </c>
      <c r="BC19" s="82">
        <v>208507</v>
      </c>
      <c r="BD19" s="38">
        <f t="shared" si="28"/>
        <v>3024</v>
      </c>
      <c r="BE19" s="82">
        <v>5347</v>
      </c>
      <c r="BF19" s="38">
        <f t="shared" si="29"/>
        <v>0</v>
      </c>
      <c r="BH19" s="168">
        <f t="shared" si="0"/>
        <v>97648.99199999962</v>
      </c>
      <c r="BI19" s="168">
        <f t="shared" si="1"/>
        <v>57792</v>
      </c>
    </row>
    <row r="20" spans="1:61" s="36" customFormat="1" ht="39.950000000000003" customHeight="1">
      <c r="A20" s="144">
        <v>44177</v>
      </c>
      <c r="B20" s="35"/>
      <c r="C20" s="82">
        <v>5657326</v>
      </c>
      <c r="D20" s="38">
        <f t="shared" si="2"/>
        <v>102960</v>
      </c>
      <c r="E20" s="38">
        <f t="shared" si="3"/>
        <v>61776</v>
      </c>
      <c r="F20" s="103">
        <f t="shared" si="4"/>
        <v>41184</v>
      </c>
      <c r="G20" s="82">
        <v>277332</v>
      </c>
      <c r="H20" s="38">
        <f t="shared" si="5"/>
        <v>1248</v>
      </c>
      <c r="I20" s="82">
        <v>97691</v>
      </c>
      <c r="J20" s="38">
        <f t="shared" si="6"/>
        <v>8016</v>
      </c>
      <c r="K20" s="82">
        <v>255900</v>
      </c>
      <c r="L20" s="38">
        <f t="shared" si="7"/>
        <v>576</v>
      </c>
      <c r="M20" s="82">
        <v>24470</v>
      </c>
      <c r="N20" s="38">
        <f t="shared" si="8"/>
        <v>0</v>
      </c>
      <c r="O20" s="82">
        <v>234276</v>
      </c>
      <c r="P20" s="38">
        <f t="shared" si="9"/>
        <v>6768</v>
      </c>
      <c r="Q20" s="82">
        <v>437814</v>
      </c>
      <c r="R20" s="38">
        <f t="shared" si="10"/>
        <v>3792</v>
      </c>
      <c r="S20" s="82">
        <v>704101</v>
      </c>
      <c r="T20" s="38">
        <f t="shared" si="11"/>
        <v>6768</v>
      </c>
      <c r="U20" s="82">
        <v>96264.721000000005</v>
      </c>
      <c r="V20" s="103">
        <f t="shared" si="31"/>
        <v>809.76000000047497</v>
      </c>
      <c r="W20" s="82">
        <v>78936</v>
      </c>
      <c r="X20" s="38">
        <f t="shared" si="13"/>
        <v>240</v>
      </c>
      <c r="Y20" s="82">
        <v>1494151</v>
      </c>
      <c r="Z20" s="38">
        <f t="shared" si="14"/>
        <v>0</v>
      </c>
      <c r="AA20" s="82">
        <v>13217</v>
      </c>
      <c r="AB20" s="38">
        <f t="shared" si="15"/>
        <v>0</v>
      </c>
      <c r="AC20" s="82">
        <v>438311</v>
      </c>
      <c r="AD20" s="38">
        <f t="shared" si="16"/>
        <v>6048</v>
      </c>
      <c r="AE20" s="82">
        <v>515323</v>
      </c>
      <c r="AF20" s="38">
        <f t="shared" si="16"/>
        <v>3984</v>
      </c>
      <c r="AG20" s="82">
        <v>49045</v>
      </c>
      <c r="AH20" s="38">
        <f t="shared" si="17"/>
        <v>144</v>
      </c>
      <c r="AI20" s="82">
        <v>398315</v>
      </c>
      <c r="AJ20" s="38">
        <f t="shared" si="18"/>
        <v>4944</v>
      </c>
      <c r="AK20" s="82">
        <v>102371</v>
      </c>
      <c r="AL20" s="38">
        <f t="shared" si="19"/>
        <v>0</v>
      </c>
      <c r="AM20" s="82">
        <v>561619</v>
      </c>
      <c r="AN20" s="38">
        <f t="shared" si="20"/>
        <v>5136</v>
      </c>
      <c r="AO20" s="82">
        <v>903617</v>
      </c>
      <c r="AP20" s="38">
        <f t="shared" si="21"/>
        <v>7824</v>
      </c>
      <c r="AQ20" s="82">
        <v>74221</v>
      </c>
      <c r="AR20" s="38">
        <f t="shared" si="22"/>
        <v>0</v>
      </c>
      <c r="AS20" s="82">
        <v>2253</v>
      </c>
      <c r="AT20" s="38">
        <f t="shared" si="23"/>
        <v>0</v>
      </c>
      <c r="AU20" s="82">
        <v>918</v>
      </c>
      <c r="AV20" s="38">
        <f t="shared" si="24"/>
        <v>0</v>
      </c>
      <c r="AW20" s="82">
        <v>3108</v>
      </c>
      <c r="AX20" s="38">
        <f t="shared" si="25"/>
        <v>0</v>
      </c>
      <c r="AY20" s="82">
        <v>304597</v>
      </c>
      <c r="AZ20" s="38">
        <f t="shared" si="26"/>
        <v>4272</v>
      </c>
      <c r="BA20" s="82">
        <v>160188</v>
      </c>
      <c r="BB20" s="38">
        <f t="shared" si="27"/>
        <v>0</v>
      </c>
      <c r="BC20" s="82">
        <v>208567</v>
      </c>
      <c r="BD20" s="38">
        <f t="shared" si="28"/>
        <v>2880</v>
      </c>
      <c r="BE20" s="82">
        <v>5347</v>
      </c>
      <c r="BF20" s="38">
        <f t="shared" si="29"/>
        <v>0</v>
      </c>
      <c r="BH20" s="168">
        <f t="shared" si="0"/>
        <v>105113.76000000047</v>
      </c>
      <c r="BI20" s="168">
        <f t="shared" si="1"/>
        <v>61296</v>
      </c>
    </row>
    <row r="21" spans="1:61" s="36" customFormat="1" ht="39.950000000000003" customHeight="1">
      <c r="A21" s="144">
        <v>44178</v>
      </c>
      <c r="B21" s="35"/>
      <c r="C21" s="82">
        <v>5659478</v>
      </c>
      <c r="D21" s="38">
        <f t="shared" si="2"/>
        <v>103296</v>
      </c>
      <c r="E21" s="38">
        <f t="shared" si="3"/>
        <v>61977.599999999999</v>
      </c>
      <c r="F21" s="103">
        <f t="shared" si="4"/>
        <v>41318.400000000001</v>
      </c>
      <c r="G21" s="82">
        <v>277360</v>
      </c>
      <c r="H21" s="38">
        <f t="shared" si="5"/>
        <v>1344</v>
      </c>
      <c r="I21" s="82">
        <v>97863</v>
      </c>
      <c r="J21" s="38">
        <f t="shared" si="6"/>
        <v>8256</v>
      </c>
      <c r="K21" s="82">
        <v>255911</v>
      </c>
      <c r="L21" s="38">
        <f t="shared" si="7"/>
        <v>528</v>
      </c>
      <c r="M21" s="82">
        <v>24470</v>
      </c>
      <c r="N21" s="38">
        <f t="shared" si="8"/>
        <v>0</v>
      </c>
      <c r="O21" s="82">
        <v>234435</v>
      </c>
      <c r="P21" s="38">
        <f t="shared" si="9"/>
        <v>7632</v>
      </c>
      <c r="Q21" s="82">
        <v>437933</v>
      </c>
      <c r="R21" s="38">
        <f t="shared" si="10"/>
        <v>5712</v>
      </c>
      <c r="S21" s="82">
        <v>704217</v>
      </c>
      <c r="T21" s="38">
        <f t="shared" si="11"/>
        <v>5568</v>
      </c>
      <c r="U21" s="82">
        <v>96285.642999999996</v>
      </c>
      <c r="V21" s="103">
        <f t="shared" si="31"/>
        <v>1004.2559999995865</v>
      </c>
      <c r="W21" s="82">
        <v>78938</v>
      </c>
      <c r="X21" s="38">
        <f t="shared" si="13"/>
        <v>96</v>
      </c>
      <c r="Y21" s="82">
        <v>1494151</v>
      </c>
      <c r="Z21" s="38">
        <f t="shared" si="14"/>
        <v>0</v>
      </c>
      <c r="AA21" s="82">
        <v>13217</v>
      </c>
      <c r="AB21" s="38">
        <f t="shared" si="15"/>
        <v>0</v>
      </c>
      <c r="AC21" s="82">
        <v>438444</v>
      </c>
      <c r="AD21" s="38">
        <f t="shared" si="16"/>
        <v>6384</v>
      </c>
      <c r="AE21" s="82">
        <v>515409</v>
      </c>
      <c r="AF21" s="38">
        <f t="shared" si="16"/>
        <v>4128</v>
      </c>
      <c r="AG21" s="82">
        <v>49051</v>
      </c>
      <c r="AH21" s="38">
        <f t="shared" si="17"/>
        <v>288</v>
      </c>
      <c r="AI21" s="82">
        <v>398431</v>
      </c>
      <c r="AJ21" s="38">
        <f t="shared" si="18"/>
        <v>5568</v>
      </c>
      <c r="AK21" s="82">
        <v>102371</v>
      </c>
      <c r="AL21" s="38">
        <f t="shared" si="19"/>
        <v>0</v>
      </c>
      <c r="AM21" s="82">
        <v>561726</v>
      </c>
      <c r="AN21" s="38">
        <f t="shared" si="20"/>
        <v>5136</v>
      </c>
      <c r="AO21" s="82">
        <v>903780</v>
      </c>
      <c r="AP21" s="38">
        <f t="shared" si="21"/>
        <v>7824</v>
      </c>
      <c r="AQ21" s="82">
        <v>74221</v>
      </c>
      <c r="AR21" s="38">
        <f t="shared" si="22"/>
        <v>0</v>
      </c>
      <c r="AS21" s="82">
        <v>2253</v>
      </c>
      <c r="AT21" s="38">
        <f t="shared" si="23"/>
        <v>0</v>
      </c>
      <c r="AU21" s="82">
        <v>918</v>
      </c>
      <c r="AV21" s="38">
        <f t="shared" si="24"/>
        <v>0</v>
      </c>
      <c r="AW21" s="82">
        <v>3108</v>
      </c>
      <c r="AX21" s="38">
        <f t="shared" si="25"/>
        <v>0</v>
      </c>
      <c r="AY21" s="82">
        <v>304685</v>
      </c>
      <c r="AZ21" s="38">
        <f t="shared" si="26"/>
        <v>4224</v>
      </c>
      <c r="BA21" s="82">
        <v>160191</v>
      </c>
      <c r="BB21" s="38">
        <f t="shared" si="27"/>
        <v>144</v>
      </c>
      <c r="BC21" s="82">
        <v>208631</v>
      </c>
      <c r="BD21" s="38">
        <f t="shared" si="28"/>
        <v>3072</v>
      </c>
      <c r="BE21" s="82">
        <v>5347</v>
      </c>
      <c r="BF21" s="38">
        <f t="shared" si="29"/>
        <v>0</v>
      </c>
      <c r="BH21" s="168">
        <f t="shared" si="0"/>
        <v>108485.85599999959</v>
      </c>
      <c r="BI21" s="168">
        <f t="shared" si="1"/>
        <v>61718.400000000001</v>
      </c>
    </row>
    <row r="22" spans="1:61" s="36" customFormat="1" ht="39.950000000000003" customHeight="1">
      <c r="A22" s="144">
        <v>44179</v>
      </c>
      <c r="B22" s="35"/>
      <c r="C22" s="77">
        <v>5661649</v>
      </c>
      <c r="D22" s="38">
        <f t="shared" si="2"/>
        <v>104208</v>
      </c>
      <c r="E22" s="38">
        <f t="shared" si="3"/>
        <v>62524.799999999996</v>
      </c>
      <c r="F22" s="103">
        <f t="shared" si="4"/>
        <v>41683.200000000004</v>
      </c>
      <c r="G22" s="77">
        <v>277379</v>
      </c>
      <c r="H22" s="38">
        <f t="shared" si="5"/>
        <v>912</v>
      </c>
      <c r="I22" s="77">
        <v>98046</v>
      </c>
      <c r="J22" s="38">
        <f t="shared" si="6"/>
        <v>8784</v>
      </c>
      <c r="K22" s="77">
        <v>255952</v>
      </c>
      <c r="L22" s="38">
        <f t="shared" si="7"/>
        <v>1968</v>
      </c>
      <c r="M22" s="77">
        <v>24470</v>
      </c>
      <c r="N22" s="38">
        <f t="shared" si="8"/>
        <v>0</v>
      </c>
      <c r="O22" s="77">
        <v>234579</v>
      </c>
      <c r="P22" s="38">
        <f t="shared" si="9"/>
        <v>6912</v>
      </c>
      <c r="Q22" s="77">
        <v>438039</v>
      </c>
      <c r="R22" s="38">
        <f t="shared" si="10"/>
        <v>5088</v>
      </c>
      <c r="S22" s="77">
        <v>704315</v>
      </c>
      <c r="T22" s="38">
        <f t="shared" si="11"/>
        <v>4704</v>
      </c>
      <c r="U22" s="77">
        <v>96308.570999999996</v>
      </c>
      <c r="V22" s="103">
        <f t="shared" si="31"/>
        <v>1100.5439999999944</v>
      </c>
      <c r="W22" s="77">
        <v>78938</v>
      </c>
      <c r="X22" s="38">
        <f t="shared" si="13"/>
        <v>0</v>
      </c>
      <c r="Y22" s="77">
        <v>1494191</v>
      </c>
      <c r="Z22" s="38">
        <f t="shared" si="14"/>
        <v>1920</v>
      </c>
      <c r="AA22" s="77">
        <v>13218</v>
      </c>
      <c r="AB22" s="38">
        <f t="shared" si="15"/>
        <v>48</v>
      </c>
      <c r="AC22" s="77">
        <v>438583</v>
      </c>
      <c r="AD22" s="38">
        <f t="shared" si="16"/>
        <v>6672</v>
      </c>
      <c r="AE22" s="77">
        <v>515494</v>
      </c>
      <c r="AF22" s="38">
        <f t="shared" si="16"/>
        <v>4080</v>
      </c>
      <c r="AG22" s="77">
        <v>49055</v>
      </c>
      <c r="AH22" s="38">
        <f t="shared" si="17"/>
        <v>192</v>
      </c>
      <c r="AI22" s="77">
        <v>398573</v>
      </c>
      <c r="AJ22" s="38">
        <f t="shared" si="18"/>
        <v>6816</v>
      </c>
      <c r="AK22" s="77">
        <v>102371</v>
      </c>
      <c r="AL22" s="38">
        <f t="shared" si="19"/>
        <v>0</v>
      </c>
      <c r="AM22" s="77">
        <v>561824</v>
      </c>
      <c r="AN22" s="38">
        <f t="shared" si="20"/>
        <v>4704</v>
      </c>
      <c r="AO22" s="77">
        <v>903935</v>
      </c>
      <c r="AP22" s="38">
        <f t="shared" si="21"/>
        <v>7440</v>
      </c>
      <c r="AQ22" s="77">
        <v>74221</v>
      </c>
      <c r="AR22" s="38">
        <f t="shared" si="22"/>
        <v>0</v>
      </c>
      <c r="AS22" s="77">
        <v>2253</v>
      </c>
      <c r="AT22" s="38">
        <f t="shared" si="23"/>
        <v>0</v>
      </c>
      <c r="AU22" s="77">
        <v>918</v>
      </c>
      <c r="AV22" s="38">
        <f t="shared" si="24"/>
        <v>0</v>
      </c>
      <c r="AW22" s="77">
        <v>3108</v>
      </c>
      <c r="AX22" s="38">
        <f t="shared" si="25"/>
        <v>0</v>
      </c>
      <c r="AY22" s="77">
        <v>304775</v>
      </c>
      <c r="AZ22" s="38">
        <f t="shared" si="26"/>
        <v>4320</v>
      </c>
      <c r="BA22" s="77">
        <v>160191</v>
      </c>
      <c r="BB22" s="38">
        <f>(+BA23-+BA21)*48</f>
        <v>768</v>
      </c>
      <c r="BC22" s="77">
        <v>208695</v>
      </c>
      <c r="BD22" s="38">
        <f t="shared" si="28"/>
        <v>3072</v>
      </c>
      <c r="BE22" s="77">
        <v>5347</v>
      </c>
      <c r="BF22" s="38">
        <f t="shared" si="29"/>
        <v>0</v>
      </c>
      <c r="BH22" s="168">
        <f t="shared" si="0"/>
        <v>111721.34399999998</v>
      </c>
      <c r="BI22" s="168">
        <f t="shared" si="1"/>
        <v>61987.200000000004</v>
      </c>
    </row>
    <row r="23" spans="1:61" s="36" customFormat="1" ht="39.950000000000003" customHeight="1">
      <c r="A23" s="144">
        <v>44180</v>
      </c>
      <c r="B23" s="35"/>
      <c r="C23" s="77">
        <v>5664031</v>
      </c>
      <c r="D23" s="38">
        <f t="shared" si="2"/>
        <v>114336</v>
      </c>
      <c r="E23" s="38">
        <f t="shared" si="3"/>
        <v>68601.599999999991</v>
      </c>
      <c r="F23" s="103">
        <f t="shared" si="4"/>
        <v>45734.400000000001</v>
      </c>
      <c r="G23" s="77">
        <v>277399</v>
      </c>
      <c r="H23" s="38">
        <f t="shared" si="5"/>
        <v>960</v>
      </c>
      <c r="I23" s="77">
        <v>98222</v>
      </c>
      <c r="J23" s="38">
        <f t="shared" si="6"/>
        <v>8448</v>
      </c>
      <c r="K23" s="77">
        <v>255973</v>
      </c>
      <c r="L23" s="38">
        <f t="shared" si="7"/>
        <v>1008</v>
      </c>
      <c r="M23" s="77">
        <v>24470</v>
      </c>
      <c r="N23" s="38">
        <f t="shared" si="8"/>
        <v>0</v>
      </c>
      <c r="O23" s="77">
        <v>234716</v>
      </c>
      <c r="P23" s="38">
        <f t="shared" si="9"/>
        <v>6576</v>
      </c>
      <c r="Q23" s="77">
        <v>438106</v>
      </c>
      <c r="R23" s="38">
        <f t="shared" si="10"/>
        <v>3216</v>
      </c>
      <c r="S23" s="77">
        <v>704436</v>
      </c>
      <c r="T23" s="38">
        <f t="shared" si="11"/>
        <v>5808</v>
      </c>
      <c r="U23" s="77">
        <v>96324.534</v>
      </c>
      <c r="V23" s="103">
        <f t="shared" si="31"/>
        <v>766.22400000016205</v>
      </c>
      <c r="W23" s="77">
        <v>78940</v>
      </c>
      <c r="X23" s="38">
        <f t="shared" si="13"/>
        <v>96</v>
      </c>
      <c r="Y23" s="77">
        <v>1494191</v>
      </c>
      <c r="Z23" s="38">
        <f t="shared" si="14"/>
        <v>0</v>
      </c>
      <c r="AA23" s="77">
        <v>13219</v>
      </c>
      <c r="AB23" s="38">
        <f t="shared" si="15"/>
        <v>48</v>
      </c>
      <c r="AC23" s="77">
        <v>438729</v>
      </c>
      <c r="AD23" s="38">
        <f t="shared" si="16"/>
        <v>7008</v>
      </c>
      <c r="AE23" s="77">
        <v>515585</v>
      </c>
      <c r="AF23" s="38">
        <f t="shared" si="16"/>
        <v>4368</v>
      </c>
      <c r="AG23" s="77">
        <v>49060</v>
      </c>
      <c r="AH23" s="38">
        <f t="shared" si="17"/>
        <v>240</v>
      </c>
      <c r="AI23" s="77">
        <v>398683</v>
      </c>
      <c r="AJ23" s="38">
        <f t="shared" si="18"/>
        <v>5280</v>
      </c>
      <c r="AK23" s="77">
        <v>102371</v>
      </c>
      <c r="AL23" s="38">
        <f t="shared" si="19"/>
        <v>0</v>
      </c>
      <c r="AM23" s="77">
        <v>561917</v>
      </c>
      <c r="AN23" s="38">
        <f t="shared" si="20"/>
        <v>4464</v>
      </c>
      <c r="AO23" s="77">
        <v>904095</v>
      </c>
      <c r="AP23" s="38">
        <f t="shared" si="21"/>
        <v>7680</v>
      </c>
      <c r="AQ23" s="77">
        <v>74221</v>
      </c>
      <c r="AR23" s="38">
        <f t="shared" si="22"/>
        <v>0</v>
      </c>
      <c r="AS23" s="77">
        <v>2253</v>
      </c>
      <c r="AT23" s="38">
        <f t="shared" si="23"/>
        <v>0</v>
      </c>
      <c r="AU23" s="77">
        <v>918</v>
      </c>
      <c r="AV23" s="38">
        <f t="shared" si="24"/>
        <v>0</v>
      </c>
      <c r="AW23" s="77">
        <v>3108</v>
      </c>
      <c r="AX23" s="38">
        <f t="shared" si="25"/>
        <v>0</v>
      </c>
      <c r="AY23" s="77">
        <v>304848</v>
      </c>
      <c r="AZ23" s="38">
        <f t="shared" si="26"/>
        <v>3504</v>
      </c>
      <c r="BA23" s="77">
        <v>160207</v>
      </c>
      <c r="BB23" s="103">
        <f t="shared" ref="BB23:BB25" si="32">(+BA23-+BA22)*48</f>
        <v>768</v>
      </c>
      <c r="BC23" s="77">
        <v>208756</v>
      </c>
      <c r="BD23" s="38">
        <f t="shared" si="28"/>
        <v>2928</v>
      </c>
      <c r="BE23" s="77">
        <v>5347</v>
      </c>
      <c r="BF23" s="38">
        <f t="shared" si="29"/>
        <v>0</v>
      </c>
      <c r="BH23" s="104">
        <f t="shared" si="0"/>
        <v>112423.82400000015</v>
      </c>
      <c r="BI23" s="104">
        <f t="shared" si="1"/>
        <v>65078.400000000001</v>
      </c>
    </row>
    <row r="24" spans="1:61" s="36" customFormat="1" ht="39.950000000000003" customHeight="1">
      <c r="A24" s="144">
        <v>44181</v>
      </c>
      <c r="B24" s="35"/>
      <c r="C24" s="77">
        <v>5667395</v>
      </c>
      <c r="D24" s="103">
        <f t="shared" si="2"/>
        <v>161472</v>
      </c>
      <c r="E24" s="38">
        <f t="shared" si="3"/>
        <v>96883.199999999997</v>
      </c>
      <c r="F24" s="103">
        <f t="shared" si="4"/>
        <v>64588.800000000003</v>
      </c>
      <c r="G24" s="77">
        <v>277425</v>
      </c>
      <c r="H24" s="38">
        <f t="shared" si="5"/>
        <v>1248</v>
      </c>
      <c r="I24" s="77">
        <v>98399</v>
      </c>
      <c r="J24" s="38">
        <f t="shared" si="6"/>
        <v>8496</v>
      </c>
      <c r="K24" s="77">
        <v>255976</v>
      </c>
      <c r="L24" s="38">
        <f t="shared" si="7"/>
        <v>144</v>
      </c>
      <c r="M24" s="77">
        <v>24470</v>
      </c>
      <c r="N24" s="38">
        <f t="shared" si="8"/>
        <v>0</v>
      </c>
      <c r="O24" s="77">
        <v>234866</v>
      </c>
      <c r="P24" s="103">
        <f t="shared" si="9"/>
        <v>7200</v>
      </c>
      <c r="Q24" s="77">
        <v>438136</v>
      </c>
      <c r="R24" s="103">
        <f t="shared" si="10"/>
        <v>1440</v>
      </c>
      <c r="S24" s="77">
        <v>704550</v>
      </c>
      <c r="T24" s="103">
        <f t="shared" si="11"/>
        <v>5472</v>
      </c>
      <c r="U24" s="77">
        <v>96341.794999999998</v>
      </c>
      <c r="V24" s="103">
        <f t="shared" si="31"/>
        <v>828.52799999993294</v>
      </c>
      <c r="W24" s="77">
        <v>78942</v>
      </c>
      <c r="X24" s="103">
        <f t="shared" si="13"/>
        <v>96</v>
      </c>
      <c r="Y24" s="77">
        <v>1494191</v>
      </c>
      <c r="Z24" s="103">
        <f t="shared" si="14"/>
        <v>0</v>
      </c>
      <c r="AA24" s="77">
        <v>13219</v>
      </c>
      <c r="AB24" s="103">
        <f t="shared" si="15"/>
        <v>0</v>
      </c>
      <c r="AC24" s="77">
        <v>438835</v>
      </c>
      <c r="AD24" s="103">
        <f t="shared" si="16"/>
        <v>5088</v>
      </c>
      <c r="AE24" s="77">
        <v>515649</v>
      </c>
      <c r="AF24" s="103">
        <f t="shared" si="16"/>
        <v>3072</v>
      </c>
      <c r="AG24" s="77">
        <v>49065</v>
      </c>
      <c r="AH24" s="103">
        <f t="shared" si="17"/>
        <v>240</v>
      </c>
      <c r="AI24" s="77">
        <v>398790</v>
      </c>
      <c r="AJ24" s="103">
        <f t="shared" si="18"/>
        <v>5136</v>
      </c>
      <c r="AK24" s="77">
        <v>102371</v>
      </c>
      <c r="AL24" s="103">
        <f t="shared" si="19"/>
        <v>0</v>
      </c>
      <c r="AM24" s="77">
        <v>561951</v>
      </c>
      <c r="AN24" s="103">
        <f t="shared" si="20"/>
        <v>1632</v>
      </c>
      <c r="AO24" s="77">
        <v>904206</v>
      </c>
      <c r="AP24" s="103">
        <f t="shared" si="21"/>
        <v>5328</v>
      </c>
      <c r="AQ24" s="77">
        <v>74221</v>
      </c>
      <c r="AR24" s="103">
        <f t="shared" si="22"/>
        <v>0</v>
      </c>
      <c r="AS24" s="77">
        <v>2253</v>
      </c>
      <c r="AT24" s="103">
        <f t="shared" si="23"/>
        <v>0</v>
      </c>
      <c r="AU24" s="77">
        <v>918</v>
      </c>
      <c r="AV24" s="103">
        <f t="shared" si="24"/>
        <v>0</v>
      </c>
      <c r="AW24" s="77">
        <v>3108</v>
      </c>
      <c r="AX24" s="103">
        <f t="shared" si="25"/>
        <v>0</v>
      </c>
      <c r="AY24" s="77">
        <v>304917</v>
      </c>
      <c r="AZ24" s="103">
        <f t="shared" si="26"/>
        <v>3312</v>
      </c>
      <c r="BA24" s="77">
        <v>160229</v>
      </c>
      <c r="BB24" s="103">
        <f t="shared" si="32"/>
        <v>1056</v>
      </c>
      <c r="BC24" s="77">
        <v>208817</v>
      </c>
      <c r="BD24" s="103">
        <f t="shared" si="28"/>
        <v>2928</v>
      </c>
      <c r="BE24" s="77">
        <v>5347</v>
      </c>
      <c r="BF24" s="103">
        <f t="shared" si="29"/>
        <v>0</v>
      </c>
      <c r="BH24" s="104">
        <f t="shared" si="0"/>
        <v>135343.72799999994</v>
      </c>
      <c r="BI24" s="104">
        <f t="shared" si="1"/>
        <v>78844.800000000003</v>
      </c>
    </row>
    <row r="25" spans="1:61" s="36" customFormat="1" ht="39.950000000000003" customHeight="1">
      <c r="A25" s="144">
        <v>44182</v>
      </c>
      <c r="B25" s="35"/>
      <c r="C25" s="77">
        <v>5670650</v>
      </c>
      <c r="D25" s="103">
        <f t="shared" si="2"/>
        <v>156240</v>
      </c>
      <c r="E25" s="38">
        <f t="shared" si="3"/>
        <v>93744</v>
      </c>
      <c r="F25" s="103">
        <f t="shared" si="4"/>
        <v>62496</v>
      </c>
      <c r="G25" s="77">
        <v>277453</v>
      </c>
      <c r="H25" s="38">
        <f t="shared" si="5"/>
        <v>1344</v>
      </c>
      <c r="I25" s="77">
        <v>98571</v>
      </c>
      <c r="J25" s="38">
        <f t="shared" si="6"/>
        <v>8256</v>
      </c>
      <c r="K25" s="77">
        <v>255979</v>
      </c>
      <c r="L25" s="38">
        <f t="shared" si="7"/>
        <v>144</v>
      </c>
      <c r="M25" s="77">
        <v>24470</v>
      </c>
      <c r="N25" s="38">
        <f t="shared" si="8"/>
        <v>0</v>
      </c>
      <c r="O25" s="77">
        <v>234995</v>
      </c>
      <c r="P25" s="103">
        <f t="shared" si="9"/>
        <v>6192</v>
      </c>
      <c r="Q25" s="77">
        <v>438168</v>
      </c>
      <c r="R25" s="103">
        <f t="shared" si="10"/>
        <v>1536</v>
      </c>
      <c r="S25" s="77">
        <v>704661</v>
      </c>
      <c r="T25" s="103">
        <f t="shared" si="11"/>
        <v>5328</v>
      </c>
      <c r="U25" s="77">
        <v>96359.051000000007</v>
      </c>
      <c r="V25" s="103">
        <f t="shared" si="31"/>
        <v>828.28800000040792</v>
      </c>
      <c r="W25" s="77">
        <v>78944</v>
      </c>
      <c r="X25" s="103">
        <f t="shared" si="13"/>
        <v>96</v>
      </c>
      <c r="Y25" s="77">
        <v>1494191</v>
      </c>
      <c r="Z25" s="103">
        <f t="shared" si="14"/>
        <v>0</v>
      </c>
      <c r="AA25" s="77">
        <v>13219</v>
      </c>
      <c r="AB25" s="103">
        <f t="shared" si="15"/>
        <v>0</v>
      </c>
      <c r="AC25" s="77">
        <v>438930</v>
      </c>
      <c r="AD25" s="103">
        <f t="shared" si="16"/>
        <v>4560</v>
      </c>
      <c r="AE25" s="77">
        <v>515706</v>
      </c>
      <c r="AF25" s="103">
        <f t="shared" si="16"/>
        <v>2736</v>
      </c>
      <c r="AG25" s="77">
        <v>49070</v>
      </c>
      <c r="AH25" s="103">
        <f t="shared" si="17"/>
        <v>240</v>
      </c>
      <c r="AI25" s="77">
        <v>398901</v>
      </c>
      <c r="AJ25" s="103">
        <f t="shared" si="18"/>
        <v>5328</v>
      </c>
      <c r="AK25" s="77">
        <v>102371</v>
      </c>
      <c r="AL25" s="103">
        <f t="shared" si="19"/>
        <v>0</v>
      </c>
      <c r="AM25" s="77">
        <v>561979</v>
      </c>
      <c r="AN25" s="103">
        <f t="shared" si="20"/>
        <v>1344</v>
      </c>
      <c r="AO25" s="77">
        <v>904303</v>
      </c>
      <c r="AP25" s="103">
        <f t="shared" si="21"/>
        <v>4656</v>
      </c>
      <c r="AQ25" s="77">
        <v>74221</v>
      </c>
      <c r="AR25" s="103">
        <f t="shared" si="22"/>
        <v>0</v>
      </c>
      <c r="AS25" s="77">
        <v>2253</v>
      </c>
      <c r="AT25" s="103">
        <f t="shared" si="23"/>
        <v>0</v>
      </c>
      <c r="AU25" s="77">
        <v>918</v>
      </c>
      <c r="AV25" s="103">
        <f t="shared" si="24"/>
        <v>0</v>
      </c>
      <c r="AW25" s="77">
        <v>3108</v>
      </c>
      <c r="AX25" s="103">
        <f t="shared" si="25"/>
        <v>0</v>
      </c>
      <c r="AY25" s="77">
        <v>304988</v>
      </c>
      <c r="AZ25" s="103">
        <f t="shared" si="26"/>
        <v>3408</v>
      </c>
      <c r="BA25" s="77">
        <v>160256</v>
      </c>
      <c r="BB25" s="103">
        <f t="shared" si="32"/>
        <v>1296</v>
      </c>
      <c r="BC25" s="77">
        <v>208882</v>
      </c>
      <c r="BD25" s="103">
        <f t="shared" si="28"/>
        <v>3120</v>
      </c>
      <c r="BE25" s="77">
        <v>5347</v>
      </c>
      <c r="BF25" s="103">
        <f t="shared" si="29"/>
        <v>0</v>
      </c>
      <c r="BH25" s="104">
        <f t="shared" si="0"/>
        <v>130332.28800000041</v>
      </c>
      <c r="BI25" s="104">
        <f t="shared" si="1"/>
        <v>76320</v>
      </c>
    </row>
    <row r="26" spans="1:61" s="36" customFormat="1" ht="39.950000000000003" customHeight="1">
      <c r="A26" s="144">
        <v>44183</v>
      </c>
      <c r="B26" s="35"/>
      <c r="C26" s="77">
        <v>5673804</v>
      </c>
      <c r="D26" s="103">
        <f t="shared" si="2"/>
        <v>151392</v>
      </c>
      <c r="E26" s="38">
        <f t="shared" si="3"/>
        <v>90835.199999999997</v>
      </c>
      <c r="F26" s="103">
        <f t="shared" si="4"/>
        <v>60556.800000000003</v>
      </c>
      <c r="G26" s="77">
        <v>277474</v>
      </c>
      <c r="H26" s="38">
        <f t="shared" ref="H26:H38" si="33">(+G26-+G25)*48</f>
        <v>1008</v>
      </c>
      <c r="I26" s="77">
        <v>98744</v>
      </c>
      <c r="J26" s="38">
        <f t="shared" si="6"/>
        <v>8304</v>
      </c>
      <c r="K26" s="77">
        <v>255982</v>
      </c>
      <c r="L26" s="38">
        <f t="shared" si="7"/>
        <v>144</v>
      </c>
      <c r="M26" s="77">
        <v>24470</v>
      </c>
      <c r="N26" s="38">
        <f t="shared" si="8"/>
        <v>0</v>
      </c>
      <c r="O26" s="77">
        <v>235136</v>
      </c>
      <c r="P26" s="103">
        <f t="shared" si="9"/>
        <v>6768</v>
      </c>
      <c r="Q26" s="77">
        <v>438206</v>
      </c>
      <c r="R26" s="103">
        <f t="shared" si="10"/>
        <v>1824</v>
      </c>
      <c r="S26" s="77">
        <v>704793</v>
      </c>
      <c r="T26" s="103">
        <f t="shared" si="11"/>
        <v>6336</v>
      </c>
      <c r="U26" s="77">
        <v>96376.607000000004</v>
      </c>
      <c r="V26" s="103">
        <f t="shared" si="31"/>
        <v>842.68799999984913</v>
      </c>
      <c r="W26" s="77">
        <v>78947</v>
      </c>
      <c r="X26" s="103">
        <f t="shared" si="13"/>
        <v>144</v>
      </c>
      <c r="Y26" s="77">
        <v>1494191</v>
      </c>
      <c r="Z26" s="103">
        <f t="shared" si="14"/>
        <v>0</v>
      </c>
      <c r="AA26" s="77">
        <v>13219</v>
      </c>
      <c r="AB26" s="103">
        <f t="shared" si="15"/>
        <v>0</v>
      </c>
      <c r="AC26" s="77">
        <v>439028</v>
      </c>
      <c r="AD26" s="103">
        <f t="shared" si="16"/>
        <v>4704</v>
      </c>
      <c r="AE26" s="77">
        <v>515769</v>
      </c>
      <c r="AF26" s="103">
        <f t="shared" si="16"/>
        <v>3024</v>
      </c>
      <c r="AG26" s="77">
        <v>49075</v>
      </c>
      <c r="AH26" s="103">
        <f t="shared" si="17"/>
        <v>240</v>
      </c>
      <c r="AI26" s="77">
        <v>399016</v>
      </c>
      <c r="AJ26" s="103">
        <f t="shared" si="18"/>
        <v>5520</v>
      </c>
      <c r="AK26" s="77">
        <v>102371</v>
      </c>
      <c r="AL26" s="103">
        <f t="shared" si="19"/>
        <v>0</v>
      </c>
      <c r="AM26" s="77">
        <v>562008</v>
      </c>
      <c r="AN26" s="103">
        <f t="shared" si="20"/>
        <v>1392</v>
      </c>
      <c r="AO26" s="77">
        <v>904401</v>
      </c>
      <c r="AP26" s="103">
        <f t="shared" si="21"/>
        <v>4704</v>
      </c>
      <c r="AQ26" s="77">
        <v>74221</v>
      </c>
      <c r="AR26" s="103">
        <f t="shared" si="22"/>
        <v>0</v>
      </c>
      <c r="AS26" s="77">
        <v>2253</v>
      </c>
      <c r="AT26" s="103">
        <f t="shared" si="23"/>
        <v>0</v>
      </c>
      <c r="AU26" s="77">
        <v>918</v>
      </c>
      <c r="AV26" s="103">
        <f t="shared" si="24"/>
        <v>0</v>
      </c>
      <c r="AW26" s="77">
        <v>3108</v>
      </c>
      <c r="AX26" s="103">
        <f t="shared" si="25"/>
        <v>0</v>
      </c>
      <c r="AY26" s="77">
        <v>305080</v>
      </c>
      <c r="AZ26" s="103">
        <f>(+AY26-+AY25)*48</f>
        <v>4416</v>
      </c>
      <c r="BA26" s="77">
        <v>160256</v>
      </c>
      <c r="BB26" s="103">
        <f>(+BA26-+BA25)*48</f>
        <v>0</v>
      </c>
      <c r="BC26" s="77">
        <v>208949</v>
      </c>
      <c r="BD26" s="103">
        <f t="shared" si="28"/>
        <v>3216</v>
      </c>
      <c r="BE26" s="77">
        <v>5347</v>
      </c>
      <c r="BF26" s="103">
        <f t="shared" si="29"/>
        <v>0</v>
      </c>
      <c r="BH26" s="104">
        <f t="shared" si="0"/>
        <v>129693.88799999985</v>
      </c>
      <c r="BI26" s="104">
        <f t="shared" si="1"/>
        <v>74284.800000000003</v>
      </c>
    </row>
    <row r="27" spans="1:61" s="36" customFormat="1" ht="39.950000000000003" customHeight="1">
      <c r="A27" s="144">
        <v>44184</v>
      </c>
      <c r="B27" s="35"/>
      <c r="C27" s="77">
        <v>5676769</v>
      </c>
      <c r="D27" s="103">
        <f t="shared" si="2"/>
        <v>142320</v>
      </c>
      <c r="E27" s="38">
        <f t="shared" si="3"/>
        <v>85392</v>
      </c>
      <c r="F27" s="103">
        <f t="shared" si="4"/>
        <v>56928</v>
      </c>
      <c r="G27" s="77">
        <v>277494</v>
      </c>
      <c r="H27" s="38">
        <f t="shared" si="33"/>
        <v>960</v>
      </c>
      <c r="I27" s="77">
        <v>98909</v>
      </c>
      <c r="J27" s="38">
        <f t="shared" si="6"/>
        <v>7920</v>
      </c>
      <c r="K27" s="77">
        <v>255992</v>
      </c>
      <c r="L27" s="38">
        <f t="shared" si="7"/>
        <v>480</v>
      </c>
      <c r="M27" s="77">
        <v>24470</v>
      </c>
      <c r="N27" s="38">
        <f t="shared" si="8"/>
        <v>0</v>
      </c>
      <c r="O27" s="77">
        <v>235270</v>
      </c>
      <c r="P27" s="103">
        <f t="shared" si="9"/>
        <v>6432</v>
      </c>
      <c r="Q27" s="77">
        <v>438298</v>
      </c>
      <c r="R27" s="103">
        <f t="shared" si="10"/>
        <v>4416</v>
      </c>
      <c r="S27" s="77">
        <v>704941</v>
      </c>
      <c r="T27" s="103">
        <f t="shared" si="11"/>
        <v>7104</v>
      </c>
      <c r="U27" s="77">
        <v>96396.956999999995</v>
      </c>
      <c r="V27" s="103">
        <f t="shared" si="31"/>
        <v>976.7999999995809</v>
      </c>
      <c r="W27" s="77">
        <v>78948</v>
      </c>
      <c r="X27" s="103">
        <f t="shared" si="13"/>
        <v>48</v>
      </c>
      <c r="Y27" s="77">
        <v>1494191</v>
      </c>
      <c r="Z27" s="103">
        <f t="shared" si="14"/>
        <v>0</v>
      </c>
      <c r="AA27" s="77">
        <v>13220</v>
      </c>
      <c r="AB27" s="103">
        <f t="shared" si="15"/>
        <v>48</v>
      </c>
      <c r="AC27" s="77">
        <v>439104</v>
      </c>
      <c r="AD27" s="103">
        <f t="shared" si="16"/>
        <v>3648</v>
      </c>
      <c r="AE27" s="77">
        <v>515807</v>
      </c>
      <c r="AF27" s="103">
        <f t="shared" si="16"/>
        <v>1824</v>
      </c>
      <c r="AG27" s="77">
        <v>49079</v>
      </c>
      <c r="AH27" s="103">
        <f t="shared" si="17"/>
        <v>192</v>
      </c>
      <c r="AI27" s="77">
        <v>399132</v>
      </c>
      <c r="AJ27" s="103">
        <f t="shared" si="18"/>
        <v>5568</v>
      </c>
      <c r="AK27" s="77">
        <v>102371</v>
      </c>
      <c r="AL27" s="103">
        <f t="shared" si="19"/>
        <v>0</v>
      </c>
      <c r="AM27" s="77">
        <v>562024</v>
      </c>
      <c r="AN27" s="103">
        <f t="shared" si="20"/>
        <v>768</v>
      </c>
      <c r="AO27" s="77">
        <v>904497</v>
      </c>
      <c r="AP27" s="103">
        <f t="shared" si="21"/>
        <v>4608</v>
      </c>
      <c r="AQ27" s="77">
        <v>74221</v>
      </c>
      <c r="AR27" s="103">
        <f t="shared" si="22"/>
        <v>0</v>
      </c>
      <c r="AS27" s="77">
        <v>2253</v>
      </c>
      <c r="AT27" s="103">
        <f t="shared" si="23"/>
        <v>0</v>
      </c>
      <c r="AU27" s="77">
        <v>918</v>
      </c>
      <c r="AV27" s="103">
        <f t="shared" si="24"/>
        <v>0</v>
      </c>
      <c r="AW27" s="77">
        <v>3108</v>
      </c>
      <c r="AX27" s="103">
        <f t="shared" si="25"/>
        <v>0</v>
      </c>
      <c r="AY27" s="77">
        <v>305171</v>
      </c>
      <c r="AZ27" s="103">
        <f t="shared" ref="AZ27:AZ38" si="34">(+AY27-+AY26)*48</f>
        <v>4368</v>
      </c>
      <c r="BA27" s="77">
        <v>160256</v>
      </c>
      <c r="BB27" s="103">
        <f>(+BA27-+BA26)*48</f>
        <v>0</v>
      </c>
      <c r="BC27" s="77">
        <v>209015</v>
      </c>
      <c r="BD27" s="103">
        <f t="shared" si="28"/>
        <v>3168</v>
      </c>
      <c r="BE27" s="77">
        <v>5347</v>
      </c>
      <c r="BF27" s="103">
        <f t="shared" si="29"/>
        <v>0</v>
      </c>
      <c r="BH27" s="104">
        <f t="shared" si="0"/>
        <v>125008.79999999958</v>
      </c>
      <c r="BI27" s="104">
        <f t="shared" si="1"/>
        <v>69840</v>
      </c>
    </row>
    <row r="28" spans="1:61" s="36" customFormat="1" ht="39.950000000000003" customHeight="1">
      <c r="A28" s="144">
        <v>44185</v>
      </c>
      <c r="B28" s="35"/>
      <c r="C28" s="77">
        <v>5680049</v>
      </c>
      <c r="D28" s="103">
        <f t="shared" si="2"/>
        <v>157440</v>
      </c>
      <c r="E28" s="38">
        <f t="shared" si="3"/>
        <v>94464</v>
      </c>
      <c r="F28" s="103">
        <f t="shared" si="4"/>
        <v>62976</v>
      </c>
      <c r="G28" s="77">
        <v>277516</v>
      </c>
      <c r="H28" s="38">
        <f t="shared" si="33"/>
        <v>1056</v>
      </c>
      <c r="I28" s="77">
        <v>99078</v>
      </c>
      <c r="J28" s="38">
        <f t="shared" si="6"/>
        <v>8112</v>
      </c>
      <c r="K28" s="77">
        <v>256017</v>
      </c>
      <c r="L28" s="38">
        <f t="shared" si="7"/>
        <v>1200</v>
      </c>
      <c r="M28" s="77">
        <v>24470</v>
      </c>
      <c r="N28" s="38">
        <f t="shared" si="8"/>
        <v>0</v>
      </c>
      <c r="O28" s="77">
        <v>235424</v>
      </c>
      <c r="P28" s="103">
        <f t="shared" si="9"/>
        <v>7392</v>
      </c>
      <c r="Q28" s="77">
        <v>438413</v>
      </c>
      <c r="R28" s="103">
        <f t="shared" si="10"/>
        <v>5520</v>
      </c>
      <c r="S28" s="77">
        <v>705059</v>
      </c>
      <c r="T28" s="103">
        <f t="shared" si="11"/>
        <v>5664</v>
      </c>
      <c r="U28" s="77">
        <v>96419.497000000003</v>
      </c>
      <c r="V28" s="103">
        <f t="shared" si="31"/>
        <v>1081.9200000003912</v>
      </c>
      <c r="W28" s="77">
        <v>78951</v>
      </c>
      <c r="X28" s="103">
        <f t="shared" si="13"/>
        <v>144</v>
      </c>
      <c r="Y28" s="77">
        <v>1494191</v>
      </c>
      <c r="Z28" s="103">
        <f t="shared" si="14"/>
        <v>0</v>
      </c>
      <c r="AA28" s="77">
        <v>13220</v>
      </c>
      <c r="AB28" s="103">
        <f t="shared" si="15"/>
        <v>0</v>
      </c>
      <c r="AC28" s="77">
        <v>439149</v>
      </c>
      <c r="AD28" s="103">
        <f t="shared" si="16"/>
        <v>2160</v>
      </c>
      <c r="AE28" s="77">
        <v>515820</v>
      </c>
      <c r="AF28" s="103">
        <f t="shared" si="16"/>
        <v>624</v>
      </c>
      <c r="AG28" s="77">
        <v>49084</v>
      </c>
      <c r="AH28" s="103">
        <f t="shared" si="17"/>
        <v>240</v>
      </c>
      <c r="AI28" s="77">
        <v>399269</v>
      </c>
      <c r="AJ28" s="103">
        <f t="shared" si="18"/>
        <v>6576</v>
      </c>
      <c r="AK28" s="77">
        <v>102371</v>
      </c>
      <c r="AL28" s="103">
        <f t="shared" si="19"/>
        <v>0</v>
      </c>
      <c r="AM28" s="77">
        <v>562029</v>
      </c>
      <c r="AN28" s="103">
        <f t="shared" si="20"/>
        <v>240</v>
      </c>
      <c r="AO28" s="77">
        <v>904517</v>
      </c>
      <c r="AP28" s="103">
        <f t="shared" si="21"/>
        <v>960</v>
      </c>
      <c r="AQ28" s="77">
        <v>74221</v>
      </c>
      <c r="AR28" s="103">
        <f t="shared" si="22"/>
        <v>0</v>
      </c>
      <c r="AS28" s="77">
        <v>2253</v>
      </c>
      <c r="AT28" s="103">
        <f t="shared" si="23"/>
        <v>0</v>
      </c>
      <c r="AU28" s="77">
        <v>918</v>
      </c>
      <c r="AV28" s="103">
        <f t="shared" si="24"/>
        <v>0</v>
      </c>
      <c r="AW28" s="77">
        <v>3108</v>
      </c>
      <c r="AX28" s="103">
        <f t="shared" si="25"/>
        <v>0</v>
      </c>
      <c r="AY28" s="77">
        <v>305259</v>
      </c>
      <c r="AZ28" s="103">
        <f t="shared" si="34"/>
        <v>4224</v>
      </c>
      <c r="BA28" s="77">
        <v>160256</v>
      </c>
      <c r="BB28" s="103">
        <f t="shared" ref="BB28:BB38" si="35">(+BA28-+BA27)*48</f>
        <v>0</v>
      </c>
      <c r="BC28" s="77">
        <v>209080</v>
      </c>
      <c r="BD28" s="103">
        <f t="shared" si="28"/>
        <v>3120</v>
      </c>
      <c r="BE28" s="77">
        <v>5347</v>
      </c>
      <c r="BF28" s="103">
        <f t="shared" si="29"/>
        <v>0</v>
      </c>
      <c r="BH28" s="104">
        <f t="shared" si="0"/>
        <v>134233.92000000039</v>
      </c>
      <c r="BI28" s="104">
        <f t="shared" si="1"/>
        <v>71520</v>
      </c>
    </row>
    <row r="29" spans="1:61" s="36" customFormat="1" ht="39.950000000000003" customHeight="1">
      <c r="A29" s="144">
        <v>44186</v>
      </c>
      <c r="B29" s="35"/>
      <c r="C29" s="82">
        <v>5683401</v>
      </c>
      <c r="D29" s="103">
        <f t="shared" si="2"/>
        <v>160896</v>
      </c>
      <c r="E29" s="38">
        <f t="shared" si="3"/>
        <v>96537.599999999991</v>
      </c>
      <c r="F29" s="103">
        <f t="shared" si="4"/>
        <v>64358.400000000001</v>
      </c>
      <c r="G29" s="82">
        <v>277532</v>
      </c>
      <c r="H29" s="38">
        <f t="shared" si="33"/>
        <v>768</v>
      </c>
      <c r="I29" s="82">
        <v>99244</v>
      </c>
      <c r="J29" s="38">
        <f t="shared" si="6"/>
        <v>7968</v>
      </c>
      <c r="K29" s="82">
        <v>256041</v>
      </c>
      <c r="L29" s="38">
        <f t="shared" si="7"/>
        <v>1152</v>
      </c>
      <c r="M29" s="82">
        <v>24470</v>
      </c>
      <c r="N29" s="38">
        <f t="shared" si="8"/>
        <v>0</v>
      </c>
      <c r="O29" s="82">
        <v>235567</v>
      </c>
      <c r="P29" s="103">
        <f t="shared" si="9"/>
        <v>6864</v>
      </c>
      <c r="Q29" s="82">
        <v>438521</v>
      </c>
      <c r="R29" s="103">
        <f t="shared" si="10"/>
        <v>5184</v>
      </c>
      <c r="S29" s="82">
        <v>705193</v>
      </c>
      <c r="T29" s="103">
        <f t="shared" si="11"/>
        <v>6432</v>
      </c>
      <c r="U29" s="82">
        <v>96441.542000000001</v>
      </c>
      <c r="V29" s="103">
        <f t="shared" si="31"/>
        <v>1058.1599999999162</v>
      </c>
      <c r="W29" s="82">
        <v>78952</v>
      </c>
      <c r="X29" s="103">
        <f t="shared" si="13"/>
        <v>48</v>
      </c>
      <c r="Y29" s="82">
        <v>1494191</v>
      </c>
      <c r="Z29" s="103">
        <f t="shared" si="14"/>
        <v>0</v>
      </c>
      <c r="AA29" s="82">
        <v>13232</v>
      </c>
      <c r="AB29" s="103">
        <f t="shared" si="15"/>
        <v>576</v>
      </c>
      <c r="AC29" s="82">
        <v>439174</v>
      </c>
      <c r="AD29" s="103">
        <f t="shared" si="16"/>
        <v>1200</v>
      </c>
      <c r="AE29" s="82">
        <v>515826</v>
      </c>
      <c r="AF29" s="103">
        <f t="shared" si="16"/>
        <v>288</v>
      </c>
      <c r="AG29" s="82">
        <v>49090</v>
      </c>
      <c r="AH29" s="103">
        <f t="shared" si="17"/>
        <v>288</v>
      </c>
      <c r="AI29" s="82">
        <v>399409</v>
      </c>
      <c r="AJ29" s="103">
        <f t="shared" si="18"/>
        <v>6720</v>
      </c>
      <c r="AK29" s="82">
        <v>102371</v>
      </c>
      <c r="AL29" s="103">
        <f t="shared" si="19"/>
        <v>0</v>
      </c>
      <c r="AM29" s="82">
        <v>562030</v>
      </c>
      <c r="AN29" s="103">
        <f t="shared" si="20"/>
        <v>48</v>
      </c>
      <c r="AO29" s="82">
        <v>904544</v>
      </c>
      <c r="AP29" s="103">
        <f t="shared" si="21"/>
        <v>1296</v>
      </c>
      <c r="AQ29" s="82">
        <v>74221</v>
      </c>
      <c r="AR29" s="103">
        <f t="shared" si="22"/>
        <v>0</v>
      </c>
      <c r="AS29" s="82">
        <v>2253</v>
      </c>
      <c r="AT29" s="103">
        <f t="shared" si="23"/>
        <v>0</v>
      </c>
      <c r="AU29" s="82">
        <v>918</v>
      </c>
      <c r="AV29" s="103">
        <f t="shared" si="24"/>
        <v>0</v>
      </c>
      <c r="AW29" s="82">
        <v>3108</v>
      </c>
      <c r="AX29" s="103">
        <f t="shared" si="25"/>
        <v>0</v>
      </c>
      <c r="AY29" s="82">
        <v>305356</v>
      </c>
      <c r="AZ29" s="103">
        <f t="shared" si="34"/>
        <v>4656</v>
      </c>
      <c r="BA29" s="82">
        <v>160256</v>
      </c>
      <c r="BB29" s="103">
        <f t="shared" si="35"/>
        <v>0</v>
      </c>
      <c r="BC29" s="82">
        <v>209149</v>
      </c>
      <c r="BD29" s="103">
        <f t="shared" si="28"/>
        <v>3312</v>
      </c>
      <c r="BE29" s="82">
        <v>5347</v>
      </c>
      <c r="BF29" s="103">
        <f t="shared" si="29"/>
        <v>0</v>
      </c>
      <c r="BH29" s="104">
        <f t="shared" si="0"/>
        <v>135083.75999999989</v>
      </c>
      <c r="BI29" s="104">
        <f t="shared" si="1"/>
        <v>73670.399999999994</v>
      </c>
    </row>
    <row r="30" spans="1:61" s="36" customFormat="1" ht="39.950000000000003" customHeight="1">
      <c r="A30" s="144">
        <v>44187</v>
      </c>
      <c r="B30" s="35"/>
      <c r="C30" s="82">
        <v>5686817</v>
      </c>
      <c r="D30" s="103">
        <f t="shared" si="2"/>
        <v>163968</v>
      </c>
      <c r="E30" s="38">
        <f t="shared" si="3"/>
        <v>98380.800000000003</v>
      </c>
      <c r="F30" s="103">
        <f t="shared" si="4"/>
        <v>65587.199999999997</v>
      </c>
      <c r="G30" s="82">
        <v>277559</v>
      </c>
      <c r="H30" s="38">
        <f t="shared" si="33"/>
        <v>1296</v>
      </c>
      <c r="I30" s="82">
        <v>99422</v>
      </c>
      <c r="J30" s="38">
        <f t="shared" si="6"/>
        <v>8544</v>
      </c>
      <c r="K30" s="82">
        <v>256071</v>
      </c>
      <c r="L30" s="38">
        <f t="shared" si="7"/>
        <v>1440</v>
      </c>
      <c r="M30" s="82">
        <v>24470</v>
      </c>
      <c r="N30" s="38">
        <f t="shared" si="8"/>
        <v>0</v>
      </c>
      <c r="O30" s="82">
        <v>235701</v>
      </c>
      <c r="P30" s="103">
        <f t="shared" si="9"/>
        <v>6432</v>
      </c>
      <c r="Q30" s="82">
        <v>438637</v>
      </c>
      <c r="R30" s="103">
        <f t="shared" si="10"/>
        <v>5568</v>
      </c>
      <c r="S30" s="82">
        <v>705315</v>
      </c>
      <c r="T30" s="103">
        <f t="shared" si="11"/>
        <v>5856</v>
      </c>
      <c r="U30" s="82">
        <v>96459.565000000002</v>
      </c>
      <c r="V30" s="103">
        <f t="shared" si="31"/>
        <v>865.10400000005029</v>
      </c>
      <c r="W30" s="82">
        <v>78957</v>
      </c>
      <c r="X30" s="103">
        <f t="shared" si="13"/>
        <v>240</v>
      </c>
      <c r="Y30" s="82">
        <v>1494191</v>
      </c>
      <c r="Z30" s="103">
        <f t="shared" si="14"/>
        <v>0</v>
      </c>
      <c r="AA30" s="82">
        <v>13232</v>
      </c>
      <c r="AB30" s="103">
        <f t="shared" si="15"/>
        <v>0</v>
      </c>
      <c r="AC30" s="82">
        <v>439187</v>
      </c>
      <c r="AD30" s="103">
        <f t="shared" si="16"/>
        <v>624</v>
      </c>
      <c r="AE30" s="82">
        <v>515826</v>
      </c>
      <c r="AF30" s="103">
        <f t="shared" si="16"/>
        <v>0</v>
      </c>
      <c r="AG30" s="82">
        <v>49094</v>
      </c>
      <c r="AH30" s="103">
        <f t="shared" si="17"/>
        <v>192</v>
      </c>
      <c r="AI30" s="82">
        <v>399556</v>
      </c>
      <c r="AJ30" s="103">
        <f t="shared" si="18"/>
        <v>7056</v>
      </c>
      <c r="AK30" s="82">
        <v>102371</v>
      </c>
      <c r="AL30" s="103">
        <f t="shared" si="19"/>
        <v>0</v>
      </c>
      <c r="AM30" s="82">
        <v>562030</v>
      </c>
      <c r="AN30" s="103">
        <f t="shared" si="20"/>
        <v>0</v>
      </c>
      <c r="AO30" s="82">
        <v>904555</v>
      </c>
      <c r="AP30" s="103">
        <f t="shared" si="21"/>
        <v>528</v>
      </c>
      <c r="AQ30" s="82">
        <v>74221</v>
      </c>
      <c r="AR30" s="103">
        <f t="shared" si="22"/>
        <v>0</v>
      </c>
      <c r="AS30" s="82">
        <v>2253</v>
      </c>
      <c r="AT30" s="103">
        <f t="shared" si="23"/>
        <v>0</v>
      </c>
      <c r="AU30" s="82">
        <v>918</v>
      </c>
      <c r="AV30" s="103">
        <f t="shared" si="24"/>
        <v>0</v>
      </c>
      <c r="AW30" s="82">
        <v>3108</v>
      </c>
      <c r="AX30" s="103">
        <f t="shared" si="25"/>
        <v>0</v>
      </c>
      <c r="AY30" s="82">
        <v>305440</v>
      </c>
      <c r="AZ30" s="103">
        <f t="shared" si="34"/>
        <v>4032</v>
      </c>
      <c r="BA30" s="82">
        <v>160256</v>
      </c>
      <c r="BB30" s="103">
        <f t="shared" si="35"/>
        <v>0</v>
      </c>
      <c r="BC30" s="82">
        <v>209207</v>
      </c>
      <c r="BD30" s="103">
        <f t="shared" si="28"/>
        <v>2784</v>
      </c>
      <c r="BE30" s="82">
        <v>5347</v>
      </c>
      <c r="BF30" s="103">
        <f t="shared" si="29"/>
        <v>0</v>
      </c>
      <c r="BH30" s="104">
        <f t="shared" si="0"/>
        <v>136493.90400000004</v>
      </c>
      <c r="BI30" s="104">
        <f t="shared" si="1"/>
        <v>72931.199999999997</v>
      </c>
    </row>
    <row r="31" spans="1:61" s="36" customFormat="1" ht="39.950000000000003" customHeight="1">
      <c r="A31" s="144">
        <v>44188</v>
      </c>
      <c r="B31" s="35"/>
      <c r="C31" s="82">
        <v>5689904</v>
      </c>
      <c r="D31" s="103">
        <f t="shared" si="2"/>
        <v>148176</v>
      </c>
      <c r="E31" s="38">
        <f t="shared" si="3"/>
        <v>88905.599999999991</v>
      </c>
      <c r="F31" s="103">
        <f t="shared" si="4"/>
        <v>59270.400000000001</v>
      </c>
      <c r="G31" s="82">
        <v>277577</v>
      </c>
      <c r="H31" s="38">
        <f t="shared" si="33"/>
        <v>864</v>
      </c>
      <c r="I31" s="82">
        <v>99591</v>
      </c>
      <c r="J31" s="38">
        <f t="shared" si="6"/>
        <v>8112</v>
      </c>
      <c r="K31" s="82">
        <v>256103</v>
      </c>
      <c r="L31" s="38">
        <f t="shared" si="7"/>
        <v>1536</v>
      </c>
      <c r="M31" s="82">
        <v>24470</v>
      </c>
      <c r="N31" s="38">
        <f t="shared" si="8"/>
        <v>0</v>
      </c>
      <c r="O31" s="82">
        <v>235839</v>
      </c>
      <c r="P31" s="38">
        <f t="shared" si="9"/>
        <v>6624</v>
      </c>
      <c r="Q31" s="82">
        <v>438761</v>
      </c>
      <c r="R31" s="103">
        <f t="shared" si="10"/>
        <v>5952</v>
      </c>
      <c r="S31" s="82">
        <v>705434</v>
      </c>
      <c r="T31" s="103">
        <f t="shared" si="11"/>
        <v>5712</v>
      </c>
      <c r="U31" s="82">
        <v>96478.41</v>
      </c>
      <c r="V31" s="103">
        <f t="shared" si="31"/>
        <v>904.56000000005588</v>
      </c>
      <c r="W31" s="82">
        <v>78959</v>
      </c>
      <c r="X31" s="103">
        <f t="shared" si="13"/>
        <v>96</v>
      </c>
      <c r="Y31" s="82">
        <v>1494191</v>
      </c>
      <c r="Z31" s="103">
        <f t="shared" si="14"/>
        <v>0</v>
      </c>
      <c r="AA31" s="82">
        <v>13232</v>
      </c>
      <c r="AB31" s="103">
        <f t="shared" si="15"/>
        <v>0</v>
      </c>
      <c r="AC31" s="82">
        <v>439253</v>
      </c>
      <c r="AD31" s="103">
        <f t="shared" si="16"/>
        <v>3168</v>
      </c>
      <c r="AE31" s="82">
        <v>515852</v>
      </c>
      <c r="AF31" s="103">
        <f t="shared" si="16"/>
        <v>1248</v>
      </c>
      <c r="AG31" s="82">
        <v>49099</v>
      </c>
      <c r="AH31" s="103">
        <f t="shared" si="17"/>
        <v>240</v>
      </c>
      <c r="AI31" s="82">
        <v>399691</v>
      </c>
      <c r="AJ31" s="103">
        <f t="shared" si="18"/>
        <v>6480</v>
      </c>
      <c r="AK31" s="82">
        <v>102371</v>
      </c>
      <c r="AL31" s="103">
        <f t="shared" si="19"/>
        <v>0</v>
      </c>
      <c r="AM31" s="82">
        <v>562042</v>
      </c>
      <c r="AN31" s="103">
        <f t="shared" si="20"/>
        <v>576</v>
      </c>
      <c r="AO31" s="82">
        <v>904616</v>
      </c>
      <c r="AP31" s="103">
        <f t="shared" si="21"/>
        <v>2928</v>
      </c>
      <c r="AQ31" s="82">
        <v>74221</v>
      </c>
      <c r="AR31" s="103">
        <f t="shared" si="22"/>
        <v>0</v>
      </c>
      <c r="AS31" s="82">
        <v>2253</v>
      </c>
      <c r="AT31" s="103">
        <f t="shared" si="23"/>
        <v>0</v>
      </c>
      <c r="AU31" s="82">
        <v>918</v>
      </c>
      <c r="AV31" s="103">
        <f t="shared" si="24"/>
        <v>0</v>
      </c>
      <c r="AW31" s="82">
        <v>3108</v>
      </c>
      <c r="AX31" s="103">
        <f t="shared" si="25"/>
        <v>0</v>
      </c>
      <c r="AY31" s="82">
        <v>305531</v>
      </c>
      <c r="AZ31" s="103">
        <f t="shared" si="34"/>
        <v>4368</v>
      </c>
      <c r="BA31" s="82">
        <v>160256</v>
      </c>
      <c r="BB31" s="103">
        <f t="shared" si="35"/>
        <v>0</v>
      </c>
      <c r="BC31" s="82">
        <v>209273</v>
      </c>
      <c r="BD31" s="103">
        <f t="shared" si="28"/>
        <v>3168</v>
      </c>
      <c r="BE31" s="82">
        <v>5347</v>
      </c>
      <c r="BF31" s="103">
        <f t="shared" si="29"/>
        <v>0</v>
      </c>
      <c r="BH31" s="104">
        <f t="shared" si="0"/>
        <v>129842.16000000005</v>
      </c>
      <c r="BI31" s="104">
        <f t="shared" si="1"/>
        <v>70310.399999999994</v>
      </c>
    </row>
    <row r="32" spans="1:61" s="36" customFormat="1" ht="39.950000000000003" customHeight="1">
      <c r="A32" s="144">
        <v>44189</v>
      </c>
      <c r="B32" s="35"/>
      <c r="C32" s="82">
        <v>5692769</v>
      </c>
      <c r="D32" s="103">
        <f t="shared" si="2"/>
        <v>137520</v>
      </c>
      <c r="E32" s="38">
        <f t="shared" si="3"/>
        <v>82512</v>
      </c>
      <c r="F32" s="103">
        <f t="shared" si="4"/>
        <v>55008</v>
      </c>
      <c r="G32" s="82">
        <v>277602</v>
      </c>
      <c r="H32" s="38">
        <f t="shared" si="33"/>
        <v>1200</v>
      </c>
      <c r="I32" s="82">
        <v>99754</v>
      </c>
      <c r="J32" s="38">
        <f t="shared" si="6"/>
        <v>7824</v>
      </c>
      <c r="K32" s="82">
        <v>256137</v>
      </c>
      <c r="L32" s="38">
        <f t="shared" si="7"/>
        <v>1632</v>
      </c>
      <c r="M32" s="82">
        <v>24470</v>
      </c>
      <c r="N32" s="38">
        <f t="shared" si="8"/>
        <v>0</v>
      </c>
      <c r="O32" s="82">
        <v>235995</v>
      </c>
      <c r="P32" s="38">
        <f t="shared" si="9"/>
        <v>7488</v>
      </c>
      <c r="Q32" s="82">
        <v>438877</v>
      </c>
      <c r="R32" s="103">
        <f t="shared" si="10"/>
        <v>5568</v>
      </c>
      <c r="S32" s="82">
        <v>705541</v>
      </c>
      <c r="T32" s="103">
        <f t="shared" si="11"/>
        <v>5136</v>
      </c>
      <c r="U32" s="82">
        <v>96495.286999999997</v>
      </c>
      <c r="V32" s="103">
        <f t="shared" si="31"/>
        <v>810.09599999967031</v>
      </c>
      <c r="W32" s="82">
        <v>78961</v>
      </c>
      <c r="X32" s="103">
        <f t="shared" si="13"/>
        <v>96</v>
      </c>
      <c r="Y32" s="82">
        <v>1494191</v>
      </c>
      <c r="Z32" s="103">
        <f t="shared" si="14"/>
        <v>0</v>
      </c>
      <c r="AA32" s="82">
        <v>13232</v>
      </c>
      <c r="AB32" s="103">
        <f t="shared" si="15"/>
        <v>0</v>
      </c>
      <c r="AC32" s="82">
        <v>439402</v>
      </c>
      <c r="AD32" s="103">
        <f t="shared" si="16"/>
        <v>7152</v>
      </c>
      <c r="AE32" s="82">
        <v>515946</v>
      </c>
      <c r="AF32" s="103">
        <f t="shared" si="16"/>
        <v>4512</v>
      </c>
      <c r="AG32" s="82">
        <v>49104</v>
      </c>
      <c r="AH32" s="103">
        <f t="shared" si="17"/>
        <v>240</v>
      </c>
      <c r="AI32" s="82">
        <v>399821</v>
      </c>
      <c r="AJ32" s="103">
        <f t="shared" si="18"/>
        <v>6240</v>
      </c>
      <c r="AK32" s="82">
        <v>102371</v>
      </c>
      <c r="AL32" s="103">
        <f t="shared" si="19"/>
        <v>0</v>
      </c>
      <c r="AM32" s="82">
        <v>562126</v>
      </c>
      <c r="AN32" s="103">
        <f t="shared" si="20"/>
        <v>4032</v>
      </c>
      <c r="AO32" s="82">
        <v>904766</v>
      </c>
      <c r="AP32" s="103">
        <f t="shared" si="21"/>
        <v>7200</v>
      </c>
      <c r="AQ32" s="82">
        <v>74221</v>
      </c>
      <c r="AR32" s="103">
        <f t="shared" si="22"/>
        <v>0</v>
      </c>
      <c r="AS32" s="82">
        <v>2253</v>
      </c>
      <c r="AT32" s="103">
        <f t="shared" si="23"/>
        <v>0</v>
      </c>
      <c r="AU32" s="82">
        <v>918</v>
      </c>
      <c r="AV32" s="103">
        <f t="shared" si="24"/>
        <v>0</v>
      </c>
      <c r="AW32" s="82">
        <v>3108</v>
      </c>
      <c r="AX32" s="103">
        <f t="shared" si="25"/>
        <v>0</v>
      </c>
      <c r="AY32" s="82">
        <v>305621</v>
      </c>
      <c r="AZ32" s="103">
        <f t="shared" si="34"/>
        <v>4320</v>
      </c>
      <c r="BA32" s="82">
        <v>160256</v>
      </c>
      <c r="BB32" s="103">
        <f t="shared" si="35"/>
        <v>0</v>
      </c>
      <c r="BC32" s="82">
        <v>209336</v>
      </c>
      <c r="BD32" s="103">
        <f t="shared" si="28"/>
        <v>3024</v>
      </c>
      <c r="BE32" s="82">
        <v>5347</v>
      </c>
      <c r="BF32" s="103">
        <f t="shared" si="29"/>
        <v>0</v>
      </c>
      <c r="BH32" s="104">
        <f t="shared" si="0"/>
        <v>130410.09599999967</v>
      </c>
      <c r="BI32" s="104">
        <f t="shared" si="1"/>
        <v>73584</v>
      </c>
    </row>
    <row r="33" spans="1:61" s="36" customFormat="1" ht="39.950000000000003" customHeight="1">
      <c r="A33" s="144">
        <v>44190</v>
      </c>
      <c r="B33" s="35"/>
      <c r="C33" s="77">
        <v>5695507</v>
      </c>
      <c r="D33" s="103">
        <f t="shared" si="2"/>
        <v>131424</v>
      </c>
      <c r="E33" s="38">
        <f t="shared" si="3"/>
        <v>78854.399999999994</v>
      </c>
      <c r="F33" s="103">
        <f t="shared" si="4"/>
        <v>52569.600000000006</v>
      </c>
      <c r="G33" s="77">
        <v>277628</v>
      </c>
      <c r="H33" s="38">
        <f t="shared" si="33"/>
        <v>1248</v>
      </c>
      <c r="I33" s="77">
        <v>99925</v>
      </c>
      <c r="J33" s="38">
        <f t="shared" si="6"/>
        <v>8208</v>
      </c>
      <c r="K33" s="77">
        <v>256183</v>
      </c>
      <c r="L33" s="38">
        <f t="shared" si="7"/>
        <v>2208</v>
      </c>
      <c r="M33" s="77">
        <v>24470</v>
      </c>
      <c r="N33" s="38">
        <f t="shared" si="8"/>
        <v>0</v>
      </c>
      <c r="O33" s="77">
        <v>236115</v>
      </c>
      <c r="P33" s="38">
        <f t="shared" si="9"/>
        <v>5760</v>
      </c>
      <c r="Q33" s="77">
        <v>439005</v>
      </c>
      <c r="R33" s="103">
        <f t="shared" si="10"/>
        <v>6144</v>
      </c>
      <c r="S33" s="77">
        <v>705660</v>
      </c>
      <c r="T33" s="103">
        <f t="shared" si="11"/>
        <v>5712</v>
      </c>
      <c r="U33" s="77">
        <v>96513.501999999993</v>
      </c>
      <c r="V33" s="103">
        <f t="shared" si="31"/>
        <v>874.31999999983236</v>
      </c>
      <c r="W33" s="77">
        <v>78964</v>
      </c>
      <c r="X33" s="103">
        <f t="shared" si="13"/>
        <v>144</v>
      </c>
      <c r="Y33" s="77">
        <v>1494191</v>
      </c>
      <c r="Z33" s="103">
        <f t="shared" si="14"/>
        <v>0</v>
      </c>
      <c r="AA33" s="77">
        <v>13232</v>
      </c>
      <c r="AB33" s="103">
        <f t="shared" si="15"/>
        <v>0</v>
      </c>
      <c r="AC33" s="77">
        <v>439534</v>
      </c>
      <c r="AD33" s="103">
        <f t="shared" si="16"/>
        <v>6336</v>
      </c>
      <c r="AE33" s="77">
        <v>516028</v>
      </c>
      <c r="AF33" s="103">
        <f t="shared" si="16"/>
        <v>3936</v>
      </c>
      <c r="AG33" s="77">
        <v>49108</v>
      </c>
      <c r="AH33" s="103">
        <f t="shared" si="17"/>
        <v>192</v>
      </c>
      <c r="AI33" s="77">
        <v>399921</v>
      </c>
      <c r="AJ33" s="103">
        <f t="shared" si="18"/>
        <v>4800</v>
      </c>
      <c r="AK33" s="77">
        <v>102371</v>
      </c>
      <c r="AL33" s="103">
        <f t="shared" si="19"/>
        <v>0</v>
      </c>
      <c r="AM33" s="77">
        <v>562197</v>
      </c>
      <c r="AN33" s="103">
        <f t="shared" si="20"/>
        <v>3408</v>
      </c>
      <c r="AO33" s="77">
        <v>904902</v>
      </c>
      <c r="AP33" s="103">
        <f t="shared" si="21"/>
        <v>6528</v>
      </c>
      <c r="AQ33" s="77">
        <v>74221</v>
      </c>
      <c r="AR33" s="103">
        <f t="shared" si="22"/>
        <v>0</v>
      </c>
      <c r="AS33" s="77">
        <v>2253</v>
      </c>
      <c r="AT33" s="103">
        <f t="shared" si="23"/>
        <v>0</v>
      </c>
      <c r="AU33" s="77">
        <v>918</v>
      </c>
      <c r="AV33" s="103">
        <f t="shared" si="24"/>
        <v>0</v>
      </c>
      <c r="AW33" s="77">
        <v>3108</v>
      </c>
      <c r="AX33" s="103">
        <f t="shared" si="25"/>
        <v>0</v>
      </c>
      <c r="AY33" s="77">
        <v>305708</v>
      </c>
      <c r="AZ33" s="103">
        <f t="shared" si="34"/>
        <v>4176</v>
      </c>
      <c r="BA33" s="77">
        <v>160256</v>
      </c>
      <c r="BB33" s="103">
        <f t="shared" si="35"/>
        <v>0</v>
      </c>
      <c r="BC33" s="77">
        <v>209400</v>
      </c>
      <c r="BD33" s="103">
        <f t="shared" si="28"/>
        <v>3072</v>
      </c>
      <c r="BE33" s="77">
        <v>5347</v>
      </c>
      <c r="BF33" s="103">
        <f t="shared" si="29"/>
        <v>0</v>
      </c>
      <c r="BH33" s="104">
        <f t="shared" si="0"/>
        <v>124416.71999999983</v>
      </c>
      <c r="BI33" s="104">
        <f t="shared" si="1"/>
        <v>69753.600000000006</v>
      </c>
    </row>
    <row r="34" spans="1:61" s="36" customFormat="1" ht="39.950000000000003" customHeight="1">
      <c r="A34" s="144">
        <v>44191</v>
      </c>
      <c r="B34" s="35"/>
      <c r="C34" s="77">
        <v>5698349</v>
      </c>
      <c r="D34" s="103">
        <f t="shared" si="2"/>
        <v>136416</v>
      </c>
      <c r="E34" s="38">
        <f t="shared" si="3"/>
        <v>81849.599999999991</v>
      </c>
      <c r="F34" s="103">
        <f t="shared" si="4"/>
        <v>54566.400000000001</v>
      </c>
      <c r="G34" s="77">
        <v>277650</v>
      </c>
      <c r="H34" s="38">
        <f t="shared" si="33"/>
        <v>1056</v>
      </c>
      <c r="I34" s="77">
        <v>100101</v>
      </c>
      <c r="J34" s="38">
        <f t="shared" si="6"/>
        <v>8448</v>
      </c>
      <c r="K34" s="77">
        <v>256229</v>
      </c>
      <c r="L34" s="38">
        <f t="shared" si="7"/>
        <v>2208</v>
      </c>
      <c r="M34" s="77">
        <v>24470</v>
      </c>
      <c r="N34" s="38">
        <f t="shared" si="8"/>
        <v>0</v>
      </c>
      <c r="O34" s="77">
        <v>236257</v>
      </c>
      <c r="P34" s="38">
        <f t="shared" si="9"/>
        <v>6816</v>
      </c>
      <c r="Q34" s="77">
        <v>439128</v>
      </c>
      <c r="R34" s="103">
        <f t="shared" si="10"/>
        <v>5904</v>
      </c>
      <c r="S34" s="77">
        <v>705770</v>
      </c>
      <c r="T34" s="103">
        <f t="shared" si="11"/>
        <v>5280</v>
      </c>
      <c r="U34" s="77">
        <v>96534.869000000006</v>
      </c>
      <c r="V34" s="103">
        <f t="shared" si="31"/>
        <v>1025.6160000006203</v>
      </c>
      <c r="W34" s="77">
        <v>78968</v>
      </c>
      <c r="X34" s="103">
        <f t="shared" si="13"/>
        <v>192</v>
      </c>
      <c r="Y34" s="77">
        <v>1494191</v>
      </c>
      <c r="Z34" s="103">
        <f t="shared" si="14"/>
        <v>0</v>
      </c>
      <c r="AA34" s="77">
        <v>13232</v>
      </c>
      <c r="AB34" s="103">
        <f t="shared" si="15"/>
        <v>0</v>
      </c>
      <c r="AC34" s="77">
        <v>439684</v>
      </c>
      <c r="AD34" s="103">
        <f t="shared" si="16"/>
        <v>7200</v>
      </c>
      <c r="AE34" s="77">
        <v>516111</v>
      </c>
      <c r="AF34" s="103">
        <f t="shared" si="16"/>
        <v>3984</v>
      </c>
      <c r="AG34" s="77">
        <v>49118</v>
      </c>
      <c r="AH34" s="103">
        <f t="shared" si="17"/>
        <v>480</v>
      </c>
      <c r="AI34" s="77">
        <v>400071</v>
      </c>
      <c r="AJ34" s="103">
        <f t="shared" si="18"/>
        <v>7200</v>
      </c>
      <c r="AK34" s="77">
        <v>102371</v>
      </c>
      <c r="AL34" s="103">
        <f t="shared" si="19"/>
        <v>0</v>
      </c>
      <c r="AM34" s="77">
        <v>562271</v>
      </c>
      <c r="AN34" s="103">
        <f t="shared" si="20"/>
        <v>3552</v>
      </c>
      <c r="AO34" s="77">
        <v>905048</v>
      </c>
      <c r="AP34" s="103">
        <f t="shared" si="21"/>
        <v>7008</v>
      </c>
      <c r="AQ34" s="77">
        <v>74221</v>
      </c>
      <c r="AR34" s="103">
        <f t="shared" si="22"/>
        <v>0</v>
      </c>
      <c r="AS34" s="77">
        <v>2253</v>
      </c>
      <c r="AT34" s="103">
        <f t="shared" si="23"/>
        <v>0</v>
      </c>
      <c r="AU34" s="77">
        <v>918</v>
      </c>
      <c r="AV34" s="103">
        <f t="shared" si="24"/>
        <v>0</v>
      </c>
      <c r="AW34" s="77">
        <v>3108</v>
      </c>
      <c r="AX34" s="103">
        <f t="shared" si="25"/>
        <v>0</v>
      </c>
      <c r="AY34" s="77">
        <v>305795</v>
      </c>
      <c r="AZ34" s="103">
        <f t="shared" si="34"/>
        <v>4176</v>
      </c>
      <c r="BA34" s="77">
        <v>160256</v>
      </c>
      <c r="BB34" s="103">
        <f t="shared" si="35"/>
        <v>0</v>
      </c>
      <c r="BC34" s="77">
        <v>209463</v>
      </c>
      <c r="BD34" s="103">
        <f t="shared" si="28"/>
        <v>3024</v>
      </c>
      <c r="BE34" s="77">
        <v>5347</v>
      </c>
      <c r="BF34" s="103">
        <f t="shared" si="29"/>
        <v>0</v>
      </c>
      <c r="BH34" s="104">
        <f t="shared" si="0"/>
        <v>131643.2160000006</v>
      </c>
      <c r="BI34" s="104">
        <f t="shared" si="1"/>
        <v>72326.399999999994</v>
      </c>
    </row>
    <row r="35" spans="1:61" s="36" customFormat="1" ht="39.950000000000003" customHeight="1">
      <c r="A35" s="144">
        <v>44192</v>
      </c>
      <c r="B35" s="35"/>
      <c r="C35" s="77">
        <v>5701082</v>
      </c>
      <c r="D35" s="103">
        <f t="shared" si="2"/>
        <v>131184</v>
      </c>
      <c r="E35" s="38">
        <f t="shared" si="3"/>
        <v>78710.399999999994</v>
      </c>
      <c r="F35" s="103">
        <f t="shared" si="4"/>
        <v>52473.600000000006</v>
      </c>
      <c r="G35" s="77">
        <v>277668</v>
      </c>
      <c r="H35" s="38">
        <f t="shared" si="33"/>
        <v>864</v>
      </c>
      <c r="I35" s="77">
        <v>100265</v>
      </c>
      <c r="J35" s="38">
        <f t="shared" si="6"/>
        <v>7872</v>
      </c>
      <c r="K35" s="77">
        <v>256262</v>
      </c>
      <c r="L35" s="38">
        <f t="shared" si="7"/>
        <v>1584</v>
      </c>
      <c r="M35" s="77">
        <v>24470</v>
      </c>
      <c r="N35" s="38">
        <f t="shared" si="8"/>
        <v>0</v>
      </c>
      <c r="O35" s="77">
        <v>236415</v>
      </c>
      <c r="P35" s="38">
        <f t="shared" si="9"/>
        <v>7584</v>
      </c>
      <c r="Q35" s="77">
        <v>439242</v>
      </c>
      <c r="R35" s="103">
        <f t="shared" si="10"/>
        <v>5472</v>
      </c>
      <c r="S35" s="77">
        <v>705882</v>
      </c>
      <c r="T35" s="103">
        <f t="shared" si="11"/>
        <v>5376</v>
      </c>
      <c r="U35" s="77">
        <v>96558.25</v>
      </c>
      <c r="V35" s="103">
        <f t="shared" si="31"/>
        <v>1122.2879999997094</v>
      </c>
      <c r="W35" s="77">
        <v>78970</v>
      </c>
      <c r="X35" s="103">
        <f t="shared" si="13"/>
        <v>96</v>
      </c>
      <c r="Y35" s="77">
        <v>1494191</v>
      </c>
      <c r="Z35" s="103">
        <f t="shared" si="14"/>
        <v>0</v>
      </c>
      <c r="AA35" s="77">
        <v>13232</v>
      </c>
      <c r="AB35" s="103">
        <f t="shared" si="15"/>
        <v>0</v>
      </c>
      <c r="AC35" s="77">
        <v>439828</v>
      </c>
      <c r="AD35" s="103">
        <f t="shared" si="16"/>
        <v>6912</v>
      </c>
      <c r="AE35" s="77">
        <v>516190</v>
      </c>
      <c r="AF35" s="103">
        <f t="shared" si="16"/>
        <v>3792</v>
      </c>
      <c r="AG35" s="77">
        <v>49124</v>
      </c>
      <c r="AH35" s="103">
        <f t="shared" si="17"/>
        <v>288</v>
      </c>
      <c r="AI35" s="77">
        <v>400205</v>
      </c>
      <c r="AJ35" s="103">
        <f t="shared" si="18"/>
        <v>6432</v>
      </c>
      <c r="AK35" s="77">
        <v>102371</v>
      </c>
      <c r="AL35" s="103">
        <f t="shared" si="19"/>
        <v>0</v>
      </c>
      <c r="AM35" s="77">
        <v>562344</v>
      </c>
      <c r="AN35" s="103">
        <f t="shared" si="20"/>
        <v>3504</v>
      </c>
      <c r="AO35" s="77">
        <v>905197</v>
      </c>
      <c r="AP35" s="103">
        <f t="shared" si="21"/>
        <v>7152</v>
      </c>
      <c r="AQ35" s="77">
        <v>74221</v>
      </c>
      <c r="AR35" s="103">
        <f t="shared" si="22"/>
        <v>0</v>
      </c>
      <c r="AS35" s="77">
        <v>2253</v>
      </c>
      <c r="AT35" s="103">
        <f t="shared" si="23"/>
        <v>0</v>
      </c>
      <c r="AU35" s="77">
        <v>918</v>
      </c>
      <c r="AV35" s="103">
        <f t="shared" si="24"/>
        <v>0</v>
      </c>
      <c r="AW35" s="77">
        <v>3108</v>
      </c>
      <c r="AX35" s="103">
        <f t="shared" si="25"/>
        <v>0</v>
      </c>
      <c r="AY35" s="77">
        <v>305880</v>
      </c>
      <c r="AZ35" s="103">
        <f t="shared" si="34"/>
        <v>4080</v>
      </c>
      <c r="BA35" s="77">
        <v>160256</v>
      </c>
      <c r="BB35" s="103">
        <f t="shared" si="35"/>
        <v>0</v>
      </c>
      <c r="BC35" s="77">
        <v>209525</v>
      </c>
      <c r="BD35" s="103">
        <f t="shared" si="28"/>
        <v>2976</v>
      </c>
      <c r="BE35" s="77">
        <v>5347</v>
      </c>
      <c r="BF35" s="103">
        <f t="shared" si="29"/>
        <v>0</v>
      </c>
      <c r="BH35" s="104">
        <f t="shared" si="0"/>
        <v>126104.6879999997</v>
      </c>
      <c r="BI35" s="104">
        <f t="shared" si="1"/>
        <v>70185.600000000006</v>
      </c>
    </row>
    <row r="36" spans="1:61" s="36" customFormat="1" ht="39.950000000000003" customHeight="1">
      <c r="A36" s="144">
        <v>44193</v>
      </c>
      <c r="B36" s="35"/>
      <c r="C36" s="82">
        <v>5703679</v>
      </c>
      <c r="D36" s="103">
        <f t="shared" si="2"/>
        <v>124656</v>
      </c>
      <c r="E36" s="38">
        <f t="shared" si="3"/>
        <v>74793.599999999991</v>
      </c>
      <c r="F36" s="103">
        <f t="shared" si="4"/>
        <v>49862.400000000001</v>
      </c>
      <c r="G36" s="82">
        <v>277687</v>
      </c>
      <c r="H36" s="38">
        <f t="shared" si="33"/>
        <v>912</v>
      </c>
      <c r="I36" s="82">
        <v>100433</v>
      </c>
      <c r="J36" s="38">
        <f t="shared" si="6"/>
        <v>8064</v>
      </c>
      <c r="K36" s="82">
        <v>256277</v>
      </c>
      <c r="L36" s="38">
        <f t="shared" si="7"/>
        <v>720</v>
      </c>
      <c r="M36" s="82">
        <v>24470</v>
      </c>
      <c r="N36" s="38">
        <f t="shared" si="8"/>
        <v>0</v>
      </c>
      <c r="O36" s="82">
        <v>236580</v>
      </c>
      <c r="P36" s="38">
        <f t="shared" si="9"/>
        <v>7920</v>
      </c>
      <c r="Q36" s="82">
        <v>439345</v>
      </c>
      <c r="R36" s="103">
        <f t="shared" si="10"/>
        <v>4944</v>
      </c>
      <c r="S36" s="82">
        <v>705999</v>
      </c>
      <c r="T36" s="103">
        <f t="shared" si="11"/>
        <v>5616</v>
      </c>
      <c r="U36" s="82">
        <v>96581.838000000003</v>
      </c>
      <c r="V36" s="103">
        <f t="shared" si="31"/>
        <v>1132.2240000001621</v>
      </c>
      <c r="W36" s="82">
        <v>78971</v>
      </c>
      <c r="X36" s="103">
        <f t="shared" si="13"/>
        <v>48</v>
      </c>
      <c r="Y36" s="82">
        <v>1494191</v>
      </c>
      <c r="Z36" s="103">
        <f t="shared" si="14"/>
        <v>0</v>
      </c>
      <c r="AA36" s="82">
        <v>13232</v>
      </c>
      <c r="AB36" s="103">
        <f t="shared" si="15"/>
        <v>0</v>
      </c>
      <c r="AC36" s="82">
        <v>439940</v>
      </c>
      <c r="AD36" s="103">
        <f t="shared" si="16"/>
        <v>5376</v>
      </c>
      <c r="AE36" s="82">
        <v>516220</v>
      </c>
      <c r="AF36" s="103">
        <f t="shared" si="16"/>
        <v>1440</v>
      </c>
      <c r="AG36" s="82">
        <v>49129</v>
      </c>
      <c r="AH36" s="103">
        <f t="shared" si="17"/>
        <v>240</v>
      </c>
      <c r="AI36" s="82">
        <v>400328</v>
      </c>
      <c r="AJ36" s="103">
        <f t="shared" si="18"/>
        <v>5904</v>
      </c>
      <c r="AK36" s="82">
        <v>102371</v>
      </c>
      <c r="AL36" s="103">
        <f t="shared" si="19"/>
        <v>0</v>
      </c>
      <c r="AM36" s="82">
        <v>562389</v>
      </c>
      <c r="AN36" s="103">
        <f t="shared" si="20"/>
        <v>2160</v>
      </c>
      <c r="AO36" s="82">
        <v>905301</v>
      </c>
      <c r="AP36" s="103">
        <f t="shared" si="21"/>
        <v>4992</v>
      </c>
      <c r="AQ36" s="82">
        <v>74221</v>
      </c>
      <c r="AR36" s="103">
        <f t="shared" si="22"/>
        <v>0</v>
      </c>
      <c r="AS36" s="82">
        <v>2253</v>
      </c>
      <c r="AT36" s="103">
        <f t="shared" si="23"/>
        <v>0</v>
      </c>
      <c r="AU36" s="82">
        <v>918</v>
      </c>
      <c r="AV36" s="103">
        <f t="shared" si="24"/>
        <v>0</v>
      </c>
      <c r="AW36" s="82">
        <v>3108</v>
      </c>
      <c r="AX36" s="103">
        <f t="shared" si="25"/>
        <v>0</v>
      </c>
      <c r="AY36" s="82">
        <v>305964</v>
      </c>
      <c r="AZ36" s="103">
        <f t="shared" si="34"/>
        <v>4032</v>
      </c>
      <c r="BA36" s="82">
        <v>160256</v>
      </c>
      <c r="BB36" s="103">
        <f t="shared" si="35"/>
        <v>0</v>
      </c>
      <c r="BC36" s="82">
        <v>209585</v>
      </c>
      <c r="BD36" s="103">
        <f t="shared" si="28"/>
        <v>2880</v>
      </c>
      <c r="BE36" s="82">
        <v>5347</v>
      </c>
      <c r="BF36" s="103">
        <f t="shared" si="29"/>
        <v>0</v>
      </c>
      <c r="BH36" s="104">
        <f t="shared" si="0"/>
        <v>117109.82400000015</v>
      </c>
      <c r="BI36" s="104">
        <f t="shared" si="1"/>
        <v>63926.400000000001</v>
      </c>
    </row>
    <row r="37" spans="1:61" s="36" customFormat="1" ht="39.950000000000003" customHeight="1">
      <c r="A37" s="144">
        <v>44194</v>
      </c>
      <c r="B37" s="35"/>
      <c r="C37" s="82">
        <v>5705938</v>
      </c>
      <c r="D37" s="103">
        <f t="shared" si="2"/>
        <v>108432</v>
      </c>
      <c r="E37" s="38">
        <f t="shared" si="3"/>
        <v>65059.199999999997</v>
      </c>
      <c r="F37" s="103">
        <f t="shared" si="4"/>
        <v>43372.800000000003</v>
      </c>
      <c r="G37" s="82">
        <v>277708</v>
      </c>
      <c r="H37" s="38">
        <f t="shared" si="33"/>
        <v>1008</v>
      </c>
      <c r="I37" s="82">
        <v>100604</v>
      </c>
      <c r="J37" s="38">
        <f t="shared" si="6"/>
        <v>8208</v>
      </c>
      <c r="K37" s="82">
        <v>256285</v>
      </c>
      <c r="L37" s="38">
        <f t="shared" si="7"/>
        <v>384</v>
      </c>
      <c r="M37" s="82">
        <v>24470</v>
      </c>
      <c r="N37" s="38">
        <f t="shared" si="8"/>
        <v>0</v>
      </c>
      <c r="O37" s="82">
        <v>236729</v>
      </c>
      <c r="P37" s="38">
        <f t="shared" si="9"/>
        <v>7152</v>
      </c>
      <c r="Q37" s="82">
        <v>439429</v>
      </c>
      <c r="R37" s="103">
        <f t="shared" si="10"/>
        <v>4032</v>
      </c>
      <c r="S37" s="82">
        <v>706117</v>
      </c>
      <c r="T37" s="103">
        <f t="shared" si="11"/>
        <v>5664</v>
      </c>
      <c r="U37" s="82">
        <v>96598.463000000003</v>
      </c>
      <c r="V37" s="103">
        <f t="shared" si="31"/>
        <v>798</v>
      </c>
      <c r="W37" s="82">
        <v>78973</v>
      </c>
      <c r="X37" s="103">
        <f t="shared" si="13"/>
        <v>96</v>
      </c>
      <c r="Y37" s="82">
        <v>1494191</v>
      </c>
      <c r="Z37" s="103">
        <f t="shared" si="14"/>
        <v>0</v>
      </c>
      <c r="AA37" s="82">
        <v>13232</v>
      </c>
      <c r="AB37" s="103">
        <f t="shared" si="15"/>
        <v>0</v>
      </c>
      <c r="AC37" s="82">
        <v>440033</v>
      </c>
      <c r="AD37" s="103">
        <f t="shared" si="16"/>
        <v>4464</v>
      </c>
      <c r="AE37" s="82">
        <v>516264</v>
      </c>
      <c r="AF37" s="103">
        <f t="shared" si="16"/>
        <v>2112</v>
      </c>
      <c r="AG37" s="82">
        <v>49134</v>
      </c>
      <c r="AH37" s="103">
        <f t="shared" si="17"/>
        <v>240</v>
      </c>
      <c r="AI37" s="82">
        <v>400450</v>
      </c>
      <c r="AJ37" s="103">
        <f t="shared" si="18"/>
        <v>5856</v>
      </c>
      <c r="AK37" s="82">
        <v>102371</v>
      </c>
      <c r="AL37" s="103">
        <f t="shared" si="19"/>
        <v>0</v>
      </c>
      <c r="AM37" s="82">
        <v>562431</v>
      </c>
      <c r="AN37" s="103">
        <f t="shared" si="20"/>
        <v>2016</v>
      </c>
      <c r="AO37" s="82">
        <v>905406</v>
      </c>
      <c r="AP37" s="103">
        <f t="shared" si="21"/>
        <v>5040</v>
      </c>
      <c r="AQ37" s="82">
        <v>74221</v>
      </c>
      <c r="AR37" s="103">
        <f t="shared" si="22"/>
        <v>0</v>
      </c>
      <c r="AS37" s="82">
        <v>2253</v>
      </c>
      <c r="AT37" s="103">
        <f t="shared" si="23"/>
        <v>0</v>
      </c>
      <c r="AU37" s="82">
        <v>918</v>
      </c>
      <c r="AV37" s="103">
        <f t="shared" si="24"/>
        <v>0</v>
      </c>
      <c r="AW37" s="82">
        <v>3108</v>
      </c>
      <c r="AX37" s="103">
        <f t="shared" si="25"/>
        <v>0</v>
      </c>
      <c r="AY37" s="82">
        <v>306053</v>
      </c>
      <c r="AZ37" s="103">
        <f t="shared" si="34"/>
        <v>4272</v>
      </c>
      <c r="BA37" s="82">
        <v>160256</v>
      </c>
      <c r="BB37" s="103">
        <f t="shared" si="35"/>
        <v>0</v>
      </c>
      <c r="BC37" s="82">
        <v>209647</v>
      </c>
      <c r="BD37" s="103">
        <f t="shared" si="28"/>
        <v>2976</v>
      </c>
      <c r="BE37" s="82">
        <v>5347</v>
      </c>
      <c r="BF37" s="103">
        <f t="shared" si="29"/>
        <v>0</v>
      </c>
      <c r="BH37" s="104">
        <f t="shared" ref="BH37:BH38" si="36">SUM(E37,J37,P37,H37,L37,R37,T37,V37,X37,N37,AB37,Z37,AD37,AF37,AH37,AL37,AJ37)</f>
        <v>105073.2</v>
      </c>
      <c r="BI37" s="104">
        <f t="shared" ref="BI37:BI38" si="37">SUM(F37,AN37,AP37,AT37,AV37,AX37,AR37,AZ37,BB37,BD37,BF37)</f>
        <v>57676.800000000003</v>
      </c>
    </row>
    <row r="38" spans="1:61" s="36" customFormat="1" ht="39.950000000000003" customHeight="1">
      <c r="A38" s="144">
        <v>44195</v>
      </c>
      <c r="B38" s="35"/>
      <c r="C38" s="77">
        <v>5708266</v>
      </c>
      <c r="D38" s="103">
        <f t="shared" si="2"/>
        <v>111744</v>
      </c>
      <c r="E38" s="38">
        <f t="shared" si="3"/>
        <v>67046.399999999994</v>
      </c>
      <c r="F38" s="103">
        <f t="shared" si="4"/>
        <v>44697.600000000006</v>
      </c>
      <c r="G38" s="77">
        <v>277731</v>
      </c>
      <c r="H38" s="38">
        <f t="shared" si="33"/>
        <v>1104</v>
      </c>
      <c r="I38" s="77">
        <v>100771</v>
      </c>
      <c r="J38" s="38">
        <f t="shared" si="6"/>
        <v>8016</v>
      </c>
      <c r="K38" s="77">
        <v>256291</v>
      </c>
      <c r="L38" s="38">
        <f t="shared" si="7"/>
        <v>288</v>
      </c>
      <c r="M38" s="77">
        <v>24470</v>
      </c>
      <c r="N38" s="38">
        <f t="shared" si="8"/>
        <v>0</v>
      </c>
      <c r="O38" s="77">
        <v>236886</v>
      </c>
      <c r="P38" s="38">
        <f t="shared" si="9"/>
        <v>7536</v>
      </c>
      <c r="Q38" s="77">
        <v>439530</v>
      </c>
      <c r="R38" s="103">
        <f t="shared" si="10"/>
        <v>4848</v>
      </c>
      <c r="S38" s="77">
        <v>706240</v>
      </c>
      <c r="T38" s="103">
        <f t="shared" si="11"/>
        <v>5904</v>
      </c>
      <c r="U38" s="77">
        <v>96617.865999999995</v>
      </c>
      <c r="V38" s="103">
        <f t="shared" si="31"/>
        <v>931.34399999957532</v>
      </c>
      <c r="W38" s="77">
        <v>78975</v>
      </c>
      <c r="X38" s="103">
        <f t="shared" si="13"/>
        <v>96</v>
      </c>
      <c r="Y38" s="77">
        <v>1494191</v>
      </c>
      <c r="Z38" s="103">
        <f t="shared" si="14"/>
        <v>0</v>
      </c>
      <c r="AA38" s="77">
        <v>13232</v>
      </c>
      <c r="AB38" s="103">
        <f t="shared" si="15"/>
        <v>0</v>
      </c>
      <c r="AC38" s="77">
        <v>440161</v>
      </c>
      <c r="AD38" s="103">
        <f t="shared" ref="AD38" si="38">(+AC38-+AC37)*48</f>
        <v>6144</v>
      </c>
      <c r="AE38" s="77">
        <v>516345</v>
      </c>
      <c r="AF38" s="103">
        <f t="shared" ref="AF38" si="39">(+AE38-+AE37)*48</f>
        <v>3888</v>
      </c>
      <c r="AG38" s="77">
        <v>49138</v>
      </c>
      <c r="AH38" s="103">
        <f t="shared" si="17"/>
        <v>192</v>
      </c>
      <c r="AI38" s="77">
        <v>400560</v>
      </c>
      <c r="AJ38" s="103">
        <f t="shared" si="18"/>
        <v>5280</v>
      </c>
      <c r="AK38" s="77">
        <v>102371</v>
      </c>
      <c r="AL38" s="103">
        <f t="shared" si="19"/>
        <v>0</v>
      </c>
      <c r="AM38" s="77">
        <v>562516</v>
      </c>
      <c r="AN38" s="103">
        <f t="shared" si="20"/>
        <v>4080</v>
      </c>
      <c r="AO38" s="77">
        <v>905573</v>
      </c>
      <c r="AP38" s="103">
        <f t="shared" si="21"/>
        <v>8016</v>
      </c>
      <c r="AQ38" s="77">
        <v>74221</v>
      </c>
      <c r="AR38" s="103">
        <f t="shared" si="22"/>
        <v>0</v>
      </c>
      <c r="AS38" s="77">
        <v>2253</v>
      </c>
      <c r="AT38" s="103">
        <f t="shared" si="23"/>
        <v>0</v>
      </c>
      <c r="AU38" s="77">
        <v>918</v>
      </c>
      <c r="AV38" s="103">
        <f t="shared" si="24"/>
        <v>0</v>
      </c>
      <c r="AW38" s="77">
        <v>3108</v>
      </c>
      <c r="AX38" s="103">
        <f t="shared" si="25"/>
        <v>0</v>
      </c>
      <c r="AY38" s="77">
        <v>306138</v>
      </c>
      <c r="AZ38" s="103">
        <f t="shared" si="34"/>
        <v>4080</v>
      </c>
      <c r="BA38" s="77">
        <v>160269</v>
      </c>
      <c r="BB38" s="103">
        <f t="shared" si="35"/>
        <v>624</v>
      </c>
      <c r="BC38" s="77">
        <v>209709</v>
      </c>
      <c r="BD38" s="103">
        <f t="shared" si="28"/>
        <v>2976</v>
      </c>
      <c r="BE38" s="82">
        <v>5347</v>
      </c>
      <c r="BF38" s="103">
        <f t="shared" si="29"/>
        <v>0</v>
      </c>
      <c r="BH38" s="104">
        <f t="shared" si="36"/>
        <v>111273.74399999957</v>
      </c>
      <c r="BI38" s="104">
        <f t="shared" si="37"/>
        <v>64473.600000000006</v>
      </c>
    </row>
    <row r="39" spans="1:61" s="36" customFormat="1" ht="39.950000000000003" customHeight="1">
      <c r="A39" s="144">
        <v>44196</v>
      </c>
      <c r="B39" s="35"/>
      <c r="C39" s="76">
        <v>5711751</v>
      </c>
      <c r="D39" s="103">
        <f t="shared" ref="D39" si="40">(+C39-+C38)*48</f>
        <v>167280</v>
      </c>
      <c r="E39" s="38">
        <f t="shared" ref="E39" si="41">D39*0.6</f>
        <v>100368</v>
      </c>
      <c r="F39" s="103">
        <f t="shared" ref="F39" si="42">D39*0.4</f>
        <v>66912</v>
      </c>
      <c r="G39" s="76">
        <v>277755</v>
      </c>
      <c r="H39" s="103">
        <f t="shared" ref="H39:BF39" si="43">(+G39-+G38)*48</f>
        <v>1152</v>
      </c>
      <c r="I39" s="76">
        <v>100933</v>
      </c>
      <c r="J39" s="103">
        <f t="shared" si="43"/>
        <v>7776</v>
      </c>
      <c r="K39" s="76">
        <v>256293</v>
      </c>
      <c r="L39" s="103">
        <f t="shared" si="43"/>
        <v>96</v>
      </c>
      <c r="M39" s="76">
        <v>24470</v>
      </c>
      <c r="N39" s="103">
        <f t="shared" si="43"/>
        <v>0</v>
      </c>
      <c r="O39" s="76">
        <v>237026</v>
      </c>
      <c r="P39" s="103">
        <f t="shared" si="43"/>
        <v>6720</v>
      </c>
      <c r="Q39" s="76">
        <v>439605</v>
      </c>
      <c r="R39" s="103">
        <f t="shared" si="43"/>
        <v>3600</v>
      </c>
      <c r="S39" s="76">
        <v>706367</v>
      </c>
      <c r="T39" s="103">
        <f t="shared" si="43"/>
        <v>6096</v>
      </c>
      <c r="U39" s="76">
        <v>96638.952999999994</v>
      </c>
      <c r="V39" s="103">
        <f t="shared" si="43"/>
        <v>1012.1759999999776</v>
      </c>
      <c r="W39" s="76">
        <v>78978</v>
      </c>
      <c r="X39" s="103">
        <f t="shared" si="43"/>
        <v>144</v>
      </c>
      <c r="Y39" s="76">
        <v>1494191</v>
      </c>
      <c r="Z39" s="103">
        <f t="shared" si="43"/>
        <v>0</v>
      </c>
      <c r="AA39" s="76">
        <v>13232</v>
      </c>
      <c r="AB39" s="103">
        <f t="shared" si="43"/>
        <v>0</v>
      </c>
      <c r="AC39" s="76">
        <v>440188</v>
      </c>
      <c r="AD39" s="103">
        <f t="shared" si="43"/>
        <v>1296</v>
      </c>
      <c r="AE39" s="76">
        <v>516359</v>
      </c>
      <c r="AF39" s="103">
        <f t="shared" si="43"/>
        <v>672</v>
      </c>
      <c r="AG39" s="76">
        <v>49144</v>
      </c>
      <c r="AH39" s="103">
        <f t="shared" si="43"/>
        <v>288</v>
      </c>
      <c r="AI39" s="76">
        <v>400669</v>
      </c>
      <c r="AJ39" s="103">
        <f t="shared" si="43"/>
        <v>5232</v>
      </c>
      <c r="AK39" s="77">
        <v>102371</v>
      </c>
      <c r="AL39" s="103">
        <f t="shared" si="43"/>
        <v>0</v>
      </c>
      <c r="AM39" s="76">
        <v>562523</v>
      </c>
      <c r="AN39" s="103">
        <f t="shared" si="43"/>
        <v>336</v>
      </c>
      <c r="AO39" s="76">
        <v>905599</v>
      </c>
      <c r="AP39" s="103">
        <f t="shared" si="43"/>
        <v>1248</v>
      </c>
      <c r="AQ39" s="76">
        <v>74221</v>
      </c>
      <c r="AR39" s="103">
        <f t="shared" si="43"/>
        <v>0</v>
      </c>
      <c r="AS39" s="76">
        <v>2253</v>
      </c>
      <c r="AT39" s="103">
        <f t="shared" si="43"/>
        <v>0</v>
      </c>
      <c r="AU39" s="76">
        <v>918</v>
      </c>
      <c r="AV39" s="103">
        <f t="shared" si="43"/>
        <v>0</v>
      </c>
      <c r="AW39" s="76">
        <v>3108</v>
      </c>
      <c r="AX39" s="103">
        <f t="shared" si="43"/>
        <v>0</v>
      </c>
      <c r="AY39" s="76">
        <v>306155</v>
      </c>
      <c r="AZ39" s="103">
        <f t="shared" si="43"/>
        <v>816</v>
      </c>
      <c r="BA39" s="76">
        <v>160271</v>
      </c>
      <c r="BB39" s="103">
        <f t="shared" si="43"/>
        <v>96</v>
      </c>
      <c r="BC39" s="76">
        <v>209762</v>
      </c>
      <c r="BD39" s="103">
        <f t="shared" si="43"/>
        <v>2544</v>
      </c>
      <c r="BE39" s="76">
        <v>5347</v>
      </c>
      <c r="BF39" s="103">
        <f t="shared" si="43"/>
        <v>0</v>
      </c>
      <c r="BH39" s="104">
        <f t="shared" ref="BH39" si="44">SUM(E39,J39,P39,H39,L39,R39,T39,V39,X39,N39,AB39,Z39,AD39,AF39,AH39,AL39,AJ39)</f>
        <v>134452.17599999998</v>
      </c>
      <c r="BI39" s="104">
        <f t="shared" ref="BI39" si="45">SUM(F39,AN39,AP39,AT39,AV39,AX39,AR39,AZ39,BB39,BD39,BF39)</f>
        <v>71952</v>
      </c>
    </row>
    <row r="40" spans="1:61" s="36" customFormat="1" ht="39.950000000000003" customHeight="1">
      <c r="A40" s="37"/>
      <c r="G40" s="76"/>
      <c r="I40" s="76"/>
      <c r="K40" s="76"/>
      <c r="M40" s="76"/>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6" t="s">
        <v>196</v>
      </c>
      <c r="C1" s="246"/>
      <c r="D1" s="246" t="s">
        <v>196</v>
      </c>
      <c r="E1" s="246"/>
      <c r="F1" s="246" t="s">
        <v>196</v>
      </c>
      <c r="G1" s="246"/>
      <c r="H1" s="246" t="s">
        <v>197</v>
      </c>
      <c r="I1" s="246"/>
      <c r="J1" s="245"/>
      <c r="K1" s="245"/>
      <c r="L1" s="246" t="s">
        <v>198</v>
      </c>
      <c r="M1" s="246"/>
      <c r="N1" s="246" t="s">
        <v>198</v>
      </c>
      <c r="O1" s="246"/>
      <c r="P1" s="246" t="s">
        <v>198</v>
      </c>
      <c r="Q1" s="246"/>
      <c r="R1" s="246" t="s">
        <v>198</v>
      </c>
      <c r="S1" s="246"/>
      <c r="T1" s="246" t="s">
        <v>199</v>
      </c>
      <c r="U1" s="246"/>
      <c r="V1" s="250" t="s">
        <v>199</v>
      </c>
      <c r="W1" s="250"/>
      <c r="X1" s="246" t="s">
        <v>199</v>
      </c>
      <c r="Y1" s="246"/>
      <c r="Z1" s="246" t="s">
        <v>199</v>
      </c>
      <c r="AA1" s="246"/>
      <c r="AB1" s="245"/>
      <c r="AC1" s="245"/>
      <c r="AD1" s="246" t="s">
        <v>199</v>
      </c>
      <c r="AE1" s="246"/>
      <c r="AF1" s="246" t="s">
        <v>199</v>
      </c>
      <c r="AG1" s="246"/>
      <c r="AH1" s="246" t="s">
        <v>200</v>
      </c>
      <c r="AI1" s="246"/>
      <c r="AJ1" s="246" t="s">
        <v>200</v>
      </c>
      <c r="AK1" s="246"/>
      <c r="AL1" s="249" t="s">
        <v>200</v>
      </c>
      <c r="AM1" s="249"/>
      <c r="AN1" s="246" t="s">
        <v>200</v>
      </c>
      <c r="AO1" s="246"/>
      <c r="AP1" s="245" t="s">
        <v>200</v>
      </c>
      <c r="AQ1" s="245"/>
      <c r="AR1" s="249" t="s">
        <v>200</v>
      </c>
      <c r="AS1" s="249"/>
      <c r="AT1" s="246" t="s">
        <v>200</v>
      </c>
      <c r="AU1" s="246"/>
      <c r="AV1" s="245"/>
      <c r="AW1" s="245"/>
      <c r="AX1" s="246" t="s">
        <v>200</v>
      </c>
      <c r="AY1" s="246"/>
      <c r="AZ1" s="246" t="s">
        <v>200</v>
      </c>
      <c r="BA1" s="246"/>
      <c r="BB1" s="246" t="s">
        <v>200</v>
      </c>
      <c r="BC1" s="246"/>
      <c r="BD1" s="246" t="s">
        <v>201</v>
      </c>
      <c r="BE1" s="246"/>
      <c r="BF1" s="246" t="s">
        <v>201</v>
      </c>
      <c r="BG1" s="246"/>
      <c r="BH1" s="246" t="s">
        <v>201</v>
      </c>
      <c r="BI1" s="246"/>
      <c r="BJ1" s="246" t="s">
        <v>201</v>
      </c>
      <c r="BK1" s="246"/>
      <c r="BL1" s="246" t="s">
        <v>201</v>
      </c>
      <c r="BM1" s="246"/>
      <c r="BN1" s="246" t="s">
        <v>201</v>
      </c>
      <c r="BO1" s="246"/>
      <c r="BP1" s="246" t="s">
        <v>201</v>
      </c>
      <c r="BQ1" s="246"/>
      <c r="BR1" s="246" t="s">
        <v>201</v>
      </c>
      <c r="BS1" s="246"/>
      <c r="BT1" s="246" t="s">
        <v>201</v>
      </c>
      <c r="BU1" s="246"/>
      <c r="BV1" s="246" t="s">
        <v>201</v>
      </c>
      <c r="BW1" s="246"/>
      <c r="BX1" s="246" t="s">
        <v>201</v>
      </c>
      <c r="BY1" s="246"/>
      <c r="BZ1" s="246" t="s">
        <v>202</v>
      </c>
      <c r="CA1" s="246"/>
      <c r="CB1" s="250" t="s">
        <v>202</v>
      </c>
      <c r="CC1" s="250"/>
      <c r="CD1" s="246" t="s">
        <v>202</v>
      </c>
      <c r="CE1" s="246"/>
      <c r="CF1" s="246" t="s">
        <v>202</v>
      </c>
      <c r="CG1" s="246"/>
      <c r="CH1" s="246" t="s">
        <v>203</v>
      </c>
      <c r="CI1" s="246"/>
      <c r="CJ1" s="246" t="s">
        <v>203</v>
      </c>
      <c r="CK1" s="246"/>
      <c r="CL1" s="246" t="s">
        <v>203</v>
      </c>
      <c r="CM1" s="246"/>
      <c r="CN1" s="246" t="s">
        <v>204</v>
      </c>
      <c r="CO1" s="246"/>
      <c r="CP1" s="246" t="s">
        <v>204</v>
      </c>
      <c r="CQ1" s="246"/>
      <c r="CR1" s="250" t="s">
        <v>204</v>
      </c>
      <c r="CS1" s="250"/>
      <c r="CT1" s="246" t="s">
        <v>204</v>
      </c>
      <c r="CU1" s="246"/>
      <c r="CV1" s="246" t="s">
        <v>204</v>
      </c>
      <c r="CW1" s="246"/>
      <c r="CX1" s="246" t="s">
        <v>204</v>
      </c>
      <c r="CY1" s="246"/>
      <c r="CZ1" s="246" t="s">
        <v>204</v>
      </c>
      <c r="DA1" s="246"/>
      <c r="DB1" s="246" t="s">
        <v>204</v>
      </c>
      <c r="DC1" s="246"/>
      <c r="DD1" s="246" t="s">
        <v>204</v>
      </c>
      <c r="DE1" s="246"/>
      <c r="DF1" s="246" t="s">
        <v>204</v>
      </c>
      <c r="DG1" s="246"/>
      <c r="DH1" s="246" t="s">
        <v>204</v>
      </c>
      <c r="DI1" s="246"/>
      <c r="DJ1" s="245" t="s">
        <v>204</v>
      </c>
      <c r="DK1" s="245"/>
      <c r="DL1" s="246" t="s">
        <v>205</v>
      </c>
      <c r="DM1" s="246"/>
      <c r="DN1" s="246" t="s">
        <v>205</v>
      </c>
      <c r="DO1" s="246"/>
      <c r="DP1" s="246" t="s">
        <v>205</v>
      </c>
      <c r="DQ1" s="246"/>
      <c r="DR1" s="246" t="s">
        <v>205</v>
      </c>
      <c r="DS1" s="246"/>
      <c r="DT1" s="246" t="s">
        <v>205</v>
      </c>
      <c r="DU1" s="246"/>
      <c r="DV1" s="246" t="s">
        <v>205</v>
      </c>
      <c r="DW1" s="246"/>
      <c r="DX1" s="246" t="s">
        <v>206</v>
      </c>
      <c r="DY1" s="246"/>
      <c r="DZ1" s="246" t="s">
        <v>206</v>
      </c>
      <c r="EA1" s="246"/>
      <c r="EB1" s="246" t="s">
        <v>206</v>
      </c>
      <c r="EC1" s="246"/>
      <c r="ED1" s="246" t="s">
        <v>206</v>
      </c>
      <c r="EE1" s="246"/>
      <c r="EF1" s="246" t="s">
        <v>206</v>
      </c>
      <c r="EG1" s="246"/>
      <c r="EH1" s="246" t="s">
        <v>206</v>
      </c>
      <c r="EI1" s="246"/>
      <c r="EJ1" s="246" t="s">
        <v>206</v>
      </c>
      <c r="EK1" s="246"/>
      <c r="EL1" s="246" t="s">
        <v>207</v>
      </c>
      <c r="EM1" s="246"/>
      <c r="EN1" s="246" t="s">
        <v>207</v>
      </c>
      <c r="EO1" s="246"/>
      <c r="EP1" s="246" t="s">
        <v>207</v>
      </c>
      <c r="EQ1" s="246"/>
      <c r="ER1" s="246" t="s">
        <v>208</v>
      </c>
      <c r="ES1" s="246"/>
      <c r="ET1" s="246" t="s">
        <v>208</v>
      </c>
      <c r="EU1" s="246"/>
      <c r="EV1" s="246" t="s">
        <v>208</v>
      </c>
      <c r="EW1" s="246"/>
      <c r="EX1" s="246" t="s">
        <v>209</v>
      </c>
      <c r="EY1" s="246"/>
      <c r="EZ1" s="246" t="s">
        <v>210</v>
      </c>
      <c r="FA1" s="246"/>
      <c r="FB1" s="246" t="s">
        <v>210</v>
      </c>
      <c r="FC1" s="246"/>
      <c r="FD1" s="246" t="s">
        <v>210</v>
      </c>
      <c r="FE1" s="246"/>
      <c r="FF1" s="246" t="s">
        <v>211</v>
      </c>
      <c r="FG1" s="246"/>
      <c r="FH1" s="246" t="s">
        <v>211</v>
      </c>
      <c r="FI1" s="246"/>
      <c r="FJ1" s="246" t="s">
        <v>211</v>
      </c>
      <c r="FK1" s="246"/>
      <c r="FL1" s="245" t="s">
        <v>211</v>
      </c>
      <c r="FM1" s="245"/>
    </row>
    <row r="2" spans="1:169" s="24" customFormat="1" ht="49.5" customHeight="1">
      <c r="B2" s="246" t="s">
        <v>212</v>
      </c>
      <c r="C2" s="246"/>
      <c r="D2" s="246" t="s">
        <v>213</v>
      </c>
      <c r="E2" s="246"/>
      <c r="F2" s="246" t="s">
        <v>212</v>
      </c>
      <c r="G2" s="246"/>
      <c r="H2" s="246" t="s">
        <v>213</v>
      </c>
      <c r="I2" s="246"/>
      <c r="J2" s="246" t="s">
        <v>213</v>
      </c>
      <c r="K2" s="246"/>
      <c r="L2" s="246" t="s">
        <v>212</v>
      </c>
      <c r="M2" s="246"/>
      <c r="N2" s="246" t="s">
        <v>212</v>
      </c>
      <c r="O2" s="246"/>
      <c r="P2" s="246" t="s">
        <v>213</v>
      </c>
      <c r="Q2" s="246"/>
      <c r="R2" s="246" t="s">
        <v>213</v>
      </c>
      <c r="S2" s="246"/>
      <c r="T2" s="246" t="s">
        <v>212</v>
      </c>
      <c r="U2" s="246"/>
      <c r="V2" s="246" t="s">
        <v>213</v>
      </c>
      <c r="W2" s="246"/>
      <c r="X2" s="246" t="s">
        <v>213</v>
      </c>
      <c r="Y2" s="246"/>
      <c r="Z2" s="246" t="s">
        <v>213</v>
      </c>
      <c r="AA2" s="246"/>
      <c r="AB2" s="245" t="s">
        <v>213</v>
      </c>
      <c r="AC2" s="245"/>
      <c r="AD2" s="246" t="s">
        <v>212</v>
      </c>
      <c r="AE2" s="246"/>
      <c r="AF2" s="246" t="s">
        <v>213</v>
      </c>
      <c r="AG2" s="246"/>
      <c r="AH2" s="246" t="s">
        <v>213</v>
      </c>
      <c r="AI2" s="246"/>
      <c r="AJ2" s="246" t="s">
        <v>213</v>
      </c>
      <c r="AK2" s="246"/>
      <c r="AL2" s="246" t="s">
        <v>213</v>
      </c>
      <c r="AM2" s="246"/>
      <c r="AN2" s="246" t="s">
        <v>213</v>
      </c>
      <c r="AO2" s="246"/>
      <c r="AP2" s="245" t="s">
        <v>213</v>
      </c>
      <c r="AQ2" s="245"/>
      <c r="AR2" s="246" t="s">
        <v>213</v>
      </c>
      <c r="AS2" s="246"/>
      <c r="AT2" s="246" t="s">
        <v>213</v>
      </c>
      <c r="AU2" s="246"/>
      <c r="AV2" s="245" t="s">
        <v>213</v>
      </c>
      <c r="AW2" s="245"/>
      <c r="AX2" s="246" t="s">
        <v>213</v>
      </c>
      <c r="AY2" s="246"/>
      <c r="AZ2" s="246" t="s">
        <v>213</v>
      </c>
      <c r="BA2" s="246"/>
      <c r="BB2" s="246" t="s">
        <v>213</v>
      </c>
      <c r="BC2" s="246"/>
      <c r="BD2" s="246" t="s">
        <v>212</v>
      </c>
      <c r="BE2" s="246"/>
      <c r="BF2" s="246" t="s">
        <v>214</v>
      </c>
      <c r="BG2" s="246"/>
      <c r="BH2" s="246" t="s">
        <v>213</v>
      </c>
      <c r="BI2" s="246"/>
      <c r="BJ2" s="246" t="s">
        <v>213</v>
      </c>
      <c r="BK2" s="246"/>
      <c r="BL2" s="246" t="s">
        <v>213</v>
      </c>
      <c r="BM2" s="246"/>
      <c r="BN2" s="246" t="s">
        <v>213</v>
      </c>
      <c r="BO2" s="246"/>
      <c r="BP2" s="246" t="s">
        <v>213</v>
      </c>
      <c r="BQ2" s="246"/>
      <c r="BR2" s="246" t="s">
        <v>213</v>
      </c>
      <c r="BS2" s="246"/>
      <c r="BT2" s="246" t="s">
        <v>213</v>
      </c>
      <c r="BU2" s="246"/>
      <c r="BV2" s="246" t="s">
        <v>213</v>
      </c>
      <c r="BW2" s="246"/>
      <c r="BX2" s="246" t="s">
        <v>213</v>
      </c>
      <c r="BY2" s="246"/>
      <c r="BZ2" s="246" t="s">
        <v>212</v>
      </c>
      <c r="CA2" s="246"/>
      <c r="CB2" s="246" t="s">
        <v>212</v>
      </c>
      <c r="CC2" s="246"/>
      <c r="CD2" s="246" t="s">
        <v>212</v>
      </c>
      <c r="CE2" s="246"/>
      <c r="CF2" s="246" t="s">
        <v>212</v>
      </c>
      <c r="CG2" s="246"/>
      <c r="CH2" s="246" t="s">
        <v>213</v>
      </c>
      <c r="CI2" s="246"/>
      <c r="CJ2" s="246" t="s">
        <v>213</v>
      </c>
      <c r="CK2" s="246"/>
      <c r="CL2" s="246" t="s">
        <v>213</v>
      </c>
      <c r="CM2" s="246"/>
      <c r="CN2" s="246" t="s">
        <v>212</v>
      </c>
      <c r="CO2" s="246"/>
      <c r="CP2" s="246" t="s">
        <v>213</v>
      </c>
      <c r="CQ2" s="246"/>
      <c r="CR2" s="246" t="s">
        <v>213</v>
      </c>
      <c r="CS2" s="246"/>
      <c r="CT2" s="246" t="s">
        <v>213</v>
      </c>
      <c r="CU2" s="246"/>
      <c r="CV2" s="246" t="s">
        <v>213</v>
      </c>
      <c r="CW2" s="246"/>
      <c r="CX2" s="246" t="s">
        <v>213</v>
      </c>
      <c r="CY2" s="246"/>
      <c r="CZ2" s="246" t="s">
        <v>213</v>
      </c>
      <c r="DA2" s="246"/>
      <c r="DB2" s="246" t="s">
        <v>212</v>
      </c>
      <c r="DC2" s="246"/>
      <c r="DD2" s="246" t="s">
        <v>213</v>
      </c>
      <c r="DE2" s="246"/>
      <c r="DF2" s="246" t="s">
        <v>213</v>
      </c>
      <c r="DG2" s="246"/>
      <c r="DH2" s="246" t="s">
        <v>213</v>
      </c>
      <c r="DI2" s="246"/>
      <c r="DJ2" s="245" t="s">
        <v>213</v>
      </c>
      <c r="DK2" s="245"/>
      <c r="DL2" s="246" t="s">
        <v>213</v>
      </c>
      <c r="DM2" s="246"/>
      <c r="DN2" s="246" t="s">
        <v>213</v>
      </c>
      <c r="DO2" s="246"/>
      <c r="DP2" s="246" t="s">
        <v>213</v>
      </c>
      <c r="DQ2" s="246"/>
      <c r="DR2" s="246" t="s">
        <v>213</v>
      </c>
      <c r="DS2" s="246"/>
      <c r="DT2" s="246" t="s">
        <v>213</v>
      </c>
      <c r="DU2" s="246"/>
      <c r="DV2" s="246" t="s">
        <v>213</v>
      </c>
      <c r="DW2" s="246"/>
      <c r="DX2" s="246" t="s">
        <v>213</v>
      </c>
      <c r="DY2" s="246"/>
      <c r="DZ2" s="246" t="s">
        <v>213</v>
      </c>
      <c r="EA2" s="246"/>
      <c r="EB2" s="246" t="s">
        <v>213</v>
      </c>
      <c r="EC2" s="246"/>
      <c r="ED2" s="246" t="s">
        <v>213</v>
      </c>
      <c r="EE2" s="246"/>
      <c r="EF2" s="246" t="s">
        <v>213</v>
      </c>
      <c r="EG2" s="246"/>
      <c r="EH2" s="246" t="s">
        <v>213</v>
      </c>
      <c r="EI2" s="246"/>
      <c r="EJ2" s="246" t="s">
        <v>213</v>
      </c>
      <c r="EK2" s="246"/>
      <c r="EL2" s="246" t="s">
        <v>213</v>
      </c>
      <c r="EM2" s="246"/>
      <c r="EN2" s="246" t="s">
        <v>213</v>
      </c>
      <c r="EO2" s="246"/>
      <c r="EP2" s="246" t="s">
        <v>213</v>
      </c>
      <c r="EQ2" s="246"/>
      <c r="ER2" s="246" t="s">
        <v>213</v>
      </c>
      <c r="ES2" s="246"/>
      <c r="ET2" s="246" t="s">
        <v>213</v>
      </c>
      <c r="EU2" s="246"/>
      <c r="EV2" s="246" t="s">
        <v>213</v>
      </c>
      <c r="EW2" s="246"/>
      <c r="EX2" s="246" t="s">
        <v>213</v>
      </c>
      <c r="EY2" s="246"/>
      <c r="EZ2" s="246" t="s">
        <v>213</v>
      </c>
      <c r="FA2" s="246"/>
      <c r="FB2" s="246" t="s">
        <v>213</v>
      </c>
      <c r="FC2" s="246"/>
      <c r="FD2" s="246" t="s">
        <v>213</v>
      </c>
      <c r="FE2" s="246"/>
      <c r="FF2" s="246" t="s">
        <v>213</v>
      </c>
      <c r="FG2" s="246"/>
      <c r="FH2" s="246" t="s">
        <v>213</v>
      </c>
      <c r="FI2" s="246"/>
      <c r="FJ2" s="246" t="s">
        <v>213</v>
      </c>
      <c r="FK2" s="246"/>
      <c r="FL2" s="245" t="s">
        <v>213</v>
      </c>
      <c r="FM2" s="245"/>
    </row>
    <row r="3" spans="1:169" s="24" customFormat="1" ht="49.5" customHeight="1">
      <c r="B3" s="211" t="s">
        <v>66</v>
      </c>
      <c r="C3" s="213"/>
      <c r="D3" s="211" t="s">
        <v>215</v>
      </c>
      <c r="E3" s="213"/>
      <c r="F3" s="211"/>
      <c r="G3" s="213"/>
      <c r="H3" s="211" t="s">
        <v>215</v>
      </c>
      <c r="I3" s="213"/>
      <c r="J3" s="211" t="s">
        <v>215</v>
      </c>
      <c r="K3" s="213"/>
      <c r="L3" s="211"/>
      <c r="M3" s="213"/>
      <c r="N3" s="211"/>
      <c r="O3" s="213"/>
      <c r="P3" s="211" t="s">
        <v>215</v>
      </c>
      <c r="Q3" s="213"/>
      <c r="R3" s="211" t="s">
        <v>215</v>
      </c>
      <c r="S3" s="213"/>
      <c r="T3" s="211"/>
      <c r="U3" s="213"/>
      <c r="V3" s="211" t="s">
        <v>216</v>
      </c>
      <c r="W3" s="213"/>
      <c r="X3" s="211" t="s">
        <v>216</v>
      </c>
      <c r="Y3" s="213"/>
      <c r="Z3" s="211" t="s">
        <v>216</v>
      </c>
      <c r="AA3" s="213"/>
      <c r="AB3" s="247" t="s">
        <v>216</v>
      </c>
      <c r="AC3" s="248"/>
      <c r="AD3" s="211"/>
      <c r="AE3" s="213"/>
      <c r="AF3" s="211" t="s">
        <v>216</v>
      </c>
      <c r="AG3" s="213"/>
      <c r="AH3" s="211" t="s">
        <v>215</v>
      </c>
      <c r="AI3" s="213"/>
      <c r="AJ3" s="211" t="s">
        <v>215</v>
      </c>
      <c r="AK3" s="213"/>
      <c r="AL3" s="211" t="s">
        <v>215</v>
      </c>
      <c r="AM3" s="213"/>
      <c r="AN3" s="211" t="s">
        <v>215</v>
      </c>
      <c r="AO3" s="213"/>
      <c r="AP3" s="247" t="s">
        <v>215</v>
      </c>
      <c r="AQ3" s="248"/>
      <c r="AR3" s="211" t="s">
        <v>215</v>
      </c>
      <c r="AS3" s="213"/>
      <c r="AT3" s="211" t="s">
        <v>215</v>
      </c>
      <c r="AU3" s="213"/>
      <c r="AV3" s="247" t="s">
        <v>215</v>
      </c>
      <c r="AW3" s="248"/>
      <c r="AX3" s="211" t="s">
        <v>215</v>
      </c>
      <c r="AY3" s="213"/>
      <c r="AZ3" s="211" t="s">
        <v>215</v>
      </c>
      <c r="BA3" s="213"/>
      <c r="BB3" s="211" t="s">
        <v>215</v>
      </c>
      <c r="BC3" s="213"/>
      <c r="BD3" s="211"/>
      <c r="BE3" s="213"/>
      <c r="BF3" s="211"/>
      <c r="BG3" s="213"/>
      <c r="BH3" s="211" t="s">
        <v>215</v>
      </c>
      <c r="BI3" s="213"/>
      <c r="BJ3" s="211" t="s">
        <v>215</v>
      </c>
      <c r="BK3" s="213"/>
      <c r="BL3" s="211" t="s">
        <v>215</v>
      </c>
      <c r="BM3" s="213"/>
      <c r="BN3" s="211" t="s">
        <v>215</v>
      </c>
      <c r="BO3" s="213"/>
      <c r="BP3" s="211" t="s">
        <v>215</v>
      </c>
      <c r="BQ3" s="213"/>
      <c r="BR3" s="211" t="s">
        <v>215</v>
      </c>
      <c r="BS3" s="213"/>
      <c r="BT3" s="211" t="s">
        <v>215</v>
      </c>
      <c r="BU3" s="213"/>
      <c r="BV3" s="211" t="s">
        <v>215</v>
      </c>
      <c r="BW3" s="213"/>
      <c r="BX3" s="211" t="s">
        <v>215</v>
      </c>
      <c r="BY3" s="213"/>
      <c r="BZ3" s="211" t="s">
        <v>65</v>
      </c>
      <c r="CA3" s="213"/>
      <c r="CB3" s="211" t="s">
        <v>65</v>
      </c>
      <c r="CC3" s="213"/>
      <c r="CD3" s="211" t="s">
        <v>65</v>
      </c>
      <c r="CE3" s="213"/>
      <c r="CF3" s="112"/>
      <c r="CG3" s="112"/>
      <c r="CH3" s="211" t="s">
        <v>66</v>
      </c>
      <c r="CI3" s="213"/>
      <c r="CJ3" s="211" t="s">
        <v>66</v>
      </c>
      <c r="CK3" s="213"/>
      <c r="CL3" s="211" t="s">
        <v>215</v>
      </c>
      <c r="CM3" s="213"/>
      <c r="CN3" s="211"/>
      <c r="CO3" s="213"/>
      <c r="CP3" s="211" t="s">
        <v>215</v>
      </c>
      <c r="CQ3" s="213"/>
      <c r="CR3" s="211" t="s">
        <v>215</v>
      </c>
      <c r="CS3" s="213"/>
      <c r="CT3" s="211" t="s">
        <v>215</v>
      </c>
      <c r="CU3" s="213"/>
      <c r="CV3" s="211" t="s">
        <v>215</v>
      </c>
      <c r="CW3" s="213"/>
      <c r="CX3" s="211" t="s">
        <v>215</v>
      </c>
      <c r="CY3" s="213"/>
      <c r="CZ3" s="211" t="s">
        <v>215</v>
      </c>
      <c r="DA3" s="213"/>
      <c r="DB3" s="211" t="s">
        <v>215</v>
      </c>
      <c r="DC3" s="213"/>
      <c r="DD3" s="211" t="s">
        <v>215</v>
      </c>
      <c r="DE3" s="213"/>
      <c r="DF3" s="211" t="s">
        <v>215</v>
      </c>
      <c r="DG3" s="213"/>
      <c r="DH3" s="211" t="s">
        <v>215</v>
      </c>
      <c r="DI3" s="213"/>
      <c r="DJ3" s="247" t="s">
        <v>215</v>
      </c>
      <c r="DK3" s="248"/>
      <c r="DL3" s="211" t="s">
        <v>64</v>
      </c>
      <c r="DM3" s="213"/>
      <c r="DN3" s="211" t="s">
        <v>64</v>
      </c>
      <c r="DO3" s="213"/>
      <c r="DP3" s="211" t="s">
        <v>64</v>
      </c>
      <c r="DQ3" s="213"/>
      <c r="DR3" s="211" t="s">
        <v>64</v>
      </c>
      <c r="DS3" s="213"/>
      <c r="DT3" s="211" t="s">
        <v>64</v>
      </c>
      <c r="DU3" s="213"/>
      <c r="DV3" s="211" t="s">
        <v>217</v>
      </c>
      <c r="DW3" s="213"/>
      <c r="DX3" s="211" t="s">
        <v>64</v>
      </c>
      <c r="DY3" s="213"/>
      <c r="DZ3" s="211" t="s">
        <v>216</v>
      </c>
      <c r="EA3" s="213"/>
      <c r="EB3" s="211" t="s">
        <v>64</v>
      </c>
      <c r="EC3" s="213"/>
      <c r="ED3" s="211" t="s">
        <v>64</v>
      </c>
      <c r="EE3" s="213"/>
      <c r="EF3" s="211" t="s">
        <v>64</v>
      </c>
      <c r="EG3" s="213"/>
      <c r="EH3" s="211" t="s">
        <v>64</v>
      </c>
      <c r="EI3" s="213"/>
      <c r="EJ3" s="211" t="s">
        <v>64</v>
      </c>
      <c r="EK3" s="213"/>
      <c r="EL3" s="211" t="s">
        <v>66</v>
      </c>
      <c r="EM3" s="213"/>
      <c r="EN3" s="211" t="s">
        <v>66</v>
      </c>
      <c r="EO3" s="213"/>
      <c r="EP3" s="211" t="s">
        <v>66</v>
      </c>
      <c r="EQ3" s="213"/>
      <c r="ER3" s="211" t="s">
        <v>66</v>
      </c>
      <c r="ES3" s="213"/>
      <c r="ET3" s="211" t="s">
        <v>66</v>
      </c>
      <c r="EU3" s="213"/>
      <c r="EV3" s="211" t="s">
        <v>66</v>
      </c>
      <c r="EW3" s="213"/>
      <c r="EX3" s="211" t="s">
        <v>66</v>
      </c>
      <c r="EY3" s="213"/>
      <c r="EZ3" s="211" t="s">
        <v>66</v>
      </c>
      <c r="FA3" s="213"/>
      <c r="FB3" s="211" t="s">
        <v>66</v>
      </c>
      <c r="FC3" s="213"/>
      <c r="FD3" s="211" t="s">
        <v>66</v>
      </c>
      <c r="FE3" s="213"/>
      <c r="FF3" s="211" t="s">
        <v>66</v>
      </c>
      <c r="FG3" s="213"/>
      <c r="FH3" s="211" t="s">
        <v>66</v>
      </c>
      <c r="FI3" s="213"/>
      <c r="FJ3" s="211" t="s">
        <v>66</v>
      </c>
      <c r="FK3" s="213"/>
      <c r="FL3" s="247" t="s">
        <v>215</v>
      </c>
      <c r="FM3" s="248"/>
    </row>
    <row r="4" spans="1:169" s="24" customFormat="1" ht="30" customHeight="1">
      <c r="B4" s="211" t="s">
        <v>218</v>
      </c>
      <c r="C4" s="213"/>
      <c r="D4" s="211" t="s">
        <v>218</v>
      </c>
      <c r="E4" s="213"/>
      <c r="F4" s="109"/>
      <c r="G4" s="110"/>
      <c r="H4" s="211" t="s">
        <v>218</v>
      </c>
      <c r="I4" s="213"/>
      <c r="J4" s="211" t="s">
        <v>219</v>
      </c>
      <c r="K4" s="213"/>
      <c r="L4" s="109"/>
      <c r="M4" s="110"/>
      <c r="N4" s="211"/>
      <c r="O4" s="213"/>
      <c r="P4" s="211" t="s">
        <v>220</v>
      </c>
      <c r="Q4" s="213"/>
      <c r="R4" s="211" t="s">
        <v>220</v>
      </c>
      <c r="S4" s="213"/>
      <c r="T4" s="109"/>
      <c r="U4" s="110"/>
      <c r="V4" s="211" t="s">
        <v>220</v>
      </c>
      <c r="W4" s="213"/>
      <c r="X4" s="211" t="s">
        <v>220</v>
      </c>
      <c r="Y4" s="213"/>
      <c r="Z4" s="211" t="s">
        <v>220</v>
      </c>
      <c r="AA4" s="213"/>
      <c r="AB4" s="247" t="s">
        <v>220</v>
      </c>
      <c r="AC4" s="248"/>
      <c r="AD4" s="109"/>
      <c r="AE4" s="110"/>
      <c r="AF4" s="211" t="s">
        <v>220</v>
      </c>
      <c r="AG4" s="213"/>
      <c r="AH4" s="211" t="s">
        <v>220</v>
      </c>
      <c r="AI4" s="213"/>
      <c r="AJ4" s="211" t="s">
        <v>218</v>
      </c>
      <c r="AK4" s="213"/>
      <c r="AL4" s="211" t="s">
        <v>218</v>
      </c>
      <c r="AM4" s="213"/>
      <c r="AN4" s="211" t="s">
        <v>218</v>
      </c>
      <c r="AO4" s="213"/>
      <c r="AP4" s="247" t="s">
        <v>219</v>
      </c>
      <c r="AQ4" s="248"/>
      <c r="AR4" s="211" t="s">
        <v>218</v>
      </c>
      <c r="AS4" s="213"/>
      <c r="AT4" s="211" t="s">
        <v>218</v>
      </c>
      <c r="AU4" s="213"/>
      <c r="AV4" s="247" t="s">
        <v>218</v>
      </c>
      <c r="AW4" s="248"/>
      <c r="AX4" s="211" t="s">
        <v>220</v>
      </c>
      <c r="AY4" s="213"/>
      <c r="AZ4" s="211" t="s">
        <v>218</v>
      </c>
      <c r="BA4" s="213"/>
      <c r="BB4" s="211" t="s">
        <v>218</v>
      </c>
      <c r="BC4" s="213"/>
      <c r="BD4" s="109"/>
      <c r="BE4" s="110"/>
      <c r="BF4" s="109"/>
      <c r="BG4" s="110"/>
      <c r="BH4" s="211" t="s">
        <v>219</v>
      </c>
      <c r="BI4" s="213"/>
      <c r="BJ4" s="211" t="s">
        <v>220</v>
      </c>
      <c r="BK4" s="213"/>
      <c r="BL4" s="211" t="s">
        <v>218</v>
      </c>
      <c r="BM4" s="213"/>
      <c r="BN4" s="211" t="s">
        <v>218</v>
      </c>
      <c r="BO4" s="213"/>
      <c r="BP4" s="211" t="s">
        <v>218</v>
      </c>
      <c r="BQ4" s="213"/>
      <c r="BR4" s="211" t="s">
        <v>218</v>
      </c>
      <c r="BS4" s="213"/>
      <c r="BT4" s="211" t="s">
        <v>218</v>
      </c>
      <c r="BU4" s="213"/>
      <c r="BV4" s="211" t="s">
        <v>218</v>
      </c>
      <c r="BW4" s="213"/>
      <c r="BX4" s="211" t="s">
        <v>218</v>
      </c>
      <c r="BY4" s="213"/>
      <c r="BZ4" s="211" t="s">
        <v>220</v>
      </c>
      <c r="CA4" s="213"/>
      <c r="CB4" s="211" t="s">
        <v>220</v>
      </c>
      <c r="CC4" s="213"/>
      <c r="CD4" s="211" t="s">
        <v>220</v>
      </c>
      <c r="CE4" s="213"/>
      <c r="CF4" s="211" t="s">
        <v>218</v>
      </c>
      <c r="CG4" s="213"/>
      <c r="CH4" s="211" t="s">
        <v>218</v>
      </c>
      <c r="CI4" s="213"/>
      <c r="CJ4" s="211" t="s">
        <v>218</v>
      </c>
      <c r="CK4" s="213"/>
      <c r="CL4" s="211" t="s">
        <v>218</v>
      </c>
      <c r="CM4" s="213"/>
      <c r="CN4" s="109"/>
      <c r="CO4" s="110"/>
      <c r="CP4" s="211" t="s">
        <v>219</v>
      </c>
      <c r="CQ4" s="213"/>
      <c r="CR4" s="211" t="s">
        <v>221</v>
      </c>
      <c r="CS4" s="213"/>
      <c r="CT4" s="211" t="s">
        <v>219</v>
      </c>
      <c r="CU4" s="213"/>
      <c r="CV4" s="211" t="s">
        <v>220</v>
      </c>
      <c r="CW4" s="213"/>
      <c r="CX4" s="211" t="s">
        <v>218</v>
      </c>
      <c r="CY4" s="213"/>
      <c r="CZ4" s="211" t="s">
        <v>218</v>
      </c>
      <c r="DA4" s="213"/>
      <c r="DB4" s="109"/>
      <c r="DC4" s="110"/>
      <c r="DD4" s="211" t="s">
        <v>219</v>
      </c>
      <c r="DE4" s="213"/>
      <c r="DF4" s="211" t="s">
        <v>220</v>
      </c>
      <c r="DG4" s="213"/>
      <c r="DH4" s="211" t="s">
        <v>220</v>
      </c>
      <c r="DI4" s="213"/>
      <c r="DJ4" s="247" t="s">
        <v>219</v>
      </c>
      <c r="DK4" s="248"/>
      <c r="DL4" s="211" t="s">
        <v>218</v>
      </c>
      <c r="DM4" s="213"/>
      <c r="DN4" s="211" t="s">
        <v>218</v>
      </c>
      <c r="DO4" s="213"/>
      <c r="DP4" s="211" t="s">
        <v>218</v>
      </c>
      <c r="DQ4" s="213"/>
      <c r="DR4" s="211" t="s">
        <v>218</v>
      </c>
      <c r="DS4" s="213"/>
      <c r="DT4" s="211" t="s">
        <v>220</v>
      </c>
      <c r="DU4" s="213"/>
      <c r="DV4" s="211" t="s">
        <v>220</v>
      </c>
      <c r="DW4" s="213"/>
      <c r="DX4" s="211" t="s">
        <v>222</v>
      </c>
      <c r="DY4" s="213"/>
      <c r="DZ4" s="211" t="s">
        <v>223</v>
      </c>
      <c r="EA4" s="213"/>
      <c r="EB4" s="211" t="s">
        <v>222</v>
      </c>
      <c r="EC4" s="213"/>
      <c r="ED4" s="211" t="s">
        <v>218</v>
      </c>
      <c r="EE4" s="213"/>
      <c r="EF4" s="211" t="s">
        <v>218</v>
      </c>
      <c r="EG4" s="213"/>
      <c r="EH4" s="211" t="s">
        <v>220</v>
      </c>
      <c r="EI4" s="213"/>
      <c r="EJ4" s="211" t="s">
        <v>220</v>
      </c>
      <c r="EK4" s="213"/>
      <c r="EL4" s="211" t="s">
        <v>218</v>
      </c>
      <c r="EM4" s="213"/>
      <c r="EN4" s="211" t="s">
        <v>218</v>
      </c>
      <c r="EO4" s="213"/>
      <c r="EP4" s="211" t="s">
        <v>218</v>
      </c>
      <c r="EQ4" s="213"/>
      <c r="ER4" s="211" t="s">
        <v>218</v>
      </c>
      <c r="ES4" s="213"/>
      <c r="ET4" s="211" t="s">
        <v>218</v>
      </c>
      <c r="EU4" s="213"/>
      <c r="EV4" s="211" t="s">
        <v>218</v>
      </c>
      <c r="EW4" s="213"/>
      <c r="EX4" s="211" t="s">
        <v>218</v>
      </c>
      <c r="EY4" s="213"/>
      <c r="EZ4" s="211" t="s">
        <v>220</v>
      </c>
      <c r="FA4" s="213"/>
      <c r="FB4" s="211" t="s">
        <v>218</v>
      </c>
      <c r="FC4" s="213"/>
      <c r="FD4" s="211" t="s">
        <v>218</v>
      </c>
      <c r="FE4" s="213"/>
      <c r="FF4" s="211" t="s">
        <v>222</v>
      </c>
      <c r="FG4" s="213"/>
      <c r="FH4" s="211" t="s">
        <v>218</v>
      </c>
      <c r="FI4" s="213"/>
      <c r="FJ4" s="211" t="s">
        <v>222</v>
      </c>
      <c r="FK4" s="213"/>
      <c r="FL4" s="247" t="s">
        <v>218</v>
      </c>
      <c r="FM4" s="248"/>
    </row>
    <row r="5" spans="1:169" s="84" customFormat="1" ht="138.75" customHeight="1">
      <c r="B5" s="251" t="s">
        <v>77</v>
      </c>
      <c r="C5" s="251"/>
      <c r="D5" s="251" t="s">
        <v>224</v>
      </c>
      <c r="E5" s="251"/>
      <c r="F5" s="251" t="s">
        <v>78</v>
      </c>
      <c r="G5" s="251"/>
      <c r="H5" s="251" t="s">
        <v>225</v>
      </c>
      <c r="I5" s="251"/>
      <c r="J5" s="251" t="s">
        <v>226</v>
      </c>
      <c r="K5" s="251"/>
      <c r="L5" s="251" t="s">
        <v>77</v>
      </c>
      <c r="M5" s="251"/>
      <c r="N5" s="251" t="s">
        <v>79</v>
      </c>
      <c r="O5" s="251"/>
      <c r="P5" s="251" t="s">
        <v>227</v>
      </c>
      <c r="Q5" s="251"/>
      <c r="R5" s="251" t="s">
        <v>227</v>
      </c>
      <c r="S5" s="251"/>
      <c r="T5" s="251" t="s">
        <v>67</v>
      </c>
      <c r="U5" s="251"/>
      <c r="V5" s="251" t="s">
        <v>228</v>
      </c>
      <c r="W5" s="251"/>
      <c r="X5" s="251" t="s">
        <v>229</v>
      </c>
      <c r="Y5" s="251"/>
      <c r="Z5" s="251" t="s">
        <v>230</v>
      </c>
      <c r="AA5" s="251"/>
      <c r="AB5" s="252" t="s">
        <v>227</v>
      </c>
      <c r="AC5" s="252"/>
      <c r="AD5" s="251" t="s">
        <v>68</v>
      </c>
      <c r="AE5" s="251"/>
      <c r="AF5" s="251" t="s">
        <v>231</v>
      </c>
      <c r="AG5" s="251"/>
      <c r="AH5" s="251" t="s">
        <v>232</v>
      </c>
      <c r="AI5" s="251"/>
      <c r="AJ5" s="251" t="s">
        <v>233</v>
      </c>
      <c r="AK5" s="251"/>
      <c r="AL5" s="251" t="s">
        <v>225</v>
      </c>
      <c r="AM5" s="251"/>
      <c r="AN5" s="251" t="s">
        <v>234</v>
      </c>
      <c r="AO5" s="251"/>
      <c r="AP5" s="252" t="s">
        <v>235</v>
      </c>
      <c r="AQ5" s="252"/>
      <c r="AR5" s="251" t="s">
        <v>236</v>
      </c>
      <c r="AS5" s="251"/>
      <c r="AT5" s="251" t="s">
        <v>237</v>
      </c>
      <c r="AU5" s="251"/>
      <c r="AV5" s="252" t="s">
        <v>238</v>
      </c>
      <c r="AW5" s="252"/>
      <c r="AX5" s="251" t="s">
        <v>227</v>
      </c>
      <c r="AY5" s="251"/>
      <c r="AZ5" s="251" t="s">
        <v>225</v>
      </c>
      <c r="BA5" s="251"/>
      <c r="BB5" s="251" t="s">
        <v>239</v>
      </c>
      <c r="BC5" s="251"/>
      <c r="BD5" s="251" t="s">
        <v>70</v>
      </c>
      <c r="BE5" s="251"/>
      <c r="BF5" s="251" t="s">
        <v>71</v>
      </c>
      <c r="BG5" s="251"/>
      <c r="BH5" s="251" t="s">
        <v>240</v>
      </c>
      <c r="BI5" s="251"/>
      <c r="BJ5" s="251" t="s">
        <v>241</v>
      </c>
      <c r="BK5" s="251"/>
      <c r="BL5" s="251" t="s">
        <v>242</v>
      </c>
      <c r="BM5" s="251"/>
      <c r="BN5" s="251" t="s">
        <v>243</v>
      </c>
      <c r="BO5" s="251"/>
      <c r="BP5" s="251" t="s">
        <v>244</v>
      </c>
      <c r="BQ5" s="251"/>
      <c r="BR5" s="251" t="s">
        <v>245</v>
      </c>
      <c r="BS5" s="251"/>
      <c r="BT5" s="251" t="s">
        <v>246</v>
      </c>
      <c r="BU5" s="251"/>
      <c r="BV5" s="251" t="s">
        <v>247</v>
      </c>
      <c r="BW5" s="251"/>
      <c r="BX5" s="251" t="s">
        <v>245</v>
      </c>
      <c r="BY5" s="251"/>
      <c r="BZ5" s="251" t="s">
        <v>73</v>
      </c>
      <c r="CA5" s="251"/>
      <c r="CB5" s="251" t="s">
        <v>74</v>
      </c>
      <c r="CC5" s="251"/>
      <c r="CD5" s="251" t="s">
        <v>75</v>
      </c>
      <c r="CE5" s="251"/>
      <c r="CF5" s="251" t="s">
        <v>76</v>
      </c>
      <c r="CG5" s="251"/>
      <c r="CH5" s="251" t="s">
        <v>248</v>
      </c>
      <c r="CI5" s="251"/>
      <c r="CJ5" s="251" t="s">
        <v>248</v>
      </c>
      <c r="CK5" s="251"/>
      <c r="CL5" s="251" t="s">
        <v>249</v>
      </c>
      <c r="CM5" s="251"/>
      <c r="CN5" s="251" t="s">
        <v>69</v>
      </c>
      <c r="CO5" s="251"/>
      <c r="CP5" s="253" t="s">
        <v>250</v>
      </c>
      <c r="CQ5" s="253"/>
      <c r="CR5" s="253" t="s">
        <v>221</v>
      </c>
      <c r="CS5" s="253"/>
      <c r="CT5" s="253" t="s">
        <v>251</v>
      </c>
      <c r="CU5" s="253"/>
      <c r="CV5" s="253" t="s">
        <v>252</v>
      </c>
      <c r="CW5" s="253"/>
      <c r="CX5" s="253" t="s">
        <v>253</v>
      </c>
      <c r="CY5" s="253"/>
      <c r="CZ5" s="253" t="s">
        <v>254</v>
      </c>
      <c r="DA5" s="253"/>
      <c r="DB5" s="251" t="s">
        <v>72</v>
      </c>
      <c r="DC5" s="251"/>
      <c r="DD5" s="251" t="s">
        <v>255</v>
      </c>
      <c r="DE5" s="251"/>
      <c r="DF5" s="251" t="s">
        <v>256</v>
      </c>
      <c r="DG5" s="251"/>
      <c r="DH5" s="251" t="s">
        <v>257</v>
      </c>
      <c r="DI5" s="251"/>
      <c r="DJ5" s="252" t="s">
        <v>255</v>
      </c>
      <c r="DK5" s="252"/>
      <c r="DL5" s="251" t="s">
        <v>258</v>
      </c>
      <c r="DM5" s="251"/>
      <c r="DN5" s="251" t="s">
        <v>258</v>
      </c>
      <c r="DO5" s="251"/>
      <c r="DP5" s="251" t="s">
        <v>259</v>
      </c>
      <c r="DQ5" s="251"/>
      <c r="DR5" s="251" t="s">
        <v>259</v>
      </c>
      <c r="DS5" s="251"/>
      <c r="DT5" s="251" t="s">
        <v>231</v>
      </c>
      <c r="DU5" s="251"/>
      <c r="DV5" s="251" t="s">
        <v>260</v>
      </c>
      <c r="DW5" s="251"/>
      <c r="DX5" s="253" t="s">
        <v>261</v>
      </c>
      <c r="DY5" s="253"/>
      <c r="DZ5" s="251" t="s">
        <v>225</v>
      </c>
      <c r="EA5" s="251"/>
      <c r="EB5" s="253" t="s">
        <v>262</v>
      </c>
      <c r="EC5" s="253"/>
      <c r="ED5" s="253" t="s">
        <v>263</v>
      </c>
      <c r="EE5" s="253"/>
      <c r="EF5" s="253" t="s">
        <v>264</v>
      </c>
      <c r="EG5" s="253"/>
      <c r="EH5" s="253" t="s">
        <v>227</v>
      </c>
      <c r="EI5" s="253"/>
      <c r="EJ5" s="253" t="s">
        <v>265</v>
      </c>
      <c r="EK5" s="253"/>
      <c r="EL5" s="251" t="s">
        <v>266</v>
      </c>
      <c r="EM5" s="251"/>
      <c r="EN5" s="251" t="s">
        <v>267</v>
      </c>
      <c r="EO5" s="251"/>
      <c r="EP5" s="251" t="s">
        <v>268</v>
      </c>
      <c r="EQ5" s="251"/>
      <c r="ER5" s="251" t="s">
        <v>269</v>
      </c>
      <c r="ES5" s="251"/>
      <c r="ET5" s="251" t="s">
        <v>267</v>
      </c>
      <c r="EU5" s="251"/>
      <c r="EV5" s="251" t="s">
        <v>268</v>
      </c>
      <c r="EW5" s="251"/>
      <c r="EX5" s="251" t="s">
        <v>270</v>
      </c>
      <c r="EY5" s="251"/>
      <c r="EZ5" s="251" t="s">
        <v>265</v>
      </c>
      <c r="FA5" s="251"/>
      <c r="FB5" s="251" t="s">
        <v>271</v>
      </c>
      <c r="FC5" s="251"/>
      <c r="FD5" s="251" t="s">
        <v>272</v>
      </c>
      <c r="FE5" s="251"/>
      <c r="FF5" s="251" t="s">
        <v>273</v>
      </c>
      <c r="FG5" s="251"/>
      <c r="FH5" s="251" t="s">
        <v>274</v>
      </c>
      <c r="FI5" s="251"/>
      <c r="FJ5" s="251" t="s">
        <v>275</v>
      </c>
      <c r="FK5" s="251"/>
      <c r="FL5" s="252" t="s">
        <v>276</v>
      </c>
      <c r="FM5" s="252"/>
    </row>
    <row r="6" spans="1:169" s="24" customFormat="1" ht="30" customHeight="1">
      <c r="B6" s="246">
        <v>5065544</v>
      </c>
      <c r="C6" s="246"/>
      <c r="D6" s="211"/>
      <c r="E6" s="213"/>
      <c r="F6" s="246">
        <v>5065541</v>
      </c>
      <c r="G6" s="246"/>
      <c r="H6" s="211"/>
      <c r="I6" s="213"/>
      <c r="J6" s="211"/>
      <c r="K6" s="213"/>
      <c r="L6" s="246">
        <v>5065542</v>
      </c>
      <c r="M6" s="246"/>
      <c r="N6" s="246">
        <v>5065540</v>
      </c>
      <c r="O6" s="246"/>
      <c r="P6" s="211"/>
      <c r="Q6" s="213"/>
      <c r="R6" s="211"/>
      <c r="S6" s="213"/>
      <c r="T6" s="246">
        <v>5065546</v>
      </c>
      <c r="U6" s="246"/>
      <c r="V6" s="211"/>
      <c r="W6" s="213"/>
      <c r="X6" s="211"/>
      <c r="Y6" s="213"/>
      <c r="Z6" s="211"/>
      <c r="AA6" s="213"/>
      <c r="AB6" s="211"/>
      <c r="AC6" s="213"/>
      <c r="AD6" s="246">
        <v>5065547</v>
      </c>
      <c r="AE6" s="246"/>
      <c r="AF6" s="211"/>
      <c r="AG6" s="213"/>
      <c r="AH6" s="254"/>
      <c r="AI6" s="255"/>
      <c r="AJ6" s="254"/>
      <c r="AK6" s="255"/>
      <c r="AL6" s="254"/>
      <c r="AM6" s="255"/>
      <c r="AN6" s="254"/>
      <c r="AO6" s="255"/>
      <c r="AP6" s="254"/>
      <c r="AQ6" s="255"/>
      <c r="AR6" s="254"/>
      <c r="AS6" s="255"/>
      <c r="AT6" s="254"/>
      <c r="AU6" s="255"/>
      <c r="AV6" s="254"/>
      <c r="AW6" s="255"/>
      <c r="AX6" s="254"/>
      <c r="AY6" s="255"/>
      <c r="AZ6" s="254"/>
      <c r="BA6" s="255"/>
      <c r="BB6" s="254"/>
      <c r="BC6" s="255"/>
      <c r="BD6" s="246">
        <v>5065548</v>
      </c>
      <c r="BE6" s="246"/>
      <c r="BF6" s="246">
        <v>5465545</v>
      </c>
      <c r="BG6" s="246"/>
      <c r="BH6" s="211"/>
      <c r="BI6" s="213"/>
      <c r="BJ6" s="211"/>
      <c r="BK6" s="213"/>
      <c r="BL6" s="211"/>
      <c r="BM6" s="213"/>
      <c r="BN6" s="211"/>
      <c r="BO6" s="213"/>
      <c r="BP6" s="211"/>
      <c r="BQ6" s="213"/>
      <c r="BR6" s="211"/>
      <c r="BS6" s="213"/>
      <c r="BT6" s="211"/>
      <c r="BU6" s="213"/>
      <c r="BV6" s="211"/>
      <c r="BW6" s="213"/>
      <c r="BX6" s="211"/>
      <c r="BY6" s="213"/>
      <c r="BZ6" s="246">
        <v>5018351</v>
      </c>
      <c r="CA6" s="246"/>
      <c r="CB6" s="246">
        <v>5018354</v>
      </c>
      <c r="CC6" s="246"/>
      <c r="CD6" s="246">
        <v>5018350</v>
      </c>
      <c r="CE6" s="246"/>
      <c r="CF6" s="246">
        <v>5065543</v>
      </c>
      <c r="CG6" s="246"/>
      <c r="CH6" s="211"/>
      <c r="CI6" s="213"/>
      <c r="CJ6" s="211"/>
      <c r="CK6" s="213"/>
      <c r="CL6" s="211"/>
      <c r="CM6" s="213"/>
      <c r="CN6" s="246">
        <v>5008272</v>
      </c>
      <c r="CO6" s="246"/>
      <c r="CP6" s="211"/>
      <c r="CQ6" s="213"/>
      <c r="CR6" s="211"/>
      <c r="CS6" s="213"/>
      <c r="CT6" s="211"/>
      <c r="CU6" s="213"/>
      <c r="CV6" s="211"/>
      <c r="CW6" s="213"/>
      <c r="CX6" s="211"/>
      <c r="CY6" s="213"/>
      <c r="CZ6" s="211"/>
      <c r="DA6" s="213"/>
      <c r="DB6" s="246">
        <v>5008273</v>
      </c>
      <c r="DC6" s="246"/>
      <c r="DD6" s="211"/>
      <c r="DE6" s="213"/>
      <c r="DF6" s="211"/>
      <c r="DG6" s="213"/>
      <c r="DH6" s="211"/>
      <c r="DI6" s="213"/>
      <c r="DJ6" s="211"/>
      <c r="DK6" s="213"/>
      <c r="DL6" s="211"/>
      <c r="DM6" s="213"/>
      <c r="DN6" s="211"/>
      <c r="DO6" s="213"/>
      <c r="DP6" s="211"/>
      <c r="DQ6" s="213"/>
      <c r="DR6" s="211"/>
      <c r="DS6" s="213"/>
      <c r="DT6" s="211"/>
      <c r="DU6" s="213"/>
      <c r="DV6" s="211"/>
      <c r="DW6" s="213"/>
      <c r="DX6" s="211"/>
      <c r="DY6" s="213"/>
      <c r="DZ6" s="211"/>
      <c r="EA6" s="213"/>
      <c r="EB6" s="211"/>
      <c r="EC6" s="213"/>
      <c r="ED6" s="211"/>
      <c r="EE6" s="213"/>
      <c r="EF6" s="211"/>
      <c r="EG6" s="213"/>
      <c r="EH6" s="211"/>
      <c r="EI6" s="213"/>
      <c r="EJ6" s="211"/>
      <c r="EK6" s="213"/>
      <c r="EL6" s="211"/>
      <c r="EM6" s="213"/>
      <c r="EN6" s="211"/>
      <c r="EO6" s="213"/>
      <c r="EP6" s="211"/>
      <c r="EQ6" s="213"/>
      <c r="ER6" s="211"/>
      <c r="ES6" s="213"/>
      <c r="ET6" s="211"/>
      <c r="EU6" s="213"/>
      <c r="EV6" s="211"/>
      <c r="EW6" s="213"/>
      <c r="EX6" s="211"/>
      <c r="EY6" s="213"/>
      <c r="EZ6" s="211"/>
      <c r="FA6" s="213"/>
      <c r="FB6" s="211"/>
      <c r="FC6" s="213"/>
      <c r="FD6" s="211"/>
      <c r="FE6" s="213"/>
      <c r="FF6" s="211"/>
      <c r="FG6" s="213"/>
      <c r="FH6" s="211"/>
      <c r="FI6" s="213"/>
      <c r="FJ6" s="211"/>
      <c r="FK6" s="213"/>
      <c r="FL6" s="211"/>
      <c r="FM6" s="213"/>
    </row>
    <row r="7" spans="1:169" s="24" customFormat="1" ht="30" customHeight="1">
      <c r="B7" s="256" t="s">
        <v>91</v>
      </c>
      <c r="C7" s="256"/>
      <c r="D7" s="256" t="s">
        <v>91</v>
      </c>
      <c r="E7" s="256"/>
      <c r="F7" s="257" t="s">
        <v>92</v>
      </c>
      <c r="G7" s="257"/>
      <c r="H7" s="258" t="s">
        <v>93</v>
      </c>
      <c r="I7" s="258"/>
      <c r="J7" s="258" t="s">
        <v>93</v>
      </c>
      <c r="K7" s="258"/>
      <c r="L7" s="258" t="s">
        <v>93</v>
      </c>
      <c r="M7" s="258"/>
      <c r="N7" s="259" t="s">
        <v>94</v>
      </c>
      <c r="O7" s="259"/>
      <c r="P7" s="259" t="s">
        <v>94</v>
      </c>
      <c r="Q7" s="259"/>
      <c r="R7" s="259" t="s">
        <v>94</v>
      </c>
      <c r="S7" s="259"/>
      <c r="T7" s="260" t="s">
        <v>81</v>
      </c>
      <c r="U7" s="260"/>
      <c r="V7" s="260" t="s">
        <v>81</v>
      </c>
      <c r="W7" s="260"/>
      <c r="X7" s="260" t="s">
        <v>81</v>
      </c>
      <c r="Y7" s="260"/>
      <c r="Z7" s="260" t="s">
        <v>81</v>
      </c>
      <c r="AA7" s="260"/>
      <c r="AB7" s="260" t="s">
        <v>81</v>
      </c>
      <c r="AC7" s="260"/>
      <c r="AD7" s="261" t="s">
        <v>82</v>
      </c>
      <c r="AE7" s="261"/>
      <c r="AF7" s="261" t="s">
        <v>82</v>
      </c>
      <c r="AG7" s="261"/>
      <c r="AH7" s="262" t="s">
        <v>84</v>
      </c>
      <c r="AI7" s="262"/>
      <c r="AJ7" s="262" t="s">
        <v>84</v>
      </c>
      <c r="AK7" s="262"/>
      <c r="AL7" s="262" t="s">
        <v>84</v>
      </c>
      <c r="AM7" s="262"/>
      <c r="AN7" s="262" t="s">
        <v>84</v>
      </c>
      <c r="AO7" s="262"/>
      <c r="AP7" s="262" t="s">
        <v>84</v>
      </c>
      <c r="AQ7" s="262"/>
      <c r="AR7" s="262" t="s">
        <v>84</v>
      </c>
      <c r="AS7" s="262"/>
      <c r="AT7" s="262" t="s">
        <v>84</v>
      </c>
      <c r="AU7" s="262"/>
      <c r="AV7" s="262" t="s">
        <v>84</v>
      </c>
      <c r="AW7" s="262"/>
      <c r="AX7" s="262" t="s">
        <v>84</v>
      </c>
      <c r="AY7" s="262"/>
      <c r="AZ7" s="262" t="s">
        <v>84</v>
      </c>
      <c r="BA7" s="262"/>
      <c r="BB7" s="262" t="s">
        <v>84</v>
      </c>
      <c r="BC7" s="262"/>
      <c r="BD7" s="262" t="s">
        <v>84</v>
      </c>
      <c r="BE7" s="262"/>
      <c r="BF7" s="263" t="s">
        <v>85</v>
      </c>
      <c r="BG7" s="263"/>
      <c r="BH7" s="263" t="s">
        <v>85</v>
      </c>
      <c r="BI7" s="263"/>
      <c r="BJ7" s="263" t="s">
        <v>85</v>
      </c>
      <c r="BK7" s="263"/>
      <c r="BL7" s="263" t="s">
        <v>85</v>
      </c>
      <c r="BM7" s="263"/>
      <c r="BN7" s="263" t="s">
        <v>85</v>
      </c>
      <c r="BO7" s="263"/>
      <c r="BP7" s="263" t="s">
        <v>85</v>
      </c>
      <c r="BQ7" s="263"/>
      <c r="BR7" s="263" t="s">
        <v>85</v>
      </c>
      <c r="BS7" s="263"/>
      <c r="BT7" s="263" t="s">
        <v>85</v>
      </c>
      <c r="BU7" s="263"/>
      <c r="BV7" s="263" t="s">
        <v>85</v>
      </c>
      <c r="BW7" s="263"/>
      <c r="BX7" s="263" t="s">
        <v>85</v>
      </c>
      <c r="BY7" s="263"/>
      <c r="BZ7" s="264" t="s">
        <v>87</v>
      </c>
      <c r="CA7" s="264"/>
      <c r="CB7" s="265" t="s">
        <v>88</v>
      </c>
      <c r="CC7" s="265"/>
      <c r="CD7" s="245" t="s">
        <v>89</v>
      </c>
      <c r="CE7" s="245"/>
      <c r="CF7" s="266" t="s">
        <v>90</v>
      </c>
      <c r="CG7" s="266"/>
      <c r="CH7" s="266" t="s">
        <v>90</v>
      </c>
      <c r="CI7" s="266"/>
      <c r="CJ7" s="266" t="s">
        <v>90</v>
      </c>
      <c r="CK7" s="266"/>
      <c r="CL7" s="266" t="s">
        <v>90</v>
      </c>
      <c r="CM7" s="266"/>
      <c r="CN7" s="267" t="s">
        <v>83</v>
      </c>
      <c r="CO7" s="267"/>
      <c r="CP7" s="267" t="s">
        <v>83</v>
      </c>
      <c r="CQ7" s="267"/>
      <c r="CR7" s="267" t="s">
        <v>83</v>
      </c>
      <c r="CS7" s="267"/>
      <c r="CT7" s="267" t="s">
        <v>83</v>
      </c>
      <c r="CU7" s="267"/>
      <c r="CV7" s="267" t="s">
        <v>83</v>
      </c>
      <c r="CW7" s="267"/>
      <c r="CX7" s="267" t="s">
        <v>83</v>
      </c>
      <c r="CY7" s="267"/>
      <c r="CZ7" s="267" t="s">
        <v>83</v>
      </c>
      <c r="DA7" s="267"/>
      <c r="DB7" s="268" t="s">
        <v>86</v>
      </c>
      <c r="DC7" s="268"/>
      <c r="DD7" s="268" t="s">
        <v>86</v>
      </c>
      <c r="DE7" s="268"/>
      <c r="DF7" s="268" t="s">
        <v>86</v>
      </c>
      <c r="DG7" s="268"/>
      <c r="DH7" s="268" t="s">
        <v>86</v>
      </c>
      <c r="DI7" s="268"/>
      <c r="DJ7" s="268" t="s">
        <v>86</v>
      </c>
      <c r="DK7" s="268"/>
      <c r="DL7" s="261" t="s">
        <v>82</v>
      </c>
      <c r="DM7" s="261"/>
      <c r="DN7" s="261" t="s">
        <v>82</v>
      </c>
      <c r="DO7" s="261"/>
      <c r="DP7" s="261" t="s">
        <v>82</v>
      </c>
      <c r="DQ7" s="261"/>
      <c r="DR7" s="261" t="s">
        <v>82</v>
      </c>
      <c r="DS7" s="261"/>
      <c r="DT7" s="261" t="s">
        <v>82</v>
      </c>
      <c r="DU7" s="261"/>
      <c r="DV7" s="261" t="s">
        <v>82</v>
      </c>
      <c r="DW7" s="261"/>
      <c r="DX7" s="260" t="s">
        <v>81</v>
      </c>
      <c r="DY7" s="260"/>
      <c r="DZ7" s="260" t="s">
        <v>81</v>
      </c>
      <c r="EA7" s="260"/>
      <c r="EB7" s="260" t="s">
        <v>81</v>
      </c>
      <c r="EC7" s="260"/>
      <c r="ED7" s="260" t="s">
        <v>81</v>
      </c>
      <c r="EE7" s="260"/>
      <c r="EF7" s="260" t="s">
        <v>81</v>
      </c>
      <c r="EG7" s="260"/>
      <c r="EH7" s="260" t="s">
        <v>81</v>
      </c>
      <c r="EI7" s="260"/>
      <c r="EJ7" s="260" t="s">
        <v>81</v>
      </c>
      <c r="EK7" s="260"/>
      <c r="EL7" s="258" t="s">
        <v>93</v>
      </c>
      <c r="EM7" s="258"/>
      <c r="EN7" s="258" t="s">
        <v>93</v>
      </c>
      <c r="EO7" s="258"/>
      <c r="EP7" s="258" t="s">
        <v>93</v>
      </c>
      <c r="EQ7" s="258"/>
      <c r="ER7" s="256" t="s">
        <v>91</v>
      </c>
      <c r="ES7" s="256"/>
      <c r="ET7" s="256" t="s">
        <v>91</v>
      </c>
      <c r="EU7" s="256"/>
      <c r="EV7" s="256" t="s">
        <v>91</v>
      </c>
      <c r="EW7" s="256"/>
      <c r="EX7" s="257" t="s">
        <v>92</v>
      </c>
      <c r="EY7" s="257"/>
      <c r="EZ7" s="259" t="s">
        <v>94</v>
      </c>
      <c r="FA7" s="259"/>
      <c r="FB7" s="259" t="s">
        <v>94</v>
      </c>
      <c r="FC7" s="259"/>
      <c r="FD7" s="259" t="s">
        <v>94</v>
      </c>
      <c r="FE7" s="259"/>
      <c r="FF7" s="257" t="s">
        <v>92</v>
      </c>
      <c r="FG7" s="257"/>
      <c r="FH7" s="257" t="s">
        <v>92</v>
      </c>
      <c r="FI7" s="257"/>
      <c r="FJ7" s="257" t="s">
        <v>92</v>
      </c>
      <c r="FK7" s="257"/>
      <c r="FL7" s="257" t="s">
        <v>92</v>
      </c>
      <c r="FM7" s="257"/>
    </row>
    <row r="8" spans="1:169" s="24" customFormat="1" ht="30" customHeight="1">
      <c r="B8" s="269"/>
      <c r="C8" s="269"/>
      <c r="D8" s="270" t="s">
        <v>277</v>
      </c>
      <c r="E8" s="271"/>
      <c r="F8" s="269"/>
      <c r="G8" s="269"/>
      <c r="H8" s="270" t="s">
        <v>278</v>
      </c>
      <c r="I8" s="271"/>
      <c r="J8" s="270" t="s">
        <v>279</v>
      </c>
      <c r="K8" s="271"/>
      <c r="L8" s="269"/>
      <c r="M8" s="269"/>
      <c r="N8" s="269"/>
      <c r="O8" s="269"/>
      <c r="P8" s="270" t="s">
        <v>280</v>
      </c>
      <c r="Q8" s="271"/>
      <c r="R8" s="270" t="s">
        <v>281</v>
      </c>
      <c r="S8" s="271"/>
      <c r="T8" s="269"/>
      <c r="U8" s="269"/>
      <c r="V8" s="270" t="s">
        <v>282</v>
      </c>
      <c r="W8" s="271"/>
      <c r="X8" s="270" t="s">
        <v>283</v>
      </c>
      <c r="Y8" s="271"/>
      <c r="Z8" s="270" t="s">
        <v>284</v>
      </c>
      <c r="AA8" s="271"/>
      <c r="AB8" s="270" t="s">
        <v>285</v>
      </c>
      <c r="AC8" s="271"/>
      <c r="AD8" s="269"/>
      <c r="AE8" s="269"/>
      <c r="AF8" s="270" t="s">
        <v>286</v>
      </c>
      <c r="AG8" s="271"/>
      <c r="AH8" s="270" t="s">
        <v>287</v>
      </c>
      <c r="AI8" s="271"/>
      <c r="AJ8" s="270" t="s">
        <v>288</v>
      </c>
      <c r="AK8" s="271"/>
      <c r="AL8" s="270" t="s">
        <v>289</v>
      </c>
      <c r="AM8" s="271"/>
      <c r="AN8" s="270" t="s">
        <v>290</v>
      </c>
      <c r="AO8" s="271"/>
      <c r="AP8" s="270" t="s">
        <v>291</v>
      </c>
      <c r="AQ8" s="271"/>
      <c r="AR8" s="270" t="s">
        <v>292</v>
      </c>
      <c r="AS8" s="271"/>
      <c r="AT8" s="270" t="s">
        <v>293</v>
      </c>
      <c r="AU8" s="271"/>
      <c r="AV8" s="270" t="s">
        <v>294</v>
      </c>
      <c r="AW8" s="271"/>
      <c r="AX8" s="270" t="s">
        <v>295</v>
      </c>
      <c r="AY8" s="271"/>
      <c r="AZ8" s="270" t="s">
        <v>296</v>
      </c>
      <c r="BA8" s="271"/>
      <c r="BB8" s="270" t="s">
        <v>297</v>
      </c>
      <c r="BC8" s="271"/>
      <c r="BD8" s="270"/>
      <c r="BE8" s="271"/>
      <c r="BF8" s="269"/>
      <c r="BG8" s="269"/>
      <c r="BH8" s="270" t="s">
        <v>298</v>
      </c>
      <c r="BI8" s="271"/>
      <c r="BJ8" s="270" t="s">
        <v>299</v>
      </c>
      <c r="BK8" s="271"/>
      <c r="BL8" s="270" t="s">
        <v>300</v>
      </c>
      <c r="BM8" s="271"/>
      <c r="BN8" s="270" t="s">
        <v>301</v>
      </c>
      <c r="BO8" s="271"/>
      <c r="BP8" s="270" t="s">
        <v>302</v>
      </c>
      <c r="BQ8" s="271"/>
      <c r="BR8" s="270" t="s">
        <v>303</v>
      </c>
      <c r="BS8" s="271"/>
      <c r="BT8" s="270" t="s">
        <v>304</v>
      </c>
      <c r="BU8" s="271"/>
      <c r="BV8" s="270" t="s">
        <v>305</v>
      </c>
      <c r="BW8" s="271"/>
      <c r="BX8" s="270" t="s">
        <v>306</v>
      </c>
      <c r="BY8" s="271"/>
      <c r="BZ8" s="269"/>
      <c r="CA8" s="269"/>
      <c r="CB8" s="269"/>
      <c r="CC8" s="269"/>
      <c r="CD8" s="269"/>
      <c r="CE8" s="269"/>
      <c r="CF8" s="269"/>
      <c r="CG8" s="269"/>
      <c r="CH8" s="270" t="s">
        <v>307</v>
      </c>
      <c r="CI8" s="271"/>
      <c r="CJ8" s="270" t="s">
        <v>308</v>
      </c>
      <c r="CK8" s="271"/>
      <c r="CL8" s="270" t="s">
        <v>309</v>
      </c>
      <c r="CM8" s="271"/>
      <c r="CN8" s="269"/>
      <c r="CO8" s="269"/>
      <c r="CP8" s="270" t="s">
        <v>310</v>
      </c>
      <c r="CQ8" s="271"/>
      <c r="CR8" s="270" t="s">
        <v>311</v>
      </c>
      <c r="CS8" s="271"/>
      <c r="CT8" s="270" t="s">
        <v>312</v>
      </c>
      <c r="CU8" s="271"/>
      <c r="CV8" s="270" t="s">
        <v>313</v>
      </c>
      <c r="CW8" s="271"/>
      <c r="CX8" s="270" t="s">
        <v>314</v>
      </c>
      <c r="CY8" s="271"/>
      <c r="CZ8" s="270" t="s">
        <v>315</v>
      </c>
      <c r="DA8" s="271"/>
      <c r="DB8" s="269"/>
      <c r="DC8" s="269"/>
      <c r="DD8" s="270" t="s">
        <v>316</v>
      </c>
      <c r="DE8" s="271"/>
      <c r="DF8" s="270" t="s">
        <v>317</v>
      </c>
      <c r="DG8" s="271"/>
      <c r="DH8" s="270" t="s">
        <v>318</v>
      </c>
      <c r="DI8" s="271"/>
      <c r="DJ8" s="270" t="s">
        <v>319</v>
      </c>
      <c r="DK8" s="271"/>
      <c r="DL8" s="270" t="s">
        <v>320</v>
      </c>
      <c r="DM8" s="271"/>
      <c r="DN8" s="270" t="s">
        <v>321</v>
      </c>
      <c r="DO8" s="271"/>
      <c r="DP8" s="270" t="s">
        <v>322</v>
      </c>
      <c r="DQ8" s="271"/>
      <c r="DR8" s="270" t="s">
        <v>323</v>
      </c>
      <c r="DS8" s="271"/>
      <c r="DT8" s="270" t="s">
        <v>324</v>
      </c>
      <c r="DU8" s="271"/>
      <c r="DV8" s="270" t="s">
        <v>325</v>
      </c>
      <c r="DW8" s="271"/>
      <c r="DX8" s="270" t="s">
        <v>326</v>
      </c>
      <c r="DY8" s="271"/>
      <c r="DZ8" s="270" t="s">
        <v>327</v>
      </c>
      <c r="EA8" s="271"/>
      <c r="EB8" s="270" t="s">
        <v>328</v>
      </c>
      <c r="EC8" s="271"/>
      <c r="ED8" s="270" t="s">
        <v>329</v>
      </c>
      <c r="EE8" s="271"/>
      <c r="EF8" s="270" t="s">
        <v>330</v>
      </c>
      <c r="EG8" s="271"/>
      <c r="EH8" s="270" t="s">
        <v>331</v>
      </c>
      <c r="EI8" s="271"/>
      <c r="EJ8" s="270" t="s">
        <v>332</v>
      </c>
      <c r="EK8" s="271"/>
      <c r="EL8" s="270" t="s">
        <v>333</v>
      </c>
      <c r="EM8" s="271"/>
      <c r="EN8" s="270" t="s">
        <v>334</v>
      </c>
      <c r="EO8" s="271"/>
      <c r="EP8" s="270" t="s">
        <v>335</v>
      </c>
      <c r="EQ8" s="271"/>
      <c r="ER8" s="270" t="s">
        <v>336</v>
      </c>
      <c r="ES8" s="271"/>
      <c r="ET8" s="270" t="s">
        <v>337</v>
      </c>
      <c r="EU8" s="271"/>
      <c r="EV8" s="270" t="s">
        <v>338</v>
      </c>
      <c r="EW8" s="271"/>
      <c r="EX8" s="270" t="s">
        <v>339</v>
      </c>
      <c r="EY8" s="271"/>
      <c r="EZ8" s="270" t="s">
        <v>340</v>
      </c>
      <c r="FA8" s="271"/>
      <c r="FB8" s="270" t="s">
        <v>341</v>
      </c>
      <c r="FC8" s="271"/>
      <c r="FD8" s="270" t="s">
        <v>342</v>
      </c>
      <c r="FE8" s="271"/>
      <c r="FF8" s="270" t="s">
        <v>343</v>
      </c>
      <c r="FG8" s="271"/>
      <c r="FH8" s="270" t="s">
        <v>344</v>
      </c>
      <c r="FI8" s="271"/>
      <c r="FJ8" s="270" t="s">
        <v>345</v>
      </c>
      <c r="FK8" s="271"/>
      <c r="FL8" s="270" t="s">
        <v>346</v>
      </c>
      <c r="FM8" s="271"/>
    </row>
    <row r="9" spans="1:169" s="84" customFormat="1" ht="50.1" customHeight="1">
      <c r="A9" s="113" t="s">
        <v>98</v>
      </c>
      <c r="B9" s="113" t="s">
        <v>99</v>
      </c>
      <c r="C9" s="113" t="s">
        <v>100</v>
      </c>
      <c r="D9" s="113" t="s">
        <v>99</v>
      </c>
      <c r="E9" s="113" t="s">
        <v>100</v>
      </c>
      <c r="F9" s="113" t="s">
        <v>99</v>
      </c>
      <c r="G9" s="113" t="s">
        <v>100</v>
      </c>
      <c r="H9" s="113" t="s">
        <v>99</v>
      </c>
      <c r="I9" s="113" t="s">
        <v>100</v>
      </c>
      <c r="J9" s="113" t="s">
        <v>99</v>
      </c>
      <c r="K9" s="113" t="s">
        <v>100</v>
      </c>
      <c r="L9" s="113" t="s">
        <v>99</v>
      </c>
      <c r="M9" s="113" t="s">
        <v>100</v>
      </c>
      <c r="N9" s="113" t="s">
        <v>99</v>
      </c>
      <c r="O9" s="113" t="s">
        <v>100</v>
      </c>
      <c r="P9" s="113" t="s">
        <v>99</v>
      </c>
      <c r="Q9" s="113" t="s">
        <v>100</v>
      </c>
      <c r="R9" s="113" t="s">
        <v>99</v>
      </c>
      <c r="S9" s="113" t="s">
        <v>100</v>
      </c>
      <c r="T9" s="113" t="s">
        <v>99</v>
      </c>
      <c r="U9" s="113" t="s">
        <v>100</v>
      </c>
      <c r="V9" s="113" t="s">
        <v>99</v>
      </c>
      <c r="W9" s="113" t="s">
        <v>100</v>
      </c>
      <c r="X9" s="113" t="s">
        <v>99</v>
      </c>
      <c r="Y9" s="113" t="s">
        <v>100</v>
      </c>
      <c r="Z9" s="113" t="s">
        <v>99</v>
      </c>
      <c r="AA9" s="113" t="s">
        <v>100</v>
      </c>
      <c r="AB9" s="113" t="s">
        <v>99</v>
      </c>
      <c r="AC9" s="113" t="s">
        <v>100</v>
      </c>
      <c r="AD9" s="113" t="s">
        <v>99</v>
      </c>
      <c r="AE9" s="113" t="s">
        <v>100</v>
      </c>
      <c r="AF9" s="113" t="s">
        <v>99</v>
      </c>
      <c r="AG9" s="113" t="s">
        <v>100</v>
      </c>
      <c r="AH9" s="113" t="s">
        <v>99</v>
      </c>
      <c r="AI9" s="113" t="s">
        <v>100</v>
      </c>
      <c r="AJ9" s="113" t="s">
        <v>99</v>
      </c>
      <c r="AK9" s="113" t="s">
        <v>100</v>
      </c>
      <c r="AL9" s="113" t="s">
        <v>99</v>
      </c>
      <c r="AM9" s="113" t="s">
        <v>100</v>
      </c>
      <c r="AN9" s="113" t="s">
        <v>99</v>
      </c>
      <c r="AO9" s="113" t="s">
        <v>100</v>
      </c>
      <c r="AP9" s="113" t="s">
        <v>99</v>
      </c>
      <c r="AQ9" s="113" t="s">
        <v>100</v>
      </c>
      <c r="AR9" s="113" t="s">
        <v>99</v>
      </c>
      <c r="AS9" s="113" t="s">
        <v>100</v>
      </c>
      <c r="AT9" s="113" t="s">
        <v>99</v>
      </c>
      <c r="AU9" s="113" t="s">
        <v>100</v>
      </c>
      <c r="AV9" s="113" t="s">
        <v>99</v>
      </c>
      <c r="AW9" s="113" t="s">
        <v>100</v>
      </c>
      <c r="AX9" s="113" t="s">
        <v>99</v>
      </c>
      <c r="AY9" s="113" t="s">
        <v>100</v>
      </c>
      <c r="AZ9" s="113" t="s">
        <v>99</v>
      </c>
      <c r="BA9" s="113" t="s">
        <v>100</v>
      </c>
      <c r="BB9" s="113" t="s">
        <v>99</v>
      </c>
      <c r="BC9" s="113" t="s">
        <v>100</v>
      </c>
      <c r="BD9" s="113" t="s">
        <v>99</v>
      </c>
      <c r="BE9" s="113" t="s">
        <v>100</v>
      </c>
      <c r="BF9" s="113" t="s">
        <v>99</v>
      </c>
      <c r="BG9" s="113" t="s">
        <v>100</v>
      </c>
      <c r="BH9" s="113" t="s">
        <v>99</v>
      </c>
      <c r="BI9" s="113" t="s">
        <v>100</v>
      </c>
      <c r="BJ9" s="113" t="s">
        <v>99</v>
      </c>
      <c r="BK9" s="113" t="s">
        <v>100</v>
      </c>
      <c r="BL9" s="113" t="s">
        <v>99</v>
      </c>
      <c r="BM9" s="113" t="s">
        <v>100</v>
      </c>
      <c r="BN9" s="113" t="s">
        <v>99</v>
      </c>
      <c r="BO9" s="113" t="s">
        <v>100</v>
      </c>
      <c r="BP9" s="113" t="s">
        <v>99</v>
      </c>
      <c r="BQ9" s="113" t="s">
        <v>100</v>
      </c>
      <c r="BR9" s="113" t="s">
        <v>99</v>
      </c>
      <c r="BS9" s="113" t="s">
        <v>100</v>
      </c>
      <c r="BT9" s="113" t="s">
        <v>99</v>
      </c>
      <c r="BU9" s="113" t="s">
        <v>100</v>
      </c>
      <c r="BV9" s="113" t="s">
        <v>99</v>
      </c>
      <c r="BW9" s="113" t="s">
        <v>100</v>
      </c>
      <c r="BX9" s="113" t="s">
        <v>99</v>
      </c>
      <c r="BY9" s="113" t="s">
        <v>100</v>
      </c>
      <c r="BZ9" s="113" t="s">
        <v>99</v>
      </c>
      <c r="CA9" s="113" t="s">
        <v>100</v>
      </c>
      <c r="CB9" s="113" t="s">
        <v>99</v>
      </c>
      <c r="CC9" s="113" t="s">
        <v>100</v>
      </c>
      <c r="CD9" s="113" t="s">
        <v>99</v>
      </c>
      <c r="CE9" s="113" t="s">
        <v>100</v>
      </c>
      <c r="CF9" s="113" t="s">
        <v>99</v>
      </c>
      <c r="CG9" s="113" t="s">
        <v>100</v>
      </c>
      <c r="CH9" s="113" t="s">
        <v>99</v>
      </c>
      <c r="CI9" s="113" t="s">
        <v>100</v>
      </c>
      <c r="CJ9" s="113" t="s">
        <v>99</v>
      </c>
      <c r="CK9" s="113" t="s">
        <v>100</v>
      </c>
      <c r="CL9" s="113" t="s">
        <v>99</v>
      </c>
      <c r="CM9" s="113" t="s">
        <v>100</v>
      </c>
      <c r="CN9" s="113" t="s">
        <v>99</v>
      </c>
      <c r="CO9" s="113" t="s">
        <v>100</v>
      </c>
      <c r="CP9" s="113" t="s">
        <v>99</v>
      </c>
      <c r="CQ9" s="113" t="s">
        <v>100</v>
      </c>
      <c r="CR9" s="113" t="s">
        <v>99</v>
      </c>
      <c r="CS9" s="113" t="s">
        <v>100</v>
      </c>
      <c r="CT9" s="113" t="s">
        <v>99</v>
      </c>
      <c r="CU9" s="113" t="s">
        <v>100</v>
      </c>
      <c r="CV9" s="113" t="s">
        <v>99</v>
      </c>
      <c r="CW9" s="113" t="s">
        <v>100</v>
      </c>
      <c r="CX9" s="113" t="s">
        <v>99</v>
      </c>
      <c r="CY9" s="113" t="s">
        <v>100</v>
      </c>
      <c r="CZ9" s="113" t="s">
        <v>99</v>
      </c>
      <c r="DA9" s="113" t="s">
        <v>100</v>
      </c>
      <c r="DB9" s="113" t="s">
        <v>99</v>
      </c>
      <c r="DC9" s="113" t="s">
        <v>100</v>
      </c>
      <c r="DD9" s="113" t="s">
        <v>99</v>
      </c>
      <c r="DE9" s="113" t="s">
        <v>100</v>
      </c>
      <c r="DF9" s="113" t="s">
        <v>99</v>
      </c>
      <c r="DG9" s="113" t="s">
        <v>100</v>
      </c>
      <c r="DH9" s="113" t="s">
        <v>99</v>
      </c>
      <c r="DI9" s="113" t="s">
        <v>100</v>
      </c>
      <c r="DJ9" s="113" t="s">
        <v>99</v>
      </c>
      <c r="DK9" s="113" t="s">
        <v>100</v>
      </c>
      <c r="DL9" s="113" t="s">
        <v>99</v>
      </c>
      <c r="DM9" s="113" t="s">
        <v>100</v>
      </c>
      <c r="DN9" s="113" t="s">
        <v>99</v>
      </c>
      <c r="DO9" s="113" t="s">
        <v>100</v>
      </c>
      <c r="DP9" s="113" t="s">
        <v>99</v>
      </c>
      <c r="DQ9" s="113" t="s">
        <v>100</v>
      </c>
      <c r="DR9" s="113" t="s">
        <v>99</v>
      </c>
      <c r="DS9" s="113" t="s">
        <v>100</v>
      </c>
      <c r="DT9" s="113" t="s">
        <v>99</v>
      </c>
      <c r="DU9" s="113" t="s">
        <v>100</v>
      </c>
      <c r="DV9" s="113" t="s">
        <v>99</v>
      </c>
      <c r="DW9" s="113" t="s">
        <v>100</v>
      </c>
      <c r="DX9" s="113" t="s">
        <v>99</v>
      </c>
      <c r="DY9" s="113" t="s">
        <v>100</v>
      </c>
      <c r="DZ9" s="113" t="s">
        <v>99</v>
      </c>
      <c r="EA9" s="113" t="s">
        <v>100</v>
      </c>
      <c r="EB9" s="113" t="s">
        <v>99</v>
      </c>
      <c r="EC9" s="113" t="s">
        <v>100</v>
      </c>
      <c r="ED9" s="113" t="s">
        <v>99</v>
      </c>
      <c r="EE9" s="113" t="s">
        <v>100</v>
      </c>
      <c r="EF9" s="113" t="s">
        <v>99</v>
      </c>
      <c r="EG9" s="113" t="s">
        <v>100</v>
      </c>
      <c r="EH9" s="113" t="s">
        <v>99</v>
      </c>
      <c r="EI9" s="113" t="s">
        <v>100</v>
      </c>
      <c r="EJ9" s="113" t="s">
        <v>99</v>
      </c>
      <c r="EK9" s="113" t="s">
        <v>100</v>
      </c>
      <c r="EL9" s="113" t="s">
        <v>99</v>
      </c>
      <c r="EM9" s="113" t="s">
        <v>100</v>
      </c>
      <c r="EN9" s="113" t="s">
        <v>99</v>
      </c>
      <c r="EO9" s="113" t="s">
        <v>100</v>
      </c>
      <c r="EP9" s="113" t="s">
        <v>99</v>
      </c>
      <c r="EQ9" s="113" t="s">
        <v>100</v>
      </c>
      <c r="ER9" s="113" t="s">
        <v>99</v>
      </c>
      <c r="ES9" s="113" t="s">
        <v>100</v>
      </c>
      <c r="ET9" s="113" t="s">
        <v>99</v>
      </c>
      <c r="EU9" s="113" t="s">
        <v>100</v>
      </c>
      <c r="EV9" s="113" t="s">
        <v>99</v>
      </c>
      <c r="EW9" s="113" t="s">
        <v>100</v>
      </c>
      <c r="EX9" s="113" t="s">
        <v>99</v>
      </c>
      <c r="EY9" s="113" t="s">
        <v>100</v>
      </c>
      <c r="EZ9" s="113" t="s">
        <v>99</v>
      </c>
      <c r="FA9" s="113" t="s">
        <v>100</v>
      </c>
      <c r="FB9" s="113" t="s">
        <v>99</v>
      </c>
      <c r="FC9" s="113" t="s">
        <v>100</v>
      </c>
      <c r="FD9" s="113" t="s">
        <v>99</v>
      </c>
      <c r="FE9" s="113" t="s">
        <v>100</v>
      </c>
      <c r="FF9" s="113" t="s">
        <v>99</v>
      </c>
      <c r="FG9" s="113" t="s">
        <v>100</v>
      </c>
      <c r="FH9" s="113" t="s">
        <v>99</v>
      </c>
      <c r="FI9" s="113" t="s">
        <v>100</v>
      </c>
      <c r="FJ9" s="113" t="s">
        <v>99</v>
      </c>
      <c r="FK9" s="113" t="s">
        <v>100</v>
      </c>
      <c r="FL9" s="113" t="s">
        <v>99</v>
      </c>
      <c r="FM9" s="113" t="s">
        <v>100</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3" customWidth="1"/>
    <col min="21" max="21" width="5.7109375" style="53" customWidth="1"/>
    <col min="22" max="39" width="25.7109375" style="53" customWidth="1"/>
    <col min="40" max="40" width="5.7109375" style="53" customWidth="1"/>
    <col min="41" max="58" width="25.7109375" style="53" customWidth="1"/>
    <col min="59" max="59" width="5.7109375" style="53" customWidth="1"/>
    <col min="60" max="96" width="25.7109375" style="53" customWidth="1"/>
    <col min="97" max="101" width="25.7109375" customWidth="1"/>
  </cols>
  <sheetData>
    <row r="1" spans="1:97" s="12" customFormat="1" ht="49.5" customHeight="1">
      <c r="A1" s="108"/>
      <c r="B1" s="108"/>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7" customFormat="1" ht="113.25" customHeight="1">
      <c r="A2" s="56"/>
      <c r="B2" s="68"/>
      <c r="C2" s="274" t="s">
        <v>347</v>
      </c>
      <c r="D2" s="274"/>
      <c r="E2" s="274" t="s">
        <v>348</v>
      </c>
      <c r="F2" s="274"/>
      <c r="G2" s="274" t="s">
        <v>349</v>
      </c>
      <c r="H2" s="274"/>
      <c r="I2" s="274" t="s">
        <v>350</v>
      </c>
      <c r="J2" s="274"/>
      <c r="K2" s="274" t="s">
        <v>351</v>
      </c>
      <c r="L2" s="274"/>
      <c r="M2" s="274" t="s">
        <v>352</v>
      </c>
      <c r="N2" s="274"/>
      <c r="O2" s="274" t="s">
        <v>353</v>
      </c>
      <c r="P2" s="274"/>
      <c r="Q2" s="274" t="s">
        <v>354</v>
      </c>
      <c r="R2" s="274"/>
      <c r="S2" s="274" t="s">
        <v>355</v>
      </c>
      <c r="T2" s="274"/>
      <c r="V2" s="274" t="s">
        <v>356</v>
      </c>
      <c r="W2" s="274"/>
      <c r="X2" s="274" t="s">
        <v>357</v>
      </c>
      <c r="Y2" s="274"/>
      <c r="Z2" s="274" t="s">
        <v>358</v>
      </c>
      <c r="AA2" s="274"/>
      <c r="AB2" s="274" t="s">
        <v>359</v>
      </c>
      <c r="AC2" s="274"/>
      <c r="AD2" s="274" t="s">
        <v>360</v>
      </c>
      <c r="AE2" s="274"/>
      <c r="AF2" s="274" t="s">
        <v>361</v>
      </c>
      <c r="AG2" s="274"/>
      <c r="AH2" s="274" t="s">
        <v>362</v>
      </c>
      <c r="AI2" s="274"/>
      <c r="AJ2" s="274" t="s">
        <v>363</v>
      </c>
      <c r="AK2" s="274"/>
      <c r="AL2" s="274" t="s">
        <v>364</v>
      </c>
      <c r="AM2" s="274"/>
      <c r="AO2" s="274" t="s">
        <v>365</v>
      </c>
      <c r="AP2" s="274"/>
      <c r="AQ2" s="274" t="s">
        <v>366</v>
      </c>
      <c r="AR2" s="274"/>
      <c r="AS2" s="274" t="s">
        <v>367</v>
      </c>
      <c r="AT2" s="274"/>
      <c r="AU2" s="274" t="s">
        <v>368</v>
      </c>
      <c r="AV2" s="274"/>
      <c r="AW2" s="274" t="s">
        <v>369</v>
      </c>
      <c r="AX2" s="274"/>
      <c r="AY2" s="274" t="s">
        <v>370</v>
      </c>
      <c r="AZ2" s="274"/>
      <c r="BA2" s="274" t="s">
        <v>371</v>
      </c>
      <c r="BB2" s="274"/>
      <c r="BC2" s="274" t="s">
        <v>372</v>
      </c>
      <c r="BD2" s="274"/>
      <c r="BE2" s="274" t="s">
        <v>373</v>
      </c>
      <c r="BF2" s="274"/>
      <c r="BH2" s="274" t="s">
        <v>103</v>
      </c>
      <c r="BI2" s="274"/>
      <c r="BJ2" s="274" t="s">
        <v>374</v>
      </c>
      <c r="BK2" s="274"/>
      <c r="BL2" s="274" t="s">
        <v>375</v>
      </c>
      <c r="BM2" s="274"/>
      <c r="BN2" s="274" t="s">
        <v>376</v>
      </c>
      <c r="BO2" s="274"/>
      <c r="BP2" s="274" t="s">
        <v>377</v>
      </c>
      <c r="BQ2" s="274"/>
      <c r="BR2" s="274" t="s">
        <v>378</v>
      </c>
      <c r="BS2" s="274"/>
      <c r="BT2" s="274" t="s">
        <v>379</v>
      </c>
      <c r="BU2" s="274"/>
      <c r="BV2" s="274" t="s">
        <v>380</v>
      </c>
      <c r="BW2" s="274"/>
      <c r="BX2" s="274" t="s">
        <v>381</v>
      </c>
      <c r="BY2" s="274"/>
      <c r="BZ2" s="274" t="s">
        <v>382</v>
      </c>
      <c r="CA2" s="274"/>
      <c r="CB2" s="274" t="s">
        <v>383</v>
      </c>
      <c r="CC2" s="274"/>
      <c r="CD2" s="274" t="s">
        <v>384</v>
      </c>
      <c r="CE2" s="274"/>
      <c r="CF2" s="274" t="s">
        <v>385</v>
      </c>
      <c r="CG2" s="274"/>
      <c r="CH2" s="274" t="s">
        <v>386</v>
      </c>
      <c r="CI2" s="274"/>
      <c r="CJ2" s="274" t="s">
        <v>387</v>
      </c>
      <c r="CK2" s="274"/>
      <c r="CL2" s="274" t="s">
        <v>388</v>
      </c>
      <c r="CM2" s="274"/>
      <c r="CN2" s="274" t="s">
        <v>389</v>
      </c>
      <c r="CO2" s="274"/>
      <c r="CP2" s="274" t="s">
        <v>390</v>
      </c>
      <c r="CQ2" s="274"/>
      <c r="CR2" s="274" t="s">
        <v>391</v>
      </c>
      <c r="CS2" s="274"/>
    </row>
    <row r="3" spans="1:97" s="55" customFormat="1" ht="49.5" customHeight="1">
      <c r="A3" s="114"/>
      <c r="B3" s="69"/>
      <c r="C3" s="272"/>
      <c r="D3" s="272"/>
      <c r="E3" s="275" t="s">
        <v>110</v>
      </c>
      <c r="F3" s="275"/>
      <c r="G3" s="272"/>
      <c r="H3" s="272"/>
      <c r="I3" s="276" t="s">
        <v>112</v>
      </c>
      <c r="J3" s="276"/>
      <c r="K3" s="272"/>
      <c r="L3" s="272"/>
      <c r="M3" s="272"/>
      <c r="N3" s="272"/>
      <c r="O3" s="272"/>
      <c r="P3" s="272"/>
      <c r="Q3" s="273" t="s">
        <v>113</v>
      </c>
      <c r="R3" s="273"/>
      <c r="S3" s="272"/>
      <c r="T3" s="272"/>
      <c r="U3" s="54"/>
      <c r="V3" s="273" t="s">
        <v>108</v>
      </c>
      <c r="W3" s="273"/>
      <c r="X3" s="272"/>
      <c r="Y3" s="272"/>
      <c r="Z3" s="272"/>
      <c r="AA3" s="272"/>
      <c r="AB3" s="272"/>
      <c r="AC3" s="272"/>
      <c r="AD3" s="272"/>
      <c r="AE3" s="272"/>
      <c r="AF3" s="272"/>
      <c r="AG3" s="272"/>
      <c r="AH3" s="272"/>
      <c r="AI3" s="272"/>
      <c r="AJ3" s="272"/>
      <c r="AK3" s="272"/>
      <c r="AL3" s="272"/>
      <c r="AM3" s="272"/>
      <c r="AN3" s="54"/>
      <c r="AO3" s="275" t="s">
        <v>111</v>
      </c>
      <c r="AP3" s="275"/>
      <c r="AQ3" s="272"/>
      <c r="AR3" s="272"/>
      <c r="AS3" s="272"/>
      <c r="AT3" s="272"/>
      <c r="AU3" s="272"/>
      <c r="AV3" s="272"/>
      <c r="AW3" s="272"/>
      <c r="AX3" s="272"/>
      <c r="AY3" s="272"/>
      <c r="AZ3" s="272"/>
      <c r="BA3" s="272"/>
      <c r="BB3" s="272"/>
      <c r="BC3" s="272"/>
      <c r="BD3" s="272"/>
      <c r="BE3" s="272"/>
      <c r="BF3" s="272"/>
      <c r="BG3" s="54"/>
      <c r="BH3" s="275" t="s">
        <v>109</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8" customFormat="1" ht="50.1" customHeight="1">
      <c r="A4" s="59" t="s">
        <v>98</v>
      </c>
      <c r="B4" s="71"/>
      <c r="C4" s="59" t="s">
        <v>114</v>
      </c>
      <c r="D4" s="59" t="s">
        <v>392</v>
      </c>
      <c r="E4" s="59" t="s">
        <v>114</v>
      </c>
      <c r="F4" s="59" t="s">
        <v>392</v>
      </c>
      <c r="G4" s="59" t="s">
        <v>114</v>
      </c>
      <c r="H4" s="59" t="s">
        <v>392</v>
      </c>
      <c r="I4" s="59" t="s">
        <v>114</v>
      </c>
      <c r="J4" s="59" t="s">
        <v>392</v>
      </c>
      <c r="K4" s="59" t="s">
        <v>114</v>
      </c>
      <c r="L4" s="59" t="s">
        <v>392</v>
      </c>
      <c r="M4" s="59" t="s">
        <v>114</v>
      </c>
      <c r="N4" s="59" t="s">
        <v>392</v>
      </c>
      <c r="O4" s="59" t="s">
        <v>114</v>
      </c>
      <c r="P4" s="59" t="s">
        <v>392</v>
      </c>
      <c r="Q4" s="59" t="s">
        <v>114</v>
      </c>
      <c r="R4" s="59" t="s">
        <v>392</v>
      </c>
      <c r="S4" s="59" t="s">
        <v>114</v>
      </c>
      <c r="T4" s="59" t="s">
        <v>392</v>
      </c>
      <c r="V4" s="59" t="s">
        <v>114</v>
      </c>
      <c r="W4" s="59" t="s">
        <v>392</v>
      </c>
      <c r="X4" s="59" t="s">
        <v>114</v>
      </c>
      <c r="Y4" s="59" t="s">
        <v>392</v>
      </c>
      <c r="Z4" s="59" t="s">
        <v>114</v>
      </c>
      <c r="AA4" s="59" t="s">
        <v>392</v>
      </c>
      <c r="AB4" s="59" t="s">
        <v>114</v>
      </c>
      <c r="AC4" s="59" t="s">
        <v>392</v>
      </c>
      <c r="AD4" s="59" t="s">
        <v>114</v>
      </c>
      <c r="AE4" s="59" t="s">
        <v>392</v>
      </c>
      <c r="AF4" s="59" t="s">
        <v>114</v>
      </c>
      <c r="AG4" s="59" t="s">
        <v>392</v>
      </c>
      <c r="AH4" s="59" t="s">
        <v>114</v>
      </c>
      <c r="AI4" s="59" t="s">
        <v>392</v>
      </c>
      <c r="AJ4" s="59" t="s">
        <v>114</v>
      </c>
      <c r="AK4" s="59" t="s">
        <v>392</v>
      </c>
      <c r="AL4" s="59" t="s">
        <v>114</v>
      </c>
      <c r="AM4" s="59" t="s">
        <v>392</v>
      </c>
      <c r="AO4" s="59" t="s">
        <v>114</v>
      </c>
      <c r="AP4" s="59" t="s">
        <v>392</v>
      </c>
      <c r="AQ4" s="59" t="s">
        <v>114</v>
      </c>
      <c r="AR4" s="59" t="s">
        <v>392</v>
      </c>
      <c r="AS4" s="59" t="s">
        <v>114</v>
      </c>
      <c r="AT4" s="59" t="s">
        <v>392</v>
      </c>
      <c r="AU4" s="59" t="s">
        <v>114</v>
      </c>
      <c r="AV4" s="59" t="s">
        <v>392</v>
      </c>
      <c r="AW4" s="59" t="s">
        <v>114</v>
      </c>
      <c r="AX4" s="59" t="s">
        <v>392</v>
      </c>
      <c r="AY4" s="59" t="s">
        <v>114</v>
      </c>
      <c r="AZ4" s="59" t="s">
        <v>392</v>
      </c>
      <c r="BA4" s="59" t="s">
        <v>114</v>
      </c>
      <c r="BB4" s="59" t="s">
        <v>392</v>
      </c>
      <c r="BC4" s="59" t="s">
        <v>114</v>
      </c>
      <c r="BD4" s="59" t="s">
        <v>392</v>
      </c>
      <c r="BE4" s="59" t="s">
        <v>114</v>
      </c>
      <c r="BF4" s="59" t="s">
        <v>392</v>
      </c>
      <c r="BH4" s="59" t="s">
        <v>114</v>
      </c>
      <c r="BI4" s="59" t="s">
        <v>392</v>
      </c>
      <c r="BJ4" s="59" t="s">
        <v>114</v>
      </c>
      <c r="BK4" s="59" t="s">
        <v>392</v>
      </c>
      <c r="BL4" s="59" t="s">
        <v>114</v>
      </c>
      <c r="BM4" s="59" t="s">
        <v>392</v>
      </c>
      <c r="BN4" s="59" t="s">
        <v>114</v>
      </c>
      <c r="BO4" s="59" t="s">
        <v>392</v>
      </c>
      <c r="BP4" s="59" t="s">
        <v>114</v>
      </c>
      <c r="BQ4" s="59" t="s">
        <v>392</v>
      </c>
      <c r="BR4" s="59" t="s">
        <v>114</v>
      </c>
      <c r="BS4" s="59" t="s">
        <v>392</v>
      </c>
      <c r="BT4" s="59" t="s">
        <v>114</v>
      </c>
      <c r="BU4" s="59" t="s">
        <v>392</v>
      </c>
      <c r="BV4" s="59" t="s">
        <v>114</v>
      </c>
      <c r="BW4" s="59" t="s">
        <v>392</v>
      </c>
      <c r="BX4" s="59" t="s">
        <v>114</v>
      </c>
      <c r="BY4" s="59" t="s">
        <v>392</v>
      </c>
      <c r="BZ4" s="59" t="s">
        <v>114</v>
      </c>
      <c r="CA4" s="59" t="s">
        <v>392</v>
      </c>
      <c r="CB4" s="59" t="s">
        <v>114</v>
      </c>
      <c r="CC4" s="59" t="s">
        <v>392</v>
      </c>
      <c r="CD4" s="59" t="s">
        <v>114</v>
      </c>
      <c r="CE4" s="59" t="s">
        <v>392</v>
      </c>
      <c r="CF4" s="59" t="s">
        <v>114</v>
      </c>
      <c r="CG4" s="59" t="s">
        <v>392</v>
      </c>
      <c r="CH4" s="59" t="s">
        <v>114</v>
      </c>
      <c r="CI4" s="59" t="s">
        <v>392</v>
      </c>
      <c r="CJ4" s="59" t="s">
        <v>114</v>
      </c>
      <c r="CK4" s="59" t="s">
        <v>392</v>
      </c>
      <c r="CL4" s="59" t="s">
        <v>114</v>
      </c>
      <c r="CM4" s="59" t="s">
        <v>392</v>
      </c>
      <c r="CN4" s="59" t="s">
        <v>114</v>
      </c>
      <c r="CO4" s="59" t="s">
        <v>392</v>
      </c>
      <c r="CP4" s="59" t="s">
        <v>114</v>
      </c>
      <c r="CQ4" s="59" t="s">
        <v>392</v>
      </c>
      <c r="CR4" s="59" t="s">
        <v>114</v>
      </c>
      <c r="CS4" s="59" t="s">
        <v>392</v>
      </c>
    </row>
    <row r="5" spans="1:97" s="27" customFormat="1" ht="39.950000000000003" customHeight="1">
      <c r="A5" s="60"/>
      <c r="B5" s="72"/>
      <c r="C5" s="26"/>
      <c r="D5" s="26"/>
      <c r="E5" s="26"/>
      <c r="F5" s="26"/>
      <c r="G5" s="26"/>
      <c r="H5" s="26"/>
      <c r="I5" s="26"/>
      <c r="J5" s="26"/>
      <c r="K5" s="26"/>
      <c r="L5" s="26"/>
      <c r="M5" s="26"/>
      <c r="N5" s="26"/>
      <c r="O5" s="26"/>
      <c r="P5" s="26"/>
      <c r="Q5" s="26"/>
      <c r="R5" s="26"/>
      <c r="S5" s="26"/>
      <c r="T5" s="26"/>
      <c r="V5" s="26"/>
      <c r="W5" s="26"/>
      <c r="X5" s="63"/>
      <c r="Y5" s="26"/>
      <c r="Z5" s="26"/>
      <c r="AA5" s="26"/>
      <c r="AB5" s="26"/>
      <c r="AC5" s="26"/>
      <c r="AD5" s="26"/>
      <c r="AE5" s="26"/>
      <c r="AF5" s="26"/>
      <c r="AG5" s="26"/>
      <c r="AH5" s="26"/>
      <c r="AI5" s="26"/>
      <c r="AJ5" s="26"/>
      <c r="AK5" s="26"/>
      <c r="AL5" s="64"/>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1" customFormat="1" ht="39.950000000000003" customHeight="1">
      <c r="A6" s="60"/>
      <c r="C6" s="26"/>
      <c r="D6" s="26"/>
      <c r="E6" s="26"/>
      <c r="F6" s="26"/>
      <c r="G6" s="26"/>
      <c r="H6" s="26"/>
      <c r="I6" s="26"/>
      <c r="J6" s="26"/>
      <c r="K6" s="26"/>
      <c r="L6" s="26"/>
      <c r="M6" s="26"/>
      <c r="N6" s="26"/>
      <c r="O6" s="26"/>
      <c r="P6" s="26"/>
      <c r="Q6" s="26"/>
      <c r="R6" s="26"/>
      <c r="S6" s="26"/>
      <c r="T6" s="26"/>
      <c r="V6" s="26"/>
      <c r="W6" s="26"/>
      <c r="X6" s="63"/>
      <c r="Y6" s="26"/>
      <c r="Z6" s="26"/>
      <c r="AA6" s="26"/>
      <c r="AB6" s="26"/>
      <c r="AC6" s="26"/>
      <c r="AD6" s="26"/>
      <c r="AE6" s="26"/>
      <c r="AF6" s="26"/>
      <c r="AG6" s="26"/>
      <c r="AH6" s="26"/>
      <c r="AI6" s="26"/>
      <c r="AJ6" s="26"/>
      <c r="AK6" s="26"/>
      <c r="AL6" s="63"/>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1" customFormat="1" ht="39.950000000000003" customHeight="1">
      <c r="A7" s="60"/>
      <c r="C7" s="26"/>
      <c r="D7" s="26"/>
      <c r="E7" s="26"/>
      <c r="F7" s="26"/>
      <c r="G7" s="26"/>
      <c r="H7" s="26"/>
      <c r="I7" s="26"/>
      <c r="J7" s="26"/>
      <c r="K7" s="26"/>
      <c r="L7" s="70"/>
      <c r="M7" s="26"/>
      <c r="N7" s="26"/>
      <c r="O7" s="26"/>
      <c r="P7" s="26"/>
      <c r="Q7" s="26"/>
      <c r="R7" s="26"/>
      <c r="S7" s="26"/>
      <c r="T7" s="26"/>
      <c r="V7" s="26"/>
      <c r="W7" s="26"/>
      <c r="X7" s="63"/>
      <c r="Y7" s="26"/>
      <c r="Z7" s="26"/>
      <c r="AA7" s="26"/>
      <c r="AB7" s="26"/>
      <c r="AC7" s="26"/>
      <c r="AD7" s="26"/>
      <c r="AE7" s="26"/>
      <c r="AF7" s="26"/>
      <c r="AG7" s="26"/>
      <c r="AH7" s="26"/>
      <c r="AI7" s="26"/>
      <c r="AJ7" s="26"/>
      <c r="AK7" s="26"/>
      <c r="AL7" s="63"/>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2" customFormat="1" ht="39.950000000000003" customHeight="1">
      <c r="A8" s="60"/>
      <c r="C8" s="66"/>
      <c r="D8" s="26"/>
      <c r="E8" s="66"/>
      <c r="F8" s="26"/>
      <c r="G8" s="66"/>
      <c r="H8" s="26"/>
      <c r="I8" s="66"/>
      <c r="J8" s="26"/>
      <c r="K8" s="66"/>
      <c r="L8" s="26"/>
      <c r="M8" s="66"/>
      <c r="N8" s="26"/>
      <c r="O8" s="26"/>
      <c r="P8" s="26"/>
      <c r="Q8" s="66"/>
      <c r="R8" s="26"/>
      <c r="S8" s="66"/>
      <c r="T8" s="26"/>
      <c r="V8" s="26"/>
      <c r="W8" s="26"/>
      <c r="X8" s="65"/>
      <c r="Y8" s="26"/>
      <c r="Z8" s="66"/>
      <c r="AA8" s="26"/>
      <c r="AB8" s="66"/>
      <c r="AC8" s="26"/>
      <c r="AD8" s="66"/>
      <c r="AE8" s="26"/>
      <c r="AF8" s="26"/>
      <c r="AG8" s="26"/>
      <c r="AH8" s="66"/>
      <c r="AI8" s="26"/>
      <c r="AJ8" s="66"/>
      <c r="AK8" s="26"/>
      <c r="AL8" s="65"/>
      <c r="AM8" s="26"/>
      <c r="AO8" s="66"/>
      <c r="AP8" s="26"/>
      <c r="AQ8" s="66"/>
      <c r="AR8" s="26"/>
      <c r="AS8" s="66"/>
      <c r="AT8" s="26"/>
      <c r="AU8" s="66"/>
      <c r="AV8" s="26"/>
      <c r="AW8" s="66"/>
      <c r="AX8" s="26"/>
      <c r="AY8" s="66"/>
      <c r="AZ8" s="26"/>
      <c r="BA8" s="66"/>
      <c r="BB8" s="26"/>
      <c r="BC8" s="66"/>
      <c r="BD8" s="26"/>
      <c r="BE8" s="66"/>
      <c r="BF8" s="26"/>
      <c r="BH8" s="66"/>
      <c r="BI8" s="26"/>
      <c r="BJ8" s="66"/>
      <c r="BK8" s="26"/>
      <c r="BL8" s="66"/>
      <c r="BM8" s="26"/>
      <c r="BN8" s="66"/>
      <c r="BO8" s="26"/>
      <c r="BP8" s="66"/>
      <c r="BQ8" s="26"/>
      <c r="BR8" s="66"/>
      <c r="BS8" s="26"/>
      <c r="BT8" s="26"/>
      <c r="BU8" s="26"/>
      <c r="BV8" s="66"/>
      <c r="BW8" s="26"/>
      <c r="BX8" s="66"/>
      <c r="BY8" s="26"/>
      <c r="BZ8" s="66"/>
      <c r="CA8" s="26"/>
      <c r="CB8" s="66"/>
      <c r="CC8" s="26"/>
      <c r="CD8" s="66"/>
      <c r="CE8" s="26"/>
      <c r="CF8" s="66"/>
      <c r="CG8" s="26"/>
      <c r="CH8" s="66"/>
      <c r="CI8" s="26"/>
      <c r="CJ8" s="66"/>
      <c r="CK8" s="26"/>
      <c r="CL8" s="66"/>
      <c r="CM8" s="26"/>
      <c r="CN8" s="66"/>
      <c r="CO8" s="26"/>
      <c r="CP8" s="66"/>
      <c r="CQ8" s="26"/>
      <c r="CR8" s="66"/>
      <c r="CS8" s="66"/>
    </row>
    <row r="9" spans="1:97" s="62" customFormat="1" ht="39.950000000000003" customHeight="1">
      <c r="A9" s="60"/>
      <c r="C9" s="66"/>
      <c r="D9" s="26"/>
      <c r="E9" s="66"/>
      <c r="F9" s="26"/>
      <c r="G9" s="66"/>
      <c r="H9" s="26"/>
      <c r="I9" s="66"/>
      <c r="J9" s="26"/>
      <c r="K9" s="66"/>
      <c r="L9" s="26"/>
      <c r="M9" s="66"/>
      <c r="N9" s="26"/>
      <c r="O9" s="66"/>
      <c r="P9" s="26"/>
      <c r="Q9" s="66"/>
      <c r="R9" s="26"/>
      <c r="S9" s="66"/>
      <c r="T9" s="26"/>
      <c r="V9" s="66"/>
      <c r="W9" s="26"/>
      <c r="X9" s="65"/>
      <c r="Y9" s="26"/>
      <c r="Z9" s="66"/>
      <c r="AA9" s="26"/>
      <c r="AB9" s="66"/>
      <c r="AC9" s="26"/>
      <c r="AD9" s="66"/>
      <c r="AE9" s="26"/>
      <c r="AF9" s="26"/>
      <c r="AG9" s="26"/>
      <c r="AH9" s="66"/>
      <c r="AI9" s="26"/>
      <c r="AJ9" s="66"/>
      <c r="AK9" s="26"/>
      <c r="AL9" s="65"/>
      <c r="AM9" s="26"/>
      <c r="AO9" s="66"/>
      <c r="AP9" s="26"/>
      <c r="AQ9" s="66"/>
      <c r="AR9" s="26"/>
      <c r="AS9" s="66"/>
      <c r="AT9" s="26"/>
      <c r="AU9" s="66"/>
      <c r="AV9" s="26"/>
      <c r="AW9" s="66"/>
      <c r="AX9" s="26"/>
      <c r="AY9" s="66"/>
      <c r="AZ9" s="26"/>
      <c r="BA9" s="66"/>
      <c r="BB9" s="26"/>
      <c r="BC9" s="66"/>
      <c r="BD9" s="26"/>
      <c r="BE9" s="66"/>
      <c r="BF9" s="26"/>
      <c r="BH9" s="66"/>
      <c r="BI9" s="26"/>
      <c r="BJ9" s="66"/>
      <c r="BK9" s="26"/>
      <c r="BL9" s="66"/>
      <c r="BM9" s="26"/>
      <c r="BN9" s="66"/>
      <c r="BO9" s="26"/>
      <c r="BP9" s="66"/>
      <c r="BQ9" s="26"/>
      <c r="BR9" s="66"/>
      <c r="BS9" s="26"/>
      <c r="BT9" s="26"/>
      <c r="BU9" s="26"/>
      <c r="BV9" s="66"/>
      <c r="BW9" s="26"/>
      <c r="BX9" s="66"/>
      <c r="BY9" s="26"/>
      <c r="BZ9" s="66"/>
      <c r="CA9" s="26"/>
      <c r="CB9" s="66"/>
      <c r="CC9" s="26"/>
      <c r="CD9" s="66"/>
      <c r="CE9" s="26"/>
      <c r="CF9" s="66"/>
      <c r="CG9" s="26"/>
      <c r="CH9" s="66"/>
      <c r="CI9" s="26"/>
      <c r="CJ9" s="66"/>
      <c r="CK9" s="26"/>
      <c r="CL9" s="66"/>
      <c r="CM9" s="26"/>
      <c r="CN9" s="66"/>
      <c r="CO9" s="26"/>
      <c r="CP9" s="66"/>
      <c r="CQ9" s="26"/>
      <c r="CR9" s="66"/>
      <c r="CS9" s="66"/>
    </row>
    <row r="10" spans="1:97" s="62" customFormat="1" ht="39.950000000000003" customHeight="1">
      <c r="A10" s="60"/>
      <c r="C10" s="66"/>
      <c r="D10" s="26"/>
      <c r="E10" s="66"/>
      <c r="F10" s="26"/>
      <c r="G10" s="66"/>
      <c r="H10" s="26"/>
      <c r="I10" s="66"/>
      <c r="J10" s="26"/>
      <c r="K10" s="66"/>
      <c r="L10" s="26"/>
      <c r="M10" s="66"/>
      <c r="N10" s="26"/>
      <c r="O10" s="66"/>
      <c r="P10" s="26"/>
      <c r="Q10" s="66"/>
      <c r="R10" s="26"/>
      <c r="S10" s="66"/>
      <c r="T10" s="26"/>
      <c r="V10" s="66"/>
      <c r="W10" s="26"/>
      <c r="X10" s="65"/>
      <c r="Y10" s="26"/>
      <c r="Z10" s="66"/>
      <c r="AA10" s="26"/>
      <c r="AB10" s="66"/>
      <c r="AC10" s="26"/>
      <c r="AD10" s="66"/>
      <c r="AE10" s="26"/>
      <c r="AF10" s="26"/>
      <c r="AG10" s="26"/>
      <c r="AH10" s="66"/>
      <c r="AI10" s="26"/>
      <c r="AJ10" s="66"/>
      <c r="AK10" s="26"/>
      <c r="AL10" s="65"/>
      <c r="AM10" s="26"/>
      <c r="AO10" s="66"/>
      <c r="AP10" s="26"/>
      <c r="AQ10" s="66"/>
      <c r="AR10" s="26"/>
      <c r="AS10" s="66"/>
      <c r="AT10" s="26"/>
      <c r="AU10" s="66"/>
      <c r="AV10" s="26"/>
      <c r="AW10" s="66"/>
      <c r="AX10" s="26"/>
      <c r="AY10" s="66"/>
      <c r="AZ10" s="26"/>
      <c r="BA10" s="66"/>
      <c r="BB10" s="26"/>
      <c r="BC10" s="66"/>
      <c r="BD10" s="26"/>
      <c r="BE10" s="66"/>
      <c r="BF10" s="26"/>
      <c r="BH10" s="66"/>
      <c r="BI10" s="26"/>
      <c r="BJ10" s="66"/>
      <c r="BK10" s="26"/>
      <c r="BL10" s="66"/>
      <c r="BM10" s="26"/>
      <c r="BN10" s="66"/>
      <c r="BO10" s="26"/>
      <c r="BP10" s="66"/>
      <c r="BQ10" s="26"/>
      <c r="BR10" s="66"/>
      <c r="BS10" s="26"/>
      <c r="BT10" s="26"/>
      <c r="BU10" s="26"/>
      <c r="BV10" s="66"/>
      <c r="BW10" s="26"/>
      <c r="BX10" s="66"/>
      <c r="BY10" s="26"/>
      <c r="BZ10" s="66"/>
      <c r="CA10" s="26"/>
      <c r="CB10" s="66"/>
      <c r="CC10" s="26"/>
      <c r="CD10" s="66"/>
      <c r="CE10" s="26"/>
      <c r="CF10" s="66"/>
      <c r="CG10" s="26"/>
      <c r="CH10" s="66"/>
      <c r="CI10" s="26"/>
      <c r="CJ10" s="66"/>
      <c r="CK10" s="26"/>
      <c r="CL10" s="66"/>
      <c r="CM10" s="26"/>
      <c r="CN10" s="66"/>
      <c r="CO10" s="26"/>
      <c r="CP10" s="66"/>
      <c r="CQ10" s="26"/>
      <c r="CR10" s="66"/>
      <c r="CS10" s="66"/>
    </row>
    <row r="11" spans="1:97" s="62" customFormat="1" ht="39.950000000000003" customHeight="1">
      <c r="A11" s="60"/>
      <c r="C11" s="66"/>
      <c r="D11" s="26"/>
      <c r="E11" s="66"/>
      <c r="F11" s="26"/>
      <c r="G11" s="66"/>
      <c r="H11" s="26"/>
      <c r="I11" s="66"/>
      <c r="J11" s="26"/>
      <c r="K11" s="66"/>
      <c r="L11" s="26"/>
      <c r="M11" s="66"/>
      <c r="N11" s="26"/>
      <c r="O11" s="66"/>
      <c r="P11" s="26"/>
      <c r="Q11" s="66"/>
      <c r="R11" s="26"/>
      <c r="S11" s="66"/>
      <c r="T11" s="26"/>
      <c r="V11" s="66"/>
      <c r="W11" s="26"/>
      <c r="X11" s="65"/>
      <c r="Y11" s="26"/>
      <c r="Z11" s="66"/>
      <c r="AA11" s="26"/>
      <c r="AB11" s="66"/>
      <c r="AC11" s="26"/>
      <c r="AD11" s="66"/>
      <c r="AE11" s="26"/>
      <c r="AF11" s="26"/>
      <c r="AG11" s="26"/>
      <c r="AH11" s="66"/>
      <c r="AI11" s="26"/>
      <c r="AJ11" s="66"/>
      <c r="AK11" s="26"/>
      <c r="AL11" s="65"/>
      <c r="AM11" s="26"/>
      <c r="AO11" s="66"/>
      <c r="AP11" s="26"/>
      <c r="AQ11" s="66"/>
      <c r="AR11" s="26"/>
      <c r="AS11" s="66"/>
      <c r="AT11" s="26"/>
      <c r="AU11" s="66"/>
      <c r="AV11" s="26"/>
      <c r="AW11" s="66"/>
      <c r="AX11" s="26"/>
      <c r="AY11" s="66"/>
      <c r="AZ11" s="26"/>
      <c r="BA11" s="66"/>
      <c r="BB11" s="26"/>
      <c r="BC11" s="66"/>
      <c r="BD11" s="26"/>
      <c r="BE11" s="66"/>
      <c r="BF11" s="26"/>
      <c r="BH11" s="66"/>
      <c r="BI11" s="26"/>
      <c r="BJ11" s="66"/>
      <c r="BK11" s="26"/>
      <c r="BL11" s="66"/>
      <c r="BM11" s="26"/>
      <c r="BN11" s="66"/>
      <c r="BO11" s="26"/>
      <c r="BP11" s="66"/>
      <c r="BQ11" s="26"/>
      <c r="BR11" s="66"/>
      <c r="BS11" s="26"/>
      <c r="BT11" s="26"/>
      <c r="BU11" s="26"/>
      <c r="BV11" s="66"/>
      <c r="BW11" s="26"/>
      <c r="BX11" s="66"/>
      <c r="BY11" s="26"/>
      <c r="BZ11" s="66"/>
      <c r="CA11" s="26"/>
      <c r="CB11" s="66"/>
      <c r="CC11" s="26"/>
      <c r="CD11" s="66"/>
      <c r="CE11" s="26"/>
      <c r="CF11" s="66"/>
      <c r="CG11" s="26"/>
      <c r="CH11" s="66"/>
      <c r="CI11" s="26"/>
      <c r="CJ11" s="66"/>
      <c r="CK11" s="26"/>
      <c r="CL11" s="66"/>
      <c r="CM11" s="26"/>
      <c r="CN11" s="66"/>
      <c r="CO11" s="26"/>
      <c r="CP11" s="66"/>
      <c r="CQ11" s="26"/>
      <c r="CR11" s="66"/>
      <c r="CS11" s="66"/>
    </row>
    <row r="12" spans="1:97" s="62" customFormat="1" ht="39.950000000000003" customHeight="1">
      <c r="A12" s="60"/>
      <c r="C12" s="66"/>
      <c r="D12" s="66"/>
      <c r="E12" s="66"/>
      <c r="F12" s="66"/>
      <c r="G12" s="66"/>
      <c r="H12" s="66"/>
      <c r="I12" s="66"/>
      <c r="J12" s="66"/>
      <c r="K12" s="66"/>
      <c r="L12" s="66"/>
      <c r="M12" s="66"/>
      <c r="N12" s="66"/>
      <c r="O12" s="66"/>
      <c r="P12" s="66"/>
      <c r="Q12" s="66"/>
      <c r="R12" s="66"/>
      <c r="S12" s="66"/>
      <c r="T12" s="66"/>
      <c r="V12" s="66"/>
      <c r="W12" s="66"/>
      <c r="X12" s="66"/>
      <c r="Y12" s="66"/>
      <c r="Z12" s="66"/>
      <c r="AA12" s="66"/>
      <c r="AB12" s="66"/>
      <c r="AC12" s="66"/>
      <c r="AD12" s="66"/>
      <c r="AE12" s="66"/>
      <c r="AF12" s="66"/>
      <c r="AG12" s="66"/>
      <c r="AH12" s="66"/>
      <c r="AI12" s="66"/>
      <c r="AJ12" s="66"/>
      <c r="AK12" s="66"/>
      <c r="AL12" s="66"/>
      <c r="AM12" s="66"/>
      <c r="AO12" s="66"/>
      <c r="AP12" s="66"/>
      <c r="AQ12" s="66"/>
      <c r="AR12" s="66"/>
      <c r="AS12" s="66"/>
      <c r="AT12" s="66"/>
      <c r="AU12" s="66"/>
      <c r="AV12" s="66"/>
      <c r="AW12" s="66"/>
      <c r="AX12" s="66"/>
      <c r="AY12" s="66"/>
      <c r="AZ12" s="66"/>
      <c r="BA12" s="66"/>
      <c r="BB12" s="66"/>
      <c r="BC12" s="66"/>
      <c r="BD12" s="66"/>
      <c r="BE12" s="66"/>
      <c r="BF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row>
    <row r="13" spans="1:97" s="62" customFormat="1" ht="39.950000000000003" customHeight="1">
      <c r="A13" s="60"/>
      <c r="C13" s="66"/>
      <c r="D13" s="66"/>
      <c r="E13" s="66"/>
      <c r="F13" s="66"/>
      <c r="G13" s="66"/>
      <c r="H13" s="66"/>
      <c r="I13" s="66"/>
      <c r="J13" s="66"/>
      <c r="K13" s="66"/>
      <c r="L13" s="66"/>
      <c r="M13" s="66"/>
      <c r="N13" s="66"/>
      <c r="O13" s="66"/>
      <c r="P13" s="66"/>
      <c r="Q13" s="66"/>
      <c r="R13" s="66"/>
      <c r="S13" s="66"/>
      <c r="T13" s="66"/>
      <c r="V13" s="66"/>
      <c r="W13" s="66"/>
      <c r="X13" s="66"/>
      <c r="Y13" s="66"/>
      <c r="Z13" s="66"/>
      <c r="AA13" s="66"/>
      <c r="AB13" s="66"/>
      <c r="AC13" s="66"/>
      <c r="AD13" s="66"/>
      <c r="AE13" s="66"/>
      <c r="AF13" s="66"/>
      <c r="AG13" s="66"/>
      <c r="AH13" s="66"/>
      <c r="AI13" s="66"/>
      <c r="AJ13" s="66"/>
      <c r="AK13" s="66"/>
      <c r="AL13" s="66"/>
      <c r="AM13" s="66"/>
      <c r="AO13" s="66"/>
      <c r="AP13" s="66"/>
      <c r="AQ13" s="66"/>
      <c r="AR13" s="66"/>
      <c r="AS13" s="66"/>
      <c r="AT13" s="66"/>
      <c r="AU13" s="66"/>
      <c r="AV13" s="66"/>
      <c r="AW13" s="66"/>
      <c r="AX13" s="66"/>
      <c r="AY13" s="66"/>
      <c r="AZ13" s="66"/>
      <c r="BA13" s="66"/>
      <c r="BB13" s="66"/>
      <c r="BC13" s="66"/>
      <c r="BD13" s="66"/>
      <c r="BE13" s="66"/>
      <c r="BF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row>
    <row r="14" spans="1:97" s="62" customFormat="1" ht="39.950000000000003" customHeight="1">
      <c r="A14" s="60"/>
      <c r="C14" s="66"/>
      <c r="D14" s="66"/>
      <c r="E14" s="66"/>
      <c r="F14" s="66"/>
      <c r="G14" s="66"/>
      <c r="H14" s="66"/>
      <c r="I14" s="66"/>
      <c r="J14" s="66"/>
      <c r="K14" s="66"/>
      <c r="L14" s="66"/>
      <c r="M14" s="66"/>
      <c r="N14" s="66"/>
      <c r="O14" s="66"/>
      <c r="P14" s="66"/>
      <c r="Q14" s="66"/>
      <c r="R14" s="66"/>
      <c r="S14" s="66"/>
      <c r="T14" s="66"/>
      <c r="V14" s="66"/>
      <c r="W14" s="66"/>
      <c r="X14" s="66"/>
      <c r="Y14" s="66"/>
      <c r="Z14" s="66"/>
      <c r="AA14" s="66"/>
      <c r="AB14" s="66"/>
      <c r="AC14" s="66"/>
      <c r="AD14" s="66"/>
      <c r="AE14" s="66"/>
      <c r="AF14" s="66"/>
      <c r="AG14" s="66"/>
      <c r="AH14" s="66"/>
      <c r="AI14" s="66"/>
      <c r="AJ14" s="66"/>
      <c r="AK14" s="66"/>
      <c r="AL14" s="66"/>
      <c r="AM14" s="66"/>
      <c r="AO14" s="66"/>
      <c r="AP14" s="66"/>
      <c r="AQ14" s="66"/>
      <c r="AR14" s="66"/>
      <c r="AS14" s="66"/>
      <c r="AT14" s="66"/>
      <c r="AU14" s="66"/>
      <c r="AV14" s="66"/>
      <c r="AW14" s="66"/>
      <c r="AX14" s="66"/>
      <c r="AY14" s="66"/>
      <c r="AZ14" s="66"/>
      <c r="BA14" s="66"/>
      <c r="BB14" s="66"/>
      <c r="BC14" s="66"/>
      <c r="BD14" s="66"/>
      <c r="BE14" s="66"/>
      <c r="BF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row>
    <row r="15" spans="1:97" s="62" customFormat="1" ht="39.950000000000003" customHeight="1">
      <c r="A15" s="60"/>
      <c r="C15" s="66"/>
      <c r="D15" s="66"/>
      <c r="E15" s="66"/>
      <c r="F15" s="66"/>
      <c r="G15" s="66"/>
      <c r="H15" s="66"/>
      <c r="I15" s="66"/>
      <c r="J15" s="66"/>
      <c r="K15" s="66"/>
      <c r="L15" s="66"/>
      <c r="M15" s="66"/>
      <c r="N15" s="66"/>
      <c r="O15" s="66"/>
      <c r="P15" s="66"/>
      <c r="Q15" s="66"/>
      <c r="R15" s="66"/>
      <c r="S15" s="66"/>
      <c r="T15" s="66"/>
      <c r="V15" s="66"/>
      <c r="W15" s="66"/>
      <c r="X15" s="66"/>
      <c r="Y15" s="66"/>
      <c r="Z15" s="66"/>
      <c r="AA15" s="66"/>
      <c r="AB15" s="66"/>
      <c r="AC15" s="66"/>
      <c r="AD15" s="66"/>
      <c r="AE15" s="66"/>
      <c r="AF15" s="66"/>
      <c r="AG15" s="66"/>
      <c r="AH15" s="66"/>
      <c r="AI15" s="66"/>
      <c r="AJ15" s="66"/>
      <c r="AK15" s="66"/>
      <c r="AL15" s="66"/>
      <c r="AM15" s="66"/>
      <c r="AO15" s="66"/>
      <c r="AP15" s="66"/>
      <c r="AQ15" s="66"/>
      <c r="AR15" s="66"/>
      <c r="AS15" s="66"/>
      <c r="AT15" s="66"/>
      <c r="AU15" s="66"/>
      <c r="AV15" s="66"/>
      <c r="AW15" s="66"/>
      <c r="AX15" s="66"/>
      <c r="AY15" s="66"/>
      <c r="AZ15" s="66"/>
      <c r="BA15" s="66"/>
      <c r="BB15" s="66"/>
      <c r="BC15" s="66"/>
      <c r="BD15" s="66"/>
      <c r="BE15" s="66"/>
      <c r="BF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row>
    <row r="16" spans="1:97" s="62" customFormat="1" ht="39.950000000000003" customHeight="1">
      <c r="A16" s="60"/>
      <c r="C16" s="66"/>
      <c r="D16" s="66"/>
      <c r="E16" s="66"/>
      <c r="F16" s="66"/>
      <c r="G16" s="66"/>
      <c r="H16" s="66"/>
      <c r="I16" s="66"/>
      <c r="J16" s="66"/>
      <c r="K16" s="66"/>
      <c r="L16" s="66"/>
      <c r="M16" s="66"/>
      <c r="N16" s="66"/>
      <c r="O16" s="66"/>
      <c r="P16" s="66"/>
      <c r="Q16" s="66"/>
      <c r="R16" s="66"/>
      <c r="S16" s="66"/>
      <c r="T16" s="66"/>
      <c r="V16" s="66"/>
      <c r="W16" s="66"/>
      <c r="X16" s="66"/>
      <c r="Y16" s="66"/>
      <c r="Z16" s="66"/>
      <c r="AA16" s="66"/>
      <c r="AB16" s="66"/>
      <c r="AC16" s="66"/>
      <c r="AD16" s="66"/>
      <c r="AE16" s="66"/>
      <c r="AF16" s="66"/>
      <c r="AG16" s="66"/>
      <c r="AH16" s="66"/>
      <c r="AI16" s="66"/>
      <c r="AJ16" s="66"/>
      <c r="AK16" s="66"/>
      <c r="AL16" s="66"/>
      <c r="AM16" s="66"/>
      <c r="AO16" s="66"/>
      <c r="AP16" s="66"/>
      <c r="AQ16" s="66"/>
      <c r="AR16" s="66"/>
      <c r="AS16" s="66"/>
      <c r="AT16" s="66"/>
      <c r="AU16" s="66"/>
      <c r="AV16" s="66"/>
      <c r="AW16" s="66"/>
      <c r="AX16" s="66"/>
      <c r="AY16" s="66"/>
      <c r="AZ16" s="66"/>
      <c r="BA16" s="66"/>
      <c r="BB16" s="66"/>
      <c r="BC16" s="66"/>
      <c r="BD16" s="66"/>
      <c r="BE16" s="66"/>
      <c r="BF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row>
    <row r="17" spans="1:97" s="62" customFormat="1" ht="39.950000000000003" customHeight="1">
      <c r="A17" s="60"/>
      <c r="C17" s="66"/>
      <c r="D17" s="66"/>
      <c r="E17" s="66"/>
      <c r="F17" s="66"/>
      <c r="G17" s="66"/>
      <c r="H17" s="66"/>
      <c r="I17" s="66"/>
      <c r="J17" s="66"/>
      <c r="K17" s="66"/>
      <c r="L17" s="66"/>
      <c r="M17" s="66"/>
      <c r="N17" s="66"/>
      <c r="O17" s="66"/>
      <c r="P17" s="66"/>
      <c r="Q17" s="66"/>
      <c r="R17" s="66"/>
      <c r="S17" s="66"/>
      <c r="T17" s="66"/>
      <c r="V17" s="66"/>
      <c r="W17" s="66"/>
      <c r="X17" s="66"/>
      <c r="Y17" s="66"/>
      <c r="Z17" s="66"/>
      <c r="AA17" s="66"/>
      <c r="AB17" s="66"/>
      <c r="AC17" s="66"/>
      <c r="AD17" s="66"/>
      <c r="AE17" s="66"/>
      <c r="AF17" s="66"/>
      <c r="AG17" s="66"/>
      <c r="AH17" s="66"/>
      <c r="AI17" s="66"/>
      <c r="AJ17" s="66"/>
      <c r="AK17" s="66"/>
      <c r="AL17" s="66"/>
      <c r="AM17" s="66"/>
      <c r="AO17" s="66"/>
      <c r="AP17" s="66"/>
      <c r="AQ17" s="66"/>
      <c r="AR17" s="66"/>
      <c r="AS17" s="66"/>
      <c r="AT17" s="66"/>
      <c r="AU17" s="66"/>
      <c r="AV17" s="66"/>
      <c r="AW17" s="66"/>
      <c r="AX17" s="66"/>
      <c r="AY17" s="66"/>
      <c r="AZ17" s="66"/>
      <c r="BA17" s="66"/>
      <c r="BB17" s="66"/>
      <c r="BC17" s="66"/>
      <c r="BD17" s="66"/>
      <c r="BE17" s="66"/>
      <c r="BF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row>
    <row r="18" spans="1:97" s="62" customFormat="1" ht="39.950000000000003" customHeight="1">
      <c r="A18" s="60"/>
      <c r="C18" s="66"/>
      <c r="D18" s="66"/>
      <c r="E18" s="66"/>
      <c r="F18" s="66"/>
      <c r="G18" s="66"/>
      <c r="H18" s="66"/>
      <c r="I18" s="66"/>
      <c r="J18" s="66"/>
      <c r="K18" s="66"/>
      <c r="L18" s="66"/>
      <c r="M18" s="66"/>
      <c r="N18" s="66"/>
      <c r="O18" s="66"/>
      <c r="P18" s="66"/>
      <c r="Q18" s="66"/>
      <c r="R18" s="66"/>
      <c r="S18" s="66"/>
      <c r="T18" s="66"/>
      <c r="V18" s="66"/>
      <c r="W18" s="66"/>
      <c r="X18" s="66"/>
      <c r="Y18" s="66"/>
      <c r="Z18" s="66"/>
      <c r="AA18" s="66"/>
      <c r="AB18" s="66"/>
      <c r="AC18" s="66"/>
      <c r="AD18" s="66"/>
      <c r="AE18" s="66"/>
      <c r="AF18" s="66"/>
      <c r="AG18" s="66"/>
      <c r="AH18" s="66"/>
      <c r="AI18" s="66"/>
      <c r="AJ18" s="66"/>
      <c r="AK18" s="66"/>
      <c r="AL18" s="66"/>
      <c r="AM18" s="66"/>
      <c r="AO18" s="66"/>
      <c r="AP18" s="66"/>
      <c r="AQ18" s="66"/>
      <c r="AR18" s="66"/>
      <c r="AS18" s="66"/>
      <c r="AT18" s="66"/>
      <c r="AU18" s="66"/>
      <c r="AV18" s="66"/>
      <c r="AW18" s="66"/>
      <c r="AX18" s="66"/>
      <c r="AY18" s="66"/>
      <c r="AZ18" s="66"/>
      <c r="BA18" s="66"/>
      <c r="BB18" s="66"/>
      <c r="BC18" s="66"/>
      <c r="BD18" s="66"/>
      <c r="BE18" s="66"/>
      <c r="BF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row>
    <row r="19" spans="1:97" s="62" customFormat="1" ht="39.950000000000003" customHeight="1">
      <c r="A19" s="60"/>
      <c r="C19" s="66"/>
      <c r="D19" s="66"/>
      <c r="E19" s="66"/>
      <c r="F19" s="66"/>
      <c r="G19" s="66"/>
      <c r="H19" s="66"/>
      <c r="I19" s="66"/>
      <c r="J19" s="66"/>
      <c r="K19" s="66"/>
      <c r="L19" s="66"/>
      <c r="M19" s="66"/>
      <c r="N19" s="66"/>
      <c r="O19" s="66"/>
      <c r="P19" s="66"/>
      <c r="Q19" s="66"/>
      <c r="R19" s="66"/>
      <c r="S19" s="66"/>
      <c r="T19" s="66"/>
      <c r="V19" s="66"/>
      <c r="W19" s="66"/>
      <c r="X19" s="66"/>
      <c r="Y19" s="66"/>
      <c r="Z19" s="66"/>
      <c r="AA19" s="66"/>
      <c r="AB19" s="66"/>
      <c r="AC19" s="66"/>
      <c r="AD19" s="66"/>
      <c r="AE19" s="66"/>
      <c r="AF19" s="66"/>
      <c r="AG19" s="66"/>
      <c r="AH19" s="66"/>
      <c r="AI19" s="66"/>
      <c r="AJ19" s="66"/>
      <c r="AK19" s="66"/>
      <c r="AL19" s="66"/>
      <c r="AM19" s="66"/>
      <c r="AO19" s="66"/>
      <c r="AP19" s="66"/>
      <c r="AQ19" s="66"/>
      <c r="AR19" s="66"/>
      <c r="AS19" s="66"/>
      <c r="AT19" s="66"/>
      <c r="AU19" s="66"/>
      <c r="AV19" s="66"/>
      <c r="AW19" s="66"/>
      <c r="AX19" s="66"/>
      <c r="AY19" s="66"/>
      <c r="AZ19" s="66"/>
      <c r="BA19" s="66"/>
      <c r="BB19" s="66"/>
      <c r="BC19" s="66"/>
      <c r="BD19" s="66"/>
      <c r="BE19" s="66"/>
      <c r="BF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row>
    <row r="20" spans="1:97" s="62" customFormat="1" ht="39.950000000000003" customHeight="1">
      <c r="A20" s="60"/>
      <c r="C20" s="66"/>
      <c r="D20" s="66"/>
      <c r="E20" s="66"/>
      <c r="F20" s="66"/>
      <c r="G20" s="66"/>
      <c r="H20" s="66"/>
      <c r="I20" s="66"/>
      <c r="J20" s="66"/>
      <c r="K20" s="66"/>
      <c r="L20" s="66"/>
      <c r="M20" s="66"/>
      <c r="N20" s="66"/>
      <c r="O20" s="66"/>
      <c r="P20" s="66"/>
      <c r="Q20" s="66"/>
      <c r="R20" s="66"/>
      <c r="S20" s="66"/>
      <c r="T20" s="66"/>
      <c r="V20" s="66"/>
      <c r="W20" s="66"/>
      <c r="X20" s="66"/>
      <c r="Y20" s="66"/>
      <c r="Z20" s="66"/>
      <c r="AA20" s="66"/>
      <c r="AB20" s="66"/>
      <c r="AC20" s="66"/>
      <c r="AD20" s="66"/>
      <c r="AE20" s="66"/>
      <c r="AF20" s="66"/>
      <c r="AG20" s="66"/>
      <c r="AH20" s="66"/>
      <c r="AI20" s="66"/>
      <c r="AJ20" s="66"/>
      <c r="AK20" s="66"/>
      <c r="AL20" s="66"/>
      <c r="AM20" s="66"/>
      <c r="AO20" s="66"/>
      <c r="AP20" s="66"/>
      <c r="AQ20" s="66"/>
      <c r="AR20" s="66"/>
      <c r="AS20" s="66"/>
      <c r="AT20" s="66"/>
      <c r="AU20" s="66"/>
      <c r="AV20" s="66"/>
      <c r="AW20" s="66"/>
      <c r="AX20" s="66"/>
      <c r="AY20" s="66"/>
      <c r="AZ20" s="66"/>
      <c r="BA20" s="66"/>
      <c r="BB20" s="66"/>
      <c r="BC20" s="66"/>
      <c r="BD20" s="66"/>
      <c r="BE20" s="66"/>
      <c r="BF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row>
    <row r="21" spans="1:97" s="62" customFormat="1" ht="39.950000000000003" customHeight="1">
      <c r="A21" s="60"/>
      <c r="C21" s="66"/>
      <c r="D21" s="66"/>
      <c r="E21" s="66"/>
      <c r="F21" s="66"/>
      <c r="G21" s="66"/>
      <c r="H21" s="66"/>
      <c r="I21" s="66"/>
      <c r="J21" s="66"/>
      <c r="K21" s="66"/>
      <c r="L21" s="66"/>
      <c r="M21" s="66"/>
      <c r="N21" s="66"/>
      <c r="O21" s="66"/>
      <c r="P21" s="66"/>
      <c r="Q21" s="66"/>
      <c r="R21" s="66"/>
      <c r="S21" s="66"/>
      <c r="T21" s="66"/>
      <c r="V21" s="66"/>
      <c r="W21" s="66"/>
      <c r="X21" s="66"/>
      <c r="Y21" s="66"/>
      <c r="Z21" s="66"/>
      <c r="AA21" s="66"/>
      <c r="AB21" s="66"/>
      <c r="AC21" s="66"/>
      <c r="AD21" s="66"/>
      <c r="AE21" s="66"/>
      <c r="AF21" s="66"/>
      <c r="AG21" s="66"/>
      <c r="AH21" s="66"/>
      <c r="AI21" s="66"/>
      <c r="AJ21" s="66"/>
      <c r="AK21" s="66"/>
      <c r="AL21" s="66"/>
      <c r="AM21" s="66"/>
      <c r="AO21" s="66"/>
      <c r="AP21" s="66"/>
      <c r="AQ21" s="66"/>
      <c r="AR21" s="66"/>
      <c r="AS21" s="66"/>
      <c r="AT21" s="66"/>
      <c r="AU21" s="66"/>
      <c r="AV21" s="66"/>
      <c r="AW21" s="66"/>
      <c r="AX21" s="66"/>
      <c r="AY21" s="66"/>
      <c r="AZ21" s="66"/>
      <c r="BA21" s="66"/>
      <c r="BB21" s="66"/>
      <c r="BC21" s="66"/>
      <c r="BD21" s="66"/>
      <c r="BE21" s="66"/>
      <c r="BF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row>
    <row r="22" spans="1:97" s="62" customFormat="1" ht="39.950000000000003" customHeight="1">
      <c r="A22" s="60"/>
      <c r="C22" s="66"/>
      <c r="D22" s="66"/>
      <c r="E22" s="66"/>
      <c r="F22" s="66"/>
      <c r="G22" s="66"/>
      <c r="H22" s="66"/>
      <c r="I22" s="66"/>
      <c r="J22" s="66"/>
      <c r="K22" s="66"/>
      <c r="L22" s="66"/>
      <c r="M22" s="66"/>
      <c r="N22" s="66"/>
      <c r="O22" s="66"/>
      <c r="P22" s="66"/>
      <c r="Q22" s="66"/>
      <c r="R22" s="66"/>
      <c r="S22" s="66"/>
      <c r="T22" s="66"/>
      <c r="V22" s="66"/>
      <c r="W22" s="66"/>
      <c r="X22" s="66"/>
      <c r="Y22" s="66"/>
      <c r="Z22" s="66"/>
      <c r="AA22" s="66"/>
      <c r="AB22" s="66"/>
      <c r="AC22" s="66"/>
      <c r="AD22" s="66"/>
      <c r="AE22" s="66"/>
      <c r="AF22" s="66"/>
      <c r="AG22" s="66"/>
      <c r="AH22" s="66"/>
      <c r="AI22" s="66"/>
      <c r="AJ22" s="66"/>
      <c r="AK22" s="66"/>
      <c r="AL22" s="66"/>
      <c r="AM22" s="66"/>
      <c r="AO22" s="66"/>
      <c r="AP22" s="66"/>
      <c r="AQ22" s="66"/>
      <c r="AR22" s="66"/>
      <c r="AS22" s="66"/>
      <c r="AT22" s="66"/>
      <c r="AU22" s="66"/>
      <c r="AV22" s="66"/>
      <c r="AW22" s="66"/>
      <c r="AX22" s="66"/>
      <c r="AY22" s="66"/>
      <c r="AZ22" s="66"/>
      <c r="BA22" s="66"/>
      <c r="BB22" s="66"/>
      <c r="BC22" s="66"/>
      <c r="BD22" s="66"/>
      <c r="BE22" s="66"/>
      <c r="BF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row>
    <row r="23" spans="1:97" s="62" customFormat="1" ht="39.950000000000003" customHeight="1">
      <c r="A23" s="60"/>
      <c r="C23" s="66"/>
      <c r="D23" s="66"/>
      <c r="E23" s="66"/>
      <c r="F23" s="66"/>
      <c r="G23" s="66"/>
      <c r="H23" s="66"/>
      <c r="I23" s="66"/>
      <c r="J23" s="66"/>
      <c r="K23" s="66"/>
      <c r="L23" s="66"/>
      <c r="M23" s="66"/>
      <c r="N23" s="66"/>
      <c r="O23" s="66"/>
      <c r="P23" s="66"/>
      <c r="Q23" s="66"/>
      <c r="R23" s="66"/>
      <c r="S23" s="66"/>
      <c r="T23" s="66"/>
      <c r="V23" s="66"/>
      <c r="W23" s="66"/>
      <c r="X23" s="66"/>
      <c r="Y23" s="66"/>
      <c r="Z23" s="66"/>
      <c r="AA23" s="66"/>
      <c r="AB23" s="66"/>
      <c r="AC23" s="66"/>
      <c r="AD23" s="66"/>
      <c r="AE23" s="66"/>
      <c r="AF23" s="66"/>
      <c r="AG23" s="66"/>
      <c r="AH23" s="66"/>
      <c r="AI23" s="66"/>
      <c r="AJ23" s="66"/>
      <c r="AK23" s="66"/>
      <c r="AL23" s="66"/>
      <c r="AM23" s="66"/>
      <c r="AO23" s="66"/>
      <c r="AP23" s="66"/>
      <c r="AQ23" s="66"/>
      <c r="AR23" s="66"/>
      <c r="AS23" s="66"/>
      <c r="AT23" s="66"/>
      <c r="AU23" s="66"/>
      <c r="AV23" s="66"/>
      <c r="AW23" s="66"/>
      <c r="AX23" s="66"/>
      <c r="AY23" s="66"/>
      <c r="AZ23" s="66"/>
      <c r="BA23" s="66"/>
      <c r="BB23" s="66"/>
      <c r="BC23" s="66"/>
      <c r="BD23" s="66"/>
      <c r="BE23" s="66"/>
      <c r="BF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row>
    <row r="24" spans="1:97" s="62" customFormat="1" ht="39.950000000000003" customHeight="1">
      <c r="A24" s="60"/>
      <c r="C24" s="66"/>
      <c r="D24" s="66"/>
      <c r="E24" s="66"/>
      <c r="F24" s="66"/>
      <c r="G24" s="66"/>
      <c r="H24" s="66"/>
      <c r="I24" s="66"/>
      <c r="J24" s="66"/>
      <c r="K24" s="66"/>
      <c r="L24" s="66"/>
      <c r="M24" s="66"/>
      <c r="N24" s="66"/>
      <c r="O24" s="66"/>
      <c r="P24" s="66"/>
      <c r="Q24" s="66"/>
      <c r="R24" s="66"/>
      <c r="S24" s="66"/>
      <c r="T24" s="66"/>
      <c r="V24" s="66"/>
      <c r="W24" s="66"/>
      <c r="X24" s="66"/>
      <c r="Y24" s="66"/>
      <c r="Z24" s="66"/>
      <c r="AA24" s="66"/>
      <c r="AB24" s="66"/>
      <c r="AC24" s="66"/>
      <c r="AD24" s="66"/>
      <c r="AE24" s="66"/>
      <c r="AF24" s="66"/>
      <c r="AG24" s="66"/>
      <c r="AH24" s="66"/>
      <c r="AI24" s="66"/>
      <c r="AJ24" s="66"/>
      <c r="AK24" s="66"/>
      <c r="AL24" s="66"/>
      <c r="AM24" s="66"/>
      <c r="AO24" s="66"/>
      <c r="AP24" s="66"/>
      <c r="AQ24" s="66"/>
      <c r="AR24" s="66"/>
      <c r="AS24" s="66"/>
      <c r="AT24" s="66"/>
      <c r="AU24" s="66"/>
      <c r="AV24" s="66"/>
      <c r="AW24" s="66"/>
      <c r="AX24" s="66"/>
      <c r="AY24" s="66"/>
      <c r="AZ24" s="66"/>
      <c r="BA24" s="66"/>
      <c r="BB24" s="66"/>
      <c r="BC24" s="66"/>
      <c r="BD24" s="66"/>
      <c r="BE24" s="66"/>
      <c r="BF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row>
    <row r="25" spans="1:97" s="51" customFormat="1" ht="39.950000000000003" customHeight="1">
      <c r="A25" s="60"/>
      <c r="C25" s="67"/>
      <c r="D25" s="67"/>
      <c r="E25" s="67"/>
      <c r="F25" s="67"/>
      <c r="G25" s="67"/>
      <c r="H25" s="67"/>
      <c r="I25" s="67"/>
      <c r="J25" s="67"/>
      <c r="K25" s="67"/>
      <c r="L25" s="67"/>
      <c r="M25" s="67"/>
      <c r="N25" s="67"/>
      <c r="O25" s="67"/>
      <c r="P25" s="67"/>
      <c r="Q25" s="67"/>
      <c r="R25" s="67"/>
      <c r="S25" s="67"/>
      <c r="T25" s="67"/>
      <c r="V25" s="66"/>
      <c r="W25" s="67"/>
      <c r="X25" s="67"/>
      <c r="Y25" s="67"/>
      <c r="Z25" s="67"/>
      <c r="AA25" s="67"/>
      <c r="AB25" s="67"/>
      <c r="AC25" s="67"/>
      <c r="AD25" s="67"/>
      <c r="AE25" s="67"/>
      <c r="AF25" s="67"/>
      <c r="AG25" s="67"/>
      <c r="AH25" s="67"/>
      <c r="AI25" s="67"/>
      <c r="AJ25" s="67"/>
      <c r="AK25" s="67"/>
      <c r="AL25" s="67"/>
      <c r="AM25" s="67"/>
      <c r="AO25" s="67"/>
      <c r="AP25" s="67"/>
      <c r="AQ25" s="67"/>
      <c r="AR25" s="67"/>
      <c r="AS25" s="67"/>
      <c r="AT25" s="67"/>
      <c r="AU25" s="67"/>
      <c r="AV25" s="67"/>
      <c r="AW25" s="67"/>
      <c r="AX25" s="67"/>
      <c r="AY25" s="67"/>
      <c r="AZ25" s="67"/>
      <c r="BA25" s="67"/>
      <c r="BB25" s="67"/>
      <c r="BC25" s="67"/>
      <c r="BD25" s="67"/>
      <c r="BE25" s="67"/>
      <c r="BF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row>
    <row r="26" spans="1:97" s="43" customFormat="1" ht="39.950000000000003" customHeight="1">
      <c r="A26" s="42"/>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row>
    <row r="27" spans="1:97" s="43" customFormat="1" ht="39.950000000000003" customHeight="1">
      <c r="A27" s="42"/>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row>
    <row r="28" spans="1:97" s="43" customFormat="1" ht="39.950000000000003" customHeight="1">
      <c r="A28" s="42"/>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row>
    <row r="29" spans="1:97" s="43" customFormat="1" ht="39.950000000000003" customHeight="1">
      <c r="A29" s="42"/>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row>
    <row r="30" spans="1:97" s="43" customFormat="1" ht="39.950000000000003" customHeight="1">
      <c r="A30" s="42"/>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row>
    <row r="31" spans="1:97" s="43" customFormat="1" ht="39.950000000000003" customHeight="1">
      <c r="A31" s="42"/>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row>
    <row r="32" spans="1:97" s="43" customFormat="1" ht="39.950000000000003" customHeight="1">
      <c r="A32" s="42"/>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row>
    <row r="33" spans="1:96" s="43" customFormat="1" ht="39.950000000000003" customHeight="1">
      <c r="A33" s="42"/>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row>
    <row r="34" spans="1:96" s="43" customFormat="1" ht="39.950000000000003" customHeight="1">
      <c r="A34" s="42"/>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row>
    <row r="35" spans="1:96" s="43" customFormat="1" ht="39.950000000000003" customHeight="1">
      <c r="A35" s="42"/>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row>
    <row r="36" spans="1:96" s="43" customFormat="1" ht="39.950000000000003" customHeight="1">
      <c r="A36" s="42"/>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row>
    <row r="37" spans="1:96" s="45" customFormat="1" ht="39.950000000000003" customHeight="1">
      <c r="A37" s="44"/>
      <c r="E37" s="52"/>
      <c r="F37" s="52"/>
      <c r="G37" s="52"/>
      <c r="H37" s="52"/>
      <c r="I37" s="52"/>
      <c r="J37" s="52"/>
      <c r="K37" s="52"/>
      <c r="L37" s="52"/>
      <c r="M37" s="52"/>
      <c r="N37" s="52"/>
      <c r="O37" s="52"/>
      <c r="P37" s="52"/>
      <c r="Q37" s="52"/>
      <c r="R37" s="52"/>
      <c r="S37" s="52"/>
      <c r="T37" s="52"/>
      <c r="U37" s="52"/>
      <c r="V37" s="51"/>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row>
    <row r="38" spans="1:96" s="47" customFormat="1" ht="39.950000000000003" customHeight="1">
      <c r="A38" s="46"/>
      <c r="E38" s="51"/>
      <c r="F38" s="51"/>
      <c r="G38" s="51"/>
      <c r="H38" s="51"/>
      <c r="I38" s="51"/>
      <c r="J38" s="51"/>
      <c r="K38" s="51"/>
      <c r="L38" s="51"/>
      <c r="M38" s="51"/>
      <c r="N38" s="51"/>
      <c r="O38" s="51"/>
      <c r="P38" s="51"/>
      <c r="Q38" s="51"/>
      <c r="R38" s="51"/>
      <c r="S38" s="51"/>
      <c r="T38" s="51"/>
      <c r="U38" s="51"/>
      <c r="V38" s="52"/>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row>
    <row r="39" spans="1:96" s="47" customFormat="1" ht="39.950000000000003" customHeight="1">
      <c r="A39" s="46"/>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row>
    <row r="40" spans="1:96" ht="39.950000000000003" customHeight="1">
      <c r="A40" s="11"/>
      <c r="V40" s="51"/>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2022-06-04T12:47:33Z</dcterms:modified>
  <cp:category/>
  <cp:contentStatus/>
</cp:coreProperties>
</file>