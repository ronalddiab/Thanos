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531" documentId="8_{B5C46BEE-2163-4AAC-A0A7-4875FCE1155D}" xr6:coauthVersionLast="47" xr6:coauthVersionMax="47" xr10:uidLastSave="{0BFBEFBB-7FF3-4197-B223-1A2153A6D442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  <c r="J15" i="2"/>
  <c r="AN18" i="2"/>
  <c r="F14" i="2"/>
  <c r="Z14" i="2"/>
  <c r="R18" i="2"/>
  <c r="AB12" i="2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AW28" i="2"/>
  <c r="AN27" i="2"/>
  <c r="AW26" i="2"/>
  <c r="AU22" i="2"/>
  <c r="AS22" i="2"/>
  <c r="AW22" i="2"/>
  <c r="D17" i="2"/>
  <c r="D18" i="2"/>
  <c r="AW18" i="2"/>
  <c r="AW17" i="2"/>
  <c r="N14" i="2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<sst xmlns="http://schemas.openxmlformats.org/spreadsheetml/2006/main" count="232" uniqueCount="61">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</sst>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29"/>
  <sheetViews>
    <sheetView topLeftCell="A8" workbookViewId="0">
      <selection activeCell="A31" sqref="A30:A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29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15512</v>
      </c>
      <c r="F13" s="15">
        <f>((Submetering!E13+Submetering!F13)*0.11+Submetering!G13*0.0302)/TOTAL!E13</f>
        <v>9.0425541516245489E-2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15645</v>
      </c>
      <c r="F15" s="15">
        <f>((Submetering!E15+Submetering!F15)*0.11+Submetering!G15*0.0302)/TOTAL!E15</f>
        <v>8.9979865771812093E-2</v>
      </c>
      <c r="G15" s="19">
        <f>Submetering!AC15</f>
        <v>2117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87</v>
      </c>
      <c r="L15" s="19">
        <f>Submetering!AF15</f>
        <v>134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15753</v>
      </c>
      <c r="F16" s="15">
        <f>((Submetering!E16+Submetering!F16)*0.11+Submetering!G16*0.0302)/TOTAL!E16</f>
        <v>9.0309617215768426E-2</v>
      </c>
      <c r="G16" s="19">
        <f>Submetering!AC16</f>
        <v>2151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96</v>
      </c>
      <c r="L16" s="19">
        <f>Submetering!AF16</f>
        <v>149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16141</v>
      </c>
      <c r="F17" s="15">
        <f>((Submetering!E17+Submetering!F17)*0.11+Submetering!G17*0.0302)/TOTAL!E17</f>
        <v>9.0006740598475937E-2</v>
      </c>
      <c r="G17" s="19">
        <f>Submetering!AC17</f>
        <v>2056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87</v>
      </c>
      <c r="L17" s="19">
        <f>Submetering!AF17</f>
        <v>140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14065</v>
      </c>
      <c r="F18" s="15">
        <f>((Submetering!E18+Submetering!F18)*0.11+Submetering!G18*0.0302)/TOTAL!E18</f>
        <v>8.959752577319588E-2</v>
      </c>
      <c r="G18" s="19">
        <f>Submetering!AC18</f>
        <v>1842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104</v>
      </c>
      <c r="L18" s="19">
        <f>Submetering!AF18</f>
        <v>161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15519</v>
      </c>
      <c r="F19" s="15">
        <f>((Submetering!E19+Submetering!F19)*0.11+Submetering!G19*0.0302)/TOTAL!E19</f>
        <v>9.0722327469553457E-2</v>
      </c>
      <c r="G19" s="19">
        <f>Submetering!AC19</f>
        <v>1855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122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15358</v>
      </c>
      <c r="F20" s="15">
        <f>((Submetering!E20+Submetering!F20)*0.11+Submetering!G20*0.0302)/TOTAL!E20</f>
        <v>9.0541020966271646E-2</v>
      </c>
      <c r="G20" s="19">
        <f>Submetering!AC20</f>
        <v>1975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128</v>
      </c>
      <c r="L20" s="19">
        <f>Submetering!AF20</f>
        <v>182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15521</v>
      </c>
      <c r="F21" s="15">
        <f>((Submetering!E21+Submetering!F21)*0.11+Submetering!G21*0.0302)/TOTAL!E21</f>
        <v>8.9881618452419321E-2</v>
      </c>
      <c r="G21" s="19">
        <f>Submetering!AC21</f>
        <v>2152</v>
      </c>
      <c r="H21" s="15">
        <v>0.25512900304306657</v>
      </c>
      <c r="I21" s="19">
        <f>Submetering!Y21+Submetering!Z21</f>
        <v>102</v>
      </c>
      <c r="J21" s="15">
        <v>2.3196172978505634</v>
      </c>
      <c r="K21" s="19">
        <f>Submetering!AE21</f>
        <v>145</v>
      </c>
      <c r="L21" s="19">
        <f>Submetering!AF21</f>
        <v>197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15572</v>
      </c>
      <c r="F22" s="15">
        <f>((Submetering!E22+Submetering!F22)*0.11+Submetering!G22*0.0302)/TOTAL!E22</f>
        <v>9.0582956588749042E-2</v>
      </c>
      <c r="G22" s="19">
        <f>Submetering!AC22</f>
        <v>2138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116</v>
      </c>
      <c r="L22" s="19">
        <f>Submetering!AF22</f>
        <v>163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16183</v>
      </c>
      <c r="F23" s="15">
        <f>((Submetering!E23+Submetering!F23)*0.11+Submetering!G23*0.0302)/TOTAL!E23</f>
        <v>9.0502428474324922E-2</v>
      </c>
      <c r="G23" s="19">
        <f>Submetering!AC23</f>
        <v>2365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109</v>
      </c>
      <c r="L23" s="19">
        <f>Submetering!AF23</f>
        <v>163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16364</v>
      </c>
      <c r="F24" s="15">
        <f>((Submetering!E24+Submetering!F24)*0.11+Submetering!G24*0.0302)/TOTAL!E24</f>
        <v>9.0947286726961618E-2</v>
      </c>
      <c r="G24" s="19">
        <f>Submetering!AC24</f>
        <v>2377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106</v>
      </c>
      <c r="L24" s="19">
        <f>Submetering!AF24</f>
        <v>161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15158</v>
      </c>
      <c r="F25" s="15">
        <f>((Submetering!E25+Submetering!F25)*0.11+Submetering!G25*0.0302)/TOTAL!E25</f>
        <v>9.0236891410476319E-2</v>
      </c>
      <c r="G25" s="19">
        <f>Submetering!AC25</f>
        <v>2338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118</v>
      </c>
      <c r="L25" s="19">
        <f>Submetering!AF25</f>
        <v>190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15578</v>
      </c>
      <c r="F26" s="15">
        <f>((Submetering!E26+Submetering!F26)*0.11+Submetering!G26*0.0302)/TOTAL!E26</f>
        <v>9.033430478880472E-2</v>
      </c>
      <c r="G26" s="19">
        <f>Submetering!AC26</f>
        <v>2466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125</v>
      </c>
      <c r="L26" s="19">
        <f>Submetering!AF26</f>
        <v>198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14960</v>
      </c>
      <c r="F27" s="15">
        <f>((Submetering!E27+Submetering!F27)*0.11+Submetering!G27*0.0302)/TOTAL!E27</f>
        <v>8.9820628342245981E-2</v>
      </c>
      <c r="G27" s="19">
        <f>Submetering!AC27</f>
        <v>2523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127</v>
      </c>
      <c r="L27" s="19">
        <f>Submetering!AF27</f>
        <v>182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15465</v>
      </c>
      <c r="F28" s="15">
        <f>((Submetering!E28+Submetering!F28)*0.11+Submetering!G28*0.0302)/TOTAL!E28</f>
        <v>8.9999689621726484E-2</v>
      </c>
      <c r="G28" s="19">
        <f>Submetering!AC28</f>
        <v>2603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154</v>
      </c>
      <c r="L28" s="19">
        <f>Submetering!AF28</f>
        <v>199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15828</v>
      </c>
      <c r="F29" s="15">
        <f>((Submetering!E29+Submetering!F29)*0.11+Submetering!G29*0.0302)/TOTAL!E29</f>
        <v>9.0821379833206969E-2</v>
      </c>
      <c r="G29" s="19">
        <f>Submetering!AC29</f>
        <v>2536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168</v>
      </c>
      <c r="L29" s="19">
        <f>Submetering!AF29</f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29"/>
  <sheetViews>
    <sheetView tabSelected="1" workbookViewId="0">
      <pane xSplit="2" ySplit="1" topLeftCell="U16" activePane="bottomRight" state="frozen"/>
      <selection pane="bottomRight" activeCell="AB29" sqref="AB29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29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2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4649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>
        <v>1395</v>
      </c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9422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33">
        <v>7102</v>
      </c>
      <c r="F15" s="33">
        <v>4618</v>
      </c>
      <c r="G15" s="33">
        <v>3925</v>
      </c>
      <c r="H15" s="33">
        <v>556</v>
      </c>
      <c r="I15" s="33">
        <v>483</v>
      </c>
      <c r="J15" s="33">
        <v>1272</v>
      </c>
      <c r="K15" s="33">
        <v>0</v>
      </c>
      <c r="L15" s="33">
        <v>393</v>
      </c>
      <c r="M15" s="33">
        <v>17</v>
      </c>
      <c r="N15" s="33">
        <v>901</v>
      </c>
      <c r="O15" s="33">
        <v>269</v>
      </c>
      <c r="P15" s="33">
        <v>437</v>
      </c>
      <c r="Q15" s="33">
        <v>2</v>
      </c>
      <c r="R15" s="33">
        <v>1235</v>
      </c>
      <c r="S15" s="33">
        <v>1913</v>
      </c>
      <c r="T15" s="33">
        <v>199</v>
      </c>
      <c r="U15" s="33">
        <v>45</v>
      </c>
      <c r="V15" s="33">
        <v>224</v>
      </c>
      <c r="W15" s="33">
        <v>567</v>
      </c>
      <c r="X15" s="33">
        <v>461</v>
      </c>
      <c r="Y15" s="34">
        <v>0</v>
      </c>
      <c r="Z15" s="34">
        <v>0</v>
      </c>
      <c r="AA15" s="33">
        <v>14</v>
      </c>
      <c r="AB15" s="33">
        <v>2</v>
      </c>
      <c r="AC15" s="33">
        <v>2117</v>
      </c>
      <c r="AD15" s="33">
        <v>1209</v>
      </c>
      <c r="AE15" s="33">
        <v>87</v>
      </c>
      <c r="AF15" s="33">
        <v>134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33">
        <v>7207</v>
      </c>
      <c r="F16" s="33">
        <v>4659</v>
      </c>
      <c r="G16" s="33">
        <v>3887</v>
      </c>
      <c r="H16" s="33">
        <v>588</v>
      </c>
      <c r="I16" s="33">
        <v>473</v>
      </c>
      <c r="J16" s="33">
        <v>1338</v>
      </c>
      <c r="K16" s="34">
        <v>0</v>
      </c>
      <c r="L16" s="33">
        <v>419</v>
      </c>
      <c r="M16" s="33">
        <v>16</v>
      </c>
      <c r="N16" s="33">
        <v>851</v>
      </c>
      <c r="O16" s="33">
        <v>262</v>
      </c>
      <c r="P16" s="33">
        <v>2281</v>
      </c>
      <c r="Q16" s="33">
        <v>3</v>
      </c>
      <c r="R16" s="33">
        <v>1219</v>
      </c>
      <c r="S16" s="33">
        <v>1828</v>
      </c>
      <c r="T16" s="33">
        <v>293</v>
      </c>
      <c r="U16" s="33">
        <v>45</v>
      </c>
      <c r="V16" s="33">
        <v>235</v>
      </c>
      <c r="W16" s="33">
        <v>597</v>
      </c>
      <c r="X16" s="33">
        <v>561</v>
      </c>
      <c r="Y16" s="34">
        <v>0</v>
      </c>
      <c r="Z16" s="34">
        <v>0</v>
      </c>
      <c r="AA16" s="33">
        <v>17</v>
      </c>
      <c r="AB16" s="33">
        <v>2</v>
      </c>
      <c r="AC16" s="33">
        <v>2151</v>
      </c>
      <c r="AD16" s="33">
        <v>1205</v>
      </c>
      <c r="AE16" s="33">
        <v>96</v>
      </c>
      <c r="AF16" s="33">
        <v>149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33">
        <v>7243</v>
      </c>
      <c r="F17" s="33">
        <v>4854</v>
      </c>
      <c r="G17" s="33">
        <v>4044</v>
      </c>
      <c r="H17" s="33">
        <v>560</v>
      </c>
      <c r="I17" s="33">
        <v>495</v>
      </c>
      <c r="J17" s="33">
        <v>1255</v>
      </c>
      <c r="K17" s="34">
        <v>0</v>
      </c>
      <c r="L17" s="33">
        <v>403</v>
      </c>
      <c r="M17" s="33">
        <v>16</v>
      </c>
      <c r="N17" s="33">
        <v>817</v>
      </c>
      <c r="O17" s="33">
        <v>313</v>
      </c>
      <c r="P17" s="33">
        <v>1467</v>
      </c>
      <c r="Q17" s="34">
        <v>2</v>
      </c>
      <c r="R17" s="33">
        <v>1257</v>
      </c>
      <c r="S17" s="33">
        <v>1890</v>
      </c>
      <c r="T17" s="33">
        <v>301</v>
      </c>
      <c r="U17" s="33">
        <v>47</v>
      </c>
      <c r="V17" s="33">
        <v>237</v>
      </c>
      <c r="W17" s="33">
        <v>665</v>
      </c>
      <c r="X17" s="33">
        <v>579</v>
      </c>
      <c r="Y17" s="34">
        <v>0</v>
      </c>
      <c r="Z17" s="34">
        <v>0</v>
      </c>
      <c r="AA17" s="33">
        <v>19</v>
      </c>
      <c r="AB17" s="33">
        <v>2</v>
      </c>
      <c r="AC17" s="33">
        <v>2056</v>
      </c>
      <c r="AD17" s="33">
        <v>1267</v>
      </c>
      <c r="AE17" s="33">
        <v>87</v>
      </c>
      <c r="AF17" s="33">
        <v>140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33">
        <v>6276</v>
      </c>
      <c r="F18" s="33">
        <v>4193</v>
      </c>
      <c r="G18" s="33">
        <v>3596</v>
      </c>
      <c r="H18" s="33">
        <v>543</v>
      </c>
      <c r="I18" s="33">
        <v>440</v>
      </c>
      <c r="J18" s="33">
        <v>1140</v>
      </c>
      <c r="K18" s="34">
        <v>0</v>
      </c>
      <c r="L18" s="33">
        <v>357</v>
      </c>
      <c r="M18" s="33">
        <v>15</v>
      </c>
      <c r="N18" s="33">
        <v>740</v>
      </c>
      <c r="O18" s="33">
        <v>278</v>
      </c>
      <c r="P18" s="33">
        <v>1059</v>
      </c>
      <c r="Q18" s="33">
        <v>3</v>
      </c>
      <c r="R18" s="33">
        <v>1115</v>
      </c>
      <c r="S18" s="33">
        <v>1580</v>
      </c>
      <c r="T18" s="33">
        <v>264</v>
      </c>
      <c r="U18" s="33">
        <v>41</v>
      </c>
      <c r="V18" s="33">
        <v>213</v>
      </c>
      <c r="W18" s="33">
        <v>546</v>
      </c>
      <c r="X18" s="33">
        <v>518</v>
      </c>
      <c r="Y18" s="34">
        <v>0</v>
      </c>
      <c r="Z18" s="34">
        <v>0</v>
      </c>
      <c r="AA18" s="33">
        <v>15</v>
      </c>
      <c r="AB18" s="33">
        <v>1</v>
      </c>
      <c r="AC18" s="33">
        <v>1842</v>
      </c>
      <c r="AD18" s="33">
        <v>1130</v>
      </c>
      <c r="AE18" s="33">
        <v>104</v>
      </c>
      <c r="AF18" s="33">
        <v>161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33">
        <v>7151</v>
      </c>
      <c r="F19" s="33">
        <v>4619</v>
      </c>
      <c r="G19" s="33">
        <v>3749</v>
      </c>
      <c r="H19" s="33">
        <v>567</v>
      </c>
      <c r="I19" s="33">
        <v>465</v>
      </c>
      <c r="J19" s="33">
        <v>1253</v>
      </c>
      <c r="K19" s="34">
        <v>0</v>
      </c>
      <c r="L19" s="33">
        <v>378</v>
      </c>
      <c r="M19" s="33">
        <v>33</v>
      </c>
      <c r="N19" s="33">
        <v>759</v>
      </c>
      <c r="O19" s="33">
        <v>277</v>
      </c>
      <c r="P19" s="33">
        <v>1658</v>
      </c>
      <c r="Q19" s="33">
        <v>2</v>
      </c>
      <c r="R19" s="33">
        <v>1172</v>
      </c>
      <c r="S19" s="33">
        <v>1853</v>
      </c>
      <c r="T19" s="33">
        <v>279</v>
      </c>
      <c r="U19" s="33">
        <v>43</v>
      </c>
      <c r="V19" s="33">
        <v>228</v>
      </c>
      <c r="W19" s="33">
        <v>576</v>
      </c>
      <c r="X19" s="33">
        <v>549</v>
      </c>
      <c r="Y19" s="33">
        <v>0</v>
      </c>
      <c r="Z19" s="34">
        <v>0</v>
      </c>
      <c r="AA19" s="33">
        <v>16</v>
      </c>
      <c r="AB19" s="33">
        <v>2</v>
      </c>
      <c r="AC19" s="33">
        <v>1855</v>
      </c>
      <c r="AD19" s="33">
        <v>1175</v>
      </c>
      <c r="AE19" s="33">
        <v>122</v>
      </c>
      <c r="AF19" s="33">
        <v>185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33">
        <v>6858</v>
      </c>
      <c r="F20" s="33">
        <v>4755</v>
      </c>
      <c r="G20" s="33">
        <v>3745</v>
      </c>
      <c r="H20" s="33">
        <v>568</v>
      </c>
      <c r="I20" s="33">
        <v>457</v>
      </c>
      <c r="J20" s="33">
        <v>1324</v>
      </c>
      <c r="K20" s="34">
        <v>0</v>
      </c>
      <c r="L20" s="33">
        <v>383</v>
      </c>
      <c r="M20" s="33">
        <v>17</v>
      </c>
      <c r="N20" s="33">
        <v>122</v>
      </c>
      <c r="O20" s="33">
        <v>169</v>
      </c>
      <c r="P20" s="33">
        <v>1513</v>
      </c>
      <c r="Q20" s="33">
        <v>3</v>
      </c>
      <c r="R20" s="33">
        <v>1191</v>
      </c>
      <c r="S20" s="33">
        <v>1882</v>
      </c>
      <c r="T20" s="33">
        <v>283</v>
      </c>
      <c r="U20" s="33">
        <v>45</v>
      </c>
      <c r="V20" s="33">
        <v>244</v>
      </c>
      <c r="W20" s="33">
        <v>626</v>
      </c>
      <c r="X20" s="33">
        <v>626</v>
      </c>
      <c r="Y20" s="33">
        <v>0</v>
      </c>
      <c r="Z20" s="34">
        <v>0</v>
      </c>
      <c r="AA20" s="33">
        <v>19</v>
      </c>
      <c r="AB20" s="33">
        <v>2</v>
      </c>
      <c r="AC20" s="33">
        <v>1975</v>
      </c>
      <c r="AD20" s="33">
        <v>1177</v>
      </c>
      <c r="AE20" s="33">
        <v>128</v>
      </c>
      <c r="AF20" s="33">
        <v>182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33">
        <v>6867</v>
      </c>
      <c r="F21" s="33">
        <v>4741</v>
      </c>
      <c r="G21" s="33">
        <v>3913</v>
      </c>
      <c r="H21" s="33">
        <v>1100</v>
      </c>
      <c r="I21" s="33">
        <v>444</v>
      </c>
      <c r="J21" s="33">
        <v>1303</v>
      </c>
      <c r="K21" s="34">
        <v>0</v>
      </c>
      <c r="L21" s="33">
        <v>389</v>
      </c>
      <c r="M21" s="33">
        <v>15</v>
      </c>
      <c r="N21" s="33">
        <v>1209</v>
      </c>
      <c r="O21" s="33">
        <v>167</v>
      </c>
      <c r="P21" s="33">
        <v>1538</v>
      </c>
      <c r="Q21" s="33">
        <v>2</v>
      </c>
      <c r="R21" s="33">
        <v>1183</v>
      </c>
      <c r="S21" s="33">
        <v>1871</v>
      </c>
      <c r="T21" s="33">
        <v>282</v>
      </c>
      <c r="U21" s="33">
        <v>44</v>
      </c>
      <c r="V21" s="33">
        <v>233</v>
      </c>
      <c r="W21" s="33">
        <v>582</v>
      </c>
      <c r="X21" s="33">
        <v>720</v>
      </c>
      <c r="Y21" s="33">
        <v>102</v>
      </c>
      <c r="Z21" s="34">
        <v>0</v>
      </c>
      <c r="AA21" s="33">
        <v>23</v>
      </c>
      <c r="AB21" s="33">
        <v>3</v>
      </c>
      <c r="AC21" s="33">
        <v>2152</v>
      </c>
      <c r="AD21" s="33">
        <v>1230</v>
      </c>
      <c r="AE21" s="33">
        <v>145</v>
      </c>
      <c r="AF21" s="33">
        <v>197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33">
        <v>6971</v>
      </c>
      <c r="F22" s="33">
        <v>4812</v>
      </c>
      <c r="G22" s="33">
        <v>3789</v>
      </c>
      <c r="H22" s="33">
        <v>45</v>
      </c>
      <c r="I22" s="33">
        <v>459</v>
      </c>
      <c r="J22" s="33">
        <v>1224</v>
      </c>
      <c r="K22" s="34">
        <v>0</v>
      </c>
      <c r="L22" s="33">
        <v>384</v>
      </c>
      <c r="M22" s="33">
        <v>16</v>
      </c>
      <c r="N22" s="33">
        <v>831</v>
      </c>
      <c r="O22" s="33">
        <v>251</v>
      </c>
      <c r="P22" s="33">
        <v>1450</v>
      </c>
      <c r="Q22" s="33">
        <v>2</v>
      </c>
      <c r="R22" s="33">
        <v>1191</v>
      </c>
      <c r="S22" s="33">
        <v>1868</v>
      </c>
      <c r="T22" s="33">
        <v>281</v>
      </c>
      <c r="U22" s="33">
        <v>43</v>
      </c>
      <c r="V22" s="33">
        <v>233</v>
      </c>
      <c r="W22" s="33">
        <v>556</v>
      </c>
      <c r="X22" s="33">
        <v>656</v>
      </c>
      <c r="Y22" s="33">
        <v>0</v>
      </c>
      <c r="Z22" s="34">
        <v>0</v>
      </c>
      <c r="AA22" s="33">
        <v>18</v>
      </c>
      <c r="AB22" s="33">
        <v>2</v>
      </c>
      <c r="AC22" s="33">
        <v>2138</v>
      </c>
      <c r="AD22" s="33">
        <v>1185</v>
      </c>
      <c r="AE22" s="33">
        <v>116</v>
      </c>
      <c r="AF22" s="33">
        <v>163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33">
        <v>7318</v>
      </c>
      <c r="F23" s="33">
        <v>4911</v>
      </c>
      <c r="G23" s="33">
        <v>3954</v>
      </c>
      <c r="H23" s="33">
        <v>558</v>
      </c>
      <c r="I23" s="33">
        <v>475</v>
      </c>
      <c r="J23" s="33">
        <v>1326</v>
      </c>
      <c r="K23" s="34">
        <v>0</v>
      </c>
      <c r="L23" s="33">
        <v>417</v>
      </c>
      <c r="M23" s="33">
        <v>16</v>
      </c>
      <c r="N23" s="33">
        <v>879</v>
      </c>
      <c r="O23" s="33">
        <v>261</v>
      </c>
      <c r="P23" s="33">
        <v>1489</v>
      </c>
      <c r="Q23" s="33">
        <v>3</v>
      </c>
      <c r="R23" s="33">
        <v>1217</v>
      </c>
      <c r="S23" s="33">
        <v>1935</v>
      </c>
      <c r="T23" s="33">
        <v>288</v>
      </c>
      <c r="U23" s="33">
        <v>45</v>
      </c>
      <c r="V23" s="33">
        <v>245</v>
      </c>
      <c r="W23" s="33">
        <v>572</v>
      </c>
      <c r="X23" s="33">
        <v>613</v>
      </c>
      <c r="Y23" s="33">
        <v>0</v>
      </c>
      <c r="Z23" s="34">
        <v>0</v>
      </c>
      <c r="AA23" s="33">
        <v>20</v>
      </c>
      <c r="AB23" s="33">
        <v>2</v>
      </c>
      <c r="AC23" s="33">
        <v>2365</v>
      </c>
      <c r="AD23" s="33">
        <v>1244</v>
      </c>
      <c r="AE23" s="33">
        <v>109</v>
      </c>
      <c r="AF23" s="33">
        <v>163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33">
        <v>7492</v>
      </c>
      <c r="F24" s="33">
        <v>4965</v>
      </c>
      <c r="G24" s="33">
        <v>3907</v>
      </c>
      <c r="H24" s="33">
        <v>548</v>
      </c>
      <c r="I24" s="33">
        <v>482</v>
      </c>
      <c r="J24" s="33">
        <v>1427</v>
      </c>
      <c r="K24" s="34">
        <v>0</v>
      </c>
      <c r="L24" s="33">
        <v>390</v>
      </c>
      <c r="M24" s="33">
        <v>16</v>
      </c>
      <c r="N24" s="33">
        <v>964</v>
      </c>
      <c r="O24" s="33">
        <v>238</v>
      </c>
      <c r="P24" s="33">
        <v>1503</v>
      </c>
      <c r="Q24" s="33">
        <v>2</v>
      </c>
      <c r="R24" s="33">
        <v>1231</v>
      </c>
      <c r="S24" s="33">
        <v>1968</v>
      </c>
      <c r="T24" s="33">
        <v>291</v>
      </c>
      <c r="U24" s="33">
        <v>45</v>
      </c>
      <c r="V24" s="33">
        <v>241</v>
      </c>
      <c r="W24" s="33">
        <v>578</v>
      </c>
      <c r="X24" s="33">
        <v>643</v>
      </c>
      <c r="Y24" s="34">
        <v>0</v>
      </c>
      <c r="Z24" s="34">
        <v>0</v>
      </c>
      <c r="AA24" s="33">
        <v>23</v>
      </c>
      <c r="AB24" s="33">
        <v>2</v>
      </c>
      <c r="AC24" s="33">
        <v>2377</v>
      </c>
      <c r="AD24" s="33">
        <v>1224</v>
      </c>
      <c r="AE24" s="33">
        <v>106</v>
      </c>
      <c r="AF24" s="33">
        <v>161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33">
        <v>6677</v>
      </c>
      <c r="F25" s="33">
        <v>4727</v>
      </c>
      <c r="G25" s="33">
        <v>3754</v>
      </c>
      <c r="H25" s="33">
        <v>567</v>
      </c>
      <c r="I25" s="33">
        <v>452</v>
      </c>
      <c r="J25" s="33">
        <v>1282</v>
      </c>
      <c r="K25" s="34">
        <v>0</v>
      </c>
      <c r="L25" s="33">
        <v>373</v>
      </c>
      <c r="M25" s="33">
        <v>16</v>
      </c>
      <c r="N25" s="33">
        <v>806</v>
      </c>
      <c r="O25" s="33">
        <v>195</v>
      </c>
      <c r="P25" s="33">
        <v>1188</v>
      </c>
      <c r="Q25" s="33">
        <v>3</v>
      </c>
      <c r="R25" s="33">
        <v>1167</v>
      </c>
      <c r="S25" s="33">
        <v>1856</v>
      </c>
      <c r="T25" s="33">
        <v>275</v>
      </c>
      <c r="U25" s="33">
        <v>43</v>
      </c>
      <c r="V25" s="33">
        <v>236</v>
      </c>
      <c r="W25" s="33">
        <v>589</v>
      </c>
      <c r="X25" s="33">
        <v>597</v>
      </c>
      <c r="Y25" s="34">
        <v>0</v>
      </c>
      <c r="Z25" s="34">
        <v>0</v>
      </c>
      <c r="AA25" s="33">
        <v>18</v>
      </c>
      <c r="AB25" s="33">
        <v>2</v>
      </c>
      <c r="AC25" s="33">
        <v>2338</v>
      </c>
      <c r="AD25" s="33">
        <v>1163</v>
      </c>
      <c r="AE25" s="33">
        <v>118</v>
      </c>
      <c r="AF25" s="33">
        <v>190</v>
      </c>
    </row>
    <row r="26" spans="1:32">
      <c r="A26" s="16" t="s">
        <v>12</v>
      </c>
      <c r="B26" s="7">
        <f>B25+1</f>
        <v>25</v>
      </c>
      <c r="C26" s="7">
        <v>2</v>
      </c>
      <c r="D26" s="39">
        <v>2023</v>
      </c>
      <c r="E26" s="33">
        <v>6868</v>
      </c>
      <c r="F26" s="33">
        <v>4871</v>
      </c>
      <c r="G26" s="33">
        <v>3839</v>
      </c>
      <c r="H26" s="33">
        <v>575</v>
      </c>
      <c r="I26" s="33">
        <v>457</v>
      </c>
      <c r="J26" s="33">
        <v>1296</v>
      </c>
      <c r="K26" s="34">
        <v>0</v>
      </c>
      <c r="L26" s="33">
        <v>381</v>
      </c>
      <c r="M26" s="33">
        <v>17</v>
      </c>
      <c r="N26" s="33">
        <v>824</v>
      </c>
      <c r="O26" s="33">
        <v>197</v>
      </c>
      <c r="P26" s="33">
        <v>1271</v>
      </c>
      <c r="Q26" s="33">
        <v>2</v>
      </c>
      <c r="R26" s="33">
        <v>1195</v>
      </c>
      <c r="S26" s="33">
        <v>1892</v>
      </c>
      <c r="T26" s="33">
        <v>283</v>
      </c>
      <c r="U26" s="33">
        <v>44</v>
      </c>
      <c r="V26" s="33">
        <v>231</v>
      </c>
      <c r="W26" s="33">
        <v>602</v>
      </c>
      <c r="X26" s="33">
        <v>604</v>
      </c>
      <c r="Y26" s="34">
        <v>0</v>
      </c>
      <c r="Z26" s="34">
        <v>0</v>
      </c>
      <c r="AA26" s="33">
        <v>18</v>
      </c>
      <c r="AB26" s="33">
        <v>2</v>
      </c>
      <c r="AC26" s="33">
        <v>2466</v>
      </c>
      <c r="AD26" s="33">
        <v>1193</v>
      </c>
      <c r="AE26" s="33">
        <v>125</v>
      </c>
      <c r="AF26" s="33">
        <v>198</v>
      </c>
    </row>
    <row r="27" spans="1:32">
      <c r="A27" s="16" t="s">
        <v>12</v>
      </c>
      <c r="B27" s="7">
        <f t="shared" si="0"/>
        <v>26</v>
      </c>
      <c r="C27" s="7">
        <v>2</v>
      </c>
      <c r="D27" s="39">
        <v>2023</v>
      </c>
      <c r="E27" s="33">
        <v>6456</v>
      </c>
      <c r="F27" s="33">
        <v>4721</v>
      </c>
      <c r="G27" s="33">
        <v>3783</v>
      </c>
      <c r="H27" s="33">
        <v>599</v>
      </c>
      <c r="I27" s="33">
        <v>429</v>
      </c>
      <c r="J27" s="33">
        <v>1239</v>
      </c>
      <c r="K27" s="34">
        <v>0</v>
      </c>
      <c r="L27" s="33">
        <v>381</v>
      </c>
      <c r="M27" s="33">
        <v>15</v>
      </c>
      <c r="N27" s="33">
        <v>692</v>
      </c>
      <c r="O27" s="33">
        <v>164</v>
      </c>
      <c r="P27" s="33">
        <v>1214</v>
      </c>
      <c r="Q27" s="33">
        <v>3</v>
      </c>
      <c r="R27" s="33">
        <v>1168</v>
      </c>
      <c r="S27" s="33">
        <v>1859</v>
      </c>
      <c r="T27" s="33">
        <v>277</v>
      </c>
      <c r="U27" s="33">
        <v>43</v>
      </c>
      <c r="V27" s="33">
        <v>241</v>
      </c>
      <c r="W27" s="33">
        <v>545</v>
      </c>
      <c r="X27" s="33">
        <v>666</v>
      </c>
      <c r="Y27" s="34">
        <v>0</v>
      </c>
      <c r="Z27" s="34">
        <v>0</v>
      </c>
      <c r="AA27" s="33">
        <v>23</v>
      </c>
      <c r="AB27" s="33">
        <v>2</v>
      </c>
      <c r="AC27" s="33">
        <v>2523</v>
      </c>
      <c r="AD27" s="33">
        <v>1176</v>
      </c>
      <c r="AE27" s="33">
        <v>127</v>
      </c>
      <c r="AF27" s="33">
        <v>182</v>
      </c>
    </row>
    <row r="28" spans="1:32">
      <c r="A28" s="16" t="s">
        <v>12</v>
      </c>
      <c r="B28" s="7">
        <f t="shared" si="0"/>
        <v>27</v>
      </c>
      <c r="C28" s="7">
        <v>2</v>
      </c>
      <c r="D28" s="39">
        <v>2023</v>
      </c>
      <c r="E28" s="33">
        <v>6772</v>
      </c>
      <c r="F28" s="33">
        <v>4817</v>
      </c>
      <c r="G28" s="33">
        <v>3876</v>
      </c>
      <c r="H28" s="33">
        <v>569</v>
      </c>
      <c r="I28" s="33">
        <v>448</v>
      </c>
      <c r="J28" s="33">
        <v>1429</v>
      </c>
      <c r="K28" s="34">
        <v>0</v>
      </c>
      <c r="L28" s="33">
        <v>393</v>
      </c>
      <c r="M28" s="33">
        <v>16</v>
      </c>
      <c r="N28" s="33">
        <v>755</v>
      </c>
      <c r="O28" s="33">
        <v>169</v>
      </c>
      <c r="P28" s="33">
        <v>1224</v>
      </c>
      <c r="Q28" s="33">
        <v>2</v>
      </c>
      <c r="R28" s="33">
        <v>1219</v>
      </c>
      <c r="S28" s="33">
        <v>1931</v>
      </c>
      <c r="T28" s="33">
        <v>290</v>
      </c>
      <c r="U28" s="33">
        <v>44</v>
      </c>
      <c r="V28" s="33">
        <v>229</v>
      </c>
      <c r="W28" s="33">
        <v>565</v>
      </c>
      <c r="X28" s="33">
        <v>650</v>
      </c>
      <c r="Y28" s="34">
        <v>0</v>
      </c>
      <c r="Z28" s="34">
        <v>0</v>
      </c>
      <c r="AA28" s="33">
        <v>17</v>
      </c>
      <c r="AB28" s="33">
        <v>2</v>
      </c>
      <c r="AC28" s="33">
        <v>2603</v>
      </c>
      <c r="AD28" s="33">
        <v>1196</v>
      </c>
      <c r="AE28" s="33">
        <v>154</v>
      </c>
      <c r="AF28" s="33">
        <v>199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40">
        <v>7079</v>
      </c>
      <c r="F29" s="40">
        <v>4945</v>
      </c>
      <c r="G29" s="40">
        <v>3804</v>
      </c>
      <c r="H29" s="40">
        <v>569</v>
      </c>
      <c r="I29" s="40">
        <v>461</v>
      </c>
      <c r="J29" s="40">
        <v>1488</v>
      </c>
      <c r="K29" s="41">
        <v>0</v>
      </c>
      <c r="L29" s="40">
        <v>392</v>
      </c>
      <c r="M29" s="40">
        <v>16</v>
      </c>
      <c r="N29" s="40">
        <v>912</v>
      </c>
      <c r="O29" s="40">
        <v>201</v>
      </c>
      <c r="P29" s="40">
        <v>1212</v>
      </c>
      <c r="Q29" s="40">
        <v>2</v>
      </c>
      <c r="R29" s="40">
        <v>1202</v>
      </c>
      <c r="S29" s="40">
        <v>1900</v>
      </c>
      <c r="T29" s="40">
        <v>285</v>
      </c>
      <c r="U29" s="40">
        <v>45</v>
      </c>
      <c r="V29" s="40">
        <v>231</v>
      </c>
      <c r="W29" s="40">
        <v>598</v>
      </c>
      <c r="X29" s="40">
        <v>666</v>
      </c>
      <c r="Y29" s="41">
        <v>0</v>
      </c>
      <c r="Z29" s="41">
        <v>0</v>
      </c>
      <c r="AA29" s="41">
        <v>41</v>
      </c>
      <c r="AB29" s="41">
        <v>4</v>
      </c>
      <c r="AC29" s="40">
        <v>2536</v>
      </c>
      <c r="AD29" s="40">
        <v>1168</v>
      </c>
      <c r="AE29" s="40">
        <v>168</v>
      </c>
      <c r="AF29" s="40">
        <v>218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opLeftCell="AE1" zoomScale="70" zoomScaleNormal="70" workbookViewId="0">
      <pane ySplit="1" topLeftCell="AS23" activePane="bottomLeft" state="frozen"/>
      <selection pane="bottomLeft" activeCell="AS30" sqref="AS3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1"/>
      <c r="C1" s="42" t="s">
        <v>13</v>
      </c>
      <c r="D1" s="43"/>
      <c r="E1" s="44" t="s">
        <v>14</v>
      </c>
      <c r="F1" s="44"/>
      <c r="G1" s="44" t="s">
        <v>15</v>
      </c>
      <c r="H1" s="44"/>
      <c r="I1" s="44" t="s">
        <v>16</v>
      </c>
      <c r="J1" s="44"/>
      <c r="K1" s="44" t="s">
        <v>17</v>
      </c>
      <c r="L1" s="44"/>
      <c r="M1" s="44" t="s">
        <v>40</v>
      </c>
      <c r="N1" s="44"/>
      <c r="O1" s="44" t="s">
        <v>41</v>
      </c>
      <c r="P1" s="44"/>
      <c r="Q1" s="44" t="s">
        <v>20</v>
      </c>
      <c r="R1" s="44"/>
      <c r="S1" s="44" t="s">
        <v>21</v>
      </c>
      <c r="T1" s="44"/>
      <c r="U1" s="44" t="s">
        <v>42</v>
      </c>
      <c r="V1" s="44"/>
      <c r="W1" s="44" t="s">
        <v>43</v>
      </c>
      <c r="X1" s="44"/>
      <c r="Y1" s="44" t="s">
        <v>24</v>
      </c>
      <c r="Z1" s="44"/>
      <c r="AA1" s="44" t="s">
        <v>25</v>
      </c>
      <c r="AB1" s="44"/>
      <c r="AC1" s="44" t="s">
        <v>26</v>
      </c>
      <c r="AD1" s="44"/>
      <c r="AE1" s="44" t="s">
        <v>27</v>
      </c>
      <c r="AF1" s="44"/>
      <c r="AG1" s="44" t="s">
        <v>28</v>
      </c>
      <c r="AH1" s="44"/>
      <c r="AI1" s="44" t="s">
        <v>29</v>
      </c>
      <c r="AJ1" s="44"/>
      <c r="AK1" s="44" t="s">
        <v>30</v>
      </c>
      <c r="AL1" s="44"/>
      <c r="AM1" s="44" t="s">
        <v>31</v>
      </c>
      <c r="AN1" s="44"/>
      <c r="AO1" s="44" t="s">
        <v>32</v>
      </c>
      <c r="AP1" s="44"/>
      <c r="AQ1" s="53"/>
      <c r="AR1" s="49" t="s">
        <v>44</v>
      </c>
      <c r="AS1" s="50"/>
      <c r="AT1" s="48" t="s">
        <v>45</v>
      </c>
      <c r="AU1" s="48"/>
      <c r="AV1" s="47" t="s">
        <v>46</v>
      </c>
      <c r="AW1" s="48"/>
      <c r="AX1" s="47" t="s">
        <v>47</v>
      </c>
      <c r="AY1" s="48"/>
      <c r="AZ1" s="45" t="s">
        <v>48</v>
      </c>
      <c r="BA1" s="46"/>
      <c r="BB1" s="45" t="s">
        <v>38</v>
      </c>
      <c r="BC1" s="46"/>
      <c r="BD1" s="11"/>
      <c r="BE1" s="11"/>
    </row>
    <row r="2" spans="1:60" ht="44.25" customHeight="1">
      <c r="A2" s="1" t="s">
        <v>49</v>
      </c>
      <c r="B2" s="52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3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52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53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52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53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52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54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52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53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52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53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52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53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52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53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52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53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52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53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52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53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1604</v>
      </c>
      <c r="AY12" s="9">
        <f t="shared" si="4"/>
        <v>2</v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52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53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52"/>
      <c r="C14" s="25">
        <v>32360696</v>
      </c>
      <c r="D14" s="9">
        <f t="shared" si="6"/>
        <v>7058</v>
      </c>
      <c r="E14" s="25">
        <v>32683688</v>
      </c>
      <c r="F14" s="9">
        <f t="shared" si="7"/>
        <v>4649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>
        <f t="shared" si="2"/>
        <v>1395</v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53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52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>
        <f>IF((I14-I15&lt;0), "0",I14-I15)</f>
        <v>9422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53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52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53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52"/>
      <c r="C17" s="25">
        <v>32382121</v>
      </c>
      <c r="D17" s="9">
        <f>IF((C17-C16&lt;0), "0",C17-C16)</f>
        <v>7207</v>
      </c>
      <c r="E17" s="25">
        <v>32697607</v>
      </c>
      <c r="F17" s="9">
        <f t="shared" si="7"/>
        <v>4659</v>
      </c>
      <c r="G17" s="25">
        <v>13918895</v>
      </c>
      <c r="H17" s="9">
        <f t="shared" si="1"/>
        <v>3887</v>
      </c>
      <c r="I17" s="25">
        <v>1953578</v>
      </c>
      <c r="J17" s="9">
        <f t="shared" si="8"/>
        <v>588</v>
      </c>
      <c r="K17" s="25">
        <v>3951781</v>
      </c>
      <c r="L17" s="9">
        <f t="shared" si="8"/>
        <v>473</v>
      </c>
      <c r="M17" s="25">
        <v>5202924</v>
      </c>
      <c r="N17" s="9">
        <f t="shared" ref="N17" si="54">IF((M17-M16&lt;0), "0",M17-M16)</f>
        <v>1338</v>
      </c>
      <c r="O17" s="30">
        <v>2271833</v>
      </c>
      <c r="P17" s="9">
        <f t="shared" ref="P17" si="55">IF((O17-O16&lt;0), "0",O17-O16)</f>
        <v>0</v>
      </c>
      <c r="Q17" s="25">
        <v>1588528</v>
      </c>
      <c r="R17" s="9">
        <f t="shared" ref="R17:R18" si="56">IF((Q17-Q16&lt;0), "0",Q17-Q16)</f>
        <v>419</v>
      </c>
      <c r="S17" s="25">
        <v>573481</v>
      </c>
      <c r="T17" s="9">
        <f t="shared" ref="T17" si="57">IF((S17-S16&lt;0), "0",S17-S16)</f>
        <v>16</v>
      </c>
      <c r="U17" s="25">
        <v>4945741</v>
      </c>
      <c r="V17" s="9">
        <f t="shared" si="53"/>
        <v>851</v>
      </c>
      <c r="W17" s="25">
        <v>1129779</v>
      </c>
      <c r="X17" s="9">
        <f t="shared" si="53"/>
        <v>262</v>
      </c>
      <c r="Y17" s="25">
        <v>5141328</v>
      </c>
      <c r="Z17" s="9">
        <f t="shared" si="53"/>
        <v>2281</v>
      </c>
      <c r="AA17" s="25">
        <v>2271973</v>
      </c>
      <c r="AB17" s="9">
        <f t="shared" si="53"/>
        <v>3</v>
      </c>
      <c r="AC17" s="25">
        <v>6437766</v>
      </c>
      <c r="AD17" s="9">
        <f t="shared" si="53"/>
        <v>1219</v>
      </c>
      <c r="AE17" s="25">
        <v>9274457</v>
      </c>
      <c r="AF17" s="9">
        <f t="shared" si="53"/>
        <v>1828</v>
      </c>
      <c r="AG17" s="25">
        <v>1542143</v>
      </c>
      <c r="AH17" s="9">
        <f t="shared" si="53"/>
        <v>293</v>
      </c>
      <c r="AI17" s="25">
        <v>288651</v>
      </c>
      <c r="AJ17" s="9">
        <f t="shared" si="53"/>
        <v>45</v>
      </c>
      <c r="AK17" s="25">
        <v>1212413</v>
      </c>
      <c r="AL17" s="9">
        <f t="shared" si="53"/>
        <v>235</v>
      </c>
      <c r="AM17" s="25">
        <v>2309356</v>
      </c>
      <c r="AN17" s="9">
        <f t="shared" si="53"/>
        <v>597</v>
      </c>
      <c r="AO17" s="25">
        <v>2236721</v>
      </c>
      <c r="AP17" s="9">
        <f t="shared" si="53"/>
        <v>561</v>
      </c>
      <c r="AQ17" s="53"/>
      <c r="AR17" s="17" t="s">
        <v>60</v>
      </c>
      <c r="AS17" s="9">
        <v>0</v>
      </c>
      <c r="AT17" s="17" t="s">
        <v>60</v>
      </c>
      <c r="AU17" s="9">
        <v>0</v>
      </c>
      <c r="AV17" s="25">
        <v>98489</v>
      </c>
      <c r="AW17" s="9">
        <f t="shared" si="3"/>
        <v>17</v>
      </c>
      <c r="AX17" s="25">
        <v>1614</v>
      </c>
      <c r="AY17" s="9">
        <f>IF((AX17-AX16&lt;0), "",AX17-AX16)</f>
        <v>2</v>
      </c>
      <c r="AZ17" s="25">
        <v>8488418</v>
      </c>
      <c r="BA17" s="9">
        <f t="shared" si="5"/>
        <v>2151</v>
      </c>
      <c r="BB17" s="25">
        <v>2036870</v>
      </c>
      <c r="BC17" s="9">
        <f t="shared" si="13"/>
        <v>1205</v>
      </c>
      <c r="BD17" s="25">
        <v>96</v>
      </c>
      <c r="BE17" s="25">
        <v>149</v>
      </c>
      <c r="BH17">
        <f t="shared" si="0"/>
        <v>0</v>
      </c>
    </row>
    <row r="18" spans="1:60" ht="45" customHeight="1">
      <c r="A18" s="8">
        <v>44973</v>
      </c>
      <c r="B18" s="52"/>
      <c r="C18" s="25">
        <v>32389364</v>
      </c>
      <c r="D18" s="9">
        <f>IF((C18-C17&lt;0), "0",C18-C17)</f>
        <v>7243</v>
      </c>
      <c r="E18" s="25">
        <v>32702461</v>
      </c>
      <c r="F18" s="9">
        <f t="shared" si="7"/>
        <v>4854</v>
      </c>
      <c r="G18" s="25">
        <v>13922939</v>
      </c>
      <c r="H18" s="9">
        <f t="shared" si="1"/>
        <v>4044</v>
      </c>
      <c r="I18" s="25">
        <v>1954138</v>
      </c>
      <c r="J18" s="9">
        <f t="shared" si="8"/>
        <v>560</v>
      </c>
      <c r="K18" s="25">
        <v>3952276</v>
      </c>
      <c r="L18" s="9">
        <f t="shared" si="8"/>
        <v>495</v>
      </c>
      <c r="M18" s="25">
        <v>5204179</v>
      </c>
      <c r="N18" s="9">
        <f t="shared" ref="N18" si="58">IF((M18-M17&lt;0), "0",M18-M17)</f>
        <v>1255</v>
      </c>
      <c r="O18" s="30">
        <v>2271833</v>
      </c>
      <c r="P18" s="9">
        <f t="shared" ref="P18" si="59">IF((O18-O17&lt;0), "0",O18-O17)</f>
        <v>0</v>
      </c>
      <c r="Q18" s="25">
        <v>1588931</v>
      </c>
      <c r="R18" s="9">
        <f t="shared" si="56"/>
        <v>403</v>
      </c>
      <c r="S18" s="25">
        <v>573497</v>
      </c>
      <c r="T18" s="9">
        <f t="shared" ref="T18" si="60">IF((S18-S17&lt;0), "0",S18-S17)</f>
        <v>16</v>
      </c>
      <c r="U18" s="25">
        <v>4946558</v>
      </c>
      <c r="V18" s="9">
        <f t="shared" si="53"/>
        <v>817</v>
      </c>
      <c r="W18" s="25">
        <v>1130092</v>
      </c>
      <c r="X18" s="9">
        <f t="shared" si="53"/>
        <v>313</v>
      </c>
      <c r="Y18" s="25">
        <v>5142795</v>
      </c>
      <c r="Z18" s="9">
        <f t="shared" si="53"/>
        <v>1467</v>
      </c>
      <c r="AA18" s="25">
        <v>2271975</v>
      </c>
      <c r="AB18" s="9">
        <f t="shared" si="53"/>
        <v>2</v>
      </c>
      <c r="AC18" s="25">
        <v>6439023</v>
      </c>
      <c r="AD18" s="9">
        <f t="shared" si="53"/>
        <v>1257</v>
      </c>
      <c r="AE18" s="25">
        <v>9276347</v>
      </c>
      <c r="AF18" s="9">
        <f t="shared" si="53"/>
        <v>1890</v>
      </c>
      <c r="AG18" s="25">
        <v>1542444</v>
      </c>
      <c r="AH18" s="9">
        <f t="shared" si="53"/>
        <v>301</v>
      </c>
      <c r="AI18" s="25">
        <v>288698</v>
      </c>
      <c r="AJ18" s="9">
        <f t="shared" si="53"/>
        <v>47</v>
      </c>
      <c r="AK18" s="25">
        <v>1212650</v>
      </c>
      <c r="AL18" s="9">
        <f t="shared" si="53"/>
        <v>237</v>
      </c>
      <c r="AM18" s="25">
        <v>2310021</v>
      </c>
      <c r="AN18" s="9">
        <f t="shared" si="53"/>
        <v>665</v>
      </c>
      <c r="AO18" s="25">
        <v>2237300</v>
      </c>
      <c r="AP18" s="9">
        <f t="shared" si="53"/>
        <v>579</v>
      </c>
      <c r="AQ18" s="53"/>
      <c r="AR18" s="17" t="s">
        <v>60</v>
      </c>
      <c r="AS18" s="9">
        <v>0</v>
      </c>
      <c r="AT18" s="17" t="s">
        <v>60</v>
      </c>
      <c r="AU18" s="9">
        <v>0</v>
      </c>
      <c r="AV18" s="25">
        <v>98508</v>
      </c>
      <c r="AW18" s="9">
        <f t="shared" si="3"/>
        <v>19</v>
      </c>
      <c r="AX18" s="25">
        <v>1616</v>
      </c>
      <c r="AY18" s="9">
        <f t="shared" si="4"/>
        <v>2</v>
      </c>
      <c r="AZ18" s="25">
        <v>8490474</v>
      </c>
      <c r="BA18" s="9">
        <f t="shared" si="5"/>
        <v>2056</v>
      </c>
      <c r="BB18" s="25">
        <v>2038137</v>
      </c>
      <c r="BC18" s="9">
        <f t="shared" si="13"/>
        <v>1267</v>
      </c>
      <c r="BD18" s="25">
        <v>87</v>
      </c>
      <c r="BE18" s="25">
        <v>140</v>
      </c>
      <c r="BH18">
        <f t="shared" si="0"/>
        <v>0</v>
      </c>
    </row>
    <row r="19" spans="1:60" ht="45" customHeight="1">
      <c r="A19" s="8">
        <v>44974</v>
      </c>
      <c r="B19" s="52"/>
      <c r="C19" s="25">
        <v>32395640</v>
      </c>
      <c r="D19" s="9">
        <f t="shared" si="6"/>
        <v>6276</v>
      </c>
      <c r="E19" s="25">
        <v>32706654</v>
      </c>
      <c r="F19" s="9">
        <f t="shared" si="7"/>
        <v>4193</v>
      </c>
      <c r="G19" s="25">
        <v>13926535</v>
      </c>
      <c r="H19" s="9">
        <f t="shared" si="1"/>
        <v>3596</v>
      </c>
      <c r="I19" s="25">
        <v>1954681</v>
      </c>
      <c r="J19" s="9">
        <f t="shared" si="8"/>
        <v>543</v>
      </c>
      <c r="K19" s="25">
        <v>3952716</v>
      </c>
      <c r="L19" s="9">
        <f t="shared" si="8"/>
        <v>440</v>
      </c>
      <c r="M19" s="25">
        <v>5205319</v>
      </c>
      <c r="N19" s="9">
        <f t="shared" ref="N19" si="61">IF((M19-M18&lt;0), "0",M19-M18)</f>
        <v>1140</v>
      </c>
      <c r="O19" s="30">
        <v>2271833</v>
      </c>
      <c r="P19" s="9">
        <f t="shared" ref="P19" si="62">IF((O19-O18&lt;0), "0",O19-O18)</f>
        <v>0</v>
      </c>
      <c r="Q19" s="25">
        <v>1589288</v>
      </c>
      <c r="R19" s="9">
        <f t="shared" ref="R19" si="63">IF((Q19-Q18&lt;0), "0",Q19-Q18)</f>
        <v>357</v>
      </c>
      <c r="S19" s="25">
        <v>573512</v>
      </c>
      <c r="T19" s="9">
        <f t="shared" ref="T19" si="64">IF((S19-S18&lt;0), "0",S19-S18)</f>
        <v>15</v>
      </c>
      <c r="U19" s="25">
        <v>4947298</v>
      </c>
      <c r="V19" s="9">
        <f t="shared" si="53"/>
        <v>740</v>
      </c>
      <c r="W19" s="25">
        <v>1130370</v>
      </c>
      <c r="X19" s="9">
        <f t="shared" si="53"/>
        <v>278</v>
      </c>
      <c r="Y19" s="25">
        <v>5143854</v>
      </c>
      <c r="Z19" s="9">
        <f t="shared" si="53"/>
        <v>1059</v>
      </c>
      <c r="AA19" s="25">
        <v>2271978</v>
      </c>
      <c r="AB19" s="9">
        <f t="shared" si="53"/>
        <v>3</v>
      </c>
      <c r="AC19" s="25">
        <v>6440138</v>
      </c>
      <c r="AD19" s="9">
        <f t="shared" si="53"/>
        <v>1115</v>
      </c>
      <c r="AE19" s="25">
        <v>9277927</v>
      </c>
      <c r="AF19" s="9">
        <f t="shared" si="53"/>
        <v>1580</v>
      </c>
      <c r="AG19" s="25">
        <v>1542708</v>
      </c>
      <c r="AH19" s="9">
        <f t="shared" si="53"/>
        <v>264</v>
      </c>
      <c r="AI19" s="25">
        <v>288739</v>
      </c>
      <c r="AJ19" s="9">
        <f t="shared" si="53"/>
        <v>41</v>
      </c>
      <c r="AK19" s="25">
        <v>1212863</v>
      </c>
      <c r="AL19" s="9">
        <f t="shared" si="53"/>
        <v>213</v>
      </c>
      <c r="AM19" s="25">
        <v>2310567</v>
      </c>
      <c r="AN19" s="9">
        <f t="shared" si="53"/>
        <v>546</v>
      </c>
      <c r="AO19" s="25">
        <v>2237818</v>
      </c>
      <c r="AP19" s="9">
        <f t="shared" si="53"/>
        <v>518</v>
      </c>
      <c r="AQ19" s="53"/>
      <c r="AR19" s="17" t="s">
        <v>60</v>
      </c>
      <c r="AS19" s="9">
        <v>0</v>
      </c>
      <c r="AT19" s="17" t="s">
        <v>60</v>
      </c>
      <c r="AU19" s="9">
        <v>0</v>
      </c>
      <c r="AV19" s="25">
        <v>98523</v>
      </c>
      <c r="AW19" s="9">
        <f t="shared" si="3"/>
        <v>15</v>
      </c>
      <c r="AX19" s="25">
        <v>1617</v>
      </c>
      <c r="AY19" s="9">
        <f t="shared" si="4"/>
        <v>1</v>
      </c>
      <c r="AZ19" s="25">
        <v>8492316</v>
      </c>
      <c r="BA19" s="9">
        <f t="shared" si="5"/>
        <v>1842</v>
      </c>
      <c r="BB19" s="25">
        <v>2039267</v>
      </c>
      <c r="BC19" s="9">
        <f t="shared" si="13"/>
        <v>1130</v>
      </c>
      <c r="BD19" s="25">
        <v>104</v>
      </c>
      <c r="BE19" s="25">
        <v>161</v>
      </c>
      <c r="BH19">
        <f t="shared" si="0"/>
        <v>0</v>
      </c>
    </row>
    <row r="20" spans="1:60" ht="45" customHeight="1">
      <c r="A20" s="8">
        <v>44975</v>
      </c>
      <c r="B20" s="52"/>
      <c r="C20" s="25">
        <v>32402791</v>
      </c>
      <c r="D20" s="9">
        <f t="shared" si="6"/>
        <v>7151</v>
      </c>
      <c r="E20" s="25">
        <v>32711273</v>
      </c>
      <c r="F20" s="9">
        <f t="shared" si="7"/>
        <v>4619</v>
      </c>
      <c r="G20" s="25">
        <v>13930284</v>
      </c>
      <c r="H20" s="9">
        <f t="shared" si="1"/>
        <v>3749</v>
      </c>
      <c r="I20" s="25">
        <v>1955248</v>
      </c>
      <c r="J20" s="9">
        <f t="shared" si="8"/>
        <v>567</v>
      </c>
      <c r="K20" s="25">
        <v>3953181</v>
      </c>
      <c r="L20" s="9">
        <f t="shared" si="8"/>
        <v>465</v>
      </c>
      <c r="M20" s="25">
        <v>5206572</v>
      </c>
      <c r="N20" s="9">
        <f t="shared" ref="N20" si="65">IF((M20-M19&lt;0), "0",M20-M19)</f>
        <v>1253</v>
      </c>
      <c r="O20" s="30">
        <v>2271833</v>
      </c>
      <c r="P20" s="9">
        <f t="shared" ref="P20" si="66">IF((O20-O19&lt;0), "0",O20-O19)</f>
        <v>0</v>
      </c>
      <c r="Q20" s="25">
        <v>1589666</v>
      </c>
      <c r="R20" s="9">
        <f t="shared" ref="R20" si="67">IF((Q20-Q19&lt;0), "0",Q20-Q19)</f>
        <v>378</v>
      </c>
      <c r="S20" s="25">
        <v>573545</v>
      </c>
      <c r="T20" s="9">
        <f t="shared" ref="T20" si="68">IF((S20-S19&lt;0), "0",S20-S19)</f>
        <v>33</v>
      </c>
      <c r="U20" s="25">
        <v>4948057</v>
      </c>
      <c r="V20" s="9">
        <f t="shared" si="53"/>
        <v>759</v>
      </c>
      <c r="W20" s="25">
        <v>1130647</v>
      </c>
      <c r="X20" s="9">
        <f t="shared" si="53"/>
        <v>277</v>
      </c>
      <c r="Y20" s="25">
        <v>5145512</v>
      </c>
      <c r="Z20" s="9">
        <f t="shared" si="53"/>
        <v>1658</v>
      </c>
      <c r="AA20" s="25">
        <v>2271980</v>
      </c>
      <c r="AB20" s="9">
        <f t="shared" si="53"/>
        <v>2</v>
      </c>
      <c r="AC20" s="25">
        <v>6441310</v>
      </c>
      <c r="AD20" s="9">
        <f t="shared" si="53"/>
        <v>1172</v>
      </c>
      <c r="AE20" s="25">
        <v>9279780</v>
      </c>
      <c r="AF20" s="9">
        <f t="shared" si="53"/>
        <v>1853</v>
      </c>
      <c r="AG20" s="25">
        <v>1542987</v>
      </c>
      <c r="AH20" s="9">
        <f t="shared" si="53"/>
        <v>279</v>
      </c>
      <c r="AI20" s="25">
        <v>288782</v>
      </c>
      <c r="AJ20" s="9">
        <f t="shared" si="53"/>
        <v>43</v>
      </c>
      <c r="AK20" s="25">
        <v>1213091</v>
      </c>
      <c r="AL20" s="9">
        <f t="shared" si="53"/>
        <v>228</v>
      </c>
      <c r="AM20" s="25">
        <v>2311143</v>
      </c>
      <c r="AN20" s="9">
        <f t="shared" si="53"/>
        <v>576</v>
      </c>
      <c r="AO20" s="25">
        <v>2238367</v>
      </c>
      <c r="AP20" s="9">
        <f t="shared" si="53"/>
        <v>549</v>
      </c>
      <c r="AQ20" s="53"/>
      <c r="AR20" s="17" t="s">
        <v>60</v>
      </c>
      <c r="AS20" s="9">
        <v>0</v>
      </c>
      <c r="AT20" s="17" t="s">
        <v>60</v>
      </c>
      <c r="AU20" s="9">
        <v>0</v>
      </c>
      <c r="AV20" s="25">
        <v>98539</v>
      </c>
      <c r="AW20" s="9">
        <f t="shared" si="3"/>
        <v>16</v>
      </c>
      <c r="AX20" s="25">
        <v>1619</v>
      </c>
      <c r="AY20" s="9">
        <f t="shared" si="4"/>
        <v>2</v>
      </c>
      <c r="AZ20" s="25">
        <v>8494171</v>
      </c>
      <c r="BA20" s="9">
        <f t="shared" si="5"/>
        <v>1855</v>
      </c>
      <c r="BB20" s="25">
        <v>2040442</v>
      </c>
      <c r="BC20" s="9">
        <f t="shared" si="13"/>
        <v>1175</v>
      </c>
      <c r="BD20" s="25">
        <v>122</v>
      </c>
      <c r="BE20" s="25">
        <v>185</v>
      </c>
      <c r="BH20">
        <f t="shared" si="0"/>
        <v>0</v>
      </c>
    </row>
    <row r="21" spans="1:60" ht="45" customHeight="1">
      <c r="A21" s="8">
        <v>44976</v>
      </c>
      <c r="B21" s="52"/>
      <c r="C21" s="25">
        <v>32409649</v>
      </c>
      <c r="D21" s="9">
        <f t="shared" si="6"/>
        <v>6858</v>
      </c>
      <c r="E21" s="25">
        <v>32716028</v>
      </c>
      <c r="F21" s="9">
        <f t="shared" si="7"/>
        <v>4755</v>
      </c>
      <c r="G21" s="25">
        <v>13934029</v>
      </c>
      <c r="H21" s="9">
        <f t="shared" si="1"/>
        <v>3745</v>
      </c>
      <c r="I21" s="25">
        <v>1955816</v>
      </c>
      <c r="J21" s="9">
        <f t="shared" si="8"/>
        <v>568</v>
      </c>
      <c r="K21" s="25">
        <v>3953638</v>
      </c>
      <c r="L21" s="9">
        <f t="shared" si="8"/>
        <v>457</v>
      </c>
      <c r="M21" s="25">
        <v>5207896</v>
      </c>
      <c r="N21" s="9">
        <f t="shared" ref="N21" si="69">IF((M21-M20&lt;0), "0",M21-M20)</f>
        <v>1324</v>
      </c>
      <c r="O21" s="30">
        <v>2271833</v>
      </c>
      <c r="P21" s="9">
        <f t="shared" ref="P21" si="70">IF((O21-O20&lt;0), "0",O21-O20)</f>
        <v>0</v>
      </c>
      <c r="Q21" s="25">
        <v>1590049</v>
      </c>
      <c r="R21" s="9">
        <f t="shared" ref="R21" si="71">IF((Q21-Q20&lt;0), "0",Q21-Q20)</f>
        <v>383</v>
      </c>
      <c r="S21" s="25">
        <v>573562</v>
      </c>
      <c r="T21" s="9">
        <f t="shared" ref="T21" si="72">IF((S21-S20&lt;0), "0",S21-S20)</f>
        <v>17</v>
      </c>
      <c r="U21" s="25">
        <v>4948179</v>
      </c>
      <c r="V21" s="9">
        <f t="shared" si="53"/>
        <v>122</v>
      </c>
      <c r="W21" s="25">
        <v>1130816</v>
      </c>
      <c r="X21" s="9">
        <f t="shared" si="53"/>
        <v>169</v>
      </c>
      <c r="Y21" s="25">
        <v>5147025</v>
      </c>
      <c r="Z21" s="9">
        <f t="shared" si="53"/>
        <v>1513</v>
      </c>
      <c r="AA21" s="25">
        <v>2271983</v>
      </c>
      <c r="AB21" s="9">
        <f t="shared" si="53"/>
        <v>3</v>
      </c>
      <c r="AC21" s="25">
        <v>6442501</v>
      </c>
      <c r="AD21" s="9">
        <f t="shared" si="53"/>
        <v>1191</v>
      </c>
      <c r="AE21" s="25">
        <v>9281662</v>
      </c>
      <c r="AF21" s="9">
        <f t="shared" si="53"/>
        <v>1882</v>
      </c>
      <c r="AG21" s="25">
        <v>1543270</v>
      </c>
      <c r="AH21" s="9">
        <f t="shared" si="53"/>
        <v>283</v>
      </c>
      <c r="AI21" s="25">
        <v>288827</v>
      </c>
      <c r="AJ21" s="9">
        <f t="shared" si="53"/>
        <v>45</v>
      </c>
      <c r="AK21" s="25">
        <v>1213335</v>
      </c>
      <c r="AL21" s="9">
        <f t="shared" si="53"/>
        <v>244</v>
      </c>
      <c r="AM21" s="25">
        <v>2311769</v>
      </c>
      <c r="AN21" s="9">
        <f t="shared" si="53"/>
        <v>626</v>
      </c>
      <c r="AO21" s="25">
        <v>2238993</v>
      </c>
      <c r="AP21" s="9">
        <f t="shared" si="53"/>
        <v>626</v>
      </c>
      <c r="AQ21" s="53"/>
      <c r="AR21" s="17" t="s">
        <v>60</v>
      </c>
      <c r="AS21" s="9">
        <v>0</v>
      </c>
      <c r="AT21" s="17" t="s">
        <v>60</v>
      </c>
      <c r="AU21" s="9">
        <v>0</v>
      </c>
      <c r="AV21" s="25">
        <v>98558</v>
      </c>
      <c r="AW21" s="9">
        <f t="shared" si="3"/>
        <v>19</v>
      </c>
      <c r="AX21" s="25">
        <v>1621</v>
      </c>
      <c r="AY21" s="9">
        <f t="shared" si="4"/>
        <v>2</v>
      </c>
      <c r="AZ21" s="25">
        <v>8496146</v>
      </c>
      <c r="BA21" s="9">
        <f t="shared" si="5"/>
        <v>1975</v>
      </c>
      <c r="BB21" s="25">
        <v>2041619</v>
      </c>
      <c r="BC21" s="9">
        <f t="shared" si="13"/>
        <v>1177</v>
      </c>
      <c r="BD21" s="25">
        <v>128</v>
      </c>
      <c r="BE21" s="25">
        <v>182</v>
      </c>
      <c r="BH21">
        <f t="shared" si="0"/>
        <v>0</v>
      </c>
    </row>
    <row r="22" spans="1:60" ht="45" customHeight="1">
      <c r="A22" s="8">
        <v>44977</v>
      </c>
      <c r="B22" s="52"/>
      <c r="C22" s="25">
        <v>32416516</v>
      </c>
      <c r="D22" s="9">
        <f t="shared" si="6"/>
        <v>6867</v>
      </c>
      <c r="E22" s="25">
        <v>32720769</v>
      </c>
      <c r="F22" s="9">
        <f t="shared" si="7"/>
        <v>4741</v>
      </c>
      <c r="G22" s="25">
        <v>13937942</v>
      </c>
      <c r="H22" s="9">
        <f t="shared" si="1"/>
        <v>3913</v>
      </c>
      <c r="I22" s="25">
        <v>1956916</v>
      </c>
      <c r="J22" s="9">
        <f t="shared" si="8"/>
        <v>1100</v>
      </c>
      <c r="K22" s="25">
        <v>3954082</v>
      </c>
      <c r="L22" s="9">
        <f t="shared" si="8"/>
        <v>444</v>
      </c>
      <c r="M22" s="25">
        <v>5209199</v>
      </c>
      <c r="N22" s="9">
        <f t="shared" ref="N22" si="73">IF((M22-M21&lt;0), "0",M22-M21)</f>
        <v>1303</v>
      </c>
      <c r="O22" s="30">
        <v>2271833</v>
      </c>
      <c r="P22" s="9">
        <f t="shared" ref="P22" si="74">IF((O22-O21&lt;0), "0",O22-O21)</f>
        <v>0</v>
      </c>
      <c r="Q22" s="25">
        <v>1590438</v>
      </c>
      <c r="R22" s="9">
        <f t="shared" ref="R22" si="75">IF((Q22-Q21&lt;0), "0",Q22-Q21)</f>
        <v>389</v>
      </c>
      <c r="S22" s="25">
        <v>573577</v>
      </c>
      <c r="T22" s="9">
        <f t="shared" ref="T22" si="76">IF((S22-S21&lt;0), "0",S22-S21)</f>
        <v>15</v>
      </c>
      <c r="U22" s="25">
        <v>4949388</v>
      </c>
      <c r="V22" s="9">
        <f t="shared" si="53"/>
        <v>1209</v>
      </c>
      <c r="W22" s="25">
        <v>1130983</v>
      </c>
      <c r="X22" s="9">
        <f t="shared" si="53"/>
        <v>167</v>
      </c>
      <c r="Y22" s="25">
        <v>5148563</v>
      </c>
      <c r="Z22" s="9">
        <f t="shared" si="53"/>
        <v>1538</v>
      </c>
      <c r="AA22" s="25">
        <v>2271985</v>
      </c>
      <c r="AB22" s="9">
        <f t="shared" si="53"/>
        <v>2</v>
      </c>
      <c r="AC22" s="25">
        <v>6443684</v>
      </c>
      <c r="AD22" s="9">
        <f t="shared" si="53"/>
        <v>1183</v>
      </c>
      <c r="AE22" s="25">
        <v>9283533</v>
      </c>
      <c r="AF22" s="9">
        <f t="shared" si="53"/>
        <v>1871</v>
      </c>
      <c r="AG22" s="25">
        <v>1543552</v>
      </c>
      <c r="AH22" s="9">
        <f t="shared" si="53"/>
        <v>282</v>
      </c>
      <c r="AI22" s="25">
        <v>288871</v>
      </c>
      <c r="AJ22" s="9">
        <f t="shared" si="53"/>
        <v>44</v>
      </c>
      <c r="AK22" s="25">
        <v>1213568</v>
      </c>
      <c r="AL22" s="9">
        <f t="shared" si="53"/>
        <v>233</v>
      </c>
      <c r="AM22" s="25">
        <v>2312351</v>
      </c>
      <c r="AN22" s="9">
        <f t="shared" si="53"/>
        <v>582</v>
      </c>
      <c r="AO22" s="25">
        <v>2239713</v>
      </c>
      <c r="AP22" s="9">
        <f t="shared" si="53"/>
        <v>720</v>
      </c>
      <c r="AQ22" s="53"/>
      <c r="AR22" s="17">
        <v>30834.7</v>
      </c>
      <c r="AS22" s="9">
        <f>IF((AR22-AR12&lt;0), "",AR22-AR12)</f>
        <v>101.60000000000218</v>
      </c>
      <c r="AT22" s="17">
        <v>28455.4</v>
      </c>
      <c r="AU22" s="9" t="str">
        <f>IF((AT22-AT12&lt;0), "",AT22-AT12)</f>
        <v/>
      </c>
      <c r="AV22" s="25">
        <v>98581</v>
      </c>
      <c r="AW22" s="9">
        <f>IF((AV22-AV21&lt;0), "",AV22-AV21)</f>
        <v>23</v>
      </c>
      <c r="AX22" s="25">
        <v>1624</v>
      </c>
      <c r="AY22" s="9">
        <f t="shared" si="4"/>
        <v>3</v>
      </c>
      <c r="AZ22" s="25">
        <v>8498298</v>
      </c>
      <c r="BA22" s="9">
        <f t="shared" si="5"/>
        <v>2152</v>
      </c>
      <c r="BB22" s="25">
        <v>2042849</v>
      </c>
      <c r="BC22" s="9">
        <f t="shared" si="13"/>
        <v>1230</v>
      </c>
      <c r="BD22" s="25">
        <v>145</v>
      </c>
      <c r="BE22" s="25">
        <v>197</v>
      </c>
      <c r="BH22">
        <f t="shared" si="0"/>
        <v>0</v>
      </c>
    </row>
    <row r="23" spans="1:60" ht="45" customHeight="1">
      <c r="A23" s="8">
        <v>44978</v>
      </c>
      <c r="B23" s="52"/>
      <c r="C23" s="25">
        <v>32423487</v>
      </c>
      <c r="D23" s="9">
        <f t="shared" si="6"/>
        <v>6971</v>
      </c>
      <c r="E23" s="25">
        <v>32725581</v>
      </c>
      <c r="F23" s="9">
        <f t="shared" si="7"/>
        <v>4812</v>
      </c>
      <c r="G23" s="25">
        <v>13941731</v>
      </c>
      <c r="H23" s="9">
        <f t="shared" si="1"/>
        <v>3789</v>
      </c>
      <c r="I23" s="25">
        <v>1956961</v>
      </c>
      <c r="J23" s="9">
        <f t="shared" si="8"/>
        <v>45</v>
      </c>
      <c r="K23" s="25">
        <v>3954541</v>
      </c>
      <c r="L23" s="9">
        <f t="shared" si="8"/>
        <v>459</v>
      </c>
      <c r="M23" s="25">
        <v>5210423</v>
      </c>
      <c r="N23" s="9">
        <f t="shared" ref="N23" si="77">IF((M23-M22&lt;0), "0",M23-M22)</f>
        <v>1224</v>
      </c>
      <c r="O23" s="30">
        <v>2271833</v>
      </c>
      <c r="P23" s="9">
        <f t="shared" ref="P23" si="78">IF((O23-O22&lt;0), "0",O23-O22)</f>
        <v>0</v>
      </c>
      <c r="Q23" s="25">
        <v>1590822</v>
      </c>
      <c r="R23" s="9">
        <f t="shared" ref="R23" si="79">IF((Q23-Q22&lt;0), "0",Q23-Q22)</f>
        <v>384</v>
      </c>
      <c r="S23" s="25">
        <v>573593</v>
      </c>
      <c r="T23" s="9">
        <f t="shared" ref="T23" si="80">IF((S23-S22&lt;0), "0",S23-S22)</f>
        <v>16</v>
      </c>
      <c r="U23" s="25">
        <v>4950219</v>
      </c>
      <c r="V23" s="9">
        <f t="shared" si="53"/>
        <v>831</v>
      </c>
      <c r="W23" s="25">
        <v>1131234</v>
      </c>
      <c r="X23" s="9">
        <f t="shared" si="53"/>
        <v>251</v>
      </c>
      <c r="Y23" s="25">
        <v>5150013</v>
      </c>
      <c r="Z23" s="9">
        <f t="shared" si="53"/>
        <v>1450</v>
      </c>
      <c r="AA23" s="25">
        <v>2271987</v>
      </c>
      <c r="AB23" s="9">
        <f t="shared" si="53"/>
        <v>2</v>
      </c>
      <c r="AC23" s="25">
        <v>6444875</v>
      </c>
      <c r="AD23" s="9">
        <f t="shared" si="53"/>
        <v>1191</v>
      </c>
      <c r="AE23" s="25">
        <v>9285401</v>
      </c>
      <c r="AF23" s="9">
        <f t="shared" si="53"/>
        <v>1868</v>
      </c>
      <c r="AG23" s="25">
        <v>1543833</v>
      </c>
      <c r="AH23" s="9">
        <f t="shared" si="53"/>
        <v>281</v>
      </c>
      <c r="AI23" s="25">
        <v>288914</v>
      </c>
      <c r="AJ23" s="9">
        <f t="shared" si="53"/>
        <v>43</v>
      </c>
      <c r="AK23" s="25">
        <v>1213801</v>
      </c>
      <c r="AL23" s="9">
        <f t="shared" si="53"/>
        <v>233</v>
      </c>
      <c r="AM23" s="25">
        <v>2312907</v>
      </c>
      <c r="AN23" s="9">
        <f t="shared" si="53"/>
        <v>556</v>
      </c>
      <c r="AO23" s="25">
        <v>2240369</v>
      </c>
      <c r="AP23" s="9">
        <f t="shared" si="53"/>
        <v>656</v>
      </c>
      <c r="AQ23" s="53"/>
      <c r="AR23" s="17" t="s">
        <v>60</v>
      </c>
      <c r="AS23" s="9">
        <v>0</v>
      </c>
      <c r="AT23" s="17" t="s">
        <v>60</v>
      </c>
      <c r="AU23" s="9">
        <v>0</v>
      </c>
      <c r="AV23" s="25">
        <v>98599</v>
      </c>
      <c r="AW23" s="9">
        <f t="shared" si="3"/>
        <v>18</v>
      </c>
      <c r="AX23" s="25">
        <v>1626</v>
      </c>
      <c r="AY23" s="9">
        <f t="shared" si="4"/>
        <v>2</v>
      </c>
      <c r="AZ23" s="25">
        <v>8500436</v>
      </c>
      <c r="BA23" s="9">
        <f t="shared" si="5"/>
        <v>2138</v>
      </c>
      <c r="BB23" s="25">
        <v>2044034</v>
      </c>
      <c r="BC23" s="9">
        <f t="shared" si="13"/>
        <v>1185</v>
      </c>
      <c r="BD23" s="25">
        <v>116</v>
      </c>
      <c r="BE23" s="25">
        <v>163</v>
      </c>
      <c r="BH23">
        <f t="shared" si="0"/>
        <v>0</v>
      </c>
    </row>
    <row r="24" spans="1:60" ht="45" customHeight="1">
      <c r="A24" s="8">
        <v>44979</v>
      </c>
      <c r="B24" s="52"/>
      <c r="C24" s="25">
        <v>32430805</v>
      </c>
      <c r="D24" s="9">
        <f t="shared" si="6"/>
        <v>7318</v>
      </c>
      <c r="E24" s="25">
        <v>32730492</v>
      </c>
      <c r="F24" s="9">
        <f t="shared" si="7"/>
        <v>4911</v>
      </c>
      <c r="G24" s="25">
        <v>13945685</v>
      </c>
      <c r="H24" s="9">
        <f t="shared" si="1"/>
        <v>3954</v>
      </c>
      <c r="I24" s="25">
        <v>1957519</v>
      </c>
      <c r="J24" s="9">
        <f t="shared" si="8"/>
        <v>558</v>
      </c>
      <c r="K24" s="25">
        <v>3955016</v>
      </c>
      <c r="L24" s="9">
        <f t="shared" si="8"/>
        <v>475</v>
      </c>
      <c r="M24" s="25">
        <v>5211749</v>
      </c>
      <c r="N24" s="9">
        <f t="shared" ref="N24" si="81">IF((M24-M23&lt;0), "0",M24-M23)</f>
        <v>1326</v>
      </c>
      <c r="O24" s="30">
        <v>2271833</v>
      </c>
      <c r="P24" s="9">
        <f t="shared" ref="P24" si="82">IF((O24-O23&lt;0), "0",O24-O23)</f>
        <v>0</v>
      </c>
      <c r="Q24" s="25">
        <v>1591239</v>
      </c>
      <c r="R24" s="9">
        <f t="shared" ref="R24" si="83">IF((Q24-Q23&lt;0), "0",Q24-Q23)</f>
        <v>417</v>
      </c>
      <c r="S24" s="25">
        <v>573609</v>
      </c>
      <c r="T24" s="9">
        <f t="shared" ref="T24" si="84">IF((S24-S23&lt;0), "0",S24-S23)</f>
        <v>16</v>
      </c>
      <c r="U24" s="25">
        <v>4951098</v>
      </c>
      <c r="V24" s="9">
        <f t="shared" si="53"/>
        <v>879</v>
      </c>
      <c r="W24" s="25">
        <v>1131495</v>
      </c>
      <c r="X24" s="9">
        <f t="shared" si="53"/>
        <v>261</v>
      </c>
      <c r="Y24" s="25">
        <v>5151502</v>
      </c>
      <c r="Z24" s="9">
        <f t="shared" si="53"/>
        <v>1489</v>
      </c>
      <c r="AA24" s="25">
        <v>2271990</v>
      </c>
      <c r="AB24" s="9">
        <f t="shared" si="53"/>
        <v>3</v>
      </c>
      <c r="AC24" s="25">
        <v>6446092</v>
      </c>
      <c r="AD24" s="9">
        <f t="shared" si="53"/>
        <v>1217</v>
      </c>
      <c r="AE24" s="25">
        <v>9287336</v>
      </c>
      <c r="AF24" s="9">
        <f t="shared" si="53"/>
        <v>1935</v>
      </c>
      <c r="AG24" s="25">
        <v>1544121</v>
      </c>
      <c r="AH24" s="9">
        <f t="shared" si="53"/>
        <v>288</v>
      </c>
      <c r="AI24" s="25">
        <v>288959</v>
      </c>
      <c r="AJ24" s="9">
        <f t="shared" si="53"/>
        <v>45</v>
      </c>
      <c r="AK24" s="25">
        <v>1214046</v>
      </c>
      <c r="AL24" s="9">
        <f t="shared" si="53"/>
        <v>245</v>
      </c>
      <c r="AM24" s="25">
        <v>2313479</v>
      </c>
      <c r="AN24" s="9">
        <f t="shared" si="53"/>
        <v>572</v>
      </c>
      <c r="AO24" s="25">
        <v>2240982</v>
      </c>
      <c r="AP24" s="9">
        <f t="shared" si="53"/>
        <v>613</v>
      </c>
      <c r="AQ24" s="53"/>
      <c r="AR24" s="17" t="s">
        <v>60</v>
      </c>
      <c r="AS24" s="9">
        <v>0</v>
      </c>
      <c r="AT24" s="17" t="s">
        <v>60</v>
      </c>
      <c r="AU24" s="9">
        <v>0</v>
      </c>
      <c r="AV24" s="25">
        <v>98619</v>
      </c>
      <c r="AW24" s="9">
        <f t="shared" si="3"/>
        <v>20</v>
      </c>
      <c r="AX24" s="25">
        <v>1628</v>
      </c>
      <c r="AY24" s="9">
        <f t="shared" si="4"/>
        <v>2</v>
      </c>
      <c r="AZ24" s="25">
        <v>8502801</v>
      </c>
      <c r="BA24" s="9">
        <f t="shared" si="5"/>
        <v>2365</v>
      </c>
      <c r="BB24" s="25">
        <v>2045278</v>
      </c>
      <c r="BC24" s="9">
        <f t="shared" si="13"/>
        <v>1244</v>
      </c>
      <c r="BD24" s="25">
        <v>109</v>
      </c>
      <c r="BE24" s="25">
        <v>163</v>
      </c>
      <c r="BH24">
        <f t="shared" si="0"/>
        <v>0</v>
      </c>
    </row>
    <row r="25" spans="1:60" ht="45" customHeight="1">
      <c r="A25" s="8">
        <v>44980</v>
      </c>
      <c r="B25" s="52"/>
      <c r="C25" s="25">
        <v>32438297</v>
      </c>
      <c r="D25" s="9">
        <f t="shared" si="6"/>
        <v>7492</v>
      </c>
      <c r="E25" s="25">
        <v>32735457</v>
      </c>
      <c r="F25" s="9">
        <f t="shared" si="7"/>
        <v>4965</v>
      </c>
      <c r="G25" s="25">
        <v>13949592</v>
      </c>
      <c r="H25" s="9">
        <f t="shared" si="1"/>
        <v>3907</v>
      </c>
      <c r="I25" s="25">
        <v>1958067</v>
      </c>
      <c r="J25" s="9">
        <f t="shared" si="8"/>
        <v>548</v>
      </c>
      <c r="K25" s="25">
        <v>3955498</v>
      </c>
      <c r="L25" s="9">
        <f t="shared" si="8"/>
        <v>482</v>
      </c>
      <c r="M25" s="25">
        <v>5213176</v>
      </c>
      <c r="N25" s="9">
        <f t="shared" ref="N25:N26" si="85">IF((M25-M24&lt;0), "0",M25-M24)</f>
        <v>1427</v>
      </c>
      <c r="O25" s="30">
        <v>2271833</v>
      </c>
      <c r="P25" s="9">
        <f t="shared" ref="P25:P26" si="86">IF((O25-O24&lt;0), "0",O25-O24)</f>
        <v>0</v>
      </c>
      <c r="Q25" s="25">
        <v>1591629</v>
      </c>
      <c r="R25" s="9">
        <f t="shared" ref="R25:R26" si="87">IF((Q25-Q24&lt;0), "0",Q25-Q24)</f>
        <v>390</v>
      </c>
      <c r="S25" s="25">
        <v>573625</v>
      </c>
      <c r="T25" s="9">
        <f t="shared" ref="T25:T26" si="88">IF((S25-S24&lt;0), "0",S25-S24)</f>
        <v>16</v>
      </c>
      <c r="U25" s="25">
        <v>4952062</v>
      </c>
      <c r="V25" s="9">
        <f t="shared" si="53"/>
        <v>964</v>
      </c>
      <c r="W25" s="25">
        <v>1131733</v>
      </c>
      <c r="X25" s="9">
        <f t="shared" si="53"/>
        <v>238</v>
      </c>
      <c r="Y25" s="25">
        <v>5153005</v>
      </c>
      <c r="Z25" s="9">
        <f t="shared" si="53"/>
        <v>1503</v>
      </c>
      <c r="AA25" s="25">
        <v>2271992</v>
      </c>
      <c r="AB25" s="9">
        <f t="shared" si="53"/>
        <v>2</v>
      </c>
      <c r="AC25" s="25">
        <v>6447323</v>
      </c>
      <c r="AD25" s="9">
        <f t="shared" si="53"/>
        <v>1231</v>
      </c>
      <c r="AE25" s="25">
        <v>9289304</v>
      </c>
      <c r="AF25" s="9">
        <f t="shared" si="53"/>
        <v>1968</v>
      </c>
      <c r="AG25" s="25">
        <v>1544412</v>
      </c>
      <c r="AH25" s="9">
        <f t="shared" si="53"/>
        <v>291</v>
      </c>
      <c r="AI25" s="25">
        <v>289004</v>
      </c>
      <c r="AJ25" s="9">
        <f t="shared" si="53"/>
        <v>45</v>
      </c>
      <c r="AK25" s="25">
        <v>1214287</v>
      </c>
      <c r="AL25" s="9">
        <f t="shared" si="53"/>
        <v>241</v>
      </c>
      <c r="AM25" s="25">
        <v>2314057</v>
      </c>
      <c r="AN25" s="9">
        <f t="shared" si="53"/>
        <v>578</v>
      </c>
      <c r="AO25" s="25">
        <v>2241625</v>
      </c>
      <c r="AP25" s="9">
        <f t="shared" si="53"/>
        <v>643</v>
      </c>
      <c r="AQ25" s="53"/>
      <c r="AR25" s="17" t="s">
        <v>60</v>
      </c>
      <c r="AS25" s="9">
        <v>0</v>
      </c>
      <c r="AT25" s="17" t="s">
        <v>60</v>
      </c>
      <c r="AU25" s="9">
        <v>0</v>
      </c>
      <c r="AV25" s="25">
        <v>98642</v>
      </c>
      <c r="AW25" s="9">
        <f t="shared" si="3"/>
        <v>23</v>
      </c>
      <c r="AX25" s="25">
        <v>1630</v>
      </c>
      <c r="AY25" s="9">
        <f t="shared" si="4"/>
        <v>2</v>
      </c>
      <c r="AZ25" s="25">
        <v>8505178</v>
      </c>
      <c r="BA25" s="9">
        <f t="shared" si="5"/>
        <v>2377</v>
      </c>
      <c r="BB25" s="25">
        <v>2046502</v>
      </c>
      <c r="BC25" s="9">
        <f t="shared" si="13"/>
        <v>1224</v>
      </c>
      <c r="BD25" s="25">
        <v>106</v>
      </c>
      <c r="BE25" s="25">
        <v>161</v>
      </c>
      <c r="BH25">
        <f t="shared" si="0"/>
        <v>0</v>
      </c>
    </row>
    <row r="26" spans="1:60" ht="45" customHeight="1">
      <c r="A26" s="8">
        <v>44981</v>
      </c>
      <c r="B26" s="52"/>
      <c r="C26" s="25">
        <v>32444974</v>
      </c>
      <c r="D26" s="9">
        <f>IF((C26-C25&lt;0), "0",C26-C25)</f>
        <v>6677</v>
      </c>
      <c r="E26" s="25">
        <v>32740184</v>
      </c>
      <c r="F26" s="9">
        <f>IF((E26-E25&lt;0), "0",E26-E25)</f>
        <v>4727</v>
      </c>
      <c r="G26" s="25">
        <v>13953346</v>
      </c>
      <c r="H26" s="9">
        <f>IF((G26-G25&lt;0), "0",G26-G25)</f>
        <v>3754</v>
      </c>
      <c r="I26" s="25">
        <v>1958634</v>
      </c>
      <c r="J26" s="9">
        <f t="shared" si="8"/>
        <v>567</v>
      </c>
      <c r="K26" s="25">
        <v>3955950</v>
      </c>
      <c r="L26" s="9">
        <f>IF((K26-K25&lt;0), "0",K26-K25)</f>
        <v>452</v>
      </c>
      <c r="M26" s="25">
        <v>5214458</v>
      </c>
      <c r="N26" s="9">
        <f t="shared" ref="N26:O27" si="89">IF((M26-M25&lt;0), "0",M26-M25)</f>
        <v>1282</v>
      </c>
      <c r="O26" s="30">
        <v>2271833</v>
      </c>
      <c r="P26" s="9">
        <f t="shared" ref="P26" si="90">IF((O26-O25&lt;0), "0",O26-O25)</f>
        <v>0</v>
      </c>
      <c r="Q26" s="25">
        <v>1592002</v>
      </c>
      <c r="R26" s="9">
        <f t="shared" ref="R26" si="91">IF((Q26-Q25&lt;0), "0",Q26-Q25)</f>
        <v>373</v>
      </c>
      <c r="S26" s="25">
        <v>573641</v>
      </c>
      <c r="T26" s="9">
        <f t="shared" ref="T26" si="92">IF((S26-S25&lt;0), "0",S26-S25)</f>
        <v>16</v>
      </c>
      <c r="U26" s="25">
        <v>4952868</v>
      </c>
      <c r="V26" s="9">
        <f t="shared" si="53"/>
        <v>806</v>
      </c>
      <c r="W26" s="25">
        <v>1131928</v>
      </c>
      <c r="X26" s="9">
        <f t="shared" si="53"/>
        <v>195</v>
      </c>
      <c r="Y26" s="25">
        <v>5154193</v>
      </c>
      <c r="Z26" s="9">
        <f t="shared" si="53"/>
        <v>1188</v>
      </c>
      <c r="AA26" s="25">
        <v>2271995</v>
      </c>
      <c r="AB26" s="9">
        <f t="shared" si="53"/>
        <v>3</v>
      </c>
      <c r="AC26" s="25">
        <v>6448490</v>
      </c>
      <c r="AD26" s="27">
        <f t="shared" si="53"/>
        <v>1167</v>
      </c>
      <c r="AE26" s="25">
        <v>9291160</v>
      </c>
      <c r="AF26" s="29">
        <f t="shared" si="53"/>
        <v>1856</v>
      </c>
      <c r="AG26" s="25">
        <v>1544687</v>
      </c>
      <c r="AH26" s="28">
        <f t="shared" si="53"/>
        <v>275</v>
      </c>
      <c r="AI26" s="25">
        <v>289047</v>
      </c>
      <c r="AJ26" s="9">
        <f t="shared" si="53"/>
        <v>43</v>
      </c>
      <c r="AK26" s="25">
        <v>1214523</v>
      </c>
      <c r="AL26" s="9">
        <f t="shared" si="53"/>
        <v>236</v>
      </c>
      <c r="AM26" s="25">
        <v>2314646</v>
      </c>
      <c r="AN26" s="9">
        <f t="shared" si="53"/>
        <v>589</v>
      </c>
      <c r="AO26" s="25">
        <v>2242222</v>
      </c>
      <c r="AP26" s="9">
        <f t="shared" si="53"/>
        <v>597</v>
      </c>
      <c r="AQ26" s="53"/>
      <c r="AR26" s="17" t="s">
        <v>60</v>
      </c>
      <c r="AS26" s="9">
        <v>0</v>
      </c>
      <c r="AT26" s="17" t="s">
        <v>60</v>
      </c>
      <c r="AU26" s="9">
        <v>0</v>
      </c>
      <c r="AV26" s="25">
        <v>98660</v>
      </c>
      <c r="AW26" s="9">
        <f t="shared" si="3"/>
        <v>18</v>
      </c>
      <c r="AX26" s="25">
        <v>1632</v>
      </c>
      <c r="AY26" s="9">
        <f t="shared" si="4"/>
        <v>2</v>
      </c>
      <c r="AZ26" s="25">
        <v>8507516</v>
      </c>
      <c r="BA26" s="9">
        <f t="shared" si="5"/>
        <v>2338</v>
      </c>
      <c r="BB26" s="25">
        <v>2047665</v>
      </c>
      <c r="BC26" s="9">
        <f t="shared" si="13"/>
        <v>1163</v>
      </c>
      <c r="BD26" s="25">
        <v>118</v>
      </c>
      <c r="BE26" s="25">
        <v>190</v>
      </c>
      <c r="BH26">
        <f t="shared" si="0"/>
        <v>0</v>
      </c>
    </row>
    <row r="27" spans="1:60" ht="45" customHeight="1">
      <c r="A27" s="8">
        <v>44982</v>
      </c>
      <c r="B27" s="52"/>
      <c r="C27" s="25">
        <v>32451842</v>
      </c>
      <c r="D27" s="9">
        <f>IF((C27-C26&lt;0), "0",C27-C26)</f>
        <v>6868</v>
      </c>
      <c r="E27" s="25">
        <v>32745055</v>
      </c>
      <c r="F27" s="9">
        <f>IF((E27-E26&lt;0), "0",E27-E26)</f>
        <v>4871</v>
      </c>
      <c r="G27" s="25">
        <v>13957185</v>
      </c>
      <c r="H27" s="9">
        <f t="shared" si="1"/>
        <v>3839</v>
      </c>
      <c r="I27" s="25">
        <v>1959209</v>
      </c>
      <c r="J27" s="9">
        <f t="shared" si="8"/>
        <v>575</v>
      </c>
      <c r="K27" s="25">
        <v>3956407</v>
      </c>
      <c r="L27" s="9">
        <f t="shared" si="8"/>
        <v>457</v>
      </c>
      <c r="M27" s="25">
        <v>5215754</v>
      </c>
      <c r="N27" s="9">
        <f t="shared" ref="N27" si="93">IF((M27-M26&lt;0), "0",M27-M26)</f>
        <v>1296</v>
      </c>
      <c r="O27" s="30">
        <v>2271833</v>
      </c>
      <c r="P27" s="9">
        <f t="shared" ref="P27" si="94">IF((O27-O26&lt;0), "0",O27-O26)</f>
        <v>0</v>
      </c>
      <c r="Q27" s="25">
        <v>1592383</v>
      </c>
      <c r="R27" s="9">
        <f t="shared" ref="R27" si="95">IF((Q27-Q26&lt;0), "0",Q27-Q26)</f>
        <v>381</v>
      </c>
      <c r="S27" s="25">
        <v>573658</v>
      </c>
      <c r="T27" s="9">
        <f t="shared" ref="T27" si="96">IF((S27-S26&lt;0), "0",S27-S26)</f>
        <v>17</v>
      </c>
      <c r="U27" s="25">
        <v>4953692</v>
      </c>
      <c r="V27" s="9">
        <f t="shared" si="53"/>
        <v>824</v>
      </c>
      <c r="W27" s="25">
        <v>1132125</v>
      </c>
      <c r="X27" s="9">
        <f t="shared" si="53"/>
        <v>197</v>
      </c>
      <c r="Y27" s="25">
        <v>5155464</v>
      </c>
      <c r="Z27" s="9">
        <f t="shared" si="53"/>
        <v>1271</v>
      </c>
      <c r="AA27" s="25">
        <v>2271997</v>
      </c>
      <c r="AB27" s="9">
        <f t="shared" si="53"/>
        <v>2</v>
      </c>
      <c r="AC27" s="25">
        <v>6449685</v>
      </c>
      <c r="AD27" s="27">
        <f t="shared" si="53"/>
        <v>1195</v>
      </c>
      <c r="AE27" s="25">
        <v>9293052</v>
      </c>
      <c r="AF27" s="29">
        <f t="shared" si="53"/>
        <v>1892</v>
      </c>
      <c r="AG27" s="25">
        <v>1544970</v>
      </c>
      <c r="AH27" s="28">
        <f t="shared" si="53"/>
        <v>283</v>
      </c>
      <c r="AI27" s="7">
        <v>289091</v>
      </c>
      <c r="AJ27" s="9">
        <f t="shared" si="53"/>
        <v>44</v>
      </c>
      <c r="AK27" s="25">
        <v>1214754</v>
      </c>
      <c r="AL27" s="9">
        <f t="shared" si="53"/>
        <v>231</v>
      </c>
      <c r="AM27" s="25">
        <v>2315248</v>
      </c>
      <c r="AN27" s="9">
        <f t="shared" si="53"/>
        <v>602</v>
      </c>
      <c r="AO27" s="25">
        <v>2242826</v>
      </c>
      <c r="AP27" s="9">
        <f t="shared" si="53"/>
        <v>604</v>
      </c>
      <c r="AQ27" s="53"/>
      <c r="AR27" s="17" t="s">
        <v>60</v>
      </c>
      <c r="AS27" s="9">
        <v>0</v>
      </c>
      <c r="AT27" s="17" t="s">
        <v>60</v>
      </c>
      <c r="AU27" s="9">
        <v>0</v>
      </c>
      <c r="AV27" s="25">
        <v>98678</v>
      </c>
      <c r="AW27" s="9">
        <f t="shared" si="3"/>
        <v>18</v>
      </c>
      <c r="AX27" s="25">
        <v>1634</v>
      </c>
      <c r="AY27" s="9">
        <f t="shared" si="4"/>
        <v>2</v>
      </c>
      <c r="AZ27" s="25">
        <v>8509982</v>
      </c>
      <c r="BA27" s="9">
        <f t="shared" si="5"/>
        <v>2466</v>
      </c>
      <c r="BB27" s="25">
        <v>2048858</v>
      </c>
      <c r="BC27" s="9">
        <f t="shared" si="13"/>
        <v>1193</v>
      </c>
      <c r="BD27" s="25">
        <v>125</v>
      </c>
      <c r="BE27" s="25">
        <v>198</v>
      </c>
      <c r="BH27">
        <f t="shared" si="0"/>
        <v>0</v>
      </c>
    </row>
    <row r="28" spans="1:60" ht="45" customHeight="1">
      <c r="A28" s="8">
        <v>44983</v>
      </c>
      <c r="B28" s="52"/>
      <c r="C28" s="25">
        <v>32458298</v>
      </c>
      <c r="D28" s="9">
        <f t="shared" si="6"/>
        <v>6456</v>
      </c>
      <c r="E28" s="25">
        <v>32749776</v>
      </c>
      <c r="F28" s="9">
        <f t="shared" si="7"/>
        <v>4721</v>
      </c>
      <c r="G28" s="25">
        <v>13960968</v>
      </c>
      <c r="H28" s="9">
        <f t="shared" si="1"/>
        <v>3783</v>
      </c>
      <c r="I28" s="25">
        <v>1959808</v>
      </c>
      <c r="J28" s="9">
        <f t="shared" si="8"/>
        <v>599</v>
      </c>
      <c r="K28" s="25">
        <v>3956836</v>
      </c>
      <c r="L28" s="9">
        <f t="shared" si="8"/>
        <v>429</v>
      </c>
      <c r="M28" s="25">
        <v>5216993</v>
      </c>
      <c r="N28" s="9">
        <f t="shared" ref="N28" si="97">IF((M28-M27&lt;0), "0",M28-M27)</f>
        <v>1239</v>
      </c>
      <c r="O28" s="30">
        <v>2271833</v>
      </c>
      <c r="P28" s="9">
        <f t="shared" ref="P28" si="98">IF((O28-O27&lt;0), "0",O28-O27)</f>
        <v>0</v>
      </c>
      <c r="Q28" s="25">
        <v>1592764</v>
      </c>
      <c r="R28" s="9">
        <f t="shared" ref="R28" si="99">IF((Q28-Q27&lt;0), "0",Q28-Q27)</f>
        <v>381</v>
      </c>
      <c r="S28" s="25">
        <v>573673</v>
      </c>
      <c r="T28" s="9">
        <f t="shared" ref="T28" si="100">IF((S28-S27&lt;0), "0",S28-S27)</f>
        <v>15</v>
      </c>
      <c r="U28" s="25">
        <v>4954384</v>
      </c>
      <c r="V28" s="9">
        <f t="shared" si="53"/>
        <v>692</v>
      </c>
      <c r="W28" s="25">
        <v>1132289</v>
      </c>
      <c r="X28" s="9">
        <f t="shared" si="53"/>
        <v>164</v>
      </c>
      <c r="Y28" s="25">
        <v>5156678</v>
      </c>
      <c r="Z28" s="9">
        <f t="shared" si="53"/>
        <v>1214</v>
      </c>
      <c r="AA28" s="25">
        <v>2272000</v>
      </c>
      <c r="AB28" s="9">
        <f t="shared" si="53"/>
        <v>3</v>
      </c>
      <c r="AC28" s="25">
        <v>6450853</v>
      </c>
      <c r="AD28" s="27">
        <f t="shared" si="53"/>
        <v>1168</v>
      </c>
      <c r="AE28" s="25">
        <v>9294911</v>
      </c>
      <c r="AF28" s="29">
        <f t="shared" si="53"/>
        <v>1859</v>
      </c>
      <c r="AG28" s="25">
        <v>1545247</v>
      </c>
      <c r="AH28" s="28">
        <f t="shared" si="53"/>
        <v>277</v>
      </c>
      <c r="AI28" s="25">
        <v>289134</v>
      </c>
      <c r="AJ28" s="9">
        <f t="shared" si="53"/>
        <v>43</v>
      </c>
      <c r="AK28" s="25">
        <v>1214995</v>
      </c>
      <c r="AL28" s="9">
        <f t="shared" si="53"/>
        <v>241</v>
      </c>
      <c r="AM28" s="25">
        <v>2315793</v>
      </c>
      <c r="AN28" s="9">
        <f t="shared" si="53"/>
        <v>545</v>
      </c>
      <c r="AO28" s="25">
        <v>2243492</v>
      </c>
      <c r="AP28" s="9">
        <f t="shared" si="53"/>
        <v>666</v>
      </c>
      <c r="AQ28" s="53"/>
      <c r="AR28" s="17" t="s">
        <v>60</v>
      </c>
      <c r="AS28" s="9">
        <v>0</v>
      </c>
      <c r="AT28" s="17" t="s">
        <v>60</v>
      </c>
      <c r="AU28" s="9">
        <v>0</v>
      </c>
      <c r="AV28" s="25">
        <v>98701</v>
      </c>
      <c r="AW28" s="9">
        <f t="shared" si="3"/>
        <v>23</v>
      </c>
      <c r="AX28" s="25">
        <v>1636</v>
      </c>
      <c r="AY28" s="9">
        <f t="shared" si="4"/>
        <v>2</v>
      </c>
      <c r="AZ28" s="25">
        <v>8512505</v>
      </c>
      <c r="BA28" s="9">
        <f t="shared" si="5"/>
        <v>2523</v>
      </c>
      <c r="BB28" s="25">
        <v>2050034</v>
      </c>
      <c r="BC28" s="9">
        <f t="shared" si="13"/>
        <v>1176</v>
      </c>
      <c r="BD28" s="25">
        <v>127</v>
      </c>
      <c r="BE28" s="25">
        <v>182</v>
      </c>
      <c r="BH28">
        <f t="shared" si="0"/>
        <v>0</v>
      </c>
    </row>
    <row r="29" spans="1:60" ht="45" customHeight="1">
      <c r="A29" s="8">
        <v>44984</v>
      </c>
      <c r="B29" s="52"/>
      <c r="C29" s="25">
        <v>32465070</v>
      </c>
      <c r="D29" s="9">
        <f t="shared" si="6"/>
        <v>6772</v>
      </c>
      <c r="E29" s="25">
        <v>32754593</v>
      </c>
      <c r="F29" s="9">
        <f t="shared" si="7"/>
        <v>4817</v>
      </c>
      <c r="G29" s="25">
        <v>13964844</v>
      </c>
      <c r="H29" s="9">
        <f t="shared" si="1"/>
        <v>3876</v>
      </c>
      <c r="I29" s="25">
        <v>1960377</v>
      </c>
      <c r="J29" s="9">
        <f t="shared" si="8"/>
        <v>569</v>
      </c>
      <c r="K29" s="25">
        <v>3957284</v>
      </c>
      <c r="L29" s="9">
        <f t="shared" si="8"/>
        <v>448</v>
      </c>
      <c r="M29" s="25">
        <v>5218422</v>
      </c>
      <c r="N29" s="9">
        <f t="shared" ref="N29" si="101">IF((M29-M28&lt;0), "0",M29-M28)</f>
        <v>1429</v>
      </c>
      <c r="O29" s="30">
        <v>2271833</v>
      </c>
      <c r="P29" s="9">
        <f t="shared" ref="P29" si="102">IF((O29-O28&lt;0), "0",O29-O28)</f>
        <v>0</v>
      </c>
      <c r="Q29" s="25">
        <v>1593157</v>
      </c>
      <c r="R29" s="9">
        <f t="shared" ref="R29" si="103">IF((Q29-Q28&lt;0), "0",Q29-Q28)</f>
        <v>393</v>
      </c>
      <c r="S29" s="25">
        <v>573689</v>
      </c>
      <c r="T29" s="9">
        <f t="shared" ref="T29" si="104">IF((S29-S28&lt;0), "0",S29-S28)</f>
        <v>16</v>
      </c>
      <c r="U29" s="25">
        <v>4955139</v>
      </c>
      <c r="V29" s="9">
        <f t="shared" si="53"/>
        <v>755</v>
      </c>
      <c r="W29" s="25">
        <v>1132458</v>
      </c>
      <c r="X29" s="9">
        <f t="shared" si="53"/>
        <v>169</v>
      </c>
      <c r="Y29" s="25">
        <v>5157902</v>
      </c>
      <c r="Z29" s="9">
        <f t="shared" si="53"/>
        <v>1224</v>
      </c>
      <c r="AA29" s="25">
        <v>2272002</v>
      </c>
      <c r="AB29" s="9">
        <f t="shared" si="53"/>
        <v>2</v>
      </c>
      <c r="AC29" s="25">
        <v>6452072</v>
      </c>
      <c r="AD29" s="27">
        <f t="shared" si="53"/>
        <v>1219</v>
      </c>
      <c r="AE29" s="25">
        <v>9296842</v>
      </c>
      <c r="AF29" s="29">
        <f t="shared" si="53"/>
        <v>1931</v>
      </c>
      <c r="AG29" s="25">
        <v>1545537</v>
      </c>
      <c r="AH29" s="28">
        <f t="shared" si="53"/>
        <v>290</v>
      </c>
      <c r="AI29" s="25">
        <v>289178</v>
      </c>
      <c r="AJ29" s="9">
        <f t="shared" si="53"/>
        <v>44</v>
      </c>
      <c r="AK29" s="25">
        <v>1215224</v>
      </c>
      <c r="AL29" s="9">
        <f t="shared" si="53"/>
        <v>229</v>
      </c>
      <c r="AM29" s="25">
        <v>2316358</v>
      </c>
      <c r="AN29" s="9">
        <f t="shared" si="53"/>
        <v>565</v>
      </c>
      <c r="AO29" s="25">
        <v>2244142</v>
      </c>
      <c r="AP29" s="9">
        <f t="shared" si="53"/>
        <v>650</v>
      </c>
      <c r="AQ29" s="54"/>
      <c r="AR29" s="17" t="s">
        <v>60</v>
      </c>
      <c r="AS29" s="9">
        <v>0</v>
      </c>
      <c r="AT29" s="17" t="s">
        <v>60</v>
      </c>
      <c r="AU29" s="9">
        <v>0</v>
      </c>
      <c r="AV29" s="25">
        <v>98718</v>
      </c>
      <c r="AW29" s="9">
        <f t="shared" si="3"/>
        <v>17</v>
      </c>
      <c r="AX29" s="25">
        <v>1638</v>
      </c>
      <c r="AY29" s="9">
        <f t="shared" si="4"/>
        <v>2</v>
      </c>
      <c r="AZ29" s="25">
        <v>8515108</v>
      </c>
      <c r="BA29" s="9">
        <f>IF((AZ29-AZ28&lt;0), "",AZ29-AZ28)</f>
        <v>2603</v>
      </c>
      <c r="BB29" s="25">
        <v>2051230</v>
      </c>
      <c r="BC29" s="9">
        <f t="shared" si="13"/>
        <v>1196</v>
      </c>
      <c r="BD29" s="25">
        <v>154</v>
      </c>
      <c r="BE29" s="25">
        <v>199</v>
      </c>
      <c r="BH29">
        <f t="shared" si="0"/>
        <v>0</v>
      </c>
    </row>
    <row r="30" spans="1:60" ht="45" customHeight="1">
      <c r="A30" s="8">
        <v>44985</v>
      </c>
      <c r="B30" s="52"/>
      <c r="C30" s="25">
        <v>32472149</v>
      </c>
      <c r="D30" s="9">
        <f t="shared" si="6"/>
        <v>7079</v>
      </c>
      <c r="E30" s="25">
        <v>32759538</v>
      </c>
      <c r="F30" s="9">
        <f>IF((E30-E29&lt;0), "0",E30-E29)</f>
        <v>4945</v>
      </c>
      <c r="G30" s="25">
        <v>13968648</v>
      </c>
      <c r="H30" s="9">
        <f t="shared" si="1"/>
        <v>3804</v>
      </c>
      <c r="I30" s="25">
        <v>1960946</v>
      </c>
      <c r="J30" s="9">
        <f t="shared" si="8"/>
        <v>569</v>
      </c>
      <c r="K30" s="25">
        <v>3957745</v>
      </c>
      <c r="L30" s="9">
        <f t="shared" si="8"/>
        <v>461</v>
      </c>
      <c r="M30" s="25">
        <v>5219910</v>
      </c>
      <c r="N30" s="9">
        <f t="shared" ref="N30" si="105">IF((M30-M29&lt;0), "0",M30-M29)</f>
        <v>1488</v>
      </c>
      <c r="O30" s="30">
        <v>2271833</v>
      </c>
      <c r="P30" s="9">
        <f t="shared" ref="P30" si="106">IF((O30-O29&lt;0), "0",O30-O29)</f>
        <v>0</v>
      </c>
      <c r="Q30" s="25">
        <v>1593549</v>
      </c>
      <c r="R30" s="9">
        <f t="shared" ref="R30" si="107">IF((Q30-Q29&lt;0), "0",Q30-Q29)</f>
        <v>392</v>
      </c>
      <c r="S30" s="25">
        <v>573705</v>
      </c>
      <c r="T30" s="9">
        <f t="shared" ref="T30" si="108">IF((S30-S29&lt;0), "0",S30-S29)</f>
        <v>16</v>
      </c>
      <c r="U30" s="25">
        <v>4956051</v>
      </c>
      <c r="V30" s="9">
        <f t="shared" si="53"/>
        <v>912</v>
      </c>
      <c r="W30" s="25">
        <v>1132659</v>
      </c>
      <c r="X30" s="9">
        <f t="shared" si="53"/>
        <v>201</v>
      </c>
      <c r="Y30" s="25">
        <v>5159114</v>
      </c>
      <c r="Z30" s="9">
        <f t="shared" si="53"/>
        <v>1212</v>
      </c>
      <c r="AA30" s="25">
        <v>2272004</v>
      </c>
      <c r="AB30" s="9">
        <f t="shared" si="53"/>
        <v>2</v>
      </c>
      <c r="AC30" s="25">
        <v>6453274</v>
      </c>
      <c r="AD30" s="27">
        <f t="shared" si="53"/>
        <v>1202</v>
      </c>
      <c r="AE30" s="25">
        <v>9298742</v>
      </c>
      <c r="AF30" s="29">
        <f t="shared" si="53"/>
        <v>1900</v>
      </c>
      <c r="AG30" s="25">
        <v>1545822</v>
      </c>
      <c r="AH30" s="28">
        <f t="shared" si="53"/>
        <v>285</v>
      </c>
      <c r="AI30" s="25">
        <v>289223</v>
      </c>
      <c r="AJ30" s="9">
        <f t="shared" si="53"/>
        <v>45</v>
      </c>
      <c r="AK30" s="25">
        <v>1215455</v>
      </c>
      <c r="AL30" s="9">
        <f t="shared" si="53"/>
        <v>231</v>
      </c>
      <c r="AM30" s="25">
        <v>2316956</v>
      </c>
      <c r="AN30" s="9">
        <f t="shared" si="53"/>
        <v>598</v>
      </c>
      <c r="AO30" s="25">
        <v>2244808</v>
      </c>
      <c r="AP30" s="9">
        <f t="shared" si="53"/>
        <v>666</v>
      </c>
      <c r="AQ30" s="54"/>
      <c r="AR30" s="17" t="s">
        <v>60</v>
      </c>
      <c r="AS30" s="9">
        <v>0</v>
      </c>
      <c r="AT30" s="17" t="s">
        <v>60</v>
      </c>
      <c r="AU30" s="9">
        <v>0</v>
      </c>
      <c r="AV30" s="25">
        <v>98759</v>
      </c>
      <c r="AW30" s="9">
        <f t="shared" si="3"/>
        <v>41</v>
      </c>
      <c r="AX30" s="25">
        <v>1642</v>
      </c>
      <c r="AY30" s="9">
        <f t="shared" si="4"/>
        <v>4</v>
      </c>
      <c r="AZ30" s="25">
        <v>8517644</v>
      </c>
      <c r="BA30" s="9">
        <f>IF((AZ30-AZ29&lt;0), "",AZ30-AZ29)</f>
        <v>2536</v>
      </c>
      <c r="BB30" s="25">
        <v>2052398</v>
      </c>
      <c r="BC30" s="9">
        <f>IF((BB30-BB29&lt;0), "",BB30-BB29)</f>
        <v>1168</v>
      </c>
      <c r="BD30" s="25">
        <v>168</v>
      </c>
      <c r="BE30" s="25">
        <v>218</v>
      </c>
      <c r="BH30">
        <f t="shared" si="0"/>
        <v>0</v>
      </c>
    </row>
  </sheetData>
  <mergeCells count="28"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2023-03-01T14:50:47Z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