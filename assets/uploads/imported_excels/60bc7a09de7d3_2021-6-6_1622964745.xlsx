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E19" i="8"/>
  <c r="G19" i="8" s="1"/>
  <c r="E18" i="8"/>
  <c r="E17" i="8"/>
  <c r="G17" i="8" s="1"/>
  <c r="E16" i="8"/>
  <c r="G16" i="8" s="1"/>
  <c r="E15" i="8"/>
  <c r="G15" i="8" s="1"/>
  <c r="E14" i="8"/>
  <c r="G14" i="8" s="1"/>
  <c r="E13" i="8"/>
  <c r="G13" i="8" s="1"/>
  <c r="E12" i="8"/>
  <c r="E11" i="8"/>
  <c r="G11" i="8" s="1"/>
  <c r="E10" i="8"/>
  <c r="G10" i="8" s="1"/>
  <c r="G9" i="8"/>
  <c r="G26" i="8"/>
  <c r="G18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<sst xmlns="http://schemas.openxmlformats.org/spreadsheetml/2006/main" count="110" uniqueCount="57">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</sst>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34">
          <cell r="I34">
            <v>1212080.9483089999</v>
          </cell>
        </row>
      </sheetData>
      <sheetData sheetId="5">
        <row r="4">
          <cell r="E4">
            <v>742179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4">
          <cell r="F4">
            <v>4684.9539999999997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6" sqref="A6:XFD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-12934971.84</v>
      </c>
      <c r="F8" s="3">
        <v>0.75</v>
      </c>
      <c r="G8" s="13">
        <f>Gas!J10</f>
        <v>-1212080.9483089999</v>
      </c>
      <c r="H8" s="3">
        <v>1.66</v>
      </c>
      <c r="I8" s="13">
        <f>Water!H10</f>
        <v>-9650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0</v>
      </c>
      <c r="F9" s="3">
        <v>0.75</v>
      </c>
      <c r="G9" s="13">
        <f>Gas!J11</f>
        <v>0</v>
      </c>
      <c r="H9" s="3">
        <v>1.66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0</v>
      </c>
      <c r="F10" s="3">
        <v>0.75</v>
      </c>
      <c r="G10" s="13">
        <f>Gas!J12</f>
        <v>0</v>
      </c>
      <c r="H10" s="3">
        <v>1.66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0</v>
      </c>
      <c r="F11" s="3">
        <v>0.75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0</v>
      </c>
      <c r="F12" s="3">
        <v>0.75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0</v>
      </c>
      <c r="F13" s="3">
        <v>0.75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0.75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10" sqref="E1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f>[1]Jun.2021!$E$10</f>
        <v>0</v>
      </c>
      <c r="F10" s="24">
        <v>1065</v>
      </c>
      <c r="G10" s="24">
        <f t="shared" si="1"/>
        <v>1065</v>
      </c>
      <c r="H10" s="25">
        <f t="shared" si="0"/>
        <v>-9650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f>[1]Jun.2021!$E$11</f>
        <v>0</v>
      </c>
      <c r="F11" s="24">
        <v>1065</v>
      </c>
      <c r="G11" s="24">
        <f t="shared" si="1"/>
        <v>1065</v>
      </c>
      <c r="H11" s="25">
        <f t="shared" si="0"/>
        <v>0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f>[1]Jun.2021!$E$12</f>
        <v>0</v>
      </c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f>[1]Jun.2021!$E$13</f>
        <v>0</v>
      </c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0</v>
      </c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f>[1]Jun.2021!$E$15</f>
        <v>0</v>
      </c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0" sqref="F1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f>[2]Jun.2021!$E$10</f>
        <v>0</v>
      </c>
      <c r="F10" s="24">
        <f>[2]Jun.2021!$F$10</f>
        <v>0</v>
      </c>
      <c r="G10" s="24">
        <f t="shared" si="1"/>
        <v>0</v>
      </c>
      <c r="H10" s="18">
        <v>1.299221</v>
      </c>
      <c r="I10" s="24">
        <f t="shared" si="0"/>
        <v>0</v>
      </c>
      <c r="J10" s="25">
        <f t="shared" si="2"/>
        <v>-1212080.9483089999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f>[2]Jun.2021!$E$11</f>
        <v>0</v>
      </c>
      <c r="F11" s="24">
        <f>[2]Jun.2021!$F$11</f>
        <v>0</v>
      </c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f>[2]Jun.2021!$E$12</f>
        <v>0</v>
      </c>
      <c r="F12" s="24">
        <f>[2]Jun.2021!$F$12</f>
        <v>0</v>
      </c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f>[2]Jun.2021!$E$13</f>
        <v>0</v>
      </c>
      <c r="F13" s="24">
        <f>[2]Jun.2021!$F$13</f>
        <v>0</v>
      </c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0</v>
      </c>
      <c r="F14" s="24">
        <f>[2]Jun.2021!$F$14</f>
        <v>0</v>
      </c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f>[2]Jun.2021!$E$15</f>
        <v>0</v>
      </c>
      <c r="F15" s="24">
        <f>[2]Jun.2021!$F$15</f>
        <v>0</v>
      </c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0" sqref="F10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f>'[4]Haziran.2021  '!$F$10</f>
        <v>0</v>
      </c>
      <c r="G10" s="23">
        <v>2760</v>
      </c>
      <c r="H10" s="24">
        <f t="shared" si="11"/>
        <v>0</v>
      </c>
      <c r="I10" s="25">
        <f t="shared" si="18"/>
        <v>-12934971.84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-12934971.84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-12934971.84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-12934971.84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f>'[4]Haziran.2021  '!$F$11</f>
        <v>0</v>
      </c>
      <c r="G11" s="23">
        <v>2760</v>
      </c>
      <c r="H11" s="24">
        <f t="shared" si="11"/>
        <v>0</v>
      </c>
      <c r="I11" s="25">
        <f t="shared" si="18"/>
        <v>0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0</v>
      </c>
      <c r="W11" s="74" t="e">
        <f t="shared" si="2"/>
        <v>#DIV/0!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0</v>
      </c>
      <c r="AF11" s="74" t="e">
        <f>AD11/AE11</f>
        <v>#DIV/0!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f>'[4]Haziran.2021  '!$F$12</f>
        <v>0</v>
      </c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f>'[4]Haziran.2021  '!$F$13</f>
        <v>0</v>
      </c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0</v>
      </c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f>'[4]Haziran.2021  '!$F$15</f>
        <v>0</v>
      </c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2021-06-06T07:31:43Z</dcterms:modified>
</cp:coreProperties>
</file>