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16" l="1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<sst xmlns="http://schemas.openxmlformats.org/spreadsheetml/2006/main" count="549" uniqueCount="332">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</sst>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6749312"/>
        <c:axId val="1267552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756736"/>
        <c:axId val="126758272"/>
      </c:lineChart>
      <c:catAx>
        <c:axId val="12674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55200"/>
        <c:crosses val="autoZero"/>
        <c:auto val="1"/>
        <c:lblAlgn val="ctr"/>
        <c:lblOffset val="100"/>
      </c:catAx>
      <c:valAx>
        <c:axId val="1267552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49312"/>
        <c:crosses val="autoZero"/>
        <c:crossBetween val="between"/>
        <c:majorUnit val="200"/>
      </c:valAx>
      <c:catAx>
        <c:axId val="126756736"/>
        <c:scaling>
          <c:orientation val="minMax"/>
        </c:scaling>
        <c:delete val="1"/>
        <c:axPos val="b"/>
        <c:tickLblPos val="none"/>
        <c:crossAx val="126758272"/>
        <c:crosses val="autoZero"/>
        <c:auto val="1"/>
        <c:lblAlgn val="ctr"/>
        <c:lblOffset val="100"/>
      </c:catAx>
      <c:valAx>
        <c:axId val="1267582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56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804736"/>
        <c:axId val="1268062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808064"/>
        <c:axId val="126809600"/>
      </c:lineChart>
      <c:catAx>
        <c:axId val="12680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6272"/>
        <c:crosses val="autoZero"/>
        <c:auto val="1"/>
        <c:lblAlgn val="ctr"/>
        <c:lblOffset val="100"/>
      </c:catAx>
      <c:valAx>
        <c:axId val="12680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4736"/>
        <c:crosses val="autoZero"/>
        <c:crossBetween val="between"/>
        <c:majorUnit val="200"/>
      </c:valAx>
      <c:catAx>
        <c:axId val="126808064"/>
        <c:scaling>
          <c:orientation val="minMax"/>
        </c:scaling>
        <c:delete val="1"/>
        <c:axPos val="b"/>
        <c:tickLblPos val="none"/>
        <c:crossAx val="126809600"/>
        <c:crosses val="autoZero"/>
        <c:auto val="1"/>
        <c:lblAlgn val="ctr"/>
        <c:lblOffset val="100"/>
      </c:catAx>
      <c:valAx>
        <c:axId val="126809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8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5031424"/>
        <c:axId val="155032960"/>
      </c:lineChart>
      <c:catAx>
        <c:axId val="15503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2960"/>
        <c:crosses val="autoZero"/>
        <c:auto val="1"/>
        <c:lblAlgn val="ctr"/>
        <c:lblOffset val="200"/>
        <c:tickLblSkip val="1"/>
      </c:catAx>
      <c:valAx>
        <c:axId val="155032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5053440"/>
        <c:axId val="104424576"/>
      </c:lineChart>
      <c:catAx>
        <c:axId val="15505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24576"/>
        <c:crosses val="autoZero"/>
        <c:auto val="1"/>
        <c:lblAlgn val="ctr"/>
        <c:lblOffset val="100"/>
      </c:catAx>
      <c:valAx>
        <c:axId val="1044245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6813312"/>
        <c:axId val="126815232"/>
      </c:lineChart>
      <c:catAx>
        <c:axId val="126813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15232"/>
        <c:crosses val="autoZero"/>
        <c:auto val="1"/>
        <c:lblAlgn val="ctr"/>
        <c:lblOffset val="100"/>
      </c:catAx>
      <c:valAx>
        <c:axId val="126815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13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6860672"/>
        <c:axId val="126871040"/>
      </c:lineChart>
      <c:catAx>
        <c:axId val="126860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71040"/>
        <c:crosses val="autoZero"/>
        <c:auto val="1"/>
        <c:lblAlgn val="ctr"/>
        <c:lblOffset val="100"/>
      </c:catAx>
      <c:valAx>
        <c:axId val="126871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60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-333990.40400000004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5125632"/>
        <c:axId val="155127168"/>
      </c:lineChart>
      <c:catAx>
        <c:axId val="15512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7168"/>
        <c:crosses val="autoZero"/>
        <c:auto val="1"/>
        <c:lblAlgn val="ctr"/>
        <c:lblOffset val="100"/>
      </c:catAx>
      <c:valAx>
        <c:axId val="155127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05017728"/>
        <c:axId val="105019264"/>
      </c:lineChart>
      <c:catAx>
        <c:axId val="10501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19264"/>
        <c:crosses val="autoZero"/>
        <c:auto val="1"/>
        <c:lblAlgn val="ctr"/>
        <c:lblOffset val="100"/>
      </c:catAx>
      <c:valAx>
        <c:axId val="10501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1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5846272"/>
        <c:axId val="105847808"/>
      </c:lineChart>
      <c:catAx>
        <c:axId val="10584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47808"/>
        <c:crosses val="autoZero"/>
        <c:auto val="1"/>
        <c:lblAlgn val="ctr"/>
        <c:lblOffset val="100"/>
      </c:catAx>
      <c:valAx>
        <c:axId val="10584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4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835"/>
          <c:y val="7.47132470511205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05876480"/>
        <c:axId val="105894656"/>
      </c:lineChart>
      <c:catAx>
        <c:axId val="1058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94656"/>
        <c:crosses val="autoZero"/>
        <c:auto val="1"/>
        <c:lblAlgn val="ctr"/>
        <c:lblOffset val="200"/>
        <c:tickLblSkip val="1"/>
      </c:catAx>
      <c:valAx>
        <c:axId val="105894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06194048"/>
        <c:axId val="106195584"/>
      </c:lineChart>
      <c:catAx>
        <c:axId val="1061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5584"/>
        <c:crosses val="autoZero"/>
        <c:auto val="1"/>
        <c:lblAlgn val="ctr"/>
        <c:lblOffset val="100"/>
      </c:catAx>
      <c:valAx>
        <c:axId val="10619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06216064"/>
        <c:axId val="106648320"/>
      </c:lineChart>
      <c:catAx>
        <c:axId val="106216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48320"/>
        <c:crosses val="autoZero"/>
        <c:auto val="1"/>
        <c:lblAlgn val="ctr"/>
        <c:lblOffset val="100"/>
      </c:catAx>
      <c:valAx>
        <c:axId val="106648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160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06837120"/>
        <c:axId val="106839040"/>
      </c:lineChart>
      <c:catAx>
        <c:axId val="106837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39040"/>
        <c:crosses val="autoZero"/>
        <c:auto val="1"/>
        <c:lblAlgn val="ctr"/>
        <c:lblOffset val="100"/>
      </c:catAx>
      <c:valAx>
        <c:axId val="106839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37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06876288"/>
        <c:axId val="106882176"/>
      </c:lineChart>
      <c:catAx>
        <c:axId val="10687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82176"/>
        <c:crosses val="autoZero"/>
        <c:auto val="1"/>
        <c:lblAlgn val="ctr"/>
        <c:lblOffset val="100"/>
      </c:catAx>
      <c:valAx>
        <c:axId val="10688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7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06391424"/>
        <c:axId val="106392960"/>
      </c:lineChart>
      <c:catAx>
        <c:axId val="10639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92960"/>
        <c:crosses val="autoZero"/>
        <c:auto val="1"/>
        <c:lblAlgn val="ctr"/>
        <c:lblOffset val="100"/>
      </c:catAx>
      <c:valAx>
        <c:axId val="10639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9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06425344"/>
        <c:axId val="107156224"/>
      </c:lineChart>
      <c:catAx>
        <c:axId val="10642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56224"/>
        <c:crosses val="autoZero"/>
        <c:auto val="1"/>
        <c:lblAlgn val="ctr"/>
        <c:lblOffset val="100"/>
      </c:catAx>
      <c:valAx>
        <c:axId val="10715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2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212"/>
          <c:y val="7.471324705112100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07546496"/>
        <c:axId val="1075480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07553920"/>
        <c:axId val="107555456"/>
      </c:lineChart>
      <c:catAx>
        <c:axId val="107546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48032"/>
        <c:crosses val="autoZero"/>
        <c:lblAlgn val="ctr"/>
        <c:lblOffset val="100"/>
        <c:tickMarkSkip val="1"/>
      </c:catAx>
      <c:valAx>
        <c:axId val="107548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46496"/>
        <c:crosses val="autoZero"/>
        <c:crossBetween val="between"/>
      </c:valAx>
      <c:catAx>
        <c:axId val="107553920"/>
        <c:scaling>
          <c:orientation val="minMax"/>
        </c:scaling>
        <c:delete val="1"/>
        <c:axPos val="b"/>
        <c:numFmt formatCode="[$-409]d\-mmm\-yy;@" sourceLinked="1"/>
        <c:tickLblPos val="none"/>
        <c:crossAx val="107555456"/>
        <c:crosses val="autoZero"/>
        <c:lblAlgn val="ctr"/>
        <c:lblOffset val="100"/>
      </c:catAx>
      <c:valAx>
        <c:axId val="1075554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53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07596416"/>
        <c:axId val="107815296"/>
      </c:lineChart>
      <c:catAx>
        <c:axId val="10759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15296"/>
        <c:crosses val="autoZero"/>
        <c:auto val="1"/>
        <c:lblAlgn val="ctr"/>
        <c:lblOffset val="100"/>
      </c:catAx>
      <c:valAx>
        <c:axId val="1078152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7843968"/>
        <c:axId val="107845504"/>
      </c:lineChart>
      <c:catAx>
        <c:axId val="10784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45504"/>
        <c:crosses val="autoZero"/>
        <c:auto val="1"/>
        <c:lblAlgn val="ctr"/>
        <c:lblOffset val="100"/>
      </c:catAx>
      <c:valAx>
        <c:axId val="1078455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4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9982080"/>
        <c:axId val="1099836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9985152"/>
        <c:axId val="110011520"/>
      </c:lineChart>
      <c:catAx>
        <c:axId val="1099820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3616"/>
        <c:crosses val="autoZero"/>
        <c:lblAlgn val="ctr"/>
        <c:lblOffset val="100"/>
        <c:tickMarkSkip val="1"/>
      </c:catAx>
      <c:valAx>
        <c:axId val="10998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2080"/>
        <c:crosses val="autoZero"/>
        <c:crossBetween val="between"/>
      </c:valAx>
      <c:catAx>
        <c:axId val="109985152"/>
        <c:scaling>
          <c:orientation val="minMax"/>
        </c:scaling>
        <c:delete val="1"/>
        <c:axPos val="b"/>
        <c:numFmt formatCode="General" sourceLinked="1"/>
        <c:tickLblPos val="none"/>
        <c:crossAx val="110011520"/>
        <c:crosses val="autoZero"/>
        <c:lblAlgn val="ctr"/>
        <c:lblOffset val="100"/>
      </c:catAx>
      <c:valAx>
        <c:axId val="1100115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5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10179072"/>
        <c:axId val="110180608"/>
      </c:lineChart>
      <c:catAx>
        <c:axId val="11017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80608"/>
        <c:crosses val="autoZero"/>
        <c:auto val="1"/>
        <c:lblAlgn val="ctr"/>
        <c:lblOffset val="100"/>
      </c:catAx>
      <c:valAx>
        <c:axId val="110180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7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10209280"/>
        <c:axId val="110223360"/>
      </c:lineChart>
      <c:catAx>
        <c:axId val="11020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23360"/>
        <c:crosses val="autoZero"/>
        <c:auto val="1"/>
        <c:lblAlgn val="ctr"/>
        <c:lblOffset val="100"/>
      </c:catAx>
      <c:valAx>
        <c:axId val="11022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0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10593920"/>
        <c:axId val="1105954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0609536"/>
        <c:axId val="110611072"/>
      </c:lineChart>
      <c:catAx>
        <c:axId val="1105939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95456"/>
        <c:crosses val="autoZero"/>
        <c:lblAlgn val="ctr"/>
        <c:lblOffset val="100"/>
        <c:tickMarkSkip val="1"/>
      </c:catAx>
      <c:valAx>
        <c:axId val="110595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93920"/>
        <c:crosses val="autoZero"/>
        <c:crossBetween val="between"/>
      </c:valAx>
      <c:catAx>
        <c:axId val="110609536"/>
        <c:scaling>
          <c:orientation val="minMax"/>
        </c:scaling>
        <c:delete val="1"/>
        <c:axPos val="b"/>
        <c:numFmt formatCode="[$-409]d\-mmm\-yy;@" sourceLinked="1"/>
        <c:tickLblPos val="none"/>
        <c:crossAx val="110611072"/>
        <c:crosses val="autoZero"/>
        <c:lblAlgn val="ctr"/>
        <c:lblOffset val="100"/>
      </c:catAx>
      <c:valAx>
        <c:axId val="1106110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095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11776128"/>
        <c:axId val="1117776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11779200"/>
        <c:axId val="111797376"/>
      </c:lineChart>
      <c:catAx>
        <c:axId val="1117761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77664"/>
        <c:crosses val="autoZero"/>
        <c:lblAlgn val="ctr"/>
        <c:lblOffset val="100"/>
        <c:tickMarkSkip val="1"/>
      </c:catAx>
      <c:valAx>
        <c:axId val="11177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76128"/>
        <c:crosses val="autoZero"/>
        <c:crossBetween val="between"/>
      </c:valAx>
      <c:catAx>
        <c:axId val="111779200"/>
        <c:scaling>
          <c:orientation val="minMax"/>
        </c:scaling>
        <c:delete val="1"/>
        <c:axPos val="b"/>
        <c:numFmt formatCode="General" sourceLinked="1"/>
        <c:tickLblPos val="none"/>
        <c:crossAx val="111797376"/>
        <c:crosses val="autoZero"/>
        <c:lblAlgn val="ctr"/>
        <c:lblOffset val="100"/>
      </c:catAx>
      <c:valAx>
        <c:axId val="111797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79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12057728"/>
        <c:axId val="11205952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12061056"/>
        <c:axId val="112071040"/>
      </c:lineChart>
      <c:catAx>
        <c:axId val="1120577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59520"/>
        <c:crosses val="autoZero"/>
        <c:lblAlgn val="ctr"/>
        <c:lblOffset val="100"/>
        <c:tickMarkSkip val="1"/>
      </c:catAx>
      <c:valAx>
        <c:axId val="112059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57728"/>
        <c:crosses val="autoZero"/>
        <c:crossBetween val="between"/>
      </c:valAx>
      <c:catAx>
        <c:axId val="112061056"/>
        <c:scaling>
          <c:orientation val="minMax"/>
        </c:scaling>
        <c:delete val="1"/>
        <c:axPos val="b"/>
        <c:numFmt formatCode="[$-409]d\-mmm\-yy;@" sourceLinked="1"/>
        <c:tickLblPos val="none"/>
        <c:crossAx val="112071040"/>
        <c:crosses val="autoZero"/>
        <c:lblAlgn val="ctr"/>
        <c:lblOffset val="100"/>
      </c:catAx>
      <c:valAx>
        <c:axId val="112071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61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12117632"/>
        <c:axId val="1121191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12120960"/>
        <c:axId val="112122496"/>
      </c:lineChart>
      <c:catAx>
        <c:axId val="112117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19168"/>
        <c:crosses val="autoZero"/>
        <c:lblAlgn val="ctr"/>
        <c:lblOffset val="100"/>
        <c:tickMarkSkip val="1"/>
      </c:catAx>
      <c:valAx>
        <c:axId val="11211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17632"/>
        <c:crosses val="autoZero"/>
        <c:crossBetween val="between"/>
      </c:valAx>
      <c:catAx>
        <c:axId val="112120960"/>
        <c:scaling>
          <c:orientation val="minMax"/>
        </c:scaling>
        <c:delete val="1"/>
        <c:axPos val="b"/>
        <c:numFmt formatCode="General" sourceLinked="1"/>
        <c:tickLblPos val="none"/>
        <c:crossAx val="112122496"/>
        <c:crosses val="autoZero"/>
        <c:lblAlgn val="ctr"/>
        <c:lblOffset val="100"/>
      </c:catAx>
      <c:valAx>
        <c:axId val="112122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20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9530880"/>
        <c:axId val="129549440"/>
      </c:lineChart>
      <c:catAx>
        <c:axId val="129530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49440"/>
        <c:crosses val="autoZero"/>
        <c:auto val="1"/>
        <c:lblAlgn val="ctr"/>
        <c:lblOffset val="100"/>
      </c:catAx>
      <c:valAx>
        <c:axId val="129549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30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6308992"/>
        <c:axId val="156310912"/>
      </c:lineChart>
      <c:catAx>
        <c:axId val="15630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10912"/>
        <c:crosses val="autoZero"/>
        <c:auto val="1"/>
        <c:lblAlgn val="ctr"/>
        <c:lblOffset val="100"/>
      </c:catAx>
      <c:valAx>
        <c:axId val="15631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08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6364800"/>
        <c:axId val="156366336"/>
      </c:lineChart>
      <c:catAx>
        <c:axId val="1563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6336"/>
        <c:crosses val="autoZero"/>
        <c:auto val="1"/>
        <c:lblAlgn val="ctr"/>
        <c:lblOffset val="200"/>
        <c:tickLblSkip val="1"/>
      </c:catAx>
      <c:valAx>
        <c:axId val="156366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6788224"/>
        <c:axId val="156789760"/>
      </c:lineChart>
      <c:catAx>
        <c:axId val="15678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9760"/>
        <c:crosses val="autoZero"/>
        <c:auto val="1"/>
        <c:lblAlgn val="ctr"/>
        <c:lblOffset val="100"/>
      </c:catAx>
      <c:valAx>
        <c:axId val="1567897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-333990.40400000004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6818432"/>
        <c:axId val="157360896"/>
      </c:lineChart>
      <c:catAx>
        <c:axId val="15681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0896"/>
        <c:crosses val="autoZero"/>
        <c:auto val="1"/>
        <c:lblAlgn val="ctr"/>
        <c:lblOffset val="100"/>
      </c:catAx>
      <c:valAx>
        <c:axId val="157360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1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7811456"/>
        <c:axId val="157813376"/>
      </c:lineChart>
      <c:catAx>
        <c:axId val="15781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13376"/>
        <c:crosses val="autoZero"/>
        <c:auto val="1"/>
        <c:lblAlgn val="ctr"/>
        <c:lblOffset val="100"/>
      </c:catAx>
      <c:valAx>
        <c:axId val="157813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11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7838336"/>
        <c:axId val="158143616"/>
      </c:lineChart>
      <c:catAx>
        <c:axId val="157838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43616"/>
        <c:crosses val="autoZero"/>
        <c:auto val="1"/>
        <c:lblAlgn val="ctr"/>
        <c:lblOffset val="100"/>
      </c:catAx>
      <c:valAx>
        <c:axId val="1581436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38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8156288"/>
        <c:axId val="158157824"/>
      </c:lineChart>
      <c:catAx>
        <c:axId val="15815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7824"/>
        <c:crosses val="autoZero"/>
        <c:auto val="1"/>
        <c:lblAlgn val="ctr"/>
        <c:lblOffset val="200"/>
        <c:tickLblSkip val="1"/>
      </c:catAx>
      <c:valAx>
        <c:axId val="1581578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8190592"/>
        <c:axId val="158196480"/>
      </c:lineChart>
      <c:catAx>
        <c:axId val="15819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6480"/>
        <c:crosses val="autoZero"/>
        <c:auto val="1"/>
        <c:lblAlgn val="ctr"/>
        <c:lblOffset val="100"/>
      </c:catAx>
      <c:valAx>
        <c:axId val="1581964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-333990.40400000004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093504"/>
        <c:axId val="159095040"/>
      </c:lineChart>
      <c:catAx>
        <c:axId val="15909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95040"/>
        <c:crosses val="autoZero"/>
        <c:auto val="1"/>
        <c:lblAlgn val="ctr"/>
        <c:lblOffset val="100"/>
      </c:catAx>
      <c:valAx>
        <c:axId val="159095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9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9529216"/>
        <c:axId val="159555968"/>
      </c:lineChart>
      <c:catAx>
        <c:axId val="159529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5968"/>
        <c:crosses val="autoZero"/>
        <c:auto val="1"/>
        <c:lblAlgn val="ctr"/>
        <c:lblOffset val="100"/>
      </c:catAx>
      <c:valAx>
        <c:axId val="159555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29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9716096"/>
        <c:axId val="159718016"/>
      </c:lineChart>
      <c:catAx>
        <c:axId val="159716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18016"/>
        <c:crosses val="autoZero"/>
        <c:auto val="1"/>
        <c:lblAlgn val="ctr"/>
        <c:lblOffset val="100"/>
      </c:catAx>
      <c:valAx>
        <c:axId val="159718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16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9747072"/>
        <c:axId val="159757056"/>
      </c:lineChart>
      <c:catAx>
        <c:axId val="15974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7056"/>
        <c:crosses val="autoZero"/>
        <c:auto val="1"/>
        <c:lblAlgn val="ctr"/>
        <c:lblOffset val="200"/>
        <c:tickLblSkip val="1"/>
      </c:catAx>
      <c:valAx>
        <c:axId val="159757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0109312"/>
        <c:axId val="160110848"/>
      </c:lineChart>
      <c:catAx>
        <c:axId val="16010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0848"/>
        <c:crosses val="autoZero"/>
        <c:auto val="1"/>
        <c:lblAlgn val="ctr"/>
        <c:lblOffset val="100"/>
      </c:catAx>
      <c:valAx>
        <c:axId val="16011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0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0139520"/>
        <c:axId val="160165888"/>
      </c:lineChart>
      <c:catAx>
        <c:axId val="16013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65888"/>
        <c:crosses val="autoZero"/>
        <c:auto val="1"/>
        <c:lblAlgn val="ctr"/>
        <c:lblOffset val="100"/>
      </c:catAx>
      <c:valAx>
        <c:axId val="16016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0473088"/>
        <c:axId val="160475008"/>
      </c:lineChart>
      <c:catAx>
        <c:axId val="160473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75008"/>
        <c:crosses val="autoZero"/>
        <c:auto val="1"/>
        <c:lblAlgn val="ctr"/>
        <c:lblOffset val="100"/>
      </c:catAx>
      <c:valAx>
        <c:axId val="160475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730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0659712"/>
        <c:axId val="160674176"/>
      </c:lineChart>
      <c:catAx>
        <c:axId val="160659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4176"/>
        <c:crosses val="autoZero"/>
        <c:auto val="1"/>
        <c:lblAlgn val="ctr"/>
        <c:lblOffset val="100"/>
      </c:catAx>
      <c:valAx>
        <c:axId val="1606741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97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0830208"/>
        <c:axId val="160831744"/>
      </c:lineChart>
      <c:catAx>
        <c:axId val="1608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1744"/>
        <c:crosses val="autoZero"/>
        <c:auto val="1"/>
        <c:lblAlgn val="ctr"/>
        <c:lblOffset val="200"/>
        <c:tickLblSkip val="1"/>
      </c:catAx>
      <c:valAx>
        <c:axId val="1608317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0852224"/>
        <c:axId val="160862208"/>
      </c:lineChart>
      <c:catAx>
        <c:axId val="16085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2208"/>
        <c:crosses val="autoZero"/>
        <c:auto val="1"/>
        <c:lblAlgn val="ctr"/>
        <c:lblOffset val="100"/>
      </c:catAx>
      <c:valAx>
        <c:axId val="16086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5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1161216"/>
        <c:axId val="161162752"/>
      </c:lineChart>
      <c:catAx>
        <c:axId val="1611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2752"/>
        <c:crosses val="autoZero"/>
        <c:auto val="1"/>
        <c:lblAlgn val="ctr"/>
        <c:lblOffset val="100"/>
      </c:catAx>
      <c:valAx>
        <c:axId val="16116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80.212000000046103</v>
      </c>
      <c r="H8" s="423">
        <v>0</v>
      </c>
      <c r="I8" s="418" t="str">
        <f>IF('UTILITY REPORT 1'!G9&lt;0,"0",'UTILITY REPORT 1'!G9)</f>
        <v>0</v>
      </c>
      <c r="J8" s="423">
        <v>0</v>
      </c>
      <c r="K8" s="417">
        <f>'UTILITY REPORT 1'!C9</f>
        <v>11.69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 t="str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12.99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15.58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15.58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11.69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12.99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14.29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14.29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 t="str">
        <f>IF('Kit report'!F10&lt;0,"0",'Kit report'!F10)</f>
        <v>0</v>
      </c>
      <c r="I8" s="456" t="str">
        <f>IF('Kit report'!X10&lt;0,"0",'Kit report'!X10)</f>
        <v>0</v>
      </c>
      <c r="J8" s="456" t="str">
        <f>IF('Utility summery'!H12&lt;0,"0",'Utility summery'!H12)</f>
        <v>0</v>
      </c>
      <c r="K8" s="457" t="str">
        <f>IF('UTILITY REPORT 1'!H9&lt;0,"0",'UTILITY REPORT 1'!H9)</f>
        <v>0</v>
      </c>
      <c r="L8" s="456">
        <f>'Water-Meter'!K12</f>
        <v>-8372</v>
      </c>
      <c r="M8" s="457" t="str">
        <f>'Water-Meter'!H12</f>
        <v>0</v>
      </c>
      <c r="N8" s="457" t="str">
        <f>'Water-Meter'!Q12</f>
        <v>0</v>
      </c>
      <c r="O8" s="456" t="e">
        <f>K8*E8+H8*I8+#REF!*#REF!+J8*L8</f>
        <v>#REF!</v>
      </c>
      <c r="P8" s="462" t="str">
        <f>'Water-Meter'!E12</f>
        <v>0</v>
      </c>
      <c r="Q8" s="242" t="str">
        <f>IF('Water-Meter'!U12&lt;0,"0",'Water-Meter'!U12)</f>
        <v>0</v>
      </c>
      <c r="R8" s="242" t="str">
        <f>IF('Water-Meter'!X12&lt;0,"0",'Water-Meter'!X12)</f>
        <v>0</v>
      </c>
      <c r="S8" s="242" t="str">
        <f>IF('Water-Meter'!AA12&lt;0,"0",'Water-Meter'!AA12)</f>
        <v>0</v>
      </c>
      <c r="T8" s="242" t="str">
        <f>IF('Water-Meter'!AD12&lt;0,"0",'Water-Meter'!AD12)</f>
        <v>0</v>
      </c>
      <c r="U8" s="242" t="str">
        <f>IF('Water-Meter'!AG12&lt;0,"0",'Water-Meter'!AG12)</f>
        <v>0</v>
      </c>
      <c r="V8" s="242" t="str">
        <f>IF('Water-Meter'!AJ12&lt;0,"0",'Water-Meter'!AJ12)</f>
        <v>0</v>
      </c>
      <c r="W8" s="30">
        <f>'Water-Meter'!AN12</f>
        <v>0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0.14299999999999999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0.23400000000000001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0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0</v>
      </c>
      <c r="C9" s="405">
        <f>'Summery Report'!E11</f>
        <v>11.69</v>
      </c>
      <c r="D9" s="406">
        <v>1</v>
      </c>
      <c r="E9" s="405">
        <f>Gen!S17</f>
        <v>0</v>
      </c>
      <c r="F9" s="405">
        <f>Gen!T17</f>
        <v>0</v>
      </c>
      <c r="G9" s="405" t="str">
        <f>'Water-Meter'!E12</f>
        <v>0</v>
      </c>
      <c r="H9" s="405">
        <f>'Utility report '!AC12</f>
        <v>-48777</v>
      </c>
      <c r="I9" s="405">
        <f>Gen!AJ17</f>
        <v>0</v>
      </c>
    </row>
    <row r="10" spans="1:9" ht="13.5">
      <c r="A10" s="402">
        <f>Gen!A18</f>
        <v>44294</v>
      </c>
      <c r="B10" s="404">
        <f>Gen!B18</f>
        <v>0</v>
      </c>
      <c r="C10" s="405">
        <f>'Summery Report'!E12</f>
        <v>12.99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44295</v>
      </c>
      <c r="B11" s="404">
        <f>Gen!B19</f>
        <v>0</v>
      </c>
      <c r="C11" s="405">
        <f>'Summery Report'!E13</f>
        <v>15.58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-48777</v>
      </c>
      <c r="H12" s="153">
        <f>'Utility report '!AE12</f>
        <v>-214468</v>
      </c>
      <c r="I12" s="296" t="str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0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-333990.40400000004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0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0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0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0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0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0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0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16381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623</v>
      </c>
      <c r="J39" s="453">
        <f t="shared" si="3"/>
        <v>0</v>
      </c>
      <c r="K39" s="453">
        <f t="shared" si="3"/>
        <v>13</v>
      </c>
      <c r="L39" s="453">
        <f t="shared" si="3"/>
        <v>496</v>
      </c>
      <c r="M39" s="453">
        <f t="shared" si="3"/>
        <v>-333476.88</v>
      </c>
      <c r="N39" s="453">
        <f t="shared" si="3"/>
        <v>22933.399999999998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13" sqref="AD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0.14299999999999999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0.23400000000000001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0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0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0</v>
      </c>
      <c r="G12" s="438">
        <f t="shared" si="0"/>
        <v>0</v>
      </c>
      <c r="H12" s="720">
        <f>Gen!C17</f>
        <v>43721.960000000006</v>
      </c>
      <c r="I12" s="720">
        <f>Gen!E17</f>
        <v>0</v>
      </c>
      <c r="J12" s="759">
        <f>Gen!T17</f>
        <v>0</v>
      </c>
      <c r="K12" s="764">
        <f>Gen!AK17</f>
        <v>0</v>
      </c>
      <c r="L12" s="755">
        <f t="shared" si="1"/>
        <v>0</v>
      </c>
      <c r="M12" s="448">
        <f>'Water-Meter'!K52</f>
        <v>451.42806874858366</v>
      </c>
      <c r="N12" s="715" t="str">
        <f>'Water-Meter'!E12</f>
        <v>0</v>
      </c>
      <c r="O12" s="706"/>
      <c r="P12" s="713"/>
      <c r="Q12" s="725">
        <f t="shared" si="2"/>
        <v>-19032</v>
      </c>
      <c r="R12" s="426">
        <f t="shared" si="5"/>
        <v>0</v>
      </c>
      <c r="S12" s="701"/>
      <c r="T12" s="702"/>
      <c r="U12" s="725">
        <f t="shared" si="6"/>
        <v>-17828</v>
      </c>
      <c r="V12" s="427">
        <f t="shared" si="16"/>
        <v>0</v>
      </c>
      <c r="W12" s="706"/>
      <c r="X12" s="707"/>
      <c r="Y12" s="725">
        <f t="shared" si="8"/>
        <v>-27743</v>
      </c>
      <c r="Z12" s="705">
        <f t="shared" si="9"/>
        <v>0</v>
      </c>
      <c r="AA12" s="712">
        <f t="shared" si="10"/>
        <v>0</v>
      </c>
      <c r="AB12" s="709"/>
      <c r="AC12" s="690">
        <f t="shared" si="11"/>
        <v>-48777</v>
      </c>
      <c r="AD12" s="692"/>
      <c r="AE12" s="178">
        <f t="shared" si="15"/>
        <v>-214468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0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0</v>
      </c>
      <c r="G13" s="438">
        <f t="shared" si="0"/>
        <v>0</v>
      </c>
      <c r="H13" s="720">
        <f>Gen!C18</f>
        <v>43721.960000000006</v>
      </c>
      <c r="I13" s="720">
        <f>Gen!E18</f>
        <v>0</v>
      </c>
      <c r="J13" s="759">
        <f>Gen!T18</f>
        <v>0</v>
      </c>
      <c r="K13" s="764">
        <f>Gen!AK18</f>
        <v>0</v>
      </c>
      <c r="L13" s="755">
        <f t="shared" si="1"/>
        <v>0</v>
      </c>
      <c r="M13" s="448">
        <f>'Water-Meter'!K53</f>
        <v>0</v>
      </c>
      <c r="N13" s="715">
        <f>'Water-Meter'!E13</f>
        <v>0</v>
      </c>
      <c r="O13" s="706"/>
      <c r="P13" s="713"/>
      <c r="Q13" s="725">
        <f t="shared" si="2"/>
        <v>0</v>
      </c>
      <c r="R13" s="426">
        <f t="shared" si="5"/>
        <v>0</v>
      </c>
      <c r="S13" s="701"/>
      <c r="T13" s="702"/>
      <c r="U13" s="725">
        <f t="shared" si="6"/>
        <v>0</v>
      </c>
      <c r="V13" s="427">
        <f t="shared" si="16"/>
        <v>0</v>
      </c>
      <c r="W13" s="706"/>
      <c r="X13" s="707"/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/>
      <c r="AC13" s="690">
        <f t="shared" si="11"/>
        <v>0</v>
      </c>
      <c r="AD13" s="692"/>
      <c r="AE13" s="178">
        <f t="shared" si="15"/>
        <v>0</v>
      </c>
      <c r="AF13" s="719">
        <f>'Lpg (2)'!B17*2000/85</f>
        <v>0</v>
      </c>
      <c r="AG13" s="266">
        <f>'Lpg (2)'!C17*1000/85</f>
        <v>0</v>
      </c>
      <c r="AH13" s="732">
        <f>'Lpg (2)'!D17*1000/85</f>
        <v>0</v>
      </c>
      <c r="AI13" s="722">
        <f t="shared" si="12"/>
        <v>0</v>
      </c>
      <c r="AJ13" s="428">
        <f t="shared" si="4"/>
        <v>941176.4705882353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0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0</v>
      </c>
      <c r="G14" s="438">
        <f t="shared" si="0"/>
        <v>0</v>
      </c>
      <c r="H14" s="720">
        <f>Gen!C19</f>
        <v>43721.960000000006</v>
      </c>
      <c r="I14" s="720">
        <f>Gen!E19</f>
        <v>0</v>
      </c>
      <c r="J14" s="759">
        <f>Gen!T19</f>
        <v>0</v>
      </c>
      <c r="K14" s="764">
        <f>Gen!AK19</f>
        <v>0</v>
      </c>
      <c r="L14" s="755">
        <f t="shared" ref="L14:L37" si="17">SUM(J14:K14)</f>
        <v>0</v>
      </c>
      <c r="M14" s="448">
        <f>'Water-Meter'!K54</f>
        <v>0</v>
      </c>
      <c r="N14" s="715">
        <f>'Water-Meter'!E14</f>
        <v>0</v>
      </c>
      <c r="O14" s="706"/>
      <c r="P14" s="713"/>
      <c r="Q14" s="725">
        <f t="shared" si="2"/>
        <v>0</v>
      </c>
      <c r="R14" s="426">
        <f t="shared" si="5"/>
        <v>0</v>
      </c>
      <c r="S14" s="701"/>
      <c r="T14" s="702"/>
      <c r="U14" s="725">
        <f t="shared" si="6"/>
        <v>0</v>
      </c>
      <c r="V14" s="427">
        <f t="shared" si="16"/>
        <v>0</v>
      </c>
      <c r="W14" s="706"/>
      <c r="X14" s="707"/>
      <c r="Y14" s="725">
        <f t="shared" si="8"/>
        <v>0</v>
      </c>
      <c r="Z14" s="705">
        <f t="shared" si="9"/>
        <v>0</v>
      </c>
      <c r="AA14" s="712">
        <f t="shared" si="10"/>
        <v>0</v>
      </c>
      <c r="AB14" s="709"/>
      <c r="AC14" s="690">
        <f t="shared" si="11"/>
        <v>0</v>
      </c>
      <c r="AD14" s="692"/>
      <c r="AE14" s="178">
        <f t="shared" si="15"/>
        <v>0</v>
      </c>
      <c r="AF14" s="719">
        <f>'Lpg (2)'!B18*2000/85</f>
        <v>0</v>
      </c>
      <c r="AG14" s="266">
        <f>'Lpg (2)'!C18*1000/85</f>
        <v>0</v>
      </c>
      <c r="AH14" s="732">
        <f>'Lpg (2)'!D18*1000/85</f>
        <v>0</v>
      </c>
      <c r="AI14" s="722">
        <f t="shared" si="12"/>
        <v>0</v>
      </c>
      <c r="AJ14" s="428">
        <f t="shared" si="4"/>
        <v>0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0</v>
      </c>
      <c r="G15" s="438">
        <f t="shared" si="0"/>
        <v>0</v>
      </c>
      <c r="H15" s="720">
        <f>Gen!C20</f>
        <v>43721.960000000006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0</v>
      </c>
      <c r="N15" s="715">
        <f>'Water-Meter'!E15</f>
        <v>0</v>
      </c>
      <c r="O15" s="706"/>
      <c r="P15" s="713"/>
      <c r="Q15" s="725">
        <f t="shared" si="2"/>
        <v>0</v>
      </c>
      <c r="R15" s="426">
        <f t="shared" si="5"/>
        <v>0</v>
      </c>
      <c r="S15" s="701"/>
      <c r="T15" s="702"/>
      <c r="U15" s="725">
        <f t="shared" si="6"/>
        <v>0</v>
      </c>
      <c r="V15" s="427">
        <f t="shared" si="16"/>
        <v>0</v>
      </c>
      <c r="W15" s="706"/>
      <c r="X15" s="707"/>
      <c r="Y15" s="725">
        <f t="shared" si="8"/>
        <v>0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0</v>
      </c>
      <c r="AD15" s="692"/>
      <c r="AE15" s="178">
        <f>AD15-AD14</f>
        <v>0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0</v>
      </c>
      <c r="G16" s="438">
        <f t="shared" si="0"/>
        <v>0</v>
      </c>
      <c r="H16" s="720">
        <f>Gen!C21</f>
        <v>43721.960000000006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0</v>
      </c>
      <c r="G17" s="438">
        <f t="shared" si="0"/>
        <v>0</v>
      </c>
      <c r="H17" s="720">
        <f>Gen!C22</f>
        <v>43721.960000000006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0</v>
      </c>
      <c r="G18" s="438">
        <f t="shared" si="0"/>
        <v>0</v>
      </c>
      <c r="H18" s="720">
        <f>Gen!C23</f>
        <v>43721.960000000006</v>
      </c>
      <c r="I18" s="720">
        <f>Gen!E23</f>
        <v>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0</v>
      </c>
      <c r="G19" s="438">
        <f t="shared" si="0"/>
        <v>0</v>
      </c>
      <c r="H19" s="720">
        <f>Gen!C24</f>
        <v>43721.960000000006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43721.960000000006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43721.960000000006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43721.960000000006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43721.960000000006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43721.960000000006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43721.960000000006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43721.960000000006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43721.960000000006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43721.960000000006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43721.960000000006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43721.960000000006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43721.960000000006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43721.960000000006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43721.960000000006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43721.960000000006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43721.960000000006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43721.960000000006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19556</v>
      </c>
      <c r="K37" s="770"/>
      <c r="L37" s="756">
        <f t="shared" si="17"/>
        <v>19556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4" sqref="W14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0.14299999999999999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0.23400000000000001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0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0</v>
      </c>
      <c r="B10" s="592">
        <f>Gen!A17</f>
        <v>44293</v>
      </c>
      <c r="C10" s="576"/>
      <c r="D10" s="581">
        <f t="shared" si="1"/>
        <v>9219.2999999999993</v>
      </c>
      <c r="E10" s="577"/>
      <c r="F10" s="581">
        <f t="shared" si="2"/>
        <v>-1106316</v>
      </c>
      <c r="G10" s="576"/>
      <c r="H10" s="623">
        <f t="shared" si="6"/>
        <v>44293</v>
      </c>
      <c r="I10" s="576"/>
      <c r="J10" s="624">
        <f>'Water-Meter'!G12</f>
        <v>0</v>
      </c>
      <c r="K10" s="625">
        <f>'Water-Meter'!G12</f>
        <v>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0</v>
      </c>
      <c r="Q10" s="576">
        <f t="shared" si="8"/>
        <v>0</v>
      </c>
      <c r="R10" s="626">
        <f t="shared" si="4"/>
        <v>0</v>
      </c>
      <c r="S10" s="627">
        <f>Gen!T17</f>
        <v>0</v>
      </c>
      <c r="T10" s="628">
        <f t="shared" si="9"/>
        <v>44293</v>
      </c>
      <c r="U10" s="576"/>
      <c r="V10" s="581">
        <f t="shared" si="5"/>
        <v>8086.5</v>
      </c>
      <c r="W10" s="578"/>
      <c r="X10" s="581">
        <f t="shared" si="0"/>
        <v>-1617300</v>
      </c>
      <c r="Y10" s="623">
        <f t="shared" si="10"/>
        <v>44293</v>
      </c>
      <c r="Z10" s="576"/>
      <c r="AA10" s="576"/>
      <c r="AB10" s="580">
        <f>'Water-Meter'!P12</f>
        <v>0</v>
      </c>
      <c r="AC10" s="633">
        <f t="shared" si="11"/>
        <v>-21142</v>
      </c>
    </row>
    <row r="11" spans="1:29" ht="19.5" thickBot="1">
      <c r="A11" s="642">
        <f>Gen!B18</f>
        <v>0</v>
      </c>
      <c r="B11" s="592">
        <f>Gen!A18</f>
        <v>44294</v>
      </c>
      <c r="C11" s="576"/>
      <c r="D11" s="581">
        <f t="shared" si="1"/>
        <v>0</v>
      </c>
      <c r="E11" s="577"/>
      <c r="F11" s="581">
        <f t="shared" si="2"/>
        <v>0</v>
      </c>
      <c r="G11" s="576"/>
      <c r="H11" s="623">
        <f t="shared" si="6"/>
        <v>44294</v>
      </c>
      <c r="I11" s="576"/>
      <c r="J11" s="624">
        <f>'Water-Meter'!G13</f>
        <v>0</v>
      </c>
      <c r="K11" s="625">
        <f>'Water-Meter'!G13</f>
        <v>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0</v>
      </c>
      <c r="Q11" s="576">
        <f t="shared" si="8"/>
        <v>0</v>
      </c>
      <c r="R11" s="626">
        <f t="shared" si="4"/>
        <v>0</v>
      </c>
      <c r="S11" s="627">
        <f>Gen!T18</f>
        <v>0</v>
      </c>
      <c r="T11" s="628">
        <f t="shared" si="9"/>
        <v>44294</v>
      </c>
      <c r="U11" s="576"/>
      <c r="V11" s="581">
        <f t="shared" si="5"/>
        <v>0</v>
      </c>
      <c r="W11" s="578"/>
      <c r="X11" s="581">
        <f t="shared" si="0"/>
        <v>0</v>
      </c>
      <c r="Y11" s="623">
        <f t="shared" si="10"/>
        <v>44294</v>
      </c>
      <c r="Z11" s="576"/>
      <c r="AA11" s="576"/>
      <c r="AB11" s="580">
        <f>'Water-Meter'!P13</f>
        <v>0</v>
      </c>
      <c r="AC11" s="633">
        <f t="shared" si="11"/>
        <v>0</v>
      </c>
    </row>
    <row r="12" spans="1:29" ht="19.5" thickBot="1">
      <c r="A12" s="642">
        <f>Gen!B19</f>
        <v>0</v>
      </c>
      <c r="B12" s="592">
        <f>Gen!A19</f>
        <v>44295</v>
      </c>
      <c r="C12" s="576"/>
      <c r="D12" s="581">
        <f t="shared" si="1"/>
        <v>0</v>
      </c>
      <c r="E12" s="577"/>
      <c r="F12" s="581">
        <f t="shared" si="2"/>
        <v>0</v>
      </c>
      <c r="G12" s="576"/>
      <c r="H12" s="623">
        <f t="shared" si="6"/>
        <v>44295</v>
      </c>
      <c r="I12" s="576"/>
      <c r="J12" s="624">
        <f>'Water-Meter'!G14</f>
        <v>0</v>
      </c>
      <c r="K12" s="625">
        <f>'Water-Meter'!G14</f>
        <v>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0</v>
      </c>
      <c r="Q12" s="576">
        <f t="shared" si="8"/>
        <v>0</v>
      </c>
      <c r="R12" s="626">
        <f t="shared" si="4"/>
        <v>0</v>
      </c>
      <c r="S12" s="627">
        <f>Gen!T19</f>
        <v>0</v>
      </c>
      <c r="T12" s="628">
        <f t="shared" si="9"/>
        <v>44295</v>
      </c>
      <c r="U12" s="576"/>
      <c r="V12" s="581">
        <f t="shared" si="5"/>
        <v>0</v>
      </c>
      <c r="W12" s="578"/>
      <c r="X12" s="581">
        <f t="shared" si="0"/>
        <v>0</v>
      </c>
      <c r="Y12" s="623">
        <f t="shared" si="10"/>
        <v>44295</v>
      </c>
      <c r="Z12" s="576"/>
      <c r="AA12" s="576"/>
      <c r="AB12" s="580">
        <f>'Water-Meter'!P14</f>
        <v>0</v>
      </c>
      <c r="AC12" s="633">
        <f t="shared" si="11"/>
        <v>0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0</v>
      </c>
      <c r="E13" s="577"/>
      <c r="F13" s="581">
        <f t="shared" si="2"/>
        <v>0</v>
      </c>
      <c r="G13" s="576"/>
      <c r="H13" s="623">
        <f t="shared" si="6"/>
        <v>44296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44296</v>
      </c>
      <c r="U13" s="576"/>
      <c r="V13" s="581">
        <f t="shared" si="5"/>
        <v>0</v>
      </c>
      <c r="W13" s="578"/>
      <c r="X13" s="581">
        <f t="shared" si="0"/>
        <v>0</v>
      </c>
      <c r="Y13" s="623">
        <f t="shared" si="10"/>
        <v>44296</v>
      </c>
      <c r="Z13" s="576"/>
      <c r="AA13" s="576"/>
      <c r="AB13" s="580">
        <f>'Water-Meter'!P15</f>
        <v>0</v>
      </c>
      <c r="AC13" s="633">
        <f t="shared" si="11"/>
        <v>0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44297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44297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44297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44298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44298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44298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44299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44299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44299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44300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44300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44300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/>
      <c r="X21" s="581">
        <f t="shared" si="0"/>
        <v>0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>
        <f t="shared" si="5"/>
        <v>0</v>
      </c>
      <c r="W22" s="578"/>
      <c r="X22" s="581">
        <f t="shared" si="0"/>
        <v>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0.14299999999999999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0.23400000000000001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0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-159060</v>
      </c>
      <c r="C11" s="87">
        <f>Gen!B17</f>
        <v>0</v>
      </c>
      <c r="D11" s="434">
        <f t="shared" si="0"/>
        <v>11.69</v>
      </c>
      <c r="E11" s="74">
        <v>11.69</v>
      </c>
      <c r="F11" s="70" t="e">
        <f>Gen!U17</f>
        <v>#DIV/0!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 t="str">
        <f>'Water-Meter'!E12</f>
        <v>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0</v>
      </c>
      <c r="C12" s="87">
        <f>Gen!B18</f>
        <v>0</v>
      </c>
      <c r="D12" s="434">
        <f t="shared" si="0"/>
        <v>12.99</v>
      </c>
      <c r="E12" s="74">
        <v>12.99</v>
      </c>
      <c r="F12" s="70" t="e">
        <f>Gen!U18</f>
        <v>#DIV/0!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43721.960000000006</v>
      </c>
      <c r="K12" s="295">
        <f>'Water-Meter'!E13</f>
        <v>0</v>
      </c>
      <c r="L12" s="653">
        <f>'Lpg (2)'!G17</f>
        <v>-333990.40400000004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0</v>
      </c>
      <c r="C13" s="87">
        <f>Gen!B19</f>
        <v>0</v>
      </c>
      <c r="D13" s="434">
        <f t="shared" si="0"/>
        <v>15.58</v>
      </c>
      <c r="E13" s="74">
        <v>15.58</v>
      </c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43721.960000000006</v>
      </c>
      <c r="K13" s="295">
        <f>'Water-Meter'!E14</f>
        <v>0</v>
      </c>
      <c r="L13" s="653">
        <f>'Lpg (2)'!G18</f>
        <v>0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43721.960000000006</v>
      </c>
      <c r="K14" s="295">
        <f>'Water-Meter'!E15</f>
        <v>0</v>
      </c>
      <c r="L14" s="653">
        <f>'Lpg (2)'!G19</f>
        <v>0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0</v>
      </c>
      <c r="C15" s="87">
        <f>Gen!B21</f>
        <v>0</v>
      </c>
      <c r="D15" s="434">
        <f t="shared" si="0"/>
        <v>11.69</v>
      </c>
      <c r="E15" s="74">
        <v>11.69</v>
      </c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43721.960000000006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0</v>
      </c>
      <c r="C16" s="87">
        <f>Gen!B22</f>
        <v>0</v>
      </c>
      <c r="D16" s="434">
        <f t="shared" si="0"/>
        <v>12.99</v>
      </c>
      <c r="E16" s="74">
        <v>12.99</v>
      </c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43721.960000000006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0</v>
      </c>
      <c r="C17" s="87">
        <f>Gen!B23</f>
        <v>0</v>
      </c>
      <c r="D17" s="434">
        <f t="shared" si="0"/>
        <v>14.29</v>
      </c>
      <c r="E17" s="74">
        <v>14.29</v>
      </c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43721.960000000006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0</v>
      </c>
      <c r="C18" s="87">
        <f>Gen!B24</f>
        <v>0</v>
      </c>
      <c r="D18" s="434">
        <f t="shared" si="0"/>
        <v>14.29</v>
      </c>
      <c r="E18" s="74">
        <v>14.29</v>
      </c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43721.960000000006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0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43721.960000000006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43721.960000000006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43721.960000000006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43721.960000000006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43721.960000000006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43721.960000000006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43721.960000000006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43721.960000000006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43721.960000000006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43721.960000000006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43721.960000000006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43721.960000000006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43721.960000000006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43721.960000000006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43721.960000000006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43721.960000000006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43721.960000000006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43721.960000000006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F18" sqref="F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>
        <v>12242.97</v>
      </c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>
        <v>10771.09</v>
      </c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7">
        <f>Gen!A13</f>
        <v>44289</v>
      </c>
      <c r="B8" s="852"/>
      <c r="C8" s="851">
        <v>9237.36</v>
      </c>
      <c r="D8" s="145">
        <v>22273</v>
      </c>
      <c r="E8" s="853"/>
      <c r="F8" s="851"/>
      <c r="G8" s="145">
        <v>139.29</v>
      </c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7">
        <f>Gen!A15</f>
        <v>44291</v>
      </c>
      <c r="B10" s="852"/>
      <c r="C10" s="851">
        <v>6308.49</v>
      </c>
      <c r="D10" s="145">
        <v>22273</v>
      </c>
      <c r="E10" s="853"/>
      <c r="F10" s="145"/>
      <c r="G10" s="145">
        <v>218.51</v>
      </c>
      <c r="H10" s="145"/>
      <c r="I10" s="145">
        <v>31869.200000000001</v>
      </c>
      <c r="J10" s="849">
        <v>21239.8</v>
      </c>
      <c r="K10" s="859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>
      <c r="A11" s="857">
        <f>Gen!A16</f>
        <v>44292</v>
      </c>
      <c r="B11" s="852"/>
      <c r="C11" s="851">
        <v>4758.5</v>
      </c>
      <c r="D11" s="145">
        <v>22273</v>
      </c>
      <c r="E11" s="853"/>
      <c r="F11" s="145"/>
      <c r="G11" s="145">
        <v>42.44</v>
      </c>
      <c r="H11" s="145"/>
      <c r="I11" s="145">
        <v>31874.5</v>
      </c>
      <c r="J11" s="849">
        <v>21244.1</v>
      </c>
      <c r="K11" s="859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>
      <c r="A12" s="857">
        <f>Gen!A17</f>
        <v>44293</v>
      </c>
      <c r="B12" s="852"/>
      <c r="C12" s="851">
        <v>3448.96</v>
      </c>
      <c r="D12" s="145">
        <v>22273</v>
      </c>
      <c r="E12" s="853"/>
      <c r="F12" s="145"/>
      <c r="G12" s="145"/>
      <c r="H12" s="145"/>
      <c r="I12" s="145">
        <v>31879.8</v>
      </c>
      <c r="J12" s="849">
        <v>21247.599999999999</v>
      </c>
      <c r="K12" s="859">
        <f t="shared" si="0"/>
        <v>36116</v>
      </c>
      <c r="L12" s="305"/>
      <c r="M12" s="304">
        <f t="shared" si="1"/>
        <v>-36116</v>
      </c>
      <c r="N12" s="306">
        <f t="shared" si="2"/>
        <v>31052</v>
      </c>
      <c r="O12" s="125"/>
      <c r="P12" s="304">
        <f t="shared" si="3"/>
        <v>-31052</v>
      </c>
      <c r="Q12" s="304">
        <f t="shared" si="4"/>
        <v>36344</v>
      </c>
      <c r="R12" s="305"/>
      <c r="S12" s="304">
        <f t="shared" si="5"/>
        <v>-36344</v>
      </c>
      <c r="T12" s="304">
        <f t="shared" si="6"/>
        <v>33514</v>
      </c>
      <c r="U12" s="305"/>
      <c r="V12" s="304">
        <f t="shared" si="7"/>
        <v>-33514</v>
      </c>
      <c r="W12" s="306">
        <f t="shared" si="8"/>
        <v>22034</v>
      </c>
      <c r="X12" s="305"/>
      <c r="Y12" s="304">
        <f t="shared" si="9"/>
        <v>-22034</v>
      </c>
      <c r="Z12" s="307">
        <f t="shared" si="10"/>
        <v>-159060</v>
      </c>
      <c r="AA12" s="125"/>
      <c r="AB12" s="125"/>
      <c r="AC12" s="684">
        <f>Gen!AR17</f>
        <v>0</v>
      </c>
    </row>
    <row r="13" spans="1:29" ht="20.100000000000001" customHeight="1">
      <c r="A13" s="857">
        <f>Gen!A18</f>
        <v>44294</v>
      </c>
      <c r="B13" s="852"/>
      <c r="C13" s="851"/>
      <c r="D13" s="145"/>
      <c r="E13" s="853"/>
      <c r="F13" s="145"/>
      <c r="G13" s="145"/>
      <c r="H13" s="145"/>
      <c r="I13" s="145"/>
      <c r="J13" s="849"/>
      <c r="K13" s="859">
        <f t="shared" si="0"/>
        <v>0</v>
      </c>
      <c r="L13" s="305"/>
      <c r="M13" s="304">
        <f t="shared" si="1"/>
        <v>0</v>
      </c>
      <c r="N13" s="306">
        <f t="shared" si="2"/>
        <v>0</v>
      </c>
      <c r="O13" s="125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84">
        <f>Gen!AR18</f>
        <v>0</v>
      </c>
    </row>
    <row r="14" spans="1:29" ht="20.100000000000001" customHeight="1">
      <c r="A14" s="857">
        <f>Gen!A19</f>
        <v>44295</v>
      </c>
      <c r="B14" s="852"/>
      <c r="C14" s="851"/>
      <c r="D14" s="145"/>
      <c r="E14" s="853"/>
      <c r="F14" s="145"/>
      <c r="G14" s="145"/>
      <c r="H14" s="145"/>
      <c r="I14" s="145"/>
      <c r="J14" s="849"/>
      <c r="K14" s="859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>
        <f t="shared" ref="P14:P15" si="11">O15-N14</f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>
        <f t="shared" si="10"/>
        <v>0</v>
      </c>
      <c r="AA14" s="125"/>
      <c r="AB14" s="125"/>
      <c r="AC14" s="684">
        <f>Gen!AR19</f>
        <v>0</v>
      </c>
    </row>
    <row r="15" spans="1:29" ht="20.100000000000001" customHeight="1">
      <c r="A15" s="857">
        <f>Gen!A20</f>
        <v>44296</v>
      </c>
      <c r="B15" s="852"/>
      <c r="C15" s="851"/>
      <c r="D15" s="145"/>
      <c r="E15" s="853"/>
      <c r="F15" s="145"/>
      <c r="G15" s="145"/>
      <c r="H15" s="145"/>
      <c r="I15" s="145"/>
      <c r="J15" s="849"/>
      <c r="K15" s="859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>
      <c r="A16" s="857">
        <f>Gen!A21</f>
        <v>44297</v>
      </c>
      <c r="B16" s="852"/>
      <c r="C16" s="851"/>
      <c r="D16" s="145"/>
      <c r="E16" s="853"/>
      <c r="F16" s="145"/>
      <c r="G16" s="145"/>
      <c r="H16" s="145"/>
      <c r="I16" s="145"/>
      <c r="J16" s="849"/>
      <c r="K16" s="859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>
      <c r="A17" s="857">
        <f>Gen!A22</f>
        <v>44298</v>
      </c>
      <c r="B17" s="852"/>
      <c r="C17" s="851"/>
      <c r="D17" s="145"/>
      <c r="E17" s="853"/>
      <c r="F17" s="145"/>
      <c r="G17" s="145"/>
      <c r="H17" s="145"/>
      <c r="I17" s="145"/>
      <c r="J17" s="849"/>
      <c r="K17" s="859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>
      <c r="A18" s="857">
        <f>Gen!A23</f>
        <v>44299</v>
      </c>
      <c r="B18" s="852"/>
      <c r="C18" s="851"/>
      <c r="D18" s="145"/>
      <c r="E18" s="145"/>
      <c r="F18" s="145"/>
      <c r="G18" s="145"/>
      <c r="H18" s="145"/>
      <c r="I18" s="145"/>
      <c r="J18" s="849"/>
      <c r="K18" s="859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>
      <c r="A19" s="857">
        <f>Gen!A24</f>
        <v>44300</v>
      </c>
      <c r="B19" s="852"/>
      <c r="C19" s="851"/>
      <c r="D19" s="145"/>
      <c r="E19" s="145"/>
      <c r="F19" s="145"/>
      <c r="G19" s="145"/>
      <c r="H19" s="145"/>
      <c r="I19" s="145"/>
      <c r="J19" s="849"/>
      <c r="K19" s="859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7">
        <f>Gen!A25</f>
        <v>44301</v>
      </c>
      <c r="B20" s="852"/>
      <c r="C20" s="851"/>
      <c r="D20" s="145"/>
      <c r="E20" s="145"/>
      <c r="F20" s="145"/>
      <c r="G20" s="145"/>
      <c r="H20" s="145"/>
      <c r="I20" s="145"/>
      <c r="J20" s="849"/>
      <c r="K20" s="859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4" workbookViewId="0">
      <pane xSplit="1" topLeftCell="B1" activePane="topRight" state="frozen"/>
      <selection pane="topRight" activeCell="T19" sqref="T19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0.14299999999999999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0.23400000000000001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/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/>
      <c r="C16" s="802">
        <f t="shared" si="6"/>
        <v>27031.500000000004</v>
      </c>
      <c r="D16" s="803"/>
      <c r="E16" s="800">
        <v>15000</v>
      </c>
      <c r="F16" s="847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46"/>
      <c r="C17" s="802">
        <f t="shared" si="6"/>
        <v>43721.960000000006</v>
      </c>
      <c r="D17" s="803">
        <v>18000</v>
      </c>
      <c r="E17" s="800"/>
      <c r="F17" s="804"/>
      <c r="G17" s="801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2"/>
      <c r="S17" s="570">
        <f t="shared" si="0"/>
        <v>0</v>
      </c>
      <c r="T17" s="218">
        <f t="shared" si="1"/>
        <v>0</v>
      </c>
      <c r="U17" s="571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46"/>
      <c r="C18" s="802">
        <f t="shared" si="6"/>
        <v>43721.960000000006</v>
      </c>
      <c r="D18" s="803"/>
      <c r="E18" s="800"/>
      <c r="F18" s="804"/>
      <c r="G18" s="801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2"/>
      <c r="S18" s="570">
        <f t="shared" si="0"/>
        <v>0</v>
      </c>
      <c r="T18" s="218">
        <f t="shared" si="1"/>
        <v>0</v>
      </c>
      <c r="U18" s="571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43721.960000000006</v>
      </c>
    </row>
    <row r="19" spans="1:46" ht="13.5" customHeight="1">
      <c r="A19" s="575">
        <v>44295</v>
      </c>
      <c r="B19" s="846"/>
      <c r="C19" s="802">
        <f t="shared" si="6"/>
        <v>43721.960000000006</v>
      </c>
      <c r="D19" s="803"/>
      <c r="E19" s="800"/>
      <c r="F19" s="804"/>
      <c r="G19" s="801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2"/>
      <c r="S19" s="570">
        <f t="shared" si="0"/>
        <v>0</v>
      </c>
      <c r="T19" s="218">
        <f t="shared" si="1"/>
        <v>0</v>
      </c>
      <c r="U19" s="571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43721.960000000006</v>
      </c>
    </row>
    <row r="20" spans="1:46" ht="15.75">
      <c r="A20" s="575">
        <v>44296</v>
      </c>
      <c r="B20" s="846"/>
      <c r="C20" s="802">
        <f t="shared" si="6"/>
        <v>43721.960000000006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43721.960000000006</v>
      </c>
    </row>
    <row r="21" spans="1:46" ht="15.75">
      <c r="A21" s="575">
        <v>44297</v>
      </c>
      <c r="B21" s="846"/>
      <c r="C21" s="802">
        <f t="shared" si="6"/>
        <v>43721.960000000006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43721.960000000006</v>
      </c>
    </row>
    <row r="22" spans="1:46" ht="15.75">
      <c r="A22" s="575">
        <v>44298</v>
      </c>
      <c r="B22" s="846"/>
      <c r="C22" s="802">
        <f t="shared" si="6"/>
        <v>43721.960000000006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43721.960000000006</v>
      </c>
    </row>
    <row r="23" spans="1:46" ht="13.5" customHeight="1">
      <c r="A23" s="575">
        <v>44299</v>
      </c>
      <c r="B23" s="846"/>
      <c r="C23" s="802">
        <f t="shared" si="6"/>
        <v>43721.960000000006</v>
      </c>
      <c r="D23" s="803"/>
      <c r="E23" s="800"/>
      <c r="F23" s="805"/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43721.960000000006</v>
      </c>
    </row>
    <row r="24" spans="1:46" ht="15.75">
      <c r="A24" s="575">
        <v>44300</v>
      </c>
      <c r="B24" s="846"/>
      <c r="C24" s="802">
        <f t="shared" si="6"/>
        <v>43721.960000000006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 t="shared" si="0"/>
        <v>0</v>
      </c>
      <c r="T24" s="218">
        <f t="shared" si="1"/>
        <v>0</v>
      </c>
      <c r="U24" s="571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43721.960000000006</v>
      </c>
    </row>
    <row r="25" spans="1:46" ht="15.75">
      <c r="A25" s="575">
        <v>44301</v>
      </c>
      <c r="B25" s="826"/>
      <c r="C25" s="802">
        <f t="shared" si="6"/>
        <v>43721.960000000006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43721.960000000006</v>
      </c>
    </row>
    <row r="26" spans="1:46" ht="15.75">
      <c r="A26" s="575">
        <v>44302</v>
      </c>
      <c r="B26" s="826"/>
      <c r="C26" s="802">
        <f t="shared" si="6"/>
        <v>43721.960000000006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43721.960000000006</v>
      </c>
    </row>
    <row r="27" spans="1:46" ht="15.75">
      <c r="A27" s="575">
        <v>44303</v>
      </c>
      <c r="B27" s="826"/>
      <c r="C27" s="802">
        <f t="shared" si="6"/>
        <v>43721.960000000006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43721.960000000006</v>
      </c>
    </row>
    <row r="28" spans="1:46" ht="15.75">
      <c r="A28" s="575">
        <v>44304</v>
      </c>
      <c r="B28" s="826"/>
      <c r="C28" s="802">
        <f t="shared" si="6"/>
        <v>43721.960000000006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43721.960000000006</v>
      </c>
    </row>
    <row r="29" spans="1:46" ht="15.75">
      <c r="A29" s="575">
        <v>44305</v>
      </c>
      <c r="B29" s="826"/>
      <c r="C29" s="802">
        <f t="shared" si="6"/>
        <v>43721.960000000006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43721.960000000006</v>
      </c>
    </row>
    <row r="30" spans="1:46" ht="15.75">
      <c r="A30" s="575">
        <v>44306</v>
      </c>
      <c r="B30" s="826"/>
      <c r="C30" s="802">
        <f t="shared" si="6"/>
        <v>43721.960000000006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43721.960000000006</v>
      </c>
    </row>
    <row r="31" spans="1:46" ht="15.75">
      <c r="A31" s="575">
        <v>44307</v>
      </c>
      <c r="B31" s="826"/>
      <c r="C31" s="802">
        <f t="shared" si="6"/>
        <v>43721.960000000006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43721.960000000006</v>
      </c>
    </row>
    <row r="32" spans="1:46" ht="15.75">
      <c r="A32" s="575">
        <v>44308</v>
      </c>
      <c r="B32" s="826"/>
      <c r="C32" s="802">
        <f t="shared" si="6"/>
        <v>43721.960000000006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43721.960000000006</v>
      </c>
    </row>
    <row r="33" spans="1:46" ht="15.75">
      <c r="A33" s="575">
        <v>44309</v>
      </c>
      <c r="B33" s="826"/>
      <c r="C33" s="802">
        <f t="shared" si="6"/>
        <v>43721.960000000006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43721.960000000006</v>
      </c>
    </row>
    <row r="34" spans="1:46" ht="15.75">
      <c r="A34" s="575">
        <v>44310</v>
      </c>
      <c r="B34" s="826"/>
      <c r="C34" s="802">
        <f t="shared" si="6"/>
        <v>43721.960000000006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43721.960000000006</v>
      </c>
    </row>
    <row r="35" spans="1:46" ht="15.75">
      <c r="A35" s="575">
        <v>44311</v>
      </c>
      <c r="B35" s="826"/>
      <c r="C35" s="802">
        <f t="shared" si="6"/>
        <v>43721.960000000006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43721.960000000006</v>
      </c>
    </row>
    <row r="36" spans="1:46" ht="15.75">
      <c r="A36" s="575">
        <v>44312</v>
      </c>
      <c r="B36" s="826"/>
      <c r="C36" s="802">
        <f t="shared" si="6"/>
        <v>43721.960000000006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43721.960000000006</v>
      </c>
    </row>
    <row r="37" spans="1:46" ht="15.75">
      <c r="A37" s="575">
        <v>44313</v>
      </c>
      <c r="B37" s="826"/>
      <c r="C37" s="802">
        <f t="shared" si="6"/>
        <v>43721.960000000006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43721.960000000006</v>
      </c>
    </row>
    <row r="38" spans="1:46" ht="15.75">
      <c r="A38" s="575">
        <v>44314</v>
      </c>
      <c r="B38" s="826"/>
      <c r="C38" s="802">
        <f t="shared" si="6"/>
        <v>43721.960000000006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43721.960000000006</v>
      </c>
    </row>
    <row r="39" spans="1:46" ht="15.75">
      <c r="A39" s="575">
        <v>44315</v>
      </c>
      <c r="B39" s="826"/>
      <c r="C39" s="802">
        <f t="shared" si="6"/>
        <v>43721.960000000006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43721.960000000006</v>
      </c>
    </row>
    <row r="40" spans="1:46" ht="15.75">
      <c r="A40" s="575">
        <v>44316</v>
      </c>
      <c r="B40" s="826"/>
      <c r="C40" s="802">
        <f t="shared" si="6"/>
        <v>43721.960000000006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43721.960000000006</v>
      </c>
    </row>
    <row r="41" spans="1:46" ht="15.75">
      <c r="A41" s="575"/>
      <c r="B41" s="826"/>
      <c r="C41" s="802">
        <f t="shared" si="6"/>
        <v>43721.960000000006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43721.960000000006</v>
      </c>
    </row>
    <row r="42" spans="1:46" ht="14.25">
      <c r="A42" s="575"/>
      <c r="B42" s="574"/>
      <c r="C42" s="802">
        <f t="shared" si="6"/>
        <v>43721.960000000006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43721.960000000006</v>
      </c>
    </row>
    <row r="43" spans="1:46" ht="14.25">
      <c r="A43" s="495" t="s">
        <v>25</v>
      </c>
      <c r="B43" s="469">
        <f>AVERAGE(B11:B42)</f>
        <v>0.19825000000000001</v>
      </c>
      <c r="C43" s="798">
        <f t="shared" si="6"/>
        <v>43721.960000000006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43721.960000000006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1426.47</v>
      </c>
      <c r="H45" s="308">
        <f t="shared" si="8"/>
        <v>2593.5500000000002</v>
      </c>
      <c r="I45" s="313">
        <f t="shared" si="8"/>
        <v>0</v>
      </c>
      <c r="J45" s="308">
        <f t="shared" si="8"/>
        <v>2640.31</v>
      </c>
      <c r="K45" s="313">
        <f t="shared" si="8"/>
        <v>1363.11</v>
      </c>
      <c r="L45" s="308">
        <f t="shared" si="8"/>
        <v>0</v>
      </c>
      <c r="M45" s="313">
        <f t="shared" si="8"/>
        <v>6616</v>
      </c>
      <c r="N45" s="553">
        <f t="shared" si="8"/>
        <v>3175</v>
      </c>
      <c r="O45" s="313">
        <f t="shared" si="8"/>
        <v>0</v>
      </c>
      <c r="P45" s="308">
        <f>SUM(P11:P43)</f>
        <v>6437</v>
      </c>
      <c r="Q45" s="313">
        <f>SUM(Q11:Q44)</f>
        <v>3328</v>
      </c>
      <c r="R45" s="308">
        <f>SUM(R11:R44)</f>
        <v>0</v>
      </c>
      <c r="S45" s="551">
        <f>SUM(G45:L45)</f>
        <v>8023.44</v>
      </c>
      <c r="T45" s="308">
        <f>SUM(M45:R45)</f>
        <v>19556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159.94</v>
      </c>
      <c r="Y45" s="234">
        <f t="shared" si="9"/>
        <v>0</v>
      </c>
      <c r="Z45" s="546">
        <f t="shared" si="9"/>
        <v>225.53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100</v>
      </c>
      <c r="AI45" s="234">
        <f>SUM(AI9:AI39)</f>
        <v>230.2</v>
      </c>
      <c r="AJ45" s="546">
        <f>SUM(AJ9:AJ44)</f>
        <v>770.57000000000016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8794.0099999999984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258.82064516129032</v>
      </c>
      <c r="T47" s="316">
        <f>S45*2315</f>
        <v>18574263.599999998</v>
      </c>
      <c r="U47" s="317" t="s">
        <v>244</v>
      </c>
      <c r="AR47" s="522">
        <f>AR45*2143</f>
        <v>18845563.429999996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8114.5756225425939</v>
      </c>
      <c r="U48" s="317" t="s">
        <v>245</v>
      </c>
      <c r="W48" s="191"/>
      <c r="X48" s="191"/>
      <c r="Y48" s="191"/>
      <c r="Z48" s="191"/>
      <c r="AA48" s="191"/>
      <c r="AR48" s="316">
        <f>AR47/2289</f>
        <v>8233.0989209261661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D23" sqref="D2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/>
      <c r="C17" s="268"/>
      <c r="D17" s="268"/>
      <c r="E17" s="268"/>
      <c r="F17" s="268"/>
      <c r="G17" s="268">
        <f t="shared" si="0"/>
        <v>-333990.40400000004</v>
      </c>
      <c r="H17" s="111">
        <f>[5]Gen!B18</f>
        <v>0.01</v>
      </c>
      <c r="I17" s="843">
        <f t="shared" si="2"/>
        <v>0</v>
      </c>
      <c r="J17" s="844" t="e">
        <f t="shared" si="1"/>
        <v>#DIV/0!</v>
      </c>
      <c r="M17" s="156"/>
      <c r="N17" s="156"/>
    </row>
    <row r="18" spans="1:14" ht="18.75">
      <c r="A18" s="94">
        <f>Gen!A19</f>
        <v>44295</v>
      </c>
      <c r="B18" s="268"/>
      <c r="C18" s="268"/>
      <c r="D18" s="268"/>
      <c r="E18" s="268"/>
      <c r="F18" s="268"/>
      <c r="G18" s="268">
        <f t="shared" si="0"/>
        <v>0</v>
      </c>
      <c r="H18" s="111">
        <f>[5]Gen!B19</f>
        <v>0.01</v>
      </c>
      <c r="I18" s="843">
        <f t="shared" si="2"/>
        <v>0</v>
      </c>
      <c r="J18" s="844" t="e">
        <f t="shared" si="1"/>
        <v>#DIV/0!</v>
      </c>
      <c r="M18" s="156"/>
      <c r="N18" s="156"/>
    </row>
    <row r="19" spans="1:14" ht="18.75">
      <c r="A19" s="94">
        <f>Gen!A20</f>
        <v>44296</v>
      </c>
      <c r="B19" s="268"/>
      <c r="C19" s="268"/>
      <c r="D19" s="268"/>
      <c r="E19" s="268"/>
      <c r="F19" s="268"/>
      <c r="G19" s="268">
        <f t="shared" si="0"/>
        <v>0</v>
      </c>
      <c r="H19" s="111">
        <f>[5]Gen!B20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44297</v>
      </c>
      <c r="B20" s="268"/>
      <c r="C20" s="268"/>
      <c r="D20" s="268"/>
      <c r="E20" s="268"/>
      <c r="F20" s="268"/>
      <c r="G20" s="268">
        <f t="shared" si="0"/>
        <v>0</v>
      </c>
      <c r="H20" s="111">
        <f>[5]Gen!B21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44298</v>
      </c>
      <c r="B21" s="268"/>
      <c r="C21" s="268"/>
      <c r="D21" s="268"/>
      <c r="E21" s="268"/>
      <c r="F21" s="268"/>
      <c r="G21" s="268">
        <f t="shared" si="0"/>
        <v>0</v>
      </c>
      <c r="H21" s="111">
        <f>[5]Gen!B22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44299</v>
      </c>
      <c r="B22" s="268"/>
      <c r="C22" s="268"/>
      <c r="D22" s="268"/>
      <c r="E22" s="268"/>
      <c r="F22" s="268"/>
      <c r="G22" s="268">
        <f t="shared" si="0"/>
        <v>0</v>
      </c>
      <c r="H22" s="111">
        <f>[5]Gen!B23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44300</v>
      </c>
      <c r="B23" s="268"/>
      <c r="C23" s="268"/>
      <c r="D23" s="268"/>
      <c r="E23" s="268"/>
      <c r="F23" s="268"/>
      <c r="G23" s="268">
        <f>(F23-F22)*4.4</f>
        <v>0</v>
      </c>
      <c r="H23" s="111">
        <f>[5]Gen!B24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530945.30999999994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I13" sqref="AI1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6" t="s">
        <v>315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  <c r="U1" s="947"/>
      <c r="V1" s="947"/>
      <c r="W1" s="947"/>
      <c r="X1" s="947"/>
      <c r="Y1" s="947"/>
      <c r="Z1" s="947"/>
      <c r="AA1" s="947"/>
      <c r="AB1" s="947"/>
      <c r="AC1" s="947"/>
      <c r="AD1" s="947"/>
      <c r="AE1" s="947"/>
      <c r="AF1" s="947"/>
      <c r="AG1" s="947"/>
      <c r="AH1" s="947"/>
      <c r="AI1" s="947"/>
      <c r="AJ1" s="947"/>
      <c r="AK1" s="947"/>
      <c r="AL1" s="947"/>
      <c r="AM1" s="947"/>
      <c r="AN1" s="947"/>
    </row>
    <row r="2" spans="1:40" ht="13.5" customHeight="1" thickTop="1">
      <c r="A2" s="29"/>
      <c r="B2" s="29"/>
      <c r="C2" s="945" t="s">
        <v>52</v>
      </c>
      <c r="D2" s="945"/>
      <c r="E2" s="945"/>
      <c r="F2" s="945" t="s">
        <v>17</v>
      </c>
      <c r="G2" s="945"/>
      <c r="H2" s="945"/>
      <c r="I2" s="945" t="s">
        <v>131</v>
      </c>
      <c r="J2" s="945"/>
      <c r="K2" s="945"/>
      <c r="L2" s="945" t="s">
        <v>134</v>
      </c>
      <c r="M2" s="945"/>
      <c r="N2" s="945"/>
      <c r="O2" s="945" t="s">
        <v>132</v>
      </c>
      <c r="P2" s="945"/>
      <c r="Q2" s="945"/>
      <c r="R2" s="252"/>
      <c r="S2" s="954" t="s">
        <v>181</v>
      </c>
      <c r="T2" s="955"/>
      <c r="U2" s="956"/>
      <c r="V2" s="954" t="s">
        <v>182</v>
      </c>
      <c r="W2" s="955"/>
      <c r="X2" s="956"/>
      <c r="Y2" s="954" t="s">
        <v>183</v>
      </c>
      <c r="Z2" s="955"/>
      <c r="AA2" s="956"/>
      <c r="AB2" s="954" t="s">
        <v>184</v>
      </c>
      <c r="AC2" s="955"/>
      <c r="AD2" s="956"/>
      <c r="AE2" s="948" t="s">
        <v>239</v>
      </c>
      <c r="AF2" s="949"/>
      <c r="AG2" s="960"/>
      <c r="AH2" s="948" t="s">
        <v>243</v>
      </c>
      <c r="AI2" s="949"/>
      <c r="AJ2" s="960"/>
      <c r="AK2" s="948" t="s">
        <v>240</v>
      </c>
      <c r="AL2" s="949"/>
      <c r="AM2" s="949"/>
      <c r="AN2" s="952" t="s">
        <v>189</v>
      </c>
    </row>
    <row r="3" spans="1:40" ht="21.75" customHeight="1" thickBot="1">
      <c r="A3" s="943" t="s">
        <v>7</v>
      </c>
      <c r="B3" s="29"/>
      <c r="C3" s="945" t="s">
        <v>133</v>
      </c>
      <c r="D3" s="945" t="s">
        <v>15</v>
      </c>
      <c r="E3" s="945" t="s">
        <v>16</v>
      </c>
      <c r="F3" s="945" t="s">
        <v>133</v>
      </c>
      <c r="G3" s="945" t="s">
        <v>15</v>
      </c>
      <c r="H3" s="945" t="s">
        <v>16</v>
      </c>
      <c r="I3" s="945" t="s">
        <v>133</v>
      </c>
      <c r="J3" s="945" t="s">
        <v>15</v>
      </c>
      <c r="K3" s="945" t="s">
        <v>16</v>
      </c>
      <c r="L3" s="945" t="s">
        <v>133</v>
      </c>
      <c r="M3" s="945" t="s">
        <v>15</v>
      </c>
      <c r="N3" s="945" t="s">
        <v>16</v>
      </c>
      <c r="O3" s="945" t="s">
        <v>133</v>
      </c>
      <c r="P3" s="945" t="s">
        <v>15</v>
      </c>
      <c r="Q3" s="945" t="s">
        <v>16</v>
      </c>
      <c r="R3" s="962" t="s">
        <v>185</v>
      </c>
      <c r="S3" s="957"/>
      <c r="T3" s="958"/>
      <c r="U3" s="959"/>
      <c r="V3" s="957"/>
      <c r="W3" s="958"/>
      <c r="X3" s="959"/>
      <c r="Y3" s="957"/>
      <c r="Z3" s="958"/>
      <c r="AA3" s="959"/>
      <c r="AB3" s="957"/>
      <c r="AC3" s="958"/>
      <c r="AD3" s="959"/>
      <c r="AE3" s="950"/>
      <c r="AF3" s="951"/>
      <c r="AG3" s="961"/>
      <c r="AH3" s="950"/>
      <c r="AI3" s="951"/>
      <c r="AJ3" s="961"/>
      <c r="AK3" s="950"/>
      <c r="AL3" s="951"/>
      <c r="AM3" s="951"/>
      <c r="AN3" s="953"/>
    </row>
    <row r="4" spans="1:40" ht="15.75" thickTop="1">
      <c r="A4" s="944"/>
      <c r="B4" s="244"/>
      <c r="C4" s="945"/>
      <c r="D4" s="945"/>
      <c r="E4" s="945"/>
      <c r="F4" s="945"/>
      <c r="G4" s="945"/>
      <c r="H4" s="945"/>
      <c r="I4" s="945"/>
      <c r="J4" s="945"/>
      <c r="K4" s="945"/>
      <c r="L4" s="945"/>
      <c r="M4" s="945"/>
      <c r="N4" s="945"/>
      <c r="O4" s="945"/>
      <c r="P4" s="945"/>
      <c r="Q4" s="945"/>
      <c r="R4" s="96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/>
      <c r="E12" s="58" t="str">
        <f t="shared" si="1"/>
        <v>0</v>
      </c>
      <c r="F12" s="95">
        <f t="shared" si="2"/>
        <v>75790</v>
      </c>
      <c r="G12" s="387"/>
      <c r="H12" s="474" t="str">
        <f t="shared" si="13"/>
        <v>0</v>
      </c>
      <c r="I12" s="95">
        <f t="shared" si="3"/>
        <v>8372</v>
      </c>
      <c r="J12" s="1"/>
      <c r="K12" s="474">
        <f t="shared" si="26"/>
        <v>-8372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/>
      <c r="Q12" s="474" t="str">
        <f t="shared" si="7"/>
        <v>0</v>
      </c>
      <c r="R12" s="250"/>
      <c r="S12" s="245">
        <f t="shared" si="15"/>
        <v>67950</v>
      </c>
      <c r="T12" s="384"/>
      <c r="U12" s="475" t="str">
        <f t="shared" si="16"/>
        <v>0</v>
      </c>
      <c r="V12" s="245">
        <f t="shared" si="8"/>
        <v>73031</v>
      </c>
      <c r="W12" s="384"/>
      <c r="X12" s="475" t="str">
        <f t="shared" si="17"/>
        <v>0</v>
      </c>
      <c r="Y12" s="245">
        <f t="shared" si="9"/>
        <v>90033</v>
      </c>
      <c r="Z12" s="384"/>
      <c r="AA12" s="475" t="str">
        <f t="shared" si="18"/>
        <v>0</v>
      </c>
      <c r="AB12" s="606">
        <f t="shared" si="22"/>
        <v>18870</v>
      </c>
      <c r="AC12" s="607"/>
      <c r="AD12" s="609" t="str">
        <f t="shared" si="23"/>
        <v>0</v>
      </c>
      <c r="AE12" s="245">
        <f t="shared" ref="AE12:AE20" si="27">AF12</f>
        <v>0</v>
      </c>
      <c r="AF12" s="385"/>
      <c r="AG12" s="475" t="str">
        <f t="shared" si="19"/>
        <v>0</v>
      </c>
      <c r="AH12" s="245">
        <f t="shared" si="11"/>
        <v>30474</v>
      </c>
      <c r="AI12" s="385"/>
      <c r="AJ12" s="475" t="str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44294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6">
        <f t="shared" si="22"/>
        <v>0</v>
      </c>
      <c r="AC13" s="607"/>
      <c r="AD13" s="609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44295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6">
        <f t="shared" si="22"/>
        <v>0</v>
      </c>
      <c r="AC14" s="610"/>
      <c r="AD14" s="609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44296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6">
        <f t="shared" si="22"/>
        <v>0</v>
      </c>
      <c r="AC15" s="610"/>
      <c r="AD15" s="609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44297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44298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44299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44300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44301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494</v>
      </c>
    </row>
    <row r="38" spans="1:41" ht="18.75">
      <c r="A38" s="57"/>
      <c r="B38" s="21"/>
      <c r="C38" s="963" t="s">
        <v>6</v>
      </c>
      <c r="D38" s="963"/>
      <c r="E38" s="22">
        <f>SUM(E6:E36)</f>
        <v>712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-8362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712</v>
      </c>
      <c r="S38" s="247"/>
      <c r="T38" s="247"/>
      <c r="U38" s="257">
        <f>SUM(U6:U37)</f>
        <v>494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494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2"/>
      <c r="B42" s="277"/>
      <c r="C42" s="929" t="s">
        <v>222</v>
      </c>
      <c r="D42" s="930"/>
      <c r="E42" s="930"/>
      <c r="F42" s="930"/>
      <c r="G42" s="930"/>
      <c r="H42" s="930"/>
      <c r="I42" s="930"/>
      <c r="J42" s="930"/>
      <c r="K42" s="931"/>
      <c r="R42" s="19"/>
    </row>
    <row r="43" spans="1:41" ht="24.75" customHeight="1">
      <c r="A43" s="933"/>
      <c r="B43" s="19"/>
      <c r="C43" s="935" t="s">
        <v>216</v>
      </c>
      <c r="D43" s="936"/>
      <c r="E43" s="937" t="s">
        <v>237</v>
      </c>
      <c r="F43" s="938"/>
      <c r="G43" s="939" t="s">
        <v>217</v>
      </c>
      <c r="H43" s="940"/>
      <c r="I43" s="939" t="s">
        <v>238</v>
      </c>
      <c r="J43" s="940"/>
      <c r="K43" s="92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3"/>
      <c r="B44" s="19"/>
      <c r="C44" s="941" t="s">
        <v>218</v>
      </c>
      <c r="D44" s="942"/>
      <c r="E44" s="941" t="s">
        <v>219</v>
      </c>
      <c r="F44" s="942"/>
      <c r="G44" s="941" t="s">
        <v>220</v>
      </c>
      <c r="H44" s="942"/>
      <c r="I44" s="941" t="s">
        <v>221</v>
      </c>
      <c r="J44" s="942"/>
      <c r="K44" s="92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/>
      <c r="D53" s="325">
        <f t="shared" si="49"/>
        <v>0</v>
      </c>
      <c r="E53" s="6"/>
      <c r="F53" s="325">
        <f t="shared" si="50"/>
        <v>0</v>
      </c>
      <c r="G53" s="618"/>
      <c r="H53" s="325">
        <f t="shared" si="51"/>
        <v>0</v>
      </c>
      <c r="I53" s="6"/>
      <c r="J53" s="325">
        <f t="shared" si="52"/>
        <v>0</v>
      </c>
      <c r="K53" s="331">
        <f t="shared" si="53"/>
        <v>0</v>
      </c>
    </row>
    <row r="54" spans="1:15" ht="13.5">
      <c r="A54" s="293">
        <f>Gen!A19</f>
        <v>44295</v>
      </c>
      <c r="B54" s="19"/>
      <c r="C54" s="62"/>
      <c r="D54" s="325">
        <f t="shared" si="49"/>
        <v>0</v>
      </c>
      <c r="E54" s="6"/>
      <c r="F54" s="325">
        <f t="shared" si="50"/>
        <v>0</v>
      </c>
      <c r="G54" s="618"/>
      <c r="H54" s="325">
        <f t="shared" si="51"/>
        <v>0</v>
      </c>
      <c r="I54" s="6"/>
      <c r="J54" s="325">
        <f t="shared" si="52"/>
        <v>0</v>
      </c>
      <c r="K54" s="331">
        <f t="shared" si="53"/>
        <v>0</v>
      </c>
    </row>
    <row r="55" spans="1:15" ht="13.5">
      <c r="A55" s="293">
        <f>Gen!A20</f>
        <v>44296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618"/>
      <c r="H55" s="325">
        <f t="shared" si="51"/>
        <v>0</v>
      </c>
      <c r="I55" s="6"/>
      <c r="J55" s="325">
        <f t="shared" si="52"/>
        <v>0</v>
      </c>
      <c r="K55" s="331">
        <f t="shared" si="53"/>
        <v>0</v>
      </c>
    </row>
    <row r="56" spans="1:15" ht="13.5">
      <c r="A56" s="293">
        <f>Gen!A21</f>
        <v>44297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44298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44299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44300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44301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0.14299999999999999</v>
      </c>
      <c r="D5" s="434">
        <f>SUM(77*C5)</f>
        <v>11.010999999999999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0.23400000000000001</v>
      </c>
      <c r="D7" s="434">
        <f t="shared" si="2"/>
        <v>18.018000000000001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</v>
      </c>
      <c r="D9" s="434">
        <f t="shared" si="2"/>
        <v>0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 t="e">
        <f t="shared" si="3"/>
        <v>#DIV/0!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 t="str">
        <f>'Water-Meter'!E12</f>
        <v>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99.404138888946022</v>
      </c>
      <c r="V11" s="17">
        <f t="shared" si="7"/>
        <v>178124.92013888896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-333990.40400000004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-413903.51202777779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712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H15" sqref="H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0.14299999999999999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0.23400000000000001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0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43721.960000000006</v>
      </c>
      <c r="F11" s="396" t="str">
        <f>'Water-Meter'!E12</f>
        <v>0</v>
      </c>
      <c r="G11" s="397">
        <f>'Water-Meter'!AN12</f>
        <v>0</v>
      </c>
      <c r="H11" s="395">
        <f>'Utility report '!AC12</f>
        <v>-48777</v>
      </c>
      <c r="I11" s="394">
        <f>'Kit report'!F10</f>
        <v>-1106316</v>
      </c>
      <c r="J11" s="395">
        <f>'Kit report'!X10</f>
        <v>-1617300</v>
      </c>
    </row>
    <row r="12" spans="1:10" ht="17.100000000000001" customHeight="1" thickBot="1">
      <c r="A12" s="217">
        <f>Gen!A18</f>
        <v>44294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43721.960000000006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44295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43721.960000000006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43721.960000000006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43721.960000000006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43721.960000000006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43721.960000000006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43721.960000000006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43721.960000000006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43721.960000000006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43721.960000000006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43721.960000000006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43721.960000000006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43721.960000000006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43721.960000000006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43721.960000000006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43721.960000000006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43721.960000000006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43721.960000000006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43721.960000000006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43721.960000000006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43721.960000000006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43721.960000000006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43721.960000000006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43721.960000000006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43721.960000000006</v>
      </c>
      <c r="F36" s="396">
        <f>'Water-Meter'!E37</f>
        <v>0</v>
      </c>
      <c r="G36" s="397">
        <f>'Water-Meter'!AN37</f>
        <v>494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2021-04-07T11:42:29Z</dcterms:modified>
</cp:coreProperties>
</file>