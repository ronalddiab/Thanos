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<sst xmlns="http://schemas.openxmlformats.org/spreadsheetml/2006/main" count="313" uniqueCount="148">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</sst>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 t="str">
        <f>IF(LPG!F14-LPG!F13&lt;0,"0",(LPG!F14-LPG!F13)*1.8315)</f>
        <v>0</v>
      </c>
      <c r="AY7" s="31" t="str">
        <f>IF(LPG!H14-LPG!H13&lt;0,"0",(LPG!H14-LPG!H13)*1.8315)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8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8199.9999999999854</v>
      </c>
      <c r="F33" s="17">
        <f t="shared" ref="F33:BC33" si="1">SUM(F2:F32)</f>
        <v>2799.9999999996921</v>
      </c>
      <c r="G33" s="17">
        <f t="shared" si="1"/>
        <v>8199.9999999999854</v>
      </c>
      <c r="H33" s="17">
        <f t="shared" si="1"/>
        <v>3900.0000000000146</v>
      </c>
      <c r="I33" s="17">
        <f t="shared" si="1"/>
        <v>7600.0000000000509</v>
      </c>
      <c r="J33" s="17">
        <f t="shared" si="1"/>
        <v>2099.9999999999905</v>
      </c>
      <c r="K33" s="17">
        <f t="shared" si="1"/>
        <v>5</v>
      </c>
      <c r="L33" s="17">
        <f t="shared" si="1"/>
        <v>9</v>
      </c>
      <c r="M33" s="17">
        <f t="shared" si="1"/>
        <v>1557.6000000000931</v>
      </c>
      <c r="N33" s="17">
        <f t="shared" si="1"/>
        <v>668.29999999998836</v>
      </c>
      <c r="O33" s="17">
        <f t="shared" si="1"/>
        <v>440.00000000005457</v>
      </c>
      <c r="P33" s="17">
        <f t="shared" si="1"/>
        <v>1799.9999999998015</v>
      </c>
      <c r="Q33" s="17">
        <f t="shared" si="1"/>
        <v>319.99999999999318</v>
      </c>
      <c r="R33" s="17">
        <f t="shared" si="1"/>
        <v>490.00000000000909</v>
      </c>
      <c r="S33" s="17">
        <f t="shared" si="1"/>
        <v>740.00000000000909</v>
      </c>
      <c r="T33" s="17">
        <f t="shared" si="1"/>
        <v>6.0999999999999091</v>
      </c>
      <c r="U33" s="35">
        <f t="shared" si="1"/>
        <v>4649.9999999999773</v>
      </c>
      <c r="V33" s="35">
        <f t="shared" si="1"/>
        <v>979.99999999998977</v>
      </c>
      <c r="W33" s="35">
        <f t="shared" si="1"/>
        <v>340.00000000000341</v>
      </c>
      <c r="X33" s="35">
        <f t="shared" si="1"/>
        <v>369.99999999997613</v>
      </c>
      <c r="Y33" s="35">
        <f t="shared" si="1"/>
        <v>150.00000000000568</v>
      </c>
      <c r="Z33" s="35">
        <f t="shared" si="1"/>
        <v>120.00000000000455</v>
      </c>
      <c r="AA33" s="35">
        <f t="shared" si="1"/>
        <v>120.00000000000455</v>
      </c>
      <c r="AB33" s="35">
        <f t="shared" si="1"/>
        <v>90.000000000031832</v>
      </c>
      <c r="AC33" s="35">
        <f t="shared" si="1"/>
        <v>80.000000000040927</v>
      </c>
      <c r="AD33" s="35">
        <f t="shared" si="1"/>
        <v>79.999999999984084</v>
      </c>
      <c r="AE33" s="35">
        <f t="shared" si="1"/>
        <v>70.0000000000216</v>
      </c>
      <c r="AF33" s="17">
        <f t="shared" si="1"/>
        <v>96</v>
      </c>
      <c r="AG33" s="32">
        <f t="shared" si="1"/>
        <v>80.000000000012506</v>
      </c>
      <c r="AH33" s="32">
        <f t="shared" si="1"/>
        <v>60.000000000002274</v>
      </c>
      <c r="AI33" s="32">
        <f t="shared" si="1"/>
        <v>60.000000000002274</v>
      </c>
      <c r="AJ33" s="32">
        <f t="shared" si="1"/>
        <v>50.000000000011369</v>
      </c>
      <c r="AK33" s="32">
        <f t="shared" si="1"/>
        <v>99.999999999965894</v>
      </c>
      <c r="AL33" s="32">
        <f t="shared" si="1"/>
        <v>80</v>
      </c>
      <c r="AM33" s="32">
        <f t="shared" si="1"/>
        <v>79.999999999984084</v>
      </c>
      <c r="AN33" s="32">
        <f t="shared" si="1"/>
        <v>82</v>
      </c>
      <c r="AO33" s="32">
        <f t="shared" si="1"/>
        <v>60.000000000002274</v>
      </c>
      <c r="AP33" s="32">
        <f t="shared" si="1"/>
        <v>77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184.59999999999854</v>
      </c>
      <c r="AU33" s="17">
        <f t="shared" si="1"/>
        <v>952</v>
      </c>
      <c r="AV33" s="17">
        <f t="shared" si="1"/>
        <v>2039.9999999999636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23.8095</v>
      </c>
      <c r="BC33" s="17">
        <f t="shared" si="1"/>
        <v>16</v>
      </c>
    </row>
    <row r="35" spans="5:55" x14ac:dyDescent="0.25">
      <c r="E35" s="38">
        <f>E33/E37</f>
        <v>0.50189741706452151</v>
      </c>
      <c r="G35" s="29">
        <f>G33-M36</f>
        <v>5974.099999999904</v>
      </c>
      <c r="AE35" s="35">
        <f>SUM(U33:AE33)</f>
        <v>7050.00000000004</v>
      </c>
      <c r="AG35" s="32">
        <f>SUM(AG33:AP33)</f>
        <v>728.99999999998067</v>
      </c>
    </row>
    <row r="36" spans="5:55" x14ac:dyDescent="0.25">
      <c r="G36" s="29">
        <f>G35-633*14</f>
        <v>-2887.900000000096</v>
      </c>
      <c r="M36" s="29">
        <f>M33+N33</f>
        <v>2225.9000000000815</v>
      </c>
    </row>
    <row r="37" spans="5:55" x14ac:dyDescent="0.25">
      <c r="E37" s="17">
        <f>E33+F33+G33+H33+J33-633*14</f>
        <v>16337.999999999669</v>
      </c>
      <c r="G37" s="37">
        <f>M36/E37</f>
        <v>0.13624066593219039</v>
      </c>
      <c r="M37" s="35">
        <f>AE35</f>
        <v>7050.00000000004</v>
      </c>
    </row>
    <row r="38" spans="5:55" x14ac:dyDescent="0.25">
      <c r="L38" s="27">
        <f>M38/E37</f>
        <v>4.4619904517076474E-2</v>
      </c>
      <c r="M38" s="29">
        <f>AG35</f>
        <v>728.99999999998067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C1" zoomScale="80" zoomScaleNormal="80" workbookViewId="0">
      <pane ySplit="1" topLeftCell="A2" activePane="bottomLeft" state="frozen"/>
      <selection pane="bottomLeft" activeCell="CW8" sqref="CW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4"/>
        <v>0</v>
      </c>
      <c r="M9" s="58"/>
      <c r="N9" s="64" t="str">
        <f t="shared" si="5"/>
        <v/>
      </c>
      <c r="O9" s="58"/>
      <c r="P9" s="67" t="str">
        <f t="shared" si="43"/>
        <v/>
      </c>
      <c r="Q9" s="58"/>
      <c r="R9" s="67" t="str">
        <f t="shared" si="6"/>
        <v/>
      </c>
      <c r="S9" s="58"/>
      <c r="T9" s="67" t="str">
        <f t="shared" si="7"/>
        <v/>
      </c>
      <c r="U9" s="58"/>
      <c r="V9" s="67" t="str">
        <f t="shared" si="8"/>
        <v/>
      </c>
      <c r="W9" s="58"/>
      <c r="X9" s="65" t="str">
        <f t="shared" si="9"/>
        <v/>
      </c>
      <c r="Y9" s="58"/>
      <c r="Z9" s="65" t="str">
        <f t="shared" si="10"/>
        <v/>
      </c>
      <c r="AA9" s="58"/>
      <c r="AB9" s="65" t="str">
        <f t="shared" si="11"/>
        <v/>
      </c>
      <c r="AC9" s="58"/>
      <c r="AD9" s="65" t="str">
        <f t="shared" si="12"/>
        <v/>
      </c>
      <c r="AE9" s="58"/>
      <c r="AF9" s="65" t="str">
        <f t="shared" si="13"/>
        <v/>
      </c>
      <c r="AG9" s="58"/>
      <c r="AH9" s="67" t="str">
        <f t="shared" si="14"/>
        <v/>
      </c>
      <c r="AI9" s="58"/>
      <c r="AJ9" s="65" t="str">
        <f t="shared" si="15"/>
        <v/>
      </c>
      <c r="AK9" s="58"/>
      <c r="AL9" s="65" t="str">
        <f t="shared" si="15"/>
        <v/>
      </c>
      <c r="AM9" s="58"/>
      <c r="AN9" s="65" t="str">
        <f t="shared" si="15"/>
        <v/>
      </c>
      <c r="AO9" s="58"/>
      <c r="AP9" s="65" t="str">
        <f t="shared" si="15"/>
        <v/>
      </c>
      <c r="AQ9" s="58"/>
      <c r="AR9" s="65" t="str">
        <f t="shared" si="16"/>
        <v/>
      </c>
      <c r="AS9" s="58"/>
      <c r="AT9" s="65" t="str">
        <f t="shared" si="17"/>
        <v/>
      </c>
      <c r="AU9" s="58"/>
      <c r="AV9" s="65" t="str">
        <f t="shared" si="18"/>
        <v/>
      </c>
      <c r="AW9" s="58"/>
      <c r="AX9" s="65" t="str">
        <f t="shared" si="19"/>
        <v/>
      </c>
      <c r="AY9" s="58"/>
      <c r="AZ9" s="65" t="str">
        <f t="shared" si="20"/>
        <v/>
      </c>
      <c r="BA9" s="58"/>
      <c r="BB9" s="65" t="str">
        <f t="shared" si="21"/>
        <v/>
      </c>
      <c r="BC9" s="58"/>
      <c r="BD9" s="65" t="str">
        <f t="shared" si="22"/>
        <v/>
      </c>
      <c r="BE9" s="59"/>
      <c r="BF9" s="67" t="str">
        <f t="shared" si="39"/>
        <v/>
      </c>
      <c r="BG9" s="60"/>
      <c r="BH9" s="65" t="str">
        <f t="shared" si="23"/>
        <v/>
      </c>
      <c r="BI9" s="60"/>
      <c r="BJ9" s="65" t="str">
        <f t="shared" si="40"/>
        <v/>
      </c>
      <c r="BK9" s="60"/>
      <c r="BL9" s="65" t="str">
        <f t="shared" si="24"/>
        <v/>
      </c>
      <c r="BM9" s="60"/>
      <c r="BN9" s="65" t="str">
        <f t="shared" si="25"/>
        <v/>
      </c>
      <c r="BO9" s="60"/>
      <c r="BP9" s="65" t="str">
        <f t="shared" si="26"/>
        <v/>
      </c>
      <c r="BQ9" s="60"/>
      <c r="BR9" s="65" t="str">
        <f t="shared" si="27"/>
        <v/>
      </c>
      <c r="BS9" s="60"/>
      <c r="BT9" s="65" t="str">
        <f t="shared" si="42"/>
        <v/>
      </c>
      <c r="BU9" s="60"/>
      <c r="BV9" s="65" t="str">
        <f t="shared" si="29"/>
        <v/>
      </c>
      <c r="BW9" s="60"/>
      <c r="BX9" s="65" t="str">
        <f t="shared" si="30"/>
        <v/>
      </c>
      <c r="BY9" s="60"/>
      <c r="BZ9" s="67" t="str">
        <f t="shared" si="31"/>
        <v/>
      </c>
      <c r="CA9" s="60"/>
      <c r="CB9" s="67" t="str">
        <f t="shared" si="32"/>
        <v/>
      </c>
      <c r="CC9" s="60"/>
      <c r="CD9" s="67" t="str">
        <f t="shared" si="33"/>
        <v/>
      </c>
      <c r="CE9" s="60"/>
      <c r="CF9" s="67" t="str">
        <f t="shared" si="34"/>
        <v/>
      </c>
      <c r="CG9" s="60"/>
      <c r="CH9" s="67" t="str">
        <f t="shared" si="35"/>
        <v/>
      </c>
      <c r="CI9" s="60"/>
      <c r="CJ9" s="67" t="str">
        <f t="shared" si="36"/>
        <v/>
      </c>
      <c r="CK9" s="60"/>
      <c r="CL9" s="64" t="str">
        <f t="shared" si="37"/>
        <v/>
      </c>
      <c r="CM9" s="65" t="e">
        <f t="shared" si="41"/>
        <v>#VALUE!</v>
      </c>
      <c r="CN9" s="62">
        <v>0</v>
      </c>
      <c r="CO9" s="62">
        <v>0</v>
      </c>
      <c r="CP9" s="68"/>
      <c r="CQ9" s="67" t="str">
        <f t="shared" si="38"/>
        <v/>
      </c>
      <c r="CR9" s="68"/>
      <c r="CS9" s="67" t="str">
        <f t="shared" si="38"/>
        <v/>
      </c>
      <c r="CT9" s="75"/>
      <c r="CU9" s="67" t="str">
        <f t="shared" si="38"/>
        <v/>
      </c>
      <c r="CV9" s="68"/>
      <c r="CW9" s="67" t="str">
        <f t="shared" si="38"/>
        <v/>
      </c>
    </row>
    <row r="10" spans="1:102" ht="25.5" customHeight="1" thickBot="1" x14ac:dyDescent="0.45">
      <c r="A10" s="63">
        <v>44081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44082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8</v>
      </c>
      <c r="CN11" s="62">
        <v>0</v>
      </c>
      <c r="CO11" s="62">
        <v>0</v>
      </c>
      <c r="CP11" s="68"/>
      <c r="CQ11" s="67">
        <v>8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44083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44084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44085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N13" sqref="N13:S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-179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2020-09-06T05:32:49Z</dcterms:modified>
</cp:coreProperties>
</file>