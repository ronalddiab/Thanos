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8" i="7" l="1"/>
  <c r="R8" i="7"/>
  <c r="S8" i="7"/>
  <c r="T8" i="7"/>
  <c r="U8" i="7"/>
  <c r="V8" i="7"/>
  <c r="W8" i="7"/>
  <c r="X8" i="7"/>
  <c r="Y8" i="7"/>
  <c r="Z8" i="7"/>
  <c r="AA8" i="7"/>
  <c r="AB8" i="7"/>
  <c r="AC8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R7" i="7"/>
  <c r="S7" i="7"/>
  <c r="T7" i="7"/>
  <c r="U7" i="7"/>
  <c r="V7" i="7"/>
  <c r="W7" i="7"/>
  <c r="X7" i="7"/>
  <c r="Y7" i="7"/>
  <c r="Z7" i="7"/>
  <c r="AA7" i="7"/>
  <c r="AB7" i="7"/>
  <c r="AC7" i="7"/>
  <c r="Q7" i="7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AX29" i="7" l="1"/>
  <c r="P29" i="9" l="1"/>
  <c r="P30" i="9"/>
  <c r="S15" i="9"/>
  <c r="S18" i="9"/>
  <c r="S19" i="9"/>
  <c r="P3" i="9" l="1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31" i="9"/>
  <c r="P32" i="9"/>
  <c r="Q26" i="9" l="1"/>
  <c r="Q27" i="9"/>
  <c r="Q28" i="9"/>
  <c r="Q29" i="9"/>
  <c r="Q30" i="9"/>
  <c r="Q31" i="9"/>
  <c r="Q32" i="9"/>
  <c r="I29" i="5" l="1"/>
  <c r="S29" i="9"/>
  <c r="E30" i="9" l="1"/>
  <c r="E29" i="9"/>
  <c r="E26" i="9"/>
  <c r="E28" i="9"/>
  <c r="E27" i="9"/>
  <c r="AF34" i="7" l="1"/>
  <c r="I32" i="5"/>
  <c r="B32" i="5"/>
  <c r="S32" i="9" l="1"/>
  <c r="B32" i="9"/>
  <c r="R32" i="9" l="1"/>
  <c r="F32" i="9"/>
  <c r="G32" i="9"/>
  <c r="H32" i="9"/>
  <c r="I32" i="9"/>
  <c r="J32" i="9"/>
  <c r="K32" i="9"/>
  <c r="L32" i="9"/>
  <c r="O32" i="9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AX30" i="7"/>
  <c r="R13" i="9"/>
  <c r="R16" i="9"/>
  <c r="R17" i="9"/>
  <c r="S31" i="9"/>
  <c r="AQ36" i="7"/>
  <c r="O31" i="9"/>
  <c r="N31" i="9"/>
  <c r="L31" i="9"/>
  <c r="K31" i="9"/>
  <c r="I31" i="9"/>
  <c r="H31" i="9"/>
  <c r="E31" i="9"/>
  <c r="G3" i="9"/>
  <c r="G7" i="9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H4" i="9"/>
  <c r="K4" i="9"/>
  <c r="M4" i="9"/>
  <c r="O4" i="9"/>
  <c r="F5" i="9"/>
  <c r="H5" i="9"/>
  <c r="K5" i="9"/>
  <c r="O5" i="9"/>
  <c r="AQ10" i="7"/>
  <c r="Q5" i="9"/>
  <c r="H6" i="9"/>
  <c r="M6" i="9"/>
  <c r="N6" i="9"/>
  <c r="Q6" i="9"/>
  <c r="H7" i="9"/>
  <c r="I7" i="9"/>
  <c r="L7" i="9"/>
  <c r="M7" i="9"/>
  <c r="N7" i="9"/>
  <c r="Q7" i="9"/>
  <c r="F8" i="9"/>
  <c r="H8" i="9"/>
  <c r="I8" i="9"/>
  <c r="L8" i="9"/>
  <c r="O8" i="9"/>
  <c r="AQ13" i="7"/>
  <c r="F9" i="9"/>
  <c r="G9" i="9"/>
  <c r="K9" i="9"/>
  <c r="L9" i="9"/>
  <c r="M9" i="9"/>
  <c r="N9" i="9"/>
  <c r="AQ14" i="7"/>
  <c r="Q9" i="9"/>
  <c r="F10" i="9"/>
  <c r="G10" i="9"/>
  <c r="H10" i="9"/>
  <c r="I10" i="9"/>
  <c r="J10" i="9"/>
  <c r="AQ15" i="7"/>
  <c r="G11" i="9"/>
  <c r="J11" i="9"/>
  <c r="K11" i="9"/>
  <c r="N11" i="9"/>
  <c r="O11" i="9"/>
  <c r="I12" i="9"/>
  <c r="J12" i="9"/>
  <c r="O12" i="9"/>
  <c r="Q12" i="9"/>
  <c r="F13" i="9"/>
  <c r="I13" i="9"/>
  <c r="K13" i="9"/>
  <c r="L13" i="9"/>
  <c r="N13" i="9"/>
  <c r="Q13" i="9"/>
  <c r="G14" i="9"/>
  <c r="H14" i="9"/>
  <c r="I14" i="9"/>
  <c r="J14" i="9"/>
  <c r="O14" i="9"/>
  <c r="Q14" i="9"/>
  <c r="G15" i="9"/>
  <c r="J15" i="9"/>
  <c r="L15" i="9"/>
  <c r="M15" i="9"/>
  <c r="O15" i="9"/>
  <c r="Q15" i="9"/>
  <c r="F16" i="9"/>
  <c r="G16" i="9"/>
  <c r="I16" i="9"/>
  <c r="K16" i="9"/>
  <c r="M16" i="9"/>
  <c r="N16" i="9"/>
  <c r="O16" i="9"/>
  <c r="Q16" i="9"/>
  <c r="G17" i="9"/>
  <c r="M17" i="9"/>
  <c r="N17" i="9"/>
  <c r="O17" i="9"/>
  <c r="AQ22" i="7"/>
  <c r="F18" i="9"/>
  <c r="K18" i="9"/>
  <c r="M18" i="9"/>
  <c r="N18" i="9"/>
  <c r="O18" i="9"/>
  <c r="AQ23" i="7"/>
  <c r="I19" i="9"/>
  <c r="J19" i="9"/>
  <c r="N19" i="9"/>
  <c r="O19" i="9"/>
  <c r="G20" i="9"/>
  <c r="H20" i="9"/>
  <c r="J20" i="9"/>
  <c r="L20" i="9"/>
  <c r="M20" i="9"/>
  <c r="N20" i="9"/>
  <c r="O20" i="9"/>
  <c r="AQ25" i="7"/>
  <c r="H21" i="9"/>
  <c r="I21" i="9"/>
  <c r="L21" i="9"/>
  <c r="M21" i="9"/>
  <c r="O21" i="9"/>
  <c r="AQ26" i="7"/>
  <c r="I22" i="9"/>
  <c r="K22" i="9"/>
  <c r="L22" i="9"/>
  <c r="M22" i="9"/>
  <c r="O22" i="9"/>
  <c r="AQ27" i="7"/>
  <c r="Q22" i="9"/>
  <c r="F23" i="9"/>
  <c r="G23" i="9"/>
  <c r="H23" i="9"/>
  <c r="J23" i="9"/>
  <c r="L23" i="9"/>
  <c r="O23" i="9"/>
  <c r="G24" i="9"/>
  <c r="I24" i="9"/>
  <c r="M24" i="9"/>
  <c r="N24" i="9"/>
  <c r="G25" i="9"/>
  <c r="I25" i="9"/>
  <c r="L25" i="9"/>
  <c r="AQ30" i="7"/>
  <c r="Q25" i="9"/>
  <c r="F26" i="9"/>
  <c r="H26" i="9"/>
  <c r="I26" i="9"/>
  <c r="L26" i="9"/>
  <c r="M26" i="9"/>
  <c r="N26" i="9"/>
  <c r="O26" i="9"/>
  <c r="AQ31" i="7"/>
  <c r="F27" i="9"/>
  <c r="G27" i="9"/>
  <c r="J27" i="9"/>
  <c r="K27" i="9"/>
  <c r="L27" i="9"/>
  <c r="O27" i="9"/>
  <c r="AQ32" i="7"/>
  <c r="AR32" i="7"/>
  <c r="G28" i="9"/>
  <c r="H28" i="9"/>
  <c r="I28" i="9"/>
  <c r="J28" i="9"/>
  <c r="K28" i="9"/>
  <c r="O28" i="9"/>
  <c r="AR33" i="7"/>
  <c r="F29" i="9"/>
  <c r="H29" i="9"/>
  <c r="M29" i="9"/>
  <c r="O29" i="9"/>
  <c r="AR34" i="7"/>
  <c r="G30" i="9"/>
  <c r="H30" i="9"/>
  <c r="I30" i="9"/>
  <c r="J30" i="9"/>
  <c r="K30" i="9"/>
  <c r="M30" i="9"/>
  <c r="N30" i="9"/>
  <c r="O30" i="9"/>
  <c r="AR35" i="7"/>
  <c r="F3" i="9"/>
  <c r="I3" i="9"/>
  <c r="K3" i="9"/>
  <c r="M3" i="9"/>
  <c r="E4" i="9"/>
  <c r="E6" i="9"/>
  <c r="E10" i="9"/>
  <c r="E12" i="9"/>
  <c r="E13" i="9"/>
  <c r="E14" i="9"/>
  <c r="E19" i="9"/>
  <c r="E20" i="9"/>
  <c r="E21" i="9"/>
  <c r="E25" i="9"/>
  <c r="AF32" i="7"/>
  <c r="AF33" i="7"/>
  <c r="E3" i="9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Q17" i="9"/>
  <c r="Q18" i="9"/>
  <c r="L17" i="9"/>
  <c r="H15" i="9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<sst xmlns="http://schemas.openxmlformats.org/spreadsheetml/2006/main" count="239" uniqueCount="160">
  <si>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</si>
  <si>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</si>
  <si>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</si>
  <si>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</si>
  <si>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</si>
  <si>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</si>
  <si>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</si>
  <si>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</si>
  <si>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</si>
  <si>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</si>
  <si>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</si>
  <si>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</si>
  <si>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</si>
  <si>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</si>
  <si>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</si>
  <si>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</si>
  <si>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</si>
  <si>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</si>
  <si>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</si>
  <si>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</si>
  <si>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</si>
  <si>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</si>
  <si>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</si>
  <si>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</si>
  <si>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</si>
  <si>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</si>
  <si>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</si>
  <si>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</si>
  <si>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</si>
  <si>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</si>
  <si>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</si>
  <si>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</si>
  <si>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</si>
  <si>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</si>
  <si>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</si>
  <si>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</si>
  <si>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</si>
  <si>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</si>
  <si>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</si>
  <si>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</si>
  <si>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</si>
  <si>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</si>
  <si>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</si>
  <si>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</si>
  <si>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</si>
  <si>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</si>
  <si>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</si>
  <si>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</si>
  <si>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</si>
  <si>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Aug</t>
  </si>
  <si>
    <t>21024120</t>
  </si>
  <si>
    <t>8356800</t>
  </si>
  <si>
    <t>19779650</t>
  </si>
  <si>
    <t>19794030</t>
  </si>
  <si>
    <t>19810180</t>
  </si>
  <si>
    <t>19826130</t>
  </si>
  <si>
    <t>19842820</t>
  </si>
  <si>
    <t>19857020</t>
  </si>
  <si>
    <t>19871710</t>
  </si>
  <si>
    <t>19886580</t>
  </si>
  <si>
    <t>19901170</t>
  </si>
  <si>
    <t>3435260</t>
  </si>
  <si>
    <t>12359910</t>
  </si>
  <si>
    <t>11351730</t>
  </si>
  <si>
    <t>15051400</t>
  </si>
  <si>
    <t>21056180</t>
  </si>
  <si>
    <t>12364430</t>
  </si>
  <si>
    <t>11357390</t>
  </si>
  <si>
    <t>15058720</t>
  </si>
  <si>
    <t>21064530</t>
  </si>
  <si>
    <t>12368930</t>
  </si>
  <si>
    <t>11362940</t>
  </si>
  <si>
    <t>15065850</t>
  </si>
  <si>
    <t>21073010</t>
  </si>
  <si>
    <t>4188680</t>
  </si>
  <si>
    <t>12373180</t>
  </si>
  <si>
    <t>7189980</t>
  </si>
  <si>
    <t>6262530</t>
  </si>
  <si>
    <t>7758400</t>
  </si>
  <si>
    <t>11368300</t>
  </si>
  <si>
    <t>4943470</t>
  </si>
  <si>
    <t>15072770</t>
  </si>
  <si>
    <t>21081720</t>
  </si>
  <si>
    <t>12377290</t>
  </si>
  <si>
    <t>11373770</t>
  </si>
  <si>
    <t>15079870</t>
  </si>
  <si>
    <t>21090480</t>
  </si>
  <si>
    <t>12381350</t>
  </si>
  <si>
    <t>11378860</t>
  </si>
  <si>
    <t>15086780</t>
  </si>
  <si>
    <t>21099410</t>
  </si>
  <si>
    <t>12385390</t>
  </si>
  <si>
    <t>11384250</t>
  </si>
  <si>
    <t>15093750</t>
  </si>
  <si>
    <t>21109320</t>
  </si>
  <si>
    <t>12389570</t>
  </si>
  <si>
    <t>11389680</t>
  </si>
  <si>
    <t>15101010</t>
  </si>
  <si>
    <t>21118840</t>
  </si>
  <si>
    <t>11395170</t>
  </si>
  <si>
    <t>15108350</t>
  </si>
  <si>
    <t>21128840</t>
  </si>
  <si>
    <t>12393800</t>
  </si>
  <si>
    <t>112651</t>
  </si>
  <si>
    <t>114653</t>
  </si>
  <si>
    <t>116575</t>
  </si>
  <si>
    <t>118603</t>
  </si>
  <si>
    <t>121117</t>
  </si>
  <si>
    <t>123760</t>
  </si>
  <si>
    <t>125373</t>
  </si>
  <si>
    <t>128124</t>
  </si>
  <si>
    <t>129991</t>
  </si>
  <si>
    <t>3459400</t>
  </si>
  <si>
    <t>4199180</t>
  </si>
  <si>
    <t>12398230</t>
  </si>
  <si>
    <t>7212920</t>
  </si>
  <si>
    <t>6279170</t>
  </si>
  <si>
    <t>7783730</t>
  </si>
  <si>
    <t>11400680</t>
  </si>
  <si>
    <t>4959200</t>
  </si>
  <si>
    <t>9243810</t>
  </si>
  <si>
    <t>15115690</t>
  </si>
  <si>
    <t>21138520</t>
  </si>
  <si>
    <t>19930290</t>
  </si>
  <si>
    <t>3463270</t>
  </si>
  <si>
    <t>4200940</t>
  </si>
  <si>
    <t>12402480</t>
  </si>
  <si>
    <t>7217020</t>
  </si>
  <si>
    <t>6281990</t>
  </si>
  <si>
    <t>7787860</t>
  </si>
  <si>
    <t>11406120</t>
  </si>
  <si>
    <t>4961760</t>
  </si>
  <si>
    <t>9246560</t>
  </si>
  <si>
    <t>15123040</t>
  </si>
  <si>
    <t>21147620</t>
  </si>
  <si>
    <t>19946020</t>
  </si>
  <si>
    <t>3467310</t>
  </si>
  <si>
    <t>4202860</t>
  </si>
  <si>
    <t>12406930</t>
  </si>
  <si>
    <t>7221230</t>
  </si>
  <si>
    <t>6284900</t>
  </si>
  <si>
    <t>7792500</t>
  </si>
  <si>
    <t>11411990</t>
  </si>
  <si>
    <t>4964410</t>
  </si>
  <si>
    <t>9249370</t>
  </si>
  <si>
    <t>15130920</t>
  </si>
  <si>
    <t>21156900</t>
  </si>
  <si>
    <t>19959300</t>
  </si>
  <si>
    <t>12410880</t>
  </si>
  <si>
    <t>11417090</t>
  </si>
  <si>
    <t>15137730</t>
  </si>
  <si>
    <t>21165570</t>
  </si>
  <si>
    <t>131543</t>
  </si>
  <si>
    <t>134858</t>
  </si>
  <si>
    <t>136884</t>
  </si>
  <si>
    <t>139048</t>
  </si>
  <si>
    <t>8408970</t>
  </si>
  <si>
    <t>20178550</t>
  </si>
  <si>
    <t>12475530</t>
  </si>
  <si>
    <t>175395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</si>
</sst>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7" fillId="3" borderId="0" xfId="0" applyNumberFormat="1" applyFont="1" applyFill="1" applyAlignment="1">
      <alignment horizontal="center"/>
    </xf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6" fillId="4" borderId="2" xfId="0" applyFont="1" applyFill="1" applyBorder="1"/>
    <xf numFmtId="0" fontId="10" fillId="4" borderId="2" xfId="0" applyFont="1" applyFill="1" applyBorder="1"/>
    <xf numFmtId="0" fontId="0" fillId="4" borderId="2" xfId="0" quotePrefix="1" applyNumberFormat="1" applyFont="1" applyFill="1" applyBorder="1"/>
    <xf numFmtId="0" fontId="0" fillId="4" borderId="10" xfId="0" applyFill="1" applyBorder="1"/>
    <xf numFmtId="0" fontId="0" fillId="3" borderId="2" xfId="0" quotePrefix="1" applyNumberFormat="1" applyFont="1" applyFill="1" applyBorder="1" applyAlignment="1">
      <alignment horizontal="right"/>
    </xf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4" borderId="2" xfId="0" quotePrefix="1" applyNumberFormat="1" applyFont="1" applyFill="1" applyBorder="1" applyAlignment="1">
      <alignment horizontal="right"/>
    </xf>
    <xf numFmtId="0" fontId="0" fillId="3" borderId="3" xfId="0" quotePrefix="1" applyNumberFormat="1" applyFont="1" applyFill="1" applyBorder="1"/>
    <xf numFmtId="0" fontId="0" fillId="3" borderId="11" xfId="0" quotePrefix="1" applyNumberFormat="1" applyFont="1" applyFill="1" applyBorder="1"/>
    <xf numFmtId="0" fontId="7" fillId="0" borderId="2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0" fillId="5" borderId="2" xfId="0" quotePrefix="1" applyNumberFormat="1" applyFont="1" applyFill="1" applyBorder="1" applyAlignment="1">
      <alignment horizontal="center" vertical="center"/>
    </xf>
    <xf numFmtId="0" fontId="0" fillId="5" borderId="2" xfId="0" quotePrefix="1" applyNumberFormat="1" applyFont="1" applyFill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0" zoomScale="130" zoomScaleNormal="130" workbookViewId="0">
      <selection activeCell="H45" sqref="H45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8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66810</v>
      </c>
      <c r="F2" s="11">
        <v>5.0000000000000001E-3</v>
      </c>
      <c r="G2" s="12">
        <f>Submetering!R2</f>
        <v>525.03636699999993</v>
      </c>
      <c r="H2" s="11">
        <v>0.52800000000000002</v>
      </c>
      <c r="I2" s="12">
        <f>Hotel!B7</f>
        <v>62</v>
      </c>
    </row>
    <row r="3" spans="1:9" s="15" customFormat="1" x14ac:dyDescent="0.25">
      <c r="A3" s="21" t="s">
        <v>31</v>
      </c>
      <c r="B3" s="14">
        <f>B2+1</f>
        <v>2</v>
      </c>
      <c r="C3" s="3">
        <v>8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71050</v>
      </c>
      <c r="F3" s="11">
        <v>5.0000000000000001E-3</v>
      </c>
      <c r="G3" s="12">
        <f>Submetering!R3</f>
        <v>738.15494999999999</v>
      </c>
      <c r="H3" s="11">
        <v>0.52800000000000002</v>
      </c>
      <c r="I3" s="12">
        <f>Hotel!B8</f>
        <v>71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73120</v>
      </c>
      <c r="F4" s="11">
        <v>5.0000000000000001E-3</v>
      </c>
      <c r="G4" s="12">
        <f>Submetering!R4</f>
        <v>696.89398100000005</v>
      </c>
      <c r="H4" s="11">
        <v>0.52800000000000002</v>
      </c>
      <c r="I4" s="12">
        <f>Hotel!B9</f>
        <v>94</v>
      </c>
    </row>
    <row r="5" spans="1:9" s="15" customFormat="1" x14ac:dyDescent="0.25">
      <c r="A5" s="21" t="s">
        <v>31</v>
      </c>
      <c r="B5" s="14">
        <f t="shared" si="0"/>
        <v>4</v>
      </c>
      <c r="C5" s="3">
        <v>8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67710</v>
      </c>
      <c r="F5" s="11">
        <v>5.0000000000000001E-3</v>
      </c>
      <c r="G5" s="12">
        <f>Submetering!R5</f>
        <v>687.80899699999998</v>
      </c>
      <c r="H5" s="11">
        <v>0.52800000000000002</v>
      </c>
      <c r="I5" s="12">
        <f>Hotel!B10</f>
        <v>75</v>
      </c>
    </row>
    <row r="6" spans="1:9" s="15" customFormat="1" x14ac:dyDescent="0.25">
      <c r="A6" s="21" t="s">
        <v>31</v>
      </c>
      <c r="B6" s="14">
        <f t="shared" si="0"/>
        <v>5</v>
      </c>
      <c r="C6" s="3">
        <v>8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65070</v>
      </c>
      <c r="F6" s="11">
        <v>5.0000000000000001E-3</v>
      </c>
      <c r="G6" s="12">
        <f>Submetering!R6</f>
        <v>757.83908199999996</v>
      </c>
      <c r="H6" s="11">
        <v>0.52800000000000002</v>
      </c>
      <c r="I6" s="12">
        <f>Hotel!B11</f>
        <v>79</v>
      </c>
    </row>
    <row r="7" spans="1:9" s="15" customFormat="1" x14ac:dyDescent="0.25">
      <c r="A7" s="21" t="s">
        <v>31</v>
      </c>
      <c r="B7" s="14">
        <f t="shared" si="0"/>
        <v>6</v>
      </c>
      <c r="C7" s="3">
        <v>8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72332</v>
      </c>
      <c r="F7" s="11">
        <v>5.0000000000000001E-3</v>
      </c>
      <c r="G7" s="12">
        <f>Submetering!R7</f>
        <v>727.55580199999997</v>
      </c>
      <c r="H7" s="11">
        <v>0.52800000000000002</v>
      </c>
      <c r="I7" s="12">
        <f>Hotel!B12</f>
        <v>77</v>
      </c>
    </row>
    <row r="8" spans="1:9" s="15" customFormat="1" x14ac:dyDescent="0.25">
      <c r="A8" s="21" t="s">
        <v>31</v>
      </c>
      <c r="B8" s="14">
        <f t="shared" si="0"/>
        <v>7</v>
      </c>
      <c r="C8" s="3">
        <v>8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73678</v>
      </c>
      <c r="F8" s="11">
        <v>5.0000000000000001E-3</v>
      </c>
      <c r="G8" s="12">
        <f>Submetering!R8</f>
        <v>767.68114800000001</v>
      </c>
      <c r="H8" s="11">
        <v>0.52800000000000002</v>
      </c>
      <c r="I8" s="12">
        <f>Hotel!B13</f>
        <v>72</v>
      </c>
    </row>
    <row r="9" spans="1:9" s="15" customFormat="1" x14ac:dyDescent="0.25">
      <c r="A9" s="21" t="s">
        <v>31</v>
      </c>
      <c r="B9" s="14">
        <f t="shared" si="0"/>
        <v>8</v>
      </c>
      <c r="C9" s="3">
        <v>8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73950</v>
      </c>
      <c r="F9" s="11">
        <v>5.0000000000000001E-3</v>
      </c>
      <c r="G9" s="12">
        <f>Submetering!R9</f>
        <v>951.65207399999986</v>
      </c>
      <c r="H9" s="11">
        <v>0.52800000000000002</v>
      </c>
      <c r="I9" s="12">
        <f>Hotel!B14</f>
        <v>75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8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61300</v>
      </c>
      <c r="F10" s="11">
        <v>5.0000000000000001E-3</v>
      </c>
      <c r="G10" s="12">
        <f>Submetering!R10</f>
        <v>1000.483863</v>
      </c>
      <c r="H10" s="11">
        <v>0.52800000000000002</v>
      </c>
      <c r="I10" s="12">
        <f>Hotel!B15</f>
        <v>69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8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63620</v>
      </c>
      <c r="F11" s="11">
        <v>5.0000000000000001E-3</v>
      </c>
      <c r="G11" s="12">
        <f>Submetering!R11</f>
        <v>610.58663300000001</v>
      </c>
      <c r="H11" s="11">
        <v>0.52800000000000002</v>
      </c>
      <c r="I11" s="12">
        <f>Hotel!B16</f>
        <v>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8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64700</v>
      </c>
      <c r="F12" s="11">
        <v>5.0000000000000001E-3</v>
      </c>
      <c r="G12" s="12">
        <f>Submetering!R12</f>
        <v>1041.3662909999998</v>
      </c>
      <c r="H12" s="11">
        <v>0.52800000000000002</v>
      </c>
      <c r="I12" s="12">
        <f>Hotel!B17</f>
        <v>86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8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64500</v>
      </c>
      <c r="F13" s="11">
        <v>5.0000000000000001E-3</v>
      </c>
      <c r="G13" s="12">
        <f>Submetering!R13</f>
        <v>706.73604699999999</v>
      </c>
      <c r="H13" s="11">
        <v>0.52800000000000002</v>
      </c>
      <c r="I13" s="12">
        <f>Hotel!B18</f>
        <v>96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8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64160</v>
      </c>
      <c r="F14" s="11">
        <v>5.0000000000000001E-3</v>
      </c>
      <c r="G14" s="12">
        <f>Submetering!R14</f>
        <v>587.495632</v>
      </c>
      <c r="H14" s="11">
        <v>0.52800000000000002</v>
      </c>
      <c r="I14" s="12">
        <f>Hotel!B19</f>
        <v>61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8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65950</v>
      </c>
      <c r="F15" s="11">
        <v>5.0000000000000001E-3</v>
      </c>
      <c r="G15" s="12">
        <f>Submetering!R15</f>
        <v>1254.863415</v>
      </c>
      <c r="H15" s="11">
        <v>0.52800000000000002</v>
      </c>
      <c r="I15" s="12">
        <f>Hotel!B20</f>
        <v>66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8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70290</v>
      </c>
      <c r="F16" s="11">
        <v>5.0000000000000001E-3</v>
      </c>
      <c r="G16" s="12">
        <f>Submetering!R16</f>
        <v>766.92406600000004</v>
      </c>
      <c r="H16" s="11">
        <v>0.52800000000000002</v>
      </c>
      <c r="I16" s="12">
        <f>Hotel!B21</f>
        <v>65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8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59260</v>
      </c>
      <c r="F17" s="11">
        <v>5.0000000000000001E-3</v>
      </c>
      <c r="G17" s="12">
        <f>Submetering!R17</f>
        <v>819.16272399999991</v>
      </c>
      <c r="H17" s="11">
        <v>0.52800000000000002</v>
      </c>
      <c r="I17" s="12">
        <f>Hotel!B22</f>
        <v>98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8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65910</v>
      </c>
      <c r="F18" s="11">
        <v>5.0000000000000001E-3</v>
      </c>
      <c r="G18" s="12">
        <f>Submetering!R18</f>
        <v>1000.483863</v>
      </c>
      <c r="H18" s="11">
        <v>0.52800000000000002</v>
      </c>
      <c r="I18" s="12">
        <f>Hotel!B23</f>
        <v>94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8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66440</v>
      </c>
      <c r="F19" s="11">
        <v>5.0000000000000001E-3</v>
      </c>
      <c r="G19" s="12">
        <f>Submetering!R19</f>
        <v>933.86064699999997</v>
      </c>
      <c r="H19" s="11">
        <v>0.52800000000000002</v>
      </c>
      <c r="I19" s="12">
        <f>Hotel!B24</f>
        <v>113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8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71460</v>
      </c>
      <c r="F20" s="11">
        <v>5.0000000000000001E-3</v>
      </c>
      <c r="G20" s="12">
        <f>Submetering!R20</f>
        <v>540.17800699999998</v>
      </c>
      <c r="H20" s="11">
        <v>0.52800000000000002</v>
      </c>
      <c r="I20" s="12">
        <f>Hotel!B25</f>
        <v>122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8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64070</v>
      </c>
      <c r="F21" s="11">
        <v>5.0000000000000001E-3</v>
      </c>
      <c r="G21" s="12">
        <f>Submetering!R21</f>
        <v>1011.0830110000001</v>
      </c>
      <c r="H21" s="11">
        <v>0.52800000000000002</v>
      </c>
      <c r="I21" s="12">
        <f>Hotel!B26</f>
        <v>62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8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64330</v>
      </c>
      <c r="F22" s="11">
        <v>5.0000000000000001E-3</v>
      </c>
      <c r="G22" s="12">
        <f>Submetering!R22</f>
        <v>942.94563099999993</v>
      </c>
      <c r="H22" s="11">
        <v>0.52800000000000002</v>
      </c>
      <c r="I22" s="12">
        <f>Hotel!B27</f>
        <v>78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8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64390</v>
      </c>
      <c r="F23" s="11">
        <v>5.0000000000000001E-3</v>
      </c>
      <c r="G23" s="12">
        <f>Submetering!R23</f>
        <v>783.95841099999996</v>
      </c>
      <c r="H23" s="11">
        <v>0.52800000000000002</v>
      </c>
      <c r="I23" s="12">
        <f>Hotel!B28</f>
        <v>64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8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65430</v>
      </c>
      <c r="F24" s="11">
        <v>5.0000000000000001E-3</v>
      </c>
      <c r="G24" s="12">
        <f>Submetering!R24</f>
        <v>975.50015699999994</v>
      </c>
      <c r="H24" s="11">
        <v>0.52800000000000002</v>
      </c>
      <c r="I24" s="12">
        <f>Hotel!B29</f>
        <v>75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8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64180</v>
      </c>
      <c r="F25" s="11">
        <v>5.0000000000000001E-3</v>
      </c>
      <c r="G25" s="12">
        <f>Submetering!R25</f>
        <v>1291.2033510000001</v>
      </c>
      <c r="H25" s="11">
        <v>0.52800000000000002</v>
      </c>
      <c r="I25" s="12">
        <f>Hotel!B30</f>
        <v>71</v>
      </c>
    </row>
    <row r="26" spans="1:9" s="15" customFormat="1" x14ac:dyDescent="0.25">
      <c r="A26" s="21" t="s">
        <v>31</v>
      </c>
      <c r="B26" s="14">
        <f>B25+1</f>
        <v>25</v>
      </c>
      <c r="C26" s="3">
        <v>8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63880</v>
      </c>
      <c r="F26" s="11">
        <v>5.0000000000000001E-3</v>
      </c>
      <c r="G26" s="12">
        <f>Submetering!R26</f>
        <v>836.19706899999994</v>
      </c>
      <c r="H26" s="11">
        <v>0.52800000000000002</v>
      </c>
      <c r="I26" s="12">
        <f>Hotel!B31</f>
        <v>99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8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65920</v>
      </c>
      <c r="F27" s="11">
        <v>5.0000000000000001E-3</v>
      </c>
      <c r="G27" s="12">
        <f>Submetering!R27</f>
        <v>805.15670699999987</v>
      </c>
      <c r="H27" s="11">
        <v>0.52800000000000002</v>
      </c>
      <c r="I27" s="12">
        <f>Hotel!B32</f>
        <v>116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8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64530</v>
      </c>
      <c r="F28" s="11">
        <v>5.0000000000000001E-3</v>
      </c>
      <c r="G28" s="12">
        <f>Submetering!R28</f>
        <v>821.05542899999989</v>
      </c>
      <c r="H28" s="11">
        <v>0.52800000000000002</v>
      </c>
      <c r="I28" s="12">
        <f>Hotel!B33</f>
        <v>53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8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64050</v>
      </c>
      <c r="F29" s="11">
        <v>5.0000000000000001E-3</v>
      </c>
      <c r="G29" s="12">
        <f>Submetering!R29</f>
        <v>898.65633400000002</v>
      </c>
      <c r="H29" s="11">
        <v>0.52800000000000002</v>
      </c>
      <c r="I29" s="12">
        <f>Hotel!B34</f>
        <v>57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8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65040</v>
      </c>
      <c r="F30" s="11">
        <v>5.0000000000000001E-3</v>
      </c>
      <c r="G30" s="12">
        <f>Submetering!R30</f>
        <v>927.803991</v>
      </c>
      <c r="H30" s="11">
        <v>0.52800000000000002</v>
      </c>
      <c r="I30" s="12">
        <f>Hotel!B35</f>
        <v>90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8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66660</v>
      </c>
      <c r="F31" s="11">
        <v>5.0000000000000001E-3</v>
      </c>
      <c r="G31" s="12">
        <f>Submetering!R31</f>
        <v>989.88471500000003</v>
      </c>
      <c r="H31" s="11">
        <v>0.52800000000000002</v>
      </c>
      <c r="I31" s="12">
        <f>Hotel!B36</f>
        <v>87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8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69950</v>
      </c>
      <c r="F32" s="11">
        <v>5.0000000000000001E-3</v>
      </c>
      <c r="G32" s="12">
        <f>Submetering!R32</f>
        <v>1000.8624039999999</v>
      </c>
      <c r="H32" s="11">
        <v>0.52800000000000002</v>
      </c>
      <c r="I32" s="12">
        <f>Hotel!B37</f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8</v>
      </c>
      <c r="D2" s="11">
        <v>2022</v>
      </c>
      <c r="E2" s="4">
        <f>Hotel!Q7</f>
        <v>8620</v>
      </c>
      <c r="F2" s="4">
        <f>Hotel!R7</f>
        <v>15320</v>
      </c>
      <c r="G2" s="4">
        <f>Hotel!S7</f>
        <v>2350</v>
      </c>
      <c r="H2" s="4">
        <f>Hotel!T7</f>
        <v>1640</v>
      </c>
      <c r="I2" s="4">
        <f>Hotel!U7</f>
        <v>4180</v>
      </c>
      <c r="J2" s="4">
        <f>Hotel!V7</f>
        <v>3780</v>
      </c>
      <c r="K2" s="4">
        <f>Hotel!W7</f>
        <v>2840</v>
      </c>
      <c r="L2" s="4">
        <f>Hotel!X7</f>
        <v>4230</v>
      </c>
      <c r="M2" s="4">
        <f>Hotel!Y7</f>
        <v>4450</v>
      </c>
      <c r="N2" s="4">
        <f>Hotel!Z7</f>
        <v>2490</v>
      </c>
      <c r="O2" s="4">
        <f>Hotel!AA7</f>
        <v>2840</v>
      </c>
      <c r="P2" s="4">
        <f>Hotel!AB7</f>
        <v>6560</v>
      </c>
      <c r="Q2" s="4">
        <f>Hotel!AC7</f>
        <v>7510</v>
      </c>
      <c r="R2" s="4">
        <f>Hotel!AV7*0.00378541*100</f>
        <v>525.03636699999993</v>
      </c>
      <c r="S2" s="4">
        <f>Hotel!B7</f>
        <v>62</v>
      </c>
    </row>
    <row r="3" spans="1:19" x14ac:dyDescent="0.25">
      <c r="A3" s="21" t="s">
        <v>31</v>
      </c>
      <c r="B3" s="2">
        <f>B2+1</f>
        <v>2</v>
      </c>
      <c r="C3" s="3">
        <v>8</v>
      </c>
      <c r="D3" s="11">
        <v>2022</v>
      </c>
      <c r="E3" s="4">
        <f>Hotel!Q8</f>
        <v>6810</v>
      </c>
      <c r="F3" s="4">
        <f>Hotel!R8</f>
        <v>16490</v>
      </c>
      <c r="G3" s="4">
        <f>Hotel!S8</f>
        <v>4340</v>
      </c>
      <c r="H3" s="4">
        <f>Hotel!T8</f>
        <v>1820</v>
      </c>
      <c r="I3" s="4">
        <f>Hotel!U8</f>
        <v>4370</v>
      </c>
      <c r="J3" s="4">
        <f>Hotel!V8</f>
        <v>3910</v>
      </c>
      <c r="K3" s="4">
        <f>Hotel!W8</f>
        <v>2850</v>
      </c>
      <c r="L3" s="4">
        <f>Hotel!X8</f>
        <v>4350</v>
      </c>
      <c r="M3" s="4">
        <f>Hotel!Y8</f>
        <v>4880</v>
      </c>
      <c r="N3" s="4">
        <f>Hotel!Z8</f>
        <v>2750</v>
      </c>
      <c r="O3" s="4">
        <f>Hotel!AA8</f>
        <v>2810</v>
      </c>
      <c r="P3" s="4">
        <f>Hotel!AB8</f>
        <v>7220</v>
      </c>
      <c r="Q3" s="4">
        <f>Hotel!AC8</f>
        <v>8450</v>
      </c>
      <c r="R3" s="4">
        <f>Hotel!AV8*0.00378541*100</f>
        <v>738.15494999999999</v>
      </c>
      <c r="S3" s="4">
        <f>Hotel!B8</f>
        <v>71</v>
      </c>
    </row>
    <row r="4" spans="1:19" x14ac:dyDescent="0.25">
      <c r="A4" s="21" t="s">
        <v>31</v>
      </c>
      <c r="B4" s="2">
        <f t="shared" ref="B4:B29" si="0">B3+1</f>
        <v>3</v>
      </c>
      <c r="C4" s="3">
        <v>8</v>
      </c>
      <c r="D4" s="11">
        <v>2022</v>
      </c>
      <c r="E4" s="4">
        <f>Hotel!Q9</f>
        <v>9060</v>
      </c>
      <c r="F4" s="4">
        <f>Hotel!R9</f>
        <v>18410</v>
      </c>
      <c r="G4" s="4">
        <f>Hotel!S9</f>
        <v>3900</v>
      </c>
      <c r="H4" s="4">
        <f>Hotel!T9</f>
        <v>1730</v>
      </c>
      <c r="I4" s="4">
        <f>Hotel!U9</f>
        <v>4230</v>
      </c>
      <c r="J4" s="4">
        <f>Hotel!V9</f>
        <v>3810</v>
      </c>
      <c r="K4" s="4">
        <f>Hotel!W9</f>
        <v>2800</v>
      </c>
      <c r="L4" s="4">
        <f>Hotel!X9</f>
        <v>4160</v>
      </c>
      <c r="M4" s="4">
        <f>Hotel!Y9</f>
        <v>4940</v>
      </c>
      <c r="N4" s="4">
        <f>Hotel!Z9</f>
        <v>2580</v>
      </c>
      <c r="O4" s="4">
        <f>Hotel!AA9</f>
        <v>2650</v>
      </c>
      <c r="P4" s="4">
        <f>Hotel!AB9</f>
        <v>7050</v>
      </c>
      <c r="Q4" s="4">
        <f>Hotel!AC9</f>
        <v>7800</v>
      </c>
      <c r="R4" s="4">
        <f>Hotel!AV9*0.00378541*100</f>
        <v>696.89398100000005</v>
      </c>
      <c r="S4" s="4">
        <f>Hotel!B9</f>
        <v>94</v>
      </c>
    </row>
    <row r="5" spans="1:19" x14ac:dyDescent="0.25">
      <c r="A5" s="21" t="s">
        <v>31</v>
      </c>
      <c r="B5" s="2">
        <f t="shared" si="0"/>
        <v>4</v>
      </c>
      <c r="C5" s="3">
        <v>8</v>
      </c>
      <c r="D5" s="11">
        <v>2022</v>
      </c>
      <c r="E5" s="4">
        <f>Hotel!Q10</f>
        <v>5770</v>
      </c>
      <c r="F5" s="4">
        <f>Hotel!R10</f>
        <v>12680</v>
      </c>
      <c r="G5" s="4">
        <f>Hotel!S10</f>
        <v>4230</v>
      </c>
      <c r="H5" s="4">
        <f>Hotel!T10</f>
        <v>1770</v>
      </c>
      <c r="I5" s="4">
        <f>Hotel!U10</f>
        <v>4460</v>
      </c>
      <c r="J5" s="4">
        <f>Hotel!V10</f>
        <v>4090</v>
      </c>
      <c r="K5" s="4">
        <f>Hotel!W10</f>
        <v>3260</v>
      </c>
      <c r="L5" s="4">
        <f>Hotel!X10</f>
        <v>4410</v>
      </c>
      <c r="M5" s="4">
        <f>Hotel!Y10</f>
        <v>5500</v>
      </c>
      <c r="N5" s="4">
        <f>Hotel!Z10</f>
        <v>2780</v>
      </c>
      <c r="O5" s="4">
        <f>Hotel!AA10</f>
        <v>2890</v>
      </c>
      <c r="P5" s="4">
        <f>Hotel!AB10</f>
        <v>7570</v>
      </c>
      <c r="Q5" s="4">
        <f>Hotel!AC10</f>
        <v>8300</v>
      </c>
      <c r="R5" s="4">
        <f>Hotel!AV10*0.00378541*100</f>
        <v>687.80899699999998</v>
      </c>
      <c r="S5" s="4">
        <f>Hotel!B10</f>
        <v>75</v>
      </c>
    </row>
    <row r="6" spans="1:19" x14ac:dyDescent="0.25">
      <c r="A6" s="21" t="s">
        <v>31</v>
      </c>
      <c r="B6" s="2">
        <f t="shared" si="0"/>
        <v>5</v>
      </c>
      <c r="C6" s="3">
        <v>8</v>
      </c>
      <c r="D6" s="11">
        <v>2022</v>
      </c>
      <c r="E6" s="4">
        <f>Hotel!Q11</f>
        <v>970</v>
      </c>
      <c r="F6" s="4">
        <f>Hotel!R11</f>
        <v>14380</v>
      </c>
      <c r="G6" s="4">
        <f>Hotel!S11</f>
        <v>4090</v>
      </c>
      <c r="H6" s="4">
        <f>Hotel!T11</f>
        <v>1770</v>
      </c>
      <c r="I6" s="4">
        <f>Hotel!U11</f>
        <v>4520</v>
      </c>
      <c r="J6" s="4">
        <f>Hotel!V11</f>
        <v>4150</v>
      </c>
      <c r="K6" s="4">
        <f>Hotel!W11</f>
        <v>3370</v>
      </c>
      <c r="L6" s="4">
        <f>Hotel!X11</f>
        <v>4480</v>
      </c>
      <c r="M6" s="4">
        <f>Hotel!Y11</f>
        <v>5660</v>
      </c>
      <c r="N6" s="4">
        <f>Hotel!Z11</f>
        <v>2850</v>
      </c>
      <c r="O6" s="4">
        <f>Hotel!AA11</f>
        <v>3160</v>
      </c>
      <c r="P6" s="4">
        <f>Hotel!AB11</f>
        <v>7320</v>
      </c>
      <c r="Q6" s="4">
        <f>Hotel!AC11</f>
        <v>8350</v>
      </c>
      <c r="R6" s="4">
        <f>Hotel!AV11*0.00378541*100</f>
        <v>757.83908199999996</v>
      </c>
      <c r="S6" s="4">
        <f>Hotel!B11</f>
        <v>79</v>
      </c>
    </row>
    <row r="7" spans="1:19" x14ac:dyDescent="0.25">
      <c r="A7" s="21" t="s">
        <v>31</v>
      </c>
      <c r="B7" s="2">
        <f t="shared" si="0"/>
        <v>6</v>
      </c>
      <c r="C7" s="3">
        <v>8</v>
      </c>
      <c r="D7" s="11">
        <v>2022</v>
      </c>
      <c r="E7" s="4">
        <f>Hotel!Q12</f>
        <v>6962</v>
      </c>
      <c r="F7" s="4">
        <f>Hotel!R12</f>
        <v>16150</v>
      </c>
      <c r="G7" s="4">
        <f>Hotel!S12</f>
        <v>4180</v>
      </c>
      <c r="H7" s="4">
        <f>Hotel!T12</f>
        <v>1730</v>
      </c>
      <c r="I7" s="4">
        <f>Hotel!U12</f>
        <v>4500</v>
      </c>
      <c r="J7" s="4">
        <f>Hotel!V12</f>
        <v>4060</v>
      </c>
      <c r="K7" s="4">
        <f>Hotel!W12</f>
        <v>3390</v>
      </c>
      <c r="L7" s="4">
        <f>Hotel!X12</f>
        <v>4430</v>
      </c>
      <c r="M7" s="4">
        <f>Hotel!Y12</f>
        <v>5550</v>
      </c>
      <c r="N7" s="4">
        <f>Hotel!Z12</f>
        <v>2830</v>
      </c>
      <c r="O7" s="4">
        <f>Hotel!AA12</f>
        <v>2940</v>
      </c>
      <c r="P7" s="4">
        <f>Hotel!AB12</f>
        <v>7130</v>
      </c>
      <c r="Q7" s="4">
        <f>Hotel!AC12</f>
        <v>8480</v>
      </c>
      <c r="R7" s="4">
        <f>Hotel!AV12*0.00378541*100</f>
        <v>727.55580199999997</v>
      </c>
      <c r="S7" s="4">
        <f>Hotel!B12</f>
        <v>77</v>
      </c>
    </row>
    <row r="8" spans="1:19" x14ac:dyDescent="0.25">
      <c r="A8" s="21" t="s">
        <v>31</v>
      </c>
      <c r="B8" s="2">
        <f t="shared" si="0"/>
        <v>7</v>
      </c>
      <c r="C8" s="3">
        <v>8</v>
      </c>
      <c r="D8" s="11">
        <v>2022</v>
      </c>
      <c r="E8" s="4">
        <f>Hotel!Q13</f>
        <v>10068</v>
      </c>
      <c r="F8" s="4">
        <f>Hotel!R13</f>
        <v>15950</v>
      </c>
      <c r="G8" s="4">
        <f>Hotel!S13</f>
        <v>4080</v>
      </c>
      <c r="H8" s="4">
        <f>Hotel!T13</f>
        <v>1800</v>
      </c>
      <c r="I8" s="4">
        <f>Hotel!U13</f>
        <v>4250</v>
      </c>
      <c r="J8" s="4">
        <f>Hotel!V13</f>
        <v>4050</v>
      </c>
      <c r="K8" s="4">
        <f>Hotel!W13</f>
        <v>3070</v>
      </c>
      <c r="L8" s="4">
        <f>Hotel!X13</f>
        <v>3950</v>
      </c>
      <c r="M8" s="4">
        <f>Hotel!Y13</f>
        <v>5360</v>
      </c>
      <c r="N8" s="4">
        <f>Hotel!Z13</f>
        <v>2740</v>
      </c>
      <c r="O8" s="4">
        <f>Hotel!AA13</f>
        <v>2730</v>
      </c>
      <c r="P8" s="4">
        <f>Hotel!AB13</f>
        <v>6920</v>
      </c>
      <c r="Q8" s="4">
        <f>Hotel!AC13</f>
        <v>8710</v>
      </c>
      <c r="R8" s="4">
        <f>Hotel!AV13*0.00378541*100</f>
        <v>767.68114800000001</v>
      </c>
      <c r="S8" s="4">
        <f>Hotel!B13</f>
        <v>72</v>
      </c>
    </row>
    <row r="9" spans="1:19" x14ac:dyDescent="0.25">
      <c r="A9" s="21" t="s">
        <v>31</v>
      </c>
      <c r="B9" s="2">
        <f t="shared" si="0"/>
        <v>8</v>
      </c>
      <c r="C9" s="3">
        <v>8</v>
      </c>
      <c r="D9" s="11">
        <v>2022</v>
      </c>
      <c r="E9" s="4">
        <f>Hotel!Q14</f>
        <v>8720</v>
      </c>
      <c r="F9" s="4">
        <f>Hotel!R14</f>
        <v>16690</v>
      </c>
      <c r="G9" s="4">
        <f>Hotel!S14</f>
        <v>4350</v>
      </c>
      <c r="H9" s="4">
        <f>Hotel!T14</f>
        <v>1820</v>
      </c>
      <c r="I9" s="4">
        <f>Hotel!U14</f>
        <v>4110</v>
      </c>
      <c r="J9" s="4">
        <f>Hotel!V14</f>
        <v>4050</v>
      </c>
      <c r="K9" s="4">
        <f>Hotel!W14</f>
        <v>3110</v>
      </c>
      <c r="L9" s="4">
        <f>Hotel!X14</f>
        <v>4300</v>
      </c>
      <c r="M9" s="4">
        <f>Hotel!Y14</f>
        <v>5470</v>
      </c>
      <c r="N9" s="4">
        <f>Hotel!Z14</f>
        <v>2660</v>
      </c>
      <c r="O9" s="4">
        <f>Hotel!AA14</f>
        <v>2810</v>
      </c>
      <c r="P9" s="4">
        <f>Hotel!AB14</f>
        <v>7100</v>
      </c>
      <c r="Q9" s="4">
        <f>Hotel!AC14</f>
        <v>8760</v>
      </c>
      <c r="R9" s="4">
        <f>Hotel!AV14*0.00378541*100</f>
        <v>951.65207399999986</v>
      </c>
      <c r="S9" s="4">
        <f>Hotel!B14</f>
        <v>75</v>
      </c>
    </row>
    <row r="10" spans="1:19" x14ac:dyDescent="0.25">
      <c r="A10" s="21" t="s">
        <v>31</v>
      </c>
      <c r="B10" s="2">
        <f t="shared" si="0"/>
        <v>9</v>
      </c>
      <c r="C10" s="3">
        <v>8</v>
      </c>
      <c r="D10" s="11">
        <v>2022</v>
      </c>
      <c r="E10" s="4">
        <f>Hotel!Q15</f>
        <v>920</v>
      </c>
      <c r="F10" s="4">
        <f>Hotel!R15</f>
        <v>14200</v>
      </c>
      <c r="G10" s="4">
        <f>Hotel!S15</f>
        <v>3840</v>
      </c>
      <c r="H10" s="4">
        <f>Hotel!T15</f>
        <v>1690</v>
      </c>
      <c r="I10" s="4">
        <f>Hotel!U15</f>
        <v>4060</v>
      </c>
      <c r="J10" s="4">
        <f>Hotel!V15</f>
        <v>3650</v>
      </c>
      <c r="K10" s="4">
        <f>Hotel!W15</f>
        <v>2640</v>
      </c>
      <c r="L10" s="4">
        <f>Hotel!X15</f>
        <v>4090</v>
      </c>
      <c r="M10" s="4">
        <f>Hotel!Y15</f>
        <v>5090</v>
      </c>
      <c r="N10" s="4">
        <f>Hotel!Z15</f>
        <v>2570</v>
      </c>
      <c r="O10" s="4">
        <f>Hotel!AA15</f>
        <v>2710</v>
      </c>
      <c r="P10" s="4">
        <f>Hotel!AB15</f>
        <v>6910</v>
      </c>
      <c r="Q10" s="4">
        <f>Hotel!AC15</f>
        <v>8930</v>
      </c>
      <c r="R10" s="4">
        <f>Hotel!AV15*0.00378541*100</f>
        <v>1000.483863</v>
      </c>
      <c r="S10" s="4">
        <f>Hotel!B15</f>
        <v>69</v>
      </c>
    </row>
    <row r="11" spans="1:19" x14ac:dyDescent="0.25">
      <c r="A11" s="21" t="s">
        <v>31</v>
      </c>
      <c r="B11" s="2">
        <f t="shared" si="0"/>
        <v>10</v>
      </c>
      <c r="C11" s="3">
        <v>8</v>
      </c>
      <c r="D11" s="11">
        <v>2022</v>
      </c>
      <c r="E11" s="4">
        <f>Hotel!Q16</f>
        <v>970</v>
      </c>
      <c r="F11" s="4">
        <f>Hotel!R16</f>
        <v>14690</v>
      </c>
      <c r="G11" s="4">
        <f>Hotel!S16</f>
        <v>4030</v>
      </c>
      <c r="H11" s="4">
        <f>Hotel!T16</f>
        <v>1750</v>
      </c>
      <c r="I11" s="4">
        <f>Hotel!U16</f>
        <v>4040</v>
      </c>
      <c r="J11" s="4">
        <f>Hotel!V16</f>
        <v>3700</v>
      </c>
      <c r="K11" s="4">
        <f>Hotel!W16</f>
        <v>2820</v>
      </c>
      <c r="L11" s="4">
        <f>Hotel!X16</f>
        <v>4040</v>
      </c>
      <c r="M11" s="4">
        <f>Hotel!Y16</f>
        <v>5390</v>
      </c>
      <c r="N11" s="4">
        <f>Hotel!Z16</f>
        <v>2550</v>
      </c>
      <c r="O11" s="4">
        <f>Hotel!AA16</f>
        <v>2760</v>
      </c>
      <c r="P11" s="4">
        <f>Hotel!AB16</f>
        <v>6970</v>
      </c>
      <c r="Q11" s="4">
        <f>Hotel!AC16</f>
        <v>9910</v>
      </c>
      <c r="R11" s="4">
        <f>Hotel!AV16*0.00378541*100</f>
        <v>610.58663300000001</v>
      </c>
      <c r="S11" s="4">
        <f>Hotel!B16</f>
        <v>79</v>
      </c>
    </row>
    <row r="12" spans="1:19" x14ac:dyDescent="0.25">
      <c r="A12" s="21" t="s">
        <v>31</v>
      </c>
      <c r="B12" s="2">
        <f t="shared" si="0"/>
        <v>11</v>
      </c>
      <c r="C12" s="3">
        <v>8</v>
      </c>
      <c r="D12" s="11">
        <v>2022</v>
      </c>
      <c r="E12" s="4">
        <f>Hotel!Q17</f>
        <v>980</v>
      </c>
      <c r="F12" s="4">
        <f>Hotel!R17</f>
        <v>14870</v>
      </c>
      <c r="G12" s="4">
        <f>Hotel!S17</f>
        <v>4140</v>
      </c>
      <c r="H12" s="4">
        <f>Hotel!T17</f>
        <v>1770</v>
      </c>
      <c r="I12" s="4">
        <f>Hotel!U17</f>
        <v>4180</v>
      </c>
      <c r="J12" s="4">
        <f>Hotel!V17</f>
        <v>3960</v>
      </c>
      <c r="K12" s="4">
        <f>Hotel!W17</f>
        <v>2730</v>
      </c>
      <c r="L12" s="4">
        <f>Hotel!X17</f>
        <v>4330</v>
      </c>
      <c r="M12" s="4">
        <f>Hotel!Y17</f>
        <v>5430</v>
      </c>
      <c r="N12" s="4">
        <f>Hotel!Z17</f>
        <v>2660</v>
      </c>
      <c r="O12" s="4">
        <f>Hotel!AA17</f>
        <v>2870</v>
      </c>
      <c r="P12" s="4">
        <f>Hotel!AB17</f>
        <v>7260</v>
      </c>
      <c r="Q12" s="4">
        <f>Hotel!AC17</f>
        <v>9520</v>
      </c>
      <c r="R12" s="4">
        <f>Hotel!AV17*0.00378541*100</f>
        <v>1041.3662909999998</v>
      </c>
      <c r="S12" s="4">
        <f>Hotel!B17</f>
        <v>86</v>
      </c>
    </row>
    <row r="13" spans="1:19" x14ac:dyDescent="0.25">
      <c r="A13" s="21" t="s">
        <v>31</v>
      </c>
      <c r="B13" s="2">
        <f t="shared" si="0"/>
        <v>12</v>
      </c>
      <c r="C13" s="3">
        <v>8</v>
      </c>
      <c r="D13" s="11">
        <v>2022</v>
      </c>
      <c r="E13" s="4">
        <f>Hotel!Q18</f>
        <v>970</v>
      </c>
      <c r="F13" s="4">
        <f>Hotel!R18</f>
        <v>14590</v>
      </c>
      <c r="G13" s="4">
        <f>Hotel!S18</f>
        <v>3890</v>
      </c>
      <c r="H13" s="4">
        <f>Hotel!T18</f>
        <v>1740</v>
      </c>
      <c r="I13" s="4">
        <f>Hotel!U18</f>
        <v>4230</v>
      </c>
      <c r="J13" s="4">
        <f>Hotel!V18</f>
        <v>3790</v>
      </c>
      <c r="K13" s="4">
        <f>Hotel!W18</f>
        <v>2660</v>
      </c>
      <c r="L13" s="4">
        <f>Hotel!X18</f>
        <v>4270</v>
      </c>
      <c r="M13" s="4">
        <f>Hotel!Y18</f>
        <v>5490</v>
      </c>
      <c r="N13" s="4">
        <f>Hotel!Z18</f>
        <v>2660</v>
      </c>
      <c r="O13" s="4">
        <f>Hotel!AA18</f>
        <v>2870</v>
      </c>
      <c r="P13" s="4">
        <f>Hotel!AB18</f>
        <v>7340</v>
      </c>
      <c r="Q13" s="4">
        <f>Hotel!AC18</f>
        <v>10000</v>
      </c>
      <c r="R13" s="4">
        <f>Hotel!AV18*0.00378541*100</f>
        <v>706.73604699999999</v>
      </c>
      <c r="S13" s="4">
        <f>Hotel!B18</f>
        <v>96</v>
      </c>
    </row>
    <row r="14" spans="1:19" x14ac:dyDescent="0.25">
      <c r="A14" s="21" t="s">
        <v>31</v>
      </c>
      <c r="B14" s="2">
        <f t="shared" si="0"/>
        <v>13</v>
      </c>
      <c r="C14" s="3">
        <v>8</v>
      </c>
      <c r="D14" s="11">
        <v>2022</v>
      </c>
      <c r="E14" s="4">
        <f>Hotel!Q19</f>
        <v>970</v>
      </c>
      <c r="F14" s="4">
        <f>Hotel!R19</f>
        <v>14440</v>
      </c>
      <c r="G14" s="4">
        <f>Hotel!S19</f>
        <v>3890</v>
      </c>
      <c r="H14" s="4">
        <f>Hotel!T19</f>
        <v>1730</v>
      </c>
      <c r="I14" s="4">
        <f>Hotel!U19</f>
        <v>4430</v>
      </c>
      <c r="J14" s="4">
        <f>Hotel!V19</f>
        <v>3790</v>
      </c>
      <c r="K14" s="4">
        <f>Hotel!W19</f>
        <v>2680</v>
      </c>
      <c r="L14" s="4">
        <f>Hotel!X19</f>
        <v>4300</v>
      </c>
      <c r="M14" s="4">
        <f>Hotel!Y19</f>
        <v>5510</v>
      </c>
      <c r="N14" s="4">
        <f>Hotel!Z19</f>
        <v>2630</v>
      </c>
      <c r="O14" s="4">
        <f>Hotel!AA19</f>
        <v>2770</v>
      </c>
      <c r="P14" s="4">
        <f>Hotel!AB19</f>
        <v>7340</v>
      </c>
      <c r="Q14" s="4">
        <f>Hotel!AC19</f>
        <v>9680</v>
      </c>
      <c r="R14" s="4">
        <f>Hotel!AV19*0.00378541*100</f>
        <v>587.495632</v>
      </c>
      <c r="S14" s="4">
        <f>Hotel!B19</f>
        <v>61</v>
      </c>
    </row>
    <row r="15" spans="1:19" x14ac:dyDescent="0.25">
      <c r="A15" s="21" t="s">
        <v>31</v>
      </c>
      <c r="B15" s="2">
        <f t="shared" si="0"/>
        <v>14</v>
      </c>
      <c r="C15" s="3">
        <v>8</v>
      </c>
      <c r="D15" s="11">
        <v>2022</v>
      </c>
      <c r="E15" s="4">
        <f>Hotel!Q20</f>
        <v>3140</v>
      </c>
      <c r="F15" s="4">
        <f>Hotel!R20</f>
        <v>14680</v>
      </c>
      <c r="G15" s="4">
        <f>Hotel!S20</f>
        <v>3870</v>
      </c>
      <c r="H15" s="4">
        <f>Hotel!T20</f>
        <v>1760</v>
      </c>
      <c r="I15" s="4">
        <f>Hotel!U20</f>
        <v>4250</v>
      </c>
      <c r="J15" s="4">
        <f>Hotel!V20</f>
        <v>4100</v>
      </c>
      <c r="K15" s="4">
        <f>Hotel!W20</f>
        <v>2820</v>
      </c>
      <c r="L15" s="4">
        <f>Hotel!X20</f>
        <v>4130</v>
      </c>
      <c r="M15" s="4">
        <f>Hotel!Y20</f>
        <v>5440</v>
      </c>
      <c r="N15" s="4">
        <f>Hotel!Z20</f>
        <v>2560</v>
      </c>
      <c r="O15" s="4">
        <f>Hotel!AA20</f>
        <v>2750</v>
      </c>
      <c r="P15" s="4">
        <f>Hotel!AB20</f>
        <v>7350</v>
      </c>
      <c r="Q15" s="4">
        <f>Hotel!AC20</f>
        <v>9100</v>
      </c>
      <c r="R15" s="4">
        <f>Hotel!AV20*0.00378541*100</f>
        <v>1254.863415</v>
      </c>
      <c r="S15" s="4">
        <f>Hotel!B20</f>
        <v>66</v>
      </c>
    </row>
    <row r="16" spans="1:19" x14ac:dyDescent="0.25">
      <c r="A16" s="21" t="s">
        <v>31</v>
      </c>
      <c r="B16" s="2">
        <f t="shared" si="0"/>
        <v>15</v>
      </c>
      <c r="C16" s="3">
        <v>8</v>
      </c>
      <c r="D16" s="11">
        <v>2022</v>
      </c>
      <c r="E16" s="4">
        <f>Hotel!Q21</f>
        <v>3900</v>
      </c>
      <c r="F16" s="4">
        <f>Hotel!R21</f>
        <v>15730</v>
      </c>
      <c r="G16" s="4">
        <f>Hotel!S21</f>
        <v>4040</v>
      </c>
      <c r="H16" s="4">
        <f>Hotel!T21</f>
        <v>1920</v>
      </c>
      <c r="I16" s="4">
        <f>Hotel!U21</f>
        <v>4450</v>
      </c>
      <c r="J16" s="4">
        <f>Hotel!V21</f>
        <v>4210</v>
      </c>
      <c r="K16" s="4">
        <f>Hotel!W21</f>
        <v>2910</v>
      </c>
      <c r="L16" s="4">
        <f>Hotel!X21</f>
        <v>4640</v>
      </c>
      <c r="M16" s="4">
        <f>Hotel!Y21</f>
        <v>5870</v>
      </c>
      <c r="N16" s="4">
        <f>Hotel!Z21</f>
        <v>2650</v>
      </c>
      <c r="O16" s="4">
        <f>Hotel!AA21</f>
        <v>2810</v>
      </c>
      <c r="P16" s="4">
        <f>Hotel!AB21</f>
        <v>7880</v>
      </c>
      <c r="Q16" s="4">
        <f>Hotel!AC21</f>
        <v>9280</v>
      </c>
      <c r="R16" s="4">
        <f>Hotel!AV21*0.00378541*100</f>
        <v>766.92406600000004</v>
      </c>
      <c r="S16" s="4">
        <f>Hotel!B21</f>
        <v>65</v>
      </c>
    </row>
    <row r="17" spans="1:19" x14ac:dyDescent="0.25">
      <c r="A17" s="21" t="s">
        <v>31</v>
      </c>
      <c r="B17" s="2">
        <f t="shared" si="0"/>
        <v>16</v>
      </c>
      <c r="C17" s="3">
        <v>8</v>
      </c>
      <c r="D17" s="11">
        <v>2022</v>
      </c>
      <c r="E17" s="4">
        <f>Hotel!Q22</f>
        <v>910</v>
      </c>
      <c r="F17" s="4">
        <f>Hotel!R22</f>
        <v>13280</v>
      </c>
      <c r="G17" s="4">
        <f>Hotel!S22</f>
        <v>3560</v>
      </c>
      <c r="H17" s="4">
        <f>Hotel!T22</f>
        <v>1620</v>
      </c>
      <c r="I17" s="4">
        <f>Hotel!U22</f>
        <v>3950</v>
      </c>
      <c r="J17" s="4">
        <f>Hotel!V22</f>
        <v>3640</v>
      </c>
      <c r="K17" s="4">
        <f>Hotel!W22</f>
        <v>2540</v>
      </c>
      <c r="L17" s="4">
        <f>Hotel!X22</f>
        <v>4240</v>
      </c>
      <c r="M17" s="4">
        <f>Hotel!Y22</f>
        <v>5100</v>
      </c>
      <c r="N17" s="4">
        <f>Hotel!Z22</f>
        <v>2340</v>
      </c>
      <c r="O17" s="4">
        <f>Hotel!AA22</f>
        <v>2600</v>
      </c>
      <c r="P17" s="4">
        <f>Hotel!AB22</f>
        <v>6810</v>
      </c>
      <c r="Q17" s="4">
        <f>Hotel!AC22</f>
        <v>8670</v>
      </c>
      <c r="R17" s="4">
        <f>Hotel!AV22*0.00378541*100</f>
        <v>819.16272399999991</v>
      </c>
      <c r="S17" s="4">
        <f>Hotel!B22</f>
        <v>98</v>
      </c>
    </row>
    <row r="18" spans="1:19" x14ac:dyDescent="0.25">
      <c r="A18" s="21" t="s">
        <v>31</v>
      </c>
      <c r="B18" s="2">
        <f t="shared" si="0"/>
        <v>17</v>
      </c>
      <c r="C18" s="3">
        <v>8</v>
      </c>
      <c r="D18" s="11">
        <v>2022</v>
      </c>
      <c r="E18" s="4">
        <f>Hotel!Q23</f>
        <v>990</v>
      </c>
      <c r="F18" s="4">
        <f>Hotel!R23</f>
        <v>14360</v>
      </c>
      <c r="G18" s="4">
        <f>Hotel!S23</f>
        <v>3860</v>
      </c>
      <c r="H18" s="4">
        <f>Hotel!T23</f>
        <v>1760</v>
      </c>
      <c r="I18" s="4">
        <f>Hotel!U23</f>
        <v>4360</v>
      </c>
      <c r="J18" s="4">
        <f>Hotel!V23</f>
        <v>3970</v>
      </c>
      <c r="K18" s="4">
        <f>Hotel!W23</f>
        <v>2840</v>
      </c>
      <c r="L18" s="4">
        <f>Hotel!X23</f>
        <v>4520</v>
      </c>
      <c r="M18" s="4">
        <f>Hotel!Y23</f>
        <v>5670</v>
      </c>
      <c r="N18" s="4">
        <f>Hotel!Z23</f>
        <v>2630</v>
      </c>
      <c r="O18" s="4">
        <f>Hotel!AA23</f>
        <v>2900</v>
      </c>
      <c r="P18" s="4">
        <f>Hotel!AB23</f>
        <v>6990</v>
      </c>
      <c r="Q18" s="4">
        <f>Hotel!AC23</f>
        <v>11060</v>
      </c>
      <c r="R18" s="4">
        <f>Hotel!AV23*0.00378541*100</f>
        <v>1000.483863</v>
      </c>
      <c r="S18" s="4">
        <f>Hotel!B23</f>
        <v>94</v>
      </c>
    </row>
    <row r="19" spans="1:19" x14ac:dyDescent="0.25">
      <c r="A19" s="21" t="s">
        <v>31</v>
      </c>
      <c r="B19" s="2">
        <f t="shared" si="0"/>
        <v>18</v>
      </c>
      <c r="C19" s="3">
        <v>8</v>
      </c>
      <c r="D19" s="11">
        <v>2022</v>
      </c>
      <c r="E19" s="4">
        <f>Hotel!Q24</f>
        <v>2870</v>
      </c>
      <c r="F19" s="4">
        <f>Hotel!R24</f>
        <v>14470</v>
      </c>
      <c r="G19" s="4">
        <f>Hotel!S24</f>
        <v>3790</v>
      </c>
      <c r="H19" s="4">
        <f>Hotel!T24</f>
        <v>1750</v>
      </c>
      <c r="I19" s="4">
        <f>Hotel!U24</f>
        <v>4190</v>
      </c>
      <c r="J19" s="4">
        <f>Hotel!V24</f>
        <v>4250</v>
      </c>
      <c r="K19" s="4">
        <f>Hotel!W24</f>
        <v>3010</v>
      </c>
      <c r="L19" s="4">
        <f>Hotel!X24</f>
        <v>4360</v>
      </c>
      <c r="M19" s="4">
        <f>Hotel!Y24</f>
        <v>5600</v>
      </c>
      <c r="N19" s="4">
        <f>Hotel!Z24</f>
        <v>2610</v>
      </c>
      <c r="O19" s="4">
        <f>Hotel!AA24</f>
        <v>2880</v>
      </c>
      <c r="P19" s="4">
        <f>Hotel!AB24</f>
        <v>7030</v>
      </c>
      <c r="Q19" s="4">
        <f>Hotel!AC24</f>
        <v>9630</v>
      </c>
      <c r="R19" s="4">
        <f>Hotel!AV24*0.00378541*100</f>
        <v>933.86064699999997</v>
      </c>
      <c r="S19" s="4">
        <f>Hotel!B24</f>
        <v>113</v>
      </c>
    </row>
    <row r="20" spans="1:19" x14ac:dyDescent="0.25">
      <c r="A20" s="21" t="s">
        <v>31</v>
      </c>
      <c r="B20" s="2">
        <f t="shared" si="0"/>
        <v>19</v>
      </c>
      <c r="C20" s="3">
        <v>8</v>
      </c>
      <c r="D20" s="11">
        <v>2022</v>
      </c>
      <c r="E20" s="4">
        <f>Hotel!Q25</f>
        <v>7830</v>
      </c>
      <c r="F20" s="4">
        <f>Hotel!R25</f>
        <v>15370</v>
      </c>
      <c r="G20" s="4">
        <f>Hotel!S25</f>
        <v>3930</v>
      </c>
      <c r="H20" s="4">
        <f>Hotel!T25</f>
        <v>1740</v>
      </c>
      <c r="I20" s="4">
        <f>Hotel!U25</f>
        <v>4290</v>
      </c>
      <c r="J20" s="4">
        <f>Hotel!V25</f>
        <v>4070</v>
      </c>
      <c r="K20" s="4">
        <f>Hotel!W25</f>
        <v>3080</v>
      </c>
      <c r="L20" s="4">
        <f>Hotel!X25</f>
        <v>4300</v>
      </c>
      <c r="M20" s="4">
        <f>Hotel!Y25</f>
        <v>5710</v>
      </c>
      <c r="N20" s="4">
        <f>Hotel!Z25</f>
        <v>2740</v>
      </c>
      <c r="O20" s="4">
        <f>Hotel!AA25</f>
        <v>2840</v>
      </c>
      <c r="P20" s="4">
        <f>Hotel!AB25</f>
        <v>7000</v>
      </c>
      <c r="Q20" s="4">
        <f>Hotel!AC25</f>
        <v>8560</v>
      </c>
      <c r="R20" s="4">
        <f>Hotel!AV25*0.00378541*100</f>
        <v>540.17800699999998</v>
      </c>
      <c r="S20" s="4">
        <f>Hotel!B25</f>
        <v>122</v>
      </c>
    </row>
    <row r="21" spans="1:19" x14ac:dyDescent="0.25">
      <c r="A21" s="21" t="s">
        <v>31</v>
      </c>
      <c r="B21" s="2">
        <f t="shared" si="0"/>
        <v>20</v>
      </c>
      <c r="C21" s="3">
        <v>8</v>
      </c>
      <c r="D21" s="11">
        <v>2022</v>
      </c>
      <c r="E21" s="4">
        <f>Hotel!Q26</f>
        <v>1100</v>
      </c>
      <c r="F21" s="4">
        <f>Hotel!R26</f>
        <v>14230</v>
      </c>
      <c r="G21" s="4">
        <f>Hotel!S26</f>
        <v>3790</v>
      </c>
      <c r="H21" s="4">
        <f>Hotel!T26</f>
        <v>1740</v>
      </c>
      <c r="I21" s="4">
        <f>Hotel!U26</f>
        <v>4470</v>
      </c>
      <c r="J21" s="4">
        <f>Hotel!V26</f>
        <v>4270</v>
      </c>
      <c r="K21" s="4">
        <f>Hotel!W26</f>
        <v>2820</v>
      </c>
      <c r="L21" s="4">
        <f>Hotel!X26</f>
        <v>4470</v>
      </c>
      <c r="M21" s="4">
        <f>Hotel!Y26</f>
        <v>5740</v>
      </c>
      <c r="N21" s="4">
        <f>Hotel!Z26</f>
        <v>2700</v>
      </c>
      <c r="O21" s="4">
        <f>Hotel!AA26</f>
        <v>2940</v>
      </c>
      <c r="P21" s="4">
        <f>Hotel!AB26</f>
        <v>6800</v>
      </c>
      <c r="Q21" s="4">
        <f>Hotel!AC26</f>
        <v>9000</v>
      </c>
      <c r="R21" s="4">
        <f>Hotel!AV26*0.00378541*100</f>
        <v>1011.0830110000001</v>
      </c>
      <c r="S21" s="4">
        <f>Hotel!B26</f>
        <v>62</v>
      </c>
    </row>
    <row r="22" spans="1:19" x14ac:dyDescent="0.25">
      <c r="A22" s="21" t="s">
        <v>31</v>
      </c>
      <c r="B22" s="2">
        <f t="shared" si="0"/>
        <v>21</v>
      </c>
      <c r="C22" s="3">
        <v>8</v>
      </c>
      <c r="D22" s="11">
        <v>2022</v>
      </c>
      <c r="E22" s="4">
        <f>Hotel!Q27</f>
        <v>980</v>
      </c>
      <c r="F22" s="4">
        <f>Hotel!R27</f>
        <v>14970</v>
      </c>
      <c r="G22" s="4">
        <f>Hotel!S27</f>
        <v>4080</v>
      </c>
      <c r="H22" s="4">
        <f>Hotel!T27</f>
        <v>1750</v>
      </c>
      <c r="I22" s="4">
        <f>Hotel!U27</f>
        <v>4270</v>
      </c>
      <c r="J22" s="4">
        <f>Hotel!V27</f>
        <v>4210</v>
      </c>
      <c r="K22" s="4">
        <f>Hotel!W27</f>
        <v>2790</v>
      </c>
      <c r="L22" s="4">
        <f>Hotel!X27</f>
        <v>4200</v>
      </c>
      <c r="M22" s="4">
        <f>Hotel!Y27</f>
        <v>5620</v>
      </c>
      <c r="N22" s="4">
        <f>Hotel!Z27</f>
        <v>2600</v>
      </c>
      <c r="O22" s="4">
        <f>Hotel!AA27</f>
        <v>2880</v>
      </c>
      <c r="P22" s="4">
        <f>Hotel!AB27</f>
        <v>6980</v>
      </c>
      <c r="Q22" s="4">
        <f>Hotel!AC27</f>
        <v>9000</v>
      </c>
      <c r="R22" s="4">
        <f>Hotel!AV27*0.00378541*100</f>
        <v>942.94563099999993</v>
      </c>
      <c r="S22" s="4">
        <f>Hotel!B27</f>
        <v>78</v>
      </c>
    </row>
    <row r="23" spans="1:19" x14ac:dyDescent="0.25">
      <c r="A23" s="21" t="s">
        <v>31</v>
      </c>
      <c r="B23" s="2">
        <f t="shared" si="0"/>
        <v>22</v>
      </c>
      <c r="C23" s="3">
        <v>8</v>
      </c>
      <c r="D23" s="11">
        <v>2022</v>
      </c>
      <c r="E23" s="4">
        <f>Hotel!Q28</f>
        <v>980</v>
      </c>
      <c r="F23" s="4">
        <f>Hotel!R28</f>
        <v>14880</v>
      </c>
      <c r="G23" s="4">
        <f>Hotel!S28</f>
        <v>4030</v>
      </c>
      <c r="H23" s="4">
        <f>Hotel!T28</f>
        <v>1750</v>
      </c>
      <c r="I23" s="4">
        <f>Hotel!U28</f>
        <v>4190</v>
      </c>
      <c r="J23" s="4">
        <f>Hotel!V28</f>
        <v>4080</v>
      </c>
      <c r="K23" s="4">
        <f>Hotel!W28</f>
        <v>2750</v>
      </c>
      <c r="L23" s="4">
        <f>Hotel!X28</f>
        <v>4310</v>
      </c>
      <c r="M23" s="4">
        <f>Hotel!Y28</f>
        <v>5590</v>
      </c>
      <c r="N23" s="4">
        <f>Hotel!Z28</f>
        <v>2590</v>
      </c>
      <c r="O23" s="4">
        <f>Hotel!AA28</f>
        <v>2770</v>
      </c>
      <c r="P23" s="4">
        <f>Hotel!AB28</f>
        <v>6880</v>
      </c>
      <c r="Q23" s="4">
        <f>Hotel!AC28</f>
        <v>9590</v>
      </c>
      <c r="R23" s="4">
        <f>Hotel!AV28*0.00378541*100</f>
        <v>783.95841099999996</v>
      </c>
      <c r="S23" s="4">
        <f>Hotel!B28</f>
        <v>64</v>
      </c>
    </row>
    <row r="24" spans="1:19" x14ac:dyDescent="0.25">
      <c r="A24" s="21" t="s">
        <v>31</v>
      </c>
      <c r="B24" s="2">
        <f t="shared" si="0"/>
        <v>23</v>
      </c>
      <c r="C24" s="3">
        <v>8</v>
      </c>
      <c r="D24" s="11">
        <v>2022</v>
      </c>
      <c r="E24" s="4">
        <f>Hotel!Q29</f>
        <v>980</v>
      </c>
      <c r="F24" s="4">
        <f>Hotel!R29</f>
        <v>14510</v>
      </c>
      <c r="G24" s="4">
        <f>Hotel!S29</f>
        <v>3880</v>
      </c>
      <c r="H24" s="4">
        <f>Hotel!T29</f>
        <v>1750</v>
      </c>
      <c r="I24" s="4">
        <f>Hotel!U29</f>
        <v>4130</v>
      </c>
      <c r="J24" s="4">
        <f>Hotel!V29</f>
        <v>4040</v>
      </c>
      <c r="K24" s="4">
        <f>Hotel!W29</f>
        <v>2900</v>
      </c>
      <c r="L24" s="4">
        <f>Hotel!X29</f>
        <v>4480</v>
      </c>
      <c r="M24" s="4">
        <f>Hotel!Y29</f>
        <v>5590</v>
      </c>
      <c r="N24" s="4">
        <f>Hotel!Z29</f>
        <v>2630</v>
      </c>
      <c r="O24" s="4">
        <f>Hotel!AA29</f>
        <v>2860</v>
      </c>
      <c r="P24" s="4">
        <f>Hotel!AB29</f>
        <v>6980</v>
      </c>
      <c r="Q24" s="4">
        <f>Hotel!AC29</f>
        <v>10700</v>
      </c>
      <c r="R24" s="4">
        <f>Hotel!AV29*0.00378541*100</f>
        <v>975.50015699999994</v>
      </c>
      <c r="S24" s="4">
        <f>Hotel!B29</f>
        <v>75</v>
      </c>
    </row>
    <row r="25" spans="1:19" x14ac:dyDescent="0.25">
      <c r="A25" s="21" t="s">
        <v>31</v>
      </c>
      <c r="B25" s="2">
        <f t="shared" si="0"/>
        <v>24</v>
      </c>
      <c r="C25" s="3">
        <v>8</v>
      </c>
      <c r="D25" s="11">
        <v>2022</v>
      </c>
      <c r="E25" s="4">
        <f>Hotel!Q30</f>
        <v>890</v>
      </c>
      <c r="F25" s="4">
        <f>Hotel!R30</f>
        <v>14030</v>
      </c>
      <c r="G25" s="4">
        <f>Hotel!S30</f>
        <v>3720</v>
      </c>
      <c r="H25" s="4">
        <f>Hotel!T30</f>
        <v>1730</v>
      </c>
      <c r="I25" s="4">
        <f>Hotel!U30</f>
        <v>4140</v>
      </c>
      <c r="J25" s="4">
        <f>Hotel!V30</f>
        <v>3990</v>
      </c>
      <c r="K25" s="4">
        <f>Hotel!W30</f>
        <v>2950</v>
      </c>
      <c r="L25" s="4">
        <f>Hotel!X30</f>
        <v>4570</v>
      </c>
      <c r="M25" s="4">
        <f>Hotel!Y30</f>
        <v>5620</v>
      </c>
      <c r="N25" s="4">
        <f>Hotel!Z30</f>
        <v>2570</v>
      </c>
      <c r="O25" s="4">
        <f>Hotel!AA30</f>
        <v>2790</v>
      </c>
      <c r="P25" s="4">
        <f>Hotel!AB30</f>
        <v>6700</v>
      </c>
      <c r="Q25" s="4">
        <f>Hotel!AC30</f>
        <v>10480</v>
      </c>
      <c r="R25" s="4">
        <f>Hotel!AV30*0.00378541*100</f>
        <v>1291.2033510000001</v>
      </c>
      <c r="S25" s="4">
        <f>Hotel!B30</f>
        <v>71</v>
      </c>
    </row>
    <row r="26" spans="1:19" x14ac:dyDescent="0.25">
      <c r="A26" s="21" t="s">
        <v>31</v>
      </c>
      <c r="B26" s="2">
        <f>B25+1</f>
        <v>25</v>
      </c>
      <c r="C26" s="3">
        <v>8</v>
      </c>
      <c r="D26" s="11">
        <v>2022</v>
      </c>
      <c r="E26" s="4">
        <f>Hotel!Q31</f>
        <v>1050</v>
      </c>
      <c r="F26" s="4">
        <f>Hotel!R31</f>
        <v>13960</v>
      </c>
      <c r="G26" s="4">
        <f>Hotel!S31</f>
        <v>3700</v>
      </c>
      <c r="H26" s="4">
        <f>Hotel!T31</f>
        <v>1710</v>
      </c>
      <c r="I26" s="4">
        <f>Hotel!U31</f>
        <v>4300</v>
      </c>
      <c r="J26" s="4">
        <f>Hotel!V31</f>
        <v>3930</v>
      </c>
      <c r="K26" s="4">
        <f>Hotel!W31</f>
        <v>3010</v>
      </c>
      <c r="L26" s="4">
        <f>Hotel!X31</f>
        <v>4490</v>
      </c>
      <c r="M26" s="4">
        <f>Hotel!Y31</f>
        <v>5570</v>
      </c>
      <c r="N26" s="4">
        <f>Hotel!Z31</f>
        <v>2520</v>
      </c>
      <c r="O26" s="4">
        <f>Hotel!AA31</f>
        <v>2770</v>
      </c>
      <c r="P26" s="4">
        <f>Hotel!AB31</f>
        <v>6800</v>
      </c>
      <c r="Q26" s="4">
        <f>Hotel!AC31</f>
        <v>10070</v>
      </c>
      <c r="R26" s="4">
        <f>Hotel!AV31*0.00378541*100</f>
        <v>836.19706899999994</v>
      </c>
      <c r="S26" s="4">
        <f>Hotel!B31</f>
        <v>99</v>
      </c>
    </row>
    <row r="27" spans="1:19" x14ac:dyDescent="0.25">
      <c r="A27" s="21" t="s">
        <v>31</v>
      </c>
      <c r="B27" s="2">
        <f t="shared" si="0"/>
        <v>26</v>
      </c>
      <c r="C27" s="3">
        <v>8</v>
      </c>
      <c r="D27" s="11">
        <v>2022</v>
      </c>
      <c r="E27" s="4">
        <f>Hotel!Q32</f>
        <v>970</v>
      </c>
      <c r="F27" s="4">
        <f>Hotel!R32</f>
        <v>14050</v>
      </c>
      <c r="G27" s="4">
        <f>Hotel!S32</f>
        <v>3710</v>
      </c>
      <c r="H27" s="4">
        <f>Hotel!T32</f>
        <v>1710</v>
      </c>
      <c r="I27" s="4">
        <f>Hotel!U32</f>
        <v>4600</v>
      </c>
      <c r="J27" s="4">
        <f>Hotel!V32</f>
        <v>4090</v>
      </c>
      <c r="K27" s="4">
        <f>Hotel!W32</f>
        <v>3190</v>
      </c>
      <c r="L27" s="4">
        <f>Hotel!X32</f>
        <v>4540</v>
      </c>
      <c r="M27" s="4">
        <f>Hotel!Y32</f>
        <v>5770</v>
      </c>
      <c r="N27" s="4">
        <f>Hotel!Z32</f>
        <v>2650</v>
      </c>
      <c r="O27" s="4">
        <f>Hotel!AA32</f>
        <v>2960</v>
      </c>
      <c r="P27" s="4">
        <f>Hotel!AB32</f>
        <v>6910</v>
      </c>
      <c r="Q27" s="4">
        <f>Hotel!AC32</f>
        <v>10770</v>
      </c>
      <c r="R27" s="4">
        <f>Hotel!AV32*0.00378541*100</f>
        <v>805.15670699999987</v>
      </c>
      <c r="S27" s="4">
        <f>Hotel!B32</f>
        <v>116</v>
      </c>
    </row>
    <row r="28" spans="1:19" x14ac:dyDescent="0.25">
      <c r="A28" s="21" t="s">
        <v>31</v>
      </c>
      <c r="B28" s="2">
        <f t="shared" si="0"/>
        <v>27</v>
      </c>
      <c r="C28" s="3">
        <v>8</v>
      </c>
      <c r="D28" s="11">
        <v>2022</v>
      </c>
      <c r="E28" s="4">
        <f>Hotel!Q33</f>
        <v>970</v>
      </c>
      <c r="F28" s="4">
        <f>Hotel!R33</f>
        <v>14210</v>
      </c>
      <c r="G28" s="4">
        <f>Hotel!S33</f>
        <v>3790</v>
      </c>
      <c r="H28" s="4">
        <f>Hotel!T33</f>
        <v>1720</v>
      </c>
      <c r="I28" s="4">
        <f>Hotel!U33</f>
        <v>4430</v>
      </c>
      <c r="J28" s="4">
        <f>Hotel!V33</f>
        <v>4210</v>
      </c>
      <c r="K28" s="4">
        <f>Hotel!W33</f>
        <v>3310</v>
      </c>
      <c r="L28" s="4">
        <f>Hotel!X33</f>
        <v>4460</v>
      </c>
      <c r="M28" s="4">
        <f>Hotel!Y33</f>
        <v>5740</v>
      </c>
      <c r="N28" s="4">
        <f>Hotel!Z33</f>
        <v>2540</v>
      </c>
      <c r="O28" s="4">
        <f>Hotel!AA33</f>
        <v>2950</v>
      </c>
      <c r="P28" s="4">
        <f>Hotel!AB33</f>
        <v>6940</v>
      </c>
      <c r="Q28" s="4">
        <f>Hotel!AC33</f>
        <v>9260</v>
      </c>
      <c r="R28" s="4">
        <f>Hotel!AV33*0.00378541*100</f>
        <v>821.05542899999989</v>
      </c>
      <c r="S28" s="4">
        <f>Hotel!B33</f>
        <v>53</v>
      </c>
    </row>
    <row r="29" spans="1:19" x14ac:dyDescent="0.25">
      <c r="A29" s="21" t="s">
        <v>31</v>
      </c>
      <c r="B29" s="2">
        <f t="shared" si="0"/>
        <v>28</v>
      </c>
      <c r="C29" s="3">
        <v>8</v>
      </c>
      <c r="D29" s="11">
        <v>2022</v>
      </c>
      <c r="E29" s="4">
        <f>Hotel!Q34</f>
        <v>980</v>
      </c>
      <c r="F29" s="4">
        <f>Hotel!R34</f>
        <v>14850</v>
      </c>
      <c r="G29" s="4">
        <f>Hotel!S34</f>
        <v>4030</v>
      </c>
      <c r="H29" s="4">
        <f>Hotel!T34</f>
        <v>1750</v>
      </c>
      <c r="I29" s="4">
        <f>Hotel!U34</f>
        <v>4300</v>
      </c>
      <c r="J29" s="4">
        <f>Hotel!V34</f>
        <v>4170</v>
      </c>
      <c r="K29" s="4">
        <f>Hotel!W34</f>
        <v>2870</v>
      </c>
      <c r="L29" s="4">
        <f>Hotel!X34</f>
        <v>4050</v>
      </c>
      <c r="M29" s="4">
        <f>Hotel!Y34</f>
        <v>5620</v>
      </c>
      <c r="N29" s="4">
        <f>Hotel!Z34</f>
        <v>2520</v>
      </c>
      <c r="O29" s="4">
        <f>Hotel!AA34</f>
        <v>2780</v>
      </c>
      <c r="P29" s="4">
        <f>Hotel!AB34</f>
        <v>6870</v>
      </c>
      <c r="Q29" s="4">
        <f>Hotel!AC34</f>
        <v>9260</v>
      </c>
      <c r="R29" s="4">
        <f>Hotel!AV34*0.00378541*100</f>
        <v>898.65633400000002</v>
      </c>
      <c r="S29" s="4">
        <f>Hotel!B34</f>
        <v>57</v>
      </c>
    </row>
    <row r="30" spans="1:19" x14ac:dyDescent="0.25">
      <c r="A30" s="21" t="s">
        <v>31</v>
      </c>
      <c r="B30" s="2">
        <f>B29+1</f>
        <v>29</v>
      </c>
      <c r="C30" s="3">
        <v>8</v>
      </c>
      <c r="D30" s="11">
        <v>2022</v>
      </c>
      <c r="E30" s="4">
        <f>Hotel!Q35</f>
        <v>1550</v>
      </c>
      <c r="F30" s="4">
        <f>Hotel!R35</f>
        <v>14940</v>
      </c>
      <c r="G30" s="4">
        <f>Hotel!S35</f>
        <v>4010</v>
      </c>
      <c r="H30" s="4">
        <f>Hotel!T35</f>
        <v>1740</v>
      </c>
      <c r="I30" s="4">
        <f>Hotel!U35</f>
        <v>4350</v>
      </c>
      <c r="J30" s="4">
        <f>Hotel!V35</f>
        <v>4150</v>
      </c>
      <c r="K30" s="4">
        <f>Hotel!W35</f>
        <v>2920</v>
      </c>
      <c r="L30" s="4">
        <f>Hotel!X35</f>
        <v>4360</v>
      </c>
      <c r="M30" s="4">
        <f>Hotel!Y35</f>
        <v>5530</v>
      </c>
      <c r="N30" s="4">
        <f>Hotel!Z35</f>
        <v>2610</v>
      </c>
      <c r="O30" s="4">
        <f>Hotel!AA35</f>
        <v>2660</v>
      </c>
      <c r="P30" s="4">
        <f>Hotel!AB35</f>
        <v>6860</v>
      </c>
      <c r="Q30" s="4">
        <f>Hotel!AC35</f>
        <v>9360</v>
      </c>
      <c r="R30" s="4">
        <f>Hotel!AV35*0.00378541*100</f>
        <v>927.803991</v>
      </c>
      <c r="S30" s="4">
        <f>Hotel!B35</f>
        <v>90</v>
      </c>
    </row>
    <row r="31" spans="1:19" x14ac:dyDescent="0.25">
      <c r="A31" s="21" t="s">
        <v>31</v>
      </c>
      <c r="B31" s="2">
        <f>B30+1</f>
        <v>30</v>
      </c>
      <c r="C31" s="3">
        <v>8</v>
      </c>
      <c r="D31" s="11">
        <v>2022</v>
      </c>
      <c r="E31" s="4">
        <f>Hotel!Q36</f>
        <v>3110</v>
      </c>
      <c r="F31" s="4">
        <f>Hotel!R36</f>
        <v>14920</v>
      </c>
      <c r="G31" s="4">
        <f>Hotel!S36</f>
        <v>3900</v>
      </c>
      <c r="H31" s="4">
        <f>Hotel!T36</f>
        <v>1730</v>
      </c>
      <c r="I31" s="4">
        <f>Hotel!U36</f>
        <v>4380</v>
      </c>
      <c r="J31" s="4">
        <f>Hotel!V36</f>
        <v>4140</v>
      </c>
      <c r="K31" s="4">
        <f>Hotel!W36</f>
        <v>2930</v>
      </c>
      <c r="L31" s="4">
        <f>Hotel!X36</f>
        <v>4430</v>
      </c>
      <c r="M31" s="4">
        <f>Hotel!Y36</f>
        <v>5600</v>
      </c>
      <c r="N31" s="4">
        <f>Hotel!Z36</f>
        <v>2550</v>
      </c>
      <c r="O31" s="4">
        <f>Hotel!AA36</f>
        <v>2730</v>
      </c>
      <c r="P31" s="4">
        <f>Hotel!AB36</f>
        <v>6910</v>
      </c>
      <c r="Q31" s="4">
        <f>Hotel!AC36</f>
        <v>9330</v>
      </c>
      <c r="R31" s="4">
        <f>Hotel!AV36*0.00378541*100</f>
        <v>989.88471500000003</v>
      </c>
      <c r="S31" s="4">
        <f>Hotel!B36</f>
        <v>87</v>
      </c>
    </row>
    <row r="32" spans="1:19" x14ac:dyDescent="0.25">
      <c r="A32" s="21" t="s">
        <v>31</v>
      </c>
      <c r="B32" s="2">
        <f>B31+1</f>
        <v>31</v>
      </c>
      <c r="C32" s="3">
        <v>8</v>
      </c>
      <c r="D32" s="11">
        <v>2022</v>
      </c>
      <c r="E32" s="4">
        <f>Hotel!Q37</f>
        <v>5440</v>
      </c>
      <c r="F32" s="4">
        <f>Hotel!R37</f>
        <v>15500</v>
      </c>
      <c r="G32" s="4">
        <f>Hotel!S37</f>
        <v>4080</v>
      </c>
      <c r="H32" s="4">
        <f>Hotel!T37</f>
        <v>1740</v>
      </c>
      <c r="I32" s="4">
        <f>Hotel!U37</f>
        <v>4250</v>
      </c>
      <c r="J32" s="4">
        <f>Hotel!V37</f>
        <v>4190</v>
      </c>
      <c r="K32" s="4">
        <f>Hotel!W37</f>
        <v>3130</v>
      </c>
      <c r="L32" s="4">
        <f>Hotel!X37</f>
        <v>4400</v>
      </c>
      <c r="M32" s="4">
        <f>Hotel!Y37</f>
        <v>5820</v>
      </c>
      <c r="N32" s="4">
        <f>Hotel!Z37</f>
        <v>2450</v>
      </c>
      <c r="O32" s="4">
        <f>Hotel!AA37</f>
        <v>2770</v>
      </c>
      <c r="P32" s="4">
        <f>Hotel!AB37</f>
        <v>7070</v>
      </c>
      <c r="Q32" s="4">
        <f>Hotel!AC37</f>
        <v>9110</v>
      </c>
      <c r="R32" s="4">
        <f>Hotel!AV37*0.00378541*100</f>
        <v>1000.8624039999999</v>
      </c>
      <c r="S32" s="4">
        <f>Hotel!B37</f>
        <v>105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G16" zoomScale="93" zoomScaleNormal="93" workbookViewId="0">
      <selection activeCell="AB47" sqref="AB4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11.4257812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44773</v>
      </c>
      <c r="B2" s="40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105656</v>
      </c>
    </row>
    <row r="3" spans="1:50" x14ac:dyDescent="0.25">
      <c r="C3" s="55">
        <v>8308540</v>
      </c>
      <c r="D3" s="55">
        <v>19716750</v>
      </c>
      <c r="E3" s="55">
        <v>3408090</v>
      </c>
      <c r="F3" s="55">
        <v>4176420</v>
      </c>
      <c r="G3" s="55">
        <v>12342670</v>
      </c>
      <c r="H3" s="55">
        <v>7162130</v>
      </c>
      <c r="I3" s="55">
        <v>6240950</v>
      </c>
      <c r="J3" s="55">
        <v>7728390</v>
      </c>
      <c r="K3" s="55">
        <v>11331960</v>
      </c>
      <c r="L3" s="55">
        <v>4924450</v>
      </c>
      <c r="M3" s="55">
        <v>9207000</v>
      </c>
      <c r="N3" s="56">
        <v>15023000</v>
      </c>
      <c r="O3" s="57" t="s">
        <v>50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70" t="s">
        <v>23</v>
      </c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Q4" s="72" t="s">
        <v>24</v>
      </c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4"/>
      <c r="AD4" s="28" t="s">
        <v>25</v>
      </c>
      <c r="AF4" s="75" t="s">
        <v>26</v>
      </c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29" t="s">
        <v>27</v>
      </c>
      <c r="AU4" s="66" t="s">
        <v>28</v>
      </c>
      <c r="AV4" s="67" t="s">
        <v>29</v>
      </c>
      <c r="AW4" s="67" t="s">
        <v>48</v>
      </c>
      <c r="AX4" s="69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6"/>
      <c r="AV5" s="68"/>
      <c r="AW5" s="68"/>
      <c r="AX5" s="69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6">
        <v>105656</v>
      </c>
    </row>
    <row r="7" spans="1:50" x14ac:dyDescent="0.25">
      <c r="A7" s="23">
        <v>44774</v>
      </c>
      <c r="B7" s="40">
        <v>62</v>
      </c>
      <c r="C7" s="24">
        <v>8317160</v>
      </c>
      <c r="D7" s="24">
        <v>19732070</v>
      </c>
      <c r="E7" s="24">
        <v>3410440</v>
      </c>
      <c r="F7" s="24">
        <v>4178060</v>
      </c>
      <c r="G7" s="24">
        <v>12346850</v>
      </c>
      <c r="H7" s="24">
        <v>7165910</v>
      </c>
      <c r="I7" s="24">
        <v>6243790</v>
      </c>
      <c r="J7" s="24">
        <v>7732620</v>
      </c>
      <c r="K7" s="24">
        <v>11336410</v>
      </c>
      <c r="L7" s="24">
        <v>4926940</v>
      </c>
      <c r="M7" s="24">
        <v>9209840</v>
      </c>
      <c r="N7" s="24">
        <v>15029560</v>
      </c>
      <c r="O7" s="24">
        <v>21031630</v>
      </c>
      <c r="Q7" s="37">
        <f>IF((C7-C3&lt;0), "0",C7-C3)</f>
        <v>8620</v>
      </c>
      <c r="R7" s="37">
        <f t="shared" ref="R7:AC7" si="0">IF((D7-D3&lt;0), "0",D7-D3)</f>
        <v>15320</v>
      </c>
      <c r="S7" s="37">
        <f t="shared" si="0"/>
        <v>2350</v>
      </c>
      <c r="T7" s="37">
        <f t="shared" si="0"/>
        <v>1640</v>
      </c>
      <c r="U7" s="37">
        <f t="shared" si="0"/>
        <v>4180</v>
      </c>
      <c r="V7" s="37">
        <f t="shared" si="0"/>
        <v>3780</v>
      </c>
      <c r="W7" s="37">
        <f t="shared" si="0"/>
        <v>2840</v>
      </c>
      <c r="X7" s="37">
        <f t="shared" si="0"/>
        <v>4230</v>
      </c>
      <c r="Y7" s="37">
        <f t="shared" si="0"/>
        <v>4450</v>
      </c>
      <c r="Z7" s="37">
        <f t="shared" si="0"/>
        <v>2490</v>
      </c>
      <c r="AA7" s="37">
        <f t="shared" si="0"/>
        <v>2840</v>
      </c>
      <c r="AB7" s="37">
        <f t="shared" si="0"/>
        <v>6560</v>
      </c>
      <c r="AC7" s="37">
        <f t="shared" si="0"/>
        <v>7510</v>
      </c>
      <c r="AD7" s="34">
        <f>SUM(Q7:AC7)</f>
        <v>66810</v>
      </c>
      <c r="AF7" s="20">
        <f t="shared" ref="AF7:AF36" si="1">Q7*$D$39</f>
        <v>43.1</v>
      </c>
      <c r="AG7" s="20">
        <f t="shared" ref="AG7:AG36" si="2">R7*$D$39</f>
        <v>76.600000000000009</v>
      </c>
      <c r="AH7" s="20">
        <f t="shared" ref="AH7:AH36" si="3">S7*$D$39</f>
        <v>11.75</v>
      </c>
      <c r="AI7" s="20">
        <f t="shared" ref="AI7:AI36" si="4">T7*$D$39</f>
        <v>8.1999999999999993</v>
      </c>
      <c r="AJ7" s="20">
        <f t="shared" ref="AJ7:AJ36" si="5">U7*$D$39</f>
        <v>20.900000000000002</v>
      </c>
      <c r="AK7" s="20">
        <f t="shared" ref="AK7:AK36" si="6">V7*$D$39</f>
        <v>18.900000000000002</v>
      </c>
      <c r="AL7" s="20">
        <f t="shared" ref="AL7:AL36" si="7">W7*$D$39</f>
        <v>14.200000000000001</v>
      </c>
      <c r="AM7" s="20">
        <f t="shared" ref="AM7:AM36" si="8">X7*$D$39</f>
        <v>21.150000000000002</v>
      </c>
      <c r="AN7" s="20">
        <f t="shared" ref="AN7:AN36" si="9">Y7*$D$39</f>
        <v>22.25</v>
      </c>
      <c r="AO7" s="20">
        <f t="shared" ref="AO7:AO36" si="10">Z7*$D$39</f>
        <v>12.450000000000001</v>
      </c>
      <c r="AP7" s="20">
        <f t="shared" ref="AP7:AP36" si="11">AA7*$D$39</f>
        <v>14.200000000000001</v>
      </c>
      <c r="AQ7" s="20">
        <f t="shared" ref="AQ7:AQ36" si="12">AB7*$D$39</f>
        <v>32.799999999999997</v>
      </c>
      <c r="AR7" s="20">
        <f t="shared" ref="AR7:AR36" si="13">AC7*$D$39</f>
        <v>37.550000000000004</v>
      </c>
      <c r="AS7" s="35">
        <f>SUM(AF7:AR7)</f>
        <v>334.05</v>
      </c>
      <c r="AU7" s="46">
        <v>107043</v>
      </c>
      <c r="AV7" s="37">
        <f>IF((AU7-AU6&lt;0),"0",AU7-AU6)</f>
        <v>1387</v>
      </c>
      <c r="AW7" s="37">
        <f>AV7*100*AV44</f>
        <v>525.03636700000004</v>
      </c>
      <c r="AX7" s="35">
        <f t="shared" ref="AX7:AX35" si="14">AV7*$D$40</f>
        <v>2.774</v>
      </c>
    </row>
    <row r="8" spans="1:50" x14ac:dyDescent="0.25">
      <c r="A8" s="23">
        <v>44775</v>
      </c>
      <c r="B8" s="40">
        <v>71</v>
      </c>
      <c r="C8" s="24">
        <v>8323970</v>
      </c>
      <c r="D8" s="24">
        <v>19748560</v>
      </c>
      <c r="E8" s="24">
        <v>3414780</v>
      </c>
      <c r="F8" s="24">
        <v>4179880</v>
      </c>
      <c r="G8" s="24">
        <v>12351220</v>
      </c>
      <c r="H8" s="24">
        <v>7169820</v>
      </c>
      <c r="I8" s="24">
        <v>6246640</v>
      </c>
      <c r="J8" s="24">
        <v>7736970</v>
      </c>
      <c r="K8" s="24">
        <v>11341290</v>
      </c>
      <c r="L8" s="24">
        <v>4929690</v>
      </c>
      <c r="M8" s="24">
        <v>9212650</v>
      </c>
      <c r="N8" s="24">
        <v>15036780</v>
      </c>
      <c r="O8" s="24">
        <v>21040080</v>
      </c>
      <c r="Q8" s="37">
        <f>IF((C8-C7&lt;0), "0",C8-C7)</f>
        <v>6810</v>
      </c>
      <c r="R8" s="37">
        <f t="shared" ref="R8:AC8" si="15">IF((D8-D7&lt;0), "0",D8-D7)</f>
        <v>16490</v>
      </c>
      <c r="S8" s="37">
        <f t="shared" ref="S8:S35" si="16">IF((E8-E7&lt;0), "0",E8-E7)</f>
        <v>4340</v>
      </c>
      <c r="T8" s="37">
        <f t="shared" si="15"/>
        <v>1820</v>
      </c>
      <c r="U8" s="37">
        <f t="shared" si="15"/>
        <v>4370</v>
      </c>
      <c r="V8" s="37">
        <f t="shared" si="15"/>
        <v>3910</v>
      </c>
      <c r="W8" s="37">
        <f t="shared" si="15"/>
        <v>2850</v>
      </c>
      <c r="X8" s="37">
        <f t="shared" si="15"/>
        <v>4350</v>
      </c>
      <c r="Y8" s="37">
        <f t="shared" si="15"/>
        <v>4880</v>
      </c>
      <c r="Z8" s="37">
        <f t="shared" si="15"/>
        <v>2750</v>
      </c>
      <c r="AA8" s="37">
        <f t="shared" si="15"/>
        <v>2810</v>
      </c>
      <c r="AB8" s="37">
        <f t="shared" si="15"/>
        <v>7220</v>
      </c>
      <c r="AC8" s="37">
        <f t="shared" si="15"/>
        <v>8450</v>
      </c>
      <c r="AD8" s="35">
        <f>SUM(Q8:AC8)</f>
        <v>71050</v>
      </c>
      <c r="AF8" s="20">
        <f t="shared" si="1"/>
        <v>34.049999999999997</v>
      </c>
      <c r="AG8" s="20">
        <f t="shared" si="2"/>
        <v>82.45</v>
      </c>
      <c r="AH8" s="20">
        <f t="shared" si="3"/>
        <v>21.7</v>
      </c>
      <c r="AI8" s="20">
        <f t="shared" si="4"/>
        <v>9.1</v>
      </c>
      <c r="AJ8" s="20">
        <f t="shared" si="5"/>
        <v>21.85</v>
      </c>
      <c r="AK8" s="20">
        <f t="shared" si="6"/>
        <v>19.55</v>
      </c>
      <c r="AL8" s="20">
        <f t="shared" si="7"/>
        <v>14.25</v>
      </c>
      <c r="AM8" s="20">
        <f t="shared" si="8"/>
        <v>21.75</v>
      </c>
      <c r="AN8" s="20">
        <f t="shared" si="9"/>
        <v>24.400000000000002</v>
      </c>
      <c r="AO8" s="20">
        <f t="shared" si="10"/>
        <v>13.75</v>
      </c>
      <c r="AP8" s="20">
        <f t="shared" si="11"/>
        <v>14.05</v>
      </c>
      <c r="AQ8" s="20">
        <f t="shared" si="12"/>
        <v>36.1</v>
      </c>
      <c r="AR8" s="20">
        <f t="shared" si="13"/>
        <v>42.25</v>
      </c>
      <c r="AS8" s="35">
        <f>SUM(AF8:AR8)</f>
        <v>355.25000000000006</v>
      </c>
      <c r="AU8" s="46">
        <v>108993</v>
      </c>
      <c r="AV8" s="37">
        <f>IF((AU8-AU7&lt;0),"0",AU8-AU7)</f>
        <v>1950</v>
      </c>
      <c r="AW8" s="37">
        <f>AV8*100*AV44</f>
        <v>738.15494999999999</v>
      </c>
      <c r="AX8" s="35">
        <f t="shared" si="14"/>
        <v>3.9</v>
      </c>
    </row>
    <row r="9" spans="1:50" x14ac:dyDescent="0.25">
      <c r="A9" s="23">
        <v>44776</v>
      </c>
      <c r="B9" s="40">
        <v>94</v>
      </c>
      <c r="C9" s="24">
        <v>8333030</v>
      </c>
      <c r="D9" s="24">
        <v>19766970</v>
      </c>
      <c r="E9" s="24">
        <v>3418680</v>
      </c>
      <c r="F9" s="24">
        <v>4181610</v>
      </c>
      <c r="G9" s="24">
        <v>12355450</v>
      </c>
      <c r="H9" s="24">
        <v>7173630</v>
      </c>
      <c r="I9" s="24">
        <v>6249440</v>
      </c>
      <c r="J9" s="24">
        <v>7741130</v>
      </c>
      <c r="K9" s="24">
        <v>11346230</v>
      </c>
      <c r="L9" s="24">
        <v>4932270</v>
      </c>
      <c r="M9" s="24">
        <v>9215300</v>
      </c>
      <c r="N9" s="24">
        <v>15043830</v>
      </c>
      <c r="O9" s="24">
        <v>21047880</v>
      </c>
      <c r="Q9" s="37">
        <f t="shared" ref="Q9:Q30" si="17">IF((C9-C8&lt;0), "0",C9-C8)</f>
        <v>9060</v>
      </c>
      <c r="R9" s="37">
        <f t="shared" ref="R9:R37" si="18">IF((D9-D8&lt;0), "0",D9-D8)</f>
        <v>18410</v>
      </c>
      <c r="S9" s="37">
        <f t="shared" si="16"/>
        <v>3900</v>
      </c>
      <c r="T9" s="37">
        <f t="shared" ref="T9:T35" si="19">IF((F9-F8&lt;0), "0",F9-F8)</f>
        <v>1730</v>
      </c>
      <c r="U9" s="37">
        <f t="shared" ref="U9:U35" si="20">IF((G9-G8&lt;0), "0",G9-G8)</f>
        <v>4230</v>
      </c>
      <c r="V9" s="37">
        <f t="shared" ref="V9:V35" si="21">IF((H9-H8&lt;0), "0",H9-H8)</f>
        <v>3810</v>
      </c>
      <c r="W9" s="37">
        <f t="shared" ref="W9:W35" si="22">IF((I9-I8&lt;0), "0",I9-I8)</f>
        <v>2800</v>
      </c>
      <c r="X9" s="37">
        <f t="shared" ref="X9:X37" si="23">IF((J9-J8&lt;0), "0",J9-J8)</f>
        <v>4160</v>
      </c>
      <c r="Y9" s="37">
        <f t="shared" ref="Y9:Y35" si="24">IF((K9-K8&lt;0), "0",K9-K8)</f>
        <v>4940</v>
      </c>
      <c r="Z9" s="37">
        <f t="shared" ref="Z9:Z35" si="25">IF((L9-L8&lt;0), "0",L9-L8)</f>
        <v>2580</v>
      </c>
      <c r="AA9" s="37">
        <f t="shared" ref="AA9:AA35" si="26">IF((M9-M8&lt;0), "0",M9-M8)</f>
        <v>2650</v>
      </c>
      <c r="AB9" s="37">
        <f t="shared" ref="AB9:AB37" si="27">IF((N9-N8&lt;0), "0",N9-N8)</f>
        <v>7050</v>
      </c>
      <c r="AC9" s="37">
        <f t="shared" ref="AC9:AC37" si="28">IF((O9-O8&lt;0), "0",O9-O8)</f>
        <v>7800</v>
      </c>
      <c r="AD9" s="35">
        <f t="shared" ref="AD9:AD37" si="29">SUM(Q9:AC9)</f>
        <v>73120</v>
      </c>
      <c r="AF9" s="20">
        <f t="shared" si="1"/>
        <v>45.300000000000004</v>
      </c>
      <c r="AG9" s="20">
        <f t="shared" si="2"/>
        <v>92.05</v>
      </c>
      <c r="AH9" s="20">
        <f t="shared" si="3"/>
        <v>19.5</v>
      </c>
      <c r="AI9" s="20">
        <f t="shared" si="4"/>
        <v>8.65</v>
      </c>
      <c r="AJ9" s="20">
        <f t="shared" si="5"/>
        <v>21.150000000000002</v>
      </c>
      <c r="AK9" s="20">
        <f t="shared" si="6"/>
        <v>19.05</v>
      </c>
      <c r="AL9" s="20">
        <f t="shared" si="7"/>
        <v>14</v>
      </c>
      <c r="AM9" s="20">
        <f t="shared" si="8"/>
        <v>20.8</v>
      </c>
      <c r="AN9" s="20">
        <f t="shared" si="9"/>
        <v>24.7</v>
      </c>
      <c r="AO9" s="20">
        <f t="shared" si="10"/>
        <v>12.9</v>
      </c>
      <c r="AP9" s="20">
        <f t="shared" si="11"/>
        <v>13.25</v>
      </c>
      <c r="AQ9" s="20">
        <f t="shared" si="12"/>
        <v>35.25</v>
      </c>
      <c r="AR9" s="20">
        <f t="shared" si="13"/>
        <v>39</v>
      </c>
      <c r="AS9" s="35">
        <f t="shared" ref="AS9:AS33" si="30">SUM(AF9:AR9)</f>
        <v>365.6</v>
      </c>
      <c r="AU9" s="46">
        <v>110834</v>
      </c>
      <c r="AV9" s="37">
        <f>IF((AU9-AU8&lt;0),"0",AU9-AU8)</f>
        <v>1841</v>
      </c>
      <c r="AW9" s="37">
        <f>AV9*100*AV44</f>
        <v>696.89398099999994</v>
      </c>
      <c r="AX9" s="35">
        <f t="shared" si="14"/>
        <v>3.6819999999999999</v>
      </c>
    </row>
    <row r="10" spans="1:50" x14ac:dyDescent="0.25">
      <c r="A10" s="23">
        <v>44777</v>
      </c>
      <c r="B10" s="40">
        <v>75</v>
      </c>
      <c r="C10" s="59">
        <v>8338800</v>
      </c>
      <c r="D10" s="59" t="s">
        <v>52</v>
      </c>
      <c r="E10" s="59">
        <v>3422910</v>
      </c>
      <c r="F10" s="59">
        <v>4183380</v>
      </c>
      <c r="G10" s="59" t="s">
        <v>62</v>
      </c>
      <c r="H10" s="59">
        <v>7177720</v>
      </c>
      <c r="I10" s="59">
        <v>6252700</v>
      </c>
      <c r="J10" s="59">
        <v>7745540</v>
      </c>
      <c r="K10" s="59" t="s">
        <v>63</v>
      </c>
      <c r="L10" s="59">
        <v>4935050</v>
      </c>
      <c r="M10" s="59">
        <v>9218190</v>
      </c>
      <c r="N10" s="59" t="s">
        <v>64</v>
      </c>
      <c r="O10" s="59" t="s">
        <v>65</v>
      </c>
      <c r="Q10" s="37">
        <f t="shared" si="17"/>
        <v>5770</v>
      </c>
      <c r="R10" s="37">
        <f t="shared" si="18"/>
        <v>12680</v>
      </c>
      <c r="S10" s="37">
        <f t="shared" si="16"/>
        <v>4230</v>
      </c>
      <c r="T10" s="37">
        <f t="shared" si="19"/>
        <v>1770</v>
      </c>
      <c r="U10" s="37">
        <f t="shared" si="20"/>
        <v>4460</v>
      </c>
      <c r="V10" s="37">
        <f t="shared" si="21"/>
        <v>4090</v>
      </c>
      <c r="W10" s="37">
        <f t="shared" si="22"/>
        <v>3260</v>
      </c>
      <c r="X10" s="37">
        <f t="shared" si="23"/>
        <v>4410</v>
      </c>
      <c r="Y10" s="37">
        <f t="shared" si="24"/>
        <v>5500</v>
      </c>
      <c r="Z10" s="37">
        <f t="shared" si="25"/>
        <v>2780</v>
      </c>
      <c r="AA10" s="37">
        <f t="shared" si="26"/>
        <v>2890</v>
      </c>
      <c r="AB10" s="37">
        <f t="shared" si="27"/>
        <v>7570</v>
      </c>
      <c r="AC10" s="37">
        <f t="shared" si="28"/>
        <v>8300</v>
      </c>
      <c r="AD10" s="35">
        <f t="shared" si="29"/>
        <v>67710</v>
      </c>
      <c r="AF10" s="20">
        <f t="shared" si="1"/>
        <v>28.85</v>
      </c>
      <c r="AG10" s="20">
        <f t="shared" si="2"/>
        <v>63.4</v>
      </c>
      <c r="AH10" s="20">
        <f t="shared" si="3"/>
        <v>21.150000000000002</v>
      </c>
      <c r="AI10" s="20">
        <f t="shared" si="4"/>
        <v>8.85</v>
      </c>
      <c r="AJ10" s="20">
        <f t="shared" si="5"/>
        <v>22.3</v>
      </c>
      <c r="AK10" s="20">
        <f t="shared" si="6"/>
        <v>20.45</v>
      </c>
      <c r="AL10" s="20">
        <f t="shared" si="7"/>
        <v>16.3</v>
      </c>
      <c r="AM10" s="20">
        <f t="shared" si="8"/>
        <v>22.05</v>
      </c>
      <c r="AN10" s="20">
        <f t="shared" si="9"/>
        <v>27.5</v>
      </c>
      <c r="AO10" s="20">
        <f t="shared" si="10"/>
        <v>13.9</v>
      </c>
      <c r="AP10" s="20">
        <f t="shared" si="11"/>
        <v>14.450000000000001</v>
      </c>
      <c r="AQ10" s="20">
        <f t="shared" si="12"/>
        <v>37.85</v>
      </c>
      <c r="AR10" s="20">
        <f t="shared" si="13"/>
        <v>41.5</v>
      </c>
      <c r="AS10" s="35">
        <f t="shared" si="30"/>
        <v>338.55000000000007</v>
      </c>
      <c r="AU10" s="62" t="s">
        <v>103</v>
      </c>
      <c r="AV10" s="37">
        <f t="shared" ref="AV10:AV26" si="31">IF((AU10-AU9&lt;0),"0",AU10-AU9)</f>
        <v>1817</v>
      </c>
      <c r="AW10" s="37">
        <f>AV10*100*AV44</f>
        <v>687.80899699999998</v>
      </c>
      <c r="AX10" s="35">
        <f t="shared" si="14"/>
        <v>3.6339999999999999</v>
      </c>
    </row>
    <row r="11" spans="1:50" x14ac:dyDescent="0.25">
      <c r="A11" s="23">
        <v>44778</v>
      </c>
      <c r="B11" s="40">
        <v>79</v>
      </c>
      <c r="C11" s="60">
        <v>8339770</v>
      </c>
      <c r="D11" s="60" t="s">
        <v>53</v>
      </c>
      <c r="E11" s="60">
        <v>3427000</v>
      </c>
      <c r="F11" s="60">
        <v>4185150</v>
      </c>
      <c r="G11" s="60" t="s">
        <v>66</v>
      </c>
      <c r="H11" s="60">
        <v>7181870</v>
      </c>
      <c r="I11" s="60">
        <v>6256070</v>
      </c>
      <c r="J11" s="60">
        <v>7750020</v>
      </c>
      <c r="K11" s="60" t="s">
        <v>67</v>
      </c>
      <c r="L11" s="60">
        <v>4937900</v>
      </c>
      <c r="M11" s="60">
        <v>9221350</v>
      </c>
      <c r="N11" s="60" t="s">
        <v>68</v>
      </c>
      <c r="O11" s="60" t="s">
        <v>69</v>
      </c>
      <c r="Q11" s="37">
        <f t="shared" si="17"/>
        <v>970</v>
      </c>
      <c r="R11" s="37">
        <f t="shared" si="18"/>
        <v>14380</v>
      </c>
      <c r="S11" s="37">
        <f t="shared" si="16"/>
        <v>4090</v>
      </c>
      <c r="T11" s="37">
        <f t="shared" si="19"/>
        <v>1770</v>
      </c>
      <c r="U11" s="37">
        <f t="shared" si="20"/>
        <v>4520</v>
      </c>
      <c r="V11" s="37">
        <f t="shared" si="21"/>
        <v>4150</v>
      </c>
      <c r="W11" s="37">
        <f t="shared" si="22"/>
        <v>3370</v>
      </c>
      <c r="X11" s="37">
        <f t="shared" si="23"/>
        <v>4480</v>
      </c>
      <c r="Y11" s="37">
        <f t="shared" si="24"/>
        <v>5660</v>
      </c>
      <c r="Z11" s="37">
        <f t="shared" si="25"/>
        <v>2850</v>
      </c>
      <c r="AA11" s="37">
        <f t="shared" si="26"/>
        <v>3160</v>
      </c>
      <c r="AB11" s="37">
        <f t="shared" si="27"/>
        <v>7320</v>
      </c>
      <c r="AC11" s="37">
        <f t="shared" si="28"/>
        <v>8350</v>
      </c>
      <c r="AD11" s="35">
        <f t="shared" si="29"/>
        <v>65070</v>
      </c>
      <c r="AF11" s="20">
        <f t="shared" si="1"/>
        <v>4.8500000000000005</v>
      </c>
      <c r="AG11" s="20">
        <f t="shared" si="2"/>
        <v>71.900000000000006</v>
      </c>
      <c r="AH11" s="20">
        <f t="shared" si="3"/>
        <v>20.45</v>
      </c>
      <c r="AI11" s="20">
        <f t="shared" si="4"/>
        <v>8.85</v>
      </c>
      <c r="AJ11" s="20">
        <f t="shared" si="5"/>
        <v>22.6</v>
      </c>
      <c r="AK11" s="20">
        <f t="shared" si="6"/>
        <v>20.75</v>
      </c>
      <c r="AL11" s="20">
        <f t="shared" si="7"/>
        <v>16.850000000000001</v>
      </c>
      <c r="AM11" s="20">
        <f t="shared" si="8"/>
        <v>22.400000000000002</v>
      </c>
      <c r="AN11" s="20">
        <f t="shared" si="9"/>
        <v>28.3</v>
      </c>
      <c r="AO11" s="20">
        <f t="shared" si="10"/>
        <v>14.25</v>
      </c>
      <c r="AP11" s="20">
        <f t="shared" si="11"/>
        <v>15.8</v>
      </c>
      <c r="AQ11" s="20">
        <f t="shared" si="12"/>
        <v>36.6</v>
      </c>
      <c r="AR11" s="20">
        <f t="shared" si="13"/>
        <v>41.75</v>
      </c>
      <c r="AS11" s="35">
        <f t="shared" si="30"/>
        <v>325.35000000000002</v>
      </c>
      <c r="AU11" s="61" t="s">
        <v>104</v>
      </c>
      <c r="AV11" s="37">
        <f t="shared" si="31"/>
        <v>2002</v>
      </c>
      <c r="AW11" s="37">
        <f>AV11*100*AV44</f>
        <v>757.83908199999996</v>
      </c>
      <c r="AX11" s="35">
        <f t="shared" si="14"/>
        <v>4.0040000000000004</v>
      </c>
    </row>
    <row r="12" spans="1:50" x14ac:dyDescent="0.25">
      <c r="A12" s="23">
        <v>44779</v>
      </c>
      <c r="B12" s="40">
        <v>77</v>
      </c>
      <c r="C12" s="59">
        <v>8346732</v>
      </c>
      <c r="D12" s="59" t="s">
        <v>54</v>
      </c>
      <c r="E12" s="59">
        <v>3431180</v>
      </c>
      <c r="F12" s="59">
        <v>4186880</v>
      </c>
      <c r="G12" s="59" t="s">
        <v>70</v>
      </c>
      <c r="H12" s="59">
        <v>7185930</v>
      </c>
      <c r="I12" s="59">
        <v>6259460</v>
      </c>
      <c r="J12" s="59">
        <v>7754450</v>
      </c>
      <c r="K12" s="59" t="s">
        <v>71</v>
      </c>
      <c r="L12" s="59">
        <v>4940730</v>
      </c>
      <c r="M12" s="59">
        <v>9224290</v>
      </c>
      <c r="N12" s="59" t="s">
        <v>72</v>
      </c>
      <c r="O12" s="59" t="s">
        <v>73</v>
      </c>
      <c r="Q12" s="37">
        <f t="shared" si="17"/>
        <v>6962</v>
      </c>
      <c r="R12" s="37">
        <f t="shared" si="18"/>
        <v>16150</v>
      </c>
      <c r="S12" s="37">
        <f t="shared" si="16"/>
        <v>4180</v>
      </c>
      <c r="T12" s="37">
        <f t="shared" ref="T12:W14" si="32">IF((F12-F11&lt;0), "0",F12-F11)</f>
        <v>1730</v>
      </c>
      <c r="U12" s="37">
        <f t="shared" si="32"/>
        <v>4500</v>
      </c>
      <c r="V12" s="37">
        <f t="shared" si="32"/>
        <v>4060</v>
      </c>
      <c r="W12" s="37">
        <f t="shared" si="32"/>
        <v>3390</v>
      </c>
      <c r="X12" s="37">
        <f t="shared" si="23"/>
        <v>4430</v>
      </c>
      <c r="Y12" s="37">
        <f t="shared" si="24"/>
        <v>5550</v>
      </c>
      <c r="Z12" s="37">
        <f>IF((L12-L11&lt;0), "0",L12-L11)</f>
        <v>2830</v>
      </c>
      <c r="AA12" s="37">
        <f t="shared" si="26"/>
        <v>2940</v>
      </c>
      <c r="AB12" s="37">
        <f t="shared" si="27"/>
        <v>7130</v>
      </c>
      <c r="AC12" s="37">
        <f t="shared" si="28"/>
        <v>8480</v>
      </c>
      <c r="AD12" s="35">
        <f t="shared" si="29"/>
        <v>72332</v>
      </c>
      <c r="AF12" s="20">
        <f t="shared" si="1"/>
        <v>34.81</v>
      </c>
      <c r="AG12" s="20">
        <f t="shared" si="2"/>
        <v>80.75</v>
      </c>
      <c r="AH12" s="20">
        <f t="shared" si="3"/>
        <v>20.900000000000002</v>
      </c>
      <c r="AI12" s="20">
        <f t="shared" si="4"/>
        <v>8.65</v>
      </c>
      <c r="AJ12" s="20">
        <f t="shared" si="5"/>
        <v>22.5</v>
      </c>
      <c r="AK12" s="20">
        <f t="shared" si="6"/>
        <v>20.3</v>
      </c>
      <c r="AL12" s="20">
        <f t="shared" si="7"/>
        <v>16.95</v>
      </c>
      <c r="AM12" s="20">
        <f t="shared" si="8"/>
        <v>22.150000000000002</v>
      </c>
      <c r="AN12" s="20">
        <f t="shared" si="9"/>
        <v>27.75</v>
      </c>
      <c r="AO12" s="20">
        <f t="shared" si="10"/>
        <v>14.15</v>
      </c>
      <c r="AP12" s="20">
        <f t="shared" si="11"/>
        <v>14.700000000000001</v>
      </c>
      <c r="AQ12" s="20">
        <f t="shared" si="12"/>
        <v>35.65</v>
      </c>
      <c r="AR12" s="20">
        <f t="shared" si="13"/>
        <v>42.4</v>
      </c>
      <c r="AS12" s="35">
        <f t="shared" si="30"/>
        <v>361.65999999999997</v>
      </c>
      <c r="AU12" s="62" t="s">
        <v>105</v>
      </c>
      <c r="AV12" s="37">
        <f t="shared" si="31"/>
        <v>1922</v>
      </c>
      <c r="AW12" s="37">
        <f>AV12*100*AV44</f>
        <v>727.55580199999997</v>
      </c>
      <c r="AX12" s="35">
        <f t="shared" si="14"/>
        <v>3.8439999999999999</v>
      </c>
    </row>
    <row r="13" spans="1:50" x14ac:dyDescent="0.25">
      <c r="A13" s="23">
        <v>44780</v>
      </c>
      <c r="B13" s="40">
        <v>72</v>
      </c>
      <c r="C13" s="60" t="s">
        <v>51</v>
      </c>
      <c r="D13" s="60" t="s">
        <v>55</v>
      </c>
      <c r="E13" s="60" t="s">
        <v>61</v>
      </c>
      <c r="F13" s="60" t="s">
        <v>74</v>
      </c>
      <c r="G13" s="60" t="s">
        <v>75</v>
      </c>
      <c r="H13" s="60" t="s">
        <v>76</v>
      </c>
      <c r="I13" s="60" t="s">
        <v>77</v>
      </c>
      <c r="J13" s="60" t="s">
        <v>78</v>
      </c>
      <c r="K13" s="60" t="s">
        <v>79</v>
      </c>
      <c r="L13" s="60" t="s">
        <v>80</v>
      </c>
      <c r="M13" s="60">
        <v>9227020</v>
      </c>
      <c r="N13" s="60" t="s">
        <v>81</v>
      </c>
      <c r="O13" s="60" t="s">
        <v>82</v>
      </c>
      <c r="Q13" s="37">
        <f t="shared" si="17"/>
        <v>10068</v>
      </c>
      <c r="R13" s="37">
        <f t="shared" si="18"/>
        <v>15950</v>
      </c>
      <c r="S13" s="37">
        <f t="shared" si="16"/>
        <v>4080</v>
      </c>
      <c r="T13" s="37">
        <f t="shared" si="32"/>
        <v>1800</v>
      </c>
      <c r="U13" s="37">
        <f t="shared" si="32"/>
        <v>4250</v>
      </c>
      <c r="V13" s="37">
        <f t="shared" si="32"/>
        <v>4050</v>
      </c>
      <c r="W13" s="37">
        <f t="shared" si="32"/>
        <v>3070</v>
      </c>
      <c r="X13" s="37">
        <f t="shared" si="23"/>
        <v>3950</v>
      </c>
      <c r="Y13" s="37">
        <f t="shared" si="24"/>
        <v>5360</v>
      </c>
      <c r="Z13" s="37">
        <f>IF((L13-L12&lt;0), "0",L13-L12)</f>
        <v>2740</v>
      </c>
      <c r="AA13" s="37">
        <f t="shared" si="26"/>
        <v>2730</v>
      </c>
      <c r="AB13" s="37">
        <f t="shared" si="27"/>
        <v>6920</v>
      </c>
      <c r="AC13" s="37">
        <f t="shared" si="28"/>
        <v>8710</v>
      </c>
      <c r="AD13" s="35">
        <f t="shared" si="29"/>
        <v>73678</v>
      </c>
      <c r="AF13" s="20">
        <f t="shared" si="1"/>
        <v>50.34</v>
      </c>
      <c r="AG13" s="20">
        <f t="shared" si="2"/>
        <v>79.75</v>
      </c>
      <c r="AH13" s="20">
        <f t="shared" si="3"/>
        <v>20.400000000000002</v>
      </c>
      <c r="AI13" s="20">
        <f t="shared" si="4"/>
        <v>9</v>
      </c>
      <c r="AJ13" s="20">
        <f t="shared" si="5"/>
        <v>21.25</v>
      </c>
      <c r="AK13" s="20">
        <f t="shared" si="6"/>
        <v>20.25</v>
      </c>
      <c r="AL13" s="20">
        <f t="shared" si="7"/>
        <v>15.35</v>
      </c>
      <c r="AM13" s="20">
        <f t="shared" si="8"/>
        <v>19.75</v>
      </c>
      <c r="AN13" s="20">
        <f t="shared" si="9"/>
        <v>26.8</v>
      </c>
      <c r="AO13" s="20">
        <f t="shared" si="10"/>
        <v>13.700000000000001</v>
      </c>
      <c r="AP13" s="20">
        <f t="shared" si="11"/>
        <v>13.65</v>
      </c>
      <c r="AQ13" s="20">
        <f t="shared" si="12"/>
        <v>34.6</v>
      </c>
      <c r="AR13" s="20">
        <f t="shared" si="13"/>
        <v>43.550000000000004</v>
      </c>
      <c r="AS13" s="35">
        <f t="shared" si="30"/>
        <v>368.39</v>
      </c>
      <c r="AU13" s="61" t="s">
        <v>106</v>
      </c>
      <c r="AV13" s="37">
        <f t="shared" si="31"/>
        <v>2028</v>
      </c>
      <c r="AW13" s="37">
        <f>AV13*100*AV44</f>
        <v>767.68114800000001</v>
      </c>
      <c r="AX13" s="35">
        <f t="shared" si="14"/>
        <v>4.056</v>
      </c>
    </row>
    <row r="14" spans="1:50" x14ac:dyDescent="0.25">
      <c r="A14" s="23">
        <v>44781</v>
      </c>
      <c r="B14" s="40">
        <v>75</v>
      </c>
      <c r="C14" s="59">
        <v>8365520</v>
      </c>
      <c r="D14" s="59" t="s">
        <v>56</v>
      </c>
      <c r="E14" s="59">
        <v>3439610</v>
      </c>
      <c r="F14" s="59">
        <v>4190500</v>
      </c>
      <c r="G14" s="59" t="s">
        <v>83</v>
      </c>
      <c r="H14" s="59">
        <v>7194030</v>
      </c>
      <c r="I14" s="59">
        <v>6265640</v>
      </c>
      <c r="J14" s="59">
        <v>7762700</v>
      </c>
      <c r="K14" s="59" t="s">
        <v>84</v>
      </c>
      <c r="L14" s="59">
        <v>4946130</v>
      </c>
      <c r="M14" s="59">
        <v>9229830</v>
      </c>
      <c r="N14" s="59" t="s">
        <v>85</v>
      </c>
      <c r="O14" s="59" t="s">
        <v>86</v>
      </c>
      <c r="P14" s="58"/>
      <c r="Q14" s="37">
        <f t="shared" si="17"/>
        <v>8720</v>
      </c>
      <c r="R14" s="37">
        <f t="shared" si="18"/>
        <v>16690</v>
      </c>
      <c r="S14" s="37">
        <f t="shared" si="16"/>
        <v>4350</v>
      </c>
      <c r="T14" s="37">
        <f t="shared" si="32"/>
        <v>1820</v>
      </c>
      <c r="U14" s="37">
        <f t="shared" si="32"/>
        <v>4110</v>
      </c>
      <c r="V14" s="37">
        <f t="shared" si="32"/>
        <v>4050</v>
      </c>
      <c r="W14" s="37">
        <f t="shared" si="32"/>
        <v>3110</v>
      </c>
      <c r="X14" s="37">
        <f t="shared" si="23"/>
        <v>4300</v>
      </c>
      <c r="Y14" s="37">
        <f t="shared" si="24"/>
        <v>5470</v>
      </c>
      <c r="Z14" s="37">
        <f>IF((L14-L13&lt;0), "0",L14-L13)</f>
        <v>2660</v>
      </c>
      <c r="AA14" s="37">
        <f t="shared" si="26"/>
        <v>2810</v>
      </c>
      <c r="AB14" s="37">
        <f t="shared" si="27"/>
        <v>7100</v>
      </c>
      <c r="AC14" s="37">
        <f t="shared" si="28"/>
        <v>8760</v>
      </c>
      <c r="AD14" s="35">
        <f t="shared" si="29"/>
        <v>73950</v>
      </c>
      <c r="AF14" s="20">
        <f t="shared" si="1"/>
        <v>43.6</v>
      </c>
      <c r="AG14" s="20">
        <f t="shared" si="2"/>
        <v>83.45</v>
      </c>
      <c r="AH14" s="20">
        <f t="shared" si="3"/>
        <v>21.75</v>
      </c>
      <c r="AI14" s="20">
        <f t="shared" si="4"/>
        <v>9.1</v>
      </c>
      <c r="AJ14" s="20">
        <f t="shared" si="5"/>
        <v>20.55</v>
      </c>
      <c r="AK14" s="20">
        <f t="shared" si="6"/>
        <v>20.25</v>
      </c>
      <c r="AL14" s="20">
        <f t="shared" si="7"/>
        <v>15.55</v>
      </c>
      <c r="AM14" s="20">
        <f t="shared" si="8"/>
        <v>21.5</v>
      </c>
      <c r="AN14" s="20">
        <f t="shared" si="9"/>
        <v>27.35</v>
      </c>
      <c r="AO14" s="20">
        <f t="shared" si="10"/>
        <v>13.3</v>
      </c>
      <c r="AP14" s="20">
        <f t="shared" si="11"/>
        <v>14.05</v>
      </c>
      <c r="AQ14" s="20">
        <f t="shared" si="12"/>
        <v>35.5</v>
      </c>
      <c r="AR14" s="20">
        <f t="shared" si="13"/>
        <v>43.800000000000004</v>
      </c>
      <c r="AS14" s="35">
        <f t="shared" si="30"/>
        <v>369.75000000000006</v>
      </c>
      <c r="AU14" s="62" t="s">
        <v>107</v>
      </c>
      <c r="AV14" s="37">
        <f t="shared" si="31"/>
        <v>2514</v>
      </c>
      <c r="AW14" s="37">
        <f>AV14*100*AV44</f>
        <v>951.65207399999997</v>
      </c>
      <c r="AX14" s="35">
        <f t="shared" si="14"/>
        <v>5.0280000000000005</v>
      </c>
    </row>
    <row r="15" spans="1:50" x14ac:dyDescent="0.25">
      <c r="A15" s="23">
        <v>44782</v>
      </c>
      <c r="B15" s="40">
        <v>69</v>
      </c>
      <c r="C15" s="60">
        <v>8366440</v>
      </c>
      <c r="D15" s="60" t="s">
        <v>57</v>
      </c>
      <c r="E15" s="60">
        <v>3443450</v>
      </c>
      <c r="F15" s="60">
        <v>4192190</v>
      </c>
      <c r="G15" s="60" t="s">
        <v>87</v>
      </c>
      <c r="H15" s="60">
        <v>7197680</v>
      </c>
      <c r="I15" s="60">
        <v>6268280</v>
      </c>
      <c r="J15" s="60">
        <v>7766790</v>
      </c>
      <c r="K15" s="60" t="s">
        <v>88</v>
      </c>
      <c r="L15" s="60">
        <v>4948700</v>
      </c>
      <c r="M15" s="60">
        <v>9232540</v>
      </c>
      <c r="N15" s="60" t="s">
        <v>89</v>
      </c>
      <c r="O15" s="60" t="s">
        <v>90</v>
      </c>
      <c r="Q15" s="37">
        <f t="shared" si="17"/>
        <v>920</v>
      </c>
      <c r="R15" s="37">
        <f t="shared" si="18"/>
        <v>14200</v>
      </c>
      <c r="S15" s="37">
        <f t="shared" si="16"/>
        <v>3840</v>
      </c>
      <c r="T15" s="37">
        <f t="shared" si="19"/>
        <v>1690</v>
      </c>
      <c r="U15" s="37">
        <f t="shared" si="20"/>
        <v>4060</v>
      </c>
      <c r="V15" s="37">
        <f t="shared" si="21"/>
        <v>3650</v>
      </c>
      <c r="W15" s="37">
        <f t="shared" si="22"/>
        <v>2640</v>
      </c>
      <c r="X15" s="37">
        <f t="shared" si="23"/>
        <v>4090</v>
      </c>
      <c r="Y15" s="37">
        <f t="shared" si="24"/>
        <v>5090</v>
      </c>
      <c r="Z15" s="37">
        <f t="shared" si="25"/>
        <v>2570</v>
      </c>
      <c r="AA15" s="37">
        <f t="shared" si="26"/>
        <v>2710</v>
      </c>
      <c r="AB15" s="37">
        <f t="shared" si="27"/>
        <v>6910</v>
      </c>
      <c r="AC15" s="37">
        <f t="shared" si="28"/>
        <v>8930</v>
      </c>
      <c r="AD15" s="35">
        <f t="shared" si="29"/>
        <v>61300</v>
      </c>
      <c r="AF15" s="20">
        <f t="shared" si="1"/>
        <v>4.6000000000000005</v>
      </c>
      <c r="AG15" s="20">
        <f t="shared" si="2"/>
        <v>71</v>
      </c>
      <c r="AH15" s="20">
        <f t="shared" si="3"/>
        <v>19.2</v>
      </c>
      <c r="AI15" s="20">
        <f t="shared" si="4"/>
        <v>8.4499999999999993</v>
      </c>
      <c r="AJ15" s="20">
        <f t="shared" si="5"/>
        <v>20.3</v>
      </c>
      <c r="AK15" s="20">
        <f t="shared" si="6"/>
        <v>18.25</v>
      </c>
      <c r="AL15" s="20">
        <f t="shared" si="7"/>
        <v>13.200000000000001</v>
      </c>
      <c r="AM15" s="20">
        <f t="shared" si="8"/>
        <v>20.45</v>
      </c>
      <c r="AN15" s="20">
        <f t="shared" si="9"/>
        <v>25.45</v>
      </c>
      <c r="AO15" s="20">
        <f t="shared" si="10"/>
        <v>12.85</v>
      </c>
      <c r="AP15" s="20">
        <f t="shared" si="11"/>
        <v>13.55</v>
      </c>
      <c r="AQ15" s="20">
        <f t="shared" si="12"/>
        <v>34.550000000000004</v>
      </c>
      <c r="AR15" s="20">
        <f t="shared" si="13"/>
        <v>44.65</v>
      </c>
      <c r="AS15" s="35">
        <f t="shared" si="30"/>
        <v>306.49999999999994</v>
      </c>
      <c r="AU15" s="61" t="s">
        <v>108</v>
      </c>
      <c r="AV15" s="37">
        <f t="shared" si="31"/>
        <v>2643</v>
      </c>
      <c r="AW15" s="37">
        <f>AV15*100*AV44</f>
        <v>1000.4838629999999</v>
      </c>
      <c r="AX15" s="35">
        <f t="shared" si="14"/>
        <v>5.2860000000000005</v>
      </c>
    </row>
    <row r="16" spans="1:50" x14ac:dyDescent="0.25">
      <c r="A16" s="23">
        <v>44783</v>
      </c>
      <c r="B16" s="40">
        <v>79</v>
      </c>
      <c r="C16" s="59">
        <v>8367410</v>
      </c>
      <c r="D16" s="59" t="s">
        <v>58</v>
      </c>
      <c r="E16" s="59">
        <v>3447480</v>
      </c>
      <c r="F16" s="59">
        <v>4193940</v>
      </c>
      <c r="G16" s="59" t="s">
        <v>91</v>
      </c>
      <c r="H16" s="59">
        <v>7201380</v>
      </c>
      <c r="I16" s="59">
        <v>6271100</v>
      </c>
      <c r="J16" s="59">
        <v>7770830</v>
      </c>
      <c r="K16" s="59" t="s">
        <v>92</v>
      </c>
      <c r="L16" s="59">
        <v>4951250</v>
      </c>
      <c r="M16" s="59">
        <v>9235300</v>
      </c>
      <c r="N16" s="59" t="s">
        <v>93</v>
      </c>
      <c r="O16" s="59" t="s">
        <v>94</v>
      </c>
      <c r="Q16" s="37">
        <f t="shared" si="17"/>
        <v>970</v>
      </c>
      <c r="R16" s="37">
        <f t="shared" si="18"/>
        <v>14690</v>
      </c>
      <c r="S16" s="37">
        <f t="shared" si="16"/>
        <v>4030</v>
      </c>
      <c r="T16" s="37">
        <f t="shared" si="19"/>
        <v>1750</v>
      </c>
      <c r="U16" s="37">
        <f>IF((G16-G15&lt;0), "0",G16-G15)</f>
        <v>4040</v>
      </c>
      <c r="V16" s="37">
        <f>IF((H16-H15&lt;0), "0",H16-H15)</f>
        <v>3700</v>
      </c>
      <c r="W16" s="37">
        <f t="shared" si="22"/>
        <v>2820</v>
      </c>
      <c r="X16" s="37">
        <f t="shared" si="23"/>
        <v>4040</v>
      </c>
      <c r="Y16" s="37">
        <f t="shared" si="24"/>
        <v>5390</v>
      </c>
      <c r="Z16" s="37">
        <f t="shared" si="25"/>
        <v>2550</v>
      </c>
      <c r="AA16" s="37">
        <f t="shared" si="26"/>
        <v>2760</v>
      </c>
      <c r="AB16" s="37">
        <f t="shared" si="27"/>
        <v>6970</v>
      </c>
      <c r="AC16" s="37">
        <f t="shared" si="28"/>
        <v>9910</v>
      </c>
      <c r="AD16" s="35">
        <f t="shared" si="29"/>
        <v>63620</v>
      </c>
      <c r="AF16" s="20">
        <f t="shared" si="1"/>
        <v>4.8500000000000005</v>
      </c>
      <c r="AG16" s="20">
        <f t="shared" si="2"/>
        <v>73.45</v>
      </c>
      <c r="AH16" s="20">
        <f t="shared" si="3"/>
        <v>20.150000000000002</v>
      </c>
      <c r="AI16" s="20">
        <f t="shared" si="4"/>
        <v>8.75</v>
      </c>
      <c r="AJ16" s="20">
        <f t="shared" si="5"/>
        <v>20.2</v>
      </c>
      <c r="AK16" s="20">
        <f t="shared" si="6"/>
        <v>18.5</v>
      </c>
      <c r="AL16" s="20">
        <f t="shared" si="7"/>
        <v>14.1</v>
      </c>
      <c r="AM16" s="20">
        <f t="shared" si="8"/>
        <v>20.2</v>
      </c>
      <c r="AN16" s="20">
        <f t="shared" si="9"/>
        <v>26.95</v>
      </c>
      <c r="AO16" s="20">
        <f t="shared" si="10"/>
        <v>12.75</v>
      </c>
      <c r="AP16" s="20">
        <f t="shared" si="11"/>
        <v>13.8</v>
      </c>
      <c r="AQ16" s="20">
        <f t="shared" si="12"/>
        <v>34.85</v>
      </c>
      <c r="AR16" s="20">
        <f t="shared" si="13"/>
        <v>49.550000000000004</v>
      </c>
      <c r="AS16" s="35">
        <f t="shared" si="30"/>
        <v>318.10000000000002</v>
      </c>
      <c r="AU16" s="62" t="s">
        <v>109</v>
      </c>
      <c r="AV16" s="37">
        <f t="shared" si="31"/>
        <v>1613</v>
      </c>
      <c r="AW16" s="37">
        <f>AV16*100*AV44</f>
        <v>610.58663300000001</v>
      </c>
      <c r="AX16" s="35">
        <f t="shared" si="14"/>
        <v>3.226</v>
      </c>
    </row>
    <row r="17" spans="1:50" x14ac:dyDescent="0.25">
      <c r="A17" s="23">
        <v>44784</v>
      </c>
      <c r="B17" s="40">
        <v>86</v>
      </c>
      <c r="C17" s="60">
        <v>8368390</v>
      </c>
      <c r="D17" s="60" t="s">
        <v>59</v>
      </c>
      <c r="E17" s="60">
        <v>3451620</v>
      </c>
      <c r="F17" s="60">
        <v>4195710</v>
      </c>
      <c r="G17" s="60" t="s">
        <v>95</v>
      </c>
      <c r="H17" s="60">
        <v>7205340</v>
      </c>
      <c r="I17" s="60">
        <v>6273830</v>
      </c>
      <c r="J17" s="60">
        <v>7775160</v>
      </c>
      <c r="K17" s="60" t="s">
        <v>96</v>
      </c>
      <c r="L17" s="60">
        <v>4953910</v>
      </c>
      <c r="M17" s="60">
        <v>9238170</v>
      </c>
      <c r="N17" s="60" t="s">
        <v>97</v>
      </c>
      <c r="O17" s="60" t="s">
        <v>98</v>
      </c>
      <c r="Q17" s="37">
        <f t="shared" si="17"/>
        <v>980</v>
      </c>
      <c r="R17" s="37">
        <f t="shared" si="18"/>
        <v>14870</v>
      </c>
      <c r="S17" s="37">
        <f t="shared" si="16"/>
        <v>4140</v>
      </c>
      <c r="T17" s="37">
        <f t="shared" si="19"/>
        <v>1770</v>
      </c>
      <c r="U17" s="37">
        <f>IF((G17-G16&lt;0), "0",G17-G16)</f>
        <v>4180</v>
      </c>
      <c r="V17" s="37">
        <f>IF((H17-H16&lt;0), "0",H17-H16)</f>
        <v>3960</v>
      </c>
      <c r="W17" s="37">
        <f t="shared" si="22"/>
        <v>2730</v>
      </c>
      <c r="X17" s="37">
        <f t="shared" si="23"/>
        <v>4330</v>
      </c>
      <c r="Y17" s="37">
        <f t="shared" si="24"/>
        <v>5430</v>
      </c>
      <c r="Z17" s="37">
        <f t="shared" si="25"/>
        <v>2660</v>
      </c>
      <c r="AA17" s="37">
        <f t="shared" si="26"/>
        <v>2870</v>
      </c>
      <c r="AB17" s="37">
        <f t="shared" si="27"/>
        <v>7260</v>
      </c>
      <c r="AC17" s="37">
        <f t="shared" si="28"/>
        <v>9520</v>
      </c>
      <c r="AD17" s="35">
        <f t="shared" si="29"/>
        <v>64700</v>
      </c>
      <c r="AF17" s="20">
        <f t="shared" si="1"/>
        <v>4.9000000000000004</v>
      </c>
      <c r="AG17" s="20">
        <f t="shared" si="2"/>
        <v>74.350000000000009</v>
      </c>
      <c r="AH17" s="20">
        <f t="shared" si="3"/>
        <v>20.7</v>
      </c>
      <c r="AI17" s="20">
        <f t="shared" si="4"/>
        <v>8.85</v>
      </c>
      <c r="AJ17" s="20">
        <f t="shared" si="5"/>
        <v>20.900000000000002</v>
      </c>
      <c r="AK17" s="20">
        <f t="shared" si="6"/>
        <v>19.8</v>
      </c>
      <c r="AL17" s="20">
        <f t="shared" si="7"/>
        <v>13.65</v>
      </c>
      <c r="AM17" s="20">
        <f t="shared" si="8"/>
        <v>21.650000000000002</v>
      </c>
      <c r="AN17" s="20">
        <f t="shared" si="9"/>
        <v>27.150000000000002</v>
      </c>
      <c r="AO17" s="20">
        <f t="shared" si="10"/>
        <v>13.3</v>
      </c>
      <c r="AP17" s="20">
        <f t="shared" si="11"/>
        <v>14.35</v>
      </c>
      <c r="AQ17" s="20">
        <f t="shared" si="12"/>
        <v>36.300000000000004</v>
      </c>
      <c r="AR17" s="20">
        <f t="shared" si="13"/>
        <v>47.6</v>
      </c>
      <c r="AS17" s="35">
        <f t="shared" si="30"/>
        <v>323.50000000000006</v>
      </c>
      <c r="AU17" s="61" t="s">
        <v>110</v>
      </c>
      <c r="AV17" s="37">
        <f t="shared" si="31"/>
        <v>2751</v>
      </c>
      <c r="AW17" s="37">
        <f>AV17*100*AV44</f>
        <v>1041.366291</v>
      </c>
      <c r="AX17" s="35">
        <f t="shared" si="14"/>
        <v>5.5019999999999998</v>
      </c>
    </row>
    <row r="18" spans="1:50" x14ac:dyDescent="0.25">
      <c r="A18" s="23">
        <v>44785</v>
      </c>
      <c r="B18" s="40">
        <v>96</v>
      </c>
      <c r="C18" s="59">
        <v>8369360</v>
      </c>
      <c r="D18" s="59" t="s">
        <v>60</v>
      </c>
      <c r="E18" s="59">
        <v>3455510</v>
      </c>
      <c r="F18" s="59">
        <v>4197450</v>
      </c>
      <c r="G18" s="59" t="s">
        <v>102</v>
      </c>
      <c r="H18" s="59">
        <v>7209130</v>
      </c>
      <c r="I18" s="59">
        <v>6276490</v>
      </c>
      <c r="J18" s="59">
        <v>7779430</v>
      </c>
      <c r="K18" s="59" t="s">
        <v>99</v>
      </c>
      <c r="L18" s="59">
        <v>4956570</v>
      </c>
      <c r="M18" s="59">
        <v>9241040</v>
      </c>
      <c r="N18" s="59" t="s">
        <v>100</v>
      </c>
      <c r="O18" s="59" t="s">
        <v>101</v>
      </c>
      <c r="Q18" s="37">
        <f t="shared" si="17"/>
        <v>970</v>
      </c>
      <c r="R18" s="37">
        <f t="shared" si="18"/>
        <v>14590</v>
      </c>
      <c r="S18" s="37">
        <f t="shared" si="16"/>
        <v>3890</v>
      </c>
      <c r="T18" s="37">
        <f t="shared" si="19"/>
        <v>1740</v>
      </c>
      <c r="U18" s="37">
        <f t="shared" si="20"/>
        <v>4230</v>
      </c>
      <c r="V18" s="37">
        <f t="shared" si="21"/>
        <v>3790</v>
      </c>
      <c r="W18" s="37">
        <f t="shared" si="22"/>
        <v>2660</v>
      </c>
      <c r="X18" s="37">
        <f t="shared" si="23"/>
        <v>4270</v>
      </c>
      <c r="Y18" s="37">
        <f t="shared" si="24"/>
        <v>5490</v>
      </c>
      <c r="Z18" s="37">
        <f t="shared" si="25"/>
        <v>2660</v>
      </c>
      <c r="AA18" s="37">
        <f t="shared" si="26"/>
        <v>2870</v>
      </c>
      <c r="AB18" s="37">
        <f t="shared" si="27"/>
        <v>7340</v>
      </c>
      <c r="AC18" s="37">
        <f t="shared" si="28"/>
        <v>10000</v>
      </c>
      <c r="AD18" s="35">
        <f t="shared" si="29"/>
        <v>64500</v>
      </c>
      <c r="AF18" s="20">
        <f t="shared" si="1"/>
        <v>4.8500000000000005</v>
      </c>
      <c r="AG18" s="20">
        <f t="shared" si="2"/>
        <v>72.95</v>
      </c>
      <c r="AH18" s="20">
        <f t="shared" si="3"/>
        <v>19.45</v>
      </c>
      <c r="AI18" s="20">
        <f t="shared" si="4"/>
        <v>8.7000000000000011</v>
      </c>
      <c r="AJ18" s="20">
        <f t="shared" si="5"/>
        <v>21.150000000000002</v>
      </c>
      <c r="AK18" s="20">
        <f t="shared" si="6"/>
        <v>18.95</v>
      </c>
      <c r="AL18" s="20">
        <f t="shared" si="7"/>
        <v>13.3</v>
      </c>
      <c r="AM18" s="20">
        <f t="shared" si="8"/>
        <v>21.35</v>
      </c>
      <c r="AN18" s="20">
        <f t="shared" si="9"/>
        <v>27.45</v>
      </c>
      <c r="AO18" s="20">
        <f t="shared" si="10"/>
        <v>13.3</v>
      </c>
      <c r="AP18" s="20">
        <f t="shared" si="11"/>
        <v>14.35</v>
      </c>
      <c r="AQ18" s="20">
        <f t="shared" si="12"/>
        <v>36.700000000000003</v>
      </c>
      <c r="AR18" s="20">
        <f t="shared" si="13"/>
        <v>50</v>
      </c>
      <c r="AS18" s="35">
        <f t="shared" si="30"/>
        <v>322.5</v>
      </c>
      <c r="AU18" s="62" t="s">
        <v>111</v>
      </c>
      <c r="AV18" s="37">
        <f t="shared" si="31"/>
        <v>1867</v>
      </c>
      <c r="AW18" s="37">
        <f>AV18*100*AV44</f>
        <v>706.73604699999999</v>
      </c>
      <c r="AX18" s="35">
        <f t="shared" si="14"/>
        <v>3.734</v>
      </c>
    </row>
    <row r="19" spans="1:50" x14ac:dyDescent="0.25">
      <c r="A19" s="23">
        <v>44786</v>
      </c>
      <c r="B19" s="40">
        <v>61</v>
      </c>
      <c r="C19" s="60">
        <v>8370330</v>
      </c>
      <c r="D19" s="60">
        <v>19915610</v>
      </c>
      <c r="E19" s="60" t="s">
        <v>112</v>
      </c>
      <c r="F19" s="60" t="s">
        <v>113</v>
      </c>
      <c r="G19" s="60" t="s">
        <v>114</v>
      </c>
      <c r="H19" s="60" t="s">
        <v>115</v>
      </c>
      <c r="I19" s="60" t="s">
        <v>116</v>
      </c>
      <c r="J19" s="60" t="s">
        <v>117</v>
      </c>
      <c r="K19" s="60" t="s">
        <v>118</v>
      </c>
      <c r="L19" s="60" t="s">
        <v>119</v>
      </c>
      <c r="M19" s="60" t="s">
        <v>120</v>
      </c>
      <c r="N19" s="60" t="s">
        <v>121</v>
      </c>
      <c r="O19" s="60" t="s">
        <v>122</v>
      </c>
      <c r="Q19" s="37">
        <f t="shared" si="17"/>
        <v>970</v>
      </c>
      <c r="R19" s="37">
        <f t="shared" si="18"/>
        <v>14440</v>
      </c>
      <c r="S19" s="37">
        <f t="shared" si="16"/>
        <v>3890</v>
      </c>
      <c r="T19" s="37">
        <f t="shared" si="19"/>
        <v>1730</v>
      </c>
      <c r="U19" s="37">
        <f t="shared" si="20"/>
        <v>4430</v>
      </c>
      <c r="V19" s="37">
        <f t="shared" si="21"/>
        <v>3790</v>
      </c>
      <c r="W19" s="37">
        <f t="shared" si="22"/>
        <v>2680</v>
      </c>
      <c r="X19" s="37">
        <f t="shared" si="23"/>
        <v>4300</v>
      </c>
      <c r="Y19" s="37">
        <f t="shared" si="24"/>
        <v>5510</v>
      </c>
      <c r="Z19" s="37">
        <f t="shared" si="25"/>
        <v>2630</v>
      </c>
      <c r="AA19" s="37">
        <f t="shared" si="26"/>
        <v>2770</v>
      </c>
      <c r="AB19" s="37">
        <f t="shared" si="27"/>
        <v>7340</v>
      </c>
      <c r="AC19" s="37">
        <f t="shared" si="28"/>
        <v>9680</v>
      </c>
      <c r="AD19" s="35">
        <f t="shared" si="29"/>
        <v>64160</v>
      </c>
      <c r="AF19" s="20">
        <f t="shared" si="1"/>
        <v>4.8500000000000005</v>
      </c>
      <c r="AG19" s="20">
        <f t="shared" si="2"/>
        <v>72.2</v>
      </c>
      <c r="AH19" s="20">
        <f t="shared" si="3"/>
        <v>19.45</v>
      </c>
      <c r="AI19" s="20">
        <f t="shared" si="4"/>
        <v>8.65</v>
      </c>
      <c r="AJ19" s="20">
        <f t="shared" si="5"/>
        <v>22.150000000000002</v>
      </c>
      <c r="AK19" s="20">
        <f t="shared" si="6"/>
        <v>18.95</v>
      </c>
      <c r="AL19" s="20">
        <f t="shared" si="7"/>
        <v>13.4</v>
      </c>
      <c r="AM19" s="20">
        <f t="shared" si="8"/>
        <v>21.5</v>
      </c>
      <c r="AN19" s="20">
        <f t="shared" si="9"/>
        <v>27.55</v>
      </c>
      <c r="AO19" s="20">
        <f t="shared" si="10"/>
        <v>13.15</v>
      </c>
      <c r="AP19" s="20">
        <f t="shared" si="11"/>
        <v>13.85</v>
      </c>
      <c r="AQ19" s="20">
        <f t="shared" si="12"/>
        <v>36.700000000000003</v>
      </c>
      <c r="AR19" s="20">
        <f t="shared" si="13"/>
        <v>48.4</v>
      </c>
      <c r="AS19" s="35">
        <f t="shared" si="30"/>
        <v>320.8</v>
      </c>
      <c r="AU19" s="61" t="s">
        <v>152</v>
      </c>
      <c r="AV19" s="37">
        <f t="shared" si="31"/>
        <v>1552</v>
      </c>
      <c r="AW19" s="37">
        <f>AV19*100*AV44</f>
        <v>587.495632</v>
      </c>
      <c r="AX19" s="35">
        <f t="shared" si="14"/>
        <v>3.1040000000000001</v>
      </c>
    </row>
    <row r="20" spans="1:50" x14ac:dyDescent="0.25">
      <c r="A20" s="23">
        <v>44787</v>
      </c>
      <c r="B20" s="40">
        <v>66</v>
      </c>
      <c r="C20" s="59">
        <v>8373470</v>
      </c>
      <c r="D20" s="59" t="s">
        <v>123</v>
      </c>
      <c r="E20" s="59" t="s">
        <v>124</v>
      </c>
      <c r="F20" s="59" t="s">
        <v>125</v>
      </c>
      <c r="G20" s="59" t="s">
        <v>126</v>
      </c>
      <c r="H20" s="59" t="s">
        <v>127</v>
      </c>
      <c r="I20" s="59" t="s">
        <v>128</v>
      </c>
      <c r="J20" s="59" t="s">
        <v>129</v>
      </c>
      <c r="K20" s="59" t="s">
        <v>130</v>
      </c>
      <c r="L20" s="59" t="s">
        <v>131</v>
      </c>
      <c r="M20" s="59" t="s">
        <v>132</v>
      </c>
      <c r="N20" s="59" t="s">
        <v>133</v>
      </c>
      <c r="O20" s="59" t="s">
        <v>134</v>
      </c>
      <c r="Q20" s="37">
        <f t="shared" si="17"/>
        <v>3140</v>
      </c>
      <c r="R20" s="37">
        <f t="shared" si="18"/>
        <v>14680</v>
      </c>
      <c r="S20" s="37">
        <f t="shared" si="16"/>
        <v>3870</v>
      </c>
      <c r="T20" s="37">
        <f t="shared" si="19"/>
        <v>1760</v>
      </c>
      <c r="U20" s="37">
        <f t="shared" si="20"/>
        <v>4250</v>
      </c>
      <c r="V20" s="37">
        <f t="shared" si="21"/>
        <v>4100</v>
      </c>
      <c r="W20" s="37">
        <f t="shared" si="22"/>
        <v>2820</v>
      </c>
      <c r="X20" s="37">
        <f t="shared" si="23"/>
        <v>4130</v>
      </c>
      <c r="Y20" s="37">
        <f t="shared" si="24"/>
        <v>5440</v>
      </c>
      <c r="Z20" s="37">
        <f t="shared" si="25"/>
        <v>2560</v>
      </c>
      <c r="AA20" s="37">
        <f t="shared" si="26"/>
        <v>2750</v>
      </c>
      <c r="AB20" s="37">
        <f t="shared" si="27"/>
        <v>7350</v>
      </c>
      <c r="AC20" s="37">
        <f t="shared" si="28"/>
        <v>9100</v>
      </c>
      <c r="AD20" s="35">
        <f t="shared" si="29"/>
        <v>65950</v>
      </c>
      <c r="AF20" s="20">
        <f t="shared" si="1"/>
        <v>15.700000000000001</v>
      </c>
      <c r="AG20" s="20">
        <f t="shared" si="2"/>
        <v>73.400000000000006</v>
      </c>
      <c r="AH20" s="20">
        <f t="shared" si="3"/>
        <v>19.350000000000001</v>
      </c>
      <c r="AI20" s="20">
        <f t="shared" si="4"/>
        <v>8.8000000000000007</v>
      </c>
      <c r="AJ20" s="20">
        <f t="shared" si="5"/>
        <v>21.25</v>
      </c>
      <c r="AK20" s="20">
        <f t="shared" si="6"/>
        <v>20.5</v>
      </c>
      <c r="AL20" s="20">
        <f t="shared" si="7"/>
        <v>14.1</v>
      </c>
      <c r="AM20" s="20">
        <f t="shared" si="8"/>
        <v>20.650000000000002</v>
      </c>
      <c r="AN20" s="20">
        <f t="shared" si="9"/>
        <v>27.2</v>
      </c>
      <c r="AO20" s="20">
        <f t="shared" si="10"/>
        <v>12.8</v>
      </c>
      <c r="AP20" s="20">
        <f t="shared" si="11"/>
        <v>13.75</v>
      </c>
      <c r="AQ20" s="20">
        <f t="shared" si="12"/>
        <v>36.75</v>
      </c>
      <c r="AR20" s="20">
        <f t="shared" si="13"/>
        <v>45.5</v>
      </c>
      <c r="AS20" s="35">
        <f t="shared" si="30"/>
        <v>329.75</v>
      </c>
      <c r="AU20" s="62" t="s">
        <v>153</v>
      </c>
      <c r="AV20" s="37">
        <f t="shared" si="31"/>
        <v>3315</v>
      </c>
      <c r="AW20" s="37">
        <f>AV20*100*AV44</f>
        <v>1254.863415</v>
      </c>
      <c r="AX20" s="35">
        <f t="shared" si="14"/>
        <v>6.63</v>
      </c>
    </row>
    <row r="21" spans="1:50" x14ac:dyDescent="0.25">
      <c r="A21" s="23">
        <v>44788</v>
      </c>
      <c r="B21" s="40">
        <v>65</v>
      </c>
      <c r="C21" s="60">
        <v>8377370</v>
      </c>
      <c r="D21" s="60" t="s">
        <v>135</v>
      </c>
      <c r="E21" s="60" t="s">
        <v>136</v>
      </c>
      <c r="F21" s="60" t="s">
        <v>137</v>
      </c>
      <c r="G21" s="60" t="s">
        <v>138</v>
      </c>
      <c r="H21" s="60" t="s">
        <v>139</v>
      </c>
      <c r="I21" s="60" t="s">
        <v>140</v>
      </c>
      <c r="J21" s="60" t="s">
        <v>141</v>
      </c>
      <c r="K21" s="60" t="s">
        <v>142</v>
      </c>
      <c r="L21" s="60" t="s">
        <v>143</v>
      </c>
      <c r="M21" s="60" t="s">
        <v>144</v>
      </c>
      <c r="N21" s="60" t="s">
        <v>145</v>
      </c>
      <c r="O21" s="60" t="s">
        <v>146</v>
      </c>
      <c r="Q21" s="37">
        <f t="shared" si="17"/>
        <v>3900</v>
      </c>
      <c r="R21" s="37">
        <f t="shared" si="18"/>
        <v>15730</v>
      </c>
      <c r="S21" s="37">
        <f t="shared" si="16"/>
        <v>4040</v>
      </c>
      <c r="T21" s="37">
        <f t="shared" si="19"/>
        <v>1920</v>
      </c>
      <c r="U21" s="37">
        <f t="shared" si="20"/>
        <v>4450</v>
      </c>
      <c r="V21" s="37">
        <f t="shared" si="21"/>
        <v>4210</v>
      </c>
      <c r="W21" s="37">
        <f t="shared" si="22"/>
        <v>2910</v>
      </c>
      <c r="X21" s="37">
        <f t="shared" si="23"/>
        <v>4640</v>
      </c>
      <c r="Y21" s="37">
        <f t="shared" si="24"/>
        <v>5870</v>
      </c>
      <c r="Z21" s="37">
        <f t="shared" si="25"/>
        <v>2650</v>
      </c>
      <c r="AA21" s="37">
        <f t="shared" si="26"/>
        <v>2810</v>
      </c>
      <c r="AB21" s="37">
        <f t="shared" si="27"/>
        <v>7880</v>
      </c>
      <c r="AC21" s="37">
        <f t="shared" si="28"/>
        <v>9280</v>
      </c>
      <c r="AD21" s="35">
        <f t="shared" si="29"/>
        <v>70290</v>
      </c>
      <c r="AF21" s="20">
        <f t="shared" si="1"/>
        <v>19.5</v>
      </c>
      <c r="AG21" s="20">
        <f t="shared" si="2"/>
        <v>78.650000000000006</v>
      </c>
      <c r="AH21" s="20">
        <f t="shared" si="3"/>
        <v>20.2</v>
      </c>
      <c r="AI21" s="20">
        <f t="shared" si="4"/>
        <v>9.6</v>
      </c>
      <c r="AJ21" s="20">
        <f t="shared" si="5"/>
        <v>22.25</v>
      </c>
      <c r="AK21" s="20">
        <f t="shared" si="6"/>
        <v>21.05</v>
      </c>
      <c r="AL21" s="20">
        <f t="shared" si="7"/>
        <v>14.55</v>
      </c>
      <c r="AM21" s="20">
        <f t="shared" si="8"/>
        <v>23.2</v>
      </c>
      <c r="AN21" s="20">
        <f t="shared" si="9"/>
        <v>29.35</v>
      </c>
      <c r="AO21" s="20">
        <f t="shared" si="10"/>
        <v>13.25</v>
      </c>
      <c r="AP21" s="20">
        <f t="shared" si="11"/>
        <v>14.05</v>
      </c>
      <c r="AQ21" s="20">
        <f t="shared" si="12"/>
        <v>39.4</v>
      </c>
      <c r="AR21" s="20">
        <f t="shared" si="13"/>
        <v>46.4</v>
      </c>
      <c r="AS21" s="35">
        <f t="shared" si="30"/>
        <v>351.44999999999993</v>
      </c>
      <c r="AU21" s="61" t="s">
        <v>154</v>
      </c>
      <c r="AV21" s="37">
        <f t="shared" si="31"/>
        <v>2026</v>
      </c>
      <c r="AW21" s="37">
        <f>AV21*100*AV44</f>
        <v>766.92406599999993</v>
      </c>
      <c r="AX21" s="35">
        <f t="shared" si="14"/>
        <v>4.0520000000000005</v>
      </c>
    </row>
    <row r="22" spans="1:50" x14ac:dyDescent="0.25">
      <c r="A22" s="23">
        <v>44789</v>
      </c>
      <c r="B22" s="40">
        <v>98</v>
      </c>
      <c r="C22" s="59">
        <v>8378280</v>
      </c>
      <c r="D22" s="59" t="s">
        <v>147</v>
      </c>
      <c r="E22" s="59">
        <v>3470870</v>
      </c>
      <c r="F22" s="59">
        <v>4204480</v>
      </c>
      <c r="G22" s="59" t="s">
        <v>148</v>
      </c>
      <c r="H22" s="59">
        <v>7224870</v>
      </c>
      <c r="I22" s="59">
        <v>6287440</v>
      </c>
      <c r="J22" s="59">
        <v>7796740</v>
      </c>
      <c r="K22" s="59" t="s">
        <v>149</v>
      </c>
      <c r="L22" s="59">
        <v>4966750</v>
      </c>
      <c r="M22" s="59">
        <v>9251970</v>
      </c>
      <c r="N22" s="59" t="s">
        <v>150</v>
      </c>
      <c r="O22" s="59" t="s">
        <v>151</v>
      </c>
      <c r="Q22" s="37">
        <f t="shared" si="17"/>
        <v>910</v>
      </c>
      <c r="R22" s="37">
        <f t="shared" si="18"/>
        <v>13280</v>
      </c>
      <c r="S22" s="37">
        <f t="shared" si="16"/>
        <v>3560</v>
      </c>
      <c r="T22" s="37">
        <f t="shared" si="19"/>
        <v>1620</v>
      </c>
      <c r="U22" s="37">
        <f t="shared" si="20"/>
        <v>3950</v>
      </c>
      <c r="V22" s="37">
        <f t="shared" si="21"/>
        <v>3640</v>
      </c>
      <c r="W22" s="37">
        <f t="shared" si="22"/>
        <v>2540</v>
      </c>
      <c r="X22" s="37">
        <f t="shared" si="23"/>
        <v>4240</v>
      </c>
      <c r="Y22" s="37">
        <f t="shared" si="24"/>
        <v>5100</v>
      </c>
      <c r="Z22" s="37">
        <f t="shared" si="25"/>
        <v>2340</v>
      </c>
      <c r="AA22" s="37">
        <f t="shared" si="26"/>
        <v>2600</v>
      </c>
      <c r="AB22" s="37">
        <f t="shared" si="27"/>
        <v>6810</v>
      </c>
      <c r="AC22" s="37">
        <f t="shared" si="28"/>
        <v>8670</v>
      </c>
      <c r="AD22" s="35">
        <f t="shared" si="29"/>
        <v>59260</v>
      </c>
      <c r="AF22" s="20">
        <f t="shared" si="1"/>
        <v>4.55</v>
      </c>
      <c r="AG22" s="20">
        <f t="shared" si="2"/>
        <v>66.400000000000006</v>
      </c>
      <c r="AH22" s="20">
        <f t="shared" si="3"/>
        <v>17.8</v>
      </c>
      <c r="AI22" s="20">
        <f t="shared" si="4"/>
        <v>8.1</v>
      </c>
      <c r="AJ22" s="20">
        <f t="shared" si="5"/>
        <v>19.75</v>
      </c>
      <c r="AK22" s="20">
        <f t="shared" si="6"/>
        <v>18.2</v>
      </c>
      <c r="AL22" s="20">
        <f t="shared" si="7"/>
        <v>12.700000000000001</v>
      </c>
      <c r="AM22" s="20">
        <f t="shared" si="8"/>
        <v>21.2</v>
      </c>
      <c r="AN22" s="20">
        <f t="shared" si="9"/>
        <v>25.5</v>
      </c>
      <c r="AO22" s="20">
        <f t="shared" si="10"/>
        <v>11.700000000000001</v>
      </c>
      <c r="AP22" s="20">
        <f t="shared" si="11"/>
        <v>13</v>
      </c>
      <c r="AQ22" s="20">
        <f t="shared" si="12"/>
        <v>34.049999999999997</v>
      </c>
      <c r="AR22" s="20">
        <f t="shared" si="13"/>
        <v>43.35</v>
      </c>
      <c r="AS22" s="35">
        <f t="shared" si="30"/>
        <v>296.29999999999995</v>
      </c>
      <c r="AU22" s="62" t="s">
        <v>155</v>
      </c>
      <c r="AV22" s="37">
        <f t="shared" si="31"/>
        <v>2164</v>
      </c>
      <c r="AW22" s="37">
        <f>AV22*100*AV44</f>
        <v>819.16272400000003</v>
      </c>
      <c r="AX22" s="35">
        <f t="shared" si="14"/>
        <v>4.3280000000000003</v>
      </c>
    </row>
    <row r="23" spans="1:50" x14ac:dyDescent="0.25">
      <c r="A23" s="23">
        <v>44790</v>
      </c>
      <c r="B23" s="40">
        <v>94</v>
      </c>
      <c r="C23" s="51">
        <v>8379270</v>
      </c>
      <c r="D23" s="51">
        <v>19973660</v>
      </c>
      <c r="E23" s="51">
        <v>3474730</v>
      </c>
      <c r="F23" s="51">
        <v>4206240</v>
      </c>
      <c r="G23" s="51">
        <v>12415240</v>
      </c>
      <c r="H23" s="51">
        <v>7228840</v>
      </c>
      <c r="I23" s="51">
        <v>6290280</v>
      </c>
      <c r="J23" s="51">
        <v>7801260</v>
      </c>
      <c r="K23" s="51">
        <v>11422760</v>
      </c>
      <c r="L23" s="51">
        <v>4969380</v>
      </c>
      <c r="M23" s="51">
        <v>9254870</v>
      </c>
      <c r="N23" s="51">
        <v>15144720</v>
      </c>
      <c r="O23" s="51">
        <v>21176630</v>
      </c>
      <c r="Q23" s="37">
        <f t="shared" si="17"/>
        <v>990</v>
      </c>
      <c r="R23" s="37">
        <f t="shared" si="18"/>
        <v>14360</v>
      </c>
      <c r="S23" s="37">
        <f t="shared" si="16"/>
        <v>3860</v>
      </c>
      <c r="T23" s="37">
        <f t="shared" si="19"/>
        <v>1760</v>
      </c>
      <c r="U23" s="37">
        <f t="shared" si="20"/>
        <v>4360</v>
      </c>
      <c r="V23" s="37">
        <f t="shared" si="21"/>
        <v>3970</v>
      </c>
      <c r="W23" s="37">
        <f t="shared" si="22"/>
        <v>2840</v>
      </c>
      <c r="X23" s="37">
        <f t="shared" si="23"/>
        <v>4520</v>
      </c>
      <c r="Y23" s="37">
        <f t="shared" si="24"/>
        <v>5670</v>
      </c>
      <c r="Z23" s="37">
        <f t="shared" si="25"/>
        <v>2630</v>
      </c>
      <c r="AA23" s="37">
        <f t="shared" si="26"/>
        <v>2900</v>
      </c>
      <c r="AB23" s="37">
        <f t="shared" si="27"/>
        <v>6990</v>
      </c>
      <c r="AC23" s="37">
        <f t="shared" si="28"/>
        <v>11060</v>
      </c>
      <c r="AD23" s="35">
        <f t="shared" si="29"/>
        <v>65910</v>
      </c>
      <c r="AF23" s="20">
        <f t="shared" si="1"/>
        <v>4.95</v>
      </c>
      <c r="AG23" s="20">
        <f t="shared" si="2"/>
        <v>71.8</v>
      </c>
      <c r="AH23" s="20">
        <f t="shared" si="3"/>
        <v>19.3</v>
      </c>
      <c r="AI23" s="20">
        <f t="shared" si="4"/>
        <v>8.8000000000000007</v>
      </c>
      <c r="AJ23" s="20">
        <f t="shared" si="5"/>
        <v>21.8</v>
      </c>
      <c r="AK23" s="20">
        <f t="shared" si="6"/>
        <v>19.850000000000001</v>
      </c>
      <c r="AL23" s="20">
        <f t="shared" si="7"/>
        <v>14.200000000000001</v>
      </c>
      <c r="AM23" s="20">
        <f t="shared" si="8"/>
        <v>22.6</v>
      </c>
      <c r="AN23" s="20">
        <f t="shared" si="9"/>
        <v>28.35</v>
      </c>
      <c r="AO23" s="20">
        <f t="shared" si="10"/>
        <v>13.15</v>
      </c>
      <c r="AP23" s="20">
        <f t="shared" si="11"/>
        <v>14.5</v>
      </c>
      <c r="AQ23" s="20">
        <f t="shared" si="12"/>
        <v>34.950000000000003</v>
      </c>
      <c r="AR23" s="20">
        <f t="shared" si="13"/>
        <v>55.300000000000004</v>
      </c>
      <c r="AS23" s="35">
        <f t="shared" si="30"/>
        <v>329.55</v>
      </c>
      <c r="AU23" s="52">
        <v>141691</v>
      </c>
      <c r="AV23" s="37">
        <f t="shared" si="31"/>
        <v>2643</v>
      </c>
      <c r="AW23" s="37">
        <f>AV23*100*AV44</f>
        <v>1000.4838629999999</v>
      </c>
      <c r="AX23" s="35">
        <f t="shared" si="14"/>
        <v>5.2860000000000005</v>
      </c>
    </row>
    <row r="24" spans="1:50" x14ac:dyDescent="0.25">
      <c r="A24" s="23">
        <v>44791</v>
      </c>
      <c r="B24" s="40">
        <v>113</v>
      </c>
      <c r="C24" s="50">
        <v>8382140</v>
      </c>
      <c r="D24" s="50">
        <v>19988130</v>
      </c>
      <c r="E24" s="50">
        <v>3478520</v>
      </c>
      <c r="F24" s="50">
        <v>4207990</v>
      </c>
      <c r="G24" s="50">
        <v>12419430</v>
      </c>
      <c r="H24" s="50">
        <v>7233090</v>
      </c>
      <c r="I24" s="50">
        <v>6293290</v>
      </c>
      <c r="J24" s="50">
        <v>7805620</v>
      </c>
      <c r="K24" s="50">
        <v>11428360</v>
      </c>
      <c r="L24" s="50">
        <v>4971990</v>
      </c>
      <c r="M24" s="50">
        <v>9257750</v>
      </c>
      <c r="N24" s="50">
        <v>15151750</v>
      </c>
      <c r="O24" s="50">
        <v>21186260</v>
      </c>
      <c r="Q24" s="37">
        <f t="shared" si="17"/>
        <v>2870</v>
      </c>
      <c r="R24" s="37">
        <f t="shared" si="18"/>
        <v>14470</v>
      </c>
      <c r="S24" s="37">
        <f t="shared" si="16"/>
        <v>3790</v>
      </c>
      <c r="T24" s="37">
        <f t="shared" si="19"/>
        <v>1750</v>
      </c>
      <c r="U24" s="37">
        <f t="shared" si="20"/>
        <v>4190</v>
      </c>
      <c r="V24" s="37">
        <f t="shared" si="21"/>
        <v>4250</v>
      </c>
      <c r="W24" s="37">
        <f t="shared" si="22"/>
        <v>3010</v>
      </c>
      <c r="X24" s="37">
        <f t="shared" si="23"/>
        <v>4360</v>
      </c>
      <c r="Y24" s="37">
        <f t="shared" si="24"/>
        <v>5600</v>
      </c>
      <c r="Z24" s="37">
        <f t="shared" si="25"/>
        <v>2610</v>
      </c>
      <c r="AA24" s="37">
        <f t="shared" si="26"/>
        <v>2880</v>
      </c>
      <c r="AB24" s="37">
        <f t="shared" si="27"/>
        <v>7030</v>
      </c>
      <c r="AC24" s="37">
        <f t="shared" si="28"/>
        <v>9630</v>
      </c>
      <c r="AD24" s="35">
        <f t="shared" si="29"/>
        <v>66440</v>
      </c>
      <c r="AF24" s="20">
        <f t="shared" si="1"/>
        <v>14.35</v>
      </c>
      <c r="AG24" s="20">
        <f t="shared" si="2"/>
        <v>72.350000000000009</v>
      </c>
      <c r="AH24" s="20">
        <f t="shared" si="3"/>
        <v>18.95</v>
      </c>
      <c r="AI24" s="20">
        <f t="shared" si="4"/>
        <v>8.75</v>
      </c>
      <c r="AJ24" s="20">
        <f t="shared" si="5"/>
        <v>20.95</v>
      </c>
      <c r="AK24" s="20">
        <f t="shared" si="6"/>
        <v>21.25</v>
      </c>
      <c r="AL24" s="20">
        <f t="shared" si="7"/>
        <v>15.05</v>
      </c>
      <c r="AM24" s="20">
        <f t="shared" si="8"/>
        <v>21.8</v>
      </c>
      <c r="AN24" s="20">
        <f t="shared" si="9"/>
        <v>28</v>
      </c>
      <c r="AO24" s="20">
        <f t="shared" si="10"/>
        <v>13.05</v>
      </c>
      <c r="AP24" s="20">
        <f t="shared" si="11"/>
        <v>14.4</v>
      </c>
      <c r="AQ24" s="20">
        <f t="shared" si="12"/>
        <v>35.15</v>
      </c>
      <c r="AR24" s="20">
        <f t="shared" si="13"/>
        <v>48.15</v>
      </c>
      <c r="AS24" s="35">
        <f t="shared" si="30"/>
        <v>332.2</v>
      </c>
      <c r="AU24" s="52">
        <v>144158</v>
      </c>
      <c r="AV24" s="37">
        <f t="shared" si="31"/>
        <v>2467</v>
      </c>
      <c r="AW24" s="37">
        <f>AV24*100*AV44</f>
        <v>933.86064699999997</v>
      </c>
      <c r="AX24" s="35">
        <f t="shared" si="14"/>
        <v>4.9340000000000002</v>
      </c>
    </row>
    <row r="25" spans="1:50" x14ac:dyDescent="0.25">
      <c r="A25" s="23">
        <v>44792</v>
      </c>
      <c r="B25" s="40">
        <v>122</v>
      </c>
      <c r="C25" s="51">
        <v>8389970</v>
      </c>
      <c r="D25" s="51">
        <v>20003500</v>
      </c>
      <c r="E25" s="51">
        <v>3482450</v>
      </c>
      <c r="F25" s="51">
        <v>4209730</v>
      </c>
      <c r="G25" s="51">
        <v>12423720</v>
      </c>
      <c r="H25" s="51">
        <v>7237160</v>
      </c>
      <c r="I25" s="51">
        <v>6296370</v>
      </c>
      <c r="J25" s="51">
        <v>7809920</v>
      </c>
      <c r="K25" s="51">
        <v>11434070</v>
      </c>
      <c r="L25" s="51">
        <v>4974730</v>
      </c>
      <c r="M25" s="51">
        <v>9260590</v>
      </c>
      <c r="N25" s="51">
        <v>15158750</v>
      </c>
      <c r="O25" s="51">
        <v>21194820</v>
      </c>
      <c r="Q25" s="37">
        <f t="shared" ref="Q25:AC27" si="33">IF((C25-C24&lt;0), "0",C25-C24)</f>
        <v>7830</v>
      </c>
      <c r="R25" s="37">
        <f t="shared" si="18"/>
        <v>15370</v>
      </c>
      <c r="S25" s="37">
        <f t="shared" si="33"/>
        <v>3930</v>
      </c>
      <c r="T25" s="37">
        <f t="shared" si="33"/>
        <v>1740</v>
      </c>
      <c r="U25" s="37">
        <f t="shared" si="33"/>
        <v>4290</v>
      </c>
      <c r="V25" s="37">
        <f t="shared" si="33"/>
        <v>4070</v>
      </c>
      <c r="W25" s="37">
        <f t="shared" si="33"/>
        <v>3080</v>
      </c>
      <c r="X25" s="37">
        <f t="shared" si="33"/>
        <v>4300</v>
      </c>
      <c r="Y25" s="37">
        <f t="shared" si="33"/>
        <v>5710</v>
      </c>
      <c r="Z25" s="37">
        <f t="shared" si="33"/>
        <v>2740</v>
      </c>
      <c r="AA25" s="37">
        <f t="shared" si="33"/>
        <v>2840</v>
      </c>
      <c r="AB25" s="37">
        <f t="shared" si="33"/>
        <v>7000</v>
      </c>
      <c r="AC25" s="37">
        <f t="shared" si="33"/>
        <v>8560</v>
      </c>
      <c r="AD25" s="35">
        <f t="shared" si="29"/>
        <v>71460</v>
      </c>
      <c r="AF25" s="20">
        <f t="shared" si="1"/>
        <v>39.15</v>
      </c>
      <c r="AG25" s="20">
        <f t="shared" si="2"/>
        <v>76.850000000000009</v>
      </c>
      <c r="AH25" s="20">
        <f t="shared" si="3"/>
        <v>19.650000000000002</v>
      </c>
      <c r="AI25" s="20">
        <f t="shared" si="4"/>
        <v>8.7000000000000011</v>
      </c>
      <c r="AJ25" s="20">
        <f t="shared" si="5"/>
        <v>21.45</v>
      </c>
      <c r="AK25" s="20">
        <f t="shared" si="6"/>
        <v>20.350000000000001</v>
      </c>
      <c r="AL25" s="20">
        <f t="shared" si="7"/>
        <v>15.4</v>
      </c>
      <c r="AM25" s="20">
        <f t="shared" si="8"/>
        <v>21.5</v>
      </c>
      <c r="AN25" s="20">
        <f t="shared" si="9"/>
        <v>28.55</v>
      </c>
      <c r="AO25" s="20">
        <f t="shared" si="10"/>
        <v>13.700000000000001</v>
      </c>
      <c r="AP25" s="20">
        <f t="shared" si="11"/>
        <v>14.200000000000001</v>
      </c>
      <c r="AQ25" s="20">
        <f t="shared" si="12"/>
        <v>35</v>
      </c>
      <c r="AR25" s="20">
        <f t="shared" si="13"/>
        <v>42.800000000000004</v>
      </c>
      <c r="AS25" s="35">
        <f t="shared" si="30"/>
        <v>357.3</v>
      </c>
      <c r="AU25" s="52">
        <v>145585</v>
      </c>
      <c r="AV25" s="37">
        <f t="shared" si="31"/>
        <v>1427</v>
      </c>
      <c r="AW25" s="37">
        <f>AV25*100*AV44</f>
        <v>540.17800699999998</v>
      </c>
      <c r="AX25" s="35">
        <f t="shared" si="14"/>
        <v>2.8540000000000001</v>
      </c>
    </row>
    <row r="26" spans="1:50" x14ac:dyDescent="0.25">
      <c r="A26" s="23">
        <v>44793</v>
      </c>
      <c r="B26" s="40">
        <v>62</v>
      </c>
      <c r="C26" s="50">
        <v>8391070</v>
      </c>
      <c r="D26" s="50">
        <v>20017730</v>
      </c>
      <c r="E26" s="50">
        <v>3486240</v>
      </c>
      <c r="F26" s="50">
        <v>4211470</v>
      </c>
      <c r="G26" s="50">
        <v>12428190</v>
      </c>
      <c r="H26" s="50">
        <v>7241430</v>
      </c>
      <c r="I26" s="50">
        <v>6299190</v>
      </c>
      <c r="J26" s="50">
        <v>7814390</v>
      </c>
      <c r="K26" s="50">
        <v>11439810</v>
      </c>
      <c r="L26" s="50">
        <v>4977430</v>
      </c>
      <c r="M26" s="50">
        <v>9263530</v>
      </c>
      <c r="N26" s="50">
        <v>15165550</v>
      </c>
      <c r="O26" s="50">
        <v>21203820</v>
      </c>
      <c r="Q26" s="37">
        <f t="shared" si="33"/>
        <v>1100</v>
      </c>
      <c r="R26" s="37">
        <f t="shared" si="18"/>
        <v>14230</v>
      </c>
      <c r="S26" s="37">
        <f t="shared" si="33"/>
        <v>3790</v>
      </c>
      <c r="T26" s="37">
        <f t="shared" si="33"/>
        <v>1740</v>
      </c>
      <c r="U26" s="37">
        <f t="shared" si="33"/>
        <v>4470</v>
      </c>
      <c r="V26" s="37">
        <f t="shared" si="33"/>
        <v>4270</v>
      </c>
      <c r="W26" s="37">
        <f t="shared" si="33"/>
        <v>2820</v>
      </c>
      <c r="X26" s="37">
        <f t="shared" si="33"/>
        <v>4470</v>
      </c>
      <c r="Y26" s="37">
        <f t="shared" si="33"/>
        <v>5740</v>
      </c>
      <c r="Z26" s="37">
        <f t="shared" si="33"/>
        <v>2700</v>
      </c>
      <c r="AA26" s="37">
        <f t="shared" si="33"/>
        <v>2940</v>
      </c>
      <c r="AB26" s="37">
        <f t="shared" si="33"/>
        <v>6800</v>
      </c>
      <c r="AC26" s="37">
        <f t="shared" si="33"/>
        <v>9000</v>
      </c>
      <c r="AD26" s="35">
        <f t="shared" si="29"/>
        <v>64070</v>
      </c>
      <c r="AF26" s="20">
        <f t="shared" si="1"/>
        <v>5.5</v>
      </c>
      <c r="AG26" s="20">
        <f t="shared" si="2"/>
        <v>71.150000000000006</v>
      </c>
      <c r="AH26" s="20">
        <f t="shared" si="3"/>
        <v>18.95</v>
      </c>
      <c r="AI26" s="20">
        <f t="shared" si="4"/>
        <v>8.7000000000000011</v>
      </c>
      <c r="AJ26" s="20">
        <f t="shared" si="5"/>
        <v>22.35</v>
      </c>
      <c r="AK26" s="20">
        <f t="shared" si="6"/>
        <v>21.35</v>
      </c>
      <c r="AL26" s="20">
        <f t="shared" si="7"/>
        <v>14.1</v>
      </c>
      <c r="AM26" s="20">
        <f t="shared" si="8"/>
        <v>22.35</v>
      </c>
      <c r="AN26" s="20">
        <f t="shared" si="9"/>
        <v>28.7</v>
      </c>
      <c r="AO26" s="20">
        <f t="shared" si="10"/>
        <v>13.5</v>
      </c>
      <c r="AP26" s="20">
        <f t="shared" si="11"/>
        <v>14.700000000000001</v>
      </c>
      <c r="AQ26" s="20">
        <f t="shared" si="12"/>
        <v>34</v>
      </c>
      <c r="AR26" s="20">
        <f t="shared" si="13"/>
        <v>45</v>
      </c>
      <c r="AS26" s="35">
        <f t="shared" si="30"/>
        <v>320.34999999999997</v>
      </c>
      <c r="AU26" s="52">
        <v>148256</v>
      </c>
      <c r="AV26" s="37">
        <f t="shared" si="31"/>
        <v>2671</v>
      </c>
      <c r="AW26" s="37">
        <f>AV26*100*AV44</f>
        <v>1011.0830109999999</v>
      </c>
      <c r="AX26" s="35">
        <f t="shared" si="14"/>
        <v>5.3420000000000005</v>
      </c>
    </row>
    <row r="27" spans="1:50" x14ac:dyDescent="0.25">
      <c r="A27" s="23">
        <v>44794</v>
      </c>
      <c r="B27" s="40">
        <v>78</v>
      </c>
      <c r="C27" s="51">
        <v>8392050</v>
      </c>
      <c r="D27" s="51">
        <v>20032700</v>
      </c>
      <c r="E27" s="51">
        <v>3490320</v>
      </c>
      <c r="F27" s="51">
        <v>4213220</v>
      </c>
      <c r="G27" s="51">
        <v>12432460</v>
      </c>
      <c r="H27" s="51">
        <v>7245640</v>
      </c>
      <c r="I27" s="51">
        <v>6301980</v>
      </c>
      <c r="J27" s="51">
        <v>7818590</v>
      </c>
      <c r="K27" s="51">
        <v>11445430</v>
      </c>
      <c r="L27" s="51">
        <v>4980030</v>
      </c>
      <c r="M27" s="51">
        <v>9266410</v>
      </c>
      <c r="N27" s="51">
        <v>15172530</v>
      </c>
      <c r="O27" s="51">
        <v>21212820</v>
      </c>
      <c r="Q27" s="37">
        <f t="shared" si="33"/>
        <v>980</v>
      </c>
      <c r="R27" s="37">
        <f t="shared" si="18"/>
        <v>14970</v>
      </c>
      <c r="S27" s="37">
        <f t="shared" si="33"/>
        <v>4080</v>
      </c>
      <c r="T27" s="37">
        <f t="shared" si="33"/>
        <v>1750</v>
      </c>
      <c r="U27" s="37">
        <f t="shared" si="33"/>
        <v>4270</v>
      </c>
      <c r="V27" s="37">
        <f t="shared" si="33"/>
        <v>4210</v>
      </c>
      <c r="W27" s="37">
        <f t="shared" si="33"/>
        <v>2790</v>
      </c>
      <c r="X27" s="37">
        <f t="shared" si="33"/>
        <v>4200</v>
      </c>
      <c r="Y27" s="37">
        <f t="shared" si="33"/>
        <v>5620</v>
      </c>
      <c r="Z27" s="37">
        <f t="shared" si="33"/>
        <v>2600</v>
      </c>
      <c r="AA27" s="37">
        <f t="shared" si="33"/>
        <v>2880</v>
      </c>
      <c r="AB27" s="37">
        <f t="shared" si="33"/>
        <v>6980</v>
      </c>
      <c r="AC27" s="37">
        <f t="shared" si="33"/>
        <v>9000</v>
      </c>
      <c r="AD27" s="35">
        <f t="shared" si="29"/>
        <v>64330</v>
      </c>
      <c r="AF27" s="20">
        <f t="shared" si="1"/>
        <v>4.9000000000000004</v>
      </c>
      <c r="AG27" s="20">
        <f t="shared" si="2"/>
        <v>74.850000000000009</v>
      </c>
      <c r="AH27" s="20">
        <f t="shared" si="3"/>
        <v>20.400000000000002</v>
      </c>
      <c r="AI27" s="20">
        <f t="shared" si="4"/>
        <v>8.75</v>
      </c>
      <c r="AJ27" s="20">
        <f t="shared" si="5"/>
        <v>21.35</v>
      </c>
      <c r="AK27" s="20">
        <f t="shared" si="6"/>
        <v>21.05</v>
      </c>
      <c r="AL27" s="20">
        <f t="shared" si="7"/>
        <v>13.950000000000001</v>
      </c>
      <c r="AM27" s="20">
        <f t="shared" si="8"/>
        <v>21</v>
      </c>
      <c r="AN27" s="20">
        <f t="shared" si="9"/>
        <v>28.1</v>
      </c>
      <c r="AO27" s="20">
        <f t="shared" si="10"/>
        <v>13</v>
      </c>
      <c r="AP27" s="20">
        <f t="shared" si="11"/>
        <v>14.4</v>
      </c>
      <c r="AQ27" s="20">
        <f t="shared" si="12"/>
        <v>34.9</v>
      </c>
      <c r="AR27" s="20">
        <f t="shared" si="13"/>
        <v>45</v>
      </c>
      <c r="AS27" s="35">
        <f t="shared" si="30"/>
        <v>321.65000000000003</v>
      </c>
      <c r="AU27" s="54">
        <v>150747</v>
      </c>
      <c r="AV27" s="37">
        <f>IF((AU27-AU26&lt;0),"0",AU27-AU26)</f>
        <v>2491</v>
      </c>
      <c r="AW27" s="37">
        <f>AV27*100*AV44</f>
        <v>942.94563099999993</v>
      </c>
      <c r="AX27" s="35">
        <f t="shared" si="14"/>
        <v>4.9820000000000002</v>
      </c>
    </row>
    <row r="28" spans="1:50" x14ac:dyDescent="0.25">
      <c r="A28" s="23">
        <v>44795</v>
      </c>
      <c r="B28" s="40">
        <v>64</v>
      </c>
      <c r="C28" s="63">
        <v>8393030</v>
      </c>
      <c r="D28" s="63">
        <v>20047580</v>
      </c>
      <c r="E28" s="63">
        <v>3494350</v>
      </c>
      <c r="F28" s="63">
        <v>4214970</v>
      </c>
      <c r="G28" s="64">
        <v>12436650</v>
      </c>
      <c r="H28" s="63">
        <v>7249720</v>
      </c>
      <c r="I28" s="63">
        <v>6304730</v>
      </c>
      <c r="J28" s="63">
        <v>7822900</v>
      </c>
      <c r="K28" s="63">
        <v>11451020</v>
      </c>
      <c r="L28" s="63">
        <v>4982620</v>
      </c>
      <c r="M28" s="63">
        <v>9269180</v>
      </c>
      <c r="N28" s="63">
        <v>15179410</v>
      </c>
      <c r="O28" s="63">
        <v>21222410</v>
      </c>
      <c r="Q28" s="37">
        <f t="shared" si="17"/>
        <v>980</v>
      </c>
      <c r="R28" s="37">
        <f t="shared" si="18"/>
        <v>14880</v>
      </c>
      <c r="S28" s="37">
        <f t="shared" si="16"/>
        <v>4030</v>
      </c>
      <c r="T28" s="37">
        <f t="shared" si="19"/>
        <v>1750</v>
      </c>
      <c r="U28" s="37">
        <f t="shared" si="20"/>
        <v>4190</v>
      </c>
      <c r="V28" s="37">
        <f t="shared" si="21"/>
        <v>4080</v>
      </c>
      <c r="W28" s="37">
        <f t="shared" si="22"/>
        <v>2750</v>
      </c>
      <c r="X28" s="37">
        <f t="shared" si="23"/>
        <v>4310</v>
      </c>
      <c r="Y28" s="37">
        <f t="shared" si="24"/>
        <v>5590</v>
      </c>
      <c r="Z28" s="37">
        <f t="shared" si="25"/>
        <v>2590</v>
      </c>
      <c r="AA28" s="37">
        <f t="shared" si="26"/>
        <v>2770</v>
      </c>
      <c r="AB28" s="37">
        <f t="shared" si="27"/>
        <v>6880</v>
      </c>
      <c r="AC28" s="37">
        <f t="shared" si="28"/>
        <v>9590</v>
      </c>
      <c r="AD28" s="35">
        <f t="shared" si="29"/>
        <v>64390</v>
      </c>
      <c r="AF28" s="20">
        <f t="shared" si="1"/>
        <v>4.9000000000000004</v>
      </c>
      <c r="AG28" s="20">
        <f t="shared" si="2"/>
        <v>74.400000000000006</v>
      </c>
      <c r="AH28" s="20">
        <f t="shared" si="3"/>
        <v>20.150000000000002</v>
      </c>
      <c r="AI28" s="20">
        <f t="shared" si="4"/>
        <v>8.75</v>
      </c>
      <c r="AJ28" s="20">
        <f t="shared" si="5"/>
        <v>20.95</v>
      </c>
      <c r="AK28" s="20">
        <f t="shared" si="6"/>
        <v>20.400000000000002</v>
      </c>
      <c r="AL28" s="20">
        <f t="shared" si="7"/>
        <v>13.75</v>
      </c>
      <c r="AM28" s="20">
        <f t="shared" si="8"/>
        <v>21.55</v>
      </c>
      <c r="AN28" s="20">
        <f t="shared" si="9"/>
        <v>27.95</v>
      </c>
      <c r="AO28" s="20">
        <f t="shared" si="10"/>
        <v>12.950000000000001</v>
      </c>
      <c r="AP28" s="20">
        <f t="shared" si="11"/>
        <v>13.85</v>
      </c>
      <c r="AQ28" s="20">
        <f t="shared" si="12"/>
        <v>34.4</v>
      </c>
      <c r="AR28" s="20">
        <f t="shared" si="13"/>
        <v>47.95</v>
      </c>
      <c r="AS28" s="35">
        <f t="shared" si="30"/>
        <v>321.95</v>
      </c>
      <c r="AU28" s="65">
        <v>152818</v>
      </c>
      <c r="AV28" s="37">
        <f>IF((AU28-AU27&lt;0),"0",AU28-AU27)</f>
        <v>2071</v>
      </c>
      <c r="AW28" s="37">
        <f>AV28*100*AV44</f>
        <v>783.95841099999996</v>
      </c>
      <c r="AX28" s="35">
        <f t="shared" si="14"/>
        <v>4.1420000000000003</v>
      </c>
    </row>
    <row r="29" spans="1:50" x14ac:dyDescent="0.25">
      <c r="A29" s="23">
        <v>44796</v>
      </c>
      <c r="B29" s="40">
        <v>75</v>
      </c>
      <c r="C29" s="51">
        <v>8394010</v>
      </c>
      <c r="D29" s="51">
        <v>20062090</v>
      </c>
      <c r="E29" s="51">
        <v>3498230</v>
      </c>
      <c r="F29" s="51">
        <v>4216720</v>
      </c>
      <c r="G29" s="51">
        <v>12440780</v>
      </c>
      <c r="H29" s="51">
        <v>7253760</v>
      </c>
      <c r="I29" s="51">
        <v>6307630</v>
      </c>
      <c r="J29" s="51">
        <v>7827380</v>
      </c>
      <c r="K29" s="51">
        <v>11456610</v>
      </c>
      <c r="L29" s="51">
        <v>4985250</v>
      </c>
      <c r="M29" s="51">
        <v>9272040</v>
      </c>
      <c r="N29" s="51">
        <v>15186390</v>
      </c>
      <c r="O29" s="51">
        <v>21233110</v>
      </c>
      <c r="Q29" s="37">
        <f t="shared" si="17"/>
        <v>980</v>
      </c>
      <c r="R29" s="37">
        <f t="shared" si="18"/>
        <v>14510</v>
      </c>
      <c r="S29" s="37">
        <f t="shared" si="16"/>
        <v>3880</v>
      </c>
      <c r="T29" s="37">
        <f t="shared" si="19"/>
        <v>1750</v>
      </c>
      <c r="U29" s="37">
        <f t="shared" si="20"/>
        <v>4130</v>
      </c>
      <c r="V29" s="37">
        <f t="shared" si="21"/>
        <v>4040</v>
      </c>
      <c r="W29" s="37">
        <f t="shared" si="22"/>
        <v>2900</v>
      </c>
      <c r="X29" s="37">
        <f t="shared" si="23"/>
        <v>4480</v>
      </c>
      <c r="Y29" s="37">
        <f t="shared" si="24"/>
        <v>5590</v>
      </c>
      <c r="Z29" s="37">
        <f t="shared" si="25"/>
        <v>2630</v>
      </c>
      <c r="AA29" s="37">
        <f t="shared" si="26"/>
        <v>2860</v>
      </c>
      <c r="AB29" s="37">
        <f t="shared" si="27"/>
        <v>6980</v>
      </c>
      <c r="AC29" s="37">
        <f t="shared" si="28"/>
        <v>10700</v>
      </c>
      <c r="AD29" s="35">
        <f t="shared" si="29"/>
        <v>65430</v>
      </c>
      <c r="AF29" s="20">
        <f t="shared" si="1"/>
        <v>4.9000000000000004</v>
      </c>
      <c r="AG29" s="20">
        <f t="shared" si="2"/>
        <v>72.55</v>
      </c>
      <c r="AH29" s="20">
        <f t="shared" si="3"/>
        <v>19.400000000000002</v>
      </c>
      <c r="AI29" s="20">
        <f t="shared" si="4"/>
        <v>8.75</v>
      </c>
      <c r="AJ29" s="20">
        <f t="shared" si="5"/>
        <v>20.650000000000002</v>
      </c>
      <c r="AK29" s="20">
        <f t="shared" si="6"/>
        <v>20.2</v>
      </c>
      <c r="AL29" s="20">
        <f t="shared" si="7"/>
        <v>14.5</v>
      </c>
      <c r="AM29" s="20">
        <f t="shared" si="8"/>
        <v>22.400000000000002</v>
      </c>
      <c r="AN29" s="20">
        <f t="shared" si="9"/>
        <v>27.95</v>
      </c>
      <c r="AO29" s="20">
        <f t="shared" si="10"/>
        <v>13.15</v>
      </c>
      <c r="AP29" s="20">
        <f t="shared" si="11"/>
        <v>14.3</v>
      </c>
      <c r="AQ29" s="20">
        <f t="shared" si="12"/>
        <v>34.9</v>
      </c>
      <c r="AR29" s="20">
        <f t="shared" si="13"/>
        <v>53.5</v>
      </c>
      <c r="AS29" s="35">
        <f t="shared" si="30"/>
        <v>327.15000000000003</v>
      </c>
      <c r="AU29" s="54">
        <v>155395</v>
      </c>
      <c r="AV29" s="37">
        <f>IF((AU29-AU28&lt;0),"0",AU29-AU28)</f>
        <v>2577</v>
      </c>
      <c r="AW29" s="37">
        <f>AV29*100*AV44</f>
        <v>975.50015699999994</v>
      </c>
      <c r="AX29" s="35">
        <f t="shared" si="14"/>
        <v>5.1539999999999999</v>
      </c>
    </row>
    <row r="30" spans="1:50" x14ac:dyDescent="0.25">
      <c r="A30" s="23">
        <v>44797</v>
      </c>
      <c r="B30" s="40">
        <v>71</v>
      </c>
      <c r="C30" s="50">
        <v>8394900</v>
      </c>
      <c r="D30" s="50">
        <v>20076120</v>
      </c>
      <c r="E30" s="50">
        <v>3501950</v>
      </c>
      <c r="F30" s="50">
        <v>4218450</v>
      </c>
      <c r="G30" s="50">
        <v>12444920</v>
      </c>
      <c r="H30" s="50">
        <v>7257750</v>
      </c>
      <c r="I30" s="50">
        <v>6310580</v>
      </c>
      <c r="J30" s="50">
        <v>7831950</v>
      </c>
      <c r="K30" s="50">
        <v>11462230</v>
      </c>
      <c r="L30" s="50">
        <v>4987820</v>
      </c>
      <c r="M30" s="50">
        <v>9274830</v>
      </c>
      <c r="N30" s="50">
        <v>15193090</v>
      </c>
      <c r="O30" s="50">
        <v>21243590</v>
      </c>
      <c r="Q30" s="37">
        <f t="shared" si="17"/>
        <v>890</v>
      </c>
      <c r="R30" s="37">
        <f t="shared" si="18"/>
        <v>14030</v>
      </c>
      <c r="S30" s="37">
        <f t="shared" si="16"/>
        <v>3720</v>
      </c>
      <c r="T30" s="37">
        <f t="shared" si="19"/>
        <v>1730</v>
      </c>
      <c r="U30" s="37">
        <f t="shared" si="20"/>
        <v>4140</v>
      </c>
      <c r="V30" s="37">
        <f t="shared" si="21"/>
        <v>3990</v>
      </c>
      <c r="W30" s="37">
        <f t="shared" si="22"/>
        <v>2950</v>
      </c>
      <c r="X30" s="37">
        <f t="shared" si="23"/>
        <v>4570</v>
      </c>
      <c r="Y30" s="37">
        <f t="shared" si="24"/>
        <v>5620</v>
      </c>
      <c r="Z30" s="37">
        <f t="shared" si="25"/>
        <v>2570</v>
      </c>
      <c r="AA30" s="37">
        <f t="shared" si="26"/>
        <v>2790</v>
      </c>
      <c r="AB30" s="37">
        <f t="shared" si="27"/>
        <v>6700</v>
      </c>
      <c r="AC30" s="37">
        <f t="shared" si="28"/>
        <v>10480</v>
      </c>
      <c r="AD30" s="35">
        <f t="shared" si="29"/>
        <v>64180</v>
      </c>
      <c r="AF30" s="20">
        <f t="shared" si="1"/>
        <v>4.45</v>
      </c>
      <c r="AG30" s="20">
        <f t="shared" si="2"/>
        <v>70.150000000000006</v>
      </c>
      <c r="AH30" s="20">
        <f t="shared" si="3"/>
        <v>18.600000000000001</v>
      </c>
      <c r="AI30" s="20">
        <f t="shared" si="4"/>
        <v>8.65</v>
      </c>
      <c r="AJ30" s="20">
        <f t="shared" si="5"/>
        <v>20.7</v>
      </c>
      <c r="AK30" s="20">
        <f t="shared" si="6"/>
        <v>19.95</v>
      </c>
      <c r="AL30" s="20">
        <f t="shared" si="7"/>
        <v>14.75</v>
      </c>
      <c r="AM30" s="20">
        <f t="shared" si="8"/>
        <v>22.85</v>
      </c>
      <c r="AN30" s="20">
        <f t="shared" si="9"/>
        <v>28.1</v>
      </c>
      <c r="AO30" s="20">
        <f t="shared" si="10"/>
        <v>12.85</v>
      </c>
      <c r="AP30" s="20">
        <f t="shared" si="11"/>
        <v>13.950000000000001</v>
      </c>
      <c r="AQ30" s="20">
        <f t="shared" si="12"/>
        <v>33.5</v>
      </c>
      <c r="AR30" s="20">
        <f t="shared" si="13"/>
        <v>52.4</v>
      </c>
      <c r="AS30" s="35">
        <f t="shared" si="30"/>
        <v>320.89999999999998</v>
      </c>
      <c r="AU30" s="53">
        <v>158806</v>
      </c>
      <c r="AV30" s="37">
        <f t="shared" ref="AV30:AV36" si="34">IF((AU30-AU29&lt;0),"0",AU30-AU29)</f>
        <v>3411</v>
      </c>
      <c r="AW30" s="37">
        <f>AV30*100*AV44</f>
        <v>1291.2033509999999</v>
      </c>
      <c r="AX30" s="35">
        <f t="shared" si="14"/>
        <v>6.8220000000000001</v>
      </c>
    </row>
    <row r="31" spans="1:50" x14ac:dyDescent="0.25">
      <c r="A31" s="23">
        <v>44798</v>
      </c>
      <c r="B31" s="40">
        <v>99</v>
      </c>
      <c r="C31" s="51">
        <v>8395950</v>
      </c>
      <c r="D31" s="51">
        <v>20090080</v>
      </c>
      <c r="E31" s="51">
        <v>3505650</v>
      </c>
      <c r="F31" s="51">
        <v>4220160</v>
      </c>
      <c r="G31" s="51">
        <v>12449220</v>
      </c>
      <c r="H31" s="51">
        <v>7261680</v>
      </c>
      <c r="I31" s="51">
        <v>6313590</v>
      </c>
      <c r="J31" s="51">
        <v>7836440</v>
      </c>
      <c r="K31" s="51">
        <v>11467800</v>
      </c>
      <c r="L31" s="51">
        <v>4990340</v>
      </c>
      <c r="M31" s="51">
        <v>9277600</v>
      </c>
      <c r="N31" s="51">
        <v>15199890</v>
      </c>
      <c r="O31" s="51">
        <v>21253660</v>
      </c>
      <c r="Q31" s="37">
        <f>IF((C31-C30&lt;0), "0",C31-C30)</f>
        <v>1050</v>
      </c>
      <c r="R31" s="37">
        <f t="shared" si="18"/>
        <v>13960</v>
      </c>
      <c r="S31" s="37">
        <f t="shared" si="16"/>
        <v>3700</v>
      </c>
      <c r="T31" s="37">
        <f t="shared" si="19"/>
        <v>1710</v>
      </c>
      <c r="U31" s="37">
        <f t="shared" si="20"/>
        <v>4300</v>
      </c>
      <c r="V31" s="37">
        <f t="shared" si="21"/>
        <v>3930</v>
      </c>
      <c r="W31" s="37">
        <f t="shared" si="22"/>
        <v>3010</v>
      </c>
      <c r="X31" s="37">
        <f t="shared" si="23"/>
        <v>4490</v>
      </c>
      <c r="Y31" s="37">
        <f t="shared" si="24"/>
        <v>5570</v>
      </c>
      <c r="Z31" s="37">
        <f t="shared" si="25"/>
        <v>2520</v>
      </c>
      <c r="AA31" s="37">
        <f t="shared" si="26"/>
        <v>2770</v>
      </c>
      <c r="AB31" s="37">
        <f t="shared" si="27"/>
        <v>6800</v>
      </c>
      <c r="AC31" s="37">
        <f t="shared" si="28"/>
        <v>10070</v>
      </c>
      <c r="AD31" s="35">
        <f t="shared" si="29"/>
        <v>63880</v>
      </c>
      <c r="AF31" s="20">
        <f t="shared" si="1"/>
        <v>5.25</v>
      </c>
      <c r="AG31" s="20">
        <f t="shared" si="2"/>
        <v>69.8</v>
      </c>
      <c r="AH31" s="20">
        <f t="shared" si="3"/>
        <v>18.5</v>
      </c>
      <c r="AI31" s="20">
        <f t="shared" si="4"/>
        <v>8.5500000000000007</v>
      </c>
      <c r="AJ31" s="20">
        <f t="shared" si="5"/>
        <v>21.5</v>
      </c>
      <c r="AK31" s="20">
        <f t="shared" si="6"/>
        <v>19.650000000000002</v>
      </c>
      <c r="AL31" s="20">
        <f t="shared" si="7"/>
        <v>15.05</v>
      </c>
      <c r="AM31" s="20">
        <f t="shared" si="8"/>
        <v>22.45</v>
      </c>
      <c r="AN31" s="20">
        <f t="shared" si="9"/>
        <v>27.85</v>
      </c>
      <c r="AO31" s="20">
        <f t="shared" si="10"/>
        <v>12.6</v>
      </c>
      <c r="AP31" s="20">
        <f t="shared" si="11"/>
        <v>13.85</v>
      </c>
      <c r="AQ31" s="20">
        <f t="shared" si="12"/>
        <v>34</v>
      </c>
      <c r="AR31" s="20">
        <f t="shared" si="13"/>
        <v>50.35</v>
      </c>
      <c r="AS31" s="35">
        <f t="shared" si="30"/>
        <v>319.39999999999998</v>
      </c>
      <c r="AU31" s="54">
        <v>161015</v>
      </c>
      <c r="AV31" s="37">
        <f t="shared" si="34"/>
        <v>2209</v>
      </c>
      <c r="AW31" s="37">
        <f>AV31*100*AV44</f>
        <v>836.19706899999994</v>
      </c>
      <c r="AX31" s="35">
        <f t="shared" si="14"/>
        <v>4.4180000000000001</v>
      </c>
    </row>
    <row r="32" spans="1:50" x14ac:dyDescent="0.25">
      <c r="A32" s="23">
        <v>44799</v>
      </c>
      <c r="B32" s="40">
        <v>116</v>
      </c>
      <c r="C32" s="50">
        <v>8396920</v>
      </c>
      <c r="D32" s="50">
        <v>20104130</v>
      </c>
      <c r="E32" s="50">
        <v>3509360</v>
      </c>
      <c r="F32" s="50">
        <v>4221870</v>
      </c>
      <c r="G32" s="50">
        <v>12453820</v>
      </c>
      <c r="H32" s="50">
        <v>7265770</v>
      </c>
      <c r="I32" s="50">
        <v>6316780</v>
      </c>
      <c r="J32" s="50">
        <v>7840980</v>
      </c>
      <c r="K32" s="50">
        <v>11473570</v>
      </c>
      <c r="L32" s="50">
        <v>4992990</v>
      </c>
      <c r="M32" s="50">
        <v>9280560</v>
      </c>
      <c r="N32" s="50">
        <v>15206800</v>
      </c>
      <c r="O32" s="50">
        <v>21264430</v>
      </c>
      <c r="Q32" s="37">
        <f>IF((C32-C31&lt;0), "0",C32-C31)</f>
        <v>970</v>
      </c>
      <c r="R32" s="37">
        <f t="shared" si="18"/>
        <v>14050</v>
      </c>
      <c r="S32" s="37">
        <f t="shared" si="16"/>
        <v>3710</v>
      </c>
      <c r="T32" s="37">
        <f t="shared" si="19"/>
        <v>1710</v>
      </c>
      <c r="U32" s="37">
        <f t="shared" si="20"/>
        <v>4600</v>
      </c>
      <c r="V32" s="37">
        <f t="shared" si="21"/>
        <v>4090</v>
      </c>
      <c r="W32" s="37">
        <f t="shared" si="22"/>
        <v>3190</v>
      </c>
      <c r="X32" s="37">
        <f t="shared" si="23"/>
        <v>4540</v>
      </c>
      <c r="Y32" s="37">
        <f t="shared" si="24"/>
        <v>5770</v>
      </c>
      <c r="Z32" s="37">
        <f t="shared" si="25"/>
        <v>2650</v>
      </c>
      <c r="AA32" s="37">
        <f t="shared" si="26"/>
        <v>2960</v>
      </c>
      <c r="AB32" s="37">
        <f t="shared" si="27"/>
        <v>6910</v>
      </c>
      <c r="AC32" s="37">
        <f t="shared" si="28"/>
        <v>10770</v>
      </c>
      <c r="AD32" s="35">
        <f t="shared" si="29"/>
        <v>65920</v>
      </c>
      <c r="AF32" s="20">
        <f t="shared" si="1"/>
        <v>4.8500000000000005</v>
      </c>
      <c r="AG32" s="20">
        <f t="shared" si="2"/>
        <v>70.25</v>
      </c>
      <c r="AH32" s="20">
        <f t="shared" si="3"/>
        <v>18.55</v>
      </c>
      <c r="AI32" s="20">
        <f t="shared" si="4"/>
        <v>8.5500000000000007</v>
      </c>
      <c r="AJ32" s="20">
        <f t="shared" si="5"/>
        <v>23</v>
      </c>
      <c r="AK32" s="20">
        <f t="shared" si="6"/>
        <v>20.45</v>
      </c>
      <c r="AL32" s="20">
        <f t="shared" si="7"/>
        <v>15.950000000000001</v>
      </c>
      <c r="AM32" s="20">
        <f t="shared" si="8"/>
        <v>22.7</v>
      </c>
      <c r="AN32" s="20">
        <f t="shared" si="9"/>
        <v>28.85</v>
      </c>
      <c r="AO32" s="20">
        <f t="shared" si="10"/>
        <v>13.25</v>
      </c>
      <c r="AP32" s="20">
        <f t="shared" si="11"/>
        <v>14.8</v>
      </c>
      <c r="AQ32" s="20">
        <f t="shared" si="12"/>
        <v>34.550000000000004</v>
      </c>
      <c r="AR32" s="20">
        <f t="shared" si="13"/>
        <v>53.85</v>
      </c>
      <c r="AS32" s="35">
        <f t="shared" si="30"/>
        <v>329.59999999999997</v>
      </c>
      <c r="AU32" s="53">
        <v>163142</v>
      </c>
      <c r="AV32" s="37">
        <f t="shared" si="34"/>
        <v>2127</v>
      </c>
      <c r="AW32" s="37">
        <f>AV32*100*AV44</f>
        <v>805.15670699999998</v>
      </c>
      <c r="AX32" s="35">
        <f t="shared" si="14"/>
        <v>4.2540000000000004</v>
      </c>
    </row>
    <row r="33" spans="1:50" x14ac:dyDescent="0.25">
      <c r="A33" s="23">
        <v>44800</v>
      </c>
      <c r="B33" s="40">
        <v>53</v>
      </c>
      <c r="C33" s="51">
        <v>8397890</v>
      </c>
      <c r="D33" s="51">
        <v>20118340</v>
      </c>
      <c r="E33" s="51">
        <v>3513150</v>
      </c>
      <c r="F33" s="51">
        <v>4223590</v>
      </c>
      <c r="G33" s="51">
        <v>12458250</v>
      </c>
      <c r="H33" s="51">
        <v>7269980</v>
      </c>
      <c r="I33" s="51">
        <v>6320090</v>
      </c>
      <c r="J33" s="51">
        <v>7845440</v>
      </c>
      <c r="K33" s="51">
        <v>11479310</v>
      </c>
      <c r="L33" s="51">
        <v>4995530</v>
      </c>
      <c r="M33" s="51">
        <v>9283510</v>
      </c>
      <c r="N33" s="51">
        <v>15213740</v>
      </c>
      <c r="O33" s="51">
        <v>21273690</v>
      </c>
      <c r="Q33" s="37">
        <f>IF((C33-C32&lt;0), "0",C33-C32)</f>
        <v>970</v>
      </c>
      <c r="R33" s="37">
        <f t="shared" si="18"/>
        <v>14210</v>
      </c>
      <c r="S33" s="37">
        <f t="shared" si="16"/>
        <v>3790</v>
      </c>
      <c r="T33" s="37">
        <f t="shared" si="19"/>
        <v>1720</v>
      </c>
      <c r="U33" s="37">
        <f t="shared" si="20"/>
        <v>4430</v>
      </c>
      <c r="V33" s="37">
        <f t="shared" si="21"/>
        <v>4210</v>
      </c>
      <c r="W33" s="37">
        <f t="shared" si="22"/>
        <v>3310</v>
      </c>
      <c r="X33" s="37">
        <f t="shared" si="23"/>
        <v>4460</v>
      </c>
      <c r="Y33" s="37">
        <f t="shared" si="24"/>
        <v>5740</v>
      </c>
      <c r="Z33" s="37">
        <f t="shared" si="25"/>
        <v>2540</v>
      </c>
      <c r="AA33" s="37">
        <f t="shared" si="26"/>
        <v>2950</v>
      </c>
      <c r="AB33" s="37">
        <f t="shared" si="27"/>
        <v>6940</v>
      </c>
      <c r="AC33" s="37">
        <f t="shared" si="28"/>
        <v>9260</v>
      </c>
      <c r="AD33" s="35">
        <f t="shared" si="29"/>
        <v>64530</v>
      </c>
      <c r="AF33" s="20">
        <f t="shared" si="1"/>
        <v>4.8500000000000005</v>
      </c>
      <c r="AG33" s="20">
        <f t="shared" si="2"/>
        <v>71.05</v>
      </c>
      <c r="AH33" s="20">
        <f t="shared" si="3"/>
        <v>18.95</v>
      </c>
      <c r="AI33" s="20">
        <f t="shared" si="4"/>
        <v>8.6</v>
      </c>
      <c r="AJ33" s="20">
        <f t="shared" si="5"/>
        <v>22.150000000000002</v>
      </c>
      <c r="AK33" s="20">
        <f t="shared" si="6"/>
        <v>21.05</v>
      </c>
      <c r="AL33" s="20">
        <f t="shared" si="7"/>
        <v>16.55</v>
      </c>
      <c r="AM33" s="20">
        <f t="shared" si="8"/>
        <v>22.3</v>
      </c>
      <c r="AN33" s="20">
        <f t="shared" si="9"/>
        <v>28.7</v>
      </c>
      <c r="AO33" s="20">
        <f t="shared" si="10"/>
        <v>12.700000000000001</v>
      </c>
      <c r="AP33" s="20">
        <f t="shared" si="11"/>
        <v>14.75</v>
      </c>
      <c r="AQ33" s="20">
        <f t="shared" si="12"/>
        <v>34.700000000000003</v>
      </c>
      <c r="AR33" s="20">
        <f t="shared" si="13"/>
        <v>46.300000000000004</v>
      </c>
      <c r="AS33" s="35">
        <f t="shared" si="30"/>
        <v>322.65000000000003</v>
      </c>
      <c r="AU33" s="54">
        <v>165311</v>
      </c>
      <c r="AV33" s="37">
        <f t="shared" si="34"/>
        <v>2169</v>
      </c>
      <c r="AW33" s="37">
        <f>AV33*100*AV44</f>
        <v>821.055429</v>
      </c>
      <c r="AX33" s="35">
        <f t="shared" si="14"/>
        <v>4.3380000000000001</v>
      </c>
    </row>
    <row r="34" spans="1:50" x14ac:dyDescent="0.25">
      <c r="A34" s="23">
        <v>44801</v>
      </c>
      <c r="B34" s="48">
        <v>57</v>
      </c>
      <c r="C34" s="50">
        <v>8398870</v>
      </c>
      <c r="D34" s="50">
        <v>20133190</v>
      </c>
      <c r="E34" s="50">
        <v>3517180</v>
      </c>
      <c r="F34" s="50">
        <v>4225340</v>
      </c>
      <c r="G34" s="50">
        <v>12462550</v>
      </c>
      <c r="H34" s="50">
        <v>7274150</v>
      </c>
      <c r="I34" s="50">
        <v>6322960</v>
      </c>
      <c r="J34" s="50">
        <v>7849490</v>
      </c>
      <c r="K34" s="50">
        <v>11484930</v>
      </c>
      <c r="L34" s="50">
        <v>4998050</v>
      </c>
      <c r="M34" s="50">
        <v>9286290</v>
      </c>
      <c r="N34" s="50">
        <v>15220610</v>
      </c>
      <c r="O34" s="50">
        <v>21282950</v>
      </c>
      <c r="Q34" s="37">
        <f>IF((C34-C33&lt;0), "0",C34-C33)</f>
        <v>980</v>
      </c>
      <c r="R34" s="37">
        <f t="shared" si="18"/>
        <v>14850</v>
      </c>
      <c r="S34" s="37">
        <f t="shared" si="16"/>
        <v>4030</v>
      </c>
      <c r="T34" s="37">
        <f t="shared" si="19"/>
        <v>1750</v>
      </c>
      <c r="U34" s="37">
        <f t="shared" si="20"/>
        <v>4300</v>
      </c>
      <c r="V34" s="37">
        <f t="shared" si="21"/>
        <v>4170</v>
      </c>
      <c r="W34" s="37">
        <f t="shared" si="22"/>
        <v>2870</v>
      </c>
      <c r="X34" s="37">
        <f t="shared" si="23"/>
        <v>4050</v>
      </c>
      <c r="Y34" s="37">
        <f t="shared" si="24"/>
        <v>5620</v>
      </c>
      <c r="Z34" s="37">
        <f t="shared" si="25"/>
        <v>2520</v>
      </c>
      <c r="AA34" s="37">
        <f t="shared" si="26"/>
        <v>2780</v>
      </c>
      <c r="AB34" s="37">
        <f t="shared" si="27"/>
        <v>6870</v>
      </c>
      <c r="AC34" s="37">
        <f t="shared" si="28"/>
        <v>9260</v>
      </c>
      <c r="AD34" s="35">
        <f t="shared" si="29"/>
        <v>64050</v>
      </c>
      <c r="AF34" s="20">
        <f>Q34*$D$39</f>
        <v>4.9000000000000004</v>
      </c>
      <c r="AG34" s="20">
        <f t="shared" si="2"/>
        <v>74.25</v>
      </c>
      <c r="AH34" s="20">
        <f t="shared" si="3"/>
        <v>20.150000000000002</v>
      </c>
      <c r="AI34" s="20">
        <f t="shared" si="4"/>
        <v>8.75</v>
      </c>
      <c r="AJ34" s="20">
        <f t="shared" si="5"/>
        <v>21.5</v>
      </c>
      <c r="AK34" s="20">
        <f t="shared" si="6"/>
        <v>20.85</v>
      </c>
      <c r="AL34" s="20">
        <f t="shared" si="7"/>
        <v>14.35</v>
      </c>
      <c r="AM34" s="20">
        <f t="shared" si="8"/>
        <v>20.25</v>
      </c>
      <c r="AN34" s="20">
        <f t="shared" si="9"/>
        <v>28.1</v>
      </c>
      <c r="AO34" s="20">
        <f t="shared" si="10"/>
        <v>12.6</v>
      </c>
      <c r="AP34" s="20">
        <f t="shared" si="11"/>
        <v>13.9</v>
      </c>
      <c r="AQ34" s="20">
        <f t="shared" si="12"/>
        <v>34.35</v>
      </c>
      <c r="AR34" s="20">
        <f t="shared" si="13"/>
        <v>46.300000000000004</v>
      </c>
      <c r="AS34" s="35">
        <f>SUM(AF34:AR34)</f>
        <v>320.25</v>
      </c>
      <c r="AU34" s="53">
        <v>167685</v>
      </c>
      <c r="AV34" s="37">
        <f t="shared" si="34"/>
        <v>2374</v>
      </c>
      <c r="AW34" s="37">
        <f>AV34*100*AV44</f>
        <v>898.65633400000002</v>
      </c>
      <c r="AX34" s="35">
        <f t="shared" si="14"/>
        <v>4.7480000000000002</v>
      </c>
    </row>
    <row r="35" spans="1:50" x14ac:dyDescent="0.25">
      <c r="A35" s="23">
        <v>44802</v>
      </c>
      <c r="B35" s="40">
        <v>90</v>
      </c>
      <c r="C35" s="51">
        <v>8400420</v>
      </c>
      <c r="D35" s="51">
        <v>20148130</v>
      </c>
      <c r="E35" s="51">
        <v>3521190</v>
      </c>
      <c r="F35" s="51">
        <v>4227080</v>
      </c>
      <c r="G35" s="51">
        <v>12466900</v>
      </c>
      <c r="H35" s="51">
        <v>7278300</v>
      </c>
      <c r="I35" s="51">
        <v>6325880</v>
      </c>
      <c r="J35" s="51">
        <v>7853850</v>
      </c>
      <c r="K35" s="51">
        <v>11490460</v>
      </c>
      <c r="L35" s="51">
        <v>5000660</v>
      </c>
      <c r="M35" s="51">
        <v>9288950</v>
      </c>
      <c r="N35" s="51">
        <v>15227470</v>
      </c>
      <c r="O35" s="51">
        <v>21292310</v>
      </c>
      <c r="Q35" s="37">
        <f>IF((C35-C34&lt;0), "0",C35-C34)</f>
        <v>1550</v>
      </c>
      <c r="R35" s="37">
        <f t="shared" si="18"/>
        <v>14940</v>
      </c>
      <c r="S35" s="37">
        <f t="shared" si="16"/>
        <v>4010</v>
      </c>
      <c r="T35" s="37">
        <f t="shared" si="19"/>
        <v>1740</v>
      </c>
      <c r="U35" s="37">
        <f t="shared" si="20"/>
        <v>4350</v>
      </c>
      <c r="V35" s="37">
        <f t="shared" si="21"/>
        <v>4150</v>
      </c>
      <c r="W35" s="37">
        <f t="shared" si="22"/>
        <v>2920</v>
      </c>
      <c r="X35" s="37">
        <f t="shared" si="23"/>
        <v>4360</v>
      </c>
      <c r="Y35" s="37">
        <f t="shared" si="24"/>
        <v>5530</v>
      </c>
      <c r="Z35" s="37">
        <f t="shared" si="25"/>
        <v>2610</v>
      </c>
      <c r="AA35" s="37">
        <f t="shared" si="26"/>
        <v>2660</v>
      </c>
      <c r="AB35" s="37">
        <f t="shared" si="27"/>
        <v>6860</v>
      </c>
      <c r="AC35" s="37">
        <f t="shared" si="28"/>
        <v>9360</v>
      </c>
      <c r="AD35" s="35">
        <f t="shared" si="29"/>
        <v>65040</v>
      </c>
      <c r="AF35" s="20">
        <f t="shared" si="1"/>
        <v>7.75</v>
      </c>
      <c r="AG35" s="20">
        <f t="shared" si="2"/>
        <v>74.7</v>
      </c>
      <c r="AH35" s="20">
        <f t="shared" si="3"/>
        <v>20.05</v>
      </c>
      <c r="AI35" s="20">
        <f t="shared" si="4"/>
        <v>8.7000000000000011</v>
      </c>
      <c r="AJ35" s="20">
        <f t="shared" si="5"/>
        <v>21.75</v>
      </c>
      <c r="AK35" s="20">
        <f t="shared" si="6"/>
        <v>20.75</v>
      </c>
      <c r="AL35" s="20">
        <f t="shared" si="7"/>
        <v>14.6</v>
      </c>
      <c r="AM35" s="20">
        <f t="shared" si="8"/>
        <v>21.8</v>
      </c>
      <c r="AN35" s="20">
        <f t="shared" si="9"/>
        <v>27.650000000000002</v>
      </c>
      <c r="AO35" s="20">
        <f t="shared" si="10"/>
        <v>13.05</v>
      </c>
      <c r="AP35" s="20">
        <f t="shared" si="11"/>
        <v>13.3</v>
      </c>
      <c r="AQ35" s="20">
        <f t="shared" si="12"/>
        <v>34.300000000000004</v>
      </c>
      <c r="AR35" s="20">
        <f t="shared" si="13"/>
        <v>46.800000000000004</v>
      </c>
      <c r="AS35" s="35">
        <f>SUM(AF35:AR35)</f>
        <v>325.20000000000005</v>
      </c>
      <c r="AU35" s="54">
        <v>170136</v>
      </c>
      <c r="AV35" s="37">
        <f t="shared" si="34"/>
        <v>2451</v>
      </c>
      <c r="AW35" s="37">
        <f>AV35*100*AV44</f>
        <v>927.803991</v>
      </c>
      <c r="AX35" s="35">
        <f t="shared" si="14"/>
        <v>4.9020000000000001</v>
      </c>
    </row>
    <row r="36" spans="1:50" x14ac:dyDescent="0.25">
      <c r="A36" s="23">
        <v>44803</v>
      </c>
      <c r="B36" s="40">
        <v>87</v>
      </c>
      <c r="C36" s="50">
        <v>8403530</v>
      </c>
      <c r="D36" s="50">
        <v>20163050</v>
      </c>
      <c r="E36" s="50">
        <v>3525090</v>
      </c>
      <c r="F36" s="50">
        <v>4228810</v>
      </c>
      <c r="G36" s="50">
        <v>12471280</v>
      </c>
      <c r="H36" s="50">
        <v>7282440</v>
      </c>
      <c r="I36" s="50">
        <v>6328810</v>
      </c>
      <c r="J36" s="50">
        <v>7858280</v>
      </c>
      <c r="K36" s="50">
        <v>11496060</v>
      </c>
      <c r="L36" s="50">
        <v>5003210</v>
      </c>
      <c r="M36" s="50">
        <v>9291680</v>
      </c>
      <c r="N36" s="50">
        <v>15234380</v>
      </c>
      <c r="O36" s="50">
        <v>21301640</v>
      </c>
      <c r="Q36" s="37">
        <f t="shared" ref="Q36:AA36" si="35">IF((C36-C35&lt;0), "0",C36-C35)</f>
        <v>3110</v>
      </c>
      <c r="R36" s="37">
        <f t="shared" si="18"/>
        <v>14920</v>
      </c>
      <c r="S36" s="37">
        <f t="shared" si="35"/>
        <v>3900</v>
      </c>
      <c r="T36" s="37">
        <f t="shared" si="35"/>
        <v>1730</v>
      </c>
      <c r="U36" s="37">
        <f t="shared" si="35"/>
        <v>4380</v>
      </c>
      <c r="V36" s="37">
        <f t="shared" si="35"/>
        <v>4140</v>
      </c>
      <c r="W36" s="37">
        <f t="shared" si="35"/>
        <v>2930</v>
      </c>
      <c r="X36" s="37">
        <f t="shared" si="23"/>
        <v>4430</v>
      </c>
      <c r="Y36" s="37">
        <f t="shared" si="35"/>
        <v>5600</v>
      </c>
      <c r="Z36" s="37">
        <f t="shared" si="35"/>
        <v>2550</v>
      </c>
      <c r="AA36" s="37">
        <f t="shared" si="35"/>
        <v>2730</v>
      </c>
      <c r="AB36" s="37">
        <f t="shared" si="27"/>
        <v>6910</v>
      </c>
      <c r="AC36" s="37">
        <f t="shared" si="28"/>
        <v>9330</v>
      </c>
      <c r="AD36" s="35">
        <f t="shared" si="29"/>
        <v>66660</v>
      </c>
      <c r="AF36" s="20">
        <f t="shared" si="1"/>
        <v>15.55</v>
      </c>
      <c r="AG36" s="20">
        <f t="shared" si="2"/>
        <v>74.600000000000009</v>
      </c>
      <c r="AH36" s="20">
        <f t="shared" si="3"/>
        <v>19.5</v>
      </c>
      <c r="AI36" s="20">
        <f t="shared" si="4"/>
        <v>8.65</v>
      </c>
      <c r="AJ36" s="20">
        <f t="shared" si="5"/>
        <v>21.900000000000002</v>
      </c>
      <c r="AK36" s="20">
        <f t="shared" si="6"/>
        <v>20.7</v>
      </c>
      <c r="AL36" s="20">
        <f t="shared" si="7"/>
        <v>14.65</v>
      </c>
      <c r="AM36" s="20">
        <f t="shared" si="8"/>
        <v>22.150000000000002</v>
      </c>
      <c r="AN36" s="20">
        <f t="shared" si="9"/>
        <v>28</v>
      </c>
      <c r="AO36" s="20">
        <f t="shared" si="10"/>
        <v>12.75</v>
      </c>
      <c r="AP36" s="20">
        <f t="shared" si="11"/>
        <v>13.65</v>
      </c>
      <c r="AQ36" s="20">
        <f t="shared" si="12"/>
        <v>34.550000000000004</v>
      </c>
      <c r="AR36" s="20">
        <f t="shared" si="13"/>
        <v>46.65</v>
      </c>
      <c r="AS36" s="35">
        <f>SUM(AF36:AR36)</f>
        <v>333.3</v>
      </c>
      <c r="AU36" s="53">
        <v>172751</v>
      </c>
      <c r="AV36" s="37">
        <f t="shared" si="34"/>
        <v>2615</v>
      </c>
      <c r="AW36" s="37">
        <f>AV36*100*AV44</f>
        <v>989.88471500000003</v>
      </c>
      <c r="AX36" s="35">
        <f t="shared" ref="AX36:AX37" si="36">AV36*$D$40</f>
        <v>5.23</v>
      </c>
    </row>
    <row r="37" spans="1:50" x14ac:dyDescent="0.25">
      <c r="A37" s="23">
        <v>44804</v>
      </c>
      <c r="B37" s="40">
        <v>105</v>
      </c>
      <c r="C37" s="77" t="s">
        <v>156</v>
      </c>
      <c r="D37" s="76" t="s">
        <v>157</v>
      </c>
      <c r="E37" s="76">
        <v>3529170</v>
      </c>
      <c r="F37" s="76">
        <v>4230550</v>
      </c>
      <c r="G37" s="76" t="s">
        <v>158</v>
      </c>
      <c r="H37" s="76">
        <v>7286630</v>
      </c>
      <c r="I37" s="76">
        <v>6331940</v>
      </c>
      <c r="J37" s="76">
        <v>7862680</v>
      </c>
      <c r="K37" s="76">
        <v>11501880</v>
      </c>
      <c r="L37" s="76">
        <v>5005660</v>
      </c>
      <c r="M37" s="76">
        <v>9294450</v>
      </c>
      <c r="N37" s="76">
        <v>15241450</v>
      </c>
      <c r="O37" s="77">
        <v>21310750</v>
      </c>
      <c r="Q37" s="37">
        <f t="shared" ref="Q37" si="37">IF((C37-C36&lt;0), "0",C37-C36)</f>
        <v>5440</v>
      </c>
      <c r="R37" s="37">
        <f t="shared" si="18"/>
        <v>15500</v>
      </c>
      <c r="S37" s="37">
        <f t="shared" ref="S37" si="38">IF((E37-E36&lt;0), "0",E37-E36)</f>
        <v>4080</v>
      </c>
      <c r="T37" s="37">
        <f t="shared" ref="T37" si="39">IF((F37-F36&lt;0), "0",F37-F36)</f>
        <v>1740</v>
      </c>
      <c r="U37" s="37">
        <f t="shared" ref="U37" si="40">IF((G37-G36&lt;0), "0",G37-G36)</f>
        <v>4250</v>
      </c>
      <c r="V37" s="37">
        <f t="shared" ref="V37" si="41">IF((H37-H36&lt;0), "0",H37-H36)</f>
        <v>4190</v>
      </c>
      <c r="W37" s="37">
        <f t="shared" ref="W37" si="42">IF((I37-I36&lt;0), "0",I37-I36)</f>
        <v>3130</v>
      </c>
      <c r="X37" s="37">
        <f t="shared" si="23"/>
        <v>4400</v>
      </c>
      <c r="Y37" s="37">
        <f t="shared" ref="Y37" si="43">IF((K37-K36&lt;0), "0",K37-K36)</f>
        <v>5820</v>
      </c>
      <c r="Z37" s="37">
        <f t="shared" ref="Z37" si="44">IF((L37-L36&lt;0), "0",L37-L36)</f>
        <v>2450</v>
      </c>
      <c r="AA37" s="37">
        <f t="shared" ref="AA37" si="45">IF((M37-M36&lt;0), "0",M37-M36)</f>
        <v>2770</v>
      </c>
      <c r="AB37" s="37">
        <f t="shared" si="27"/>
        <v>7070</v>
      </c>
      <c r="AC37" s="37">
        <f t="shared" si="28"/>
        <v>9110</v>
      </c>
      <c r="AD37" s="35">
        <f t="shared" si="29"/>
        <v>69950</v>
      </c>
      <c r="AF37" s="20">
        <f t="shared" ref="AF37" si="46">Q37*$D$39</f>
        <v>27.2</v>
      </c>
      <c r="AG37" s="20">
        <f t="shared" ref="AG37" si="47">R37*$D$39</f>
        <v>77.5</v>
      </c>
      <c r="AH37" s="20">
        <f t="shared" ref="AH37" si="48">S37*$D$39</f>
        <v>20.400000000000002</v>
      </c>
      <c r="AI37" s="20">
        <f t="shared" ref="AI37" si="49">T37*$D$39</f>
        <v>8.7000000000000011</v>
      </c>
      <c r="AJ37" s="20">
        <f t="shared" ref="AJ37" si="50">U37*$D$39</f>
        <v>21.25</v>
      </c>
      <c r="AK37" s="20">
        <f t="shared" ref="AK37" si="51">V37*$D$39</f>
        <v>20.95</v>
      </c>
      <c r="AL37" s="20">
        <f t="shared" ref="AL37" si="52">W37*$D$39</f>
        <v>15.65</v>
      </c>
      <c r="AM37" s="20">
        <f t="shared" ref="AM37" si="53">X37*$D$39</f>
        <v>22</v>
      </c>
      <c r="AN37" s="20">
        <f t="shared" ref="AN37" si="54">Y37*$D$39</f>
        <v>29.1</v>
      </c>
      <c r="AO37" s="20">
        <f t="shared" ref="AO37" si="55">Z37*$D$39</f>
        <v>12.25</v>
      </c>
      <c r="AP37" s="20">
        <f t="shared" ref="AP37" si="56">AA37*$D$39</f>
        <v>13.85</v>
      </c>
      <c r="AQ37" s="20">
        <f t="shared" ref="AQ37" si="57">AB37*$D$39</f>
        <v>35.35</v>
      </c>
      <c r="AR37" s="20">
        <f t="shared" ref="AR37" si="58">AC37*$D$39</f>
        <v>45.550000000000004</v>
      </c>
      <c r="AS37" s="35">
        <f>SUM(AF37:AR37)</f>
        <v>349.75000000000006</v>
      </c>
      <c r="AU37" s="61" t="s">
        <v>159</v>
      </c>
      <c r="AV37" s="37">
        <f t="shared" ref="AV37" si="59">IF((AU37-AU36&lt;0),"0",AU37-AU36)</f>
        <v>2644</v>
      </c>
      <c r="AW37" s="37">
        <f>AV37*100*AV44</f>
        <v>1000.862404</v>
      </c>
      <c r="AX37" s="35">
        <f t="shared" si="36"/>
        <v>5.2880000000000003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100430</v>
      </c>
      <c r="R38" s="38">
        <f t="shared" ref="R38:AD38" si="60">SUM(R7:R37)</f>
        <v>461800</v>
      </c>
      <c r="S38" s="38">
        <f t="shared" si="60"/>
        <v>121080</v>
      </c>
      <c r="T38" s="38">
        <f t="shared" si="60"/>
        <v>54130</v>
      </c>
      <c r="U38" s="38">
        <f t="shared" si="60"/>
        <v>132860</v>
      </c>
      <c r="V38" s="38">
        <f t="shared" si="60"/>
        <v>124500</v>
      </c>
      <c r="W38" s="38">
        <f t="shared" si="60"/>
        <v>90990</v>
      </c>
      <c r="X38" s="38">
        <f t="shared" si="60"/>
        <v>134290</v>
      </c>
      <c r="Y38" s="38">
        <f t="shared" si="60"/>
        <v>169920</v>
      </c>
      <c r="Z38" s="38">
        <f t="shared" si="60"/>
        <v>81210</v>
      </c>
      <c r="AA38" s="38">
        <f t="shared" si="60"/>
        <v>87450</v>
      </c>
      <c r="AB38" s="38">
        <f t="shared" si="60"/>
        <v>218450</v>
      </c>
      <c r="AC38" s="38">
        <f t="shared" si="60"/>
        <v>286630</v>
      </c>
      <c r="AD38" s="78">
        <f t="shared" si="60"/>
        <v>2063740</v>
      </c>
      <c r="AF38" s="35">
        <f>SUM(AF7:AF37)</f>
        <v>502.15000000000003</v>
      </c>
      <c r="AG38" s="35">
        <f t="shared" ref="AG38:AS38" si="61">SUM(AG7:AG37)</f>
        <v>2309</v>
      </c>
      <c r="AH38" s="35">
        <f t="shared" si="61"/>
        <v>605.39999999999986</v>
      </c>
      <c r="AI38" s="35">
        <f t="shared" si="61"/>
        <v>270.64999999999998</v>
      </c>
      <c r="AJ38" s="35">
        <f t="shared" si="61"/>
        <v>664.3</v>
      </c>
      <c r="AK38" s="35">
        <f t="shared" si="61"/>
        <v>622.50000000000011</v>
      </c>
      <c r="AL38" s="35">
        <f t="shared" si="61"/>
        <v>454.95</v>
      </c>
      <c r="AM38" s="35">
        <f t="shared" si="61"/>
        <v>671.44999999999993</v>
      </c>
      <c r="AN38" s="35">
        <f t="shared" si="61"/>
        <v>849.60000000000025</v>
      </c>
      <c r="AO38" s="35">
        <f t="shared" si="61"/>
        <v>406.05000000000007</v>
      </c>
      <c r="AP38" s="35">
        <f t="shared" si="61"/>
        <v>437.25</v>
      </c>
      <c r="AQ38" s="35">
        <f t="shared" si="61"/>
        <v>1092.2499999999998</v>
      </c>
      <c r="AR38" s="35">
        <f t="shared" si="61"/>
        <v>1433.1499999999996</v>
      </c>
      <c r="AS38" s="35">
        <f t="shared" si="61"/>
        <v>10318.699999999999</v>
      </c>
      <c r="AU38" s="47"/>
      <c r="AV38" s="34">
        <f>SUM(AV7:AV37)</f>
        <v>69739</v>
      </c>
      <c r="AW38" s="34">
        <f>SUM(AW7:AW37)</f>
        <v>26399.070798999997</v>
      </c>
      <c r="AX38" s="35">
        <f>SUM(AX7:AX37)</f>
        <v>139.47800000000001</v>
      </c>
    </row>
    <row r="39" spans="1:50" x14ac:dyDescent="0.25">
      <c r="B39" s="39">
        <f>SUM(B7:B36)</f>
        <v>2406</v>
      </c>
      <c r="D39">
        <v>5.0000000000000001E-3</v>
      </c>
      <c r="AV39" s="36"/>
      <c r="AW39" s="49">
        <f>AW38/31</f>
        <v>851.58292899999992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F12:F13 E4:E11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D10:D18 C13 E13 G13:L13 F13 G10 K10 G11 K11 G12 K12 G14 K14 G15 K15 G16 K16 G17:G18 K17 K18 M10:O10 N11:O11 N12:O12 N14:O14 N15:O15 N16:O16 N17:O17 N18:O18 N13:O13 AU10:AU18 D21:O21 D22 G22 K22 N22:O22 E19:O19 D20:O20 AU19:AU22 C37:D37 G37 AU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2022-09-01T12:52:05Z</dcterms:modified>
</cp:coreProperties>
</file>