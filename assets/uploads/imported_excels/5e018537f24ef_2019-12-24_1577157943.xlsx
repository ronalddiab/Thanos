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AW20" i="6"/>
  <c r="AW21" i="6"/>
  <c r="AW22" i="6"/>
  <c r="G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<sst xmlns="http://schemas.openxmlformats.org/spreadsheetml/2006/main" count="296" uniqueCount="138">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</sst>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10390.000000000495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9529.9999999996471</v>
      </c>
      <c r="F19" s="11">
        <f t="shared" si="1"/>
        <v>0.58765030286592534</v>
      </c>
      <c r="G19" s="12">
        <f>(Submetering!AX19+Submetering!AY19+Submetering!AZ19+Submetering!BA19+Submetering!BB19)</f>
        <v>31.135499999999997</v>
      </c>
      <c r="H19" s="11">
        <f t="shared" si="2"/>
        <v>0.99</v>
      </c>
      <c r="I19" s="12">
        <f>'FS Desroches Daily'!CM21</f>
        <v>88</v>
      </c>
      <c r="J19" s="11">
        <f t="shared" si="3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9999.9999999997963</v>
      </c>
      <c r="F20" s="11">
        <f t="shared" si="1"/>
        <v>0.58765030286592534</v>
      </c>
      <c r="G20" s="12">
        <f>(Submetering!AX20+Submetering!AY20+Submetering!AZ20+Submetering!BA20+Submetering!BB20)</f>
        <v>40.292999999999999</v>
      </c>
      <c r="H20" s="11">
        <f t="shared" si="2"/>
        <v>0.99</v>
      </c>
      <c r="I20" s="12">
        <f>'FS Desroches Daily'!CM22</f>
        <v>92</v>
      </c>
      <c r="J20" s="11">
        <f t="shared" si="3"/>
        <v>10.487297712684205</v>
      </c>
      <c r="K20" s="13">
        <f>'FS Desroches Daily'!CN22</f>
        <v>34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10910.000000000244</v>
      </c>
      <c r="F21" s="11">
        <f t="shared" si="1"/>
        <v>0.58765030286592534</v>
      </c>
      <c r="G21" s="12">
        <f>(Submetering!AX21+Submetering!AY21+Submetering!AZ21+Submetering!BA21+Submetering!BB21)</f>
        <v>42.124499999999998</v>
      </c>
      <c r="H21" s="11">
        <f t="shared" si="2"/>
        <v>0.99</v>
      </c>
      <c r="I21" s="12">
        <f>'FS Desroches Daily'!CM23</f>
        <v>86</v>
      </c>
      <c r="J21" s="11">
        <f t="shared" si="3"/>
        <v>10.487297712684205</v>
      </c>
      <c r="K21" s="13">
        <f>'FS Desroches Daily'!CN23</f>
        <v>42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11479.999999999753</v>
      </c>
      <c r="F22" s="11">
        <f t="shared" si="1"/>
        <v>0.58765030286592534</v>
      </c>
      <c r="G22" s="12">
        <f>(Submetering!AX22+Submetering!AY22+Submetering!AZ22+Submetering!BA22+Submetering!BB22)</f>
        <v>34.798499999999997</v>
      </c>
      <c r="H22" s="11">
        <f t="shared" si="2"/>
        <v>0.99</v>
      </c>
      <c r="I22" s="12">
        <f>'FS Desroches Daily'!CM24</f>
        <v>103</v>
      </c>
      <c r="J22" s="11">
        <f t="shared" si="3"/>
        <v>10.487297712684205</v>
      </c>
      <c r="K22" s="13">
        <f>'FS Desroches Daily'!CN24</f>
        <v>45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11870.000000000113</v>
      </c>
      <c r="F23" s="11">
        <f t="shared" si="1"/>
        <v>0.58765030286592534</v>
      </c>
      <c r="G23" s="12">
        <f>(Submetering!AX23+Submetering!AY23+Submetering!AZ23+Submetering!BA23+Submetering!BB23)</f>
        <v>32.966999999999999</v>
      </c>
      <c r="H23" s="11">
        <f t="shared" si="2"/>
        <v>0.99</v>
      </c>
      <c r="I23" s="12">
        <f>'FS Desroches Daily'!CM25</f>
        <v>101</v>
      </c>
      <c r="J23" s="11">
        <f t="shared" si="3"/>
        <v>10.487297712684205</v>
      </c>
      <c r="K23" s="13">
        <f>'FS Desroches Daily'!CN25</f>
        <v>48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11969.999999999891</v>
      </c>
      <c r="F24" s="11">
        <f t="shared" si="1"/>
        <v>0.58765030286592534</v>
      </c>
      <c r="G24" s="12">
        <f>(Submetering!AX24+Submetering!AY24+Submetering!AZ24+Submetering!BA24+Submetering!BB24)</f>
        <v>34.798499999999997</v>
      </c>
      <c r="H24" s="11">
        <f t="shared" si="2"/>
        <v>0.99</v>
      </c>
      <c r="I24" s="12">
        <f>'FS Desroches Daily'!CM26</f>
        <v>105.2</v>
      </c>
      <c r="J24" s="11">
        <f t="shared" si="3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 t="e">
        <f>Submetering!E25+Submetering!F25+Submetering!G25+Submetering!H25-Submetering!AV25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2000.0000000000018</v>
      </c>
      <c r="F19" s="36">
        <f>'FS Desroches Daily'!F21</f>
        <v>3599.9999999996035</v>
      </c>
      <c r="G19" s="35">
        <f>'FS Desroches Daily'!H21</f>
        <v>3400.0000000000696</v>
      </c>
      <c r="H19" s="36">
        <f>'FS Desroches Daily'!J21</f>
        <v>1399.9999999999773</v>
      </c>
      <c r="I19" s="35">
        <f>'FS Desroches Daily'!L21</f>
        <v>2500.0000000001687</v>
      </c>
      <c r="J19" s="36">
        <f>'FS Desroches Daily'!N21</f>
        <v>1370.0000000000045</v>
      </c>
      <c r="K19" s="13">
        <f>'FS Desroches Daily'!P21</f>
        <v>18</v>
      </c>
      <c r="L19" s="35">
        <f>'FS Desroches Daily'!R21</f>
        <v>6</v>
      </c>
      <c r="M19" s="35">
        <f>'FS Desroches Daily'!T21</f>
        <v>1385</v>
      </c>
      <c r="N19" s="35">
        <f>'FS Desroches Daily'!V21</f>
        <v>520</v>
      </c>
      <c r="O19" s="35">
        <f>'FS Desroches Daily'!X21</f>
        <v>439.99999999999773</v>
      </c>
      <c r="P19" s="35">
        <f>'FS Desroches Daily'!Z21</f>
        <v>3099.9999999998809</v>
      </c>
      <c r="Q19" s="35">
        <f>'FS Desroches Daily'!AB21</f>
        <v>459.99999999997954</v>
      </c>
      <c r="R19" s="35">
        <f>'FS Desroches Daily'!AD21</f>
        <v>300.00000000001137</v>
      </c>
      <c r="S19" s="35">
        <f>'FS Desroches Daily'!AF21</f>
        <v>490.00000000000909</v>
      </c>
      <c r="T19" s="35">
        <f>'FS Desroches Daily'!AH21</f>
        <v>2.7000000000000455</v>
      </c>
      <c r="U19" s="39">
        <f>'FS Desroches Daily'!AJ21</f>
        <v>379.99999999999545</v>
      </c>
      <c r="V19" s="39">
        <f>'FS Desroches Daily'!AL21</f>
        <v>0.18999999999999773</v>
      </c>
      <c r="W19" s="39">
        <f>'FS Desroches Daily'!AN21</f>
        <v>7.9999999999998295E-2</v>
      </c>
      <c r="X19" s="39">
        <f>'FS Desroches Daily'!AP21</f>
        <v>0.14000000000000057</v>
      </c>
      <c r="Y19" s="39">
        <f>'FS Desroches Daily'!AR21</f>
        <v>99.999999999994316</v>
      </c>
      <c r="Z19" s="39">
        <f>'FS Desroches Daily'!AT21</f>
        <v>60.000000000002274</v>
      </c>
      <c r="AA19" s="39">
        <f>'FS Desroches Daily'!AT21</f>
        <v>60.000000000002274</v>
      </c>
      <c r="AB19" s="39">
        <f>'FS Desroches Daily'!AV21</f>
        <v>180.00000000000682</v>
      </c>
      <c r="AC19" s="39">
        <f>'FS Desroches Daily'!AZ21</f>
        <v>149.99999999997726</v>
      </c>
      <c r="AD19" s="39">
        <f>'FS Desroches Daily'!BB21</f>
        <v>170.00000000001592</v>
      </c>
      <c r="AE19" s="39">
        <f>'FS Desroches Daily'!BD21</f>
        <v>20.000000000010232</v>
      </c>
      <c r="AF19" s="35">
        <f>'FS Desroches Daily'!BF21</f>
        <v>38</v>
      </c>
      <c r="AG19" s="36">
        <f>'FS Desroches Daily'!BH21</f>
        <v>19.99999999998181</v>
      </c>
      <c r="AH19" s="36">
        <f>'FS Desroches Daily'!BJ21</f>
        <v>29.999999999972715</v>
      </c>
      <c r="AI19" s="36">
        <f>'FS Desroches Daily'!BL21</f>
        <v>30.000000000001137</v>
      </c>
      <c r="AJ19" s="36">
        <f>'FS Desroches Daily'!BN21</f>
        <v>30.000000000001137</v>
      </c>
      <c r="AK19" s="36">
        <f>'FS Desroches Daily'!BP21</f>
        <v>29.999999999972715</v>
      </c>
      <c r="AL19" s="36">
        <f>'FS Desroches Daily'!BR21</f>
        <v>33</v>
      </c>
      <c r="AM19" s="36">
        <f>'FS Desroches Daily'!BT21</f>
        <v>30.000000000001137</v>
      </c>
      <c r="AN19" s="36">
        <f>'FS Desroches Daily'!BV21</f>
        <v>23</v>
      </c>
      <c r="AO19" s="36">
        <f>'FS Desroches Daily'!BX21</f>
        <v>30.000000000001137</v>
      </c>
      <c r="AP19" s="36">
        <f>'FS Desroches Daily'!BZ21</f>
        <v>37</v>
      </c>
      <c r="AQ19" s="35">
        <f>'FS Desroches Daily'!CB21</f>
        <v>67.19999999999709</v>
      </c>
      <c r="AR19" s="35">
        <f>'FS Desroches Daily'!CD21</f>
        <v>17.200000000000728</v>
      </c>
      <c r="AS19" s="35">
        <f>'FS Desroches Daily'!CF21</f>
        <v>15.800000000000182</v>
      </c>
      <c r="AT19" s="35">
        <f>'FS Desroches Daily'!CH21</f>
        <v>41.599999999998545</v>
      </c>
      <c r="AU19" s="35">
        <f>'FS Desroches Daily'!CJ21</f>
        <v>355</v>
      </c>
      <c r="AV19" s="35">
        <f>'FS Desroches Daily'!CL21</f>
        <v>870.00000000000455</v>
      </c>
      <c r="AW19" s="35">
        <f>'FS Desroches Daily'!CM21</f>
        <v>88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28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2199.9999999999795</v>
      </c>
      <c r="F20" s="36">
        <f>'FS Desroches Daily'!F22</f>
        <v>3600.0000000000477</v>
      </c>
      <c r="G20" s="35">
        <f>'FS Desroches Daily'!H22</f>
        <v>3499.9999999998367</v>
      </c>
      <c r="H20" s="36">
        <f>'FS Desroches Daily'!J22</f>
        <v>1529.9999999999727</v>
      </c>
      <c r="I20" s="35">
        <f>'FS Desroches Daily'!L22</f>
        <v>2899.9999999999027</v>
      </c>
      <c r="J20" s="36">
        <f>'FS Desroches Daily'!N22</f>
        <v>1519.9999999999818</v>
      </c>
      <c r="K20" s="13">
        <f>'FS Desroches Daily'!P22</f>
        <v>20</v>
      </c>
      <c r="L20" s="35">
        <f>'FS Desroches Daily'!R22</f>
        <v>7</v>
      </c>
      <c r="M20" s="35">
        <f>'FS Desroches Daily'!T22</f>
        <v>1146</v>
      </c>
      <c r="N20" s="35">
        <f>'FS Desroches Daily'!V22</f>
        <v>353</v>
      </c>
      <c r="O20" s="35">
        <f>'FS Desroches Daily'!X22</f>
        <v>450.00000000004547</v>
      </c>
      <c r="P20" s="35">
        <f>'FS Desroches Daily'!Z22</f>
        <v>3200.0000000000919</v>
      </c>
      <c r="Q20" s="35">
        <f>'FS Desroches Daily'!AB22</f>
        <v>560.00000000000227</v>
      </c>
      <c r="R20" s="35">
        <f>'FS Desroches Daily'!AD22</f>
        <v>329.99999999998408</v>
      </c>
      <c r="S20" s="35">
        <f>'FS Desroches Daily'!AF22</f>
        <v>529.99999999997272</v>
      </c>
      <c r="T20" s="35">
        <f>'FS Desroches Daily'!AH22</f>
        <v>1.5999999999999091</v>
      </c>
      <c r="U20" s="39">
        <f>'FS Desroches Daily'!AJ22</f>
        <v>420.00000000001592</v>
      </c>
      <c r="V20" s="39">
        <f>'FS Desroches Daily'!AL22</f>
        <v>0.21999999999999886</v>
      </c>
      <c r="W20" s="39">
        <f>'FS Desroches Daily'!AN22</f>
        <v>0.17000000000000171</v>
      </c>
      <c r="X20" s="39">
        <f>'FS Desroches Daily'!AP22</f>
        <v>0.17000000000000171</v>
      </c>
      <c r="Y20" s="39">
        <f>'FS Desroches Daily'!AR22</f>
        <v>90.000000000003411</v>
      </c>
      <c r="Z20" s="39">
        <f>'FS Desroches Daily'!AT22</f>
        <v>89.999999999974989</v>
      </c>
      <c r="AA20" s="39">
        <f>'FS Desroches Daily'!AT22</f>
        <v>89.999999999974989</v>
      </c>
      <c r="AB20" s="39">
        <f>'FS Desroches Daily'!AV22</f>
        <v>159.99999999999659</v>
      </c>
      <c r="AC20" s="39">
        <f>'FS Desroches Daily'!AZ22</f>
        <v>160.00000000002501</v>
      </c>
      <c r="AD20" s="39">
        <f>'FS Desroches Daily'!BB22</f>
        <v>209.99999999997954</v>
      </c>
      <c r="AE20" s="39">
        <f>'FS Desroches Daily'!BD22</f>
        <v>19.99999999998181</v>
      </c>
      <c r="AF20" s="35">
        <f>'FS Desroches Daily'!BF22</f>
        <v>46</v>
      </c>
      <c r="AG20" s="36">
        <f>'FS Desroches Daily'!BH22</f>
        <v>30.000000000001137</v>
      </c>
      <c r="AH20" s="36">
        <f>'FS Desroches Daily'!BJ22</f>
        <v>50.000000000011369</v>
      </c>
      <c r="AI20" s="36">
        <f>'FS Desroches Daily'!BL22</f>
        <v>39.999999999992042</v>
      </c>
      <c r="AJ20" s="36">
        <f>'FS Desroches Daily'!BN22</f>
        <v>30.000000000001137</v>
      </c>
      <c r="AK20" s="36">
        <f>'FS Desroches Daily'!BP22</f>
        <v>40.000000000020464</v>
      </c>
      <c r="AL20" s="36">
        <f>'FS Desroches Daily'!BR22</f>
        <v>37</v>
      </c>
      <c r="AM20" s="36">
        <f>'FS Desroches Daily'!BT22</f>
        <v>30.000000000001137</v>
      </c>
      <c r="AN20" s="36">
        <f>'FS Desroches Daily'!BV22</f>
        <v>23</v>
      </c>
      <c r="AO20" s="36">
        <f>'FS Desroches Daily'!BX22</f>
        <v>30.000000000001137</v>
      </c>
      <c r="AP20" s="36">
        <f>'FS Desroches Daily'!BZ22</f>
        <v>59</v>
      </c>
      <c r="AQ20" s="35">
        <f>'FS Desroches Daily'!CB22</f>
        <v>52.400000000001455</v>
      </c>
      <c r="AR20" s="35">
        <f>'FS Desroches Daily'!CD22</f>
        <v>25.599999999998545</v>
      </c>
      <c r="AS20" s="35">
        <f>'FS Desroches Daily'!CF22</f>
        <v>0</v>
      </c>
      <c r="AT20" s="35">
        <f>'FS Desroches Daily'!CH22</f>
        <v>50</v>
      </c>
      <c r="AU20" s="35">
        <f>'FS Desroches Daily'!CJ22</f>
        <v>334</v>
      </c>
      <c r="AV20" s="35">
        <f>'FS Desroches Daily'!CL22</f>
        <v>830.00000000004093</v>
      </c>
      <c r="AW20" s="35">
        <f>'FS Desroches Daily'!CM22</f>
        <v>92</v>
      </c>
      <c r="AX20" s="35">
        <f>IF(LPG!F27-LPG!F26&lt;0,"0",(LPG!F27-LPG!F26)*1.8315)</f>
        <v>20.1465</v>
      </c>
      <c r="AY20" s="35">
        <f>IF(LPG!H27-LPG!H26&lt;0,"0",(LPG!H27-LPG!H26)*1.8315)</f>
        <v>5.4944999999999995</v>
      </c>
      <c r="AZ20" s="35">
        <f>IF(LPG!J27-LPG!J26&lt;0,"0",(LPG!J27-LPG!J26)*1.8315)</f>
        <v>1.8314999999999999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34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2800.0000000001355</v>
      </c>
      <c r="F21" s="36">
        <f>'FS Desroches Daily'!F23</f>
        <v>3700.0000000002588</v>
      </c>
      <c r="G21" s="35">
        <f>'FS Desroches Daily'!H23</f>
        <v>3699.9999999998145</v>
      </c>
      <c r="H21" s="36">
        <f>'FS Desroches Daily'!J23</f>
        <v>1610.0000000000136</v>
      </c>
      <c r="I21" s="35">
        <f>'FS Desroches Daily'!L23</f>
        <v>2800.0000000001355</v>
      </c>
      <c r="J21" s="36">
        <f>'FS Desroches Daily'!N23</f>
        <v>1860.0000000000136</v>
      </c>
      <c r="K21" s="13">
        <f>'FS Desroches Daily'!P23</f>
        <v>21</v>
      </c>
      <c r="L21" s="35">
        <f>'FS Desroches Daily'!R23</f>
        <v>8</v>
      </c>
      <c r="M21" s="35">
        <f>'FS Desroches Daily'!T23</f>
        <v>1285</v>
      </c>
      <c r="N21" s="35">
        <f>'FS Desroches Daily'!V23</f>
        <v>509</v>
      </c>
      <c r="O21" s="35">
        <f>'FS Desroches Daily'!X23</f>
        <v>439.99999999999773</v>
      </c>
      <c r="P21" s="35">
        <f>'FS Desroches Daily'!Z23</f>
        <v>3099.9999999998809</v>
      </c>
      <c r="Q21" s="35">
        <f>'FS Desroches Daily'!AB23</f>
        <v>480.00000000001819</v>
      </c>
      <c r="R21" s="35">
        <f>'FS Desroches Daily'!AD23</f>
        <v>500</v>
      </c>
      <c r="S21" s="35">
        <f>'FS Desroches Daily'!AF23</f>
        <v>670.00000000001592</v>
      </c>
      <c r="T21" s="35">
        <f>'FS Desroches Daily'!AH23</f>
        <v>1.8000000000000682</v>
      </c>
      <c r="U21" s="39">
        <f>'FS Desroches Daily'!AJ23</f>
        <v>650.00000000003411</v>
      </c>
      <c r="V21" s="39">
        <f>'FS Desroches Daily'!AL23</f>
        <v>0</v>
      </c>
      <c r="W21" s="39">
        <f>'FS Desroches Daily'!AN23</f>
        <v>0.18999999999999773</v>
      </c>
      <c r="X21" s="39">
        <f>'FS Desroches Daily'!AP23</f>
        <v>0.17000000000000171</v>
      </c>
      <c r="Y21" s="39">
        <f>'FS Desroches Daily'!AR23</f>
        <v>49.999999999982947</v>
      </c>
      <c r="Z21" s="39">
        <f>'FS Desroches Daily'!AT23</f>
        <v>60.000000000002274</v>
      </c>
      <c r="AA21" s="39">
        <f>'FS Desroches Daily'!AT23</f>
        <v>60.000000000002274</v>
      </c>
      <c r="AB21" s="39">
        <f>'FS Desroches Daily'!AV23</f>
        <v>180.00000000000682</v>
      </c>
      <c r="AC21" s="39">
        <f>'FS Desroches Daily'!AZ23</f>
        <v>170.00000000001592</v>
      </c>
      <c r="AD21" s="39">
        <f>'FS Desroches Daily'!BB23</f>
        <v>300.00000000001137</v>
      </c>
      <c r="AE21" s="39">
        <f>'FS Desroches Daily'!BD23</f>
        <v>10.000000000019327</v>
      </c>
      <c r="AF21" s="35">
        <f>'FS Desroches Daily'!BF23</f>
        <v>50</v>
      </c>
      <c r="AG21" s="36">
        <f>'FS Desroches Daily'!BH23</f>
        <v>39.999999999992042</v>
      </c>
      <c r="AH21" s="36">
        <f>'FS Desroches Daily'!BJ23</f>
        <v>40.000000000020464</v>
      </c>
      <c r="AI21" s="36">
        <f>'FS Desroches Daily'!BL23</f>
        <v>60.000000000002274</v>
      </c>
      <c r="AJ21" s="36">
        <f>'FS Desroches Daily'!BN23</f>
        <v>39.999999999992042</v>
      </c>
      <c r="AK21" s="36">
        <f>'FS Desroches Daily'!BP23</f>
        <v>49.999999999954525</v>
      </c>
      <c r="AL21" s="36">
        <f>'FS Desroches Daily'!BR23</f>
        <v>38</v>
      </c>
      <c r="AM21" s="36">
        <f>'FS Desroches Daily'!BT23</f>
        <v>39.999999999992042</v>
      </c>
      <c r="AN21" s="36">
        <f>'FS Desroches Daily'!BV23</f>
        <v>36</v>
      </c>
      <c r="AO21" s="36">
        <f>'FS Desroches Daily'!BX23</f>
        <v>49.999999999982947</v>
      </c>
      <c r="AP21" s="36">
        <f>'FS Desroches Daily'!BZ23</f>
        <v>63</v>
      </c>
      <c r="AQ21" s="35">
        <f>'FS Desroches Daily'!CB23</f>
        <v>49.5</v>
      </c>
      <c r="AR21" s="35">
        <f>'FS Desroches Daily'!CD23</f>
        <v>17.400000000001455</v>
      </c>
      <c r="AS21" s="35">
        <f>'FS Desroches Daily'!CF23</f>
        <v>12.099999999999454</v>
      </c>
      <c r="AT21" s="35">
        <f>'FS Desroches Daily'!CH23</f>
        <v>30.900000000001455</v>
      </c>
      <c r="AU21" s="35">
        <f>'FS Desroches Daily'!CJ23</f>
        <v>339</v>
      </c>
      <c r="AV21" s="35">
        <f>'FS Desroches Daily'!CL23</f>
        <v>899.99999999997726</v>
      </c>
      <c r="AW21" s="35">
        <f>'FS Desroches Daily'!CM23</f>
        <v>86</v>
      </c>
      <c r="AX21" s="35">
        <f>IF(LPG!F28-LPG!F27&lt;0,"0",(LPG!F28-LPG!F27)*1.8315)</f>
        <v>20.1465</v>
      </c>
      <c r="AY21" s="35">
        <f>IF(LPG!H28-LPG!H27&lt;0,"0",(LPG!H28-LPG!H27)*1.8315)</f>
        <v>3.6629999999999998</v>
      </c>
      <c r="AZ21" s="35">
        <f>IF(LPG!J28-LPG!J27&lt;0,"0",(LPG!J28-LPG!J27)*1.8315)</f>
        <v>5.4944999999999995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42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2999.9999999998918</v>
      </c>
      <c r="F22" s="36">
        <f>'FS Desroches Daily'!F24</f>
        <v>4099.9999999997708</v>
      </c>
      <c r="G22" s="35">
        <f>'FS Desroches Daily'!H24</f>
        <v>3400.0000000000696</v>
      </c>
      <c r="H22" s="36">
        <f>'FS Desroches Daily'!J24</f>
        <v>1600.0000000000227</v>
      </c>
      <c r="I22" s="35">
        <f>'FS Desroches Daily'!L24</f>
        <v>2799.9999999999136</v>
      </c>
      <c r="J22" s="36">
        <f>'FS Desroches Daily'!N24</f>
        <v>1919.9999999999591</v>
      </c>
      <c r="K22" s="13">
        <f>'FS Desroches Daily'!P24</f>
        <v>21</v>
      </c>
      <c r="L22" s="35">
        <f>'FS Desroches Daily'!R24</f>
        <v>8</v>
      </c>
      <c r="M22" s="35">
        <f>'FS Desroches Daily'!T24</f>
        <v>1210</v>
      </c>
      <c r="N22" s="35">
        <f>'FS Desroches Daily'!V24</f>
        <v>466</v>
      </c>
      <c r="O22" s="35">
        <f>'FS Desroches Daily'!X24</f>
        <v>519.99999999998181</v>
      </c>
      <c r="P22" s="35">
        <f>'FS Desroches Daily'!Z24</f>
        <v>3600.0000000000477</v>
      </c>
      <c r="Q22" s="35">
        <f>'FS Desroches Daily'!AB24</f>
        <v>519.99999999998181</v>
      </c>
      <c r="R22" s="35">
        <f>'FS Desroches Daily'!AD24</f>
        <v>480.00000000001819</v>
      </c>
      <c r="S22" s="35">
        <f>'FS Desroches Daily'!AF24</f>
        <v>819.99999999999318</v>
      </c>
      <c r="T22" s="35">
        <f>'FS Desroches Daily'!AH24</f>
        <v>1.8999999999999773</v>
      </c>
      <c r="U22" s="39">
        <f>'FS Desroches Daily'!AJ24</f>
        <v>449.99999999998863</v>
      </c>
      <c r="V22" s="39">
        <f>'FS Desroches Daily'!AL24</f>
        <v>0.25999999999999091</v>
      </c>
      <c r="W22" s="39">
        <f>'FS Desroches Daily'!AN24</f>
        <v>0.26000000000000512</v>
      </c>
      <c r="X22" s="39">
        <f>'FS Desroches Daily'!AP24</f>
        <v>0.18999999999999773</v>
      </c>
      <c r="Y22" s="39">
        <f>'FS Desroches Daily'!AR24</f>
        <v>170.00000000001592</v>
      </c>
      <c r="Z22" s="39">
        <f>'FS Desroches Daily'!AT24</f>
        <v>100.00000000002274</v>
      </c>
      <c r="AA22" s="39">
        <f>'FS Desroches Daily'!AT24</f>
        <v>100.00000000002274</v>
      </c>
      <c r="AB22" s="39">
        <f>'FS Desroches Daily'!AV24</f>
        <v>210.00000000000796</v>
      </c>
      <c r="AC22" s="39">
        <f>'FS Desroches Daily'!AZ24</f>
        <v>199.99999999998863</v>
      </c>
      <c r="AD22" s="39">
        <f>'FS Desroches Daily'!BB24</f>
        <v>319.99999999999318</v>
      </c>
      <c r="AE22" s="39">
        <f>'FS Desroches Daily'!BD24</f>
        <v>139.99999999998636</v>
      </c>
      <c r="AF22" s="35">
        <f>'FS Desroches Daily'!BF24</f>
        <v>54</v>
      </c>
      <c r="AG22" s="36">
        <f>'FS Desroches Daily'!BH24</f>
        <v>40.000000000020464</v>
      </c>
      <c r="AH22" s="36">
        <f>'FS Desroches Daily'!BJ24</f>
        <v>39.99999999996362</v>
      </c>
      <c r="AI22" s="36">
        <f>'FS Desroches Daily'!BL24</f>
        <v>50.000000000011369</v>
      </c>
      <c r="AJ22" s="36">
        <f>'FS Desroches Daily'!BN24</f>
        <v>39.999999999992042</v>
      </c>
      <c r="AK22" s="36">
        <f>'FS Desroches Daily'!BP24</f>
        <v>40.000000000020464</v>
      </c>
      <c r="AL22" s="36">
        <f>'FS Desroches Daily'!BR24</f>
        <v>40</v>
      </c>
      <c r="AM22" s="36">
        <f>'FS Desroches Daily'!BT24</f>
        <v>50.000000000011369</v>
      </c>
      <c r="AN22" s="36">
        <f>'FS Desroches Daily'!BV24</f>
        <v>39</v>
      </c>
      <c r="AO22" s="36">
        <f>'FS Desroches Daily'!BX24</f>
        <v>50.000000000011369</v>
      </c>
      <c r="AP22" s="36">
        <f>'FS Desroches Daily'!BZ24</f>
        <v>69</v>
      </c>
      <c r="AQ22" s="35">
        <f>'FS Desroches Daily'!CB24</f>
        <v>72.700000000000728</v>
      </c>
      <c r="AR22" s="35">
        <f>'FS Desroches Daily'!CD24</f>
        <v>17.299999999999272</v>
      </c>
      <c r="AS22" s="35">
        <f>'FS Desroches Daily'!CF24</f>
        <v>7.9000000000005457</v>
      </c>
      <c r="AT22" s="35">
        <f>'FS Desroches Daily'!CH24</f>
        <v>62</v>
      </c>
      <c r="AU22" s="35">
        <f>'FS Desroches Daily'!CJ24</f>
        <v>313</v>
      </c>
      <c r="AV22" s="35">
        <f>'FS Desroches Daily'!CL24</f>
        <v>620.00000000000455</v>
      </c>
      <c r="AW22" s="35">
        <f>'FS Desroches Daily'!CM24</f>
        <v>103</v>
      </c>
      <c r="AX22" s="35">
        <f>IF(LPG!F29-LPG!F28&lt;0,"0",(LPG!F29-LPG!F28)*1.8315)</f>
        <v>18.314999999999998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5.4944999999999995</v>
      </c>
      <c r="BB22" s="35">
        <f>IF(LPG!Q29-LPG!Q28&lt;0,"0",(LPG!Q29-LPG!Q28)*1.8315)</f>
        <v>7.3259999999999996</v>
      </c>
      <c r="BC22" s="13">
        <f>'FS Desroches Daily'!CN24</f>
        <v>45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3100.0000000001028</v>
      </c>
      <c r="F23" s="36">
        <f>'FS Desroches Daily'!F25</f>
        <v>4000.0000000000036</v>
      </c>
      <c r="G23" s="35">
        <f>'FS Desroches Daily'!H25</f>
        <v>3600.0000000000477</v>
      </c>
      <c r="H23" s="36">
        <f>'FS Desroches Daily'!J25</f>
        <v>1769.9999999999818</v>
      </c>
      <c r="I23" s="35">
        <f>'FS Desroches Daily'!L25</f>
        <v>2799.9999999999136</v>
      </c>
      <c r="J23" s="36">
        <f>'FS Desroches Daily'!N25</f>
        <v>2120.0000000000045</v>
      </c>
      <c r="K23" s="13">
        <f>'FS Desroches Daily'!P25</f>
        <v>22</v>
      </c>
      <c r="L23" s="35">
        <f>'FS Desroches Daily'!R25</f>
        <v>10</v>
      </c>
      <c r="M23" s="35">
        <f>'FS Desroches Daily'!T25</f>
        <v>1530</v>
      </c>
      <c r="N23" s="35">
        <f>'FS Desroches Daily'!V25</f>
        <v>690</v>
      </c>
      <c r="O23" s="35">
        <f>'FS Desroches Daily'!X25</f>
        <v>610.00000000001364</v>
      </c>
      <c r="P23" s="35">
        <f>'FS Desroches Daily'!Z25</f>
        <v>3499.9999999998367</v>
      </c>
      <c r="Q23" s="35">
        <f>'FS Desroches Daily'!AB25</f>
        <v>560.00000000000227</v>
      </c>
      <c r="R23" s="35">
        <f>'FS Desroches Daily'!AD25</f>
        <v>419.99999999998749</v>
      </c>
      <c r="S23" s="35">
        <f>'FS Desroches Daily'!AF25</f>
        <v>1040.0000000000205</v>
      </c>
      <c r="T23" s="35">
        <f>'FS Desroches Daily'!AH25</f>
        <v>2.3999999999999773</v>
      </c>
      <c r="U23" s="39">
        <f>'FS Desroches Daily'!AJ25</f>
        <v>509.99999999999091</v>
      </c>
      <c r="V23" s="39">
        <f>'FS Desroches Daily'!AL25</f>
        <v>0.32000000000000739</v>
      </c>
      <c r="W23" s="39">
        <f>'FS Desroches Daily'!AN25</f>
        <v>0.28000000000000114</v>
      </c>
      <c r="X23" s="39">
        <f>'FS Desroches Daily'!AP25</f>
        <v>0.20999999999999375</v>
      </c>
      <c r="Y23" s="39">
        <f>'FS Desroches Daily'!AR25</f>
        <v>210.00000000000796</v>
      </c>
      <c r="Z23" s="39">
        <f>'FS Desroches Daily'!AT25</f>
        <v>79.999999999984084</v>
      </c>
      <c r="AA23" s="39">
        <f>'FS Desroches Daily'!AT25</f>
        <v>79.999999999984084</v>
      </c>
      <c r="AB23" s="39">
        <f>'FS Desroches Daily'!AV25</f>
        <v>169.99999999998749</v>
      </c>
      <c r="AC23" s="39">
        <f>'FS Desroches Daily'!AZ25</f>
        <v>180.00000000000682</v>
      </c>
      <c r="AD23" s="39">
        <f>'FS Desroches Daily'!BB25</f>
        <v>370.00000000000455</v>
      </c>
      <c r="AE23" s="39">
        <f>'FS Desroches Daily'!BD25</f>
        <v>219.99999999999886</v>
      </c>
      <c r="AF23" s="35">
        <f>'FS Desroches Daily'!BF25</f>
        <v>44</v>
      </c>
      <c r="AG23" s="36">
        <f>'FS Desroches Daily'!BH25</f>
        <v>49.999999999982947</v>
      </c>
      <c r="AH23" s="36">
        <f>'FS Desroches Daily'!BJ25</f>
        <v>60.000000000002274</v>
      </c>
      <c r="AI23" s="36">
        <f>'FS Desroches Daily'!BL25</f>
        <v>59.999999999973852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52</v>
      </c>
      <c r="AM23" s="36">
        <f>'FS Desroches Daily'!BT25</f>
        <v>60.000000000002274</v>
      </c>
      <c r="AN23" s="36">
        <f>'FS Desroches Daily'!BV25</f>
        <v>48</v>
      </c>
      <c r="AO23" s="36">
        <f>'FS Desroches Daily'!BX25</f>
        <v>50.000000000011369</v>
      </c>
      <c r="AP23" s="36">
        <f>'FS Desroches Daily'!BZ25</f>
        <v>62</v>
      </c>
      <c r="AQ23" s="35">
        <f>'FS Desroches Daily'!CB25</f>
        <v>40.799999999999272</v>
      </c>
      <c r="AR23" s="35">
        <f>'FS Desroches Daily'!CD25</f>
        <v>20.399999999999636</v>
      </c>
      <c r="AS23" s="35">
        <f>'FS Desroches Daily'!CF25</f>
        <v>10.599999999999454</v>
      </c>
      <c r="AT23" s="35">
        <f>'FS Desroches Daily'!CH25</f>
        <v>96.69999999999709</v>
      </c>
      <c r="AU23" s="35">
        <f>'FS Desroches Daily'!CJ25</f>
        <v>350</v>
      </c>
      <c r="AV23" s="35">
        <f>'FS Desroches Daily'!CL25</f>
        <v>600.00000000002274</v>
      </c>
      <c r="AW23" s="35">
        <f>'FS Desroches Daily'!CM25</f>
        <v>101</v>
      </c>
      <c r="AX23" s="35">
        <f>IF(LPG!F30-LPG!F29&lt;0,"0",(LPG!F30-LPG!F29)*1.8315)</f>
        <v>16.483499999999999</v>
      </c>
      <c r="AY23" s="35">
        <f>IF(LPG!H30-LPG!H29&lt;0,"0",(LPG!H30-LPG!H29)*1.8315)</f>
        <v>3.6629999999999998</v>
      </c>
      <c r="AZ23" s="35">
        <f>IF(LPG!J30-LPG!J29&lt;0,"0",(LPG!J30-LPG!J29)*1.8315)</f>
        <v>0</v>
      </c>
      <c r="BA23" s="35">
        <f>IF(LPG!M30-LPG!M29&lt;0,"0",(LPG!M30-LPG!M29)*1.8315)</f>
        <v>5.4944999999999995</v>
      </c>
      <c r="BB23" s="35">
        <f>IF(LPG!Q30-LPG!Q29&lt;0,"0",(LPG!Q30-LPG!Q29)*1.8315)</f>
        <v>7.3259999999999996</v>
      </c>
      <c r="BC23" s="13">
        <f>'FS Desroches Daily'!CN25</f>
        <v>48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3699.9999999998145</v>
      </c>
      <c r="F24" s="36">
        <f>'FS Desroches Daily'!F26</f>
        <v>4000.0000000000036</v>
      </c>
      <c r="G24" s="35">
        <f>'FS Desroches Daily'!H26</f>
        <v>3400.0000000000696</v>
      </c>
      <c r="H24" s="36">
        <f>'FS Desroches Daily'!J26</f>
        <v>1539.9999999999636</v>
      </c>
      <c r="I24" s="35">
        <f>'FS Desroches Daily'!L26</f>
        <v>2700.0000000001469</v>
      </c>
      <c r="J24" s="36">
        <f>'FS Desroches Daily'!N26</f>
        <v>1980.0000000000182</v>
      </c>
      <c r="K24" s="13">
        <f>'FS Desroches Daily'!P26</f>
        <v>22</v>
      </c>
      <c r="L24" s="35">
        <f>'FS Desroches Daily'!R26</f>
        <v>8</v>
      </c>
      <c r="M24" s="35">
        <f>'FS Desroches Daily'!T26</f>
        <v>1722</v>
      </c>
      <c r="N24" s="35">
        <f>'FS Desroches Daily'!V26</f>
        <v>648</v>
      </c>
      <c r="O24" s="35">
        <f>'FS Desroches Daily'!X26</f>
        <v>479.99999999996135</v>
      </c>
      <c r="P24" s="35">
        <f>'FS Desroches Daily'!Z26</f>
        <v>3600.0000000000477</v>
      </c>
      <c r="Q24" s="35">
        <f>'FS Desroches Daily'!AB26</f>
        <v>569.99999999999318</v>
      </c>
      <c r="R24" s="35">
        <f>'FS Desroches Daily'!AD26</f>
        <v>490.00000000000909</v>
      </c>
      <c r="S24" s="35">
        <f>'FS Desroches Daily'!AF26</f>
        <v>1009.9999999999909</v>
      </c>
      <c r="T24" s="35">
        <f>'FS Desroches Daily'!AH26</f>
        <v>2.1000000000000227</v>
      </c>
      <c r="U24" s="39">
        <f>'FS Desroches Daily'!AJ26</f>
        <v>1300.0000000000114</v>
      </c>
      <c r="V24" s="39">
        <f>'FS Desroches Daily'!AL26</f>
        <v>0.25</v>
      </c>
      <c r="W24" s="39">
        <f>'FS Desroches Daily'!AN26</f>
        <v>0.21999999999999886</v>
      </c>
      <c r="X24" s="39">
        <f>'FS Desroches Daily'!AP26</f>
        <v>0.23000000000000398</v>
      </c>
      <c r="Y24" s="39">
        <f>'FS Desroches Daily'!AR26</f>
        <v>149.99999999997726</v>
      </c>
      <c r="Z24" s="39">
        <f>'FS Desroches Daily'!AT26</f>
        <v>60.000000000002274</v>
      </c>
      <c r="AA24" s="39">
        <f>'FS Desroches Daily'!AT26</f>
        <v>60.000000000002274</v>
      </c>
      <c r="AB24" s="39">
        <f>'FS Desroches Daily'!AV26</f>
        <v>120.00000000000455</v>
      </c>
      <c r="AC24" s="39">
        <f>'FS Desroches Daily'!AZ26</f>
        <v>189.99999999999773</v>
      </c>
      <c r="AD24" s="39">
        <f>'FS Desroches Daily'!BB26</f>
        <v>330.00000000004093</v>
      </c>
      <c r="AE24" s="39">
        <f>'FS Desroches Daily'!BD26</f>
        <v>189.99999999999773</v>
      </c>
      <c r="AF24" s="35">
        <f>'FS Desroches Daily'!BF26</f>
        <v>52</v>
      </c>
      <c r="AG24" s="36">
        <f>'FS Desroches Daily'!BH26</f>
        <v>30.000000000001137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39.999999999992042</v>
      </c>
      <c r="AK24" s="36">
        <f>'FS Desroches Daily'!BP26</f>
        <v>50.000000000011369</v>
      </c>
      <c r="AL24" s="36">
        <f>'FS Desroches Daily'!BR26</f>
        <v>43</v>
      </c>
      <c r="AM24" s="36">
        <f>'FS Desroches Daily'!BT26</f>
        <v>49.999999999982947</v>
      </c>
      <c r="AN24" s="36">
        <f>'FS Desroches Daily'!BV26</f>
        <v>45</v>
      </c>
      <c r="AO24" s="36">
        <f>'FS Desroches Daily'!BX26</f>
        <v>49.999999999982947</v>
      </c>
      <c r="AP24" s="36">
        <f>'FS Desroches Daily'!BZ26</f>
        <v>62</v>
      </c>
      <c r="AQ24" s="35">
        <f>'FS Desroches Daily'!CB26</f>
        <v>46</v>
      </c>
      <c r="AR24" s="35">
        <f>'FS Desroches Daily'!CD26</f>
        <v>23.899999999999636</v>
      </c>
      <c r="AS24" s="35">
        <f>'FS Desroches Daily'!CF26</f>
        <v>6.6000000000003638</v>
      </c>
      <c r="AT24" s="35">
        <f>'FS Desroches Daily'!CH26</f>
        <v>22.599999999998545</v>
      </c>
      <c r="AU24" s="35">
        <f>'FS Desroches Daily'!CJ26</f>
        <v>330</v>
      </c>
      <c r="AV24" s="35">
        <f>'FS Desroches Daily'!CL26</f>
        <v>669.99999999995907</v>
      </c>
      <c r="AW24" s="35">
        <f>'FS Desroches Daily'!CM26</f>
        <v>105.2</v>
      </c>
      <c r="AX24" s="35">
        <f>IF(LPG!F31-LPG!F30&lt;0,"0",(LPG!F31-LPG!F30)*1.8315)</f>
        <v>16.483499999999999</v>
      </c>
      <c r="AY24" s="35">
        <f>IF(LPG!H31-LPG!H30&lt;0,"0",(LPG!H31-LPG!H30)*1.8315)</f>
        <v>5.4944999999999995</v>
      </c>
      <c r="AZ24" s="35">
        <f>IF(LPG!J31-LPG!J30&lt;0,"0",(LPG!J31-LPG!J30)*1.8315)</f>
        <v>1.8314999999999999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41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 t="str">
        <f>'FS Desroches Daily'!D27</f>
        <v>0</v>
      </c>
      <c r="F25" s="36" t="str">
        <f>'FS Desroches Daily'!F27</f>
        <v>0</v>
      </c>
      <c r="G25" s="35" t="str">
        <f>'FS Desroches Daily'!H27</f>
        <v>0</v>
      </c>
      <c r="H25" s="36" t="str">
        <f>'FS Desroches Daily'!J27</f>
        <v>0</v>
      </c>
      <c r="I25" s="35" t="str">
        <f>'FS Desroches Daily'!L27</f>
        <v>0</v>
      </c>
      <c r="J25" s="36" t="str">
        <f>'FS Desroches Daily'!N27</f>
        <v/>
      </c>
      <c r="K25" s="13" t="str">
        <f>'FS Desroches Daily'!P27</f>
        <v/>
      </c>
      <c r="L25" s="35" t="str">
        <f>'FS Desroches Daily'!R27</f>
        <v/>
      </c>
      <c r="M25" s="35" t="str">
        <f>'FS Desroches Daily'!T27</f>
        <v/>
      </c>
      <c r="N25" s="35" t="str">
        <f>'FS Desroches Daily'!V27</f>
        <v/>
      </c>
      <c r="O25" s="35" t="str">
        <f>'FS Desroches Daily'!X27</f>
        <v/>
      </c>
      <c r="P25" s="35" t="str">
        <f>'FS Desroches Daily'!Z27</f>
        <v/>
      </c>
      <c r="Q25" s="35" t="str">
        <f>'FS Desroches Daily'!AB27</f>
        <v/>
      </c>
      <c r="R25" s="35" t="str">
        <f>'FS Desroches Daily'!AD27</f>
        <v/>
      </c>
      <c r="S25" s="35" t="str">
        <f>'FS Desroches Daily'!AF27</f>
        <v/>
      </c>
      <c r="T25" s="35" t="str">
        <f>'FS Desroches Daily'!AH27</f>
        <v/>
      </c>
      <c r="U25" s="39" t="str">
        <f>'FS Desroches Daily'!AJ27</f>
        <v/>
      </c>
      <c r="V25" s="39" t="str">
        <f>'FS Desroches Daily'!AL27</f>
        <v/>
      </c>
      <c r="W25" s="39" t="str">
        <f>'FS Desroches Daily'!AN27</f>
        <v/>
      </c>
      <c r="X25" s="39" t="str">
        <f>'FS Desroches Daily'!AP27</f>
        <v/>
      </c>
      <c r="Y25" s="39" t="str">
        <f>'FS Desroches Daily'!AR27</f>
        <v/>
      </c>
      <c r="Z25" s="39" t="str">
        <f>'FS Desroches Daily'!AT27</f>
        <v/>
      </c>
      <c r="AA25" s="39" t="str">
        <f>'FS Desroches Daily'!AT27</f>
        <v/>
      </c>
      <c r="AB25" s="39" t="str">
        <f>'FS Desroches Daily'!AV27</f>
        <v/>
      </c>
      <c r="AC25" s="39" t="str">
        <f>'FS Desroches Daily'!AZ27</f>
        <v/>
      </c>
      <c r="AD25" s="39" t="str">
        <f>'FS Desroches Daily'!BB27</f>
        <v/>
      </c>
      <c r="AE25" s="39" t="str">
        <f>'FS Desroches Daily'!BD27</f>
        <v/>
      </c>
      <c r="AF25" s="35" t="str">
        <f>'FS Desroches Daily'!BF27</f>
        <v/>
      </c>
      <c r="AG25" s="36" t="str">
        <f>'FS Desroches Daily'!BH27</f>
        <v/>
      </c>
      <c r="AH25" s="36" t="str">
        <f>'FS Desroches Daily'!BJ27</f>
        <v/>
      </c>
      <c r="AI25" s="36" t="str">
        <f>'FS Desroches Daily'!BL27</f>
        <v/>
      </c>
      <c r="AJ25" s="36" t="str">
        <f>'FS Desroches Daily'!BN27</f>
        <v/>
      </c>
      <c r="AK25" s="36" t="str">
        <f>'FS Desroches Daily'!BP27</f>
        <v/>
      </c>
      <c r="AL25" s="36" t="str">
        <f>'FS Desroches Daily'!BR27</f>
        <v/>
      </c>
      <c r="AM25" s="36" t="str">
        <f>'FS Desroches Daily'!BT27</f>
        <v/>
      </c>
      <c r="AN25" s="36" t="str">
        <f>'FS Desroches Daily'!BV27</f>
        <v/>
      </c>
      <c r="AO25" s="36" t="str">
        <f>'FS Desroches Daily'!BX27</f>
        <v/>
      </c>
      <c r="AP25" s="36" t="str">
        <f>'FS Desroches Daily'!BZ27</f>
        <v/>
      </c>
      <c r="AQ25" s="35" t="str">
        <f>'FS Desroches Daily'!CB27</f>
        <v/>
      </c>
      <c r="AR25" s="35" t="str">
        <f>'FS Desroches Daily'!CD27</f>
        <v/>
      </c>
      <c r="AS25" s="35" t="str">
        <f>'FS Desroches Daily'!CF27</f>
        <v/>
      </c>
      <c r="AT25" s="35" t="str">
        <f>'FS Desroches Daily'!CH27</f>
        <v/>
      </c>
      <c r="AU25" s="35" t="str">
        <f>'FS Desroches Daily'!CJ27</f>
        <v/>
      </c>
      <c r="AV25" s="35" t="str">
        <f>'FS Desroches Daily'!CL27</f>
        <v/>
      </c>
      <c r="AW25" s="35">
        <f>'FS Desroches Daily'!CM27</f>
        <v>0</v>
      </c>
      <c r="AX25" s="35" t="str">
        <f>IF(LPG!F32-LPG!F31&lt;0,"0",(LPG!F32-LPG!F31)*1.8315)</f>
        <v>0</v>
      </c>
      <c r="AY25" s="35" t="str">
        <f>IF(LPG!H32-LPG!H31&lt;0,"0",(LPG!H32-LPG!H31)*1.8315)</f>
        <v>0</v>
      </c>
      <c r="AZ25" s="35" t="str">
        <f>IF(LPG!J32-LPG!J31&lt;0,"0",(LPG!J32-LPG!J31)*1.8315)</f>
        <v>0</v>
      </c>
      <c r="BA25" s="35" t="str">
        <f>IF(LPG!M32-LPG!M31&lt;0,"0",(LPG!M32-LPG!M31)*1.8315)</f>
        <v>0</v>
      </c>
      <c r="BB25" s="35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47399.999999999884</v>
      </c>
      <c r="F33" s="17">
        <f t="shared" ref="F33:BC33" si="1">SUM(F2:F32)</f>
        <v>73700.000000000102</v>
      </c>
      <c r="G33" s="17">
        <f t="shared" si="1"/>
        <v>72900.000000000204</v>
      </c>
      <c r="H33" s="17">
        <f t="shared" si="1"/>
        <v>33279.999999999971</v>
      </c>
      <c r="I33" s="17">
        <f t="shared" si="1"/>
        <v>56100.000000000029</v>
      </c>
      <c r="J33" s="17">
        <f t="shared" si="1"/>
        <v>36529.999999999971</v>
      </c>
      <c r="K33" s="17">
        <f t="shared" si="1"/>
        <v>431</v>
      </c>
      <c r="L33" s="17">
        <f t="shared" si="1"/>
        <v>172</v>
      </c>
      <c r="M33" s="17">
        <f t="shared" si="1"/>
        <v>25787</v>
      </c>
      <c r="N33" s="17">
        <f t="shared" si="1"/>
        <v>10567</v>
      </c>
      <c r="O33" s="17">
        <f t="shared" si="1"/>
        <v>8389.9999999999873</v>
      </c>
      <c r="P33" s="17">
        <f t="shared" si="1"/>
        <v>64799.999999999993</v>
      </c>
      <c r="Q33" s="17">
        <f t="shared" si="1"/>
        <v>10009.999999999989</v>
      </c>
      <c r="R33" s="17">
        <f t="shared" si="1"/>
        <v>8599.9999999999927</v>
      </c>
      <c r="S33" s="17">
        <f t="shared" si="1"/>
        <v>15490.000000000009</v>
      </c>
      <c r="T33" s="17">
        <f t="shared" si="1"/>
        <v>44.200000000000045</v>
      </c>
      <c r="U33" s="39">
        <f t="shared" si="1"/>
        <v>9939.9999999999982</v>
      </c>
      <c r="V33" s="39">
        <f t="shared" si="1"/>
        <v>4.3199999999999932</v>
      </c>
      <c r="W33" s="39">
        <f t="shared" si="1"/>
        <v>4.2900000000000063</v>
      </c>
      <c r="X33" s="39">
        <f t="shared" si="1"/>
        <v>3.6700000000000017</v>
      </c>
      <c r="Y33" s="39">
        <f t="shared" si="1"/>
        <v>1719.9999999999989</v>
      </c>
      <c r="Z33" s="39">
        <f t="shared" si="1"/>
        <v>1649.9999999999773</v>
      </c>
      <c r="AA33" s="39">
        <f t="shared" si="1"/>
        <v>1649.9999999999773</v>
      </c>
      <c r="AB33" s="39">
        <f t="shared" si="1"/>
        <v>3460.0000000000082</v>
      </c>
      <c r="AC33" s="39">
        <f t="shared" si="1"/>
        <v>2830.0000000000409</v>
      </c>
      <c r="AD33" s="39">
        <f t="shared" si="1"/>
        <v>3450.0000000000455</v>
      </c>
      <c r="AE33" s="39">
        <f t="shared" si="1"/>
        <v>1079.9999999999841</v>
      </c>
      <c r="AF33" s="17">
        <f t="shared" si="1"/>
        <v>1060</v>
      </c>
      <c r="AG33" s="36">
        <f t="shared" si="1"/>
        <v>659.99999999999659</v>
      </c>
      <c r="AH33" s="36">
        <f t="shared" si="1"/>
        <v>930.00000000000682</v>
      </c>
      <c r="AI33" s="36">
        <f t="shared" si="1"/>
        <v>939.99999999999773</v>
      </c>
      <c r="AJ33" s="36">
        <f t="shared" si="1"/>
        <v>829.99999999998408</v>
      </c>
      <c r="AK33" s="36">
        <f t="shared" si="1"/>
        <v>970.00000000002728</v>
      </c>
      <c r="AL33" s="36">
        <f t="shared" si="1"/>
        <v>892</v>
      </c>
      <c r="AM33" s="36">
        <f t="shared" si="1"/>
        <v>869.99999999997613</v>
      </c>
      <c r="AN33" s="36">
        <f t="shared" si="1"/>
        <v>743</v>
      </c>
      <c r="AO33" s="36">
        <f t="shared" si="1"/>
        <v>889.99999999998636</v>
      </c>
      <c r="AP33" s="36">
        <f t="shared" si="1"/>
        <v>1381</v>
      </c>
      <c r="AQ33" s="17">
        <f t="shared" si="1"/>
        <v>852.70000000000073</v>
      </c>
      <c r="AR33" s="17">
        <f t="shared" si="1"/>
        <v>313.5</v>
      </c>
      <c r="AS33" s="17">
        <f t="shared" si="1"/>
        <v>201.90000000000055</v>
      </c>
      <c r="AT33" s="17">
        <f t="shared" si="1"/>
        <v>1326.3999999999942</v>
      </c>
      <c r="AU33" s="17">
        <f t="shared" si="1"/>
        <v>7074</v>
      </c>
      <c r="AV33" s="17">
        <f t="shared" si="1"/>
        <v>16299.999999999953</v>
      </c>
      <c r="AW33" s="17">
        <f t="shared" si="1"/>
        <v>2051.6</v>
      </c>
      <c r="AX33" s="17">
        <f t="shared" si="1"/>
        <v>324.1755</v>
      </c>
      <c r="AY33" s="17">
        <f t="shared" si="1"/>
        <v>80.58599999999997</v>
      </c>
      <c r="AZ33" s="17">
        <f t="shared" si="1"/>
        <v>23.809499999999996</v>
      </c>
      <c r="BA33" s="17">
        <f t="shared" si="1"/>
        <v>93.406500000000008</v>
      </c>
      <c r="BB33" s="17">
        <f t="shared" si="1"/>
        <v>133.69949999999997</v>
      </c>
      <c r="BC33" s="17">
        <f t="shared" si="1"/>
        <v>584</v>
      </c>
    </row>
    <row r="35" spans="5:55" x14ac:dyDescent="0.25">
      <c r="E35" s="42">
        <f>E33/E37</f>
        <v>0.18592026609347734</v>
      </c>
      <c r="G35" s="33">
        <f>G33-M36</f>
        <v>36546.000000000204</v>
      </c>
      <c r="AE35" s="39">
        <f>SUM(U33:AE33)</f>
        <v>25792.280000000028</v>
      </c>
      <c r="AG35" s="36">
        <f>SUM(AG33:AP33)</f>
        <v>9105.9999999999745</v>
      </c>
    </row>
    <row r="36" spans="5:55" x14ac:dyDescent="0.25">
      <c r="G36" s="33">
        <f>G35-633*14</f>
        <v>27684.000000000204</v>
      </c>
      <c r="M36" s="33">
        <f>M33+N33</f>
        <v>36354</v>
      </c>
    </row>
    <row r="37" spans="5:55" x14ac:dyDescent="0.25">
      <c r="E37" s="17">
        <f>E33+F33+G33+H33+J33-633*14</f>
        <v>254948.00000000012</v>
      </c>
      <c r="G37" s="41">
        <f>M36/E37</f>
        <v>0.14259378383042809</v>
      </c>
      <c r="M37" s="39">
        <f>AE35</f>
        <v>25792.280000000028</v>
      </c>
    </row>
    <row r="38" spans="5:55" x14ac:dyDescent="0.25">
      <c r="L38" s="31">
        <f>M38/E37</f>
        <v>3.571708740605916E-2</v>
      </c>
      <c r="M38" s="33">
        <f>AG35</f>
        <v>9105.9999999999745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8" activePane="bottomLeft" state="frozen"/>
      <selection pane="bottomLeft" activeCell="A26" sqref="A26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45">
      <c r="A21" s="76">
        <v>43817</v>
      </c>
      <c r="B21" s="49"/>
      <c r="C21" s="65">
        <v>1.3489</v>
      </c>
      <c r="D21" s="77">
        <f t="shared" si="2"/>
        <v>2000.0000000000018</v>
      </c>
      <c r="E21" s="65">
        <v>2.2717999999999998</v>
      </c>
      <c r="F21" s="77">
        <f t="shared" si="3"/>
        <v>3599.9999999996035</v>
      </c>
      <c r="G21" s="65">
        <v>2.1112000000000002</v>
      </c>
      <c r="H21" s="77">
        <f t="shared" si="4"/>
        <v>3400.0000000000696</v>
      </c>
      <c r="I21" s="65">
        <v>984.37</v>
      </c>
      <c r="J21" s="77">
        <f t="shared" si="5"/>
        <v>1399.9999999999773</v>
      </c>
      <c r="K21" s="65">
        <v>1.5095000000000001</v>
      </c>
      <c r="L21" s="77">
        <f t="shared" si="0"/>
        <v>2500.0000000001687</v>
      </c>
      <c r="M21" s="65">
        <v>947.36</v>
      </c>
      <c r="N21" s="78">
        <f t="shared" si="23"/>
        <v>1370.0000000000045</v>
      </c>
      <c r="O21" s="65">
        <v>10587</v>
      </c>
      <c r="P21" s="78">
        <f t="shared" si="6"/>
        <v>18</v>
      </c>
      <c r="Q21" s="65">
        <v>4211</v>
      </c>
      <c r="R21" s="78">
        <f t="shared" si="7"/>
        <v>6</v>
      </c>
      <c r="S21" s="80">
        <v>690389</v>
      </c>
      <c r="T21" s="78">
        <f t="shared" si="8"/>
        <v>1385</v>
      </c>
      <c r="U21" s="80">
        <v>279904</v>
      </c>
      <c r="V21" s="78">
        <f t="shared" si="9"/>
        <v>520</v>
      </c>
      <c r="W21" s="65">
        <v>273.83999999999997</v>
      </c>
      <c r="X21" s="78">
        <f t="shared" si="43"/>
        <v>439.99999999999773</v>
      </c>
      <c r="Y21" s="65">
        <v>2.0185</v>
      </c>
      <c r="Z21" s="78">
        <f t="shared" si="24"/>
        <v>3099.9999999998809</v>
      </c>
      <c r="AA21" s="65">
        <v>271.5</v>
      </c>
      <c r="AB21" s="78">
        <f t="shared" si="25"/>
        <v>459.99999999997954</v>
      </c>
      <c r="AC21" s="65">
        <v>247.93</v>
      </c>
      <c r="AD21" s="78">
        <f t="shared" si="26"/>
        <v>300.00000000001137</v>
      </c>
      <c r="AE21" s="65">
        <v>363.16</v>
      </c>
      <c r="AF21" s="78">
        <f t="shared" si="27"/>
        <v>490.00000000000909</v>
      </c>
      <c r="AG21" s="65">
        <v>963.7</v>
      </c>
      <c r="AH21" s="78">
        <f t="shared" si="10"/>
        <v>2.7000000000000455</v>
      </c>
      <c r="AI21" s="65">
        <v>340.4</v>
      </c>
      <c r="AJ21" s="78">
        <f t="shared" si="28"/>
        <v>379.99999999999545</v>
      </c>
      <c r="AK21" s="65">
        <v>117.33</v>
      </c>
      <c r="AL21" s="78">
        <f t="shared" si="11"/>
        <v>0.18999999999999773</v>
      </c>
      <c r="AM21" s="65">
        <v>119.13</v>
      </c>
      <c r="AN21" s="78">
        <f t="shared" si="12"/>
        <v>7.9999999999998295E-2</v>
      </c>
      <c r="AO21" s="65">
        <v>117.92</v>
      </c>
      <c r="AP21" s="78">
        <f t="shared" si="13"/>
        <v>0.14000000000000057</v>
      </c>
      <c r="AQ21" s="65">
        <v>193.59</v>
      </c>
      <c r="AR21" s="78">
        <f t="shared" si="29"/>
        <v>99.999999999994316</v>
      </c>
      <c r="AS21" s="65">
        <v>315.94</v>
      </c>
      <c r="AT21" s="78">
        <f t="shared" si="30"/>
        <v>60.000000000002274</v>
      </c>
      <c r="AU21" s="65">
        <v>242.07</v>
      </c>
      <c r="AV21" s="78">
        <f t="shared" si="31"/>
        <v>180.00000000000682</v>
      </c>
      <c r="AW21" s="65">
        <v>273.2</v>
      </c>
      <c r="AX21" s="78">
        <f t="shared" si="32"/>
        <v>110.00000000001364</v>
      </c>
      <c r="AY21" s="65">
        <v>326.14</v>
      </c>
      <c r="AZ21" s="78">
        <f t="shared" si="33"/>
        <v>149.99999999997726</v>
      </c>
      <c r="BA21" s="65">
        <v>343.57</v>
      </c>
      <c r="BB21" s="78">
        <f t="shared" si="34"/>
        <v>170.00000000001592</v>
      </c>
      <c r="BC21" s="65">
        <v>196.4</v>
      </c>
      <c r="BD21" s="78">
        <f t="shared" si="35"/>
        <v>20.000000000010232</v>
      </c>
      <c r="BE21" s="70">
        <v>21411</v>
      </c>
      <c r="BF21" s="78">
        <f t="shared" si="14"/>
        <v>38</v>
      </c>
      <c r="BG21" s="70">
        <v>218.82</v>
      </c>
      <c r="BH21" s="78">
        <f t="shared" si="36"/>
        <v>19.99999999998181</v>
      </c>
      <c r="BI21" s="70">
        <v>275.07</v>
      </c>
      <c r="BJ21" s="78">
        <f t="shared" si="37"/>
        <v>29.999999999972715</v>
      </c>
      <c r="BK21" s="70">
        <v>222.93</v>
      </c>
      <c r="BL21" s="78">
        <f t="shared" si="38"/>
        <v>30.000000000001137</v>
      </c>
      <c r="BM21" s="70">
        <v>206.15</v>
      </c>
      <c r="BN21" s="78">
        <f t="shared" si="39"/>
        <v>30.000000000001137</v>
      </c>
      <c r="BO21" s="70">
        <v>269.75</v>
      </c>
      <c r="BP21" s="78">
        <f t="shared" si="40"/>
        <v>29.999999999972715</v>
      </c>
      <c r="BQ21" s="70">
        <v>33109</v>
      </c>
      <c r="BR21" s="78">
        <f t="shared" si="15"/>
        <v>33</v>
      </c>
      <c r="BS21" s="70">
        <v>187.22</v>
      </c>
      <c r="BT21" s="78">
        <f t="shared" si="41"/>
        <v>30.000000000001137</v>
      </c>
      <c r="BU21" s="70">
        <v>23992</v>
      </c>
      <c r="BV21" s="78">
        <f t="shared" si="16"/>
        <v>23</v>
      </c>
      <c r="BW21" s="70">
        <v>216.56</v>
      </c>
      <c r="BX21" s="78">
        <f t="shared" si="42"/>
        <v>30.000000000001137</v>
      </c>
      <c r="BY21" s="72">
        <v>39633</v>
      </c>
      <c r="BZ21" s="78">
        <f t="shared" si="17"/>
        <v>37</v>
      </c>
      <c r="CA21" s="65">
        <v>23521.599999999999</v>
      </c>
      <c r="CB21" s="78">
        <f t="shared" si="18"/>
        <v>67.19999999999709</v>
      </c>
      <c r="CC21" s="65">
        <v>10023.200000000001</v>
      </c>
      <c r="CD21" s="78">
        <f t="shared" si="19"/>
        <v>17.200000000000728</v>
      </c>
      <c r="CE21" s="65">
        <v>4767.6000000000004</v>
      </c>
      <c r="CF21" s="78">
        <f t="shared" si="20"/>
        <v>15.800000000000182</v>
      </c>
      <c r="CG21" s="65">
        <v>35804.5</v>
      </c>
      <c r="CH21" s="78">
        <f t="shared" si="21"/>
        <v>41.599999999998545</v>
      </c>
      <c r="CI21" s="65">
        <v>810417</v>
      </c>
      <c r="CJ21" s="78">
        <f t="shared" si="1"/>
        <v>355</v>
      </c>
      <c r="CK21" s="65">
        <v>480.15</v>
      </c>
      <c r="CL21" s="77">
        <f t="shared" si="22"/>
        <v>870.00000000000455</v>
      </c>
      <c r="CM21" s="78">
        <v>88</v>
      </c>
      <c r="CN21" s="79">
        <v>28</v>
      </c>
      <c r="CO21" s="79">
        <v>91</v>
      </c>
    </row>
    <row r="22" spans="1:93" ht="25.5" customHeight="1" thickBot="1" x14ac:dyDescent="0.45">
      <c r="A22" s="76">
        <v>43818</v>
      </c>
      <c r="B22" s="49"/>
      <c r="C22" s="65">
        <v>1.3511</v>
      </c>
      <c r="D22" s="77">
        <f t="shared" si="2"/>
        <v>2199.9999999999795</v>
      </c>
      <c r="E22" s="65">
        <v>2.2753999999999999</v>
      </c>
      <c r="F22" s="77">
        <f t="shared" si="3"/>
        <v>3600.0000000000477</v>
      </c>
      <c r="G22" s="65">
        <v>2.1147</v>
      </c>
      <c r="H22" s="77">
        <f t="shared" si="4"/>
        <v>3499.9999999998367</v>
      </c>
      <c r="I22" s="65">
        <v>985.9</v>
      </c>
      <c r="J22" s="77">
        <f t="shared" si="5"/>
        <v>1529.9999999999727</v>
      </c>
      <c r="K22" s="65">
        <v>1.5124</v>
      </c>
      <c r="L22" s="77">
        <f t="shared" si="0"/>
        <v>2899.9999999999027</v>
      </c>
      <c r="M22" s="65">
        <v>948.88</v>
      </c>
      <c r="N22" s="78">
        <f t="shared" si="23"/>
        <v>1519.9999999999818</v>
      </c>
      <c r="O22" s="65">
        <v>10607</v>
      </c>
      <c r="P22" s="78">
        <f t="shared" si="6"/>
        <v>20</v>
      </c>
      <c r="Q22" s="65">
        <v>4218</v>
      </c>
      <c r="R22" s="78">
        <f t="shared" si="7"/>
        <v>7</v>
      </c>
      <c r="S22" s="80">
        <v>691535</v>
      </c>
      <c r="T22" s="78">
        <f t="shared" si="8"/>
        <v>1146</v>
      </c>
      <c r="U22" s="80">
        <v>280257</v>
      </c>
      <c r="V22" s="78">
        <f t="shared" si="9"/>
        <v>353</v>
      </c>
      <c r="W22" s="80">
        <v>274.29000000000002</v>
      </c>
      <c r="X22" s="78">
        <f t="shared" si="43"/>
        <v>450.00000000004547</v>
      </c>
      <c r="Y22" s="80">
        <v>2.0217000000000001</v>
      </c>
      <c r="Z22" s="78">
        <f t="shared" si="24"/>
        <v>3200.0000000000919</v>
      </c>
      <c r="AA22" s="80">
        <v>272.06</v>
      </c>
      <c r="AB22" s="78">
        <f t="shared" si="25"/>
        <v>560.00000000000227</v>
      </c>
      <c r="AC22" s="80">
        <v>248.26</v>
      </c>
      <c r="AD22" s="78">
        <f t="shared" si="26"/>
        <v>329.99999999998408</v>
      </c>
      <c r="AE22" s="74">
        <v>363.69</v>
      </c>
      <c r="AF22" s="78">
        <f t="shared" si="27"/>
        <v>529.99999999997272</v>
      </c>
      <c r="AG22" s="74">
        <v>965.3</v>
      </c>
      <c r="AH22" s="78">
        <f t="shared" si="10"/>
        <v>1.5999999999999091</v>
      </c>
      <c r="AI22" s="80">
        <v>340.82</v>
      </c>
      <c r="AJ22" s="78">
        <f t="shared" si="28"/>
        <v>420.00000000001592</v>
      </c>
      <c r="AK22" s="80">
        <v>117.55</v>
      </c>
      <c r="AL22" s="78">
        <f t="shared" si="11"/>
        <v>0.21999999999999886</v>
      </c>
      <c r="AM22" s="80">
        <v>119.3</v>
      </c>
      <c r="AN22" s="78">
        <f t="shared" si="12"/>
        <v>0.17000000000000171</v>
      </c>
      <c r="AO22" s="65">
        <v>118.09</v>
      </c>
      <c r="AP22" s="78">
        <f t="shared" si="13"/>
        <v>0.17000000000000171</v>
      </c>
      <c r="AQ22" s="65">
        <v>193.68</v>
      </c>
      <c r="AR22" s="78">
        <f t="shared" si="29"/>
        <v>90.000000000003411</v>
      </c>
      <c r="AS22" s="65">
        <v>316.02999999999997</v>
      </c>
      <c r="AT22" s="78">
        <f t="shared" si="30"/>
        <v>89.999999999974989</v>
      </c>
      <c r="AU22" s="65">
        <v>242.23</v>
      </c>
      <c r="AV22" s="78">
        <f t="shared" si="31"/>
        <v>159.99999999999659</v>
      </c>
      <c r="AW22" s="65">
        <v>273.33</v>
      </c>
      <c r="AX22" s="78">
        <f t="shared" si="32"/>
        <v>129.99999999999545</v>
      </c>
      <c r="AY22" s="65">
        <v>326.3</v>
      </c>
      <c r="AZ22" s="78">
        <f t="shared" si="33"/>
        <v>160.00000000002501</v>
      </c>
      <c r="BA22" s="65">
        <v>343.78</v>
      </c>
      <c r="BB22" s="78">
        <f t="shared" si="34"/>
        <v>209.99999999997954</v>
      </c>
      <c r="BC22" s="65">
        <v>196.42</v>
      </c>
      <c r="BD22" s="78">
        <f t="shared" si="35"/>
        <v>19.99999999998181</v>
      </c>
      <c r="BE22" s="70">
        <v>21457</v>
      </c>
      <c r="BF22" s="78">
        <f t="shared" si="14"/>
        <v>46</v>
      </c>
      <c r="BG22" s="70">
        <v>218.85</v>
      </c>
      <c r="BH22" s="78">
        <f t="shared" si="36"/>
        <v>30.000000000001137</v>
      </c>
      <c r="BI22" s="70">
        <v>275.12</v>
      </c>
      <c r="BJ22" s="78">
        <f t="shared" si="37"/>
        <v>50.000000000011369</v>
      </c>
      <c r="BK22" s="70">
        <v>222.97</v>
      </c>
      <c r="BL22" s="78">
        <f t="shared" si="38"/>
        <v>39.999999999992042</v>
      </c>
      <c r="BM22" s="70">
        <v>206.18</v>
      </c>
      <c r="BN22" s="78">
        <f t="shared" si="39"/>
        <v>30.000000000001137</v>
      </c>
      <c r="BO22" s="70">
        <v>269.79000000000002</v>
      </c>
      <c r="BP22" s="78">
        <f t="shared" si="40"/>
        <v>40.000000000020464</v>
      </c>
      <c r="BQ22" s="70">
        <v>33146</v>
      </c>
      <c r="BR22" s="78">
        <f t="shared" si="15"/>
        <v>37</v>
      </c>
      <c r="BS22" s="70">
        <v>187.25</v>
      </c>
      <c r="BT22" s="78">
        <f t="shared" si="41"/>
        <v>30.000000000001137</v>
      </c>
      <c r="BU22" s="70">
        <v>24015</v>
      </c>
      <c r="BV22" s="78">
        <f t="shared" si="16"/>
        <v>23</v>
      </c>
      <c r="BW22" s="70">
        <v>216.59</v>
      </c>
      <c r="BX22" s="78">
        <f t="shared" si="42"/>
        <v>30.000000000001137</v>
      </c>
      <c r="BY22" s="72">
        <v>39692</v>
      </c>
      <c r="BZ22" s="78">
        <f t="shared" si="17"/>
        <v>59</v>
      </c>
      <c r="CA22" s="65">
        <v>23574</v>
      </c>
      <c r="CB22" s="78">
        <f t="shared" si="18"/>
        <v>52.400000000001455</v>
      </c>
      <c r="CC22" s="65">
        <v>10048.799999999999</v>
      </c>
      <c r="CD22" s="78">
        <f t="shared" si="19"/>
        <v>25.599999999998545</v>
      </c>
      <c r="CE22" s="65">
        <v>4767.6000000000004</v>
      </c>
      <c r="CF22" s="78">
        <f t="shared" si="20"/>
        <v>0</v>
      </c>
      <c r="CG22" s="65">
        <v>35854.5</v>
      </c>
      <c r="CH22" s="78">
        <f t="shared" si="21"/>
        <v>50</v>
      </c>
      <c r="CI22" s="65">
        <v>810751</v>
      </c>
      <c r="CJ22" s="78">
        <f t="shared" si="1"/>
        <v>334</v>
      </c>
      <c r="CK22" s="65">
        <v>480.98</v>
      </c>
      <c r="CL22" s="77">
        <f t="shared" si="22"/>
        <v>830.00000000004093</v>
      </c>
      <c r="CM22" s="78">
        <v>92</v>
      </c>
      <c r="CN22" s="79">
        <v>34</v>
      </c>
      <c r="CO22" s="79">
        <v>97</v>
      </c>
    </row>
    <row r="23" spans="1:93" ht="25.5" customHeight="1" thickBot="1" x14ac:dyDescent="0.45">
      <c r="A23" s="76">
        <v>43819</v>
      </c>
      <c r="B23" s="49"/>
      <c r="C23" s="65">
        <v>1.3539000000000001</v>
      </c>
      <c r="D23" s="77">
        <f t="shared" si="2"/>
        <v>2800.0000000001355</v>
      </c>
      <c r="E23" s="65">
        <v>2.2791000000000001</v>
      </c>
      <c r="F23" s="77">
        <f t="shared" si="3"/>
        <v>3700.0000000002588</v>
      </c>
      <c r="G23" s="65">
        <v>2.1183999999999998</v>
      </c>
      <c r="H23" s="77">
        <f t="shared" si="4"/>
        <v>3699.9999999998145</v>
      </c>
      <c r="I23" s="65">
        <v>987.51</v>
      </c>
      <c r="J23" s="77">
        <f t="shared" si="5"/>
        <v>1610.0000000000136</v>
      </c>
      <c r="K23" s="65">
        <v>1.5152000000000001</v>
      </c>
      <c r="L23" s="77">
        <f t="shared" si="0"/>
        <v>2800.0000000001355</v>
      </c>
      <c r="M23" s="65">
        <v>950.74</v>
      </c>
      <c r="N23" s="78">
        <f t="shared" si="23"/>
        <v>1860.0000000000136</v>
      </c>
      <c r="O23" s="65">
        <v>10628</v>
      </c>
      <c r="P23" s="78">
        <f t="shared" si="6"/>
        <v>21</v>
      </c>
      <c r="Q23" s="65">
        <v>4226</v>
      </c>
      <c r="R23" s="78">
        <f t="shared" si="7"/>
        <v>8</v>
      </c>
      <c r="S23" s="80">
        <v>692820</v>
      </c>
      <c r="T23" s="78">
        <f t="shared" si="8"/>
        <v>1285</v>
      </c>
      <c r="U23" s="80">
        <v>280766</v>
      </c>
      <c r="V23" s="78">
        <f t="shared" si="9"/>
        <v>509</v>
      </c>
      <c r="W23" s="80">
        <v>274.73</v>
      </c>
      <c r="X23" s="78">
        <f t="shared" si="43"/>
        <v>439.99999999999773</v>
      </c>
      <c r="Y23" s="80">
        <v>2.0247999999999999</v>
      </c>
      <c r="Z23" s="78">
        <f t="shared" si="24"/>
        <v>3099.9999999998809</v>
      </c>
      <c r="AA23" s="80">
        <v>272.54000000000002</v>
      </c>
      <c r="AB23" s="78">
        <f t="shared" si="25"/>
        <v>480.00000000001819</v>
      </c>
      <c r="AC23" s="80">
        <v>248.76</v>
      </c>
      <c r="AD23" s="78">
        <f t="shared" si="26"/>
        <v>500</v>
      </c>
      <c r="AE23" s="74">
        <v>364.36</v>
      </c>
      <c r="AF23" s="78">
        <f t="shared" si="27"/>
        <v>670.00000000001592</v>
      </c>
      <c r="AG23" s="74">
        <v>967.1</v>
      </c>
      <c r="AH23" s="78">
        <f t="shared" si="10"/>
        <v>1.8000000000000682</v>
      </c>
      <c r="AI23" s="80">
        <v>341.47</v>
      </c>
      <c r="AJ23" s="78">
        <f t="shared" si="28"/>
        <v>650.00000000003411</v>
      </c>
      <c r="AK23" s="80">
        <v>117.79</v>
      </c>
      <c r="AL23" s="78"/>
      <c r="AM23" s="80">
        <v>119.49</v>
      </c>
      <c r="AN23" s="78">
        <f t="shared" si="12"/>
        <v>0.18999999999999773</v>
      </c>
      <c r="AO23" s="80">
        <v>118.26</v>
      </c>
      <c r="AP23" s="78">
        <f t="shared" si="13"/>
        <v>0.17000000000000171</v>
      </c>
      <c r="AQ23" s="80">
        <v>193.73</v>
      </c>
      <c r="AR23" s="78">
        <f t="shared" si="29"/>
        <v>49.999999999982947</v>
      </c>
      <c r="AS23" s="80">
        <v>316.08999999999997</v>
      </c>
      <c r="AT23" s="78">
        <f t="shared" si="30"/>
        <v>60.000000000002274</v>
      </c>
      <c r="AU23" s="80">
        <v>242.41</v>
      </c>
      <c r="AV23" s="78">
        <f t="shared" si="31"/>
        <v>180.00000000000682</v>
      </c>
      <c r="AW23" s="80">
        <v>273.47000000000003</v>
      </c>
      <c r="AX23" s="78">
        <f t="shared" si="32"/>
        <v>140.0000000000432</v>
      </c>
      <c r="AY23" s="80">
        <v>326.47000000000003</v>
      </c>
      <c r="AZ23" s="78">
        <f t="shared" si="33"/>
        <v>170.00000000001592</v>
      </c>
      <c r="BA23" s="80">
        <v>344.08</v>
      </c>
      <c r="BB23" s="78">
        <f t="shared" si="34"/>
        <v>300.00000000001137</v>
      </c>
      <c r="BC23" s="80">
        <v>196.43</v>
      </c>
      <c r="BD23" s="78">
        <f t="shared" si="35"/>
        <v>10.000000000019327</v>
      </c>
      <c r="BE23" s="80">
        <v>21507</v>
      </c>
      <c r="BF23" s="78">
        <f t="shared" si="14"/>
        <v>50</v>
      </c>
      <c r="BG23" s="80">
        <v>218.89</v>
      </c>
      <c r="BH23" s="78">
        <f t="shared" si="36"/>
        <v>39.999999999992042</v>
      </c>
      <c r="BI23" s="80">
        <v>275.16000000000003</v>
      </c>
      <c r="BJ23" s="78">
        <f t="shared" si="37"/>
        <v>40.000000000020464</v>
      </c>
      <c r="BK23" s="80">
        <v>223.03</v>
      </c>
      <c r="BL23" s="78">
        <f t="shared" si="38"/>
        <v>60.000000000002274</v>
      </c>
      <c r="BM23" s="80">
        <v>206.22</v>
      </c>
      <c r="BN23" s="78">
        <f t="shared" si="39"/>
        <v>39.999999999992042</v>
      </c>
      <c r="BO23" s="80">
        <v>269.83999999999997</v>
      </c>
      <c r="BP23" s="78">
        <f t="shared" si="40"/>
        <v>49.999999999954525</v>
      </c>
      <c r="BQ23" s="80">
        <v>33184</v>
      </c>
      <c r="BR23" s="78">
        <f t="shared" si="15"/>
        <v>38</v>
      </c>
      <c r="BS23" s="80">
        <v>187.29</v>
      </c>
      <c r="BT23" s="78">
        <f t="shared" si="41"/>
        <v>39.999999999992042</v>
      </c>
      <c r="BU23" s="80">
        <v>24051</v>
      </c>
      <c r="BV23" s="78">
        <f t="shared" si="16"/>
        <v>36</v>
      </c>
      <c r="BW23" s="80">
        <v>216.64</v>
      </c>
      <c r="BX23" s="78">
        <f t="shared" si="42"/>
        <v>49.999999999982947</v>
      </c>
      <c r="BY23" s="80">
        <v>39755</v>
      </c>
      <c r="BZ23" s="78">
        <f t="shared" si="17"/>
        <v>63</v>
      </c>
      <c r="CA23" s="80">
        <v>23623.5</v>
      </c>
      <c r="CB23" s="78">
        <f t="shared" si="18"/>
        <v>49.5</v>
      </c>
      <c r="CC23" s="80">
        <v>10066.200000000001</v>
      </c>
      <c r="CD23" s="78">
        <f t="shared" si="19"/>
        <v>17.400000000001455</v>
      </c>
      <c r="CE23" s="80">
        <v>4779.7</v>
      </c>
      <c r="CF23" s="78">
        <f t="shared" si="20"/>
        <v>12.099999999999454</v>
      </c>
      <c r="CG23" s="80">
        <v>35885.4</v>
      </c>
      <c r="CH23" s="78">
        <f t="shared" si="21"/>
        <v>30.900000000001455</v>
      </c>
      <c r="CI23" s="80">
        <v>811090</v>
      </c>
      <c r="CJ23" s="78">
        <f t="shared" si="1"/>
        <v>339</v>
      </c>
      <c r="CK23" s="80">
        <v>481.88</v>
      </c>
      <c r="CL23" s="77">
        <f t="shared" si="22"/>
        <v>899.99999999997726</v>
      </c>
      <c r="CM23" s="78">
        <v>86</v>
      </c>
      <c r="CN23" s="79">
        <v>42</v>
      </c>
      <c r="CO23" s="79">
        <v>119</v>
      </c>
    </row>
    <row r="24" spans="1:93" ht="25.5" customHeight="1" thickBot="1" x14ac:dyDescent="0.45">
      <c r="A24" s="76">
        <v>43820</v>
      </c>
      <c r="B24" s="49"/>
      <c r="C24" s="65">
        <v>1.3569</v>
      </c>
      <c r="D24" s="77">
        <f t="shared" si="2"/>
        <v>2999.9999999998918</v>
      </c>
      <c r="E24" s="65">
        <v>2.2831999999999999</v>
      </c>
      <c r="F24" s="77">
        <f t="shared" si="3"/>
        <v>4099.9999999997708</v>
      </c>
      <c r="G24" s="65">
        <v>2.1217999999999999</v>
      </c>
      <c r="H24" s="77">
        <f t="shared" si="4"/>
        <v>3400.0000000000696</v>
      </c>
      <c r="I24" s="65">
        <v>989.11</v>
      </c>
      <c r="J24" s="77">
        <f t="shared" si="5"/>
        <v>1600.0000000000227</v>
      </c>
      <c r="K24" s="65">
        <v>1.518</v>
      </c>
      <c r="L24" s="77">
        <f t="shared" si="0"/>
        <v>2799.9999999999136</v>
      </c>
      <c r="M24" s="65">
        <v>952.66</v>
      </c>
      <c r="N24" s="78">
        <f t="shared" si="23"/>
        <v>1919.9999999999591</v>
      </c>
      <c r="O24" s="65">
        <v>10649</v>
      </c>
      <c r="P24" s="78">
        <f t="shared" si="6"/>
        <v>21</v>
      </c>
      <c r="Q24" s="65">
        <v>4234</v>
      </c>
      <c r="R24" s="78">
        <f t="shared" si="7"/>
        <v>8</v>
      </c>
      <c r="S24" s="80">
        <v>694030</v>
      </c>
      <c r="T24" s="78">
        <f t="shared" si="8"/>
        <v>1210</v>
      </c>
      <c r="U24" s="80">
        <v>281232</v>
      </c>
      <c r="V24" s="78">
        <f t="shared" si="9"/>
        <v>466</v>
      </c>
      <c r="W24" s="80">
        <v>275.25</v>
      </c>
      <c r="X24" s="78">
        <f t="shared" si="43"/>
        <v>519.99999999998181</v>
      </c>
      <c r="Y24" s="80">
        <v>2.0284</v>
      </c>
      <c r="Z24" s="78">
        <f t="shared" si="24"/>
        <v>3600.0000000000477</v>
      </c>
      <c r="AA24" s="80">
        <v>273.06</v>
      </c>
      <c r="AB24" s="78">
        <f t="shared" si="25"/>
        <v>519.99999999998181</v>
      </c>
      <c r="AC24" s="80">
        <v>249.24</v>
      </c>
      <c r="AD24" s="78">
        <f t="shared" si="26"/>
        <v>480.00000000001819</v>
      </c>
      <c r="AE24" s="74">
        <v>365.18</v>
      </c>
      <c r="AF24" s="78">
        <f t="shared" si="27"/>
        <v>819.99999999999318</v>
      </c>
      <c r="AG24" s="74">
        <v>969</v>
      </c>
      <c r="AH24" s="78">
        <f t="shared" si="10"/>
        <v>1.8999999999999773</v>
      </c>
      <c r="AI24" s="80">
        <v>341.92</v>
      </c>
      <c r="AJ24" s="78">
        <f t="shared" si="28"/>
        <v>449.99999999998863</v>
      </c>
      <c r="AK24" s="80">
        <v>118.05</v>
      </c>
      <c r="AL24" s="78">
        <f t="shared" si="11"/>
        <v>0.25999999999999091</v>
      </c>
      <c r="AM24" s="80">
        <v>119.75</v>
      </c>
      <c r="AN24" s="78">
        <f t="shared" si="12"/>
        <v>0.26000000000000512</v>
      </c>
      <c r="AO24" s="80">
        <v>118.45</v>
      </c>
      <c r="AP24" s="78">
        <f t="shared" si="13"/>
        <v>0.18999999999999773</v>
      </c>
      <c r="AQ24" s="80">
        <v>193.9</v>
      </c>
      <c r="AR24" s="78">
        <f t="shared" si="29"/>
        <v>170.00000000001592</v>
      </c>
      <c r="AS24" s="80">
        <v>316.19</v>
      </c>
      <c r="AT24" s="78">
        <f t="shared" si="30"/>
        <v>100.00000000002274</v>
      </c>
      <c r="AU24" s="80">
        <v>242.62</v>
      </c>
      <c r="AV24" s="78">
        <f t="shared" si="31"/>
        <v>210.00000000000796</v>
      </c>
      <c r="AW24" s="80">
        <v>273.64</v>
      </c>
      <c r="AX24" s="78">
        <f t="shared" si="32"/>
        <v>169.99999999995907</v>
      </c>
      <c r="AY24" s="80">
        <v>326.67</v>
      </c>
      <c r="AZ24" s="78">
        <f t="shared" si="33"/>
        <v>199.99999999998863</v>
      </c>
      <c r="BA24" s="80">
        <v>344.4</v>
      </c>
      <c r="BB24" s="78">
        <f t="shared" si="34"/>
        <v>319.99999999999318</v>
      </c>
      <c r="BC24" s="80">
        <v>196.57</v>
      </c>
      <c r="BD24" s="78">
        <f t="shared" si="35"/>
        <v>139.99999999998636</v>
      </c>
      <c r="BE24" s="80">
        <v>21561</v>
      </c>
      <c r="BF24" s="78">
        <f t="shared" si="14"/>
        <v>54</v>
      </c>
      <c r="BG24" s="80">
        <v>218.93</v>
      </c>
      <c r="BH24" s="78">
        <f t="shared" si="36"/>
        <v>40.000000000020464</v>
      </c>
      <c r="BI24" s="80">
        <v>275.2</v>
      </c>
      <c r="BJ24" s="78">
        <f t="shared" si="37"/>
        <v>39.99999999996362</v>
      </c>
      <c r="BK24" s="80">
        <v>223.08</v>
      </c>
      <c r="BL24" s="78">
        <f t="shared" si="38"/>
        <v>50.000000000011369</v>
      </c>
      <c r="BM24" s="80">
        <v>206.26</v>
      </c>
      <c r="BN24" s="78">
        <f t="shared" si="39"/>
        <v>39.999999999992042</v>
      </c>
      <c r="BO24" s="80">
        <v>269.88</v>
      </c>
      <c r="BP24" s="78">
        <f t="shared" si="40"/>
        <v>40.000000000020464</v>
      </c>
      <c r="BQ24" s="80">
        <v>33224</v>
      </c>
      <c r="BR24" s="78">
        <f t="shared" si="15"/>
        <v>40</v>
      </c>
      <c r="BS24" s="80">
        <v>187.34</v>
      </c>
      <c r="BT24" s="78">
        <f t="shared" si="41"/>
        <v>50.000000000011369</v>
      </c>
      <c r="BU24" s="80">
        <v>24090</v>
      </c>
      <c r="BV24" s="78">
        <f t="shared" si="16"/>
        <v>39</v>
      </c>
      <c r="BW24" s="80">
        <v>216.69</v>
      </c>
      <c r="BX24" s="78">
        <f t="shared" si="42"/>
        <v>50.000000000011369</v>
      </c>
      <c r="BY24" s="80">
        <v>39824</v>
      </c>
      <c r="BZ24" s="78">
        <f t="shared" si="17"/>
        <v>69</v>
      </c>
      <c r="CA24" s="80">
        <v>23696.2</v>
      </c>
      <c r="CB24" s="78">
        <f t="shared" si="18"/>
        <v>72.700000000000728</v>
      </c>
      <c r="CC24" s="80">
        <v>10083.5</v>
      </c>
      <c r="CD24" s="78">
        <f t="shared" si="19"/>
        <v>17.299999999999272</v>
      </c>
      <c r="CE24" s="80">
        <v>4787.6000000000004</v>
      </c>
      <c r="CF24" s="78">
        <f t="shared" si="20"/>
        <v>7.9000000000005457</v>
      </c>
      <c r="CG24" s="80">
        <v>35947.4</v>
      </c>
      <c r="CH24" s="78">
        <f t="shared" si="21"/>
        <v>62</v>
      </c>
      <c r="CI24" s="80">
        <v>811403</v>
      </c>
      <c r="CJ24" s="78">
        <f t="shared" si="1"/>
        <v>313</v>
      </c>
      <c r="CK24" s="80">
        <v>482.5</v>
      </c>
      <c r="CL24" s="77">
        <f t="shared" si="22"/>
        <v>620.00000000000455</v>
      </c>
      <c r="CM24" s="78">
        <v>103</v>
      </c>
      <c r="CN24" s="79">
        <v>45</v>
      </c>
      <c r="CO24" s="79">
        <v>127</v>
      </c>
    </row>
    <row r="25" spans="1:93" ht="25.5" customHeight="1" thickBot="1" x14ac:dyDescent="0.45">
      <c r="A25" s="76">
        <v>43821</v>
      </c>
      <c r="B25" s="49"/>
      <c r="C25" s="65">
        <v>1.36</v>
      </c>
      <c r="D25" s="77">
        <f t="shared" si="2"/>
        <v>3100.0000000001028</v>
      </c>
      <c r="E25" s="65">
        <v>2.2871999999999999</v>
      </c>
      <c r="F25" s="77">
        <f t="shared" si="3"/>
        <v>4000.0000000000036</v>
      </c>
      <c r="G25" s="65">
        <v>2.1254</v>
      </c>
      <c r="H25" s="77">
        <f t="shared" si="4"/>
        <v>3600.0000000000477</v>
      </c>
      <c r="I25" s="65">
        <v>990.88</v>
      </c>
      <c r="J25" s="77">
        <f t="shared" si="5"/>
        <v>1769.9999999999818</v>
      </c>
      <c r="K25" s="65">
        <v>1.5207999999999999</v>
      </c>
      <c r="L25" s="77">
        <f t="shared" si="0"/>
        <v>2799.9999999999136</v>
      </c>
      <c r="M25" s="65">
        <v>954.78</v>
      </c>
      <c r="N25" s="78">
        <f t="shared" si="23"/>
        <v>2120.0000000000045</v>
      </c>
      <c r="O25" s="65">
        <v>10671</v>
      </c>
      <c r="P25" s="78">
        <f t="shared" si="6"/>
        <v>22</v>
      </c>
      <c r="Q25" s="65">
        <v>4244</v>
      </c>
      <c r="R25" s="78">
        <f t="shared" si="7"/>
        <v>10</v>
      </c>
      <c r="S25" s="80">
        <v>695560</v>
      </c>
      <c r="T25" s="78">
        <f t="shared" si="8"/>
        <v>1530</v>
      </c>
      <c r="U25" s="80">
        <v>281922</v>
      </c>
      <c r="V25" s="78">
        <f t="shared" si="9"/>
        <v>690</v>
      </c>
      <c r="W25" s="80">
        <v>275.86</v>
      </c>
      <c r="X25" s="78">
        <f t="shared" si="43"/>
        <v>610.00000000001364</v>
      </c>
      <c r="Y25" s="80">
        <v>2.0318999999999998</v>
      </c>
      <c r="Z25" s="78">
        <f t="shared" si="24"/>
        <v>3499.9999999998367</v>
      </c>
      <c r="AA25" s="80">
        <v>273.62</v>
      </c>
      <c r="AB25" s="78">
        <f t="shared" si="25"/>
        <v>560.00000000000227</v>
      </c>
      <c r="AC25" s="80">
        <v>249.66</v>
      </c>
      <c r="AD25" s="78">
        <f t="shared" si="26"/>
        <v>419.99999999998749</v>
      </c>
      <c r="AE25" s="74">
        <v>366.22</v>
      </c>
      <c r="AF25" s="78">
        <f t="shared" si="27"/>
        <v>1040.0000000000205</v>
      </c>
      <c r="AG25" s="74">
        <v>971.4</v>
      </c>
      <c r="AH25" s="78">
        <f t="shared" si="10"/>
        <v>2.3999999999999773</v>
      </c>
      <c r="AI25" s="80">
        <v>342.43</v>
      </c>
      <c r="AJ25" s="78">
        <f t="shared" si="28"/>
        <v>509.99999999999091</v>
      </c>
      <c r="AK25" s="80">
        <v>118.37</v>
      </c>
      <c r="AL25" s="78">
        <f t="shared" si="11"/>
        <v>0.32000000000000739</v>
      </c>
      <c r="AM25" s="80">
        <v>120.03</v>
      </c>
      <c r="AN25" s="78">
        <f t="shared" si="12"/>
        <v>0.28000000000000114</v>
      </c>
      <c r="AO25" s="80">
        <v>118.66</v>
      </c>
      <c r="AP25" s="78">
        <f t="shared" si="13"/>
        <v>0.20999999999999375</v>
      </c>
      <c r="AQ25" s="80">
        <v>194.11</v>
      </c>
      <c r="AR25" s="78">
        <f t="shared" si="29"/>
        <v>210.00000000000796</v>
      </c>
      <c r="AS25" s="80">
        <v>316.27</v>
      </c>
      <c r="AT25" s="78">
        <f t="shared" si="30"/>
        <v>79.999999999984084</v>
      </c>
      <c r="AU25" s="80">
        <v>242.79</v>
      </c>
      <c r="AV25" s="78">
        <f t="shared" si="31"/>
        <v>169.99999999998749</v>
      </c>
      <c r="AW25" s="80">
        <v>273.85000000000002</v>
      </c>
      <c r="AX25" s="78">
        <f t="shared" si="32"/>
        <v>210.00000000003638</v>
      </c>
      <c r="AY25" s="80">
        <v>326.85000000000002</v>
      </c>
      <c r="AZ25" s="78">
        <f t="shared" si="33"/>
        <v>180.00000000000682</v>
      </c>
      <c r="BA25" s="80">
        <v>344.77</v>
      </c>
      <c r="BB25" s="78">
        <f t="shared" si="34"/>
        <v>370.00000000000455</v>
      </c>
      <c r="BC25" s="80">
        <v>196.79</v>
      </c>
      <c r="BD25" s="78">
        <f t="shared" si="35"/>
        <v>219.99999999999886</v>
      </c>
      <c r="BE25" s="80">
        <v>21605</v>
      </c>
      <c r="BF25" s="78">
        <f t="shared" si="14"/>
        <v>44</v>
      </c>
      <c r="BG25" s="80">
        <v>218.98</v>
      </c>
      <c r="BH25" s="78">
        <f t="shared" si="36"/>
        <v>49.999999999982947</v>
      </c>
      <c r="BI25" s="80">
        <v>275.26</v>
      </c>
      <c r="BJ25" s="78">
        <f t="shared" si="37"/>
        <v>60.000000000002274</v>
      </c>
      <c r="BK25" s="80">
        <v>223.14</v>
      </c>
      <c r="BL25" s="78">
        <f t="shared" si="38"/>
        <v>59.999999999973852</v>
      </c>
      <c r="BM25" s="80">
        <v>206.31</v>
      </c>
      <c r="BN25" s="78">
        <f t="shared" si="39"/>
        <v>50.000000000011369</v>
      </c>
      <c r="BO25" s="80">
        <v>269.94</v>
      </c>
      <c r="BP25" s="78">
        <f t="shared" si="40"/>
        <v>60.000000000002274</v>
      </c>
      <c r="BQ25" s="80">
        <v>33276</v>
      </c>
      <c r="BR25" s="78">
        <f t="shared" si="15"/>
        <v>52</v>
      </c>
      <c r="BS25" s="80">
        <v>187.4</v>
      </c>
      <c r="BT25" s="78">
        <f t="shared" si="41"/>
        <v>60.000000000002274</v>
      </c>
      <c r="BU25" s="80">
        <v>24138</v>
      </c>
      <c r="BV25" s="78">
        <f t="shared" si="16"/>
        <v>48</v>
      </c>
      <c r="BW25" s="80">
        <v>216.74</v>
      </c>
      <c r="BX25" s="78">
        <f t="shared" si="42"/>
        <v>50.000000000011369</v>
      </c>
      <c r="BY25" s="80">
        <v>39886</v>
      </c>
      <c r="BZ25" s="78">
        <f t="shared" si="17"/>
        <v>62</v>
      </c>
      <c r="CA25" s="80">
        <v>23737</v>
      </c>
      <c r="CB25" s="78">
        <f t="shared" si="18"/>
        <v>40.799999999999272</v>
      </c>
      <c r="CC25" s="80">
        <v>10103.9</v>
      </c>
      <c r="CD25" s="78">
        <f t="shared" si="19"/>
        <v>20.399999999999636</v>
      </c>
      <c r="CE25" s="80">
        <v>4798.2</v>
      </c>
      <c r="CF25" s="78">
        <f t="shared" si="20"/>
        <v>10.599999999999454</v>
      </c>
      <c r="CG25" s="80">
        <v>36044.1</v>
      </c>
      <c r="CH25" s="78">
        <f t="shared" si="21"/>
        <v>96.69999999999709</v>
      </c>
      <c r="CI25" s="80">
        <v>811753</v>
      </c>
      <c r="CJ25" s="78">
        <f t="shared" si="1"/>
        <v>350</v>
      </c>
      <c r="CK25" s="80">
        <v>483.1</v>
      </c>
      <c r="CL25" s="77">
        <f t="shared" si="22"/>
        <v>600.00000000002274</v>
      </c>
      <c r="CM25" s="78">
        <v>101</v>
      </c>
      <c r="CN25" s="79">
        <v>48</v>
      </c>
      <c r="CO25" s="79">
        <v>150</v>
      </c>
    </row>
    <row r="26" spans="1:93" ht="25.5" customHeight="1" thickBot="1" x14ac:dyDescent="0.45">
      <c r="A26" s="76">
        <v>43822</v>
      </c>
      <c r="B26" s="49"/>
      <c r="C26" s="65">
        <v>1.3636999999999999</v>
      </c>
      <c r="D26" s="77">
        <f t="shared" si="2"/>
        <v>3699.9999999998145</v>
      </c>
      <c r="E26" s="65">
        <v>2.2911999999999999</v>
      </c>
      <c r="F26" s="77">
        <f t="shared" si="3"/>
        <v>4000.0000000000036</v>
      </c>
      <c r="G26" s="65">
        <v>2.1288</v>
      </c>
      <c r="H26" s="77">
        <f t="shared" si="4"/>
        <v>3400.0000000000696</v>
      </c>
      <c r="I26" s="65">
        <v>992.42</v>
      </c>
      <c r="J26" s="77">
        <f t="shared" si="5"/>
        <v>1539.9999999999636</v>
      </c>
      <c r="K26" s="65">
        <v>1.5235000000000001</v>
      </c>
      <c r="L26" s="77">
        <f t="shared" si="0"/>
        <v>2700.0000000001469</v>
      </c>
      <c r="M26" s="80">
        <v>956.76</v>
      </c>
      <c r="N26" s="78">
        <f t="shared" si="23"/>
        <v>1980.0000000000182</v>
      </c>
      <c r="O26" s="65">
        <v>10693</v>
      </c>
      <c r="P26" s="78">
        <f t="shared" si="6"/>
        <v>22</v>
      </c>
      <c r="Q26" s="65">
        <v>4252</v>
      </c>
      <c r="R26" s="78">
        <f t="shared" si="7"/>
        <v>8</v>
      </c>
      <c r="S26" s="80">
        <v>697282</v>
      </c>
      <c r="T26" s="78">
        <f t="shared" si="8"/>
        <v>1722</v>
      </c>
      <c r="U26" s="80">
        <v>282570</v>
      </c>
      <c r="V26" s="78">
        <f t="shared" si="9"/>
        <v>648</v>
      </c>
      <c r="W26" s="80">
        <v>276.33999999999997</v>
      </c>
      <c r="X26" s="78">
        <f t="shared" si="43"/>
        <v>479.99999999996135</v>
      </c>
      <c r="Y26" s="80">
        <v>2.0354999999999999</v>
      </c>
      <c r="Z26" s="78">
        <f t="shared" si="24"/>
        <v>3600.0000000000477</v>
      </c>
      <c r="AA26" s="80">
        <v>274.19</v>
      </c>
      <c r="AB26" s="78">
        <f t="shared" si="25"/>
        <v>569.99999999999318</v>
      </c>
      <c r="AC26" s="80">
        <v>250.15</v>
      </c>
      <c r="AD26" s="78">
        <f t="shared" si="26"/>
        <v>490.00000000000909</v>
      </c>
      <c r="AE26" s="74">
        <v>367.23</v>
      </c>
      <c r="AF26" s="78">
        <f t="shared" si="27"/>
        <v>1009.9999999999909</v>
      </c>
      <c r="AG26" s="74">
        <v>973.5</v>
      </c>
      <c r="AH26" s="78">
        <f t="shared" si="10"/>
        <v>2.1000000000000227</v>
      </c>
      <c r="AI26" s="80">
        <v>343.73</v>
      </c>
      <c r="AJ26" s="78">
        <f t="shared" si="28"/>
        <v>1300.0000000000114</v>
      </c>
      <c r="AK26" s="80">
        <v>118.62</v>
      </c>
      <c r="AL26" s="78">
        <f t="shared" si="11"/>
        <v>0.25</v>
      </c>
      <c r="AM26" s="80">
        <v>120.25</v>
      </c>
      <c r="AN26" s="78">
        <f t="shared" si="12"/>
        <v>0.21999999999999886</v>
      </c>
      <c r="AO26" s="80">
        <v>118.89</v>
      </c>
      <c r="AP26" s="78">
        <f t="shared" si="13"/>
        <v>0.23000000000000398</v>
      </c>
      <c r="AQ26" s="80">
        <v>194.26</v>
      </c>
      <c r="AR26" s="78">
        <f t="shared" si="29"/>
        <v>149.99999999997726</v>
      </c>
      <c r="AS26" s="80">
        <v>316.33</v>
      </c>
      <c r="AT26" s="78">
        <f t="shared" si="30"/>
        <v>60.000000000002274</v>
      </c>
      <c r="AU26" s="80">
        <v>242.91</v>
      </c>
      <c r="AV26" s="78">
        <f t="shared" si="31"/>
        <v>120.00000000000455</v>
      </c>
      <c r="AW26" s="80">
        <v>274.08</v>
      </c>
      <c r="AX26" s="78">
        <f t="shared" si="32"/>
        <v>229.99999999996135</v>
      </c>
      <c r="AY26" s="80">
        <v>327.04000000000002</v>
      </c>
      <c r="AZ26" s="78">
        <f t="shared" si="33"/>
        <v>189.99999999999773</v>
      </c>
      <c r="BA26" s="80">
        <v>345.1</v>
      </c>
      <c r="BB26" s="78">
        <f t="shared" si="34"/>
        <v>330.00000000004093</v>
      </c>
      <c r="BC26" s="80">
        <v>196.98</v>
      </c>
      <c r="BD26" s="78">
        <f t="shared" si="35"/>
        <v>189.99999999999773</v>
      </c>
      <c r="BE26" s="80">
        <v>21657</v>
      </c>
      <c r="BF26" s="78">
        <f t="shared" si="14"/>
        <v>52</v>
      </c>
      <c r="BG26" s="80">
        <v>219.01</v>
      </c>
      <c r="BH26" s="78">
        <f t="shared" si="36"/>
        <v>30.000000000001137</v>
      </c>
      <c r="BI26" s="80">
        <v>275.31</v>
      </c>
      <c r="BJ26" s="78">
        <f t="shared" si="37"/>
        <v>50.000000000011369</v>
      </c>
      <c r="BK26" s="80">
        <v>223.2</v>
      </c>
      <c r="BL26" s="78">
        <f t="shared" si="38"/>
        <v>60.000000000002274</v>
      </c>
      <c r="BM26" s="80">
        <v>206.35</v>
      </c>
      <c r="BN26" s="78">
        <f t="shared" si="39"/>
        <v>39.999999999992042</v>
      </c>
      <c r="BO26" s="80">
        <v>269.99</v>
      </c>
      <c r="BP26" s="78">
        <f t="shared" si="40"/>
        <v>50.000000000011369</v>
      </c>
      <c r="BQ26" s="80">
        <v>33319</v>
      </c>
      <c r="BR26" s="78">
        <f t="shared" si="15"/>
        <v>43</v>
      </c>
      <c r="BS26" s="80">
        <v>187.45</v>
      </c>
      <c r="BT26" s="78">
        <f t="shared" si="41"/>
        <v>49.999999999982947</v>
      </c>
      <c r="BU26" s="80">
        <v>24183</v>
      </c>
      <c r="BV26" s="78">
        <f t="shared" si="16"/>
        <v>45</v>
      </c>
      <c r="BW26" s="80">
        <v>216.79</v>
      </c>
      <c r="BX26" s="78">
        <f t="shared" si="42"/>
        <v>49.999999999982947</v>
      </c>
      <c r="BY26" s="80">
        <v>39948</v>
      </c>
      <c r="BZ26" s="78">
        <f t="shared" si="17"/>
        <v>62</v>
      </c>
      <c r="CA26" s="80">
        <v>23783</v>
      </c>
      <c r="CB26" s="78">
        <f t="shared" si="18"/>
        <v>46</v>
      </c>
      <c r="CC26" s="80">
        <v>10127.799999999999</v>
      </c>
      <c r="CD26" s="78">
        <f t="shared" si="19"/>
        <v>23.899999999999636</v>
      </c>
      <c r="CE26" s="80">
        <v>4804.8</v>
      </c>
      <c r="CF26" s="78">
        <f t="shared" si="20"/>
        <v>6.6000000000003638</v>
      </c>
      <c r="CG26" s="80">
        <v>36066.699999999997</v>
      </c>
      <c r="CH26" s="78">
        <f t="shared" si="21"/>
        <v>22.599999999998545</v>
      </c>
      <c r="CI26" s="80">
        <v>812083</v>
      </c>
      <c r="CJ26" s="78">
        <f t="shared" si="1"/>
        <v>330</v>
      </c>
      <c r="CK26" s="80">
        <v>483.77</v>
      </c>
      <c r="CL26" s="77">
        <f t="shared" si="22"/>
        <v>669.99999999995907</v>
      </c>
      <c r="CM26" s="78">
        <v>105.2</v>
      </c>
      <c r="CN26" s="79">
        <v>41</v>
      </c>
      <c r="CO26" s="79">
        <v>132</v>
      </c>
    </row>
    <row r="27" spans="1:93" ht="25.5" customHeight="1" thickBot="1" x14ac:dyDescent="0.45">
      <c r="A27" s="76">
        <v>43823</v>
      </c>
      <c r="B27" s="49"/>
      <c r="C27" s="65"/>
      <c r="D27" s="77" t="str">
        <f t="shared" si="2"/>
        <v>0</v>
      </c>
      <c r="E27" s="65"/>
      <c r="F27" s="77" t="str">
        <f t="shared" si="3"/>
        <v>0</v>
      </c>
      <c r="G27" s="65"/>
      <c r="H27" s="77" t="str">
        <f t="shared" si="4"/>
        <v>0</v>
      </c>
      <c r="I27" s="80"/>
      <c r="J27" s="77" t="str">
        <f t="shared" si="5"/>
        <v>0</v>
      </c>
      <c r="K27" s="80"/>
      <c r="L27" s="77" t="str">
        <f t="shared" si="0"/>
        <v>0</v>
      </c>
      <c r="M27" s="80"/>
      <c r="N27" s="78" t="str">
        <f t="shared" si="23"/>
        <v/>
      </c>
      <c r="O27" s="65"/>
      <c r="P27" s="78" t="str">
        <f t="shared" si="6"/>
        <v/>
      </c>
      <c r="Q27" s="80"/>
      <c r="R27" s="78" t="str">
        <f t="shared" si="7"/>
        <v/>
      </c>
      <c r="S27" s="80"/>
      <c r="T27" s="78" t="str">
        <f t="shared" si="8"/>
        <v/>
      </c>
      <c r="U27" s="80"/>
      <c r="V27" s="78" t="str">
        <f t="shared" si="9"/>
        <v/>
      </c>
      <c r="W27" s="80"/>
      <c r="X27" s="78" t="str">
        <f t="shared" si="43"/>
        <v/>
      </c>
      <c r="Y27" s="80"/>
      <c r="Z27" s="78" t="str">
        <f t="shared" si="24"/>
        <v/>
      </c>
      <c r="AA27" s="80"/>
      <c r="AB27" s="78" t="str">
        <f t="shared" si="25"/>
        <v/>
      </c>
      <c r="AC27" s="80"/>
      <c r="AD27" s="78" t="str">
        <f t="shared" si="26"/>
        <v/>
      </c>
      <c r="AE27" s="74"/>
      <c r="AF27" s="78" t="str">
        <f t="shared" si="27"/>
        <v/>
      </c>
      <c r="AG27" s="74"/>
      <c r="AH27" s="78" t="str">
        <f t="shared" si="10"/>
        <v/>
      </c>
      <c r="AI27" s="80"/>
      <c r="AJ27" s="78" t="str">
        <f t="shared" si="28"/>
        <v/>
      </c>
      <c r="AK27" s="80"/>
      <c r="AL27" s="78" t="str">
        <f t="shared" si="11"/>
        <v/>
      </c>
      <c r="AM27" s="80"/>
      <c r="AN27" s="78" t="str">
        <f t="shared" si="12"/>
        <v/>
      </c>
      <c r="AO27" s="80"/>
      <c r="AP27" s="78" t="str">
        <f t="shared" si="13"/>
        <v/>
      </c>
      <c r="AQ27" s="80"/>
      <c r="AR27" s="78" t="str">
        <f t="shared" si="29"/>
        <v/>
      </c>
      <c r="AS27" s="80"/>
      <c r="AT27" s="78" t="str">
        <f t="shared" si="30"/>
        <v/>
      </c>
      <c r="AU27" s="80"/>
      <c r="AV27" s="78" t="str">
        <f t="shared" si="31"/>
        <v/>
      </c>
      <c r="AW27" s="80"/>
      <c r="AX27" s="78" t="str">
        <f t="shared" si="32"/>
        <v/>
      </c>
      <c r="AY27" s="80"/>
      <c r="AZ27" s="78" t="str">
        <f t="shared" si="33"/>
        <v/>
      </c>
      <c r="BA27" s="80"/>
      <c r="BB27" s="78" t="str">
        <f t="shared" si="34"/>
        <v/>
      </c>
      <c r="BC27" s="80"/>
      <c r="BD27" s="78" t="str">
        <f t="shared" si="35"/>
        <v/>
      </c>
      <c r="BE27" s="80"/>
      <c r="BF27" s="78" t="str">
        <f t="shared" si="14"/>
        <v/>
      </c>
      <c r="BG27" s="80"/>
      <c r="BH27" s="78" t="str">
        <f t="shared" si="36"/>
        <v/>
      </c>
      <c r="BI27" s="80"/>
      <c r="BJ27" s="78" t="str">
        <f t="shared" si="37"/>
        <v/>
      </c>
      <c r="BK27" s="80"/>
      <c r="BL27" s="78" t="str">
        <f t="shared" si="38"/>
        <v/>
      </c>
      <c r="BM27" s="80"/>
      <c r="BN27" s="78" t="str">
        <f t="shared" si="39"/>
        <v/>
      </c>
      <c r="BO27" s="80"/>
      <c r="BP27" s="78" t="str">
        <f t="shared" si="40"/>
        <v/>
      </c>
      <c r="BQ27" s="80"/>
      <c r="BR27" s="78" t="str">
        <f t="shared" si="15"/>
        <v/>
      </c>
      <c r="BS27" s="80"/>
      <c r="BT27" s="78" t="str">
        <f t="shared" si="41"/>
        <v/>
      </c>
      <c r="BU27" s="80"/>
      <c r="BV27" s="78" t="str">
        <f t="shared" si="16"/>
        <v/>
      </c>
      <c r="BW27" s="80"/>
      <c r="BX27" s="78" t="str">
        <f t="shared" si="42"/>
        <v/>
      </c>
      <c r="BY27" s="80"/>
      <c r="BZ27" s="78" t="str">
        <f t="shared" si="17"/>
        <v/>
      </c>
      <c r="CA27" s="80"/>
      <c r="CB27" s="78" t="str">
        <f t="shared" si="18"/>
        <v/>
      </c>
      <c r="CC27" s="80"/>
      <c r="CD27" s="78" t="str">
        <f t="shared" si="19"/>
        <v/>
      </c>
      <c r="CE27" s="80"/>
      <c r="CF27" s="78" t="str">
        <f t="shared" si="20"/>
        <v/>
      </c>
      <c r="CG27" s="80"/>
      <c r="CH27" s="78" t="str">
        <f t="shared" si="21"/>
        <v/>
      </c>
      <c r="CI27" s="80"/>
      <c r="CJ27" s="78" t="str">
        <f t="shared" si="1"/>
        <v/>
      </c>
      <c r="CK27" s="80"/>
      <c r="CL27" s="77" t="str">
        <f t="shared" si="22"/>
        <v/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65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65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65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65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65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65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431</v>
      </c>
      <c r="R35" s="87">
        <f>SUM(R4:R33)</f>
        <v>172</v>
      </c>
      <c r="AX35" s="78">
        <f t="shared" si="32"/>
        <v>0</v>
      </c>
      <c r="BF35" s="87">
        <f>SUM(BF4:BF33)</f>
        <v>1060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D31" sqref="D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107" t="s">
        <v>0</v>
      </c>
      <c r="B4" s="110" t="s">
        <v>54</v>
      </c>
      <c r="C4" s="110" t="s">
        <v>55</v>
      </c>
      <c r="D4" s="113" t="s">
        <v>56</v>
      </c>
      <c r="E4" s="96" t="s">
        <v>57</v>
      </c>
      <c r="F4" s="116"/>
      <c r="G4" s="116"/>
      <c r="H4" s="116"/>
      <c r="I4" s="116"/>
      <c r="J4" s="97"/>
      <c r="K4" s="104" t="s">
        <v>58</v>
      </c>
      <c r="L4" s="105"/>
      <c r="M4" s="106"/>
      <c r="N4" s="95" t="s">
        <v>37</v>
      </c>
      <c r="O4" s="95"/>
      <c r="P4" s="95"/>
      <c r="Q4" s="95"/>
    </row>
    <row r="5" spans="1:17" ht="33.75" customHeight="1" x14ac:dyDescent="0.25">
      <c r="A5" s="108"/>
      <c r="B5" s="111"/>
      <c r="C5" s="111"/>
      <c r="D5" s="114"/>
      <c r="E5" s="96" t="s">
        <v>59</v>
      </c>
      <c r="F5" s="97"/>
      <c r="G5" s="96" t="s">
        <v>60</v>
      </c>
      <c r="H5" s="97"/>
      <c r="I5" s="96" t="s">
        <v>61</v>
      </c>
      <c r="J5" s="97"/>
      <c r="K5" s="98" t="s">
        <v>62</v>
      </c>
      <c r="L5" s="99"/>
      <c r="M5" s="100"/>
      <c r="N5" s="101" t="s">
        <v>63</v>
      </c>
      <c r="O5" s="102"/>
      <c r="P5" s="102"/>
      <c r="Q5" s="103"/>
    </row>
    <row r="6" spans="1:17" x14ac:dyDescent="0.25">
      <c r="A6" s="109"/>
      <c r="B6" s="112"/>
      <c r="C6" s="112"/>
      <c r="D6" s="115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25">
      <c r="A26" s="47">
        <v>43817</v>
      </c>
      <c r="B26" s="20">
        <v>28</v>
      </c>
      <c r="C26" s="20">
        <v>29</v>
      </c>
      <c r="D26" s="20">
        <v>91</v>
      </c>
      <c r="E26" s="28">
        <v>85</v>
      </c>
      <c r="F26" s="28">
        <v>4005</v>
      </c>
      <c r="G26" s="28">
        <v>80</v>
      </c>
      <c r="H26" s="28">
        <v>1176</v>
      </c>
      <c r="I26" s="28">
        <v>85</v>
      </c>
      <c r="J26" s="28">
        <v>209</v>
      </c>
      <c r="K26" s="29">
        <v>0</v>
      </c>
      <c r="L26" s="29">
        <v>80</v>
      </c>
      <c r="M26" s="29">
        <v>917</v>
      </c>
      <c r="N26" s="30">
        <v>0</v>
      </c>
      <c r="O26" s="30">
        <v>55</v>
      </c>
      <c r="P26" s="30">
        <v>80</v>
      </c>
      <c r="Q26" s="30">
        <v>1974</v>
      </c>
    </row>
    <row r="27" spans="1:17" x14ac:dyDescent="0.25">
      <c r="A27" s="47">
        <v>43818</v>
      </c>
      <c r="B27" s="20">
        <v>34</v>
      </c>
      <c r="C27" s="20">
        <v>32</v>
      </c>
      <c r="D27" s="20">
        <v>97</v>
      </c>
      <c r="E27" s="28">
        <v>85</v>
      </c>
      <c r="F27" s="28">
        <v>4016</v>
      </c>
      <c r="G27" s="28">
        <v>60</v>
      </c>
      <c r="H27" s="28">
        <v>1179</v>
      </c>
      <c r="I27" s="28">
        <v>85</v>
      </c>
      <c r="J27" s="28">
        <v>210</v>
      </c>
      <c r="K27" s="29">
        <v>0</v>
      </c>
      <c r="L27" s="29">
        <v>80</v>
      </c>
      <c r="M27" s="29">
        <v>920</v>
      </c>
      <c r="N27" s="30">
        <v>0</v>
      </c>
      <c r="O27" s="30">
        <v>50</v>
      </c>
      <c r="P27" s="30">
        <v>80</v>
      </c>
      <c r="Q27" s="30">
        <v>1978</v>
      </c>
    </row>
    <row r="28" spans="1:17" x14ac:dyDescent="0.25">
      <c r="A28" s="47">
        <v>43819</v>
      </c>
      <c r="B28" s="20">
        <v>42</v>
      </c>
      <c r="C28" s="20">
        <v>38</v>
      </c>
      <c r="D28" s="20">
        <v>119</v>
      </c>
      <c r="E28" s="28">
        <v>85</v>
      </c>
      <c r="F28" s="28">
        <v>4027</v>
      </c>
      <c r="G28" s="28">
        <v>45</v>
      </c>
      <c r="H28" s="28">
        <v>1181</v>
      </c>
      <c r="I28" s="28">
        <v>85</v>
      </c>
      <c r="J28" s="28">
        <v>213</v>
      </c>
      <c r="K28" s="29">
        <v>0</v>
      </c>
      <c r="L28" s="29">
        <v>80</v>
      </c>
      <c r="M28" s="29">
        <v>923</v>
      </c>
      <c r="N28" s="30">
        <v>0</v>
      </c>
      <c r="O28" s="30">
        <v>45</v>
      </c>
      <c r="P28" s="30">
        <v>80</v>
      </c>
      <c r="Q28" s="30">
        <v>1982</v>
      </c>
    </row>
    <row r="29" spans="1:17" x14ac:dyDescent="0.25">
      <c r="A29" s="47">
        <v>43820</v>
      </c>
      <c r="B29" s="44">
        <v>45</v>
      </c>
      <c r="C29" s="44">
        <v>40</v>
      </c>
      <c r="D29" s="44">
        <v>127</v>
      </c>
      <c r="E29" s="45">
        <v>85</v>
      </c>
      <c r="F29" s="45">
        <v>4037</v>
      </c>
      <c r="G29" s="45">
        <v>30</v>
      </c>
      <c r="H29" s="45">
        <v>1183</v>
      </c>
      <c r="I29" s="45">
        <v>85</v>
      </c>
      <c r="J29" s="45">
        <v>213</v>
      </c>
      <c r="K29" s="46">
        <v>0</v>
      </c>
      <c r="L29" s="46">
        <v>75</v>
      </c>
      <c r="M29" s="46">
        <v>926</v>
      </c>
      <c r="N29" s="43">
        <v>0</v>
      </c>
      <c r="O29" s="43">
        <v>43</v>
      </c>
      <c r="P29" s="43">
        <v>80</v>
      </c>
      <c r="Q29" s="43">
        <v>1986</v>
      </c>
    </row>
    <row r="30" spans="1:17" x14ac:dyDescent="0.25">
      <c r="A30" s="47">
        <v>43821</v>
      </c>
      <c r="B30" s="20">
        <v>62</v>
      </c>
      <c r="C30" s="20">
        <v>48</v>
      </c>
      <c r="D30" s="20">
        <v>150</v>
      </c>
      <c r="E30" s="28">
        <v>85</v>
      </c>
      <c r="F30" s="28">
        <v>4046</v>
      </c>
      <c r="G30" s="28">
        <v>20</v>
      </c>
      <c r="H30" s="28">
        <v>1185</v>
      </c>
      <c r="I30" s="28">
        <v>85</v>
      </c>
      <c r="J30" s="28">
        <v>213</v>
      </c>
      <c r="K30" s="29">
        <v>0</v>
      </c>
      <c r="L30" s="29">
        <v>70</v>
      </c>
      <c r="M30" s="29">
        <v>929</v>
      </c>
      <c r="N30" s="30">
        <v>0</v>
      </c>
      <c r="O30" s="30">
        <v>35</v>
      </c>
      <c r="P30" s="30">
        <v>85</v>
      </c>
      <c r="Q30" s="30">
        <v>1990</v>
      </c>
    </row>
    <row r="31" spans="1:17" x14ac:dyDescent="0.25">
      <c r="A31" s="47">
        <v>43822</v>
      </c>
      <c r="B31" s="20">
        <v>52</v>
      </c>
      <c r="C31" s="20">
        <v>41</v>
      </c>
      <c r="D31" s="20">
        <v>132</v>
      </c>
      <c r="E31" s="28">
        <v>85</v>
      </c>
      <c r="F31" s="28">
        <v>4055</v>
      </c>
      <c r="G31" s="28">
        <v>5</v>
      </c>
      <c r="H31" s="28">
        <v>1188</v>
      </c>
      <c r="I31" s="28">
        <v>85</v>
      </c>
      <c r="J31" s="28">
        <v>214</v>
      </c>
      <c r="K31" s="29">
        <v>0</v>
      </c>
      <c r="L31" s="29">
        <v>67</v>
      </c>
      <c r="M31" s="29">
        <v>933</v>
      </c>
      <c r="N31" s="30">
        <v>0</v>
      </c>
      <c r="O31" s="30">
        <v>35</v>
      </c>
      <c r="P31" s="30">
        <v>80</v>
      </c>
      <c r="Q31" s="30">
        <v>1992</v>
      </c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2019-12-24T02:06:32Z</dcterms:modified>
</cp:coreProperties>
</file>