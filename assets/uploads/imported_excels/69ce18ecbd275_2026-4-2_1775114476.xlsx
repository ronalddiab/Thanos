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590" documentId="13_ncr:1_{A06AFBD3-09F3-4273-976F-F2CDDC29F910}" xr6:coauthVersionLast="47" xr6:coauthVersionMax="47" xr10:uidLastSave="{1CCFDEF7-B61D-412A-AFDE-CFA753BBE1D4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4" i="1" l="1"/>
  <c r="R27" i="1"/>
  <c r="N32" i="2"/>
  <c r="M32" i="2"/>
  <c r="M31" i="2"/>
  <c r="N31" i="2"/>
  <c r="N30" i="2"/>
  <c r="M30" i="2"/>
  <c r="X34" i="1"/>
  <c r="C2" i="1"/>
  <c r="E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K30" i="2" s="1"/>
  <c r="U31" i="1"/>
  <c r="K31" i="2" s="1"/>
  <c r="U32" i="1"/>
  <c r="K32" i="2" s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2" i="1"/>
  <c r="Z21" i="1" l="1"/>
  <c r="Z33" i="1"/>
  <c r="Z4" i="1"/>
  <c r="Z5" i="1"/>
  <c r="Z3" i="1"/>
  <c r="Z2" i="1"/>
  <c r="Z10" i="1"/>
  <c r="Z8" i="1"/>
  <c r="Z31" i="1"/>
  <c r="G31" i="2" s="1"/>
  <c r="Z29" i="1"/>
  <c r="Z28" i="1"/>
  <c r="Z7" i="1"/>
  <c r="Z26" i="1"/>
  <c r="Z25" i="1"/>
  <c r="Z24" i="1"/>
  <c r="Z23" i="1"/>
  <c r="Z22" i="1"/>
  <c r="Z20" i="1"/>
  <c r="Z19" i="1"/>
  <c r="Z18" i="1"/>
  <c r="Z17" i="1"/>
  <c r="Z15" i="1"/>
  <c r="Z13" i="1"/>
  <c r="Z12" i="1"/>
  <c r="Z11" i="1"/>
  <c r="Z14" i="1"/>
  <c r="Z30" i="1"/>
  <c r="G30" i="2" s="1"/>
  <c r="Z27" i="1"/>
  <c r="Z9" i="1"/>
  <c r="Z6" i="1"/>
  <c r="Z16" i="1"/>
  <c r="Z32" i="1"/>
  <c r="G32" i="2" s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I30" i="2" s="1"/>
  <c r="AB31" i="1"/>
  <c r="I31" i="2" s="1"/>
  <c r="AB32" i="1"/>
  <c r="I32" i="2" s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H9" i="1"/>
  <c r="I9" i="1" s="1"/>
  <c r="H31" i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I32" i="1" l="1"/>
  <c r="E32" i="2"/>
  <c r="F32" i="2" s="1"/>
  <c r="I31" i="1"/>
  <c r="E31" i="2"/>
  <c r="F31" i="2" s="1"/>
  <c r="I30" i="1"/>
  <c r="E30" i="2"/>
  <c r="F30" i="2" s="1"/>
  <c r="I29" i="1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AI33" i="1" s="1"/>
  <c r="Y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8" i="2" l="1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<sst xmlns="http://schemas.openxmlformats.org/spreadsheetml/2006/main" count="82" uniqueCount="41">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</sst>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2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29" sqref="C28:C29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3</v>
      </c>
      <c r="D2" s="64">
        <v>2026</v>
      </c>
      <c r="E2" s="43">
        <f>IF(ALMYRA!H2&lt;0,"0",ALMYRA!H2)</f>
        <v>3136</v>
      </c>
      <c r="F2" s="44">
        <f>(ALMYRA!C2*0.18)/E2</f>
        <v>0.1066454081632653</v>
      </c>
      <c r="G2" s="48">
        <f>ALMYRA!Z2</f>
        <v>325</v>
      </c>
      <c r="H2" s="49">
        <v>0.71</v>
      </c>
      <c r="I2" s="52">
        <f>IF(ALMYRA!AB2&lt;0,"0",ALMYRA!AB2)</f>
        <v>31</v>
      </c>
      <c r="J2" s="53">
        <v>2.87</v>
      </c>
      <c r="K2" s="56">
        <f>ALMYRA!U2</f>
        <v>202</v>
      </c>
      <c r="L2" s="57">
        <v>0.7762</v>
      </c>
      <c r="M2" s="60">
        <f>ALMYRA!AJ2</f>
        <v>25</v>
      </c>
      <c r="N2" s="60">
        <f>ALMYRA!AK2</f>
        <v>42</v>
      </c>
    </row>
    <row r="3" spans="1:14" ht="15" x14ac:dyDescent="0.25">
      <c r="A3" s="39" t="s">
        <v>13</v>
      </c>
      <c r="B3" s="4">
        <f>B2+1</f>
        <v>2</v>
      </c>
      <c r="C3" s="63">
        <v>3</v>
      </c>
      <c r="D3" s="64">
        <v>2026</v>
      </c>
      <c r="E3" s="43">
        <f>IF(ALMYRA!H3&lt;0,"0",ALMYRA!H3)</f>
        <v>3885</v>
      </c>
      <c r="F3" s="44">
        <f>(ALMYRA!C3*0.18)/E3</f>
        <v>0.16100386100386099</v>
      </c>
      <c r="G3" s="48">
        <f>ALMYRA!Z3</f>
        <v>582.56999999999971</v>
      </c>
      <c r="H3" s="49">
        <v>0.71</v>
      </c>
      <c r="I3" s="52">
        <f>IF(ALMYRA!AB3&lt;0,"0",ALMYRA!AB3)</f>
        <v>42</v>
      </c>
      <c r="J3" s="53">
        <v>2.87</v>
      </c>
      <c r="K3" s="56">
        <f>ALMYRA!U3</f>
        <v>302</v>
      </c>
      <c r="L3" s="57">
        <v>0.7762</v>
      </c>
      <c r="M3" s="60">
        <f>ALMYRA!AJ3</f>
        <v>115</v>
      </c>
      <c r="N3" s="60">
        <f>ALMYRA!AK3</f>
        <v>206</v>
      </c>
    </row>
    <row r="4" spans="1:14" ht="15" x14ac:dyDescent="0.25">
      <c r="A4" s="39" t="s">
        <v>13</v>
      </c>
      <c r="B4" s="4">
        <f t="shared" ref="B4:B32" si="0">B3+1</f>
        <v>3</v>
      </c>
      <c r="C4" s="63">
        <v>3</v>
      </c>
      <c r="D4" s="64">
        <v>2026</v>
      </c>
      <c r="E4" s="43">
        <f>IF(ALMYRA!H4&lt;0,"0",ALMYRA!H4)</f>
        <v>5232</v>
      </c>
      <c r="F4" s="44">
        <f>(ALMYRA!C4*0.18)/E4</f>
        <v>0.13372706422018349</v>
      </c>
      <c r="G4" s="48">
        <f>ALMYRA!Z4</f>
        <v>350</v>
      </c>
      <c r="H4" s="49">
        <v>0.71</v>
      </c>
      <c r="I4" s="52">
        <f>IF(ALMYRA!AB4&lt;0,"0",ALMYRA!AB4)</f>
        <v>60</v>
      </c>
      <c r="J4" s="53">
        <v>2.87</v>
      </c>
      <c r="K4" s="56">
        <f>ALMYRA!U4</f>
        <v>202</v>
      </c>
      <c r="L4" s="57">
        <v>0.7762</v>
      </c>
      <c r="M4" s="60">
        <f>ALMYRA!AJ4</f>
        <v>138</v>
      </c>
      <c r="N4" s="60">
        <f>ALMYRA!AK4</f>
        <v>267</v>
      </c>
    </row>
    <row r="5" spans="1:14" ht="15" x14ac:dyDescent="0.25">
      <c r="A5" s="39" t="s">
        <v>13</v>
      </c>
      <c r="B5" s="4">
        <f t="shared" si="0"/>
        <v>4</v>
      </c>
      <c r="C5" s="63">
        <v>3</v>
      </c>
      <c r="D5" s="64">
        <v>2026</v>
      </c>
      <c r="E5" s="43">
        <f>IF(ALMYRA!H5&lt;0,"0",ALMYRA!H5)</f>
        <v>3304</v>
      </c>
      <c r="F5" s="44">
        <f>(ALMYRA!C5*0.18)/E5</f>
        <v>0.19776029055690073</v>
      </c>
      <c r="G5" s="48">
        <f>ALMYRA!Z5</f>
        <v>300</v>
      </c>
      <c r="H5" s="49">
        <v>0.71</v>
      </c>
      <c r="I5" s="52">
        <f>IF(ALMYRA!AB5&lt;0,"0",ALMYRA!AB5)</f>
        <v>68</v>
      </c>
      <c r="J5" s="53">
        <v>2.87</v>
      </c>
      <c r="K5" s="56">
        <f>ALMYRA!U5</f>
        <v>402</v>
      </c>
      <c r="L5" s="57">
        <v>0.7762</v>
      </c>
      <c r="M5" s="60">
        <f>ALMYRA!AJ5</f>
        <v>138</v>
      </c>
      <c r="N5" s="60">
        <f>ALMYRA!AK5</f>
        <v>260</v>
      </c>
    </row>
    <row r="6" spans="1:14" ht="15" x14ac:dyDescent="0.25">
      <c r="A6" s="39" t="s">
        <v>13</v>
      </c>
      <c r="B6" s="4">
        <f t="shared" si="0"/>
        <v>5</v>
      </c>
      <c r="C6" s="63">
        <v>3</v>
      </c>
      <c r="D6" s="64">
        <v>2026</v>
      </c>
      <c r="E6" s="43">
        <f>IF(ALMYRA!H6&lt;0,"0",ALMYRA!H6)</f>
        <v>4192</v>
      </c>
      <c r="F6" s="44">
        <f>(ALMYRA!C6*0.18)/E6</f>
        <v>0.15926049618320612</v>
      </c>
      <c r="G6" s="48">
        <f>ALMYRA!Z6</f>
        <v>275</v>
      </c>
      <c r="H6" s="49">
        <v>0.71</v>
      </c>
      <c r="I6" s="52">
        <f>IF(ALMYRA!AB6&lt;0,"0",ALMYRA!AB6)</f>
        <v>74</v>
      </c>
      <c r="J6" s="53">
        <v>2.87</v>
      </c>
      <c r="K6" s="56">
        <f>ALMYRA!U6</f>
        <v>201</v>
      </c>
      <c r="L6" s="57">
        <v>0.7762</v>
      </c>
      <c r="M6" s="60">
        <f>ALMYRA!AJ6</f>
        <v>130</v>
      </c>
      <c r="N6" s="60">
        <f>ALMYRA!AK6</f>
        <v>238</v>
      </c>
    </row>
    <row r="7" spans="1:14" ht="15" x14ac:dyDescent="0.25">
      <c r="A7" s="39" t="s">
        <v>13</v>
      </c>
      <c r="B7" s="4">
        <f t="shared" si="0"/>
        <v>6</v>
      </c>
      <c r="C7" s="63">
        <v>3</v>
      </c>
      <c r="D7" s="64">
        <v>2026</v>
      </c>
      <c r="E7" s="43">
        <f>IF(ALMYRA!H7&lt;0,"0",ALMYRA!H7)</f>
        <v>4058</v>
      </c>
      <c r="F7" s="44">
        <f>(ALMYRA!C7*0.18)/E7</f>
        <v>0.16536224741251848</v>
      </c>
      <c r="G7" s="48">
        <f>ALMYRA!Z7</f>
        <v>716.43000000000029</v>
      </c>
      <c r="H7" s="49">
        <v>0.71</v>
      </c>
      <c r="I7" s="52">
        <f>IF(ALMYRA!AB7&lt;0,"0",ALMYRA!AB7)</f>
        <v>65</v>
      </c>
      <c r="J7" s="53">
        <v>2.87</v>
      </c>
      <c r="K7" s="56">
        <f>ALMYRA!U7</f>
        <v>200</v>
      </c>
      <c r="L7" s="57">
        <v>0.7762</v>
      </c>
      <c r="M7" s="60">
        <f>ALMYRA!AJ7</f>
        <v>112</v>
      </c>
      <c r="N7" s="60">
        <f>ALMYRA!AK7</f>
        <v>219</v>
      </c>
    </row>
    <row r="8" spans="1:14" ht="15" x14ac:dyDescent="0.25">
      <c r="A8" s="39" t="s">
        <v>13</v>
      </c>
      <c r="B8" s="4">
        <f t="shared" si="0"/>
        <v>7</v>
      </c>
      <c r="C8" s="63">
        <v>3</v>
      </c>
      <c r="D8" s="64">
        <v>2026</v>
      </c>
      <c r="E8" s="43">
        <f>IF(ALMYRA!H8&lt;0,"0",ALMYRA!H8)</f>
        <v>3977</v>
      </c>
      <c r="F8" s="44">
        <f>(ALMYRA!C8*0.18)/E8</f>
        <v>0.15071662056826754</v>
      </c>
      <c r="G8" s="48">
        <f>ALMYRA!Z8</f>
        <v>325</v>
      </c>
      <c r="H8" s="49">
        <v>0.71</v>
      </c>
      <c r="I8" s="52">
        <f>IF(ALMYRA!AB8&lt;0,"0",ALMYRA!AB8)</f>
        <v>55</v>
      </c>
      <c r="J8" s="53">
        <v>2.87</v>
      </c>
      <c r="K8" s="56">
        <f>ALMYRA!U8</f>
        <v>299</v>
      </c>
      <c r="L8" s="57">
        <v>0.7762</v>
      </c>
      <c r="M8" s="60">
        <f>ALMYRA!AJ8</f>
        <v>124</v>
      </c>
      <c r="N8" s="60">
        <f>ALMYRA!AK8</f>
        <v>260</v>
      </c>
    </row>
    <row r="9" spans="1:14" ht="15" x14ac:dyDescent="0.25">
      <c r="A9" s="39" t="s">
        <v>13</v>
      </c>
      <c r="B9" s="4">
        <f t="shared" si="0"/>
        <v>8</v>
      </c>
      <c r="C9" s="63">
        <v>3</v>
      </c>
      <c r="D9" s="64">
        <v>2026</v>
      </c>
      <c r="E9" s="43">
        <f>IF(ALMYRA!H9&lt;0,"0",ALMYRA!H9)</f>
        <v>4037</v>
      </c>
      <c r="F9" s="44">
        <f>(ALMYRA!C9*0.18)/E9</f>
        <v>0.17264305177111713</v>
      </c>
      <c r="G9" s="48">
        <f>ALMYRA!Z9</f>
        <v>350</v>
      </c>
      <c r="H9" s="49">
        <v>0.71</v>
      </c>
      <c r="I9" s="52">
        <f>IF(ALMYRA!AB9&lt;0,"0",ALMYRA!AB9)</f>
        <v>53</v>
      </c>
      <c r="J9" s="53">
        <v>2.87</v>
      </c>
      <c r="K9" s="56">
        <f>ALMYRA!U9</f>
        <v>297</v>
      </c>
      <c r="L9" s="57">
        <v>0.7762</v>
      </c>
      <c r="M9" s="60">
        <f>ALMYRA!AJ9</f>
        <v>96</v>
      </c>
      <c r="N9" s="60">
        <f>ALMYRA!AK9</f>
        <v>192</v>
      </c>
    </row>
    <row r="10" spans="1:14" ht="15" x14ac:dyDescent="0.25">
      <c r="A10" s="39" t="s">
        <v>13</v>
      </c>
      <c r="B10" s="4">
        <f t="shared" si="0"/>
        <v>9</v>
      </c>
      <c r="C10" s="63">
        <v>3</v>
      </c>
      <c r="D10" s="64">
        <v>2026</v>
      </c>
      <c r="E10" s="43">
        <f>IF(ALMYRA!H10&lt;0,"0",ALMYRA!H10)</f>
        <v>3866</v>
      </c>
      <c r="F10" s="44">
        <f>(ALMYRA!C10*0.18)/E10</f>
        <v>0.16081738230729437</v>
      </c>
      <c r="G10" s="48">
        <f>ALMYRA!Z10</f>
        <v>638.36999999999989</v>
      </c>
      <c r="H10" s="49">
        <v>0.71</v>
      </c>
      <c r="I10" s="52">
        <f>IF(ALMYRA!AB10&lt;0,"0",ALMYRA!AB10)</f>
        <v>60</v>
      </c>
      <c r="J10" s="53">
        <v>2.87</v>
      </c>
      <c r="K10" s="56">
        <f>ALMYRA!U10</f>
        <v>197</v>
      </c>
      <c r="L10" s="57">
        <v>0.7762</v>
      </c>
      <c r="M10" s="60">
        <f>ALMYRA!AJ10</f>
        <v>78</v>
      </c>
      <c r="N10" s="60">
        <f>ALMYRA!AK10</f>
        <v>167</v>
      </c>
    </row>
    <row r="11" spans="1:14" ht="15" x14ac:dyDescent="0.25">
      <c r="A11" s="39" t="s">
        <v>13</v>
      </c>
      <c r="B11" s="4">
        <f t="shared" si="0"/>
        <v>10</v>
      </c>
      <c r="C11" s="63">
        <v>3</v>
      </c>
      <c r="D11" s="64">
        <v>2026</v>
      </c>
      <c r="E11" s="43">
        <f>IF(ALMYRA!H11&lt;0,"0",ALMYRA!H11)</f>
        <v>3911</v>
      </c>
      <c r="F11" s="44">
        <f>(ALMYRA!C11*0.18)/E11</f>
        <v>0.15795448734339043</v>
      </c>
      <c r="G11" s="48">
        <f>ALMYRA!Z11</f>
        <v>325</v>
      </c>
      <c r="H11" s="49">
        <v>0.71</v>
      </c>
      <c r="I11" s="52">
        <f>IF(ALMYRA!AB11&lt;0,"0",ALMYRA!AB11)</f>
        <v>51</v>
      </c>
      <c r="J11" s="53">
        <v>2.87</v>
      </c>
      <c r="K11" s="56">
        <f>ALMYRA!U11</f>
        <v>176</v>
      </c>
      <c r="L11" s="57">
        <v>0.7762</v>
      </c>
      <c r="M11" s="60">
        <f>ALMYRA!AJ11</f>
        <v>69</v>
      </c>
      <c r="N11" s="60">
        <f>ALMYRA!AK11</f>
        <v>158</v>
      </c>
    </row>
    <row r="12" spans="1:14" ht="15" x14ac:dyDescent="0.25">
      <c r="A12" s="39" t="s">
        <v>13</v>
      </c>
      <c r="B12" s="4">
        <f t="shared" si="0"/>
        <v>11</v>
      </c>
      <c r="C12" s="63">
        <v>3</v>
      </c>
      <c r="D12" s="64">
        <v>2026</v>
      </c>
      <c r="E12" s="43">
        <f>IF(ALMYRA!H12&lt;0,"0",ALMYRA!H12)</f>
        <v>3809</v>
      </c>
      <c r="F12" s="44">
        <f>(ALMYRA!C12*0.18)/E12</f>
        <v>0.16001050144394854</v>
      </c>
      <c r="G12" s="48">
        <f>ALMYRA!Z12</f>
        <v>250</v>
      </c>
      <c r="H12" s="49">
        <v>0.71</v>
      </c>
      <c r="I12" s="52">
        <f>IF(ALMYRA!AB12&lt;0,"0",ALMYRA!AB12)</f>
        <v>40</v>
      </c>
      <c r="J12" s="53">
        <v>2.87</v>
      </c>
      <c r="K12" s="56">
        <f>ALMYRA!U12</f>
        <v>312</v>
      </c>
      <c r="L12" s="57">
        <v>0.7762</v>
      </c>
      <c r="M12" s="60">
        <f>ALMYRA!AJ12</f>
        <v>65</v>
      </c>
      <c r="N12" s="60">
        <f>ALMYRA!AK12</f>
        <v>143</v>
      </c>
    </row>
    <row r="13" spans="1:14" ht="15" x14ac:dyDescent="0.25">
      <c r="A13" s="39" t="s">
        <v>13</v>
      </c>
      <c r="B13" s="4">
        <f t="shared" si="0"/>
        <v>12</v>
      </c>
      <c r="C13" s="63">
        <v>3</v>
      </c>
      <c r="D13" s="64">
        <v>2026</v>
      </c>
      <c r="E13" s="43">
        <f>IF(ALMYRA!H13&lt;0,"0",ALMYRA!H13)</f>
        <v>3886</v>
      </c>
      <c r="F13" s="44">
        <f>(ALMYRA!C13*0.18)/E13</f>
        <v>0.16304683479155946</v>
      </c>
      <c r="G13" s="48">
        <f>ALMYRA!Z13</f>
        <v>375</v>
      </c>
      <c r="H13" s="49">
        <v>0.71</v>
      </c>
      <c r="I13" s="52">
        <f>IF(ALMYRA!AB13&lt;0,"0",ALMYRA!AB13)</f>
        <v>39</v>
      </c>
      <c r="J13" s="53">
        <v>2.87</v>
      </c>
      <c r="K13" s="56">
        <f>ALMYRA!U13</f>
        <v>290</v>
      </c>
      <c r="L13" s="57">
        <v>0.7762</v>
      </c>
      <c r="M13" s="60">
        <f>ALMYRA!AJ13</f>
        <v>59</v>
      </c>
      <c r="N13" s="60">
        <f>ALMYRA!AK13</f>
        <v>125</v>
      </c>
    </row>
    <row r="14" spans="1:14" ht="15" x14ac:dyDescent="0.25">
      <c r="A14" s="39" t="s">
        <v>13</v>
      </c>
      <c r="B14" s="4">
        <f t="shared" si="0"/>
        <v>13</v>
      </c>
      <c r="C14" s="63">
        <v>3</v>
      </c>
      <c r="D14" s="64">
        <v>2026</v>
      </c>
      <c r="E14" s="43">
        <f>IF(ALMYRA!H14&lt;0,"0",ALMYRA!H14)</f>
        <v>3623</v>
      </c>
      <c r="F14" s="44">
        <f>(ALMYRA!C14*0.18)/E14</f>
        <v>0.14711012972674581</v>
      </c>
      <c r="G14" s="48">
        <f>ALMYRA!Z14</f>
        <v>518.22000000000025</v>
      </c>
      <c r="H14" s="49">
        <v>0.71</v>
      </c>
      <c r="I14" s="52">
        <f>IF(ALMYRA!AB14&lt;0,"0",ALMYRA!AB14)</f>
        <v>67</v>
      </c>
      <c r="J14" s="53">
        <v>2.87</v>
      </c>
      <c r="K14" s="56">
        <f>ALMYRA!U14</f>
        <v>95</v>
      </c>
      <c r="L14" s="57">
        <v>0.7762</v>
      </c>
      <c r="M14" s="60">
        <f>ALMYRA!AJ14</f>
        <v>22</v>
      </c>
      <c r="N14" s="60">
        <f>ALMYRA!AK14</f>
        <v>40</v>
      </c>
    </row>
    <row r="15" spans="1:14" ht="15" x14ac:dyDescent="0.25">
      <c r="A15" s="39" t="s">
        <v>13</v>
      </c>
      <c r="B15" s="4">
        <f t="shared" si="0"/>
        <v>14</v>
      </c>
      <c r="C15" s="63">
        <v>3</v>
      </c>
      <c r="D15" s="64">
        <v>2026</v>
      </c>
      <c r="E15" s="43">
        <f>IF(ALMYRA!H15&lt;0,"0",ALMYRA!H15)</f>
        <v>3694</v>
      </c>
      <c r="F15" s="44">
        <f>(ALMYRA!C15*0.18)/E15</f>
        <v>0.13224688684353003</v>
      </c>
      <c r="G15" s="48">
        <f>ALMYRA!Z15</f>
        <v>250</v>
      </c>
      <c r="H15" s="49">
        <v>0.71</v>
      </c>
      <c r="I15" s="52">
        <f>IF(ALMYRA!AB15&lt;0,"0",ALMYRA!AB15)</f>
        <v>34</v>
      </c>
      <c r="J15" s="53">
        <v>2.87</v>
      </c>
      <c r="K15" s="56">
        <f>ALMYRA!U15</f>
        <v>191</v>
      </c>
      <c r="L15" s="57">
        <v>0.7762</v>
      </c>
      <c r="M15" s="60">
        <f>ALMYRA!AJ15</f>
        <v>32</v>
      </c>
      <c r="N15" s="60">
        <f>ALMYRA!AK15</f>
        <v>53</v>
      </c>
    </row>
    <row r="16" spans="1:14" ht="15" x14ac:dyDescent="0.25">
      <c r="A16" s="39" t="s">
        <v>13</v>
      </c>
      <c r="B16" s="4">
        <f t="shared" si="0"/>
        <v>15</v>
      </c>
      <c r="C16" s="63">
        <v>3</v>
      </c>
      <c r="D16" s="64">
        <v>2026</v>
      </c>
      <c r="E16" s="43">
        <f>IF(ALMYRA!H16&lt;0,"0",ALMYRA!H16)</f>
        <v>3635</v>
      </c>
      <c r="F16" s="44">
        <f>(ALMYRA!C16*0.18)/E16</f>
        <v>0.16613480055020632</v>
      </c>
      <c r="G16" s="48">
        <f>ALMYRA!Z16</f>
        <v>350</v>
      </c>
      <c r="H16" s="49">
        <v>0.71</v>
      </c>
      <c r="I16" s="52">
        <f>IF(ALMYRA!AB16&lt;0,"0",ALMYRA!AB16)</f>
        <v>32</v>
      </c>
      <c r="J16" s="53">
        <v>2.87</v>
      </c>
      <c r="K16" s="56">
        <f>ALMYRA!U16</f>
        <v>282</v>
      </c>
      <c r="L16" s="57">
        <v>0.7762</v>
      </c>
      <c r="M16" s="60">
        <f>ALMYRA!AJ16</f>
        <v>23</v>
      </c>
      <c r="N16" s="60">
        <f>ALMYRA!AK16</f>
        <v>30</v>
      </c>
    </row>
    <row r="17" spans="1:14" ht="15" x14ac:dyDescent="0.25">
      <c r="A17" s="39" t="s">
        <v>13</v>
      </c>
      <c r="B17" s="4">
        <f t="shared" si="0"/>
        <v>16</v>
      </c>
      <c r="C17" s="63">
        <v>3</v>
      </c>
      <c r="D17" s="64">
        <v>2026</v>
      </c>
      <c r="E17" s="43">
        <f>IF(ALMYRA!H17&lt;0,"0",ALMYRA!H17)</f>
        <v>3530</v>
      </c>
      <c r="F17" s="44">
        <f>(ALMYRA!C17*0.18)/E17</f>
        <v>0.16138810198300282</v>
      </c>
      <c r="G17" s="48">
        <f>ALMYRA!Z17</f>
        <v>166.02000000000044</v>
      </c>
      <c r="H17" s="49">
        <v>0.71</v>
      </c>
      <c r="I17" s="52">
        <f>IF(ALMYRA!AB17&lt;0,"0",ALMYRA!AB17)</f>
        <v>30</v>
      </c>
      <c r="J17" s="53">
        <v>2.87</v>
      </c>
      <c r="K17" s="56">
        <f>ALMYRA!U17</f>
        <v>186</v>
      </c>
      <c r="L17" s="57">
        <v>0.7762</v>
      </c>
      <c r="M17" s="60">
        <f>ALMYRA!AJ17</f>
        <v>32</v>
      </c>
      <c r="N17" s="60">
        <f>ALMYRA!AK17</f>
        <v>43</v>
      </c>
    </row>
    <row r="18" spans="1:14" ht="15" x14ac:dyDescent="0.25">
      <c r="A18" s="39" t="s">
        <v>13</v>
      </c>
      <c r="B18" s="4">
        <f t="shared" si="0"/>
        <v>17</v>
      </c>
      <c r="C18" s="63">
        <v>3</v>
      </c>
      <c r="D18" s="64">
        <v>2026</v>
      </c>
      <c r="E18" s="43">
        <f>IF(ALMYRA!H18&lt;0,"0",ALMYRA!H18)</f>
        <v>3548</v>
      </c>
      <c r="F18" s="44">
        <f>(ALMYRA!C18*0.18)/E18</f>
        <v>0.15701803833145433</v>
      </c>
      <c r="G18" s="48">
        <f>ALMYRA!Z18</f>
        <v>425</v>
      </c>
      <c r="H18" s="49">
        <v>0.71</v>
      </c>
      <c r="I18" s="52">
        <f>IF(ALMYRA!AB18&lt;0,"0",ALMYRA!AB18)</f>
        <v>31</v>
      </c>
      <c r="J18" s="53">
        <v>2.87</v>
      </c>
      <c r="K18" s="56">
        <f>ALMYRA!U18</f>
        <v>185</v>
      </c>
      <c r="L18" s="57">
        <v>0.7762</v>
      </c>
      <c r="M18" s="60">
        <f>ALMYRA!AJ18</f>
        <v>30</v>
      </c>
      <c r="N18" s="60">
        <f>ALMYRA!AK18</f>
        <v>40</v>
      </c>
    </row>
    <row r="19" spans="1:14" ht="15" x14ac:dyDescent="0.25">
      <c r="A19" s="39" t="s">
        <v>13</v>
      </c>
      <c r="B19" s="4">
        <f t="shared" si="0"/>
        <v>18</v>
      </c>
      <c r="C19" s="63">
        <v>3</v>
      </c>
      <c r="D19" s="64">
        <v>2026</v>
      </c>
      <c r="E19" s="43">
        <f>IF(ALMYRA!H19&lt;0,"0",ALMYRA!H19)</f>
        <v>3609</v>
      </c>
      <c r="F19" s="44">
        <f>(ALMYRA!C19*0.18)/E19</f>
        <v>0.15915211970074813</v>
      </c>
      <c r="G19" s="48">
        <f>ALMYRA!Z19</f>
        <v>375</v>
      </c>
      <c r="H19" s="49">
        <v>0.71</v>
      </c>
      <c r="I19" s="52">
        <f>IF(ALMYRA!AB19&lt;0,"0",ALMYRA!AB19)</f>
        <v>26</v>
      </c>
      <c r="J19" s="53">
        <v>2.87</v>
      </c>
      <c r="K19" s="56">
        <f>ALMYRA!U19</f>
        <v>182</v>
      </c>
      <c r="L19" s="57">
        <v>0.7762</v>
      </c>
      <c r="M19" s="60">
        <f>ALMYRA!AJ19</f>
        <v>32</v>
      </c>
      <c r="N19" s="60">
        <f>ALMYRA!AK19</f>
        <v>40</v>
      </c>
    </row>
    <row r="20" spans="1:14" ht="15" x14ac:dyDescent="0.25">
      <c r="A20" s="39" t="s">
        <v>13</v>
      </c>
      <c r="B20" s="4">
        <f t="shared" si="0"/>
        <v>19</v>
      </c>
      <c r="C20" s="63">
        <v>3</v>
      </c>
      <c r="D20" s="64">
        <v>2026</v>
      </c>
      <c r="E20" s="43">
        <f>IF(ALMYRA!H20&lt;0,"0",ALMYRA!H20)</f>
        <v>3617</v>
      </c>
      <c r="F20" s="44">
        <f>(ALMYRA!C20*0.18)/E20</f>
        <v>0.11704727674868674</v>
      </c>
      <c r="G20" s="48">
        <f>ALMYRA!Z20</f>
        <v>100</v>
      </c>
      <c r="H20" s="49">
        <v>0.71</v>
      </c>
      <c r="I20" s="52">
        <f>IF(ALMYRA!AB20&lt;0,"0",ALMYRA!AB20)</f>
        <v>37</v>
      </c>
      <c r="J20" s="53">
        <v>2.87</v>
      </c>
      <c r="K20" s="56">
        <f>ALMYRA!U20</f>
        <v>206</v>
      </c>
      <c r="L20" s="57">
        <v>0.7762</v>
      </c>
      <c r="M20" s="60">
        <f>ALMYRA!AJ20</f>
        <v>28</v>
      </c>
      <c r="N20" s="60">
        <f>ALMYRA!AK20</f>
        <v>36</v>
      </c>
    </row>
    <row r="21" spans="1:14" ht="15" x14ac:dyDescent="0.25">
      <c r="A21" s="39" t="s">
        <v>13</v>
      </c>
      <c r="B21" s="4">
        <f t="shared" si="0"/>
        <v>20</v>
      </c>
      <c r="C21" s="63">
        <v>3</v>
      </c>
      <c r="D21" s="64">
        <v>2026</v>
      </c>
      <c r="E21" s="43">
        <f>IF(ALMYRA!H21&lt;0,"0",ALMYRA!H21)</f>
        <v>3686</v>
      </c>
      <c r="F21" s="44">
        <f>(ALMYRA!C21*0.18)/E21</f>
        <v>0.17360282148670644</v>
      </c>
      <c r="G21" s="48">
        <f>ALMYRA!Z21</f>
        <v>45.409999999999854</v>
      </c>
      <c r="H21" s="49">
        <v>0.71</v>
      </c>
      <c r="I21" s="52">
        <f>IF(ALMYRA!AB21&lt;0,"0",ALMYRA!AB21)</f>
        <v>26</v>
      </c>
      <c r="J21" s="53">
        <v>2.87</v>
      </c>
      <c r="K21" s="56">
        <f>ALMYRA!U21</f>
        <v>152</v>
      </c>
      <c r="L21" s="57">
        <v>0.7762</v>
      </c>
      <c r="M21" s="60">
        <f>ALMYRA!AJ21</f>
        <v>28</v>
      </c>
      <c r="N21" s="60">
        <f>ALMYRA!AK21</f>
        <v>37</v>
      </c>
    </row>
    <row r="22" spans="1:14" ht="15" x14ac:dyDescent="0.25">
      <c r="A22" s="39" t="s">
        <v>13</v>
      </c>
      <c r="B22" s="4">
        <f t="shared" si="0"/>
        <v>21</v>
      </c>
      <c r="C22" s="63">
        <v>3</v>
      </c>
      <c r="D22" s="64">
        <v>2026</v>
      </c>
      <c r="E22" s="43">
        <f>IF(ALMYRA!H22&lt;0,"0",ALMYRA!H22)</f>
        <v>3672</v>
      </c>
      <c r="F22" s="44">
        <f>(ALMYRA!C22*0.18)/E22</f>
        <v>0.16230392156862747</v>
      </c>
      <c r="G22" s="48">
        <f>ALMYRA!Z22</f>
        <v>175</v>
      </c>
      <c r="H22" s="49">
        <v>0.71</v>
      </c>
      <c r="I22" s="52">
        <f>IF(ALMYRA!AB22&lt;0,"0",ALMYRA!AB22)</f>
        <v>24</v>
      </c>
      <c r="J22" s="53">
        <v>2.87</v>
      </c>
      <c r="K22" s="56">
        <f>ALMYRA!U22</f>
        <v>176</v>
      </c>
      <c r="L22" s="57">
        <v>0.7762</v>
      </c>
      <c r="M22" s="60">
        <f>ALMYRA!AJ22</f>
        <v>34</v>
      </c>
      <c r="N22" s="60">
        <f>ALMYRA!AK22</f>
        <v>46</v>
      </c>
    </row>
    <row r="23" spans="1:14" ht="15" x14ac:dyDescent="0.25">
      <c r="A23" s="39" t="s">
        <v>13</v>
      </c>
      <c r="B23" s="4">
        <f t="shared" si="0"/>
        <v>22</v>
      </c>
      <c r="C23" s="63">
        <v>3</v>
      </c>
      <c r="D23" s="64">
        <v>2026</v>
      </c>
      <c r="E23" s="43">
        <f>IF(ALMYRA!H23&lt;0,"0",ALMYRA!H23)</f>
        <v>3613</v>
      </c>
      <c r="F23" s="44">
        <f>(ALMYRA!C23*0.18)/E23</f>
        <v>0.17018544146138942</v>
      </c>
      <c r="G23" s="48">
        <f>ALMYRA!Z23</f>
        <v>150</v>
      </c>
      <c r="H23" s="49">
        <v>0.71</v>
      </c>
      <c r="I23" s="52">
        <f>IF(ALMYRA!AB23&lt;0,"0",ALMYRA!AB23)</f>
        <v>28</v>
      </c>
      <c r="J23" s="53">
        <v>2.87</v>
      </c>
      <c r="K23" s="56">
        <f>ALMYRA!U23</f>
        <v>258</v>
      </c>
      <c r="L23" s="57">
        <v>0.7762</v>
      </c>
      <c r="M23" s="60">
        <f>ALMYRA!AJ23</f>
        <v>27</v>
      </c>
      <c r="N23" s="60">
        <f>ALMYRA!AK23</f>
        <v>40</v>
      </c>
    </row>
    <row r="24" spans="1:14" ht="15" x14ac:dyDescent="0.25">
      <c r="A24" s="39" t="s">
        <v>13</v>
      </c>
      <c r="B24" s="4">
        <f t="shared" si="0"/>
        <v>23</v>
      </c>
      <c r="C24" s="63">
        <v>3</v>
      </c>
      <c r="D24" s="64">
        <v>2026</v>
      </c>
      <c r="E24" s="43">
        <f>IF(ALMYRA!H24&lt;0,"0",ALMYRA!H24)</f>
        <v>3742</v>
      </c>
      <c r="F24" s="44">
        <f>(ALMYRA!C24*0.18)/E24</f>
        <v>0.1444521646178514</v>
      </c>
      <c r="G24" s="48">
        <f>ALMYRA!Z24</f>
        <v>112.4399999999996</v>
      </c>
      <c r="H24" s="49">
        <v>0.71</v>
      </c>
      <c r="I24" s="52">
        <f>IF(ALMYRA!AB24&lt;0,"0",ALMYRA!AB24)</f>
        <v>29</v>
      </c>
      <c r="J24" s="53">
        <v>2.87</v>
      </c>
      <c r="K24" s="56">
        <f>ALMYRA!U24</f>
        <v>336</v>
      </c>
      <c r="L24" s="57">
        <v>0.7762</v>
      </c>
      <c r="M24" s="60">
        <f>ALMYRA!AJ24</f>
        <v>39</v>
      </c>
      <c r="N24" s="60">
        <f>ALMYRA!AK24</f>
        <v>57</v>
      </c>
    </row>
    <row r="25" spans="1:14" ht="15" x14ac:dyDescent="0.25">
      <c r="A25" s="39" t="s">
        <v>13</v>
      </c>
      <c r="B25" s="4">
        <f t="shared" si="0"/>
        <v>24</v>
      </c>
      <c r="C25" s="63">
        <v>3</v>
      </c>
      <c r="D25" s="64">
        <v>2026</v>
      </c>
      <c r="E25" s="43">
        <f>IF(ALMYRA!H25&lt;0,"0",ALMYRA!H25)</f>
        <v>3637</v>
      </c>
      <c r="F25" s="44">
        <f>(ALMYRA!C25*0.18)/E25</f>
        <v>0.16010448171569974</v>
      </c>
      <c r="G25" s="48">
        <f>ALMYRA!Z25</f>
        <v>0</v>
      </c>
      <c r="H25" s="49">
        <v>0.71</v>
      </c>
      <c r="I25" s="52">
        <f>IF(ALMYRA!AB25&lt;0,"0",ALMYRA!AB25)</f>
        <v>36</v>
      </c>
      <c r="J25" s="53">
        <v>2.87</v>
      </c>
      <c r="K25" s="56">
        <f>ALMYRA!U25</f>
        <v>192</v>
      </c>
      <c r="L25" s="57">
        <v>0.7762</v>
      </c>
      <c r="M25" s="60">
        <f>ALMYRA!AJ25</f>
        <v>40</v>
      </c>
      <c r="N25" s="60">
        <f>ALMYRA!AK25</f>
        <v>59</v>
      </c>
    </row>
    <row r="26" spans="1:14" ht="15" x14ac:dyDescent="0.25">
      <c r="A26" s="39" t="s">
        <v>13</v>
      </c>
      <c r="B26" s="4">
        <f>B25+1</f>
        <v>25</v>
      </c>
      <c r="C26" s="63">
        <v>3</v>
      </c>
      <c r="D26" s="64">
        <v>2026</v>
      </c>
      <c r="E26" s="43">
        <f>IF(ALMYRA!H26&lt;0,"0",ALMYRA!H26)</f>
        <v>2905</v>
      </c>
      <c r="F26" s="44">
        <f>(ALMYRA!C26*0.18)/E26</f>
        <v>0.16816523235800343</v>
      </c>
      <c r="G26" s="48">
        <f>ALMYRA!Z26</f>
        <v>250</v>
      </c>
      <c r="H26" s="49">
        <v>0.71</v>
      </c>
      <c r="I26" s="52">
        <f>IF(ALMYRA!AB26&lt;0,"0",ALMYRA!AB26)</f>
        <v>33</v>
      </c>
      <c r="J26" s="53">
        <v>2.87</v>
      </c>
      <c r="K26" s="56">
        <f>ALMYRA!U26</f>
        <v>193</v>
      </c>
      <c r="L26" s="57">
        <v>0.7762</v>
      </c>
      <c r="M26" s="60">
        <f>ALMYRA!AJ26</f>
        <v>67</v>
      </c>
      <c r="N26" s="60">
        <f>ALMYRA!AK26</f>
        <v>88</v>
      </c>
    </row>
    <row r="27" spans="1:14" ht="15" x14ac:dyDescent="0.25">
      <c r="A27" s="39" t="s">
        <v>13</v>
      </c>
      <c r="B27" s="4">
        <f t="shared" si="0"/>
        <v>26</v>
      </c>
      <c r="C27" s="63">
        <v>3</v>
      </c>
      <c r="D27" s="64">
        <v>2026</v>
      </c>
      <c r="E27" s="43">
        <f>IF(ALMYRA!H27&lt;0,"0",ALMYRA!H27)</f>
        <v>4730</v>
      </c>
      <c r="F27" s="44">
        <f>(ALMYRA!C27*0.18)/E27</f>
        <v>0.13669344608879491</v>
      </c>
      <c r="G27" s="48">
        <f>ALMYRA!Z27</f>
        <v>25</v>
      </c>
      <c r="H27" s="49">
        <v>0.71</v>
      </c>
      <c r="I27" s="52">
        <f>IF(ALMYRA!AB27&lt;0,"0",ALMYRA!AB27)</f>
        <v>50</v>
      </c>
      <c r="J27" s="53">
        <v>2.87</v>
      </c>
      <c r="K27" s="56">
        <f>ALMYRA!U27</f>
        <v>194</v>
      </c>
      <c r="L27" s="57">
        <v>0.7762</v>
      </c>
      <c r="M27" s="60">
        <f>ALMYRA!AJ27</f>
        <v>70</v>
      </c>
      <c r="N27" s="60">
        <f>ALMYRA!AK27</f>
        <v>93</v>
      </c>
    </row>
    <row r="28" spans="1:14" ht="15" x14ac:dyDescent="0.25">
      <c r="A28" s="39" t="s">
        <v>13</v>
      </c>
      <c r="B28" s="4">
        <f t="shared" si="0"/>
        <v>27</v>
      </c>
      <c r="C28" s="63">
        <v>3</v>
      </c>
      <c r="D28" s="64">
        <v>2026</v>
      </c>
      <c r="E28" s="43">
        <f>IF(ALMYRA!H28&lt;0,"0",ALMYRA!H28)</f>
        <v>3781</v>
      </c>
      <c r="F28" s="44">
        <f>(ALMYRA!C28*0.18)/E28</f>
        <v>0.171430838402539</v>
      </c>
      <c r="G28" s="48">
        <f>ALMYRA!Z28</f>
        <v>100</v>
      </c>
      <c r="H28" s="49">
        <v>0.71</v>
      </c>
      <c r="I28" s="52">
        <f>IF(ALMYRA!AB28&lt;0,"0",ALMYRA!AB28)</f>
        <v>42</v>
      </c>
      <c r="J28" s="53">
        <v>2.87</v>
      </c>
      <c r="K28" s="56">
        <f>ALMYRA!U28</f>
        <v>196</v>
      </c>
      <c r="L28" s="57">
        <v>0.7762</v>
      </c>
      <c r="M28" s="60">
        <f>ALMYRA!AJ28</f>
        <v>74</v>
      </c>
      <c r="N28" s="60">
        <f>ALMYRA!AK28</f>
        <v>105</v>
      </c>
    </row>
    <row r="29" spans="1:14" ht="15" x14ac:dyDescent="0.25">
      <c r="A29" s="39" t="s">
        <v>13</v>
      </c>
      <c r="B29" s="4">
        <f t="shared" si="0"/>
        <v>28</v>
      </c>
      <c r="C29" s="63">
        <v>3</v>
      </c>
      <c r="D29" s="64">
        <v>2026</v>
      </c>
      <c r="E29" s="43">
        <f>IF(ALMYRA!H29&lt;0,"0",ALMYRA!H29)</f>
        <v>3563</v>
      </c>
      <c r="F29" s="44">
        <f>(ALMYRA!C29*0.18)/E29</f>
        <v>0.15761998316025821</v>
      </c>
      <c r="G29" s="48">
        <f>ALMYRA!Z29</f>
        <v>25</v>
      </c>
      <c r="H29" s="49">
        <v>0.71</v>
      </c>
      <c r="I29" s="52">
        <f>IF(ALMYRA!AB29&lt;0,"0",ALMYRA!AB29)</f>
        <v>40</v>
      </c>
      <c r="J29" s="53">
        <v>2.87</v>
      </c>
      <c r="K29" s="56">
        <f>ALMYRA!U29</f>
        <v>197</v>
      </c>
      <c r="L29" s="57">
        <v>0.7762</v>
      </c>
      <c r="M29" s="60">
        <f>ALMYRA!AJ29</f>
        <v>87</v>
      </c>
      <c r="N29" s="60">
        <f>ALMYRA!AK29</f>
        <v>122</v>
      </c>
    </row>
    <row r="30" spans="1:14" ht="15" x14ac:dyDescent="0.25">
      <c r="A30" s="39" t="s">
        <v>13</v>
      </c>
      <c r="B30" s="4">
        <f t="shared" si="0"/>
        <v>29</v>
      </c>
      <c r="C30" s="63">
        <v>3</v>
      </c>
      <c r="D30" s="64">
        <v>2026</v>
      </c>
      <c r="E30" s="43">
        <f>IF(ALMYRA!H30&lt;0,"0",ALMYRA!H30)</f>
        <v>3930</v>
      </c>
      <c r="F30" s="44">
        <f>(ALMYRA!C30*0.18)/E30</f>
        <v>0.16978625954198473</v>
      </c>
      <c r="G30" s="48">
        <f>ALMYRA!Z30</f>
        <v>175</v>
      </c>
      <c r="H30" s="49">
        <v>0.71</v>
      </c>
      <c r="I30" s="52">
        <f>IF(ALMYRA!AB30&lt;0,"0",ALMYRA!AB30)</f>
        <v>42</v>
      </c>
      <c r="J30" s="53">
        <v>2.87</v>
      </c>
      <c r="K30" s="56">
        <f>ALMYRA!U30</f>
        <v>296</v>
      </c>
      <c r="L30" s="57">
        <v>0.7762</v>
      </c>
      <c r="M30" s="60">
        <f>ALMYRA!AJ30</f>
        <v>97</v>
      </c>
      <c r="N30" s="60">
        <f>ALMYRA!AK30</f>
        <v>132</v>
      </c>
    </row>
    <row r="31" spans="1:14" ht="15" x14ac:dyDescent="0.25">
      <c r="A31" s="39" t="s">
        <v>13</v>
      </c>
      <c r="B31" s="4">
        <f t="shared" si="0"/>
        <v>30</v>
      </c>
      <c r="C31" s="63">
        <v>3</v>
      </c>
      <c r="D31" s="64">
        <v>2026</v>
      </c>
      <c r="E31" s="43">
        <f>IF(ALMYRA!H31&lt;0,"0",ALMYRA!H31)</f>
        <v>3720</v>
      </c>
      <c r="F31" s="44">
        <f>(ALMYRA!C31*0.18)/E31</f>
        <v>0.16466129032258064</v>
      </c>
      <c r="G31" s="48">
        <f>ALMYRA!Z31</f>
        <v>116.30999999999949</v>
      </c>
      <c r="H31" s="49">
        <v>0.71</v>
      </c>
      <c r="I31" s="52">
        <f>IF(ALMYRA!AB31&lt;0,"0",ALMYRA!AB31)</f>
        <v>62</v>
      </c>
      <c r="J31" s="53">
        <v>2.87</v>
      </c>
      <c r="K31" s="56">
        <f>ALMYRA!U31</f>
        <v>199</v>
      </c>
      <c r="L31" s="57">
        <v>0.7762</v>
      </c>
      <c r="M31" s="60">
        <f>ALMYRA!AJ31</f>
        <v>103</v>
      </c>
      <c r="N31" s="60">
        <f>ALMYRA!AK31</f>
        <v>137</v>
      </c>
    </row>
    <row r="32" spans="1:14" ht="15" x14ac:dyDescent="0.25">
      <c r="A32" s="39" t="s">
        <v>13</v>
      </c>
      <c r="B32" s="4">
        <f t="shared" si="0"/>
        <v>31</v>
      </c>
      <c r="C32" s="63">
        <v>3</v>
      </c>
      <c r="D32" s="64">
        <v>2026</v>
      </c>
      <c r="E32" s="43">
        <f>IF(ALMYRA!H32&lt;0,"0",ALMYRA!H32)</f>
        <v>3955</v>
      </c>
      <c r="F32" s="44">
        <f>(ALMYRA!C32*0.18)/E32</f>
        <v>0.15938305941845765</v>
      </c>
      <c r="G32" s="48">
        <f>ALMYRA!Z32</f>
        <v>575</v>
      </c>
      <c r="H32" s="49">
        <v>0.71</v>
      </c>
      <c r="I32" s="52">
        <f>IF(ALMYRA!AB32&lt;0,"0",ALMYRA!AB32)</f>
        <v>44</v>
      </c>
      <c r="J32" s="53">
        <v>2.87</v>
      </c>
      <c r="K32" s="56">
        <f>ALMYRA!U32</f>
        <v>200</v>
      </c>
      <c r="L32" s="57">
        <v>0.7762</v>
      </c>
      <c r="M32" s="60">
        <f>ALMYRA!AJ32</f>
        <v>107</v>
      </c>
      <c r="N32" s="60">
        <f>ALMYRA!AK32</f>
        <v>156</v>
      </c>
    </row>
    <row r="33" spans="3:14" x14ac:dyDescent="0.2">
      <c r="C33" s="63"/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3:14" x14ac:dyDescent="0.2">
      <c r="D34" s="65"/>
      <c r="E34" s="3"/>
      <c r="F34" s="65"/>
      <c r="G34" s="3"/>
      <c r="H34" s="66"/>
      <c r="I34" s="65"/>
      <c r="J34" s="65"/>
      <c r="K34"/>
      <c r="L34"/>
      <c r="M34" s="65"/>
      <c r="N34" s="65"/>
    </row>
    <row r="35" spans="3:14" x14ac:dyDescent="0.2">
      <c r="D35" s="65"/>
      <c r="E35" s="3"/>
      <c r="F35" s="65"/>
      <c r="G35" s="3"/>
      <c r="H35" s="66"/>
      <c r="I35" s="65"/>
      <c r="J35" s="65"/>
      <c r="K35"/>
      <c r="L35"/>
      <c r="M35" s="65"/>
      <c r="N35" s="65"/>
    </row>
    <row r="36" spans="3:14" x14ac:dyDescent="0.2">
      <c r="D36" s="65"/>
      <c r="E36" s="3"/>
      <c r="F36" s="65"/>
      <c r="G36" s="3"/>
      <c r="H36" s="66"/>
      <c r="I36" s="65"/>
      <c r="J36" s="65"/>
      <c r="K36"/>
      <c r="L36"/>
      <c r="M36" s="65"/>
      <c r="N36" s="65"/>
    </row>
    <row r="37" spans="3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3:14" x14ac:dyDescent="0.2">
      <c r="E38" s="3"/>
      <c r="F38" s="65"/>
      <c r="G38" s="3"/>
      <c r="H38" s="66"/>
      <c r="I38" s="4"/>
      <c r="J38" s="4"/>
      <c r="K38"/>
      <c r="L38"/>
      <c r="M38" s="4"/>
      <c r="N38" s="4"/>
    </row>
    <row r="39" spans="3:14" x14ac:dyDescent="0.2">
      <c r="E39" s="3"/>
      <c r="F39" s="65"/>
      <c r="G39" s="3"/>
      <c r="H39" s="66"/>
      <c r="I39" s="4"/>
      <c r="J39" s="4"/>
      <c r="K39"/>
      <c r="L39"/>
      <c r="M39" s="4"/>
      <c r="N39" s="4"/>
    </row>
    <row r="40" spans="3:14" x14ac:dyDescent="0.2">
      <c r="E40" s="3"/>
      <c r="F40" s="65"/>
      <c r="G40" s="3"/>
      <c r="H40" s="66"/>
      <c r="I40" s="4"/>
      <c r="J40" s="4"/>
      <c r="K40"/>
      <c r="L40"/>
      <c r="M40" s="4"/>
      <c r="N40" s="4"/>
    </row>
    <row r="41" spans="3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3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3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3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3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3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3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3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  <row r="1722" spans="5:14" x14ac:dyDescent="0.2">
      <c r="E1722" s="3"/>
      <c r="F1722" s="4"/>
      <c r="G1722" s="3"/>
      <c r="H1722" s="66"/>
      <c r="I1722" s="4"/>
      <c r="J1722" s="4"/>
      <c r="K1722"/>
      <c r="L1722"/>
      <c r="M1722" s="4"/>
      <c r="N1722" s="4"/>
    </row>
    <row r="1723" spans="5:14" x14ac:dyDescent="0.2">
      <c r="E1723" s="3"/>
      <c r="F1723" s="4"/>
      <c r="G1723" s="3"/>
      <c r="H1723" s="66"/>
      <c r="I1723" s="4"/>
      <c r="J1723" s="4"/>
      <c r="K1723"/>
      <c r="L1723"/>
      <c r="M1723" s="4"/>
      <c r="N1723" s="4"/>
    </row>
    <row r="1724" spans="5:14" x14ac:dyDescent="0.2">
      <c r="E1724" s="3"/>
      <c r="F1724" s="4"/>
      <c r="G1724" s="3"/>
      <c r="H1724" s="66"/>
      <c r="I1724" s="4"/>
      <c r="J1724" s="4"/>
      <c r="K1724"/>
      <c r="L1724"/>
      <c r="M1724" s="4"/>
      <c r="N17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3"/>
  <sheetViews>
    <sheetView tabSelected="1" zoomScale="90" zoomScaleNormal="90" workbookViewId="0">
      <selection activeCell="A36" sqref="A36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customWidth="1"/>
    <col min="35" max="35" width="4.28515625" style="83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4">
        <v>46082</v>
      </c>
      <c r="B2" s="6">
        <v>33854102</v>
      </c>
      <c r="C2" s="75">
        <f t="shared" ref="C2:C9" si="0">IF(OR(B3="", B2=""), "", B3 - B2)</f>
        <v>1858</v>
      </c>
      <c r="D2" s="20">
        <v>1655629</v>
      </c>
      <c r="E2" s="75">
        <f t="shared" ref="E2" si="1">IF(OR(D3="", D2=""), "", D3 - D2)</f>
        <v>2124</v>
      </c>
      <c r="F2" s="85">
        <v>205890</v>
      </c>
      <c r="G2" s="75">
        <f t="shared" ref="G2" si="2">IF(OR(F3="", F2=""), "", F3 - F2)</f>
        <v>846</v>
      </c>
      <c r="H2" s="79">
        <f t="shared" ref="H2:H8" si="3">IF(OR(C2="", E2="", G2=""), "", C2 + E2 - G2)</f>
        <v>3136</v>
      </c>
      <c r="I2" s="80">
        <f t="shared" ref="I2:I10" si="4">IF(OR(H2="", K2="", M2="", O2="", Q2=""), "", H2 - K2 - M2 - O2 - Q2)</f>
        <v>2443.9677419354921</v>
      </c>
      <c r="J2" s="86">
        <v>5025022.4000000004</v>
      </c>
      <c r="K2" s="75">
        <f>IF(OR(J3="", J2=""), "", J3 - J2)</f>
        <v>497.5</v>
      </c>
      <c r="L2" s="9">
        <v>478985.315789518</v>
      </c>
      <c r="M2" s="75">
        <f t="shared" ref="M2:M10" si="5">IF(OR(L3="", L2=""), "", L3 - L2)</f>
        <v>15</v>
      </c>
      <c r="N2" s="9">
        <v>160039</v>
      </c>
      <c r="O2" s="75">
        <f t="shared" ref="O2:O10" si="6">IF(OR(N3="", N2=""), "", N3 - N2)</f>
        <v>68.377419354830636</v>
      </c>
      <c r="P2" s="35">
        <v>42764.1</v>
      </c>
      <c r="Q2" s="75">
        <f t="shared" ref="Q2:Q10" si="7">IF(OR(P3="", P2=""), "", P3 - P2)</f>
        <v>111.15483870967728</v>
      </c>
      <c r="R2" s="95">
        <f>A2</f>
        <v>46082</v>
      </c>
      <c r="S2" s="90">
        <v>7577</v>
      </c>
      <c r="T2" s="88"/>
      <c r="U2" s="75">
        <f>IF(OR(S2="", S3=""), "", S2 + T2 - S3)</f>
        <v>202</v>
      </c>
      <c r="V2" s="11">
        <v>0.66</v>
      </c>
      <c r="W2" s="26">
        <v>0.68</v>
      </c>
      <c r="X2" s="25">
        <f>IF(OR(V2="", W2=""), "", (V2 * 2500) + (W2 * 2500))</f>
        <v>3350</v>
      </c>
      <c r="Y2" s="84"/>
      <c r="Z2" s="75">
        <f>IF(OR(X2="", X3=""), "", X2 + Y2 - X3)</f>
        <v>325</v>
      </c>
      <c r="AA2" s="28">
        <v>138654</v>
      </c>
      <c r="AB2" s="75">
        <f t="shared" ref="AB2:AB10" si="8">IF(OR(AA3="", AA2=""), "", AA3 - AA2)</f>
        <v>31</v>
      </c>
      <c r="AC2" s="28">
        <v>4273.2</v>
      </c>
      <c r="AD2" s="75">
        <f t="shared" ref="AD2:AD10" si="9">IF(OR(AC3="", AC2=""), "", AC3 - AC2)</f>
        <v>0.8000000000001819</v>
      </c>
      <c r="AE2" s="30">
        <v>73027</v>
      </c>
      <c r="AF2" s="75">
        <f t="shared" ref="AF2:AF10" si="10">IF(OR(AE3="", AE2=""), "", AE3 - AE2)</f>
        <v>0</v>
      </c>
      <c r="AG2" s="32">
        <v>3100</v>
      </c>
      <c r="AH2" s="70"/>
      <c r="AI2" s="75" t="str">
        <f t="shared" ref="AI2:AI10" si="11">IF(OR(AH3="", AH2=""), "", AH3 - AH2)</f>
        <v/>
      </c>
      <c r="AJ2" s="7">
        <v>25</v>
      </c>
      <c r="AK2" s="12">
        <v>42</v>
      </c>
    </row>
    <row r="3" spans="1:37" x14ac:dyDescent="0.2">
      <c r="A3" s="94">
        <f t="shared" ref="A3:A33" si="12">A2+1</f>
        <v>46083</v>
      </c>
      <c r="B3" s="6">
        <v>33855960</v>
      </c>
      <c r="C3" s="75">
        <f t="shared" si="0"/>
        <v>3475</v>
      </c>
      <c r="D3" s="20">
        <v>1657753</v>
      </c>
      <c r="E3" s="75">
        <f t="shared" ref="E3" si="13">IF(OR(D4="", D3=""), "", D4 - D3)</f>
        <v>450</v>
      </c>
      <c r="F3" s="20">
        <v>206736</v>
      </c>
      <c r="G3" s="75">
        <f t="shared" ref="G3" si="14">IF(OR(F4="", F3=""), "", F4 - F3)</f>
        <v>40</v>
      </c>
      <c r="H3" s="79">
        <f t="shared" si="3"/>
        <v>3885</v>
      </c>
      <c r="I3" s="80">
        <f t="shared" si="4"/>
        <v>2950.3677419358355</v>
      </c>
      <c r="J3" s="35">
        <v>5025519.9000000004</v>
      </c>
      <c r="K3" s="75">
        <f>IF(OR(J4="", J3=""), "", J4 - J3)</f>
        <v>740.09999999962747</v>
      </c>
      <c r="L3" s="9">
        <v>479000.315789518</v>
      </c>
      <c r="M3" s="75">
        <f t="shared" si="5"/>
        <v>15</v>
      </c>
      <c r="N3" s="9">
        <v>160107.37741935483</v>
      </c>
      <c r="O3" s="75">
        <f t="shared" si="6"/>
        <v>68.37741935485974</v>
      </c>
      <c r="P3" s="35">
        <v>42875.254838709676</v>
      </c>
      <c r="Q3" s="75">
        <f t="shared" si="7"/>
        <v>111.15483870967728</v>
      </c>
      <c r="R3" s="94">
        <f>A3</f>
        <v>46083</v>
      </c>
      <c r="S3" s="87">
        <v>7375</v>
      </c>
      <c r="T3" s="89"/>
      <c r="U3" s="75">
        <f t="shared" ref="U3:U33" si="15">IF(OR(S3="", S4=""), "", S3 + T3 - S4)</f>
        <v>302</v>
      </c>
      <c r="V3" s="11">
        <v>0.57999999999999996</v>
      </c>
      <c r="W3" s="26">
        <v>0.63</v>
      </c>
      <c r="X3" s="96">
        <f t="shared" ref="X3:X34" si="16">IF(OR(V3="", W3=""), "", (V3 * 2500) + (W3 * 2500))</f>
        <v>3025</v>
      </c>
      <c r="Y3" s="84">
        <v>1207.57</v>
      </c>
      <c r="Z3" s="75">
        <f t="shared" ref="Z3:Z33" si="17">IF(OR(X3="", X4=""), "", X3 + Y3 - X4)</f>
        <v>582.56999999999971</v>
      </c>
      <c r="AA3" s="28">
        <v>138685</v>
      </c>
      <c r="AB3" s="75">
        <f t="shared" si="8"/>
        <v>42</v>
      </c>
      <c r="AC3" s="28">
        <v>4274</v>
      </c>
      <c r="AD3" s="75">
        <f t="shared" si="9"/>
        <v>4.1000000000003638</v>
      </c>
      <c r="AE3" s="30">
        <v>73027</v>
      </c>
      <c r="AF3" s="75">
        <f t="shared" si="10"/>
        <v>0</v>
      </c>
      <c r="AG3" s="33">
        <v>3100</v>
      </c>
      <c r="AH3" s="71"/>
      <c r="AI3" s="75" t="str">
        <f t="shared" si="11"/>
        <v/>
      </c>
      <c r="AJ3" s="8">
        <v>115</v>
      </c>
      <c r="AK3" s="13">
        <v>206</v>
      </c>
    </row>
    <row r="4" spans="1:37" x14ac:dyDescent="0.2">
      <c r="A4" s="94">
        <f t="shared" si="12"/>
        <v>46084</v>
      </c>
      <c r="B4" s="6">
        <v>33859435</v>
      </c>
      <c r="C4" s="75">
        <f t="shared" si="0"/>
        <v>3887</v>
      </c>
      <c r="D4" s="20">
        <v>1658203</v>
      </c>
      <c r="E4" s="75">
        <f t="shared" ref="E4" si="18">IF(OR(D5="", D4=""), "", D5 - D4)</f>
        <v>1346</v>
      </c>
      <c r="F4" s="20">
        <v>206776</v>
      </c>
      <c r="G4" s="75">
        <f t="shared" ref="G4" si="19">IF(OR(F5="", F4=""), "", F5 - F4)</f>
        <v>1</v>
      </c>
      <c r="H4" s="79">
        <f t="shared" si="3"/>
        <v>5232</v>
      </c>
      <c r="I4" s="80">
        <f t="shared" si="4"/>
        <v>4009.4677419354921</v>
      </c>
      <c r="J4" s="35">
        <v>5026260</v>
      </c>
      <c r="K4" s="75">
        <f>IF(OR(J5="", J4=""), "", J5 - J4)</f>
        <v>1028</v>
      </c>
      <c r="L4" s="9">
        <v>479015.315789518</v>
      </c>
      <c r="M4" s="75">
        <f t="shared" si="5"/>
        <v>15</v>
      </c>
      <c r="N4" s="9">
        <v>160175.75483870969</v>
      </c>
      <c r="O4" s="75">
        <f t="shared" si="6"/>
        <v>68.377419354830636</v>
      </c>
      <c r="P4" s="35">
        <v>42986.409677419353</v>
      </c>
      <c r="Q4" s="75">
        <f t="shared" si="7"/>
        <v>111.15483870967728</v>
      </c>
      <c r="R4" s="94">
        <f t="shared" ref="R4:R32" si="20">A4</f>
        <v>46084</v>
      </c>
      <c r="S4" s="87">
        <v>7073</v>
      </c>
      <c r="T4" s="89"/>
      <c r="U4" s="75">
        <f t="shared" si="15"/>
        <v>202</v>
      </c>
      <c r="V4" s="11">
        <v>0.75</v>
      </c>
      <c r="W4" s="26">
        <v>0.71</v>
      </c>
      <c r="X4" s="96">
        <f t="shared" si="16"/>
        <v>3650</v>
      </c>
      <c r="Y4" s="84"/>
      <c r="Z4" s="75">
        <f t="shared" si="17"/>
        <v>350</v>
      </c>
      <c r="AA4" s="28">
        <v>138727</v>
      </c>
      <c r="AB4" s="75">
        <f t="shared" si="8"/>
        <v>60</v>
      </c>
      <c r="AC4" s="28">
        <v>4278.1000000000004</v>
      </c>
      <c r="AD4" s="75">
        <f t="shared" si="9"/>
        <v>4.0999999999994543</v>
      </c>
      <c r="AE4" s="30">
        <v>73027</v>
      </c>
      <c r="AF4" s="75">
        <f t="shared" si="10"/>
        <v>0</v>
      </c>
      <c r="AG4" s="33">
        <v>3100</v>
      </c>
      <c r="AH4" s="71"/>
      <c r="AI4" s="75" t="str">
        <f t="shared" si="11"/>
        <v/>
      </c>
      <c r="AJ4" s="8">
        <v>138</v>
      </c>
      <c r="AK4" s="13">
        <v>267</v>
      </c>
    </row>
    <row r="5" spans="1:37" x14ac:dyDescent="0.2">
      <c r="A5" s="94">
        <f t="shared" si="12"/>
        <v>46085</v>
      </c>
      <c r="B5" s="6">
        <v>33863322</v>
      </c>
      <c r="C5" s="75">
        <f t="shared" si="0"/>
        <v>3630</v>
      </c>
      <c r="D5" s="20">
        <v>1659549</v>
      </c>
      <c r="E5" s="75">
        <f t="shared" ref="E5" si="21">IF(OR(D6="", D5=""), "", D6 - D5)</f>
        <v>-296</v>
      </c>
      <c r="F5" s="20">
        <v>206777</v>
      </c>
      <c r="G5" s="75">
        <f t="shared" ref="G5" si="22">IF(OR(F6="", F5=""), "", F6 - F5)</f>
        <v>30</v>
      </c>
      <c r="H5" s="79">
        <f t="shared" si="3"/>
        <v>3304</v>
      </c>
      <c r="I5" s="80">
        <f t="shared" si="4"/>
        <v>2103.0677419351196</v>
      </c>
      <c r="J5" s="35">
        <v>5027288</v>
      </c>
      <c r="K5" s="75">
        <f t="shared" ref="K5:K10" si="23">IF(OR(J6="", J5=""), "", J6 - J5)</f>
        <v>1006.4000000003725</v>
      </c>
      <c r="L5" s="9">
        <v>479030.315789518</v>
      </c>
      <c r="M5" s="75">
        <f t="shared" si="5"/>
        <v>15</v>
      </c>
      <c r="N5" s="9">
        <v>160244.13225806452</v>
      </c>
      <c r="O5" s="75">
        <f t="shared" si="6"/>
        <v>68.377419354830636</v>
      </c>
      <c r="P5" s="35">
        <v>43097.56451612903</v>
      </c>
      <c r="Q5" s="75">
        <f t="shared" si="7"/>
        <v>111.15483870967728</v>
      </c>
      <c r="R5" s="94">
        <f t="shared" si="20"/>
        <v>46085</v>
      </c>
      <c r="S5" s="87">
        <v>6871</v>
      </c>
      <c r="T5" s="89"/>
      <c r="U5" s="75">
        <f t="shared" si="15"/>
        <v>402</v>
      </c>
      <c r="V5" s="11">
        <v>0.64</v>
      </c>
      <c r="W5" s="26">
        <v>0.68</v>
      </c>
      <c r="X5" s="96">
        <f t="shared" si="16"/>
        <v>3300</v>
      </c>
      <c r="Y5" s="84"/>
      <c r="Z5" s="75">
        <f t="shared" si="17"/>
        <v>300</v>
      </c>
      <c r="AA5" s="28">
        <v>138787</v>
      </c>
      <c r="AB5" s="75">
        <f t="shared" si="8"/>
        <v>68</v>
      </c>
      <c r="AC5" s="28">
        <v>4282.2</v>
      </c>
      <c r="AD5" s="75">
        <f t="shared" si="9"/>
        <v>3</v>
      </c>
      <c r="AE5" s="30">
        <v>73027</v>
      </c>
      <c r="AF5" s="75">
        <f t="shared" si="10"/>
        <v>0</v>
      </c>
      <c r="AG5" s="33">
        <v>3100</v>
      </c>
      <c r="AH5" s="71"/>
      <c r="AI5" s="75" t="str">
        <f t="shared" si="11"/>
        <v/>
      </c>
      <c r="AJ5" s="8">
        <v>138</v>
      </c>
      <c r="AK5" s="13">
        <v>260</v>
      </c>
    </row>
    <row r="6" spans="1:37" x14ac:dyDescent="0.2">
      <c r="A6" s="94">
        <f t="shared" si="12"/>
        <v>46086</v>
      </c>
      <c r="B6" s="6">
        <v>33866952</v>
      </c>
      <c r="C6" s="75">
        <f t="shared" si="0"/>
        <v>3709</v>
      </c>
      <c r="D6" s="20">
        <v>1659253</v>
      </c>
      <c r="E6" s="75">
        <f t="shared" ref="E6" si="24">IF(OR(D7="", D6=""), "", D7 - D6)</f>
        <v>498</v>
      </c>
      <c r="F6" s="20">
        <v>206807</v>
      </c>
      <c r="G6" s="75">
        <f t="shared" ref="G6" si="25">IF(OR(F7="", F6=""), "", F7 - F6)</f>
        <v>15</v>
      </c>
      <c r="H6" s="79">
        <f t="shared" si="3"/>
        <v>4192</v>
      </c>
      <c r="I6" s="80">
        <f t="shared" si="4"/>
        <v>2968.2677419362371</v>
      </c>
      <c r="J6" s="35">
        <v>5028294.4000000004</v>
      </c>
      <c r="K6" s="75">
        <f t="shared" si="23"/>
        <v>1029.1999999992549</v>
      </c>
      <c r="L6" s="9">
        <v>479045.315789518</v>
      </c>
      <c r="M6" s="75">
        <f t="shared" si="5"/>
        <v>15</v>
      </c>
      <c r="N6" s="9">
        <v>160312.50967741935</v>
      </c>
      <c r="O6" s="75">
        <f t="shared" si="6"/>
        <v>68.377419354830636</v>
      </c>
      <c r="P6" s="35">
        <v>43208.719354838708</v>
      </c>
      <c r="Q6" s="75">
        <f t="shared" si="7"/>
        <v>111.15483870967728</v>
      </c>
      <c r="R6" s="94">
        <f t="shared" si="20"/>
        <v>46086</v>
      </c>
      <c r="S6" s="87">
        <v>6469</v>
      </c>
      <c r="T6" s="89"/>
      <c r="U6" s="75">
        <f t="shared" si="15"/>
        <v>201</v>
      </c>
      <c r="V6" s="11">
        <v>0.61</v>
      </c>
      <c r="W6" s="26">
        <v>0.59</v>
      </c>
      <c r="X6" s="96">
        <f t="shared" si="16"/>
        <v>3000</v>
      </c>
      <c r="Y6" s="84"/>
      <c r="Z6" s="75">
        <f t="shared" si="17"/>
        <v>275</v>
      </c>
      <c r="AA6" s="28">
        <v>138855</v>
      </c>
      <c r="AB6" s="75">
        <f t="shared" si="8"/>
        <v>74</v>
      </c>
      <c r="AC6" s="28">
        <v>4285.2</v>
      </c>
      <c r="AD6" s="75">
        <f t="shared" si="9"/>
        <v>8</v>
      </c>
      <c r="AE6" s="30">
        <v>73027</v>
      </c>
      <c r="AF6" s="75">
        <f t="shared" si="10"/>
        <v>0</v>
      </c>
      <c r="AG6" s="33">
        <v>3100</v>
      </c>
      <c r="AH6" s="71"/>
      <c r="AI6" s="75" t="str">
        <f t="shared" si="11"/>
        <v/>
      </c>
      <c r="AJ6" s="8">
        <v>130</v>
      </c>
      <c r="AK6" s="13">
        <v>238</v>
      </c>
    </row>
    <row r="7" spans="1:37" x14ac:dyDescent="0.2">
      <c r="A7" s="94">
        <f t="shared" si="12"/>
        <v>46087</v>
      </c>
      <c r="B7" s="6">
        <v>33870661</v>
      </c>
      <c r="C7" s="75">
        <f t="shared" si="0"/>
        <v>3728</v>
      </c>
      <c r="D7" s="20">
        <v>1659751</v>
      </c>
      <c r="E7" s="75">
        <f t="shared" ref="E7" si="26">IF(OR(D8="", D7=""), "", D8 - D7)</f>
        <v>333</v>
      </c>
      <c r="F7" s="20">
        <v>206822</v>
      </c>
      <c r="G7" s="75">
        <f t="shared" ref="G7" si="27">IF(OR(F8="", F7=""), "", F8 - F7)</f>
        <v>3</v>
      </c>
      <c r="H7" s="79">
        <f t="shared" si="3"/>
        <v>4058</v>
      </c>
      <c r="I7" s="80">
        <f t="shared" si="4"/>
        <v>2889.8677419348969</v>
      </c>
      <c r="J7" s="35">
        <v>5029323.5999999996</v>
      </c>
      <c r="K7" s="75">
        <f t="shared" si="23"/>
        <v>973.60000000055879</v>
      </c>
      <c r="L7" s="9">
        <v>479060.315789518</v>
      </c>
      <c r="M7" s="75">
        <f t="shared" si="5"/>
        <v>15</v>
      </c>
      <c r="N7" s="9">
        <v>160380.88709677418</v>
      </c>
      <c r="O7" s="75">
        <f t="shared" si="6"/>
        <v>68.37741935485974</v>
      </c>
      <c r="P7" s="35">
        <v>43319.874193548385</v>
      </c>
      <c r="Q7" s="75">
        <f t="shared" si="7"/>
        <v>111.15483870968455</v>
      </c>
      <c r="R7" s="94">
        <f t="shared" si="20"/>
        <v>46087</v>
      </c>
      <c r="S7" s="87">
        <v>6268</v>
      </c>
      <c r="T7" s="89"/>
      <c r="U7" s="75">
        <f t="shared" si="15"/>
        <v>200</v>
      </c>
      <c r="V7" s="11">
        <v>0.55000000000000004</v>
      </c>
      <c r="W7" s="26">
        <v>0.54</v>
      </c>
      <c r="X7" s="96">
        <f t="shared" si="16"/>
        <v>2725</v>
      </c>
      <c r="Y7" s="84">
        <v>1641.43</v>
      </c>
      <c r="Z7" s="75">
        <f t="shared" si="17"/>
        <v>716.43000000000029</v>
      </c>
      <c r="AA7" s="28">
        <v>138929</v>
      </c>
      <c r="AB7" s="75">
        <f t="shared" si="8"/>
        <v>65</v>
      </c>
      <c r="AC7" s="28">
        <v>4293.2</v>
      </c>
      <c r="AD7" s="75">
        <f t="shared" si="9"/>
        <v>4.9000000000005457</v>
      </c>
      <c r="AE7" s="30">
        <v>73027</v>
      </c>
      <c r="AF7" s="75">
        <f t="shared" si="10"/>
        <v>0</v>
      </c>
      <c r="AG7" s="33">
        <v>3100</v>
      </c>
      <c r="AH7" s="71"/>
      <c r="AI7" s="75" t="str">
        <f t="shared" si="11"/>
        <v/>
      </c>
      <c r="AJ7" s="8">
        <v>112</v>
      </c>
      <c r="AK7" s="13">
        <v>219</v>
      </c>
    </row>
    <row r="8" spans="1:37" x14ac:dyDescent="0.2">
      <c r="A8" s="94">
        <f t="shared" si="12"/>
        <v>46088</v>
      </c>
      <c r="B8" s="6">
        <v>33874389</v>
      </c>
      <c r="C8" s="75">
        <f t="shared" si="0"/>
        <v>3330</v>
      </c>
      <c r="D8" s="20">
        <v>1660084</v>
      </c>
      <c r="E8" s="75">
        <f t="shared" ref="E8" si="28">IF(OR(D9="", D8=""), "", D9 - D8)</f>
        <v>811</v>
      </c>
      <c r="F8" s="20">
        <v>206825</v>
      </c>
      <c r="G8" s="75">
        <f t="shared" ref="G8" si="29">IF(OR(F9="", F8=""), "", F9 - F8)</f>
        <v>164</v>
      </c>
      <c r="H8" s="79">
        <f t="shared" si="3"/>
        <v>3977</v>
      </c>
      <c r="I8" s="80">
        <f t="shared" si="4"/>
        <v>2795.6677419356784</v>
      </c>
      <c r="J8" s="35">
        <v>5030297.2</v>
      </c>
      <c r="K8" s="75">
        <f t="shared" si="23"/>
        <v>986.79999999981374</v>
      </c>
      <c r="L8" s="9">
        <v>479075.315789518</v>
      </c>
      <c r="M8" s="75">
        <f t="shared" si="5"/>
        <v>15</v>
      </c>
      <c r="N8" s="9">
        <v>160449.26451612904</v>
      </c>
      <c r="O8" s="75">
        <f t="shared" si="6"/>
        <v>68.377419354830636</v>
      </c>
      <c r="P8" s="35">
        <v>43431.029032258069</v>
      </c>
      <c r="Q8" s="75">
        <f t="shared" si="7"/>
        <v>111.15483870967728</v>
      </c>
      <c r="R8" s="94">
        <f t="shared" si="20"/>
        <v>46088</v>
      </c>
      <c r="S8" s="87">
        <v>6068</v>
      </c>
      <c r="T8" s="89"/>
      <c r="U8" s="75">
        <f t="shared" si="15"/>
        <v>299</v>
      </c>
      <c r="V8" s="11">
        <v>0.72</v>
      </c>
      <c r="W8" s="26">
        <v>0.74</v>
      </c>
      <c r="X8" s="96">
        <f t="shared" si="16"/>
        <v>3650</v>
      </c>
      <c r="Y8" s="84"/>
      <c r="Z8" s="75">
        <f t="shared" si="17"/>
        <v>325</v>
      </c>
      <c r="AA8" s="28">
        <v>138994</v>
      </c>
      <c r="AB8" s="75">
        <f t="shared" si="8"/>
        <v>55</v>
      </c>
      <c r="AC8" s="28">
        <v>4298.1000000000004</v>
      </c>
      <c r="AD8" s="75">
        <f t="shared" si="9"/>
        <v>4.5</v>
      </c>
      <c r="AE8" s="30">
        <v>73027</v>
      </c>
      <c r="AF8" s="75">
        <f t="shared" si="10"/>
        <v>0</v>
      </c>
      <c r="AG8" s="33">
        <v>3100</v>
      </c>
      <c r="AH8" s="71"/>
      <c r="AI8" s="75" t="str">
        <f t="shared" si="11"/>
        <v/>
      </c>
      <c r="AJ8" s="8">
        <v>124</v>
      </c>
      <c r="AK8" s="13">
        <v>260</v>
      </c>
    </row>
    <row r="9" spans="1:37" x14ac:dyDescent="0.2">
      <c r="A9" s="94">
        <f t="shared" si="12"/>
        <v>46089</v>
      </c>
      <c r="B9" s="6">
        <v>33877719</v>
      </c>
      <c r="C9" s="75">
        <f t="shared" si="0"/>
        <v>3872</v>
      </c>
      <c r="D9" s="20">
        <v>1660895</v>
      </c>
      <c r="E9" s="75">
        <f t="shared" ref="E9" si="30">IF(OR(D10="", D9=""), "", D10 - D9)</f>
        <v>165</v>
      </c>
      <c r="F9" s="20">
        <v>206989</v>
      </c>
      <c r="G9" s="75">
        <f t="shared" ref="G9" si="31">IF(OR(F10="", F9=""), "", F10 - F9)</f>
        <v>0</v>
      </c>
      <c r="H9" s="79">
        <f t="shared" ref="H9:H10" si="32">IF(OR(C9="", E9="", G9=""), "", C9 + E9 - G9)</f>
        <v>4037</v>
      </c>
      <c r="I9" s="80">
        <f t="shared" si="4"/>
        <v>2798.0677419351196</v>
      </c>
      <c r="J9" s="35">
        <v>5031284</v>
      </c>
      <c r="K9" s="75">
        <f t="shared" si="23"/>
        <v>1044.4000000003725</v>
      </c>
      <c r="L9" s="9">
        <v>479090.315789518</v>
      </c>
      <c r="M9" s="75">
        <f t="shared" si="5"/>
        <v>15</v>
      </c>
      <c r="N9" s="9">
        <v>160517.64193548387</v>
      </c>
      <c r="O9" s="75">
        <f t="shared" si="6"/>
        <v>68.377419354830636</v>
      </c>
      <c r="P9" s="35">
        <v>43542.183870967747</v>
      </c>
      <c r="Q9" s="75">
        <f t="shared" si="7"/>
        <v>111.15483870967728</v>
      </c>
      <c r="R9" s="94">
        <f t="shared" si="20"/>
        <v>46089</v>
      </c>
      <c r="S9" s="87">
        <v>5769</v>
      </c>
      <c r="T9" s="89"/>
      <c r="U9" s="75">
        <f t="shared" si="15"/>
        <v>297</v>
      </c>
      <c r="V9" s="11">
        <v>0.65</v>
      </c>
      <c r="W9" s="26">
        <v>0.68</v>
      </c>
      <c r="X9" s="96">
        <f t="shared" si="16"/>
        <v>3325</v>
      </c>
      <c r="Y9" s="84"/>
      <c r="Z9" s="75">
        <f t="shared" si="17"/>
        <v>350</v>
      </c>
      <c r="AA9" s="28">
        <v>139049</v>
      </c>
      <c r="AB9" s="75">
        <f t="shared" si="8"/>
        <v>53</v>
      </c>
      <c r="AC9" s="28">
        <v>4302.6000000000004</v>
      </c>
      <c r="AD9" s="75">
        <f t="shared" si="9"/>
        <v>5.1999999999998181</v>
      </c>
      <c r="AE9" s="30">
        <v>73027</v>
      </c>
      <c r="AF9" s="75">
        <f t="shared" si="10"/>
        <v>0</v>
      </c>
      <c r="AG9" s="33">
        <v>3100</v>
      </c>
      <c r="AH9" s="71"/>
      <c r="AI9" s="75" t="str">
        <f t="shared" si="11"/>
        <v/>
      </c>
      <c r="AJ9" s="8">
        <v>96</v>
      </c>
      <c r="AK9" s="13">
        <v>192</v>
      </c>
    </row>
    <row r="10" spans="1:37" x14ac:dyDescent="0.2">
      <c r="A10" s="94">
        <f t="shared" si="12"/>
        <v>46090</v>
      </c>
      <c r="B10" s="6">
        <v>33881591</v>
      </c>
      <c r="C10" s="75">
        <f>IF(OR(B11="", B10=""), "", B11 - B10)</f>
        <v>3454</v>
      </c>
      <c r="D10" s="20">
        <v>1661060</v>
      </c>
      <c r="E10" s="75">
        <f t="shared" ref="E10" si="33">IF(OR(D11="", D10=""), "", D11 - D10)</f>
        <v>430</v>
      </c>
      <c r="F10" s="20">
        <v>206989</v>
      </c>
      <c r="G10" s="75">
        <f t="shared" ref="G10" si="34">IF(OR(F11="", F10=""), "", F11 - F10)</f>
        <v>18</v>
      </c>
      <c r="H10" s="79">
        <f t="shared" si="32"/>
        <v>3866</v>
      </c>
      <c r="I10" s="80">
        <f t="shared" si="4"/>
        <v>2757.8677419358355</v>
      </c>
      <c r="J10" s="35">
        <v>5032328.4000000004</v>
      </c>
      <c r="K10" s="75">
        <f t="shared" si="23"/>
        <v>913.59999999962747</v>
      </c>
      <c r="L10" s="9">
        <v>479105.315789518</v>
      </c>
      <c r="M10" s="75">
        <f t="shared" si="5"/>
        <v>15</v>
      </c>
      <c r="N10" s="9">
        <v>160586.0193548387</v>
      </c>
      <c r="O10" s="75">
        <f t="shared" si="6"/>
        <v>68.37741935485974</v>
      </c>
      <c r="P10" s="35">
        <v>43653.338709677424</v>
      </c>
      <c r="Q10" s="75">
        <f t="shared" si="7"/>
        <v>111.15483870967728</v>
      </c>
      <c r="R10" s="94">
        <f t="shared" si="20"/>
        <v>46090</v>
      </c>
      <c r="S10" s="87">
        <v>5472</v>
      </c>
      <c r="T10" s="89"/>
      <c r="U10" s="75">
        <f t="shared" si="15"/>
        <v>197</v>
      </c>
      <c r="V10" s="11">
        <v>0.6</v>
      </c>
      <c r="W10" s="26">
        <v>0.59</v>
      </c>
      <c r="X10" s="96">
        <f t="shared" si="16"/>
        <v>2975</v>
      </c>
      <c r="Y10" s="84">
        <v>1338.37</v>
      </c>
      <c r="Z10" s="75">
        <f t="shared" si="17"/>
        <v>638.36999999999989</v>
      </c>
      <c r="AA10" s="28">
        <v>139102</v>
      </c>
      <c r="AB10" s="75">
        <f t="shared" si="8"/>
        <v>60</v>
      </c>
      <c r="AC10" s="28">
        <v>4307.8</v>
      </c>
      <c r="AD10" s="75">
        <f t="shared" si="9"/>
        <v>12.800000000000182</v>
      </c>
      <c r="AE10" s="30">
        <v>73027</v>
      </c>
      <c r="AF10" s="75">
        <f t="shared" si="10"/>
        <v>0</v>
      </c>
      <c r="AG10" s="33">
        <v>3100</v>
      </c>
      <c r="AH10" s="71"/>
      <c r="AI10" s="75" t="str">
        <f t="shared" si="11"/>
        <v/>
      </c>
      <c r="AJ10" s="8">
        <v>78</v>
      </c>
      <c r="AK10" s="13">
        <v>167</v>
      </c>
    </row>
    <row r="11" spans="1:37" x14ac:dyDescent="0.2">
      <c r="A11" s="94">
        <f t="shared" si="12"/>
        <v>46091</v>
      </c>
      <c r="B11" s="6">
        <v>33885045</v>
      </c>
      <c r="C11" s="75">
        <f t="shared" ref="C11:G32" si="35">IF(OR(B12="", B11=""), "", B12 - B11)</f>
        <v>3432</v>
      </c>
      <c r="D11" s="20">
        <v>1661490</v>
      </c>
      <c r="E11" s="75">
        <f t="shared" si="35"/>
        <v>492</v>
      </c>
      <c r="F11" s="20">
        <v>207007</v>
      </c>
      <c r="G11" s="75">
        <f t="shared" si="35"/>
        <v>13</v>
      </c>
      <c r="H11" s="79">
        <f>IF(OR(C11="", E11="", G11=""), "", C11 + E11 - G11)</f>
        <v>3911</v>
      </c>
      <c r="I11" s="80">
        <f>IF(OR(H11="", K11="", M11="", O11="", Q11=""), "", H11 - K11 - M11 - O11 - Q11)</f>
        <v>2764.0677419351196</v>
      </c>
      <c r="J11" s="35">
        <v>5033242</v>
      </c>
      <c r="K11" s="75">
        <f t="shared" ref="K11:K33" si="36">IF(OR(J12="", J11=""), "", J12 - J11)</f>
        <v>952.40000000037253</v>
      </c>
      <c r="L11" s="9">
        <v>479120.315789518</v>
      </c>
      <c r="M11" s="75">
        <f t="shared" ref="M11:M33" si="37">IF(OR(L12="", L11=""), "", L12 - L11)</f>
        <v>15</v>
      </c>
      <c r="N11" s="9">
        <v>160654.39677419356</v>
      </c>
      <c r="O11" s="75">
        <f t="shared" ref="O11:O33" si="38">IF(OR(N12="", N11=""), "", N12 - N11)</f>
        <v>68.377419354830636</v>
      </c>
      <c r="P11" s="35">
        <v>43764.493548387101</v>
      </c>
      <c r="Q11" s="75">
        <f t="shared" ref="Q11:Q33" si="39">IF(OR(P12="", P11=""), "", P12 - P11)</f>
        <v>111.15483870967728</v>
      </c>
      <c r="R11" s="94">
        <f t="shared" si="20"/>
        <v>46091</v>
      </c>
      <c r="S11" s="87">
        <v>5275</v>
      </c>
      <c r="T11" s="89"/>
      <c r="U11" s="75">
        <f t="shared" si="15"/>
        <v>176</v>
      </c>
      <c r="V11" s="11">
        <v>0.72</v>
      </c>
      <c r="W11" s="26">
        <v>0.75</v>
      </c>
      <c r="X11" s="96">
        <f t="shared" si="16"/>
        <v>3675</v>
      </c>
      <c r="Y11" s="84"/>
      <c r="Z11" s="75">
        <f t="shared" si="17"/>
        <v>325</v>
      </c>
      <c r="AA11" s="28">
        <v>139162</v>
      </c>
      <c r="AB11" s="75">
        <f t="shared" ref="AB11:AB33" si="40">IF(OR(AA12="", AA11=""), "", AA12 - AA11)</f>
        <v>51</v>
      </c>
      <c r="AC11" s="28">
        <v>4320.6000000000004</v>
      </c>
      <c r="AD11" s="75">
        <f t="shared" ref="AD11:AD33" si="41">IF(OR(AC12="", AC11=""), "", AC12 - AC11)</f>
        <v>3.1999999999998181</v>
      </c>
      <c r="AE11" s="30">
        <v>73027</v>
      </c>
      <c r="AF11" s="75">
        <f t="shared" ref="AF11:AF33" si="42">IF(OR(AE12="", AE11=""), "", AE12 - AE11)</f>
        <v>0</v>
      </c>
      <c r="AG11" s="33">
        <v>3100</v>
      </c>
      <c r="AH11" s="71"/>
      <c r="AI11" s="75" t="str">
        <f t="shared" ref="AI11:AI33" si="43">IF(OR(AH12="", AH11=""), "", AH12 - AH11)</f>
        <v/>
      </c>
      <c r="AJ11" s="8">
        <v>69</v>
      </c>
      <c r="AK11" s="13">
        <v>158</v>
      </c>
    </row>
    <row r="12" spans="1:37" x14ac:dyDescent="0.2">
      <c r="A12" s="94">
        <f t="shared" si="12"/>
        <v>46092</v>
      </c>
      <c r="B12" s="6">
        <v>33888477</v>
      </c>
      <c r="C12" s="75">
        <f t="shared" si="35"/>
        <v>3386</v>
      </c>
      <c r="D12" s="20">
        <v>1661982</v>
      </c>
      <c r="E12" s="75">
        <f t="shared" ref="E12" si="44">IF(OR(D13="", D12=""), "", D13 - D12)</f>
        <v>429</v>
      </c>
      <c r="F12" s="20">
        <v>207020</v>
      </c>
      <c r="G12" s="75">
        <f t="shared" ref="G12" si="45">IF(OR(F13="", F12=""), "", F13 - F12)</f>
        <v>6</v>
      </c>
      <c r="H12" s="79">
        <f t="shared" ref="H12:H33" si="46">IF(OR(C12="", E12="", G12=""), "", C12 + E12 - G12)</f>
        <v>3809</v>
      </c>
      <c r="I12" s="80">
        <f t="shared" ref="I12:I33" si="47">IF(OR(H12="", K12="", M12="", O12="", Q12=""), "", H12 - K12 - M12 - O12 - Q12)</f>
        <v>2638.4677419354921</v>
      </c>
      <c r="J12" s="35">
        <v>5034194.4000000004</v>
      </c>
      <c r="K12" s="75">
        <f t="shared" si="36"/>
        <v>976</v>
      </c>
      <c r="L12" s="9">
        <v>479135.315789518</v>
      </c>
      <c r="M12" s="75">
        <f t="shared" si="37"/>
        <v>15</v>
      </c>
      <c r="N12" s="9">
        <v>160722.77419354839</v>
      </c>
      <c r="O12" s="75">
        <f t="shared" si="38"/>
        <v>68.377419354830636</v>
      </c>
      <c r="P12" s="35">
        <v>43875.648387096779</v>
      </c>
      <c r="Q12" s="75">
        <f t="shared" si="39"/>
        <v>111.15483870967728</v>
      </c>
      <c r="R12" s="94">
        <f t="shared" si="20"/>
        <v>46092</v>
      </c>
      <c r="S12" s="87">
        <v>5099</v>
      </c>
      <c r="T12" s="89"/>
      <c r="U12" s="75">
        <f t="shared" si="15"/>
        <v>312</v>
      </c>
      <c r="V12" s="11">
        <v>0.67</v>
      </c>
      <c r="W12" s="26">
        <v>0.67</v>
      </c>
      <c r="X12" s="96">
        <f t="shared" si="16"/>
        <v>3350</v>
      </c>
      <c r="Y12" s="84"/>
      <c r="Z12" s="75">
        <f t="shared" si="17"/>
        <v>250</v>
      </c>
      <c r="AA12" s="28">
        <v>139213</v>
      </c>
      <c r="AB12" s="75">
        <f t="shared" si="40"/>
        <v>40</v>
      </c>
      <c r="AC12" s="28">
        <v>4323.8</v>
      </c>
      <c r="AD12" s="75">
        <f t="shared" si="41"/>
        <v>3.1999999999998181</v>
      </c>
      <c r="AE12" s="30">
        <v>73027</v>
      </c>
      <c r="AF12" s="75">
        <f t="shared" si="42"/>
        <v>0</v>
      </c>
      <c r="AG12" s="33">
        <v>3100</v>
      </c>
      <c r="AH12" s="71"/>
      <c r="AI12" s="75" t="str">
        <f t="shared" si="43"/>
        <v/>
      </c>
      <c r="AJ12" s="8">
        <v>65</v>
      </c>
      <c r="AK12" s="13">
        <v>143</v>
      </c>
    </row>
    <row r="13" spans="1:37" x14ac:dyDescent="0.2">
      <c r="A13" s="94">
        <f t="shared" si="12"/>
        <v>46093</v>
      </c>
      <c r="B13" s="6">
        <v>33891863</v>
      </c>
      <c r="C13" s="75">
        <f t="shared" si="35"/>
        <v>3520</v>
      </c>
      <c r="D13" s="20">
        <v>1662411</v>
      </c>
      <c r="E13" s="75">
        <f t="shared" ref="E13" si="48">IF(OR(D14="", D13=""), "", D14 - D13)</f>
        <v>377</v>
      </c>
      <c r="F13" s="20">
        <v>207026</v>
      </c>
      <c r="G13" s="75">
        <f t="shared" ref="G13" si="49">IF(OR(F14="", F13=""), "", F14 - F13)</f>
        <v>11</v>
      </c>
      <c r="H13" s="79">
        <f t="shared" si="46"/>
        <v>3886</v>
      </c>
      <c r="I13" s="80">
        <f t="shared" si="47"/>
        <v>2703.4677419354921</v>
      </c>
      <c r="J13" s="35">
        <v>5035170.4000000004</v>
      </c>
      <c r="K13" s="75">
        <f t="shared" si="36"/>
        <v>988</v>
      </c>
      <c r="L13" s="9">
        <v>479150.315789518</v>
      </c>
      <c r="M13" s="75">
        <f t="shared" si="37"/>
        <v>15</v>
      </c>
      <c r="N13" s="9">
        <v>160791.15161290322</v>
      </c>
      <c r="O13" s="75">
        <f t="shared" si="38"/>
        <v>68.377419354830636</v>
      </c>
      <c r="P13" s="35">
        <v>43986.803225806456</v>
      </c>
      <c r="Q13" s="75">
        <f t="shared" si="39"/>
        <v>111.15483870967728</v>
      </c>
      <c r="R13" s="94">
        <f t="shared" si="20"/>
        <v>46093</v>
      </c>
      <c r="S13" s="87">
        <v>4787</v>
      </c>
      <c r="T13" s="89"/>
      <c r="U13" s="75">
        <f t="shared" si="15"/>
        <v>290</v>
      </c>
      <c r="V13" s="11">
        <v>0.6</v>
      </c>
      <c r="W13" s="26">
        <v>0.64</v>
      </c>
      <c r="X13" s="96">
        <f t="shared" si="16"/>
        <v>3100</v>
      </c>
      <c r="Y13" s="84"/>
      <c r="Z13" s="75">
        <f t="shared" si="17"/>
        <v>375</v>
      </c>
      <c r="AA13" s="28">
        <v>139253</v>
      </c>
      <c r="AB13" s="75">
        <f t="shared" si="40"/>
        <v>39</v>
      </c>
      <c r="AC13" s="28">
        <v>4327</v>
      </c>
      <c r="AD13" s="75">
        <f t="shared" si="41"/>
        <v>5.3000000000001819</v>
      </c>
      <c r="AE13" s="30">
        <v>73027</v>
      </c>
      <c r="AF13" s="75">
        <f t="shared" si="42"/>
        <v>0</v>
      </c>
      <c r="AG13" s="33">
        <v>3100</v>
      </c>
      <c r="AH13" s="71"/>
      <c r="AI13" s="75" t="str">
        <f t="shared" si="43"/>
        <v/>
      </c>
      <c r="AJ13" s="8">
        <v>59</v>
      </c>
      <c r="AK13" s="13">
        <v>125</v>
      </c>
    </row>
    <row r="14" spans="1:37" x14ac:dyDescent="0.2">
      <c r="A14" s="94">
        <f t="shared" si="12"/>
        <v>46094</v>
      </c>
      <c r="B14" s="6">
        <v>33895383</v>
      </c>
      <c r="C14" s="75">
        <f t="shared" si="35"/>
        <v>2961</v>
      </c>
      <c r="D14" s="20">
        <v>1662788</v>
      </c>
      <c r="E14" s="75">
        <f t="shared" ref="E14" si="50">IF(OR(D15="", D14=""), "", D15 - D14)</f>
        <v>696</v>
      </c>
      <c r="F14" s="20">
        <v>207037</v>
      </c>
      <c r="G14" s="75">
        <f t="shared" ref="G14" si="51">IF(OR(F15="", F14=""), "", F15 - F14)</f>
        <v>34</v>
      </c>
      <c r="H14" s="79">
        <f t="shared" si="46"/>
        <v>3623</v>
      </c>
      <c r="I14" s="80">
        <f t="shared" si="47"/>
        <v>2519.267741936208</v>
      </c>
      <c r="J14" s="35">
        <v>5036158.4000000004</v>
      </c>
      <c r="K14" s="75">
        <f t="shared" si="36"/>
        <v>909.19999999925494</v>
      </c>
      <c r="L14" s="9">
        <v>479165.315789518</v>
      </c>
      <c r="M14" s="75">
        <f t="shared" si="37"/>
        <v>15</v>
      </c>
      <c r="N14" s="9">
        <v>160859.52903225805</v>
      </c>
      <c r="O14" s="75">
        <f t="shared" si="38"/>
        <v>68.37741935485974</v>
      </c>
      <c r="P14" s="35">
        <v>44097.958064516133</v>
      </c>
      <c r="Q14" s="75">
        <f t="shared" si="39"/>
        <v>111.15483870967728</v>
      </c>
      <c r="R14" s="94">
        <f t="shared" si="20"/>
        <v>46094</v>
      </c>
      <c r="S14" s="87">
        <v>4497</v>
      </c>
      <c r="T14" s="89"/>
      <c r="U14" s="75">
        <f t="shared" si="15"/>
        <v>95</v>
      </c>
      <c r="V14" s="11">
        <v>0.55000000000000004</v>
      </c>
      <c r="W14" s="26">
        <v>0.54</v>
      </c>
      <c r="X14" s="96">
        <f t="shared" si="16"/>
        <v>2725</v>
      </c>
      <c r="Y14" s="84">
        <v>1618.22</v>
      </c>
      <c r="Z14" s="75">
        <f t="shared" si="17"/>
        <v>518.22000000000025</v>
      </c>
      <c r="AA14" s="28">
        <v>139292</v>
      </c>
      <c r="AB14" s="75">
        <f t="shared" si="40"/>
        <v>67</v>
      </c>
      <c r="AC14" s="28">
        <v>4332.3</v>
      </c>
      <c r="AD14" s="75">
        <f t="shared" si="41"/>
        <v>43.199999999999818</v>
      </c>
      <c r="AE14" s="30">
        <v>73027</v>
      </c>
      <c r="AF14" s="75">
        <f t="shared" si="42"/>
        <v>0</v>
      </c>
      <c r="AG14" s="33">
        <v>3100</v>
      </c>
      <c r="AH14" s="71"/>
      <c r="AI14" s="75" t="str">
        <f t="shared" si="43"/>
        <v/>
      </c>
      <c r="AJ14" s="8">
        <v>22</v>
      </c>
      <c r="AK14" s="13">
        <v>40</v>
      </c>
    </row>
    <row r="15" spans="1:37" x14ac:dyDescent="0.2">
      <c r="A15" s="94">
        <f t="shared" si="12"/>
        <v>46095</v>
      </c>
      <c r="B15" s="6">
        <v>33898344</v>
      </c>
      <c r="C15" s="75">
        <f t="shared" si="35"/>
        <v>2714</v>
      </c>
      <c r="D15" s="20">
        <v>1663484</v>
      </c>
      <c r="E15" s="75">
        <f t="shared" ref="E15" si="52">IF(OR(D16="", D15=""), "", D16 - D15)</f>
        <v>1288</v>
      </c>
      <c r="F15" s="20">
        <v>207071</v>
      </c>
      <c r="G15" s="75">
        <f t="shared" ref="G15" si="53">IF(OR(F16="", F15=""), "", F16 - F15)</f>
        <v>308</v>
      </c>
      <c r="H15" s="79">
        <f t="shared" si="46"/>
        <v>3694</v>
      </c>
      <c r="I15" s="80">
        <f t="shared" si="47"/>
        <v>2537.8677419349333</v>
      </c>
      <c r="J15" s="35">
        <v>5037067.5999999996</v>
      </c>
      <c r="K15" s="75">
        <f t="shared" si="36"/>
        <v>961.60000000055879</v>
      </c>
      <c r="L15" s="9">
        <v>479180.315789518</v>
      </c>
      <c r="M15" s="75">
        <f t="shared" si="37"/>
        <v>15</v>
      </c>
      <c r="N15" s="9">
        <v>160927.90645161291</v>
      </c>
      <c r="O15" s="75">
        <f t="shared" si="38"/>
        <v>68.377419354830636</v>
      </c>
      <c r="P15" s="35">
        <v>44209.11290322581</v>
      </c>
      <c r="Q15" s="75">
        <f t="shared" si="39"/>
        <v>111.15483870967728</v>
      </c>
      <c r="R15" s="94">
        <f t="shared" si="20"/>
        <v>46095</v>
      </c>
      <c r="S15" s="87">
        <v>4402</v>
      </c>
      <c r="T15" s="89"/>
      <c r="U15" s="75">
        <f t="shared" si="15"/>
        <v>191</v>
      </c>
      <c r="V15" s="11">
        <v>0.77</v>
      </c>
      <c r="W15" s="26">
        <v>0.76</v>
      </c>
      <c r="X15" s="96">
        <f t="shared" si="16"/>
        <v>3825</v>
      </c>
      <c r="Y15" s="84"/>
      <c r="Z15" s="75">
        <f t="shared" si="17"/>
        <v>250</v>
      </c>
      <c r="AA15" s="28">
        <v>139359</v>
      </c>
      <c r="AB15" s="75">
        <f t="shared" si="40"/>
        <v>34</v>
      </c>
      <c r="AC15" s="28">
        <v>4375.5</v>
      </c>
      <c r="AD15" s="75">
        <f t="shared" si="41"/>
        <v>6.8000000000001819</v>
      </c>
      <c r="AE15" s="30">
        <v>73027</v>
      </c>
      <c r="AF15" s="75">
        <f t="shared" si="42"/>
        <v>0</v>
      </c>
      <c r="AG15" s="33">
        <v>3100</v>
      </c>
      <c r="AH15" s="71"/>
      <c r="AI15" s="75" t="str">
        <f t="shared" si="43"/>
        <v/>
      </c>
      <c r="AJ15" s="8">
        <v>32</v>
      </c>
      <c r="AK15" s="13">
        <v>53</v>
      </c>
    </row>
    <row r="16" spans="1:37" x14ac:dyDescent="0.2">
      <c r="A16" s="94">
        <f t="shared" si="12"/>
        <v>46096</v>
      </c>
      <c r="B16" s="6">
        <v>33901058</v>
      </c>
      <c r="C16" s="75">
        <f t="shared" si="35"/>
        <v>3355</v>
      </c>
      <c r="D16" s="20">
        <v>1664772</v>
      </c>
      <c r="E16" s="75">
        <f t="shared" ref="E16" si="54">IF(OR(D17="", D16=""), "", D17 - D16)</f>
        <v>280</v>
      </c>
      <c r="F16" s="20">
        <v>207379</v>
      </c>
      <c r="G16" s="75">
        <f t="shared" ref="G16" si="55">IF(OR(F17="", F16=""), "", F17 - F16)</f>
        <v>0</v>
      </c>
      <c r="H16" s="79">
        <f t="shared" si="46"/>
        <v>3635</v>
      </c>
      <c r="I16" s="80">
        <f t="shared" si="47"/>
        <v>2415.2677419352985</v>
      </c>
      <c r="J16" s="35">
        <v>5038029.2</v>
      </c>
      <c r="K16" s="75">
        <f t="shared" si="36"/>
        <v>1025.2000000001863</v>
      </c>
      <c r="L16" s="9">
        <v>479195.315789518</v>
      </c>
      <c r="M16" s="75">
        <f t="shared" si="37"/>
        <v>15</v>
      </c>
      <c r="N16" s="9">
        <v>160996.28387096775</v>
      </c>
      <c r="O16" s="75">
        <f t="shared" si="38"/>
        <v>68.377419354830636</v>
      </c>
      <c r="P16" s="35">
        <v>44320.267741935488</v>
      </c>
      <c r="Q16" s="75">
        <f t="shared" si="39"/>
        <v>111.15483870968455</v>
      </c>
      <c r="R16" s="94">
        <f t="shared" si="20"/>
        <v>46096</v>
      </c>
      <c r="S16" s="87">
        <v>4211</v>
      </c>
      <c r="T16" s="89"/>
      <c r="U16" s="75">
        <f t="shared" si="15"/>
        <v>282</v>
      </c>
      <c r="V16" s="11">
        <v>0.7</v>
      </c>
      <c r="W16" s="26">
        <v>0.73</v>
      </c>
      <c r="X16" s="96">
        <f t="shared" si="16"/>
        <v>3575</v>
      </c>
      <c r="Y16" s="84"/>
      <c r="Z16" s="75">
        <f t="shared" si="17"/>
        <v>350</v>
      </c>
      <c r="AA16" s="28">
        <v>139393</v>
      </c>
      <c r="AB16" s="75">
        <f t="shared" si="40"/>
        <v>32</v>
      </c>
      <c r="AC16" s="28">
        <v>4382.3</v>
      </c>
      <c r="AD16" s="75">
        <f t="shared" si="41"/>
        <v>8.3000000000001819</v>
      </c>
      <c r="AE16" s="30">
        <v>73027</v>
      </c>
      <c r="AF16" s="75">
        <f t="shared" si="42"/>
        <v>0</v>
      </c>
      <c r="AG16" s="33">
        <v>3100</v>
      </c>
      <c r="AH16" s="71"/>
      <c r="AI16" s="75" t="str">
        <f t="shared" si="43"/>
        <v/>
      </c>
      <c r="AJ16" s="8">
        <v>23</v>
      </c>
      <c r="AK16" s="13">
        <v>30</v>
      </c>
    </row>
    <row r="17" spans="1:37" x14ac:dyDescent="0.2">
      <c r="A17" s="94">
        <f t="shared" si="12"/>
        <v>46097</v>
      </c>
      <c r="B17" s="6">
        <v>33904413</v>
      </c>
      <c r="C17" s="75">
        <f t="shared" si="35"/>
        <v>3165</v>
      </c>
      <c r="D17" s="20">
        <v>1665052</v>
      </c>
      <c r="E17" s="75">
        <f t="shared" ref="E17" si="56">IF(OR(D18="", D17=""), "", D18 - D17)</f>
        <v>385</v>
      </c>
      <c r="F17" s="20">
        <v>207379</v>
      </c>
      <c r="G17" s="75">
        <f t="shared" ref="G17" si="57">IF(OR(F18="", F17=""), "", F18 - F17)</f>
        <v>20</v>
      </c>
      <c r="H17" s="79">
        <f t="shared" si="46"/>
        <v>3530</v>
      </c>
      <c r="I17" s="80">
        <f t="shared" si="47"/>
        <v>2410.267741936208</v>
      </c>
      <c r="J17" s="35">
        <v>5039054.4000000004</v>
      </c>
      <c r="K17" s="75">
        <f t="shared" si="36"/>
        <v>925.19999999925494</v>
      </c>
      <c r="L17" s="9">
        <v>479210.315789518</v>
      </c>
      <c r="M17" s="75">
        <f t="shared" si="37"/>
        <v>15</v>
      </c>
      <c r="N17" s="9">
        <v>161064.66129032258</v>
      </c>
      <c r="O17" s="75">
        <f t="shared" si="38"/>
        <v>68.37741935485974</v>
      </c>
      <c r="P17" s="35">
        <v>44431.422580645172</v>
      </c>
      <c r="Q17" s="75">
        <f t="shared" si="39"/>
        <v>111.15483870967728</v>
      </c>
      <c r="R17" s="94">
        <f t="shared" si="20"/>
        <v>46097</v>
      </c>
      <c r="S17" s="87">
        <v>3929</v>
      </c>
      <c r="T17" s="89"/>
      <c r="U17" s="75">
        <f t="shared" si="15"/>
        <v>186</v>
      </c>
      <c r="V17" s="11">
        <v>0.65</v>
      </c>
      <c r="W17" s="26">
        <v>0.64</v>
      </c>
      <c r="X17" s="96">
        <f t="shared" si="16"/>
        <v>3225</v>
      </c>
      <c r="Y17" s="84">
        <v>941.02</v>
      </c>
      <c r="Z17" s="75">
        <f t="shared" si="17"/>
        <v>166.02000000000044</v>
      </c>
      <c r="AA17" s="28">
        <v>139425</v>
      </c>
      <c r="AB17" s="75">
        <f t="shared" si="40"/>
        <v>30</v>
      </c>
      <c r="AC17" s="28">
        <v>4390.6000000000004</v>
      </c>
      <c r="AD17" s="75">
        <f t="shared" si="41"/>
        <v>6</v>
      </c>
      <c r="AE17" s="30">
        <v>73027</v>
      </c>
      <c r="AF17" s="75">
        <f t="shared" si="42"/>
        <v>0</v>
      </c>
      <c r="AG17" s="33">
        <v>3100</v>
      </c>
      <c r="AH17" s="71"/>
      <c r="AI17" s="75" t="str">
        <f t="shared" si="43"/>
        <v/>
      </c>
      <c r="AJ17" s="8">
        <v>32</v>
      </c>
      <c r="AK17" s="13">
        <v>43</v>
      </c>
    </row>
    <row r="18" spans="1:37" x14ac:dyDescent="0.2">
      <c r="A18" s="94">
        <f t="shared" si="12"/>
        <v>46098</v>
      </c>
      <c r="B18" s="6">
        <v>33907578</v>
      </c>
      <c r="C18" s="75">
        <f t="shared" si="35"/>
        <v>3095</v>
      </c>
      <c r="D18" s="20">
        <v>1665437</v>
      </c>
      <c r="E18" s="75">
        <f t="shared" ref="E18" si="58">IF(OR(D19="", D18=""), "", D19 - D18)</f>
        <v>481</v>
      </c>
      <c r="F18" s="20">
        <v>207399</v>
      </c>
      <c r="G18" s="75">
        <f t="shared" ref="G18" si="59">IF(OR(F19="", F18=""), "", F19 - F18)</f>
        <v>28</v>
      </c>
      <c r="H18" s="79">
        <f t="shared" si="46"/>
        <v>3548</v>
      </c>
      <c r="I18" s="80">
        <f t="shared" si="47"/>
        <v>2490.8677419349333</v>
      </c>
      <c r="J18" s="35">
        <v>5039979.5999999996</v>
      </c>
      <c r="K18" s="75">
        <f t="shared" si="36"/>
        <v>862.60000000055879</v>
      </c>
      <c r="L18" s="9">
        <v>479225.315789518</v>
      </c>
      <c r="M18" s="75">
        <f t="shared" si="37"/>
        <v>15</v>
      </c>
      <c r="N18" s="9">
        <v>161133.03870967744</v>
      </c>
      <c r="O18" s="75">
        <f t="shared" si="38"/>
        <v>68.377419354830636</v>
      </c>
      <c r="P18" s="35">
        <v>44542.57741935485</v>
      </c>
      <c r="Q18" s="75">
        <f t="shared" si="39"/>
        <v>111.15483870967728</v>
      </c>
      <c r="R18" s="94">
        <f t="shared" si="20"/>
        <v>46098</v>
      </c>
      <c r="S18" s="87">
        <v>3743</v>
      </c>
      <c r="T18" s="89"/>
      <c r="U18" s="75">
        <f t="shared" si="15"/>
        <v>185</v>
      </c>
      <c r="V18" s="11">
        <v>0.8</v>
      </c>
      <c r="W18" s="26">
        <v>0.8</v>
      </c>
      <c r="X18" s="96">
        <f t="shared" si="16"/>
        <v>4000</v>
      </c>
      <c r="Y18" s="84"/>
      <c r="Z18" s="75">
        <f t="shared" si="17"/>
        <v>425</v>
      </c>
      <c r="AA18" s="28">
        <v>139455</v>
      </c>
      <c r="AB18" s="75">
        <f t="shared" si="40"/>
        <v>31</v>
      </c>
      <c r="AC18" s="28">
        <v>4396.6000000000004</v>
      </c>
      <c r="AD18" s="75">
        <f t="shared" si="41"/>
        <v>2.2999999999992724</v>
      </c>
      <c r="AE18" s="30">
        <v>73027</v>
      </c>
      <c r="AF18" s="75">
        <f t="shared" si="42"/>
        <v>0</v>
      </c>
      <c r="AG18" s="33">
        <v>3100</v>
      </c>
      <c r="AH18" s="71"/>
      <c r="AI18" s="75" t="str">
        <f t="shared" si="43"/>
        <v/>
      </c>
      <c r="AJ18" s="8">
        <v>30</v>
      </c>
      <c r="AK18" s="13">
        <v>40</v>
      </c>
    </row>
    <row r="19" spans="1:37" x14ac:dyDescent="0.2">
      <c r="A19" s="94">
        <f t="shared" si="12"/>
        <v>46099</v>
      </c>
      <c r="B19" s="6">
        <v>33910673</v>
      </c>
      <c r="C19" s="75">
        <f t="shared" si="35"/>
        <v>3191</v>
      </c>
      <c r="D19" s="20">
        <v>1665918</v>
      </c>
      <c r="E19" s="75">
        <f t="shared" ref="E19" si="60">IF(OR(D20="", D19=""), "", D20 - D19)</f>
        <v>446</v>
      </c>
      <c r="F19" s="20">
        <v>207427</v>
      </c>
      <c r="G19" s="75">
        <f t="shared" ref="G19" si="61">IF(OR(F20="", F19=""), "", F20 - F19)</f>
        <v>28</v>
      </c>
      <c r="H19" s="79">
        <f t="shared" si="46"/>
        <v>3609</v>
      </c>
      <c r="I19" s="80">
        <f t="shared" si="47"/>
        <v>2576.2677419353058</v>
      </c>
      <c r="J19" s="35">
        <v>5040842.2</v>
      </c>
      <c r="K19" s="75">
        <f t="shared" si="36"/>
        <v>838.20000000018626</v>
      </c>
      <c r="L19" s="9">
        <v>479240.315789518</v>
      </c>
      <c r="M19" s="75">
        <f t="shared" si="37"/>
        <v>15</v>
      </c>
      <c r="N19" s="9">
        <v>161201.41612903227</v>
      </c>
      <c r="O19" s="75">
        <f t="shared" si="38"/>
        <v>68.377419354830636</v>
      </c>
      <c r="P19" s="35">
        <v>44653.732258064527</v>
      </c>
      <c r="Q19" s="75">
        <f t="shared" si="39"/>
        <v>111.15483870967728</v>
      </c>
      <c r="R19" s="94">
        <f t="shared" si="20"/>
        <v>46099</v>
      </c>
      <c r="S19" s="87">
        <v>3558</v>
      </c>
      <c r="T19" s="89"/>
      <c r="U19" s="75">
        <f t="shared" si="15"/>
        <v>182</v>
      </c>
      <c r="V19" s="11">
        <v>0.7</v>
      </c>
      <c r="W19" s="26">
        <v>0.73</v>
      </c>
      <c r="X19" s="96">
        <f t="shared" si="16"/>
        <v>3575</v>
      </c>
      <c r="Y19" s="84"/>
      <c r="Z19" s="75">
        <f t="shared" si="17"/>
        <v>375</v>
      </c>
      <c r="AA19" s="28">
        <v>139486</v>
      </c>
      <c r="AB19" s="75">
        <f t="shared" si="40"/>
        <v>26</v>
      </c>
      <c r="AC19" s="28">
        <v>4398.8999999999996</v>
      </c>
      <c r="AD19" s="75">
        <f t="shared" si="41"/>
        <v>2.6000000000003638</v>
      </c>
      <c r="AE19" s="30">
        <v>73027</v>
      </c>
      <c r="AF19" s="75">
        <f t="shared" si="42"/>
        <v>227</v>
      </c>
      <c r="AG19" s="33">
        <v>3100</v>
      </c>
      <c r="AH19" s="71"/>
      <c r="AI19" s="75" t="str">
        <f t="shared" si="43"/>
        <v/>
      </c>
      <c r="AJ19" s="8">
        <v>32</v>
      </c>
      <c r="AK19" s="13">
        <v>40</v>
      </c>
    </row>
    <row r="20" spans="1:37" x14ac:dyDescent="0.2">
      <c r="A20" s="94">
        <f t="shared" si="12"/>
        <v>46100</v>
      </c>
      <c r="B20" s="6">
        <v>33913864</v>
      </c>
      <c r="C20" s="75">
        <f t="shared" si="35"/>
        <v>2352</v>
      </c>
      <c r="D20" s="20">
        <v>1666364</v>
      </c>
      <c r="E20" s="75">
        <f t="shared" ref="E20" si="62">IF(OR(D21="", D20=""), "", D21 - D20)</f>
        <v>1687</v>
      </c>
      <c r="F20" s="20">
        <v>207455</v>
      </c>
      <c r="G20" s="75">
        <f t="shared" ref="G20" si="63">IF(OR(F21="", F20=""), "", F21 - F20)</f>
        <v>422</v>
      </c>
      <c r="H20" s="79">
        <f t="shared" si="46"/>
        <v>3617</v>
      </c>
      <c r="I20" s="80">
        <f t="shared" si="47"/>
        <v>2573.6677419356492</v>
      </c>
      <c r="J20" s="35">
        <v>5041680.4000000004</v>
      </c>
      <c r="K20" s="75">
        <f t="shared" si="36"/>
        <v>848.79999999981374</v>
      </c>
      <c r="L20" s="9">
        <v>479255.315789518</v>
      </c>
      <c r="M20" s="75">
        <f t="shared" si="37"/>
        <v>15</v>
      </c>
      <c r="N20" s="9">
        <v>161269.7935483871</v>
      </c>
      <c r="O20" s="75">
        <f t="shared" si="38"/>
        <v>68.37741935485974</v>
      </c>
      <c r="P20" s="35">
        <v>44764.887096774204</v>
      </c>
      <c r="Q20" s="75">
        <f t="shared" si="39"/>
        <v>111.15483870967728</v>
      </c>
      <c r="R20" s="94">
        <f t="shared" si="20"/>
        <v>46100</v>
      </c>
      <c r="S20" s="87">
        <v>3376</v>
      </c>
      <c r="T20" s="89"/>
      <c r="U20" s="75">
        <f t="shared" si="15"/>
        <v>206</v>
      </c>
      <c r="V20" s="11">
        <v>0.65</v>
      </c>
      <c r="W20" s="26">
        <v>0.63</v>
      </c>
      <c r="X20" s="96">
        <f t="shared" si="16"/>
        <v>3200</v>
      </c>
      <c r="Y20" s="84"/>
      <c r="Z20" s="75">
        <f t="shared" si="17"/>
        <v>100</v>
      </c>
      <c r="AA20" s="28">
        <v>139512</v>
      </c>
      <c r="AB20" s="75">
        <f t="shared" si="40"/>
        <v>37</v>
      </c>
      <c r="AC20" s="28">
        <v>4401.5</v>
      </c>
      <c r="AD20" s="75">
        <f t="shared" si="41"/>
        <v>4.1999999999998181</v>
      </c>
      <c r="AE20" s="30">
        <v>73254</v>
      </c>
      <c r="AF20" s="75">
        <f t="shared" si="42"/>
        <v>3</v>
      </c>
      <c r="AG20" s="33">
        <v>3100</v>
      </c>
      <c r="AH20" s="71"/>
      <c r="AI20" s="75" t="str">
        <f t="shared" si="43"/>
        <v/>
      </c>
      <c r="AJ20" s="8">
        <v>28</v>
      </c>
      <c r="AK20" s="13">
        <v>36</v>
      </c>
    </row>
    <row r="21" spans="1:37" x14ac:dyDescent="0.2">
      <c r="A21" s="94">
        <f t="shared" si="12"/>
        <v>46101</v>
      </c>
      <c r="B21" s="6">
        <v>33916216</v>
      </c>
      <c r="C21" s="75">
        <f t="shared" si="35"/>
        <v>3555</v>
      </c>
      <c r="D21" s="20">
        <v>1668051</v>
      </c>
      <c r="E21" s="75">
        <f t="shared" ref="E21" si="64">IF(OR(D22="", D21=""), "", D22 - D21)</f>
        <v>131</v>
      </c>
      <c r="F21" s="20">
        <v>207877</v>
      </c>
      <c r="G21" s="75">
        <f t="shared" ref="G21" si="65">IF(OR(F22="", F21=""), "", F22 - F21)</f>
        <v>0</v>
      </c>
      <c r="H21" s="79">
        <f t="shared" si="46"/>
        <v>3686</v>
      </c>
      <c r="I21" s="80">
        <f t="shared" si="47"/>
        <v>2495.4677419354921</v>
      </c>
      <c r="J21" s="35">
        <v>5042529.2</v>
      </c>
      <c r="K21" s="75">
        <f t="shared" si="36"/>
        <v>996</v>
      </c>
      <c r="L21" s="9">
        <v>479270.315789518</v>
      </c>
      <c r="M21" s="75">
        <f t="shared" si="37"/>
        <v>15</v>
      </c>
      <c r="N21" s="9">
        <v>161338.17096774196</v>
      </c>
      <c r="O21" s="75">
        <f t="shared" si="38"/>
        <v>68.377419354830636</v>
      </c>
      <c r="P21" s="35">
        <v>44876.041935483881</v>
      </c>
      <c r="Q21" s="75">
        <f t="shared" si="39"/>
        <v>111.15483870967728</v>
      </c>
      <c r="R21" s="94">
        <f t="shared" si="20"/>
        <v>46101</v>
      </c>
      <c r="S21" s="87">
        <v>3170</v>
      </c>
      <c r="T21" s="89"/>
      <c r="U21" s="75">
        <f t="shared" si="15"/>
        <v>152</v>
      </c>
      <c r="V21" s="11">
        <v>0.63</v>
      </c>
      <c r="W21" s="26">
        <v>0.61</v>
      </c>
      <c r="X21" s="96">
        <f t="shared" si="16"/>
        <v>3100</v>
      </c>
      <c r="Y21" s="84">
        <v>945.41</v>
      </c>
      <c r="Z21" s="75">
        <f>IF(OR(X21="", X22=""), "", X21 + Y21 - X22)</f>
        <v>45.409999999999854</v>
      </c>
      <c r="AA21" s="28">
        <v>139549</v>
      </c>
      <c r="AB21" s="75">
        <f t="shared" si="40"/>
        <v>26</v>
      </c>
      <c r="AC21" s="28">
        <v>4405.7</v>
      </c>
      <c r="AD21" s="75">
        <f t="shared" si="41"/>
        <v>3</v>
      </c>
      <c r="AE21" s="30">
        <v>73257</v>
      </c>
      <c r="AF21" s="75">
        <f t="shared" si="42"/>
        <v>0</v>
      </c>
      <c r="AG21" s="33">
        <v>3100</v>
      </c>
      <c r="AH21" s="71"/>
      <c r="AI21" s="75" t="str">
        <f t="shared" si="43"/>
        <v/>
      </c>
      <c r="AJ21" s="8">
        <v>28</v>
      </c>
      <c r="AK21" s="13">
        <v>37</v>
      </c>
    </row>
    <row r="22" spans="1:37" x14ac:dyDescent="0.2">
      <c r="A22" s="94">
        <f t="shared" si="12"/>
        <v>46102</v>
      </c>
      <c r="B22" s="6">
        <v>33919771</v>
      </c>
      <c r="C22" s="75">
        <f t="shared" si="35"/>
        <v>3311</v>
      </c>
      <c r="D22" s="20">
        <v>1668182</v>
      </c>
      <c r="E22" s="75">
        <f t="shared" ref="E22" si="66">IF(OR(D23="", D22=""), "", D23 - D22)</f>
        <v>366</v>
      </c>
      <c r="F22" s="20">
        <v>207877</v>
      </c>
      <c r="G22" s="75">
        <f t="shared" ref="G22" si="67">IF(OR(F23="", F22=""), "", F23 - F22)</f>
        <v>5</v>
      </c>
      <c r="H22" s="79">
        <f t="shared" si="46"/>
        <v>3672</v>
      </c>
      <c r="I22" s="80">
        <f t="shared" si="47"/>
        <v>2594.2677419353058</v>
      </c>
      <c r="J22" s="35">
        <v>5043525.2</v>
      </c>
      <c r="K22" s="75">
        <f t="shared" si="36"/>
        <v>883.20000000018626</v>
      </c>
      <c r="L22" s="9">
        <v>479285.315789518</v>
      </c>
      <c r="M22" s="75">
        <f t="shared" si="37"/>
        <v>15</v>
      </c>
      <c r="N22" s="9">
        <v>161406.54838709679</v>
      </c>
      <c r="O22" s="75">
        <f t="shared" si="38"/>
        <v>68.377419354830636</v>
      </c>
      <c r="P22" s="35">
        <v>44987.196774193559</v>
      </c>
      <c r="Q22" s="75">
        <f t="shared" si="39"/>
        <v>111.15483870967728</v>
      </c>
      <c r="R22" s="94">
        <f t="shared" si="20"/>
        <v>46102</v>
      </c>
      <c r="S22" s="87">
        <v>3018</v>
      </c>
      <c r="T22" s="89"/>
      <c r="U22" s="75">
        <f t="shared" si="15"/>
        <v>176</v>
      </c>
      <c r="V22" s="11">
        <v>0.8</v>
      </c>
      <c r="W22" s="26">
        <v>0.8</v>
      </c>
      <c r="X22" s="96">
        <f t="shared" si="16"/>
        <v>4000</v>
      </c>
      <c r="Y22" s="84"/>
      <c r="Z22" s="75">
        <f t="shared" si="17"/>
        <v>175</v>
      </c>
      <c r="AA22" s="28">
        <v>139575</v>
      </c>
      <c r="AB22" s="75">
        <f t="shared" si="40"/>
        <v>24</v>
      </c>
      <c r="AC22" s="28">
        <v>4408.7</v>
      </c>
      <c r="AD22" s="75">
        <f t="shared" si="41"/>
        <v>2.3000000000001819</v>
      </c>
      <c r="AE22" s="30">
        <v>73257</v>
      </c>
      <c r="AF22" s="75">
        <f t="shared" si="42"/>
        <v>0</v>
      </c>
      <c r="AG22" s="33">
        <v>3100</v>
      </c>
      <c r="AH22" s="71"/>
      <c r="AI22" s="75" t="str">
        <f t="shared" si="43"/>
        <v/>
      </c>
      <c r="AJ22" s="8">
        <v>34</v>
      </c>
      <c r="AK22" s="13">
        <v>46</v>
      </c>
    </row>
    <row r="23" spans="1:37" x14ac:dyDescent="0.2">
      <c r="A23" s="94">
        <f t="shared" si="12"/>
        <v>46103</v>
      </c>
      <c r="B23" s="6">
        <v>33923082</v>
      </c>
      <c r="C23" s="75">
        <f t="shared" si="35"/>
        <v>3416</v>
      </c>
      <c r="D23" s="20">
        <v>1668548</v>
      </c>
      <c r="E23" s="75">
        <f t="shared" ref="E23" si="68">IF(OR(D24="", D23=""), "", D24 - D23)</f>
        <v>198</v>
      </c>
      <c r="F23" s="20">
        <v>207882</v>
      </c>
      <c r="G23" s="75">
        <f t="shared" ref="G23" si="69">IF(OR(F24="", F23=""), "", F24 - F23)</f>
        <v>1</v>
      </c>
      <c r="H23" s="79">
        <f t="shared" si="46"/>
        <v>3613</v>
      </c>
      <c r="I23" s="80">
        <f t="shared" si="47"/>
        <v>2415.2677419362371</v>
      </c>
      <c r="J23" s="35">
        <v>5044408.4000000004</v>
      </c>
      <c r="K23" s="75">
        <f t="shared" si="36"/>
        <v>1003.1999999992549</v>
      </c>
      <c r="L23" s="9">
        <v>479300.315789518</v>
      </c>
      <c r="M23" s="75">
        <f t="shared" si="37"/>
        <v>15</v>
      </c>
      <c r="N23" s="9">
        <v>161474.92580645162</v>
      </c>
      <c r="O23" s="75">
        <f t="shared" si="38"/>
        <v>68.377419354830636</v>
      </c>
      <c r="P23" s="35">
        <v>45098.351612903236</v>
      </c>
      <c r="Q23" s="75">
        <f t="shared" si="39"/>
        <v>111.15483870967728</v>
      </c>
      <c r="R23" s="94">
        <f t="shared" si="20"/>
        <v>46103</v>
      </c>
      <c r="S23" s="87">
        <v>2842</v>
      </c>
      <c r="T23" s="89"/>
      <c r="U23" s="75">
        <f t="shared" si="15"/>
        <v>258</v>
      </c>
      <c r="V23" s="11">
        <v>0.78</v>
      </c>
      <c r="W23" s="26">
        <v>0.75</v>
      </c>
      <c r="X23" s="96">
        <f t="shared" si="16"/>
        <v>3825</v>
      </c>
      <c r="Y23" s="84"/>
      <c r="Z23" s="75">
        <f t="shared" si="17"/>
        <v>150</v>
      </c>
      <c r="AA23" s="28">
        <v>139599</v>
      </c>
      <c r="AB23" s="75">
        <f t="shared" si="40"/>
        <v>28</v>
      </c>
      <c r="AC23" s="28">
        <v>4411</v>
      </c>
      <c r="AD23" s="75">
        <f t="shared" si="41"/>
        <v>4.1999999999998181</v>
      </c>
      <c r="AE23" s="30">
        <v>73257</v>
      </c>
      <c r="AF23" s="75">
        <f t="shared" si="42"/>
        <v>0</v>
      </c>
      <c r="AG23" s="33">
        <v>3100</v>
      </c>
      <c r="AH23" s="71"/>
      <c r="AI23" s="75" t="str">
        <f t="shared" si="43"/>
        <v/>
      </c>
      <c r="AJ23" s="8">
        <v>27</v>
      </c>
      <c r="AK23" s="13">
        <v>40</v>
      </c>
    </row>
    <row r="24" spans="1:37" x14ac:dyDescent="0.2">
      <c r="A24" s="94">
        <f t="shared" si="12"/>
        <v>46104</v>
      </c>
      <c r="B24" s="6">
        <v>33926498</v>
      </c>
      <c r="C24" s="75">
        <f t="shared" si="35"/>
        <v>3003</v>
      </c>
      <c r="D24" s="20">
        <v>1668746</v>
      </c>
      <c r="E24" s="75">
        <f t="shared" ref="E24" si="70">IF(OR(D25="", D24=""), "", D25 - D24)</f>
        <v>856</v>
      </c>
      <c r="F24" s="20">
        <v>207883</v>
      </c>
      <c r="G24" s="75">
        <f t="shared" ref="G24" si="71">IF(OR(F25="", F24=""), "", F25 - F24)</f>
        <v>117</v>
      </c>
      <c r="H24" s="79">
        <f t="shared" si="46"/>
        <v>3742</v>
      </c>
      <c r="I24" s="80">
        <f t="shared" si="47"/>
        <v>2680.2677419352767</v>
      </c>
      <c r="J24" s="35">
        <v>5045411.5999999996</v>
      </c>
      <c r="K24" s="75">
        <f t="shared" si="36"/>
        <v>867.20000000018626</v>
      </c>
      <c r="L24" s="9">
        <v>479315.315789518</v>
      </c>
      <c r="M24" s="75">
        <f t="shared" si="37"/>
        <v>15</v>
      </c>
      <c r="N24" s="9">
        <v>161543.30322580645</v>
      </c>
      <c r="O24" s="75">
        <f t="shared" si="38"/>
        <v>68.37741935485974</v>
      </c>
      <c r="P24" s="35">
        <v>45209.506451612913</v>
      </c>
      <c r="Q24" s="75">
        <f t="shared" si="39"/>
        <v>111.15483870967728</v>
      </c>
      <c r="R24" s="94">
        <f t="shared" si="20"/>
        <v>46104</v>
      </c>
      <c r="S24" s="87">
        <v>2584</v>
      </c>
      <c r="T24" s="89">
        <v>8000</v>
      </c>
      <c r="U24" s="75">
        <f t="shared" si="15"/>
        <v>336</v>
      </c>
      <c r="V24" s="11">
        <v>0.73</v>
      </c>
      <c r="W24" s="26">
        <v>0.74</v>
      </c>
      <c r="X24" s="96">
        <f t="shared" si="16"/>
        <v>3675</v>
      </c>
      <c r="Y24" s="84">
        <v>437.44</v>
      </c>
      <c r="Z24" s="75">
        <f t="shared" si="17"/>
        <v>112.4399999999996</v>
      </c>
      <c r="AA24" s="28">
        <v>139627</v>
      </c>
      <c r="AB24" s="75">
        <f t="shared" si="40"/>
        <v>29</v>
      </c>
      <c r="AC24" s="28">
        <v>4415.2</v>
      </c>
      <c r="AD24" s="75">
        <f t="shared" si="41"/>
        <v>2.5</v>
      </c>
      <c r="AE24" s="30">
        <v>73257</v>
      </c>
      <c r="AF24" s="75">
        <f t="shared" si="42"/>
        <v>0</v>
      </c>
      <c r="AG24" s="33">
        <v>3100</v>
      </c>
      <c r="AH24" s="71"/>
      <c r="AI24" s="75" t="str">
        <f t="shared" si="43"/>
        <v/>
      </c>
      <c r="AJ24" s="8">
        <v>39</v>
      </c>
      <c r="AK24" s="13">
        <v>57</v>
      </c>
    </row>
    <row r="25" spans="1:37" x14ac:dyDescent="0.2">
      <c r="A25" s="94">
        <f t="shared" si="12"/>
        <v>46105</v>
      </c>
      <c r="B25" s="6">
        <v>33929501</v>
      </c>
      <c r="C25" s="75">
        <f t="shared" si="35"/>
        <v>3235</v>
      </c>
      <c r="D25" s="20">
        <v>1669602</v>
      </c>
      <c r="E25" s="75">
        <f t="shared" ref="E25" si="72">IF(OR(D26="", D25=""), "", D26 - D25)</f>
        <v>415</v>
      </c>
      <c r="F25" s="20">
        <v>208000</v>
      </c>
      <c r="G25" s="75">
        <f t="shared" ref="G25" si="73">IF(OR(F26="", F25=""), "", F26 - F25)</f>
        <v>13</v>
      </c>
      <c r="H25" s="79">
        <f t="shared" si="46"/>
        <v>3637</v>
      </c>
      <c r="I25" s="80">
        <f t="shared" si="47"/>
        <v>2545.6677419356784</v>
      </c>
      <c r="J25" s="35">
        <v>5046278.8</v>
      </c>
      <c r="K25" s="75">
        <f t="shared" si="36"/>
        <v>896.79999999981374</v>
      </c>
      <c r="L25" s="9">
        <v>479330.315789518</v>
      </c>
      <c r="M25" s="75">
        <f t="shared" si="37"/>
        <v>15</v>
      </c>
      <c r="N25" s="9">
        <v>161611.68064516131</v>
      </c>
      <c r="O25" s="75">
        <f t="shared" si="38"/>
        <v>68.377419354830636</v>
      </c>
      <c r="P25" s="35">
        <v>45320.661290322591</v>
      </c>
      <c r="Q25" s="75">
        <f t="shared" si="39"/>
        <v>111.15483870967728</v>
      </c>
      <c r="R25" s="94">
        <f t="shared" si="20"/>
        <v>46105</v>
      </c>
      <c r="S25" s="87">
        <v>10248</v>
      </c>
      <c r="T25" s="89"/>
      <c r="U25" s="75">
        <f t="shared" si="15"/>
        <v>192</v>
      </c>
      <c r="V25" s="11">
        <v>0.8</v>
      </c>
      <c r="W25" s="26">
        <v>0.8</v>
      </c>
      <c r="X25" s="96">
        <f t="shared" si="16"/>
        <v>4000</v>
      </c>
      <c r="Y25" s="84"/>
      <c r="Z25" s="75">
        <f t="shared" si="17"/>
        <v>0</v>
      </c>
      <c r="AA25" s="28">
        <v>139656</v>
      </c>
      <c r="AB25" s="75">
        <f t="shared" si="40"/>
        <v>36</v>
      </c>
      <c r="AC25" s="28">
        <v>4417.7</v>
      </c>
      <c r="AD25" s="75">
        <f t="shared" si="41"/>
        <v>3.1999999999998181</v>
      </c>
      <c r="AE25" s="30">
        <v>73257</v>
      </c>
      <c r="AF25" s="75">
        <f t="shared" si="42"/>
        <v>2.5</v>
      </c>
      <c r="AG25" s="33">
        <v>3100</v>
      </c>
      <c r="AH25" s="71"/>
      <c r="AI25" s="75" t="str">
        <f t="shared" si="43"/>
        <v/>
      </c>
      <c r="AJ25" s="8">
        <v>40</v>
      </c>
      <c r="AK25" s="13">
        <v>59</v>
      </c>
    </row>
    <row r="26" spans="1:37" x14ac:dyDescent="0.2">
      <c r="A26" s="94">
        <f t="shared" si="12"/>
        <v>46106</v>
      </c>
      <c r="B26" s="6">
        <v>33932736</v>
      </c>
      <c r="C26" s="75">
        <f t="shared" si="35"/>
        <v>2714</v>
      </c>
      <c r="D26" s="20">
        <v>1670017</v>
      </c>
      <c r="E26" s="75">
        <f t="shared" ref="E26" si="74">IF(OR(D27="", D26=""), "", D27 - D26)</f>
        <v>511</v>
      </c>
      <c r="F26" s="20">
        <v>208013</v>
      </c>
      <c r="G26" s="75">
        <f t="shared" ref="G26" si="75">IF(OR(F27="", F26=""), "", F27 - F26)</f>
        <v>320</v>
      </c>
      <c r="H26" s="79">
        <f t="shared" si="46"/>
        <v>2905</v>
      </c>
      <c r="I26" s="80">
        <f t="shared" si="47"/>
        <v>1836.8677419349333</v>
      </c>
      <c r="J26" s="35">
        <v>5047175.5999999996</v>
      </c>
      <c r="K26" s="75">
        <f t="shared" si="36"/>
        <v>873.60000000055879</v>
      </c>
      <c r="L26" s="9">
        <v>479345.315789518</v>
      </c>
      <c r="M26" s="75">
        <f t="shared" si="37"/>
        <v>15</v>
      </c>
      <c r="N26" s="9">
        <v>161680.05806451614</v>
      </c>
      <c r="O26" s="75">
        <f t="shared" si="38"/>
        <v>68.377419354830636</v>
      </c>
      <c r="P26" s="35">
        <v>45431.816129032268</v>
      </c>
      <c r="Q26" s="75">
        <f t="shared" si="39"/>
        <v>111.15483870967728</v>
      </c>
      <c r="R26" s="94">
        <f t="shared" si="20"/>
        <v>46106</v>
      </c>
      <c r="S26" s="87">
        <v>10056</v>
      </c>
      <c r="T26" s="89"/>
      <c r="U26" s="75">
        <f t="shared" si="15"/>
        <v>193</v>
      </c>
      <c r="V26" s="11">
        <v>0.8</v>
      </c>
      <c r="W26" s="26">
        <v>0.8</v>
      </c>
      <c r="X26" s="96">
        <f>IF(OR(V26="", W26=""), "", (V26 * 2500) + (W26 * 2500))</f>
        <v>4000</v>
      </c>
      <c r="Y26" s="84"/>
      <c r="Z26" s="75">
        <f t="shared" si="17"/>
        <v>250</v>
      </c>
      <c r="AA26" s="28">
        <v>139692</v>
      </c>
      <c r="AB26" s="75">
        <f t="shared" si="40"/>
        <v>33</v>
      </c>
      <c r="AC26" s="28">
        <v>4420.8999999999996</v>
      </c>
      <c r="AD26" s="75">
        <f t="shared" si="41"/>
        <v>4.5</v>
      </c>
      <c r="AE26" s="30">
        <v>73259.5</v>
      </c>
      <c r="AF26" s="75">
        <f t="shared" si="42"/>
        <v>2.5</v>
      </c>
      <c r="AG26" s="33">
        <v>3100</v>
      </c>
      <c r="AH26" s="71"/>
      <c r="AI26" s="75" t="str">
        <f t="shared" si="43"/>
        <v/>
      </c>
      <c r="AJ26" s="8">
        <v>67</v>
      </c>
      <c r="AK26" s="13">
        <v>88</v>
      </c>
    </row>
    <row r="27" spans="1:37" x14ac:dyDescent="0.2">
      <c r="A27" s="94">
        <f t="shared" si="12"/>
        <v>46107</v>
      </c>
      <c r="B27" s="6">
        <v>33935450</v>
      </c>
      <c r="C27" s="75">
        <f t="shared" si="35"/>
        <v>3592</v>
      </c>
      <c r="D27" s="20">
        <v>1670528</v>
      </c>
      <c r="E27" s="75">
        <f t="shared" ref="E27" si="76">IF(OR(D28="", D27=""), "", D28 - D27)</f>
        <v>1158</v>
      </c>
      <c r="F27" s="20">
        <v>208333</v>
      </c>
      <c r="G27" s="75">
        <f t="shared" ref="G27" si="77">IF(OR(F28="", F27=""), "", F28 - F27)</f>
        <v>20</v>
      </c>
      <c r="H27" s="79">
        <f t="shared" si="46"/>
        <v>4730</v>
      </c>
      <c r="I27" s="80">
        <f t="shared" si="47"/>
        <v>3568.2677419352694</v>
      </c>
      <c r="J27" s="35">
        <v>5048049.2</v>
      </c>
      <c r="K27" s="75">
        <f t="shared" si="36"/>
        <v>967.20000000018626</v>
      </c>
      <c r="L27" s="9">
        <v>479360.315789518</v>
      </c>
      <c r="M27" s="75">
        <f t="shared" si="37"/>
        <v>15</v>
      </c>
      <c r="N27" s="9">
        <v>161748.43548387097</v>
      </c>
      <c r="O27" s="75">
        <f t="shared" si="38"/>
        <v>68.37741935485974</v>
      </c>
      <c r="P27" s="35">
        <v>45542.970967741945</v>
      </c>
      <c r="Q27" s="75">
        <f t="shared" si="39"/>
        <v>111.15483870968455</v>
      </c>
      <c r="R27" s="94">
        <f t="shared" si="20"/>
        <v>46107</v>
      </c>
      <c r="S27" s="87">
        <v>9863</v>
      </c>
      <c r="T27" s="89"/>
      <c r="U27" s="75">
        <f t="shared" si="15"/>
        <v>194</v>
      </c>
      <c r="V27" s="11">
        <v>0.75</v>
      </c>
      <c r="W27" s="26">
        <v>0.75</v>
      </c>
      <c r="X27" s="96">
        <f>IF(OR(V27="", W27=""), "", (V27 * 2500) + (W27 * 2500))</f>
        <v>3750</v>
      </c>
      <c r="Y27" s="84"/>
      <c r="Z27" s="75">
        <f t="shared" si="17"/>
        <v>25</v>
      </c>
      <c r="AA27" s="28">
        <v>139725</v>
      </c>
      <c r="AB27" s="75">
        <f t="shared" si="40"/>
        <v>50</v>
      </c>
      <c r="AC27" s="28">
        <v>4425.3999999999996</v>
      </c>
      <c r="AD27" s="75">
        <f t="shared" si="41"/>
        <v>7.2000000000007276</v>
      </c>
      <c r="AE27" s="30">
        <v>73262</v>
      </c>
      <c r="AF27" s="75">
        <f t="shared" si="42"/>
        <v>2</v>
      </c>
      <c r="AG27" s="33">
        <v>3100</v>
      </c>
      <c r="AH27" s="71"/>
      <c r="AI27" s="75" t="str">
        <f t="shared" si="43"/>
        <v/>
      </c>
      <c r="AJ27" s="8">
        <v>70</v>
      </c>
      <c r="AK27" s="13">
        <v>93</v>
      </c>
    </row>
    <row r="28" spans="1:37" x14ac:dyDescent="0.2">
      <c r="A28" s="94">
        <f t="shared" si="12"/>
        <v>46108</v>
      </c>
      <c r="B28" s="6">
        <v>33939042</v>
      </c>
      <c r="C28" s="75">
        <f t="shared" si="35"/>
        <v>3601</v>
      </c>
      <c r="D28" s="20">
        <v>1671686</v>
      </c>
      <c r="E28" s="75">
        <f t="shared" ref="E28" si="78">IF(OR(D29="", D28=""), "", D29 - D28)</f>
        <v>180</v>
      </c>
      <c r="F28" s="20">
        <v>208353</v>
      </c>
      <c r="G28" s="75">
        <f t="shared" ref="G28" si="79">IF(OR(F29="", F28=""), "", F29 - F28)</f>
        <v>0</v>
      </c>
      <c r="H28" s="79">
        <f t="shared" si="46"/>
        <v>3781</v>
      </c>
      <c r="I28" s="80">
        <f t="shared" si="47"/>
        <v>2654.4677419354921</v>
      </c>
      <c r="J28" s="35">
        <v>5049016.4000000004</v>
      </c>
      <c r="K28" s="75">
        <f t="shared" si="36"/>
        <v>932</v>
      </c>
      <c r="L28" s="9">
        <v>479375.315789518</v>
      </c>
      <c r="M28" s="75">
        <f t="shared" si="37"/>
        <v>15</v>
      </c>
      <c r="N28" s="9">
        <v>161816.81290322583</v>
      </c>
      <c r="O28" s="75">
        <f t="shared" si="38"/>
        <v>68.377419354830636</v>
      </c>
      <c r="P28" s="35">
        <v>45654.12580645163</v>
      </c>
      <c r="Q28" s="75">
        <f t="shared" si="39"/>
        <v>111.15483870967728</v>
      </c>
      <c r="R28" s="94">
        <f t="shared" si="20"/>
        <v>46108</v>
      </c>
      <c r="S28" s="87">
        <v>9669</v>
      </c>
      <c r="T28" s="89"/>
      <c r="U28" s="75">
        <f t="shared" si="15"/>
        <v>196</v>
      </c>
      <c r="V28" s="11">
        <v>0.75</v>
      </c>
      <c r="W28" s="26">
        <v>0.74</v>
      </c>
      <c r="X28" s="96">
        <f t="shared" si="16"/>
        <v>3725</v>
      </c>
      <c r="Y28" s="84"/>
      <c r="Z28" s="75">
        <f t="shared" si="17"/>
        <v>100</v>
      </c>
      <c r="AA28" s="28">
        <v>139775</v>
      </c>
      <c r="AB28" s="75">
        <f t="shared" si="40"/>
        <v>42</v>
      </c>
      <c r="AC28" s="28">
        <v>4432.6000000000004</v>
      </c>
      <c r="AD28" s="75">
        <f t="shared" si="41"/>
        <v>6.7999999999992724</v>
      </c>
      <c r="AE28" s="30">
        <v>73264</v>
      </c>
      <c r="AF28" s="75">
        <f t="shared" si="42"/>
        <v>0</v>
      </c>
      <c r="AG28" s="33">
        <v>3100</v>
      </c>
      <c r="AH28" s="71">
        <v>-3100</v>
      </c>
      <c r="AI28" s="75" t="str">
        <f t="shared" si="43"/>
        <v/>
      </c>
      <c r="AJ28" s="8">
        <v>74</v>
      </c>
      <c r="AK28" s="13">
        <v>105</v>
      </c>
    </row>
    <row r="29" spans="1:37" x14ac:dyDescent="0.2">
      <c r="A29" s="94">
        <f t="shared" si="12"/>
        <v>46109</v>
      </c>
      <c r="B29" s="6">
        <v>33942643</v>
      </c>
      <c r="C29" s="75">
        <f t="shared" si="35"/>
        <v>3120</v>
      </c>
      <c r="D29" s="20">
        <v>1671866</v>
      </c>
      <c r="E29" s="75">
        <f t="shared" ref="E29" si="80">IF(OR(D30="", D29=""), "", D30 - D29)</f>
        <v>482</v>
      </c>
      <c r="F29" s="20">
        <v>208353</v>
      </c>
      <c r="G29" s="75">
        <f t="shared" ref="G29" si="81">IF(OR(F30="", F29=""), "", F30 - F29)</f>
        <v>39</v>
      </c>
      <c r="H29" s="79">
        <f t="shared" si="46"/>
        <v>3563</v>
      </c>
      <c r="I29" s="80">
        <f t="shared" si="47"/>
        <v>2610.8677419358646</v>
      </c>
      <c r="J29" s="35">
        <v>5049948.4000000004</v>
      </c>
      <c r="K29" s="75">
        <f t="shared" si="36"/>
        <v>757.59999999962747</v>
      </c>
      <c r="L29" s="9">
        <v>479390.315789518</v>
      </c>
      <c r="M29" s="75">
        <f t="shared" si="37"/>
        <v>15</v>
      </c>
      <c r="N29" s="9">
        <v>161885.19032258066</v>
      </c>
      <c r="O29" s="75">
        <f t="shared" si="38"/>
        <v>68.377419354830636</v>
      </c>
      <c r="P29" s="35">
        <v>45765.280645161307</v>
      </c>
      <c r="Q29" s="75">
        <f t="shared" si="39"/>
        <v>111.15483870967728</v>
      </c>
      <c r="R29" s="94">
        <f t="shared" si="20"/>
        <v>46109</v>
      </c>
      <c r="S29" s="87">
        <v>9473</v>
      </c>
      <c r="T29" s="89"/>
      <c r="U29" s="75">
        <f t="shared" si="15"/>
        <v>197</v>
      </c>
      <c r="V29" s="11">
        <v>0.73</v>
      </c>
      <c r="W29" s="26">
        <v>0.72</v>
      </c>
      <c r="X29" s="96">
        <f t="shared" si="16"/>
        <v>3625</v>
      </c>
      <c r="Y29" s="84"/>
      <c r="Z29" s="75">
        <f t="shared" si="17"/>
        <v>25</v>
      </c>
      <c r="AA29" s="28">
        <v>139817</v>
      </c>
      <c r="AB29" s="75">
        <f t="shared" si="40"/>
        <v>40</v>
      </c>
      <c r="AC29" s="28">
        <v>4439.3999999999996</v>
      </c>
      <c r="AD29" s="75">
        <f t="shared" si="41"/>
        <v>3.9000000000005457</v>
      </c>
      <c r="AE29" s="30">
        <v>73264</v>
      </c>
      <c r="AF29" s="75">
        <f t="shared" si="42"/>
        <v>0</v>
      </c>
      <c r="AG29" s="33">
        <v>0</v>
      </c>
      <c r="AH29" s="71"/>
      <c r="AI29" s="75" t="str">
        <f t="shared" si="43"/>
        <v/>
      </c>
      <c r="AJ29" s="8">
        <v>87</v>
      </c>
      <c r="AK29" s="13">
        <v>122</v>
      </c>
    </row>
    <row r="30" spans="1:37" x14ac:dyDescent="0.2">
      <c r="A30" s="94">
        <f t="shared" si="12"/>
        <v>46110</v>
      </c>
      <c r="B30" s="6">
        <v>33945763</v>
      </c>
      <c r="C30" s="75">
        <f t="shared" si="35"/>
        <v>3707</v>
      </c>
      <c r="D30" s="20">
        <v>1672348</v>
      </c>
      <c r="E30" s="75">
        <f t="shared" ref="E30" si="82">IF(OR(D31="", D30=""), "", D31 - D30)</f>
        <v>224</v>
      </c>
      <c r="F30" s="20">
        <v>208392</v>
      </c>
      <c r="G30" s="75">
        <f t="shared" ref="G30" si="83">IF(OR(F31="", F30=""), "", F31 - F30)</f>
        <v>1</v>
      </c>
      <c r="H30" s="79">
        <f t="shared" si="46"/>
        <v>3930</v>
      </c>
      <c r="I30" s="80">
        <f t="shared" si="47"/>
        <v>2679.4677419354921</v>
      </c>
      <c r="J30" s="35">
        <v>5050706</v>
      </c>
      <c r="K30" s="75">
        <f t="shared" si="36"/>
        <v>1056</v>
      </c>
      <c r="L30" s="9">
        <v>479405.315789518</v>
      </c>
      <c r="M30" s="75">
        <f t="shared" si="37"/>
        <v>15</v>
      </c>
      <c r="N30" s="9">
        <v>161953.56774193549</v>
      </c>
      <c r="O30" s="75">
        <f t="shared" si="38"/>
        <v>68.377419354830636</v>
      </c>
      <c r="P30" s="35">
        <v>45876.435483870984</v>
      </c>
      <c r="Q30" s="75">
        <f t="shared" si="39"/>
        <v>111.15483870967728</v>
      </c>
      <c r="R30" s="94">
        <f t="shared" si="20"/>
        <v>46110</v>
      </c>
      <c r="S30" s="87">
        <v>9276</v>
      </c>
      <c r="T30" s="89"/>
      <c r="U30" s="75">
        <f t="shared" si="15"/>
        <v>296</v>
      </c>
      <c r="V30" s="11">
        <v>0.7</v>
      </c>
      <c r="W30" s="26">
        <v>0.74</v>
      </c>
      <c r="X30" s="96">
        <f t="shared" si="16"/>
        <v>3600</v>
      </c>
      <c r="Y30" s="84"/>
      <c r="Z30" s="75">
        <f t="shared" si="17"/>
        <v>175</v>
      </c>
      <c r="AA30" s="28">
        <v>139857</v>
      </c>
      <c r="AB30" s="75">
        <f t="shared" si="40"/>
        <v>42</v>
      </c>
      <c r="AC30" s="28">
        <v>4443.3</v>
      </c>
      <c r="AD30" s="75">
        <f t="shared" si="41"/>
        <v>13.399999999999636</v>
      </c>
      <c r="AE30" s="30">
        <v>73264</v>
      </c>
      <c r="AF30" s="75">
        <f t="shared" si="42"/>
        <v>0</v>
      </c>
      <c r="AG30" s="33">
        <v>0</v>
      </c>
      <c r="AH30" s="71"/>
      <c r="AI30" s="75" t="str">
        <f t="shared" si="43"/>
        <v/>
      </c>
      <c r="AJ30" s="8">
        <v>97</v>
      </c>
      <c r="AK30" s="13">
        <v>132</v>
      </c>
    </row>
    <row r="31" spans="1:37" x14ac:dyDescent="0.2">
      <c r="A31" s="94">
        <f t="shared" si="12"/>
        <v>46111</v>
      </c>
      <c r="B31" s="6">
        <v>33949470</v>
      </c>
      <c r="C31" s="75">
        <f t="shared" si="35"/>
        <v>3403</v>
      </c>
      <c r="D31" s="20">
        <v>1672572</v>
      </c>
      <c r="E31" s="75">
        <f t="shared" ref="E31" si="84">IF(OR(D32="", D31=""), "", D32 - D31)</f>
        <v>328</v>
      </c>
      <c r="F31" s="20">
        <v>208393</v>
      </c>
      <c r="G31" s="75">
        <f t="shared" ref="G31" si="85">IF(OR(F32="", F31=""), "", F32 - F31)</f>
        <v>11</v>
      </c>
      <c r="H31" s="79">
        <f t="shared" si="46"/>
        <v>3720</v>
      </c>
      <c r="I31" s="80">
        <f t="shared" si="47"/>
        <v>2734.2677419352767</v>
      </c>
      <c r="J31" s="86">
        <v>5051762</v>
      </c>
      <c r="K31" s="75">
        <f t="shared" si="36"/>
        <v>791.20000000018626</v>
      </c>
      <c r="L31" s="9">
        <v>479420.315789518</v>
      </c>
      <c r="M31" s="75">
        <f t="shared" si="37"/>
        <v>15</v>
      </c>
      <c r="N31" s="9">
        <v>162021.94516129032</v>
      </c>
      <c r="O31" s="75">
        <f t="shared" si="38"/>
        <v>68.37741935485974</v>
      </c>
      <c r="P31" s="35">
        <v>45987.590322580661</v>
      </c>
      <c r="Q31" s="75">
        <f t="shared" si="39"/>
        <v>111.15483870967728</v>
      </c>
      <c r="R31" s="94">
        <f t="shared" si="20"/>
        <v>46111</v>
      </c>
      <c r="S31" s="87">
        <v>8980</v>
      </c>
      <c r="T31" s="89"/>
      <c r="U31" s="75">
        <f t="shared" si="15"/>
        <v>199</v>
      </c>
      <c r="V31" s="11">
        <v>0.7</v>
      </c>
      <c r="W31" s="26">
        <v>0.67</v>
      </c>
      <c r="X31" s="96">
        <f t="shared" si="16"/>
        <v>3425</v>
      </c>
      <c r="Y31" s="84">
        <v>741.31</v>
      </c>
      <c r="Z31" s="75">
        <f t="shared" si="17"/>
        <v>116.30999999999949</v>
      </c>
      <c r="AA31" s="28">
        <v>139899</v>
      </c>
      <c r="AB31" s="75">
        <f t="shared" si="40"/>
        <v>62</v>
      </c>
      <c r="AC31" s="28">
        <v>4456.7</v>
      </c>
      <c r="AD31" s="75">
        <f t="shared" si="41"/>
        <v>4.9000000000005457</v>
      </c>
      <c r="AE31" s="30">
        <v>73264</v>
      </c>
      <c r="AF31" s="75">
        <f t="shared" si="42"/>
        <v>0</v>
      </c>
      <c r="AG31" s="33">
        <v>0</v>
      </c>
      <c r="AH31" s="71"/>
      <c r="AI31" s="75" t="str">
        <f t="shared" si="43"/>
        <v/>
      </c>
      <c r="AJ31" s="8">
        <v>103</v>
      </c>
      <c r="AK31" s="13">
        <v>137</v>
      </c>
    </row>
    <row r="32" spans="1:37" x14ac:dyDescent="0.2">
      <c r="A32" s="94">
        <f t="shared" si="12"/>
        <v>46112</v>
      </c>
      <c r="B32" s="6">
        <v>33952873</v>
      </c>
      <c r="C32" s="75">
        <f t="shared" si="35"/>
        <v>3502</v>
      </c>
      <c r="D32" s="20">
        <v>1672900</v>
      </c>
      <c r="E32" s="75">
        <f t="shared" ref="E32" si="86">IF(OR(D33="", D32=""), "", D33 - D32)</f>
        <v>468</v>
      </c>
      <c r="F32" s="20">
        <v>208404</v>
      </c>
      <c r="G32" s="75">
        <f t="shared" ref="G32" si="87">IF(OR(F33="", F32=""), "", F33 - F32)</f>
        <v>15</v>
      </c>
      <c r="H32" s="79">
        <f t="shared" si="46"/>
        <v>3955</v>
      </c>
      <c r="I32" s="80">
        <f t="shared" si="47"/>
        <v>2852.4677419354921</v>
      </c>
      <c r="J32" s="86">
        <v>5052553.2</v>
      </c>
      <c r="K32" s="75">
        <f t="shared" si="36"/>
        <v>908</v>
      </c>
      <c r="L32" s="9">
        <v>479435.315789518</v>
      </c>
      <c r="M32" s="75">
        <f t="shared" si="37"/>
        <v>15</v>
      </c>
      <c r="N32" s="9">
        <v>162090.32258064518</v>
      </c>
      <c r="O32" s="75">
        <f t="shared" si="38"/>
        <v>68.377419354830636</v>
      </c>
      <c r="P32" s="35">
        <v>46098.745161290339</v>
      </c>
      <c r="Q32" s="75">
        <f t="shared" si="39"/>
        <v>111.15483870967728</v>
      </c>
      <c r="R32" s="94">
        <f t="shared" si="20"/>
        <v>46112</v>
      </c>
      <c r="S32" s="87">
        <v>8781</v>
      </c>
      <c r="T32" s="89"/>
      <c r="U32" s="75">
        <f t="shared" si="15"/>
        <v>200</v>
      </c>
      <c r="V32" s="11">
        <v>0.82</v>
      </c>
      <c r="W32" s="26">
        <v>0.8</v>
      </c>
      <c r="X32" s="96">
        <f t="shared" si="16"/>
        <v>4050</v>
      </c>
      <c r="Y32" s="84"/>
      <c r="Z32" s="75">
        <f t="shared" si="17"/>
        <v>575</v>
      </c>
      <c r="AA32" s="28">
        <v>139961</v>
      </c>
      <c r="AB32" s="75">
        <f t="shared" si="40"/>
        <v>44</v>
      </c>
      <c r="AC32" s="28">
        <v>4461.6000000000004</v>
      </c>
      <c r="AD32" s="75">
        <f t="shared" si="41"/>
        <v>3.5999999999994543</v>
      </c>
      <c r="AE32" s="30">
        <v>73264</v>
      </c>
      <c r="AF32" s="75">
        <f t="shared" si="42"/>
        <v>35</v>
      </c>
      <c r="AG32" s="33">
        <v>0</v>
      </c>
      <c r="AH32" s="71"/>
      <c r="AI32" s="75" t="str">
        <f t="shared" si="43"/>
        <v/>
      </c>
      <c r="AJ32" s="8">
        <v>107</v>
      </c>
      <c r="AK32" s="13">
        <v>156</v>
      </c>
    </row>
    <row r="33" spans="1:37" x14ac:dyDescent="0.2">
      <c r="A33" s="94">
        <f t="shared" si="12"/>
        <v>46113</v>
      </c>
      <c r="B33" s="6">
        <v>33956375</v>
      </c>
      <c r="C33" s="75"/>
      <c r="D33" s="20">
        <v>1673368</v>
      </c>
      <c r="E33" s="75" t="str">
        <f t="shared" ref="E33" si="88">IF(OR(D34="", D33=""), "", D34 - D33)</f>
        <v/>
      </c>
      <c r="F33" s="20">
        <v>208419</v>
      </c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6">
        <v>5053461.2</v>
      </c>
      <c r="K33" s="75" t="str">
        <f t="shared" si="36"/>
        <v/>
      </c>
      <c r="L33" s="9">
        <v>479450.315789518</v>
      </c>
      <c r="M33" s="75" t="str">
        <f t="shared" si="37"/>
        <v/>
      </c>
      <c r="N33" s="9">
        <v>162158.70000000001</v>
      </c>
      <c r="O33" s="75" t="str">
        <f t="shared" si="38"/>
        <v/>
      </c>
      <c r="P33" s="35">
        <v>46209.900000000016</v>
      </c>
      <c r="Q33" s="75" t="str">
        <f t="shared" si="39"/>
        <v/>
      </c>
      <c r="R33" s="94">
        <f>A33</f>
        <v>46113</v>
      </c>
      <c r="S33" s="87">
        <v>8581</v>
      </c>
      <c r="T33" s="89"/>
      <c r="U33" s="75" t="str">
        <f t="shared" si="15"/>
        <v/>
      </c>
      <c r="V33" s="11">
        <v>0.69</v>
      </c>
      <c r="W33" s="26">
        <v>0.7</v>
      </c>
      <c r="X33" s="96">
        <f t="shared" si="16"/>
        <v>3475</v>
      </c>
      <c r="Y33" s="84"/>
      <c r="Z33" s="75" t="str">
        <f t="shared" si="17"/>
        <v/>
      </c>
      <c r="AA33" s="28">
        <v>140005</v>
      </c>
      <c r="AB33" s="75" t="str">
        <f t="shared" si="40"/>
        <v/>
      </c>
      <c r="AC33" s="28">
        <v>4465.2</v>
      </c>
      <c r="AD33" s="75" t="str">
        <f t="shared" si="41"/>
        <v/>
      </c>
      <c r="AE33" s="30">
        <v>73299</v>
      </c>
      <c r="AF33" s="75" t="str">
        <f t="shared" si="42"/>
        <v/>
      </c>
      <c r="AG33" s="33">
        <v>0</v>
      </c>
      <c r="AH33" s="71"/>
      <c r="AI33" s="75" t="str">
        <f t="shared" si="43"/>
        <v/>
      </c>
      <c r="AJ33" s="8"/>
      <c r="AK33" s="13"/>
    </row>
    <row r="34" spans="1:37" s="69" customFormat="1" x14ac:dyDescent="0.15">
      <c r="A34" s="67"/>
      <c r="B34" s="67"/>
      <c r="C34" s="97">
        <f>SUM(C2:C33)</f>
        <v>102273</v>
      </c>
      <c r="D34" s="68"/>
      <c r="E34" s="97">
        <f>SUM(E2:E33)</f>
        <v>17739</v>
      </c>
      <c r="F34" s="91"/>
      <c r="G34" s="99">
        <f>SUM(G2:G33)</f>
        <v>2529</v>
      </c>
      <c r="H34" s="100">
        <f>SUM(H2:H33)</f>
        <v>117483</v>
      </c>
      <c r="I34" s="101">
        <f>SUM(I2:I32)</f>
        <v>83013.700000000128</v>
      </c>
      <c r="J34" s="91"/>
      <c r="K34" s="98">
        <f>SUM(K2:K33)</f>
        <v>28438.799999999814</v>
      </c>
      <c r="L34" s="9"/>
      <c r="M34" s="98">
        <f>SUM(M2:M33)</f>
        <v>465</v>
      </c>
      <c r="N34" s="9"/>
      <c r="O34" s="98">
        <f>SUM(O2:O33)</f>
        <v>2119.7000000000116</v>
      </c>
      <c r="P34" s="35"/>
      <c r="Q34" s="102">
        <f>SUM(Q2:Q33)</f>
        <v>3445.8000000000175</v>
      </c>
      <c r="R34" s="68"/>
      <c r="S34" s="68"/>
      <c r="T34" s="68"/>
      <c r="U34" s="92">
        <f>SUM(U2:U33)</f>
        <v>6996</v>
      </c>
      <c r="V34" s="68"/>
      <c r="W34" s="68"/>
      <c r="X34" s="68" t="str">
        <f t="shared" si="16"/>
        <v/>
      </c>
      <c r="Y34" s="103">
        <f>SUM(Y2:Y33)</f>
        <v>8870.77</v>
      </c>
      <c r="Z34" s="104">
        <f>SUM(Z2:Z33)</f>
        <v>8745.77</v>
      </c>
      <c r="AA34" s="68"/>
      <c r="AB34" s="93">
        <f>SUM(AB2:AB33)</f>
        <v>1351</v>
      </c>
      <c r="AC34" s="91"/>
      <c r="AD34" s="93">
        <f>SUM(AD2:AD33)</f>
        <v>192</v>
      </c>
      <c r="AE34" s="68"/>
      <c r="AF34" s="93">
        <f>SUM(AF2:AF33)</f>
        <v>272</v>
      </c>
      <c r="AG34" s="68"/>
      <c r="AH34" s="105">
        <f>SUM(AH2:AH33)</f>
        <v>-3100</v>
      </c>
      <c r="AI34" s="106">
        <f>SUM(AI2:AI33)</f>
        <v>0</v>
      </c>
      <c r="AJ34" s="107">
        <f>SUM(AJ2:AJ33)</f>
        <v>2121</v>
      </c>
      <c r="AK34" s="108">
        <f>SUM(AK2:AK33)</f>
        <v>3631</v>
      </c>
    </row>
    <row r="35" spans="1:37" x14ac:dyDescent="0.2">
      <c r="B35" s="109"/>
      <c r="D35" s="109"/>
      <c r="F35" s="109"/>
      <c r="J35" s="109"/>
      <c r="L35" s="1"/>
      <c r="N35" s="1"/>
      <c r="P35" s="1"/>
      <c r="S35" s="109"/>
      <c r="AA35" s="109"/>
      <c r="AC35" s="109"/>
    </row>
    <row r="36" spans="1:37" x14ac:dyDescent="0.2">
      <c r="D36"/>
      <c r="F36"/>
      <c r="J36"/>
      <c r="L36" s="1"/>
      <c r="N36" s="1"/>
      <c r="P36" s="1"/>
      <c r="S36"/>
      <c r="AC36"/>
    </row>
    <row r="37" spans="1:37" x14ac:dyDescent="0.2">
      <c r="B37" s="109"/>
      <c r="D37" s="109"/>
      <c r="F37" s="109"/>
      <c r="J37" s="109"/>
      <c r="L37" s="1"/>
      <c r="N37" s="1"/>
      <c r="P37" s="1"/>
      <c r="S37" s="109"/>
      <c r="AA37" s="109"/>
      <c r="AC37" s="109"/>
    </row>
    <row r="38" spans="1:37" x14ac:dyDescent="0.2">
      <c r="D38" s="3"/>
      <c r="L38" s="1"/>
      <c r="N38" s="1"/>
      <c r="P38" s="1"/>
      <c r="S38" s="4"/>
      <c r="AA38" s="4"/>
    </row>
    <row r="39" spans="1:37" x14ac:dyDescent="0.2">
      <c r="B39" s="109"/>
      <c r="D39" s="109"/>
      <c r="F39" s="109"/>
      <c r="J39" s="109"/>
      <c r="L39" s="1"/>
      <c r="N39" s="1"/>
      <c r="P39" s="1"/>
      <c r="S39" s="109"/>
      <c r="AA39" s="109"/>
      <c r="AC39" s="109"/>
    </row>
    <row r="40" spans="1:37" x14ac:dyDescent="0.2">
      <c r="D40"/>
      <c r="F40"/>
      <c r="J40"/>
      <c r="L40" s="1"/>
      <c r="N40" s="1"/>
      <c r="P40" s="1"/>
      <c r="S40"/>
      <c r="AC40"/>
    </row>
    <row r="41" spans="1:37" x14ac:dyDescent="0.2">
      <c r="B41" s="109"/>
      <c r="D41" s="109"/>
      <c r="F41" s="109"/>
      <c r="J41" s="109"/>
      <c r="S41" s="109"/>
      <c r="AA41" s="109"/>
      <c r="AC41" s="109"/>
    </row>
    <row r="42" spans="1:37" x14ac:dyDescent="0.2">
      <c r="B42" s="109"/>
      <c r="D42" s="109"/>
      <c r="F42" s="109"/>
      <c r="J42" s="109"/>
      <c r="S42" s="109"/>
      <c r="AA42" s="109"/>
      <c r="AC42" s="109"/>
    </row>
    <row r="43" spans="1:37" x14ac:dyDescent="0.2">
      <c r="D43" s="3"/>
      <c r="S43" s="4"/>
      <c r="AA43" s="4"/>
    </row>
    <row r="44" spans="1:37" x14ac:dyDescent="0.2">
      <c r="D44" s="3"/>
      <c r="S44" s="4"/>
      <c r="AA44" s="4"/>
    </row>
    <row r="45" spans="1:37" x14ac:dyDescent="0.2">
      <c r="B45" s="109"/>
      <c r="D45" s="109"/>
      <c r="F45" s="109"/>
      <c r="J45" s="109"/>
      <c r="S45" s="109"/>
      <c r="AA45" s="109"/>
      <c r="AC45" s="109"/>
    </row>
    <row r="46" spans="1:37" x14ac:dyDescent="0.2">
      <c r="D46"/>
      <c r="F46"/>
      <c r="J46"/>
      <c r="S46"/>
      <c r="AC46"/>
    </row>
    <row r="47" spans="1:37" x14ac:dyDescent="0.2">
      <c r="B47" s="109"/>
      <c r="D47" s="109"/>
      <c r="F47" s="109"/>
      <c r="J47" s="109"/>
      <c r="S47" s="109"/>
      <c r="AA47" s="109"/>
      <c r="AC47" s="109"/>
    </row>
    <row r="48" spans="1:37" x14ac:dyDescent="0.2">
      <c r="B48" s="109"/>
      <c r="D48" s="109"/>
      <c r="F48" s="109"/>
      <c r="J48" s="109"/>
      <c r="S48" s="109"/>
      <c r="AA48" s="109"/>
      <c r="AC48" s="109"/>
    </row>
    <row r="49" spans="2:29" x14ac:dyDescent="0.2">
      <c r="D49" s="3"/>
      <c r="S49" s="4"/>
      <c r="AA49" s="4"/>
    </row>
    <row r="50" spans="2:29" x14ac:dyDescent="0.2">
      <c r="B50" s="109"/>
      <c r="D50" s="109"/>
      <c r="F50" s="109"/>
      <c r="J50" s="109"/>
      <c r="S50" s="109"/>
      <c r="AA50" s="109"/>
      <c r="AC50" s="109"/>
    </row>
    <row r="51" spans="2:29" x14ac:dyDescent="0.2">
      <c r="D51"/>
      <c r="F51"/>
      <c r="J51"/>
      <c r="S51"/>
      <c r="AC51"/>
    </row>
    <row r="52" spans="2:29" x14ac:dyDescent="0.2">
      <c r="B52" s="109"/>
      <c r="D52" s="109"/>
      <c r="F52" s="109"/>
      <c r="J52" s="109"/>
      <c r="S52" s="109"/>
      <c r="AA52" s="109"/>
      <c r="AC52" s="109"/>
    </row>
    <row r="53" spans="2:29" x14ac:dyDescent="0.2">
      <c r="B53" s="109"/>
      <c r="D53" s="109"/>
      <c r="F53" s="109"/>
      <c r="J53" s="109"/>
      <c r="S53" s="109"/>
      <c r="AA53" s="109"/>
      <c r="AC53" s="109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www.w3.org/XML/1998/namespace"/>
    <ds:schemaRef ds:uri="http://schemas.microsoft.com/office/2006/metadata/properties"/>
    <ds:schemaRef ds:uri="http://purl.org/dc/elements/1.1/"/>
    <ds:schemaRef ds:uri="9b835c19-aa84-4d4c-b4cd-8a6195c383ec"/>
    <ds:schemaRef ds:uri="http://purl.org/dc/dcmitype/"/>
    <ds:schemaRef ds:uri="269db80e-9c6b-4e01-ae27-848f863719c9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2026-02-02T07:11:54Z</cp:lastPrinted>
  <dcterms:created xsi:type="dcterms:W3CDTF">2016-09-19T10:41:46Z</dcterms:created>
  <dcterms:modified xsi:type="dcterms:W3CDTF">2026-04-02T07:11:14Z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