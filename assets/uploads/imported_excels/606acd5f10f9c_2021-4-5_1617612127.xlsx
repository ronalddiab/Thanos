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H6" i="3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AD34" i="76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AC29"/>
  <c r="AC33" s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B31"/>
  <c r="A3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R7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T4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G6" i="5"/>
  <c r="G7" s="1"/>
  <c r="G8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10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10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9" i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7" i="3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S31"/>
  <c r="U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F7" s="1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4" l="1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H9" i="65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C34" i="76" l="1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G12" i="2" l="1"/>
  <c r="AF12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5" i="2" l="1"/>
  <c r="H14" i="65"/>
  <c r="B4" i="63"/>
  <c r="AG13" i="2"/>
  <c r="AF13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F14" i="2" l="1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H18" i="65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G17" i="2" l="1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7" i="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9" l="1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B23" l="1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B25" i="63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G27" i="2" l="1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B26" i="63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G28" l="1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BC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B33" s="1"/>
  <c r="AA29"/>
  <c r="D10" i="77" l="1"/>
  <c r="AB35" i="76"/>
  <c r="R43" i="74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3"/>
  <c r="O26" l="1"/>
  <c r="O27" s="1"/>
  <c r="O28" s="1"/>
  <c r="O29" s="1"/>
  <c r="O30" s="1"/>
  <c r="O31" s="1"/>
  <c r="O32" s="1"/>
  <c r="O33" s="1"/>
  <c r="O34" s="1"/>
  <c r="O25"/>
  <c r="G34" i="65" l="1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AV15" i="7" l="1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P16" l="1"/>
  <c r="R16" s="1"/>
  <c r="T16" s="1"/>
  <c r="F14" i="81" s="1"/>
  <c r="P6" i="7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3" i="76"/>
  <c r="R13" s="1"/>
  <c r="T13" s="1"/>
  <c r="F11" i="81" s="1"/>
  <c r="P15" i="76"/>
  <c r="R15" s="1"/>
  <c r="T15" s="1"/>
  <c r="F13" i="81" s="1"/>
  <c r="P33" i="76"/>
  <c r="R33" s="1"/>
  <c r="T33" s="1"/>
  <c r="F31" i="81" s="1"/>
  <c r="P12" i="76"/>
  <c r="R12" s="1"/>
  <c r="T12" s="1"/>
  <c r="F10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32" i="76"/>
  <c r="R32" s="1"/>
  <c r="T32" s="1"/>
  <c r="F30" i="81" s="1"/>
  <c r="P4" i="76"/>
  <c r="R4" s="1"/>
  <c r="T4" s="1"/>
  <c r="F2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6" i="76"/>
  <c r="R26" s="1"/>
  <c r="T26" s="1"/>
  <c r="F24" i="81" s="1"/>
  <c r="P27" i="76"/>
  <c r="R27" s="1"/>
  <c r="T27" s="1"/>
  <c r="F25" i="81" s="1"/>
  <c r="P31" i="76"/>
  <c r="R31" s="1"/>
  <c r="T31" s="1"/>
  <c r="P28"/>
  <c r="R28" s="1"/>
  <c r="T28" s="1"/>
  <c r="F26" i="81" s="1"/>
  <c r="P21" i="76"/>
  <c r="R21" s="1"/>
  <c r="T21" s="1"/>
  <c r="F19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30" i="76"/>
  <c r="R30" s="1"/>
  <c r="T30" s="1"/>
  <c r="F28" i="81" s="1"/>
  <c r="P20" i="76"/>
  <c r="R20" s="1"/>
  <c r="T20" s="1"/>
  <c r="F18" i="81" s="1"/>
  <c r="AB37" i="76" l="1"/>
  <c r="E10" i="77"/>
  <c r="G10" s="1"/>
  <c r="F29" i="81"/>
  <c r="F10" i="77" l="1"/>
  <c r="F12" s="1"/>
  <c r="G12"/>
  <c r="E12"/>
  <c r="H14" l="1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A17" s="1"/>
  <c r="AC17" s="1"/>
  <c r="AH17" s="1"/>
  <c r="AB24"/>
  <c r="U24"/>
  <c r="AA24" s="1"/>
  <c r="AC24" s="1"/>
  <c r="AH24" s="1"/>
  <c r="AA28" l="1"/>
  <c r="AC28" s="1"/>
  <c r="AH28" s="1"/>
  <c r="AB28"/>
  <c r="U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<sst xmlns="http://schemas.openxmlformats.org/spreadsheetml/2006/main" count="648" uniqueCount="417">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</sst>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7499008"/>
        <c:axId val="137500544"/>
      </c:lineChart>
      <c:catAx>
        <c:axId val="13749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00544"/>
        <c:crosses val="autoZero"/>
        <c:auto val="1"/>
        <c:lblAlgn val="ctr"/>
        <c:lblOffset val="100"/>
      </c:catAx>
      <c:valAx>
        <c:axId val="137500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9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512832"/>
        <c:axId val="137514368"/>
      </c:lineChart>
      <c:catAx>
        <c:axId val="13751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4368"/>
        <c:crosses val="autoZero"/>
        <c:auto val="1"/>
        <c:lblAlgn val="ctr"/>
        <c:lblOffset val="100"/>
      </c:catAx>
      <c:valAx>
        <c:axId val="13751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03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546752"/>
        <c:axId val="137552640"/>
      </c:lineChart>
      <c:catAx>
        <c:axId val="1375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52640"/>
        <c:crosses val="autoZero"/>
        <c:auto val="1"/>
        <c:lblAlgn val="ctr"/>
        <c:lblOffset val="100"/>
      </c:catAx>
      <c:valAx>
        <c:axId val="1375526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3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589120"/>
        <c:axId val="137590656"/>
      </c:lineChart>
      <c:catAx>
        <c:axId val="13758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90656"/>
        <c:crosses val="autoZero"/>
        <c:auto val="1"/>
        <c:lblAlgn val="ctr"/>
        <c:lblOffset val="100"/>
      </c:catAx>
      <c:valAx>
        <c:axId val="137590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8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26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610752"/>
        <c:axId val="137612288"/>
      </c:lineChart>
      <c:catAx>
        <c:axId val="13761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12288"/>
        <c:crosses val="autoZero"/>
        <c:auto val="1"/>
        <c:lblAlgn val="ctr"/>
        <c:lblOffset val="100"/>
      </c:catAx>
      <c:valAx>
        <c:axId val="137612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1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23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-23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6328704"/>
        <c:axId val="246330496"/>
      </c:lineChart>
      <c:catAx>
        <c:axId val="2463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330496"/>
        <c:crosses val="autoZero"/>
        <c:auto val="1"/>
        <c:lblAlgn val="ctr"/>
        <c:lblOffset val="100"/>
      </c:catAx>
      <c:valAx>
        <c:axId val="24633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3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6366592"/>
        <c:axId val="246368128"/>
      </c:lineChart>
      <c:catAx>
        <c:axId val="2463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368128"/>
        <c:crosses val="autoZero"/>
        <c:auto val="1"/>
        <c:lblAlgn val="ctr"/>
        <c:lblOffset val="100"/>
      </c:catAx>
      <c:valAx>
        <c:axId val="24636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3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6384128"/>
        <c:axId val="246385664"/>
      </c:lineChart>
      <c:catAx>
        <c:axId val="24638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385664"/>
        <c:crosses val="autoZero"/>
        <c:auto val="1"/>
        <c:lblAlgn val="ctr"/>
        <c:lblOffset val="100"/>
      </c:catAx>
      <c:valAx>
        <c:axId val="24638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38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6401664"/>
        <c:axId val="102314368"/>
      </c:lineChart>
      <c:catAx>
        <c:axId val="24640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14368"/>
        <c:crosses val="autoZero"/>
        <c:auto val="1"/>
        <c:lblAlgn val="ctr"/>
        <c:lblOffset val="100"/>
      </c:catAx>
      <c:valAx>
        <c:axId val="102314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40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76"/>
          <c:w val="0.1272403315177414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330368"/>
        <c:axId val="102331904"/>
      </c:lineChart>
      <c:catAx>
        <c:axId val="10233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31904"/>
        <c:crosses val="autoZero"/>
        <c:auto val="1"/>
        <c:lblAlgn val="ctr"/>
        <c:lblOffset val="100"/>
      </c:catAx>
      <c:valAx>
        <c:axId val="10233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3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246043776"/>
        <c:axId val="246045312"/>
      </c:lineChart>
      <c:catAx>
        <c:axId val="2460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045312"/>
        <c:crosses val="autoZero"/>
        <c:auto val="1"/>
        <c:lblAlgn val="ctr"/>
        <c:lblOffset val="100"/>
      </c:catAx>
      <c:valAx>
        <c:axId val="24604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0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76"/>
          <c:w val="0.135416885389357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064704"/>
        <c:axId val="105082880"/>
      </c:lineChart>
      <c:catAx>
        <c:axId val="1050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82880"/>
        <c:crosses val="autoZero"/>
        <c:auto val="1"/>
        <c:lblAlgn val="ctr"/>
        <c:lblOffset val="100"/>
      </c:catAx>
      <c:valAx>
        <c:axId val="105082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7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9996416"/>
        <c:axId val="119997952"/>
      </c:lineChart>
      <c:catAx>
        <c:axId val="11999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7952"/>
        <c:crosses val="autoZero"/>
        <c:auto val="1"/>
        <c:lblAlgn val="ctr"/>
        <c:lblOffset val="100"/>
      </c:catAx>
      <c:valAx>
        <c:axId val="119997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026240"/>
        <c:axId val="120027776"/>
      </c:lineChart>
      <c:catAx>
        <c:axId val="12002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7776"/>
        <c:crosses val="autoZero"/>
        <c:auto val="1"/>
        <c:lblAlgn val="ctr"/>
        <c:lblOffset val="100"/>
      </c:catAx>
      <c:valAx>
        <c:axId val="12002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76"/>
          <c:w val="0.135416885389357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0060160"/>
        <c:axId val="125968384"/>
      </c:lineChart>
      <c:catAx>
        <c:axId val="12006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68384"/>
        <c:crosses val="autoZero"/>
        <c:auto val="1"/>
        <c:lblAlgn val="ctr"/>
        <c:lblOffset val="100"/>
      </c:catAx>
      <c:valAx>
        <c:axId val="125968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6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03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5975936"/>
        <c:axId val="125998208"/>
      </c:lineChart>
      <c:catAx>
        <c:axId val="1259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98208"/>
        <c:crosses val="autoZero"/>
        <c:auto val="1"/>
        <c:lblAlgn val="ctr"/>
        <c:lblOffset val="100"/>
      </c:catAx>
      <c:valAx>
        <c:axId val="125998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7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86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-23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018688"/>
        <c:axId val="126020224"/>
      </c:lineChart>
      <c:catAx>
        <c:axId val="1260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20224"/>
        <c:crosses val="autoZero"/>
        <c:auto val="1"/>
        <c:lblAlgn val="ctr"/>
        <c:lblOffset val="100"/>
      </c:catAx>
      <c:valAx>
        <c:axId val="12602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052608"/>
        <c:axId val="126054400"/>
      </c:lineChart>
      <c:catAx>
        <c:axId val="12605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54400"/>
        <c:crosses val="autoZero"/>
        <c:auto val="1"/>
        <c:lblAlgn val="ctr"/>
        <c:lblOffset val="100"/>
      </c:catAx>
      <c:valAx>
        <c:axId val="1260544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5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7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066048"/>
        <c:axId val="126088320"/>
      </c:lineChart>
      <c:catAx>
        <c:axId val="12606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88320"/>
        <c:crosses val="autoZero"/>
        <c:auto val="1"/>
        <c:lblAlgn val="ctr"/>
        <c:lblOffset val="100"/>
      </c:catAx>
      <c:valAx>
        <c:axId val="126088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6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974464"/>
        <c:axId val="130976000"/>
      </c:lineChart>
      <c:catAx>
        <c:axId val="13097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76000"/>
        <c:crosses val="autoZero"/>
        <c:auto val="1"/>
        <c:lblAlgn val="ctr"/>
        <c:lblOffset val="100"/>
      </c:catAx>
      <c:valAx>
        <c:axId val="13097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7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6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996096"/>
        <c:axId val="130997632"/>
      </c:lineChart>
      <c:catAx>
        <c:axId val="13099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97632"/>
        <c:crosses val="autoZero"/>
        <c:auto val="1"/>
        <c:lblAlgn val="ctr"/>
        <c:lblOffset val="100"/>
      </c:catAx>
      <c:valAx>
        <c:axId val="13099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9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7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169280"/>
        <c:axId val="131171072"/>
      </c:lineChart>
      <c:catAx>
        <c:axId val="1311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71072"/>
        <c:crosses val="autoZero"/>
        <c:auto val="1"/>
        <c:lblAlgn val="ctr"/>
        <c:lblOffset val="100"/>
      </c:catAx>
      <c:valAx>
        <c:axId val="131171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262"/>
          <c:w val="0.1234311819809324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-450.9000000000002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5931008"/>
        <c:axId val="135932544"/>
      </c:lineChart>
      <c:catAx>
        <c:axId val="1359310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32544"/>
        <c:crosses val="autoZero"/>
        <c:auto val="1"/>
        <c:lblAlgn val="ctr"/>
        <c:lblOffset val="100"/>
      </c:catAx>
      <c:valAx>
        <c:axId val="1359325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3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626"/>
          <c:w val="0.1569039853282225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964544"/>
        <c:axId val="135966080"/>
      </c:lineChart>
      <c:catAx>
        <c:axId val="13596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66080"/>
        <c:crosses val="autoZero"/>
        <c:auto val="1"/>
        <c:lblAlgn val="ctr"/>
        <c:lblOffset val="100"/>
      </c:catAx>
      <c:valAx>
        <c:axId val="135966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6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195456"/>
        <c:axId val="136197248"/>
      </c:lineChart>
      <c:catAx>
        <c:axId val="13619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97248"/>
        <c:crosses val="autoZero"/>
        <c:auto val="1"/>
        <c:lblAlgn val="ctr"/>
        <c:lblOffset val="100"/>
      </c:catAx>
      <c:valAx>
        <c:axId val="13619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9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33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910016"/>
        <c:axId val="121911552"/>
      </c:lineChart>
      <c:catAx>
        <c:axId val="12191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11552"/>
        <c:crosses val="autoZero"/>
        <c:auto val="1"/>
        <c:lblAlgn val="ctr"/>
        <c:lblOffset val="100"/>
      </c:catAx>
      <c:valAx>
        <c:axId val="121911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522496"/>
        <c:axId val="128528384"/>
      </c:lineChart>
      <c:catAx>
        <c:axId val="1285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28384"/>
        <c:crosses val="autoZero"/>
        <c:auto val="1"/>
        <c:lblAlgn val="ctr"/>
        <c:lblOffset val="100"/>
      </c:catAx>
      <c:valAx>
        <c:axId val="12852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4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-450.9000000000002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7978624"/>
        <c:axId val="137980160"/>
      </c:lineChart>
      <c:catAx>
        <c:axId val="137978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0160"/>
        <c:crosses val="autoZero"/>
        <c:auto val="1"/>
        <c:lblAlgn val="ctr"/>
        <c:lblOffset val="100"/>
      </c:catAx>
      <c:valAx>
        <c:axId val="1379801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7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6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/>
      <sheetData sheetId="9"/>
      <sheetData sheetId="10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opLeftCell="A4"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0.15538441385299565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0.36806008153077746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0.33156820396105263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0.34438199720588486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0.96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0.96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0.96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 t="e">
        <f>SUM('EDl log'!#REF!)</f>
        <v>#REF!</v>
      </c>
      <c r="G29" s="203">
        <f>-tanks!AW33</f>
        <v>0</v>
      </c>
      <c r="H29" s="330">
        <f>SUM(tanks!AV33)</f>
        <v>0.96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opLeftCell="A17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opLeftCell="O1" zoomScale="85" zoomScaleNormal="85" zoomScaleSheetLayoutView="100" workbookViewId="0">
      <pane ySplit="1" topLeftCell="A2" activePane="bottomLeft" state="frozen"/>
      <selection activeCell="C1" sqref="C1"/>
      <selection pane="bottomLeft" activeCell="AF6" sqref="AF6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v>44286</v>
      </c>
      <c r="D2" s="536">
        <f>[3]ELEC!D33</f>
        <v>32737038</v>
      </c>
      <c r="E2" s="536">
        <f>[3]ELEC!E33</f>
        <v>3610</v>
      </c>
      <c r="F2" s="536">
        <f>[3]ELEC!F33</f>
        <v>3990693</v>
      </c>
      <c r="G2" s="536">
        <f>[3]ELEC!G33</f>
        <v>632</v>
      </c>
      <c r="H2" s="536">
        <f>[3]ELEC!H33</f>
        <v>17830854</v>
      </c>
      <c r="I2" s="536">
        <f>[3]ELEC!I33</f>
        <v>974</v>
      </c>
      <c r="J2" s="536">
        <f>[3]ELEC!J33</f>
        <v>28959514</v>
      </c>
      <c r="K2" s="536">
        <f>[3]ELEC!K33</f>
        <v>1686</v>
      </c>
      <c r="L2" s="536">
        <f>[3]ELEC!L33</f>
        <v>24121564</v>
      </c>
      <c r="M2" s="536">
        <f>[3]ELEC!M33</f>
        <v>4026</v>
      </c>
      <c r="N2" s="536">
        <f>[3]ELEC!N33</f>
        <v>10928</v>
      </c>
      <c r="O2" s="536">
        <f>[3]ELEC!O33</f>
        <v>0</v>
      </c>
      <c r="P2" s="536">
        <f>[3]ELEC!P33</f>
        <v>16834.842000000001</v>
      </c>
      <c r="Q2" s="536">
        <f>[3]ELEC!Q33</f>
        <v>9979.9999999995634</v>
      </c>
      <c r="R2" s="536">
        <f>[3]ELEC!R33</f>
        <v>948.00000000043656</v>
      </c>
      <c r="S2" s="536">
        <f>[3]ELEC!S33</f>
        <v>10167</v>
      </c>
      <c r="T2" s="536">
        <f>[3]ELEC!T33</f>
        <v>9</v>
      </c>
      <c r="U2" s="536">
        <f>[3]ELEC!U33</f>
        <v>427949</v>
      </c>
      <c r="V2" s="536">
        <f>[3]ELEC!V33</f>
        <v>1317</v>
      </c>
      <c r="W2" s="536">
        <f>[3]ELEC!W33</f>
        <v>32247</v>
      </c>
      <c r="X2" s="536">
        <f>[3]ELEC!X33</f>
        <v>0</v>
      </c>
      <c r="Y2" s="536">
        <f>[3]ELEC!Y33</f>
        <v>708695</v>
      </c>
      <c r="Z2" s="536">
        <f>[3]ELEC!Z33</f>
        <v>0</v>
      </c>
      <c r="AA2" s="536">
        <f>[3]ELEC!AA33</f>
        <v>35814</v>
      </c>
      <c r="AB2" s="536">
        <f>[3]ELEC!AB33</f>
        <v>0</v>
      </c>
      <c r="AC2" s="536">
        <f>[3]ELEC!AC33</f>
        <v>936218</v>
      </c>
      <c r="AD2" s="536">
        <f>[3]ELEC!AD33</f>
        <v>0</v>
      </c>
      <c r="AE2" s="536">
        <f>[3]ELEC!AE33</f>
        <v>9</v>
      </c>
      <c r="AF2" s="536">
        <f>[3]ELEC!AF33</f>
        <v>1317</v>
      </c>
      <c r="AG2" s="536">
        <f>[3]ELEC!AG33</f>
        <v>146.33333333333334</v>
      </c>
      <c r="AH2" s="536">
        <f>[3]ELEC!AH33</f>
        <v>0</v>
      </c>
      <c r="AI2" s="536">
        <f>[3]ELEC!AI33</f>
        <v>-953162.99999999953</v>
      </c>
      <c r="AJ2" s="536">
        <f>[3]ELEC!AJ33</f>
        <v>0</v>
      </c>
      <c r="AK2" s="536">
        <f>[3]ELEC!AK33</f>
        <v>0</v>
      </c>
      <c r="AL2" s="536">
        <f>[3]ELEC!AL33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44287</v>
      </c>
      <c r="D3" s="445">
        <v>32740186</v>
      </c>
      <c r="E3" s="446">
        <f>D3-D2</f>
        <v>3148</v>
      </c>
      <c r="F3" s="445">
        <v>3991408</v>
      </c>
      <c r="G3" s="447">
        <f t="shared" ref="G3:G32" si="0">F3-F2</f>
        <v>715</v>
      </c>
      <c r="H3" s="445">
        <v>17831860</v>
      </c>
      <c r="I3" s="447">
        <f>H3-H2</f>
        <v>1006</v>
      </c>
      <c r="J3" s="445">
        <v>28961206</v>
      </c>
      <c r="K3" s="447">
        <f>J3-J2</f>
        <v>1692</v>
      </c>
      <c r="L3" s="445">
        <v>24125630</v>
      </c>
      <c r="M3" s="447">
        <f>L3-L2</f>
        <v>4066</v>
      </c>
      <c r="N3" s="448">
        <f>M3+K3+I3+G3+E3</f>
        <v>10627</v>
      </c>
      <c r="O3" s="459">
        <f t="shared" ref="O3:O9" si="1">IF(B3&gt;0,N3/B3,0)</f>
        <v>0</v>
      </c>
      <c r="P3" s="445">
        <v>16844.05</v>
      </c>
      <c r="Q3" s="468">
        <f t="shared" ref="Q3:Q12" si="2">(P3-P2)*1000</f>
        <v>9207.9999999987194</v>
      </c>
      <c r="R3" s="461">
        <f>+N3-Q3</f>
        <v>1419.0000000012806</v>
      </c>
      <c r="S3" s="445">
        <v>10175</v>
      </c>
      <c r="T3" s="462">
        <f t="shared" ref="T3:T30" si="3">S3-S2</f>
        <v>8</v>
      </c>
      <c r="U3" s="445">
        <v>429166</v>
      </c>
      <c r="V3" s="460">
        <f>U3-U2</f>
        <v>1217</v>
      </c>
      <c r="W3" s="445">
        <f>W2</f>
        <v>32247</v>
      </c>
      <c r="X3" s="460">
        <f t="shared" ref="X3:X8" si="4">W3-W2</f>
        <v>0</v>
      </c>
      <c r="Y3" s="445">
        <f>Y2</f>
        <v>708695</v>
      </c>
      <c r="Z3" s="460">
        <f>Y3-Y2</f>
        <v>0</v>
      </c>
      <c r="AA3" s="445">
        <f>AA2</f>
        <v>35814</v>
      </c>
      <c r="AB3" s="460">
        <f>AA3-AA2</f>
        <v>0</v>
      </c>
      <c r="AC3" s="445">
        <f>AC2</f>
        <v>936218</v>
      </c>
      <c r="AD3" s="463">
        <f>AC3-AC2</f>
        <v>0</v>
      </c>
      <c r="AE3" s="464">
        <f>AB3+X3+T3</f>
        <v>8</v>
      </c>
      <c r="AF3" s="445">
        <f>V3+Z3+AD3</f>
        <v>1217</v>
      </c>
      <c r="AG3" s="465">
        <f t="shared" ref="AG3:AG9" si="5">IF(AE3&gt;0,AF3/AE3,0)</f>
        <v>152.125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44288</v>
      </c>
      <c r="D4" s="445">
        <v>32743098</v>
      </c>
      <c r="E4" s="311">
        <f>D4-D3</f>
        <v>2912</v>
      </c>
      <c r="F4" s="445">
        <v>3991968</v>
      </c>
      <c r="G4" s="312">
        <f t="shared" si="0"/>
        <v>560</v>
      </c>
      <c r="H4" s="445">
        <v>17832698</v>
      </c>
      <c r="I4" s="312">
        <f>H4-H3</f>
        <v>838</v>
      </c>
      <c r="J4" s="445">
        <v>28963042</v>
      </c>
      <c r="K4" s="312">
        <f>J4-J3</f>
        <v>1836</v>
      </c>
      <c r="L4" s="445">
        <v>24128050</v>
      </c>
      <c r="M4" s="312">
        <f>L4-L3</f>
        <v>2420</v>
      </c>
      <c r="N4" s="310">
        <f>M4+K4+I4+G4+E4</f>
        <v>8566</v>
      </c>
      <c r="O4" s="467">
        <f t="shared" si="1"/>
        <v>0</v>
      </c>
      <c r="P4" s="445">
        <v>16851.772000000001</v>
      </c>
      <c r="Q4" s="468">
        <f t="shared" si="2"/>
        <v>7722.0000000015716</v>
      </c>
      <c r="R4" s="449">
        <f>N4-Q4</f>
        <v>843.99999999842839</v>
      </c>
      <c r="S4" s="445">
        <f t="shared" ref="S4:AC32" si="7">S3</f>
        <v>10175</v>
      </c>
      <c r="T4" s="469">
        <f t="shared" si="3"/>
        <v>0</v>
      </c>
      <c r="U4" s="445">
        <f t="shared" si="7"/>
        <v>429166</v>
      </c>
      <c r="V4" s="449">
        <f>U4-U3</f>
        <v>0</v>
      </c>
      <c r="W4" s="445">
        <v>32249</v>
      </c>
      <c r="X4" s="449">
        <f t="shared" si="4"/>
        <v>2</v>
      </c>
      <c r="Y4" s="445">
        <v>709120</v>
      </c>
      <c r="Z4" s="449">
        <f>Y4-Y3</f>
        <v>425</v>
      </c>
      <c r="AA4" s="445">
        <v>35815</v>
      </c>
      <c r="AB4" s="470">
        <f>AA4-AA3</f>
        <v>1</v>
      </c>
      <c r="AC4" s="445">
        <v>936339</v>
      </c>
      <c r="AD4" s="471">
        <f>AC4-AC3</f>
        <v>121</v>
      </c>
      <c r="AE4" s="472">
        <f t="shared" ref="AE4:AE30" si="8">AB4+X4+T4</f>
        <v>3</v>
      </c>
      <c r="AF4" s="473">
        <f t="shared" ref="AF4:AF30" si="9">V4+Z4+AD4</f>
        <v>546</v>
      </c>
      <c r="AG4" s="465">
        <f t="shared" si="5"/>
        <v>182</v>
      </c>
    </row>
    <row r="5" spans="1:115">
      <c r="A5" s="457">
        <f>'General information '!F8</f>
        <v>0</v>
      </c>
      <c r="B5" s="451">
        <f>SUM(230*A5)</f>
        <v>0</v>
      </c>
      <c r="C5" s="458">
        <v>44289</v>
      </c>
      <c r="D5" s="445">
        <v>32746208</v>
      </c>
      <c r="E5" s="311">
        <f t="shared" ref="E5:E32" si="10">D5-D4</f>
        <v>3110</v>
      </c>
      <c r="F5" s="445">
        <v>3992590</v>
      </c>
      <c r="G5" s="312">
        <f t="shared" si="0"/>
        <v>622</v>
      </c>
      <c r="H5" s="445">
        <v>17833536</v>
      </c>
      <c r="I5" s="312">
        <f t="shared" ref="I5:I32" si="11">H5-H4</f>
        <v>838</v>
      </c>
      <c r="J5" s="445">
        <v>28965886</v>
      </c>
      <c r="K5" s="312">
        <f t="shared" ref="K5:K32" si="12">J5-J4</f>
        <v>2844</v>
      </c>
      <c r="L5" s="445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7">
        <f t="shared" si="1"/>
        <v>0</v>
      </c>
      <c r="P5" s="445">
        <v>16860.034</v>
      </c>
      <c r="Q5" s="468">
        <f>(P5-P4)*1000</f>
        <v>8261.9999999988067</v>
      </c>
      <c r="R5" s="449">
        <f>N5-Q5</f>
        <v>1424.0000000011933</v>
      </c>
      <c r="S5" s="445">
        <f t="shared" si="7"/>
        <v>10175</v>
      </c>
      <c r="T5" s="469">
        <f t="shared" si="3"/>
        <v>0</v>
      </c>
      <c r="U5" s="445">
        <f t="shared" si="7"/>
        <v>429166</v>
      </c>
      <c r="V5" s="449">
        <f t="shared" ref="V5:V30" si="15">U5-U4</f>
        <v>0</v>
      </c>
      <c r="W5" s="445">
        <v>32257</v>
      </c>
      <c r="X5" s="449">
        <f t="shared" si="4"/>
        <v>8</v>
      </c>
      <c r="Y5" s="445">
        <v>710354</v>
      </c>
      <c r="Z5" s="449">
        <f>Y5-Y4</f>
        <v>1234</v>
      </c>
      <c r="AA5" s="445">
        <f t="shared" si="7"/>
        <v>35815</v>
      </c>
      <c r="AB5" s="449">
        <f t="shared" ref="AB5:AB30" si="16">AA5-AA4</f>
        <v>0</v>
      </c>
      <c r="AC5" s="445">
        <f t="shared" si="7"/>
        <v>936339</v>
      </c>
      <c r="AD5" s="449">
        <f t="shared" ref="AD5:AD16" si="17">AC5-AC4</f>
        <v>0</v>
      </c>
      <c r="AE5" s="472">
        <f t="shared" si="8"/>
        <v>8</v>
      </c>
      <c r="AF5" s="473">
        <f t="shared" si="9"/>
        <v>1234</v>
      </c>
      <c r="AG5" s="465">
        <f t="shared" si="5"/>
        <v>154.25</v>
      </c>
      <c r="AI5" s="466">
        <f>R5-'EDl log'!B3</f>
        <v>-955231.99999999884</v>
      </c>
    </row>
    <row r="6" spans="1:115">
      <c r="A6" s="457">
        <f>'General information '!F9</f>
        <v>0</v>
      </c>
      <c r="B6" s="451">
        <f t="shared" si="6"/>
        <v>0</v>
      </c>
      <c r="C6" s="458">
        <v>44290</v>
      </c>
      <c r="D6" s="445">
        <v>32749798</v>
      </c>
      <c r="E6" s="311">
        <f t="shared" si="10"/>
        <v>3590</v>
      </c>
      <c r="F6" s="445">
        <v>3993124</v>
      </c>
      <c r="G6" s="312">
        <f t="shared" si="0"/>
        <v>534</v>
      </c>
      <c r="H6" s="445">
        <v>17834590</v>
      </c>
      <c r="I6" s="312">
        <f t="shared" si="11"/>
        <v>1054</v>
      </c>
      <c r="J6" s="445">
        <v>28967566</v>
      </c>
      <c r="K6" s="312">
        <f t="shared" si="12"/>
        <v>1680</v>
      </c>
      <c r="L6" s="445">
        <v>24132662</v>
      </c>
      <c r="M6" s="312">
        <f t="shared" si="13"/>
        <v>2340</v>
      </c>
      <c r="N6" s="310">
        <f t="shared" si="14"/>
        <v>9198</v>
      </c>
      <c r="O6" s="467">
        <f t="shared" si="1"/>
        <v>0</v>
      </c>
      <c r="P6" s="445">
        <v>16867.974999999999</v>
      </c>
      <c r="Q6" s="449">
        <f t="shared" si="2"/>
        <v>7940.9999999988941</v>
      </c>
      <c r="R6" s="449">
        <f t="shared" ref="R6:R12" si="18">N6-Q6</f>
        <v>1257.0000000011059</v>
      </c>
      <c r="S6" s="445">
        <f t="shared" si="7"/>
        <v>10175</v>
      </c>
      <c r="T6" s="469">
        <f t="shared" si="3"/>
        <v>0</v>
      </c>
      <c r="U6" s="445">
        <f t="shared" si="7"/>
        <v>429166</v>
      </c>
      <c r="V6" s="449">
        <f t="shared" si="15"/>
        <v>0</v>
      </c>
      <c r="W6" s="445">
        <v>32258</v>
      </c>
      <c r="X6" s="449">
        <f t="shared" si="4"/>
        <v>1</v>
      </c>
      <c r="Y6" s="445">
        <v>710563</v>
      </c>
      <c r="Z6" s="449">
        <f t="shared" ref="Z6:Z30" si="19">Y6-Y5</f>
        <v>209</v>
      </c>
      <c r="AA6" s="445">
        <v>35819</v>
      </c>
      <c r="AB6" s="449">
        <f t="shared" si="16"/>
        <v>4</v>
      </c>
      <c r="AC6" s="445">
        <v>936894</v>
      </c>
      <c r="AD6" s="449">
        <f t="shared" si="17"/>
        <v>555</v>
      </c>
      <c r="AE6" s="472">
        <f t="shared" si="8"/>
        <v>5</v>
      </c>
      <c r="AF6" s="473">
        <f t="shared" si="9"/>
        <v>764</v>
      </c>
      <c r="AG6" s="465">
        <f t="shared" si="5"/>
        <v>152.80000000000001</v>
      </c>
      <c r="AI6" s="466">
        <f>R6-'EDl log'!B4</f>
        <v>-956253.99999999884</v>
      </c>
    </row>
    <row r="7" spans="1:115">
      <c r="A7" s="457">
        <f>'General information '!F10</f>
        <v>0</v>
      </c>
      <c r="B7" s="451">
        <f t="shared" si="6"/>
        <v>0</v>
      </c>
      <c r="C7" s="458">
        <v>44291</v>
      </c>
      <c r="D7" s="445">
        <f t="shared" ref="D6:L32" si="20">D6</f>
        <v>32749798</v>
      </c>
      <c r="E7" s="311">
        <f t="shared" si="10"/>
        <v>0</v>
      </c>
      <c r="F7" s="445">
        <f t="shared" si="20"/>
        <v>3993124</v>
      </c>
      <c r="G7" s="312">
        <f t="shared" si="0"/>
        <v>0</v>
      </c>
      <c r="H7" s="445">
        <f t="shared" si="20"/>
        <v>17834590</v>
      </c>
      <c r="I7" s="312">
        <f t="shared" si="11"/>
        <v>0</v>
      </c>
      <c r="J7" s="445">
        <f t="shared" si="20"/>
        <v>28967566</v>
      </c>
      <c r="K7" s="312">
        <f t="shared" si="12"/>
        <v>0</v>
      </c>
      <c r="L7" s="445">
        <f t="shared" si="20"/>
        <v>24132662</v>
      </c>
      <c r="M7" s="312">
        <f t="shared" si="13"/>
        <v>0</v>
      </c>
      <c r="N7" s="310">
        <f t="shared" si="14"/>
        <v>0</v>
      </c>
      <c r="O7" s="467">
        <f t="shared" si="1"/>
        <v>0</v>
      </c>
      <c r="P7" s="445">
        <f t="shared" ref="P6:P32" si="21">P6</f>
        <v>16867.974999999999</v>
      </c>
      <c r="Q7" s="449">
        <f t="shared" si="2"/>
        <v>0</v>
      </c>
      <c r="R7" s="449">
        <f t="shared" si="18"/>
        <v>0</v>
      </c>
      <c r="S7" s="445">
        <f t="shared" si="7"/>
        <v>10175</v>
      </c>
      <c r="T7" s="469">
        <f t="shared" si="3"/>
        <v>0</v>
      </c>
      <c r="U7" s="445">
        <f t="shared" si="7"/>
        <v>429166</v>
      </c>
      <c r="V7" s="449">
        <f t="shared" si="15"/>
        <v>0</v>
      </c>
      <c r="W7" s="445">
        <f t="shared" si="7"/>
        <v>32258</v>
      </c>
      <c r="X7" s="449">
        <f t="shared" si="4"/>
        <v>0</v>
      </c>
      <c r="Y7" s="445">
        <f t="shared" si="7"/>
        <v>710563</v>
      </c>
      <c r="Z7" s="449">
        <f t="shared" si="19"/>
        <v>0</v>
      </c>
      <c r="AA7" s="445">
        <f t="shared" si="7"/>
        <v>35819</v>
      </c>
      <c r="AB7" s="449">
        <f t="shared" si="16"/>
        <v>0</v>
      </c>
      <c r="AC7" s="445">
        <f t="shared" si="7"/>
        <v>936894</v>
      </c>
      <c r="AD7" s="449">
        <f t="shared" si="17"/>
        <v>0</v>
      </c>
      <c r="AE7" s="472">
        <f t="shared" si="8"/>
        <v>0</v>
      </c>
      <c r="AF7" s="473">
        <f t="shared" si="9"/>
        <v>0</v>
      </c>
      <c r="AG7" s="465">
        <f t="shared" si="5"/>
        <v>0</v>
      </c>
      <c r="AI7" s="466">
        <f>R7-'EDl log'!B5</f>
        <v>-958123</v>
      </c>
    </row>
    <row r="8" spans="1:115">
      <c r="A8" s="457">
        <f>'General information '!F11</f>
        <v>0</v>
      </c>
      <c r="B8" s="451">
        <f t="shared" si="6"/>
        <v>0</v>
      </c>
      <c r="C8" s="458">
        <v>44292</v>
      </c>
      <c r="D8" s="445">
        <f t="shared" si="20"/>
        <v>32749798</v>
      </c>
      <c r="E8" s="311">
        <f t="shared" si="10"/>
        <v>0</v>
      </c>
      <c r="F8" s="445">
        <f t="shared" si="20"/>
        <v>3993124</v>
      </c>
      <c r="G8" s="312">
        <f t="shared" si="0"/>
        <v>0</v>
      </c>
      <c r="H8" s="445">
        <f t="shared" si="20"/>
        <v>17834590</v>
      </c>
      <c r="I8" s="312">
        <f t="shared" si="11"/>
        <v>0</v>
      </c>
      <c r="J8" s="445">
        <f t="shared" si="20"/>
        <v>28967566</v>
      </c>
      <c r="K8" s="312">
        <f t="shared" si="12"/>
        <v>0</v>
      </c>
      <c r="L8" s="445">
        <f t="shared" si="20"/>
        <v>24132662</v>
      </c>
      <c r="M8" s="312">
        <f t="shared" si="13"/>
        <v>0</v>
      </c>
      <c r="N8" s="310">
        <f t="shared" si="14"/>
        <v>0</v>
      </c>
      <c r="O8" s="467">
        <f t="shared" si="1"/>
        <v>0</v>
      </c>
      <c r="P8" s="445">
        <f t="shared" si="21"/>
        <v>16867.974999999999</v>
      </c>
      <c r="Q8" s="449">
        <f t="shared" si="2"/>
        <v>0</v>
      </c>
      <c r="R8" s="449">
        <f t="shared" si="18"/>
        <v>0</v>
      </c>
      <c r="S8" s="445">
        <f t="shared" si="7"/>
        <v>10175</v>
      </c>
      <c r="T8" s="469">
        <f t="shared" si="3"/>
        <v>0</v>
      </c>
      <c r="U8" s="445">
        <f t="shared" si="7"/>
        <v>429166</v>
      </c>
      <c r="V8" s="449">
        <f t="shared" si="15"/>
        <v>0</v>
      </c>
      <c r="W8" s="445">
        <f t="shared" si="7"/>
        <v>32258</v>
      </c>
      <c r="X8" s="449">
        <f t="shared" si="4"/>
        <v>0</v>
      </c>
      <c r="Y8" s="445">
        <f t="shared" si="7"/>
        <v>710563</v>
      </c>
      <c r="Z8" s="449">
        <f t="shared" si="19"/>
        <v>0</v>
      </c>
      <c r="AA8" s="445">
        <f t="shared" si="7"/>
        <v>35819</v>
      </c>
      <c r="AB8" s="449">
        <f t="shared" si="16"/>
        <v>0</v>
      </c>
      <c r="AC8" s="445">
        <f t="shared" si="7"/>
        <v>936894</v>
      </c>
      <c r="AD8" s="449">
        <f t="shared" si="17"/>
        <v>0</v>
      </c>
      <c r="AE8" s="472">
        <f t="shared" si="8"/>
        <v>0</v>
      </c>
      <c r="AF8" s="473">
        <f t="shared" si="9"/>
        <v>0</v>
      </c>
      <c r="AG8" s="465">
        <f t="shared" si="5"/>
        <v>0</v>
      </c>
      <c r="AI8" s="466">
        <f>R8-'EDl log'!B6</f>
        <v>-958969</v>
      </c>
    </row>
    <row r="9" spans="1:115">
      <c r="A9" s="457">
        <f>'General information '!F12</f>
        <v>0</v>
      </c>
      <c r="B9" s="451">
        <f t="shared" si="6"/>
        <v>0</v>
      </c>
      <c r="C9" s="458">
        <v>44293</v>
      </c>
      <c r="D9" s="445">
        <f t="shared" si="20"/>
        <v>32749798</v>
      </c>
      <c r="E9" s="311">
        <f t="shared" si="10"/>
        <v>0</v>
      </c>
      <c r="F9" s="445">
        <f t="shared" si="20"/>
        <v>3993124</v>
      </c>
      <c r="G9" s="312">
        <f t="shared" si="0"/>
        <v>0</v>
      </c>
      <c r="H9" s="445">
        <f t="shared" si="20"/>
        <v>17834590</v>
      </c>
      <c r="I9" s="312">
        <f t="shared" si="11"/>
        <v>0</v>
      </c>
      <c r="J9" s="445">
        <f t="shared" si="20"/>
        <v>28967566</v>
      </c>
      <c r="K9" s="312">
        <f t="shared" si="12"/>
        <v>0</v>
      </c>
      <c r="L9" s="445">
        <f t="shared" si="20"/>
        <v>24132662</v>
      </c>
      <c r="M9" s="312">
        <f t="shared" si="13"/>
        <v>0</v>
      </c>
      <c r="N9" s="310">
        <f t="shared" si="14"/>
        <v>0</v>
      </c>
      <c r="O9" s="467">
        <f t="shared" si="1"/>
        <v>0</v>
      </c>
      <c r="P9" s="445">
        <f t="shared" si="21"/>
        <v>16867.974999999999</v>
      </c>
      <c r="Q9" s="449">
        <f t="shared" si="2"/>
        <v>0</v>
      </c>
      <c r="R9" s="449">
        <f t="shared" si="18"/>
        <v>0</v>
      </c>
      <c r="S9" s="445">
        <f t="shared" si="7"/>
        <v>10175</v>
      </c>
      <c r="T9" s="469">
        <f t="shared" si="3"/>
        <v>0</v>
      </c>
      <c r="U9" s="445">
        <f t="shared" si="7"/>
        <v>429166</v>
      </c>
      <c r="V9" s="449">
        <f t="shared" si="15"/>
        <v>0</v>
      </c>
      <c r="W9" s="445">
        <f t="shared" si="7"/>
        <v>32258</v>
      </c>
      <c r="X9" s="449">
        <f t="shared" ref="X9:X30" si="22">W9-W8</f>
        <v>0</v>
      </c>
      <c r="Y9" s="445">
        <f t="shared" si="7"/>
        <v>710563</v>
      </c>
      <c r="Z9" s="449">
        <f t="shared" si="19"/>
        <v>0</v>
      </c>
      <c r="AA9" s="445">
        <f t="shared" si="7"/>
        <v>35819</v>
      </c>
      <c r="AB9" s="449">
        <f t="shared" si="16"/>
        <v>0</v>
      </c>
      <c r="AC9" s="445">
        <f t="shared" si="7"/>
        <v>936894</v>
      </c>
      <c r="AD9" s="449">
        <f t="shared" si="17"/>
        <v>0</v>
      </c>
      <c r="AE9" s="472">
        <f t="shared" si="8"/>
        <v>0</v>
      </c>
      <c r="AF9" s="473">
        <f t="shared" si="9"/>
        <v>0</v>
      </c>
      <c r="AG9" s="465">
        <f t="shared" si="5"/>
        <v>0</v>
      </c>
      <c r="AI9" s="466">
        <f>R9-'EDl log'!B7</f>
        <v>-959658</v>
      </c>
    </row>
    <row r="10" spans="1:115">
      <c r="A10" s="457">
        <f>'General information '!F13</f>
        <v>0</v>
      </c>
      <c r="B10" s="451">
        <f t="shared" si="6"/>
        <v>0</v>
      </c>
      <c r="C10" s="458">
        <v>44294</v>
      </c>
      <c r="D10" s="445">
        <f t="shared" si="20"/>
        <v>32749798</v>
      </c>
      <c r="E10" s="311">
        <f t="shared" si="10"/>
        <v>0</v>
      </c>
      <c r="F10" s="445">
        <f t="shared" si="20"/>
        <v>3993124</v>
      </c>
      <c r="G10" s="312">
        <f t="shared" si="0"/>
        <v>0</v>
      </c>
      <c r="H10" s="445">
        <f t="shared" si="20"/>
        <v>17834590</v>
      </c>
      <c r="I10" s="312">
        <f t="shared" si="11"/>
        <v>0</v>
      </c>
      <c r="J10" s="445">
        <f t="shared" si="20"/>
        <v>28967566</v>
      </c>
      <c r="K10" s="312">
        <f t="shared" si="12"/>
        <v>0</v>
      </c>
      <c r="L10" s="445">
        <f t="shared" si="20"/>
        <v>24132662</v>
      </c>
      <c r="M10" s="312">
        <f t="shared" si="13"/>
        <v>0</v>
      </c>
      <c r="N10" s="310">
        <f t="shared" si="14"/>
        <v>0</v>
      </c>
      <c r="O10" s="467">
        <f t="shared" ref="O10:O30" si="23">IF(B10&gt;0,N10/B10,0)</f>
        <v>0</v>
      </c>
      <c r="P10" s="445">
        <f t="shared" si="21"/>
        <v>16867.974999999999</v>
      </c>
      <c r="Q10" s="449">
        <f t="shared" si="2"/>
        <v>0</v>
      </c>
      <c r="R10" s="449">
        <f t="shared" si="18"/>
        <v>0</v>
      </c>
      <c r="S10" s="445">
        <f t="shared" si="7"/>
        <v>10175</v>
      </c>
      <c r="T10" s="469">
        <f t="shared" si="3"/>
        <v>0</v>
      </c>
      <c r="U10" s="445">
        <f t="shared" si="7"/>
        <v>429166</v>
      </c>
      <c r="V10" s="449">
        <f t="shared" si="15"/>
        <v>0</v>
      </c>
      <c r="W10" s="445">
        <f t="shared" si="7"/>
        <v>32258</v>
      </c>
      <c r="X10" s="449">
        <f t="shared" si="22"/>
        <v>0</v>
      </c>
      <c r="Y10" s="445">
        <f t="shared" si="7"/>
        <v>710563</v>
      </c>
      <c r="Z10" s="449">
        <f t="shared" si="19"/>
        <v>0</v>
      </c>
      <c r="AA10" s="445">
        <f t="shared" si="7"/>
        <v>35819</v>
      </c>
      <c r="AB10" s="449">
        <f t="shared" si="16"/>
        <v>0</v>
      </c>
      <c r="AC10" s="445">
        <f t="shared" si="7"/>
        <v>936894</v>
      </c>
      <c r="AD10" s="449">
        <f t="shared" si="17"/>
        <v>0</v>
      </c>
      <c r="AE10" s="472">
        <f t="shared" si="8"/>
        <v>0</v>
      </c>
      <c r="AF10" s="473">
        <f t="shared" si="9"/>
        <v>0</v>
      </c>
      <c r="AG10" s="465">
        <f t="shared" ref="AG10:AG30" si="24">IF(AE10&gt;0,AF10/AE10,0)</f>
        <v>0</v>
      </c>
      <c r="AI10" s="466">
        <f>R10-'EDl log'!B8</f>
        <v>-959658</v>
      </c>
    </row>
    <row r="11" spans="1:115">
      <c r="A11" s="457">
        <f>'General information '!F14</f>
        <v>0</v>
      </c>
      <c r="B11" s="451">
        <f>SUM(230*A11)</f>
        <v>0</v>
      </c>
      <c r="C11" s="458">
        <v>44295</v>
      </c>
      <c r="D11" s="445">
        <f t="shared" si="20"/>
        <v>32749798</v>
      </c>
      <c r="E11" s="311">
        <f t="shared" si="10"/>
        <v>0</v>
      </c>
      <c r="F11" s="445">
        <f t="shared" si="20"/>
        <v>3993124</v>
      </c>
      <c r="G11" s="312">
        <f t="shared" si="0"/>
        <v>0</v>
      </c>
      <c r="H11" s="445">
        <f t="shared" si="20"/>
        <v>17834590</v>
      </c>
      <c r="I11" s="312">
        <f t="shared" si="11"/>
        <v>0</v>
      </c>
      <c r="J11" s="445">
        <f t="shared" si="20"/>
        <v>28967566</v>
      </c>
      <c r="K11" s="312">
        <f t="shared" si="12"/>
        <v>0</v>
      </c>
      <c r="L11" s="445">
        <f t="shared" si="20"/>
        <v>24132662</v>
      </c>
      <c r="M11" s="312">
        <f t="shared" si="13"/>
        <v>0</v>
      </c>
      <c r="N11" s="310">
        <f>M11+K11+I11+G11+E11</f>
        <v>0</v>
      </c>
      <c r="O11" s="467">
        <f t="shared" si="23"/>
        <v>0</v>
      </c>
      <c r="P11" s="445">
        <f t="shared" si="21"/>
        <v>16867.974999999999</v>
      </c>
      <c r="Q11" s="449">
        <f t="shared" si="2"/>
        <v>0</v>
      </c>
      <c r="R11" s="449">
        <f t="shared" si="18"/>
        <v>0</v>
      </c>
      <c r="S11" s="445">
        <f t="shared" si="7"/>
        <v>10175</v>
      </c>
      <c r="T11" s="469">
        <f t="shared" si="3"/>
        <v>0</v>
      </c>
      <c r="U11" s="445">
        <f t="shared" si="7"/>
        <v>429166</v>
      </c>
      <c r="V11" s="449">
        <f t="shared" si="15"/>
        <v>0</v>
      </c>
      <c r="W11" s="445">
        <f t="shared" si="7"/>
        <v>32258</v>
      </c>
      <c r="X11" s="449">
        <f t="shared" si="22"/>
        <v>0</v>
      </c>
      <c r="Y11" s="445">
        <f t="shared" si="7"/>
        <v>710563</v>
      </c>
      <c r="Z11" s="449">
        <f t="shared" si="19"/>
        <v>0</v>
      </c>
      <c r="AA11" s="445">
        <f t="shared" si="7"/>
        <v>35819</v>
      </c>
      <c r="AB11" s="449">
        <f t="shared" si="16"/>
        <v>0</v>
      </c>
      <c r="AC11" s="445">
        <f t="shared" si="7"/>
        <v>936894</v>
      </c>
      <c r="AD11" s="449">
        <f t="shared" si="17"/>
        <v>0</v>
      </c>
      <c r="AE11" s="472">
        <f t="shared" si="8"/>
        <v>0</v>
      </c>
      <c r="AF11" s="473">
        <f t="shared" si="9"/>
        <v>0</v>
      </c>
      <c r="AG11" s="465">
        <f t="shared" si="24"/>
        <v>0</v>
      </c>
      <c r="AI11" s="466">
        <f>R11-'EDl log'!B9</f>
        <v>-959658</v>
      </c>
    </row>
    <row r="12" spans="1:115">
      <c r="A12" s="457">
        <f>'General information '!F15</f>
        <v>0</v>
      </c>
      <c r="B12" s="451">
        <f t="shared" si="6"/>
        <v>0</v>
      </c>
      <c r="C12" s="458">
        <v>44296</v>
      </c>
      <c r="D12" s="445">
        <f t="shared" si="20"/>
        <v>32749798</v>
      </c>
      <c r="E12" s="311">
        <f t="shared" si="10"/>
        <v>0</v>
      </c>
      <c r="F12" s="445">
        <f t="shared" si="20"/>
        <v>3993124</v>
      </c>
      <c r="G12" s="312">
        <f t="shared" si="0"/>
        <v>0</v>
      </c>
      <c r="H12" s="445">
        <f t="shared" si="20"/>
        <v>17834590</v>
      </c>
      <c r="I12" s="312">
        <f t="shared" si="11"/>
        <v>0</v>
      </c>
      <c r="J12" s="445">
        <f t="shared" si="20"/>
        <v>28967566</v>
      </c>
      <c r="K12" s="312">
        <f t="shared" si="12"/>
        <v>0</v>
      </c>
      <c r="L12" s="445">
        <f t="shared" si="20"/>
        <v>24132662</v>
      </c>
      <c r="M12" s="312">
        <f t="shared" si="13"/>
        <v>0</v>
      </c>
      <c r="N12" s="310">
        <f>M12+K12+I12+G12+E12</f>
        <v>0</v>
      </c>
      <c r="O12" s="467">
        <f t="shared" si="23"/>
        <v>0</v>
      </c>
      <c r="P12" s="445">
        <f t="shared" si="21"/>
        <v>16867.974999999999</v>
      </c>
      <c r="Q12" s="449">
        <f t="shared" si="2"/>
        <v>0</v>
      </c>
      <c r="R12" s="449">
        <f t="shared" si="18"/>
        <v>0</v>
      </c>
      <c r="S12" s="445">
        <f t="shared" si="7"/>
        <v>10175</v>
      </c>
      <c r="T12" s="469">
        <f t="shared" si="3"/>
        <v>0</v>
      </c>
      <c r="U12" s="445">
        <f t="shared" si="7"/>
        <v>429166</v>
      </c>
      <c r="V12" s="449">
        <f t="shared" si="15"/>
        <v>0</v>
      </c>
      <c r="W12" s="445">
        <f t="shared" si="7"/>
        <v>32258</v>
      </c>
      <c r="X12" s="449">
        <f t="shared" si="22"/>
        <v>0</v>
      </c>
      <c r="Y12" s="445">
        <f t="shared" si="7"/>
        <v>710563</v>
      </c>
      <c r="Z12" s="449">
        <f t="shared" si="19"/>
        <v>0</v>
      </c>
      <c r="AA12" s="445">
        <f t="shared" si="7"/>
        <v>35819</v>
      </c>
      <c r="AB12" s="449">
        <f t="shared" si="16"/>
        <v>0</v>
      </c>
      <c r="AC12" s="445">
        <f t="shared" si="7"/>
        <v>936894</v>
      </c>
      <c r="AD12" s="449">
        <f t="shared" si="17"/>
        <v>0</v>
      </c>
      <c r="AE12" s="472">
        <f t="shared" si="8"/>
        <v>0</v>
      </c>
      <c r="AF12" s="473">
        <f t="shared" si="9"/>
        <v>0</v>
      </c>
      <c r="AG12" s="465">
        <f t="shared" si="24"/>
        <v>0</v>
      </c>
      <c r="AI12" s="466">
        <f>R12-'EDl log'!B10</f>
        <v>-959658</v>
      </c>
    </row>
    <row r="13" spans="1:115">
      <c r="A13" s="457">
        <f>'General information '!F16</f>
        <v>0</v>
      </c>
      <c r="B13" s="451">
        <f t="shared" si="6"/>
        <v>0</v>
      </c>
      <c r="C13" s="458">
        <v>44297</v>
      </c>
      <c r="D13" s="445">
        <f t="shared" si="20"/>
        <v>32749798</v>
      </c>
      <c r="E13" s="311">
        <f t="shared" si="10"/>
        <v>0</v>
      </c>
      <c r="F13" s="445">
        <f t="shared" si="20"/>
        <v>3993124</v>
      </c>
      <c r="G13" s="312">
        <f t="shared" si="0"/>
        <v>0</v>
      </c>
      <c r="H13" s="445">
        <f t="shared" si="20"/>
        <v>17834590</v>
      </c>
      <c r="I13" s="312">
        <f t="shared" si="11"/>
        <v>0</v>
      </c>
      <c r="J13" s="445">
        <f t="shared" si="20"/>
        <v>28967566</v>
      </c>
      <c r="K13" s="312">
        <f t="shared" si="12"/>
        <v>0</v>
      </c>
      <c r="L13" s="445">
        <f t="shared" si="20"/>
        <v>24132662</v>
      </c>
      <c r="M13" s="312">
        <f t="shared" si="13"/>
        <v>0</v>
      </c>
      <c r="N13" s="310">
        <f t="shared" si="14"/>
        <v>0</v>
      </c>
      <c r="O13" s="467">
        <f t="shared" si="23"/>
        <v>0</v>
      </c>
      <c r="P13" s="445">
        <f t="shared" si="21"/>
        <v>16867.974999999999</v>
      </c>
      <c r="Q13" s="449">
        <f>(P13-P12)*1000</f>
        <v>0</v>
      </c>
      <c r="R13" s="449">
        <f t="shared" ref="R13" si="25">N13-Q13</f>
        <v>0</v>
      </c>
      <c r="S13" s="445">
        <f t="shared" si="7"/>
        <v>10175</v>
      </c>
      <c r="T13" s="469">
        <f t="shared" si="3"/>
        <v>0</v>
      </c>
      <c r="U13" s="445">
        <f t="shared" si="7"/>
        <v>429166</v>
      </c>
      <c r="V13" s="449">
        <f t="shared" si="15"/>
        <v>0</v>
      </c>
      <c r="W13" s="445">
        <f t="shared" si="7"/>
        <v>32258</v>
      </c>
      <c r="X13" s="449">
        <f t="shared" si="22"/>
        <v>0</v>
      </c>
      <c r="Y13" s="445">
        <f t="shared" si="7"/>
        <v>710563</v>
      </c>
      <c r="Z13" s="449">
        <f t="shared" si="19"/>
        <v>0</v>
      </c>
      <c r="AA13" s="445">
        <f t="shared" si="7"/>
        <v>35819</v>
      </c>
      <c r="AB13" s="449">
        <f t="shared" si="16"/>
        <v>0</v>
      </c>
      <c r="AC13" s="445">
        <f t="shared" si="7"/>
        <v>936894</v>
      </c>
      <c r="AD13" s="449">
        <f t="shared" si="17"/>
        <v>0</v>
      </c>
      <c r="AE13" s="472">
        <f t="shared" si="8"/>
        <v>0</v>
      </c>
      <c r="AF13" s="473">
        <f t="shared" si="9"/>
        <v>0</v>
      </c>
      <c r="AG13" s="465">
        <f t="shared" si="24"/>
        <v>0</v>
      </c>
      <c r="AI13" s="466">
        <f>R13-'EDl log'!B11</f>
        <v>-959658</v>
      </c>
    </row>
    <row r="14" spans="1:115">
      <c r="A14" s="457">
        <f>'General information '!F17</f>
        <v>0</v>
      </c>
      <c r="B14" s="451">
        <f t="shared" si="6"/>
        <v>0</v>
      </c>
      <c r="C14" s="458">
        <v>44298</v>
      </c>
      <c r="D14" s="445">
        <f t="shared" si="20"/>
        <v>32749798</v>
      </c>
      <c r="E14" s="311">
        <f t="shared" si="10"/>
        <v>0</v>
      </c>
      <c r="F14" s="445">
        <f t="shared" si="20"/>
        <v>3993124</v>
      </c>
      <c r="G14" s="312">
        <f t="shared" si="0"/>
        <v>0</v>
      </c>
      <c r="H14" s="445">
        <f t="shared" si="20"/>
        <v>17834590</v>
      </c>
      <c r="I14" s="312">
        <f t="shared" si="11"/>
        <v>0</v>
      </c>
      <c r="J14" s="445">
        <f t="shared" si="20"/>
        <v>28967566</v>
      </c>
      <c r="K14" s="312">
        <f t="shared" si="12"/>
        <v>0</v>
      </c>
      <c r="L14" s="445">
        <f t="shared" si="20"/>
        <v>24132662</v>
      </c>
      <c r="M14" s="312">
        <f t="shared" si="13"/>
        <v>0</v>
      </c>
      <c r="N14" s="310">
        <f t="shared" si="14"/>
        <v>0</v>
      </c>
      <c r="O14" s="467">
        <f t="shared" si="23"/>
        <v>0</v>
      </c>
      <c r="P14" s="445">
        <f t="shared" si="21"/>
        <v>16867.974999999999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10175</v>
      </c>
      <c r="T14" s="469">
        <f t="shared" si="3"/>
        <v>0</v>
      </c>
      <c r="U14" s="445">
        <f t="shared" si="7"/>
        <v>429166</v>
      </c>
      <c r="V14" s="449">
        <f t="shared" si="15"/>
        <v>0</v>
      </c>
      <c r="W14" s="445">
        <f t="shared" si="7"/>
        <v>32258</v>
      </c>
      <c r="X14" s="449">
        <f t="shared" si="22"/>
        <v>0</v>
      </c>
      <c r="Y14" s="445">
        <f t="shared" si="7"/>
        <v>710563</v>
      </c>
      <c r="Z14" s="449">
        <f t="shared" si="19"/>
        <v>0</v>
      </c>
      <c r="AA14" s="445">
        <f t="shared" si="7"/>
        <v>35819</v>
      </c>
      <c r="AB14" s="449">
        <f t="shared" si="16"/>
        <v>0</v>
      </c>
      <c r="AC14" s="445">
        <f t="shared" si="7"/>
        <v>936894</v>
      </c>
      <c r="AD14" s="449">
        <f t="shared" si="17"/>
        <v>0</v>
      </c>
      <c r="AE14" s="472">
        <f t="shared" si="8"/>
        <v>0</v>
      </c>
      <c r="AF14" s="473">
        <f t="shared" si="9"/>
        <v>0</v>
      </c>
      <c r="AG14" s="465">
        <f t="shared" si="24"/>
        <v>0</v>
      </c>
      <c r="AI14" s="466">
        <f>R14-'EDl log'!B12</f>
        <v>-959658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44299</v>
      </c>
      <c r="D15" s="445">
        <f t="shared" si="20"/>
        <v>32749798</v>
      </c>
      <c r="E15" s="311">
        <f t="shared" si="10"/>
        <v>0</v>
      </c>
      <c r="F15" s="445">
        <f t="shared" si="20"/>
        <v>3993124</v>
      </c>
      <c r="G15" s="312">
        <f t="shared" si="0"/>
        <v>0</v>
      </c>
      <c r="H15" s="445">
        <f t="shared" si="20"/>
        <v>17834590</v>
      </c>
      <c r="I15" s="312">
        <f t="shared" si="11"/>
        <v>0</v>
      </c>
      <c r="J15" s="445">
        <f t="shared" si="20"/>
        <v>28967566</v>
      </c>
      <c r="K15" s="312">
        <f t="shared" si="12"/>
        <v>0</v>
      </c>
      <c r="L15" s="445">
        <f t="shared" si="20"/>
        <v>24132662</v>
      </c>
      <c r="M15" s="312">
        <f t="shared" si="13"/>
        <v>0</v>
      </c>
      <c r="N15" s="310">
        <f t="shared" si="14"/>
        <v>0</v>
      </c>
      <c r="O15" s="467">
        <f t="shared" si="23"/>
        <v>0</v>
      </c>
      <c r="P15" s="445">
        <f t="shared" si="21"/>
        <v>16867.974999999999</v>
      </c>
      <c r="Q15" s="449">
        <f t="shared" si="26"/>
        <v>0</v>
      </c>
      <c r="R15" s="449">
        <f t="shared" si="27"/>
        <v>0</v>
      </c>
      <c r="S15" s="445">
        <f t="shared" si="7"/>
        <v>10175</v>
      </c>
      <c r="T15" s="469">
        <f t="shared" si="3"/>
        <v>0</v>
      </c>
      <c r="U15" s="445">
        <f t="shared" si="7"/>
        <v>429166</v>
      </c>
      <c r="V15" s="449">
        <f t="shared" si="15"/>
        <v>0</v>
      </c>
      <c r="W15" s="445">
        <f t="shared" si="7"/>
        <v>32258</v>
      </c>
      <c r="X15" s="449">
        <f t="shared" si="22"/>
        <v>0</v>
      </c>
      <c r="Y15" s="445">
        <f t="shared" si="7"/>
        <v>710563</v>
      </c>
      <c r="Z15" s="449">
        <f t="shared" si="19"/>
        <v>0</v>
      </c>
      <c r="AA15" s="445">
        <f t="shared" si="7"/>
        <v>35819</v>
      </c>
      <c r="AB15" s="449">
        <f t="shared" si="16"/>
        <v>0</v>
      </c>
      <c r="AC15" s="445">
        <f t="shared" si="7"/>
        <v>936894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4"/>
        <v>0</v>
      </c>
      <c r="AI15" s="466">
        <f>R15-'EDl log'!B13</f>
        <v>-959658</v>
      </c>
    </row>
    <row r="16" spans="1:115">
      <c r="A16" s="457">
        <f>'General information '!F19</f>
        <v>0</v>
      </c>
      <c r="B16" s="451">
        <f t="shared" si="6"/>
        <v>0</v>
      </c>
      <c r="C16" s="458">
        <v>44300</v>
      </c>
      <c r="D16" s="445">
        <f t="shared" si="20"/>
        <v>32749798</v>
      </c>
      <c r="E16" s="311">
        <f t="shared" si="10"/>
        <v>0</v>
      </c>
      <c r="F16" s="445">
        <f t="shared" si="20"/>
        <v>3993124</v>
      </c>
      <c r="G16" s="312">
        <f t="shared" si="0"/>
        <v>0</v>
      </c>
      <c r="H16" s="445">
        <f t="shared" si="20"/>
        <v>17834590</v>
      </c>
      <c r="I16" s="312">
        <f t="shared" si="11"/>
        <v>0</v>
      </c>
      <c r="J16" s="445">
        <f t="shared" si="20"/>
        <v>28967566</v>
      </c>
      <c r="K16" s="312">
        <f t="shared" si="12"/>
        <v>0</v>
      </c>
      <c r="L16" s="445">
        <f t="shared" si="20"/>
        <v>24132662</v>
      </c>
      <c r="M16" s="312">
        <f t="shared" si="13"/>
        <v>0</v>
      </c>
      <c r="N16" s="310">
        <f t="shared" si="14"/>
        <v>0</v>
      </c>
      <c r="O16" s="467">
        <f t="shared" si="23"/>
        <v>0</v>
      </c>
      <c r="P16" s="445">
        <f t="shared" si="21"/>
        <v>16867.974999999999</v>
      </c>
      <c r="Q16" s="449">
        <f t="shared" si="26"/>
        <v>0</v>
      </c>
      <c r="R16" s="449">
        <f t="shared" si="27"/>
        <v>0</v>
      </c>
      <c r="S16" s="445">
        <f t="shared" si="7"/>
        <v>10175</v>
      </c>
      <c r="T16" s="469">
        <f t="shared" si="3"/>
        <v>0</v>
      </c>
      <c r="U16" s="445">
        <f t="shared" si="7"/>
        <v>429166</v>
      </c>
      <c r="V16" s="449">
        <f t="shared" si="15"/>
        <v>0</v>
      </c>
      <c r="W16" s="445">
        <f t="shared" si="7"/>
        <v>32258</v>
      </c>
      <c r="X16" s="449">
        <f>W16-W15</f>
        <v>0</v>
      </c>
      <c r="Y16" s="445">
        <f t="shared" si="7"/>
        <v>710563</v>
      </c>
      <c r="Z16" s="449">
        <f>Y16-Y15</f>
        <v>0</v>
      </c>
      <c r="AA16" s="445">
        <f t="shared" si="7"/>
        <v>35819</v>
      </c>
      <c r="AB16" s="449">
        <f>AA16-AA15</f>
        <v>0</v>
      </c>
      <c r="AC16" s="445">
        <f t="shared" si="7"/>
        <v>936894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4"/>
        <v>0</v>
      </c>
      <c r="AI16" s="466">
        <f>R16-'EDl log'!B14</f>
        <v>-959658</v>
      </c>
    </row>
    <row r="17" spans="1:35">
      <c r="A17" s="457">
        <f>'General information '!F20</f>
        <v>0</v>
      </c>
      <c r="B17" s="451">
        <f t="shared" si="6"/>
        <v>0</v>
      </c>
      <c r="C17" s="458">
        <v>44301</v>
      </c>
      <c r="D17" s="445">
        <f t="shared" si="20"/>
        <v>32749798</v>
      </c>
      <c r="E17" s="311">
        <f t="shared" si="10"/>
        <v>0</v>
      </c>
      <c r="F17" s="445">
        <f t="shared" si="20"/>
        <v>3993124</v>
      </c>
      <c r="G17" s="312">
        <f t="shared" si="0"/>
        <v>0</v>
      </c>
      <c r="H17" s="445">
        <f t="shared" si="20"/>
        <v>17834590</v>
      </c>
      <c r="I17" s="312">
        <f t="shared" si="11"/>
        <v>0</v>
      </c>
      <c r="J17" s="445">
        <f t="shared" si="20"/>
        <v>28967566</v>
      </c>
      <c r="K17" s="312">
        <f t="shared" si="12"/>
        <v>0</v>
      </c>
      <c r="L17" s="445">
        <f t="shared" si="20"/>
        <v>24132662</v>
      </c>
      <c r="M17" s="312">
        <f t="shared" si="13"/>
        <v>0</v>
      </c>
      <c r="N17" s="310">
        <f t="shared" si="14"/>
        <v>0</v>
      </c>
      <c r="O17" s="467">
        <f t="shared" si="23"/>
        <v>0</v>
      </c>
      <c r="P17" s="445">
        <f t="shared" si="21"/>
        <v>16867.974999999999</v>
      </c>
      <c r="Q17" s="449">
        <f t="shared" si="26"/>
        <v>0</v>
      </c>
      <c r="R17" s="449">
        <f t="shared" si="27"/>
        <v>0</v>
      </c>
      <c r="S17" s="445">
        <f t="shared" si="7"/>
        <v>10175</v>
      </c>
      <c r="T17" s="469">
        <f t="shared" si="3"/>
        <v>0</v>
      </c>
      <c r="U17" s="445">
        <f t="shared" si="7"/>
        <v>429166</v>
      </c>
      <c r="V17" s="449">
        <f t="shared" si="15"/>
        <v>0</v>
      </c>
      <c r="W17" s="445">
        <f t="shared" si="7"/>
        <v>32258</v>
      </c>
      <c r="X17" s="449">
        <f t="shared" si="22"/>
        <v>0</v>
      </c>
      <c r="Y17" s="445">
        <f t="shared" si="7"/>
        <v>710563</v>
      </c>
      <c r="Z17" s="449">
        <f t="shared" si="19"/>
        <v>0</v>
      </c>
      <c r="AA17" s="445">
        <f t="shared" si="7"/>
        <v>35819</v>
      </c>
      <c r="AB17" s="449">
        <f t="shared" si="16"/>
        <v>0</v>
      </c>
      <c r="AC17" s="445">
        <f t="shared" si="7"/>
        <v>936894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4"/>
        <v>0</v>
      </c>
      <c r="AI17" s="466">
        <f>R17-'EDl log'!B15</f>
        <v>-959658</v>
      </c>
    </row>
    <row r="18" spans="1:35">
      <c r="A18" s="457">
        <f>'General information '!F21</f>
        <v>0</v>
      </c>
      <c r="B18" s="451">
        <f t="shared" si="6"/>
        <v>0</v>
      </c>
      <c r="C18" s="458">
        <v>44302</v>
      </c>
      <c r="D18" s="445">
        <f t="shared" si="20"/>
        <v>32749798</v>
      </c>
      <c r="E18" s="311">
        <f t="shared" si="10"/>
        <v>0</v>
      </c>
      <c r="F18" s="445">
        <f t="shared" si="20"/>
        <v>3993124</v>
      </c>
      <c r="G18" s="312">
        <f t="shared" si="0"/>
        <v>0</v>
      </c>
      <c r="H18" s="445">
        <f t="shared" si="20"/>
        <v>17834590</v>
      </c>
      <c r="I18" s="312">
        <f t="shared" si="11"/>
        <v>0</v>
      </c>
      <c r="J18" s="445">
        <f t="shared" si="20"/>
        <v>28967566</v>
      </c>
      <c r="K18" s="312">
        <f t="shared" si="12"/>
        <v>0</v>
      </c>
      <c r="L18" s="445">
        <f t="shared" si="20"/>
        <v>24132662</v>
      </c>
      <c r="M18" s="312">
        <f t="shared" si="13"/>
        <v>0</v>
      </c>
      <c r="N18" s="310">
        <f t="shared" si="14"/>
        <v>0</v>
      </c>
      <c r="O18" s="467">
        <f t="shared" si="23"/>
        <v>0</v>
      </c>
      <c r="P18" s="445">
        <f t="shared" si="21"/>
        <v>16867.974999999999</v>
      </c>
      <c r="Q18" s="449">
        <f t="shared" si="26"/>
        <v>0</v>
      </c>
      <c r="R18" s="449">
        <f t="shared" si="27"/>
        <v>0</v>
      </c>
      <c r="S18" s="445">
        <f t="shared" si="7"/>
        <v>10175</v>
      </c>
      <c r="T18" s="469">
        <f t="shared" si="3"/>
        <v>0</v>
      </c>
      <c r="U18" s="445">
        <f t="shared" si="7"/>
        <v>429166</v>
      </c>
      <c r="V18" s="449">
        <f t="shared" si="15"/>
        <v>0</v>
      </c>
      <c r="W18" s="445">
        <f t="shared" si="7"/>
        <v>32258</v>
      </c>
      <c r="X18" s="449">
        <f t="shared" si="22"/>
        <v>0</v>
      </c>
      <c r="Y18" s="445">
        <f t="shared" si="7"/>
        <v>710563</v>
      </c>
      <c r="Z18" s="449">
        <f t="shared" si="19"/>
        <v>0</v>
      </c>
      <c r="AA18" s="445">
        <f t="shared" si="7"/>
        <v>35819</v>
      </c>
      <c r="AB18" s="449">
        <f t="shared" si="16"/>
        <v>0</v>
      </c>
      <c r="AC18" s="445">
        <f t="shared" si="7"/>
        <v>936894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4"/>
        <v>0</v>
      </c>
      <c r="AI18" s="466">
        <f>R18-'EDl log'!B16</f>
        <v>-959658</v>
      </c>
    </row>
    <row r="19" spans="1:35">
      <c r="A19" s="457">
        <f>'General information '!F22</f>
        <v>0</v>
      </c>
      <c r="B19" s="451">
        <f t="shared" si="6"/>
        <v>0</v>
      </c>
      <c r="C19" s="458">
        <v>44303</v>
      </c>
      <c r="D19" s="445">
        <f t="shared" si="20"/>
        <v>32749798</v>
      </c>
      <c r="E19" s="311">
        <f t="shared" si="10"/>
        <v>0</v>
      </c>
      <c r="F19" s="445">
        <f t="shared" si="20"/>
        <v>3993124</v>
      </c>
      <c r="G19" s="312">
        <f t="shared" si="0"/>
        <v>0</v>
      </c>
      <c r="H19" s="445">
        <f t="shared" si="20"/>
        <v>17834590</v>
      </c>
      <c r="I19" s="312">
        <f t="shared" si="11"/>
        <v>0</v>
      </c>
      <c r="J19" s="445">
        <f t="shared" si="20"/>
        <v>28967566</v>
      </c>
      <c r="K19" s="312">
        <f t="shared" si="12"/>
        <v>0</v>
      </c>
      <c r="L19" s="445">
        <f t="shared" si="20"/>
        <v>24132662</v>
      </c>
      <c r="M19" s="312">
        <f t="shared" si="13"/>
        <v>0</v>
      </c>
      <c r="N19" s="310">
        <f t="shared" si="14"/>
        <v>0</v>
      </c>
      <c r="O19" s="467">
        <f t="shared" si="23"/>
        <v>0</v>
      </c>
      <c r="P19" s="445">
        <f t="shared" si="21"/>
        <v>16867.974999999999</v>
      </c>
      <c r="Q19" s="449">
        <f t="shared" si="26"/>
        <v>0</v>
      </c>
      <c r="R19" s="449">
        <f t="shared" si="27"/>
        <v>0</v>
      </c>
      <c r="S19" s="445">
        <f t="shared" si="7"/>
        <v>10175</v>
      </c>
      <c r="T19" s="469">
        <f t="shared" si="3"/>
        <v>0</v>
      </c>
      <c r="U19" s="445">
        <f t="shared" si="7"/>
        <v>429166</v>
      </c>
      <c r="V19" s="449">
        <f t="shared" si="15"/>
        <v>0</v>
      </c>
      <c r="W19" s="445">
        <f t="shared" si="7"/>
        <v>32258</v>
      </c>
      <c r="X19" s="449">
        <f t="shared" si="22"/>
        <v>0</v>
      </c>
      <c r="Y19" s="445">
        <f t="shared" si="7"/>
        <v>710563</v>
      </c>
      <c r="Z19" s="449">
        <f t="shared" si="19"/>
        <v>0</v>
      </c>
      <c r="AA19" s="445">
        <f t="shared" si="7"/>
        <v>35819</v>
      </c>
      <c r="AB19" s="449">
        <f t="shared" si="16"/>
        <v>0</v>
      </c>
      <c r="AC19" s="445">
        <f t="shared" si="7"/>
        <v>936894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4"/>
        <v>0</v>
      </c>
      <c r="AI19" s="466">
        <f>R19-'EDl log'!B17</f>
        <v>-959658</v>
      </c>
    </row>
    <row r="20" spans="1:35">
      <c r="A20" s="457">
        <f>'General information '!F23</f>
        <v>0</v>
      </c>
      <c r="B20" s="451">
        <f t="shared" si="6"/>
        <v>0</v>
      </c>
      <c r="C20" s="458">
        <v>44304</v>
      </c>
      <c r="D20" s="445">
        <f t="shared" si="20"/>
        <v>32749798</v>
      </c>
      <c r="E20" s="311">
        <f t="shared" si="10"/>
        <v>0</v>
      </c>
      <c r="F20" s="445">
        <f t="shared" si="20"/>
        <v>3993124</v>
      </c>
      <c r="G20" s="312">
        <f t="shared" si="0"/>
        <v>0</v>
      </c>
      <c r="H20" s="445">
        <f t="shared" si="20"/>
        <v>17834590</v>
      </c>
      <c r="I20" s="312">
        <f t="shared" si="11"/>
        <v>0</v>
      </c>
      <c r="J20" s="445">
        <f t="shared" si="20"/>
        <v>28967566</v>
      </c>
      <c r="K20" s="312">
        <f t="shared" si="12"/>
        <v>0</v>
      </c>
      <c r="L20" s="445">
        <f t="shared" si="20"/>
        <v>24132662</v>
      </c>
      <c r="M20" s="312">
        <f t="shared" si="13"/>
        <v>0</v>
      </c>
      <c r="N20" s="310">
        <f t="shared" si="14"/>
        <v>0</v>
      </c>
      <c r="O20" s="467">
        <f t="shared" si="23"/>
        <v>0</v>
      </c>
      <c r="P20" s="445">
        <f t="shared" si="21"/>
        <v>16867.974999999999</v>
      </c>
      <c r="Q20" s="449">
        <f t="shared" si="26"/>
        <v>0</v>
      </c>
      <c r="R20" s="449">
        <f t="shared" si="27"/>
        <v>0</v>
      </c>
      <c r="S20" s="445">
        <f t="shared" si="7"/>
        <v>10175</v>
      </c>
      <c r="T20" s="469">
        <f t="shared" si="3"/>
        <v>0</v>
      </c>
      <c r="U20" s="445">
        <f t="shared" si="7"/>
        <v>429166</v>
      </c>
      <c r="V20" s="449">
        <f t="shared" si="15"/>
        <v>0</v>
      </c>
      <c r="W20" s="445">
        <f t="shared" si="7"/>
        <v>32258</v>
      </c>
      <c r="X20" s="449">
        <f t="shared" si="22"/>
        <v>0</v>
      </c>
      <c r="Y20" s="445">
        <f t="shared" si="7"/>
        <v>710563</v>
      </c>
      <c r="Z20" s="449">
        <f t="shared" si="19"/>
        <v>0</v>
      </c>
      <c r="AA20" s="445">
        <f t="shared" si="7"/>
        <v>35819</v>
      </c>
      <c r="AB20" s="449">
        <f t="shared" si="16"/>
        <v>0</v>
      </c>
      <c r="AC20" s="445">
        <f t="shared" si="7"/>
        <v>936894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4"/>
        <v>0</v>
      </c>
      <c r="AI20" s="466">
        <f>R20-'EDl log'!B18</f>
        <v>-959658</v>
      </c>
    </row>
    <row r="21" spans="1:35">
      <c r="A21" s="457">
        <f>'General information '!F24</f>
        <v>0</v>
      </c>
      <c r="B21" s="451">
        <f t="shared" si="6"/>
        <v>0</v>
      </c>
      <c r="C21" s="458">
        <v>44305</v>
      </c>
      <c r="D21" s="445">
        <f t="shared" si="20"/>
        <v>32749798</v>
      </c>
      <c r="E21" s="311">
        <f t="shared" si="10"/>
        <v>0</v>
      </c>
      <c r="F21" s="445">
        <f t="shared" si="20"/>
        <v>3993124</v>
      </c>
      <c r="G21" s="312">
        <f t="shared" si="0"/>
        <v>0</v>
      </c>
      <c r="H21" s="445">
        <f t="shared" si="20"/>
        <v>17834590</v>
      </c>
      <c r="I21" s="312">
        <f t="shared" si="11"/>
        <v>0</v>
      </c>
      <c r="J21" s="445">
        <f t="shared" si="20"/>
        <v>28967566</v>
      </c>
      <c r="K21" s="312">
        <f t="shared" si="12"/>
        <v>0</v>
      </c>
      <c r="L21" s="445">
        <f t="shared" si="20"/>
        <v>24132662</v>
      </c>
      <c r="M21" s="312">
        <f t="shared" si="13"/>
        <v>0</v>
      </c>
      <c r="N21" s="310">
        <f t="shared" si="14"/>
        <v>0</v>
      </c>
      <c r="O21" s="467">
        <f t="shared" si="23"/>
        <v>0</v>
      </c>
      <c r="P21" s="445">
        <f t="shared" si="21"/>
        <v>16867.974999999999</v>
      </c>
      <c r="Q21" s="449">
        <f t="shared" si="26"/>
        <v>0</v>
      </c>
      <c r="R21" s="449">
        <f t="shared" si="27"/>
        <v>0</v>
      </c>
      <c r="S21" s="445">
        <f t="shared" si="7"/>
        <v>10175</v>
      </c>
      <c r="T21" s="469">
        <f t="shared" si="3"/>
        <v>0</v>
      </c>
      <c r="U21" s="445">
        <f t="shared" si="7"/>
        <v>429166</v>
      </c>
      <c r="V21" s="449">
        <f t="shared" si="15"/>
        <v>0</v>
      </c>
      <c r="W21" s="445">
        <f t="shared" si="7"/>
        <v>32258</v>
      </c>
      <c r="X21" s="449">
        <f t="shared" si="22"/>
        <v>0</v>
      </c>
      <c r="Y21" s="445">
        <f t="shared" si="7"/>
        <v>710563</v>
      </c>
      <c r="Z21" s="449">
        <f t="shared" si="19"/>
        <v>0</v>
      </c>
      <c r="AA21" s="445">
        <f t="shared" si="7"/>
        <v>35819</v>
      </c>
      <c r="AB21" s="449">
        <f t="shared" si="16"/>
        <v>0</v>
      </c>
      <c r="AC21" s="445">
        <f t="shared" si="7"/>
        <v>936894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4"/>
        <v>0</v>
      </c>
      <c r="AI21" s="466">
        <f>R21-'EDl log'!B19</f>
        <v>-959658</v>
      </c>
    </row>
    <row r="22" spans="1:35">
      <c r="A22" s="457">
        <f>'General information '!F25</f>
        <v>0</v>
      </c>
      <c r="B22" s="451">
        <f t="shared" si="6"/>
        <v>0</v>
      </c>
      <c r="C22" s="458">
        <v>44306</v>
      </c>
      <c r="D22" s="445">
        <f t="shared" si="20"/>
        <v>32749798</v>
      </c>
      <c r="E22" s="311">
        <f t="shared" si="10"/>
        <v>0</v>
      </c>
      <c r="F22" s="445">
        <f t="shared" si="20"/>
        <v>3993124</v>
      </c>
      <c r="G22" s="312">
        <f t="shared" si="0"/>
        <v>0</v>
      </c>
      <c r="H22" s="445">
        <f t="shared" si="20"/>
        <v>17834590</v>
      </c>
      <c r="I22" s="312">
        <f t="shared" si="11"/>
        <v>0</v>
      </c>
      <c r="J22" s="445">
        <f t="shared" si="20"/>
        <v>28967566</v>
      </c>
      <c r="K22" s="312">
        <f t="shared" si="12"/>
        <v>0</v>
      </c>
      <c r="L22" s="445">
        <f t="shared" si="20"/>
        <v>24132662</v>
      </c>
      <c r="M22" s="312">
        <f t="shared" si="13"/>
        <v>0</v>
      </c>
      <c r="N22" s="310">
        <f t="shared" si="14"/>
        <v>0</v>
      </c>
      <c r="O22" s="467">
        <f t="shared" si="23"/>
        <v>0</v>
      </c>
      <c r="P22" s="445">
        <f t="shared" si="21"/>
        <v>16867.974999999999</v>
      </c>
      <c r="Q22" s="449">
        <f t="shared" si="26"/>
        <v>0</v>
      </c>
      <c r="R22" s="449">
        <f t="shared" si="27"/>
        <v>0</v>
      </c>
      <c r="S22" s="445">
        <f t="shared" si="7"/>
        <v>10175</v>
      </c>
      <c r="T22" s="469">
        <f t="shared" si="3"/>
        <v>0</v>
      </c>
      <c r="U22" s="445">
        <f t="shared" si="7"/>
        <v>429166</v>
      </c>
      <c r="V22" s="449">
        <f t="shared" si="15"/>
        <v>0</v>
      </c>
      <c r="W22" s="445">
        <f t="shared" si="7"/>
        <v>32258</v>
      </c>
      <c r="X22" s="449">
        <f t="shared" si="22"/>
        <v>0</v>
      </c>
      <c r="Y22" s="445">
        <f t="shared" si="7"/>
        <v>710563</v>
      </c>
      <c r="Z22" s="449">
        <f t="shared" si="19"/>
        <v>0</v>
      </c>
      <c r="AA22" s="445">
        <f t="shared" si="7"/>
        <v>35819</v>
      </c>
      <c r="AB22" s="449">
        <f t="shared" si="16"/>
        <v>0</v>
      </c>
      <c r="AC22" s="445">
        <f t="shared" si="7"/>
        <v>936894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4"/>
        <v>0</v>
      </c>
      <c r="AI22" s="466">
        <f>R22-'EDl log'!B20</f>
        <v>-959658</v>
      </c>
    </row>
    <row r="23" spans="1:35">
      <c r="A23" s="457">
        <f>'General information '!F26</f>
        <v>0</v>
      </c>
      <c r="B23" s="451">
        <f t="shared" si="6"/>
        <v>0</v>
      </c>
      <c r="C23" s="458">
        <v>44307</v>
      </c>
      <c r="D23" s="445">
        <f t="shared" si="20"/>
        <v>32749798</v>
      </c>
      <c r="E23" s="311">
        <f t="shared" si="10"/>
        <v>0</v>
      </c>
      <c r="F23" s="445">
        <f t="shared" si="20"/>
        <v>3993124</v>
      </c>
      <c r="G23" s="312">
        <f t="shared" si="0"/>
        <v>0</v>
      </c>
      <c r="H23" s="445">
        <f t="shared" si="20"/>
        <v>17834590</v>
      </c>
      <c r="I23" s="438">
        <f t="shared" si="11"/>
        <v>0</v>
      </c>
      <c r="J23" s="445">
        <f t="shared" si="20"/>
        <v>28967566</v>
      </c>
      <c r="K23" s="312">
        <f t="shared" si="12"/>
        <v>0</v>
      </c>
      <c r="L23" s="445">
        <f t="shared" si="20"/>
        <v>24132662</v>
      </c>
      <c r="M23" s="312">
        <f t="shared" si="13"/>
        <v>0</v>
      </c>
      <c r="N23" s="310">
        <f t="shared" si="14"/>
        <v>0</v>
      </c>
      <c r="O23" s="467">
        <f t="shared" si="23"/>
        <v>0</v>
      </c>
      <c r="P23" s="445">
        <f t="shared" si="21"/>
        <v>16867.974999999999</v>
      </c>
      <c r="Q23" s="449">
        <f t="shared" si="26"/>
        <v>0</v>
      </c>
      <c r="R23" s="449">
        <f t="shared" si="27"/>
        <v>0</v>
      </c>
      <c r="S23" s="445">
        <f t="shared" si="7"/>
        <v>10175</v>
      </c>
      <c r="T23" s="469">
        <f t="shared" si="3"/>
        <v>0</v>
      </c>
      <c r="U23" s="445">
        <f t="shared" si="7"/>
        <v>429166</v>
      </c>
      <c r="V23" s="449">
        <f t="shared" si="15"/>
        <v>0</v>
      </c>
      <c r="W23" s="445">
        <f t="shared" si="7"/>
        <v>32258</v>
      </c>
      <c r="X23" s="449">
        <f t="shared" si="22"/>
        <v>0</v>
      </c>
      <c r="Y23" s="445">
        <f t="shared" si="7"/>
        <v>710563</v>
      </c>
      <c r="Z23" s="449">
        <f t="shared" si="19"/>
        <v>0</v>
      </c>
      <c r="AA23" s="445">
        <f t="shared" si="7"/>
        <v>35819</v>
      </c>
      <c r="AB23" s="449">
        <f t="shared" si="16"/>
        <v>0</v>
      </c>
      <c r="AC23" s="445">
        <f t="shared" si="7"/>
        <v>936894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4"/>
        <v>0</v>
      </c>
      <c r="AI23" s="466">
        <f>R23-'EDl log'!B21</f>
        <v>-959658</v>
      </c>
    </row>
    <row r="24" spans="1:35">
      <c r="A24" s="457">
        <f>'General information '!F27</f>
        <v>0</v>
      </c>
      <c r="B24" s="451">
        <f t="shared" si="6"/>
        <v>0</v>
      </c>
      <c r="C24" s="458">
        <v>44308</v>
      </c>
      <c r="D24" s="445">
        <f t="shared" si="20"/>
        <v>32749798</v>
      </c>
      <c r="E24" s="311">
        <f t="shared" si="10"/>
        <v>0</v>
      </c>
      <c r="F24" s="445">
        <f t="shared" si="20"/>
        <v>3993124</v>
      </c>
      <c r="G24" s="312">
        <f t="shared" si="0"/>
        <v>0</v>
      </c>
      <c r="H24" s="445">
        <f t="shared" si="20"/>
        <v>17834590</v>
      </c>
      <c r="I24" s="312">
        <f t="shared" si="11"/>
        <v>0</v>
      </c>
      <c r="J24" s="445">
        <f t="shared" si="20"/>
        <v>28967566</v>
      </c>
      <c r="K24" s="312">
        <f t="shared" si="12"/>
        <v>0</v>
      </c>
      <c r="L24" s="445">
        <f t="shared" si="20"/>
        <v>24132662</v>
      </c>
      <c r="M24" s="312">
        <f t="shared" si="13"/>
        <v>0</v>
      </c>
      <c r="N24" s="310">
        <f t="shared" si="14"/>
        <v>0</v>
      </c>
      <c r="O24" s="467">
        <f t="shared" si="23"/>
        <v>0</v>
      </c>
      <c r="P24" s="445">
        <f t="shared" si="21"/>
        <v>16867.974999999999</v>
      </c>
      <c r="Q24" s="449">
        <f t="shared" si="26"/>
        <v>0</v>
      </c>
      <c r="R24" s="449">
        <f t="shared" si="27"/>
        <v>0</v>
      </c>
      <c r="S24" s="445">
        <f t="shared" si="7"/>
        <v>10175</v>
      </c>
      <c r="T24" s="469">
        <f t="shared" si="3"/>
        <v>0</v>
      </c>
      <c r="U24" s="445">
        <f t="shared" si="7"/>
        <v>429166</v>
      </c>
      <c r="V24" s="449">
        <f t="shared" si="15"/>
        <v>0</v>
      </c>
      <c r="W24" s="445">
        <f t="shared" si="7"/>
        <v>32258</v>
      </c>
      <c r="X24" s="449">
        <f t="shared" si="22"/>
        <v>0</v>
      </c>
      <c r="Y24" s="445">
        <f t="shared" si="7"/>
        <v>710563</v>
      </c>
      <c r="Z24" s="449">
        <f t="shared" si="19"/>
        <v>0</v>
      </c>
      <c r="AA24" s="445">
        <f t="shared" si="7"/>
        <v>35819</v>
      </c>
      <c r="AB24" s="449">
        <f t="shared" si="16"/>
        <v>0</v>
      </c>
      <c r="AC24" s="445">
        <f t="shared" si="7"/>
        <v>936894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4"/>
        <v>0</v>
      </c>
      <c r="AI24" s="466">
        <f>R24-'EDl log'!B22</f>
        <v>-959658</v>
      </c>
    </row>
    <row r="25" spans="1:35">
      <c r="A25" s="457">
        <f>'General information '!F28</f>
        <v>0</v>
      </c>
      <c r="B25" s="451">
        <f t="shared" si="6"/>
        <v>0</v>
      </c>
      <c r="C25" s="458">
        <v>44309</v>
      </c>
      <c r="D25" s="445">
        <f t="shared" si="20"/>
        <v>32749798</v>
      </c>
      <c r="E25" s="311">
        <f t="shared" si="10"/>
        <v>0</v>
      </c>
      <c r="F25" s="445">
        <f t="shared" si="20"/>
        <v>3993124</v>
      </c>
      <c r="G25" s="312">
        <f t="shared" si="0"/>
        <v>0</v>
      </c>
      <c r="H25" s="445">
        <f t="shared" si="20"/>
        <v>17834590</v>
      </c>
      <c r="I25" s="312">
        <f t="shared" si="11"/>
        <v>0</v>
      </c>
      <c r="J25" s="445">
        <f t="shared" si="20"/>
        <v>28967566</v>
      </c>
      <c r="K25" s="312">
        <f t="shared" si="12"/>
        <v>0</v>
      </c>
      <c r="L25" s="445">
        <f t="shared" si="20"/>
        <v>24132662</v>
      </c>
      <c r="M25" s="312">
        <f t="shared" si="13"/>
        <v>0</v>
      </c>
      <c r="N25" s="310">
        <f t="shared" si="14"/>
        <v>0</v>
      </c>
      <c r="O25" s="467">
        <f t="shared" si="23"/>
        <v>0</v>
      </c>
      <c r="P25" s="445">
        <f t="shared" si="21"/>
        <v>16867.974999999999</v>
      </c>
      <c r="Q25" s="449">
        <f t="shared" si="26"/>
        <v>0</v>
      </c>
      <c r="R25" s="449">
        <f t="shared" si="27"/>
        <v>0</v>
      </c>
      <c r="S25" s="445">
        <f t="shared" si="7"/>
        <v>10175</v>
      </c>
      <c r="T25" s="469">
        <f t="shared" si="3"/>
        <v>0</v>
      </c>
      <c r="U25" s="445">
        <f t="shared" si="7"/>
        <v>429166</v>
      </c>
      <c r="V25" s="449">
        <f t="shared" si="15"/>
        <v>0</v>
      </c>
      <c r="W25" s="445">
        <f t="shared" si="7"/>
        <v>32258</v>
      </c>
      <c r="X25" s="449">
        <f t="shared" si="22"/>
        <v>0</v>
      </c>
      <c r="Y25" s="445">
        <f t="shared" si="7"/>
        <v>710563</v>
      </c>
      <c r="Z25" s="449">
        <f t="shared" si="19"/>
        <v>0</v>
      </c>
      <c r="AA25" s="445">
        <f t="shared" si="7"/>
        <v>35819</v>
      </c>
      <c r="AB25" s="449">
        <f t="shared" si="16"/>
        <v>0</v>
      </c>
      <c r="AC25" s="445">
        <f t="shared" si="7"/>
        <v>936894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4"/>
        <v>0</v>
      </c>
      <c r="AI25" s="466">
        <f>R25-'EDl log'!B23</f>
        <v>-959658</v>
      </c>
    </row>
    <row r="26" spans="1:35">
      <c r="A26" s="457">
        <f>'General information '!F29</f>
        <v>0</v>
      </c>
      <c r="B26" s="451">
        <f t="shared" si="6"/>
        <v>0</v>
      </c>
      <c r="C26" s="458">
        <v>44310</v>
      </c>
      <c r="D26" s="445">
        <f t="shared" si="20"/>
        <v>32749798</v>
      </c>
      <c r="E26" s="311">
        <f t="shared" si="10"/>
        <v>0</v>
      </c>
      <c r="F26" s="445">
        <f t="shared" si="20"/>
        <v>3993124</v>
      </c>
      <c r="G26" s="312">
        <f t="shared" si="0"/>
        <v>0</v>
      </c>
      <c r="H26" s="445">
        <f t="shared" si="20"/>
        <v>17834590</v>
      </c>
      <c r="I26" s="312">
        <f t="shared" si="11"/>
        <v>0</v>
      </c>
      <c r="J26" s="445">
        <f t="shared" si="20"/>
        <v>28967566</v>
      </c>
      <c r="K26" s="312">
        <f t="shared" si="12"/>
        <v>0</v>
      </c>
      <c r="L26" s="445">
        <f t="shared" si="20"/>
        <v>24132662</v>
      </c>
      <c r="M26" s="312">
        <f t="shared" si="13"/>
        <v>0</v>
      </c>
      <c r="N26" s="310">
        <f t="shared" si="14"/>
        <v>0</v>
      </c>
      <c r="O26" s="467">
        <f t="shared" si="23"/>
        <v>0</v>
      </c>
      <c r="P26" s="445">
        <f t="shared" si="21"/>
        <v>16867.974999999999</v>
      </c>
      <c r="Q26" s="449">
        <f t="shared" si="26"/>
        <v>0</v>
      </c>
      <c r="R26" s="449">
        <f t="shared" si="27"/>
        <v>0</v>
      </c>
      <c r="S26" s="445">
        <f t="shared" si="7"/>
        <v>10175</v>
      </c>
      <c r="T26" s="469">
        <f t="shared" si="3"/>
        <v>0</v>
      </c>
      <c r="U26" s="445">
        <f t="shared" si="7"/>
        <v>429166</v>
      </c>
      <c r="V26" s="449">
        <f t="shared" si="15"/>
        <v>0</v>
      </c>
      <c r="W26" s="445">
        <f t="shared" si="7"/>
        <v>32258</v>
      </c>
      <c r="X26" s="449">
        <f t="shared" si="22"/>
        <v>0</v>
      </c>
      <c r="Y26" s="445">
        <f t="shared" si="7"/>
        <v>710563</v>
      </c>
      <c r="Z26" s="449">
        <f t="shared" si="19"/>
        <v>0</v>
      </c>
      <c r="AA26" s="445">
        <f t="shared" si="7"/>
        <v>35819</v>
      </c>
      <c r="AB26" s="449">
        <f t="shared" si="16"/>
        <v>0</v>
      </c>
      <c r="AC26" s="445">
        <f t="shared" si="7"/>
        <v>936894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4"/>
        <v>0</v>
      </c>
      <c r="AI26" s="466">
        <f>R26-'EDl log'!B24</f>
        <v>-959658</v>
      </c>
    </row>
    <row r="27" spans="1:35">
      <c r="A27" s="457">
        <f>'General information '!F30</f>
        <v>0</v>
      </c>
      <c r="B27" s="451">
        <f t="shared" si="6"/>
        <v>0</v>
      </c>
      <c r="C27" s="458">
        <v>44311</v>
      </c>
      <c r="D27" s="445">
        <f t="shared" si="20"/>
        <v>32749798</v>
      </c>
      <c r="E27" s="311">
        <f t="shared" si="10"/>
        <v>0</v>
      </c>
      <c r="F27" s="445">
        <f t="shared" si="20"/>
        <v>3993124</v>
      </c>
      <c r="G27" s="312">
        <f>F27-F26</f>
        <v>0</v>
      </c>
      <c r="H27" s="445">
        <f t="shared" si="20"/>
        <v>17834590</v>
      </c>
      <c r="I27" s="312">
        <f t="shared" si="11"/>
        <v>0</v>
      </c>
      <c r="J27" s="445">
        <f t="shared" si="20"/>
        <v>28967566</v>
      </c>
      <c r="K27" s="312">
        <f t="shared" si="12"/>
        <v>0</v>
      </c>
      <c r="L27" s="445">
        <f t="shared" si="20"/>
        <v>24132662</v>
      </c>
      <c r="M27" s="312">
        <f t="shared" si="13"/>
        <v>0</v>
      </c>
      <c r="N27" s="310">
        <f t="shared" si="14"/>
        <v>0</v>
      </c>
      <c r="O27" s="467">
        <f t="shared" si="23"/>
        <v>0</v>
      </c>
      <c r="P27" s="445">
        <f t="shared" si="21"/>
        <v>16867.974999999999</v>
      </c>
      <c r="Q27" s="449">
        <f t="shared" si="26"/>
        <v>0</v>
      </c>
      <c r="R27" s="449">
        <f t="shared" si="27"/>
        <v>0</v>
      </c>
      <c r="S27" s="445">
        <f t="shared" si="7"/>
        <v>10175</v>
      </c>
      <c r="T27" s="469">
        <f t="shared" si="3"/>
        <v>0</v>
      </c>
      <c r="U27" s="445">
        <f t="shared" si="7"/>
        <v>429166</v>
      </c>
      <c r="V27" s="449">
        <f t="shared" si="15"/>
        <v>0</v>
      </c>
      <c r="W27" s="445">
        <f t="shared" si="7"/>
        <v>32258</v>
      </c>
      <c r="X27" s="449">
        <f t="shared" si="22"/>
        <v>0</v>
      </c>
      <c r="Y27" s="445">
        <f t="shared" si="7"/>
        <v>710563</v>
      </c>
      <c r="Z27" s="449">
        <f t="shared" si="19"/>
        <v>0</v>
      </c>
      <c r="AA27" s="445">
        <f t="shared" si="7"/>
        <v>35819</v>
      </c>
      <c r="AB27" s="449">
        <f t="shared" si="16"/>
        <v>0</v>
      </c>
      <c r="AC27" s="445">
        <f t="shared" si="7"/>
        <v>936894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4"/>
        <v>0</v>
      </c>
      <c r="AI27" s="466">
        <f>R27-'EDl log'!B25</f>
        <v>-959658</v>
      </c>
    </row>
    <row r="28" spans="1:35">
      <c r="A28" s="457">
        <f>'General information '!F31</f>
        <v>0</v>
      </c>
      <c r="B28" s="451">
        <f t="shared" si="6"/>
        <v>0</v>
      </c>
      <c r="C28" s="458">
        <v>44312</v>
      </c>
      <c r="D28" s="445">
        <f t="shared" si="20"/>
        <v>32749798</v>
      </c>
      <c r="E28" s="311">
        <f t="shared" si="10"/>
        <v>0</v>
      </c>
      <c r="F28" s="445">
        <f t="shared" si="20"/>
        <v>3993124</v>
      </c>
      <c r="G28" s="312">
        <f t="shared" si="0"/>
        <v>0</v>
      </c>
      <c r="H28" s="445">
        <f t="shared" si="20"/>
        <v>17834590</v>
      </c>
      <c r="I28" s="312">
        <f t="shared" si="11"/>
        <v>0</v>
      </c>
      <c r="J28" s="445">
        <f t="shared" si="20"/>
        <v>28967566</v>
      </c>
      <c r="K28" s="312">
        <f t="shared" si="12"/>
        <v>0</v>
      </c>
      <c r="L28" s="445">
        <f t="shared" si="20"/>
        <v>24132662</v>
      </c>
      <c r="M28" s="312">
        <f t="shared" si="13"/>
        <v>0</v>
      </c>
      <c r="N28" s="310">
        <f t="shared" si="14"/>
        <v>0</v>
      </c>
      <c r="O28" s="467">
        <f t="shared" si="23"/>
        <v>0</v>
      </c>
      <c r="P28" s="445">
        <f t="shared" si="21"/>
        <v>16867.974999999999</v>
      </c>
      <c r="Q28" s="449">
        <f t="shared" si="26"/>
        <v>0</v>
      </c>
      <c r="R28" s="449">
        <f t="shared" si="27"/>
        <v>0</v>
      </c>
      <c r="S28" s="445">
        <f t="shared" si="7"/>
        <v>10175</v>
      </c>
      <c r="T28" s="469">
        <f t="shared" si="3"/>
        <v>0</v>
      </c>
      <c r="U28" s="445">
        <f t="shared" si="7"/>
        <v>429166</v>
      </c>
      <c r="V28" s="449">
        <f t="shared" si="15"/>
        <v>0</v>
      </c>
      <c r="W28" s="445">
        <f t="shared" si="7"/>
        <v>32258</v>
      </c>
      <c r="X28" s="449">
        <f t="shared" si="22"/>
        <v>0</v>
      </c>
      <c r="Y28" s="445">
        <f t="shared" si="7"/>
        <v>710563</v>
      </c>
      <c r="Z28" s="449">
        <f t="shared" si="19"/>
        <v>0</v>
      </c>
      <c r="AA28" s="445">
        <f t="shared" si="7"/>
        <v>35819</v>
      </c>
      <c r="AB28" s="449">
        <f t="shared" si="16"/>
        <v>0</v>
      </c>
      <c r="AC28" s="445">
        <f t="shared" si="7"/>
        <v>936894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4"/>
        <v>0</v>
      </c>
      <c r="AI28" s="466">
        <f>R28-'EDl log'!B26</f>
        <v>-959658</v>
      </c>
    </row>
    <row r="29" spans="1:35">
      <c r="A29" s="457">
        <f>'General information '!F32</f>
        <v>0</v>
      </c>
      <c r="B29" s="451">
        <f>SUM(230*A29)</f>
        <v>0</v>
      </c>
      <c r="C29" s="458">
        <v>44313</v>
      </c>
      <c r="D29" s="445">
        <f t="shared" si="20"/>
        <v>32749798</v>
      </c>
      <c r="E29" s="311">
        <f t="shared" si="10"/>
        <v>0</v>
      </c>
      <c r="F29" s="445">
        <f t="shared" si="20"/>
        <v>3993124</v>
      </c>
      <c r="G29" s="312">
        <f t="shared" si="0"/>
        <v>0</v>
      </c>
      <c r="H29" s="445">
        <f t="shared" si="20"/>
        <v>17834590</v>
      </c>
      <c r="I29" s="312">
        <f t="shared" si="11"/>
        <v>0</v>
      </c>
      <c r="J29" s="445">
        <f t="shared" si="20"/>
        <v>28967566</v>
      </c>
      <c r="K29" s="312">
        <f t="shared" si="12"/>
        <v>0</v>
      </c>
      <c r="L29" s="445">
        <f t="shared" si="20"/>
        <v>24132662</v>
      </c>
      <c r="M29" s="312">
        <f t="shared" si="13"/>
        <v>0</v>
      </c>
      <c r="N29" s="310">
        <f t="shared" si="14"/>
        <v>0</v>
      </c>
      <c r="O29" s="467">
        <f t="shared" si="23"/>
        <v>0</v>
      </c>
      <c r="P29" s="445">
        <f t="shared" si="21"/>
        <v>16867.974999999999</v>
      </c>
      <c r="Q29" s="449">
        <f t="shared" si="26"/>
        <v>0</v>
      </c>
      <c r="R29" s="449">
        <f t="shared" si="27"/>
        <v>0</v>
      </c>
      <c r="S29" s="445">
        <f t="shared" si="7"/>
        <v>10175</v>
      </c>
      <c r="T29" s="469">
        <f t="shared" si="3"/>
        <v>0</v>
      </c>
      <c r="U29" s="445">
        <f t="shared" si="7"/>
        <v>429166</v>
      </c>
      <c r="V29" s="449">
        <f t="shared" si="15"/>
        <v>0</v>
      </c>
      <c r="W29" s="445">
        <f t="shared" si="7"/>
        <v>32258</v>
      </c>
      <c r="X29" s="449">
        <f t="shared" si="22"/>
        <v>0</v>
      </c>
      <c r="Y29" s="445">
        <f t="shared" si="7"/>
        <v>710563</v>
      </c>
      <c r="Z29" s="449">
        <f t="shared" si="19"/>
        <v>0</v>
      </c>
      <c r="AA29" s="445">
        <f t="shared" si="7"/>
        <v>35819</v>
      </c>
      <c r="AB29" s="449">
        <f t="shared" si="16"/>
        <v>0</v>
      </c>
      <c r="AC29" s="445">
        <f t="shared" si="7"/>
        <v>936894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4"/>
        <v>0</v>
      </c>
      <c r="AI29" s="466">
        <f>R29-'EDl log'!B27</f>
        <v>-959658</v>
      </c>
    </row>
    <row r="30" spans="1:35">
      <c r="A30" s="457">
        <f>'General information '!F33</f>
        <v>0</v>
      </c>
      <c r="B30" s="451">
        <f t="shared" si="6"/>
        <v>0</v>
      </c>
      <c r="C30" s="458">
        <v>44314</v>
      </c>
      <c r="D30" s="445">
        <f t="shared" si="20"/>
        <v>32749798</v>
      </c>
      <c r="E30" s="311">
        <f t="shared" si="10"/>
        <v>0</v>
      </c>
      <c r="F30" s="445">
        <f t="shared" si="20"/>
        <v>3993124</v>
      </c>
      <c r="G30" s="312">
        <f t="shared" si="0"/>
        <v>0</v>
      </c>
      <c r="H30" s="445">
        <f t="shared" si="20"/>
        <v>17834590</v>
      </c>
      <c r="I30" s="312">
        <f t="shared" si="11"/>
        <v>0</v>
      </c>
      <c r="J30" s="445">
        <f t="shared" si="20"/>
        <v>28967566</v>
      </c>
      <c r="K30" s="312">
        <f t="shared" si="12"/>
        <v>0</v>
      </c>
      <c r="L30" s="445">
        <f t="shared" si="20"/>
        <v>24132662</v>
      </c>
      <c r="M30" s="312">
        <f t="shared" si="13"/>
        <v>0</v>
      </c>
      <c r="N30" s="310">
        <f t="shared" si="14"/>
        <v>0</v>
      </c>
      <c r="O30" s="467">
        <f t="shared" si="23"/>
        <v>0</v>
      </c>
      <c r="P30" s="445">
        <f t="shared" si="21"/>
        <v>16867.974999999999</v>
      </c>
      <c r="Q30" s="449">
        <f t="shared" si="26"/>
        <v>0</v>
      </c>
      <c r="R30" s="449">
        <f t="shared" si="27"/>
        <v>0</v>
      </c>
      <c r="S30" s="445">
        <f t="shared" si="7"/>
        <v>10175</v>
      </c>
      <c r="T30" s="469">
        <f t="shared" si="3"/>
        <v>0</v>
      </c>
      <c r="U30" s="445">
        <f t="shared" si="7"/>
        <v>429166</v>
      </c>
      <c r="V30" s="449">
        <f t="shared" si="15"/>
        <v>0</v>
      </c>
      <c r="W30" s="445">
        <f t="shared" si="7"/>
        <v>32258</v>
      </c>
      <c r="X30" s="470">
        <f t="shared" si="22"/>
        <v>0</v>
      </c>
      <c r="Y30" s="445">
        <f t="shared" si="7"/>
        <v>710563</v>
      </c>
      <c r="Z30" s="449">
        <f t="shared" si="19"/>
        <v>0</v>
      </c>
      <c r="AA30" s="445">
        <f t="shared" si="7"/>
        <v>35819</v>
      </c>
      <c r="AB30" s="449">
        <f t="shared" si="16"/>
        <v>0</v>
      </c>
      <c r="AC30" s="445">
        <f t="shared" si="7"/>
        <v>936894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4"/>
        <v>0</v>
      </c>
      <c r="AI30" s="466">
        <f>R30-'EDl log'!B28</f>
        <v>-959658</v>
      </c>
    </row>
    <row r="31" spans="1:35">
      <c r="A31" s="457">
        <f>'General information '!F34</f>
        <v>0</v>
      </c>
      <c r="B31" s="451">
        <f t="shared" ref="B31:B32" si="29">SUM(230*A31)</f>
        <v>0</v>
      </c>
      <c r="C31" s="458">
        <v>44315</v>
      </c>
      <c r="D31" s="445">
        <f t="shared" si="20"/>
        <v>32749798</v>
      </c>
      <c r="E31" s="311">
        <f t="shared" si="10"/>
        <v>0</v>
      </c>
      <c r="F31" s="445">
        <f t="shared" si="20"/>
        <v>3993124</v>
      </c>
      <c r="G31" s="312">
        <f t="shared" si="0"/>
        <v>0</v>
      </c>
      <c r="H31" s="445">
        <f t="shared" si="20"/>
        <v>17834590</v>
      </c>
      <c r="I31" s="312">
        <f t="shared" si="11"/>
        <v>0</v>
      </c>
      <c r="J31" s="445">
        <f t="shared" si="20"/>
        <v>28967566</v>
      </c>
      <c r="K31" s="312">
        <f t="shared" si="12"/>
        <v>0</v>
      </c>
      <c r="L31" s="445">
        <f t="shared" si="20"/>
        <v>24132662</v>
      </c>
      <c r="M31" s="312">
        <f t="shared" si="13"/>
        <v>0</v>
      </c>
      <c r="N31" s="310">
        <f t="shared" ref="N31:N32" si="30">M31+K31+I31+G31+E31</f>
        <v>0</v>
      </c>
      <c r="O31" s="467">
        <f t="shared" ref="O31:O32" si="31">IF(B31&gt;0,N31/B31,0)</f>
        <v>0</v>
      </c>
      <c r="P31" s="445">
        <f t="shared" si="21"/>
        <v>16867.974999999999</v>
      </c>
      <c r="Q31" s="449">
        <f t="shared" ref="Q31:Q32" si="32">(P31-P30)*1000</f>
        <v>0</v>
      </c>
      <c r="R31" s="449">
        <f t="shared" ref="R31:R32" si="33">N31-Q31</f>
        <v>0</v>
      </c>
      <c r="S31" s="445">
        <f t="shared" si="7"/>
        <v>10175</v>
      </c>
      <c r="T31" s="469">
        <f t="shared" ref="T31:T32" si="34">S31-S30</f>
        <v>0</v>
      </c>
      <c r="U31" s="445">
        <f t="shared" si="7"/>
        <v>429166</v>
      </c>
      <c r="V31" s="449">
        <f t="shared" ref="V31:V32" si="35">U31-U30</f>
        <v>0</v>
      </c>
      <c r="W31" s="445">
        <f t="shared" si="7"/>
        <v>32258</v>
      </c>
      <c r="X31" s="470">
        <f t="shared" ref="X31:X32" si="36">W31-W30</f>
        <v>0</v>
      </c>
      <c r="Y31" s="445">
        <f t="shared" si="7"/>
        <v>710563</v>
      </c>
      <c r="Z31" s="449">
        <f t="shared" ref="Z31:Z32" si="37">Y31-Y30</f>
        <v>0</v>
      </c>
      <c r="AA31" s="445">
        <f t="shared" si="7"/>
        <v>35819</v>
      </c>
      <c r="AB31" s="449">
        <f t="shared" ref="AB31:AB32" si="38">AA31-AA30</f>
        <v>0</v>
      </c>
      <c r="AC31" s="445">
        <f t="shared" si="7"/>
        <v>936894</v>
      </c>
      <c r="AD31" s="449">
        <f t="shared" ref="AD31:AD32" si="39">AC31-AC30</f>
        <v>0</v>
      </c>
      <c r="AE31" s="472">
        <f t="shared" ref="AE31:AE32" si="40">AB31+X31+T31</f>
        <v>0</v>
      </c>
      <c r="AF31" s="473">
        <f t="shared" ref="AF31:AF32" si="41">V31+Z31+AD31</f>
        <v>0</v>
      </c>
      <c r="AG31" s="465">
        <f t="shared" ref="AG31:AG32" si="42">IF(AE31&gt;0,AF31/AE31,0)</f>
        <v>0</v>
      </c>
      <c r="AI31" s="466">
        <f>R31-'EDl log'!B29</f>
        <v>-959658</v>
      </c>
    </row>
    <row r="32" spans="1:35">
      <c r="A32" s="457">
        <f>'General information '!F35</f>
        <v>0</v>
      </c>
      <c r="B32" s="451">
        <f t="shared" si="29"/>
        <v>0</v>
      </c>
      <c r="C32" s="458">
        <v>44316</v>
      </c>
      <c r="D32" s="445">
        <f t="shared" si="20"/>
        <v>32749798</v>
      </c>
      <c r="E32" s="311">
        <f t="shared" si="10"/>
        <v>0</v>
      </c>
      <c r="F32" s="445">
        <f t="shared" si="20"/>
        <v>3993124</v>
      </c>
      <c r="G32" s="312">
        <f t="shared" si="0"/>
        <v>0</v>
      </c>
      <c r="H32" s="445">
        <f t="shared" si="20"/>
        <v>17834590</v>
      </c>
      <c r="I32" s="312">
        <f t="shared" si="11"/>
        <v>0</v>
      </c>
      <c r="J32" s="445">
        <f t="shared" si="20"/>
        <v>28967566</v>
      </c>
      <c r="K32" s="312">
        <f t="shared" si="12"/>
        <v>0</v>
      </c>
      <c r="L32" s="445">
        <f t="shared" si="20"/>
        <v>24132662</v>
      </c>
      <c r="M32" s="312">
        <f t="shared" si="13"/>
        <v>0</v>
      </c>
      <c r="N32" s="310">
        <f t="shared" si="30"/>
        <v>0</v>
      </c>
      <c r="O32" s="467">
        <f t="shared" si="31"/>
        <v>0</v>
      </c>
      <c r="P32" s="445">
        <f t="shared" si="21"/>
        <v>16867.974999999999</v>
      </c>
      <c r="Q32" s="449">
        <f t="shared" si="32"/>
        <v>0</v>
      </c>
      <c r="R32" s="449">
        <f t="shared" si="33"/>
        <v>0</v>
      </c>
      <c r="S32" s="445">
        <f t="shared" si="7"/>
        <v>10175</v>
      </c>
      <c r="T32" s="469">
        <f t="shared" si="34"/>
        <v>0</v>
      </c>
      <c r="U32" s="445">
        <f t="shared" si="7"/>
        <v>429166</v>
      </c>
      <c r="V32" s="449">
        <f t="shared" si="35"/>
        <v>0</v>
      </c>
      <c r="W32" s="445">
        <f t="shared" si="7"/>
        <v>32258</v>
      </c>
      <c r="X32" s="470">
        <f t="shared" si="36"/>
        <v>0</v>
      </c>
      <c r="Y32" s="445">
        <f t="shared" si="7"/>
        <v>710563</v>
      </c>
      <c r="Z32" s="449">
        <f t="shared" si="37"/>
        <v>0</v>
      </c>
      <c r="AA32" s="445">
        <f t="shared" si="7"/>
        <v>35819</v>
      </c>
      <c r="AB32" s="449">
        <f t="shared" si="38"/>
        <v>0</v>
      </c>
      <c r="AC32" s="445">
        <f t="shared" si="7"/>
        <v>936894</v>
      </c>
      <c r="AD32" s="449">
        <f t="shared" si="39"/>
        <v>0</v>
      </c>
      <c r="AE32" s="472">
        <f t="shared" si="40"/>
        <v>0</v>
      </c>
      <c r="AF32" s="473">
        <f t="shared" si="41"/>
        <v>0</v>
      </c>
      <c r="AG32" s="465">
        <f t="shared" si="42"/>
        <v>0</v>
      </c>
      <c r="AI32" s="466">
        <f>R32-'EDl log'!B30</f>
        <v>-959658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H1" zoomScale="90" zoomScaleNormal="90" workbookViewId="0">
      <pane ySplit="1" topLeftCell="A3" activePane="bottomLeft" state="frozen"/>
      <selection activeCell="K1" sqref="K1"/>
      <selection pane="bottomLeft" activeCell="AH8" sqref="AH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09" t="s">
        <v>2</v>
      </c>
      <c r="G1" s="610"/>
      <c r="H1" s="610"/>
      <c r="I1" s="611"/>
      <c r="J1" s="282">
        <f>J36</f>
        <v>50.333333333333336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397"/>
      <c r="V1" s="27" t="s">
        <v>104</v>
      </c>
      <c r="W1" s="398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3">
        <v>230</v>
      </c>
      <c r="C5" s="593">
        <v>237</v>
      </c>
      <c r="D5" s="45">
        <f>C4-C5</f>
        <v>-14</v>
      </c>
      <c r="E5" s="45">
        <f>D5*8.38</f>
        <v>-117.32000000000001</v>
      </c>
      <c r="F5" s="593">
        <v>1797</v>
      </c>
      <c r="G5" s="52">
        <f t="shared" ref="G5:G32" si="0">F5-F4</f>
        <v>2</v>
      </c>
      <c r="H5" s="593">
        <v>10038</v>
      </c>
      <c r="I5" s="396">
        <f t="shared" ref="I5:I32" si="1">SUM(H5-H4)</f>
        <v>153</v>
      </c>
      <c r="J5" s="66">
        <v>1</v>
      </c>
      <c r="K5" s="593">
        <v>2288</v>
      </c>
      <c r="L5" s="52">
        <f>K5-K4</f>
        <v>3</v>
      </c>
      <c r="M5" s="593">
        <v>168501</v>
      </c>
      <c r="N5" s="396">
        <f t="shared" ref="N5:N32" si="2">M5-M4</f>
        <v>206</v>
      </c>
      <c r="O5" s="64">
        <f>O4</f>
        <v>1869</v>
      </c>
      <c r="P5" s="593">
        <f>P4</f>
        <v>2046</v>
      </c>
      <c r="Q5" s="593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3">
        <f>X4</f>
        <v>2463</v>
      </c>
      <c r="Y5" s="52">
        <f>X5-X4</f>
        <v>0</v>
      </c>
      <c r="Z5" s="593">
        <f>Z4</f>
        <v>138550</v>
      </c>
      <c r="AA5" s="65">
        <f t="shared" ref="AA5:AA32" si="5">Z5-Z4</f>
        <v>0</v>
      </c>
      <c r="AB5" s="284">
        <f>SUM(Y5*$AB$2)</f>
        <v>0</v>
      </c>
      <c r="AC5" s="593">
        <f>AC4</f>
        <v>1936</v>
      </c>
      <c r="AD5" s="45">
        <f t="shared" ref="AD5:AD32" si="6">AC5-AC4</f>
        <v>0</v>
      </c>
      <c r="AE5" s="593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3">
        <f>AN4</f>
        <v>67</v>
      </c>
      <c r="AO5" s="320">
        <f>(AN5/100)*3000</f>
        <v>2010.0000000000002</v>
      </c>
      <c r="AP5" s="593">
        <f>AP4</f>
        <v>55</v>
      </c>
      <c r="AQ5" s="320">
        <f>(AP5/100)*3000</f>
        <v>1650.0000000000002</v>
      </c>
      <c r="AR5" s="593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3">
        <v>219</v>
      </c>
      <c r="C6" s="593">
        <v>226</v>
      </c>
      <c r="D6" s="45">
        <f>C5-C6</f>
        <v>11</v>
      </c>
      <c r="E6" s="45">
        <f t="shared" ref="E6:E31" si="8">D6*8.38</f>
        <v>92.18</v>
      </c>
      <c r="F6" s="593">
        <f t="shared" ref="F6:H34" si="9">F5</f>
        <v>1797</v>
      </c>
      <c r="G6" s="52">
        <f t="shared" si="0"/>
        <v>0</v>
      </c>
      <c r="H6" s="593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3">
        <v>2290</v>
      </c>
      <c r="L6" s="52">
        <f t="shared" ref="L6:L32" si="11">K6-K5</f>
        <v>2</v>
      </c>
      <c r="M6" s="593">
        <v>168619</v>
      </c>
      <c r="N6" s="396">
        <f t="shared" si="2"/>
        <v>118</v>
      </c>
      <c r="O6" s="64">
        <f t="shared" ref="O6:P32" si="12">O5</f>
        <v>1869</v>
      </c>
      <c r="P6" s="593">
        <v>2049</v>
      </c>
      <c r="Q6" s="593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3">
        <f t="shared" ref="X6:Z34" si="16">X5</f>
        <v>2463</v>
      </c>
      <c r="Y6" s="52">
        <f t="shared" ref="Y6:Y32" si="17">X6-X5</f>
        <v>0</v>
      </c>
      <c r="Z6" s="593">
        <f t="shared" si="16"/>
        <v>138550</v>
      </c>
      <c r="AA6" s="65">
        <f t="shared" si="5"/>
        <v>0</v>
      </c>
      <c r="AB6" s="284">
        <f>SUM(Y6*$AB$2)</f>
        <v>0</v>
      </c>
      <c r="AC6" s="593">
        <f t="shared" ref="AC6:AE6" si="18">AC5</f>
        <v>1936</v>
      </c>
      <c r="AD6" s="45">
        <f t="shared" si="6"/>
        <v>0</v>
      </c>
      <c r="AE6" s="593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3">
        <f t="shared" ref="AN6:AP6" si="23">AN5</f>
        <v>67</v>
      </c>
      <c r="AO6" s="320">
        <f t="shared" ref="AO6:AO26" si="24">(AN6/100)*3000</f>
        <v>2010.0000000000002</v>
      </c>
      <c r="AP6" s="593">
        <f t="shared" si="23"/>
        <v>55</v>
      </c>
      <c r="AQ6" s="320">
        <f t="shared" ref="AQ6:AQ24" si="25">(AP6/100)*3000</f>
        <v>1650.0000000000002</v>
      </c>
      <c r="AR6" s="593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3">
        <v>208</v>
      </c>
      <c r="C7" s="593">
        <v>215</v>
      </c>
      <c r="D7" s="45">
        <f t="shared" ref="D7:D32" si="28">C6-C7</f>
        <v>11</v>
      </c>
      <c r="E7" s="45">
        <f t="shared" si="8"/>
        <v>92.18</v>
      </c>
      <c r="F7" s="593">
        <v>1799</v>
      </c>
      <c r="G7" s="52">
        <f t="shared" si="0"/>
        <v>2</v>
      </c>
      <c r="H7" s="593">
        <v>10207</v>
      </c>
      <c r="I7" s="396">
        <f t="shared" si="1"/>
        <v>169</v>
      </c>
      <c r="J7" s="66">
        <f t="shared" si="10"/>
        <v>84.5</v>
      </c>
      <c r="K7" s="593">
        <f t="shared" ref="K7:M34" si="29">K6</f>
        <v>2290</v>
      </c>
      <c r="L7" s="52">
        <f t="shared" si="11"/>
        <v>0</v>
      </c>
      <c r="M7" s="593">
        <f t="shared" si="29"/>
        <v>168619</v>
      </c>
      <c r="N7" s="396">
        <f t="shared" si="2"/>
        <v>0</v>
      </c>
      <c r="O7" s="64">
        <f t="shared" si="12"/>
        <v>1869</v>
      </c>
      <c r="P7" s="593">
        <v>2050</v>
      </c>
      <c r="Q7" s="593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3">
        <f t="shared" si="16"/>
        <v>2463</v>
      </c>
      <c r="Y7" s="52">
        <f t="shared" si="17"/>
        <v>0</v>
      </c>
      <c r="Z7" s="593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3">
        <f t="shared" ref="AC7:AE7" si="32">AC6</f>
        <v>1936</v>
      </c>
      <c r="AD7" s="45">
        <f t="shared" si="6"/>
        <v>0</v>
      </c>
      <c r="AE7" s="593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3">
        <f t="shared" ref="AN7:AP7" si="35">AN6</f>
        <v>67</v>
      </c>
      <c r="AO7" s="320">
        <f t="shared" si="24"/>
        <v>2010.0000000000002</v>
      </c>
      <c r="AP7" s="593">
        <f t="shared" si="35"/>
        <v>55</v>
      </c>
      <c r="AQ7" s="320">
        <f t="shared" si="25"/>
        <v>1650.0000000000002</v>
      </c>
      <c r="AR7" s="593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3">
        <v>197</v>
      </c>
      <c r="C8" s="593">
        <v>204</v>
      </c>
      <c r="D8" s="45">
        <f t="shared" si="28"/>
        <v>11</v>
      </c>
      <c r="E8" s="45">
        <f t="shared" si="8"/>
        <v>92.18</v>
      </c>
      <c r="F8" s="593">
        <v>1801</v>
      </c>
      <c r="G8" s="52">
        <f t="shared" si="0"/>
        <v>2</v>
      </c>
      <c r="H8" s="593">
        <v>10338</v>
      </c>
      <c r="I8" s="396">
        <f t="shared" si="1"/>
        <v>131</v>
      </c>
      <c r="J8" s="66">
        <f t="shared" si="10"/>
        <v>65.5</v>
      </c>
      <c r="K8" s="593">
        <v>2292</v>
      </c>
      <c r="L8" s="52">
        <f t="shared" si="11"/>
        <v>2</v>
      </c>
      <c r="M8" s="593">
        <v>168778</v>
      </c>
      <c r="N8" s="396">
        <f t="shared" si="2"/>
        <v>159</v>
      </c>
      <c r="O8" s="64">
        <f t="shared" si="12"/>
        <v>1869</v>
      </c>
      <c r="P8" s="593">
        <v>2050</v>
      </c>
      <c r="Q8" s="593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3">
        <f t="shared" si="16"/>
        <v>2463</v>
      </c>
      <c r="Y8" s="52">
        <f t="shared" si="17"/>
        <v>0</v>
      </c>
      <c r="Z8" s="593">
        <f t="shared" si="16"/>
        <v>138550</v>
      </c>
      <c r="AA8" s="65">
        <f t="shared" si="5"/>
        <v>0</v>
      </c>
      <c r="AB8" s="284">
        <f t="shared" si="31"/>
        <v>0</v>
      </c>
      <c r="AC8" s="593">
        <f t="shared" ref="AC8:AE8" si="41">AC7</f>
        <v>1936</v>
      </c>
      <c r="AD8" s="45">
        <f t="shared" si="6"/>
        <v>0</v>
      </c>
      <c r="AE8" s="593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3">
        <f t="shared" ref="AN8:AP8" si="42">AN7</f>
        <v>67</v>
      </c>
      <c r="AO8" s="320">
        <f t="shared" si="24"/>
        <v>2010.0000000000002</v>
      </c>
      <c r="AP8" s="593">
        <f t="shared" si="42"/>
        <v>55</v>
      </c>
      <c r="AQ8" s="320">
        <f t="shared" si="25"/>
        <v>1650.0000000000002</v>
      </c>
      <c r="AR8" s="593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3">
        <f t="shared" ref="B8:C34" si="44">B8</f>
        <v>197</v>
      </c>
      <c r="C9" s="593">
        <f t="shared" si="44"/>
        <v>204</v>
      </c>
      <c r="D9" s="45">
        <f t="shared" si="28"/>
        <v>0</v>
      </c>
      <c r="E9" s="45">
        <f t="shared" si="8"/>
        <v>0</v>
      </c>
      <c r="F9" s="593">
        <f t="shared" si="9"/>
        <v>1801</v>
      </c>
      <c r="G9" s="52">
        <f t="shared" si="0"/>
        <v>0</v>
      </c>
      <c r="H9" s="593">
        <f t="shared" si="9"/>
        <v>10338</v>
      </c>
      <c r="I9" s="396">
        <f t="shared" si="1"/>
        <v>0</v>
      </c>
      <c r="J9" s="66">
        <f t="shared" si="10"/>
        <v>0</v>
      </c>
      <c r="K9" s="593">
        <f t="shared" si="29"/>
        <v>2292</v>
      </c>
      <c r="L9" s="52">
        <f t="shared" si="11"/>
        <v>0</v>
      </c>
      <c r="M9" s="593">
        <f t="shared" si="29"/>
        <v>168778</v>
      </c>
      <c r="N9" s="396">
        <f t="shared" si="2"/>
        <v>0</v>
      </c>
      <c r="O9" s="64">
        <f t="shared" si="12"/>
        <v>1869</v>
      </c>
      <c r="P9" s="593">
        <f t="shared" si="12"/>
        <v>2050</v>
      </c>
      <c r="Q9" s="593">
        <f t="shared" ref="Q9" si="45">Q8</f>
        <v>172727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0</v>
      </c>
      <c r="V9" s="62">
        <f t="shared" si="14"/>
        <v>0</v>
      </c>
      <c r="W9" s="400" t="e">
        <f t="shared" si="15"/>
        <v>#DIV/0!</v>
      </c>
      <c r="X9" s="593">
        <f t="shared" si="16"/>
        <v>2463</v>
      </c>
      <c r="Y9" s="52">
        <f t="shared" si="17"/>
        <v>0</v>
      </c>
      <c r="Z9" s="593">
        <f t="shared" si="16"/>
        <v>138550</v>
      </c>
      <c r="AA9" s="65">
        <f t="shared" si="5"/>
        <v>0</v>
      </c>
      <c r="AB9" s="284">
        <f t="shared" si="31"/>
        <v>0</v>
      </c>
      <c r="AC9" s="593">
        <f t="shared" ref="AC9:AE9" si="46">AC8</f>
        <v>1936</v>
      </c>
      <c r="AD9" s="45">
        <f t="shared" si="6"/>
        <v>0</v>
      </c>
      <c r="AE9" s="593">
        <f t="shared" si="46"/>
        <v>365520.8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0</v>
      </c>
      <c r="AJ9" s="318">
        <f>-tanks!AW10</f>
        <v>0</v>
      </c>
      <c r="AK9" s="318">
        <f t="shared" si="21"/>
        <v>0</v>
      </c>
      <c r="AL9" s="318">
        <f t="shared" si="7"/>
        <v>0</v>
      </c>
      <c r="AM9" s="318">
        <f t="shared" si="22"/>
        <v>0</v>
      </c>
      <c r="AN9" s="593">
        <f t="shared" ref="AN9:AP9" si="47">AN8</f>
        <v>67</v>
      </c>
      <c r="AO9" s="320">
        <f t="shared" si="24"/>
        <v>2010.0000000000002</v>
      </c>
      <c r="AP9" s="593">
        <f t="shared" si="47"/>
        <v>55</v>
      </c>
      <c r="AQ9" s="320">
        <f t="shared" si="25"/>
        <v>1650.0000000000002</v>
      </c>
      <c r="AR9" s="593">
        <f t="shared" ref="AR9" si="48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3">
        <f t="shared" si="44"/>
        <v>197</v>
      </c>
      <c r="C10" s="593">
        <f t="shared" si="44"/>
        <v>204</v>
      </c>
      <c r="D10" s="45">
        <f t="shared" si="28"/>
        <v>0</v>
      </c>
      <c r="E10" s="45">
        <f t="shared" si="8"/>
        <v>0</v>
      </c>
      <c r="F10" s="593">
        <f t="shared" si="9"/>
        <v>1801</v>
      </c>
      <c r="G10" s="52">
        <f t="shared" si="0"/>
        <v>0</v>
      </c>
      <c r="H10" s="593">
        <f t="shared" si="9"/>
        <v>10338</v>
      </c>
      <c r="I10" s="396">
        <f t="shared" si="1"/>
        <v>0</v>
      </c>
      <c r="J10" s="66">
        <f t="shared" si="10"/>
        <v>0</v>
      </c>
      <c r="K10" s="593">
        <f t="shared" si="29"/>
        <v>2292</v>
      </c>
      <c r="L10" s="52">
        <f t="shared" si="11"/>
        <v>0</v>
      </c>
      <c r="M10" s="593">
        <f t="shared" si="29"/>
        <v>168778</v>
      </c>
      <c r="N10" s="396">
        <f t="shared" si="2"/>
        <v>0</v>
      </c>
      <c r="O10" s="64">
        <f t="shared" si="12"/>
        <v>1869</v>
      </c>
      <c r="P10" s="593">
        <f t="shared" si="12"/>
        <v>2050</v>
      </c>
      <c r="Q10" s="593">
        <f t="shared" ref="Q10" si="49">Q9</f>
        <v>172727</v>
      </c>
      <c r="R10" s="395">
        <f t="shared" si="3"/>
        <v>0</v>
      </c>
      <c r="S10" s="52">
        <f t="shared" si="4"/>
        <v>0</v>
      </c>
      <c r="T10" s="67">
        <f t="shared" si="30"/>
        <v>0</v>
      </c>
      <c r="U10" s="402">
        <f t="shared" si="13"/>
        <v>0</v>
      </c>
      <c r="V10" s="62">
        <f t="shared" si="14"/>
        <v>0</v>
      </c>
      <c r="W10" s="400" t="e">
        <f t="shared" si="15"/>
        <v>#DIV/0!</v>
      </c>
      <c r="X10" s="593">
        <f t="shared" si="16"/>
        <v>2463</v>
      </c>
      <c r="Y10" s="52">
        <f t="shared" si="17"/>
        <v>0</v>
      </c>
      <c r="Z10" s="593">
        <f t="shared" si="16"/>
        <v>138550</v>
      </c>
      <c r="AA10" s="65">
        <f t="shared" si="5"/>
        <v>0</v>
      </c>
      <c r="AB10" s="284">
        <f t="shared" si="31"/>
        <v>0</v>
      </c>
      <c r="AC10" s="593">
        <f t="shared" ref="AC10:AE10" si="50">AC9</f>
        <v>1936</v>
      </c>
      <c r="AD10" s="45">
        <f t="shared" si="6"/>
        <v>0</v>
      </c>
      <c r="AE10" s="593">
        <f t="shared" si="50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0</v>
      </c>
      <c r="AJ10" s="318">
        <f>-tanks!AW11</f>
        <v>0</v>
      </c>
      <c r="AK10" s="318">
        <f t="shared" si="21"/>
        <v>0</v>
      </c>
      <c r="AL10" s="318">
        <f t="shared" si="7"/>
        <v>0</v>
      </c>
      <c r="AM10" s="318">
        <f t="shared" si="22"/>
        <v>0</v>
      </c>
      <c r="AN10" s="593">
        <f t="shared" ref="AN10:AP10" si="51">AN9</f>
        <v>67</v>
      </c>
      <c r="AO10" s="320">
        <f t="shared" si="24"/>
        <v>2010.0000000000002</v>
      </c>
      <c r="AP10" s="593">
        <f t="shared" si="51"/>
        <v>55</v>
      </c>
      <c r="AQ10" s="320">
        <f t="shared" si="25"/>
        <v>1650.0000000000002</v>
      </c>
      <c r="AR10" s="593">
        <f t="shared" ref="AR10" si="52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3">
        <f t="shared" si="44"/>
        <v>197</v>
      </c>
      <c r="C11" s="593">
        <f t="shared" si="44"/>
        <v>204</v>
      </c>
      <c r="D11" s="45">
        <f t="shared" si="28"/>
        <v>0</v>
      </c>
      <c r="E11" s="45">
        <f t="shared" si="8"/>
        <v>0</v>
      </c>
      <c r="F11" s="593">
        <f t="shared" si="9"/>
        <v>1801</v>
      </c>
      <c r="G11" s="52">
        <f t="shared" si="0"/>
        <v>0</v>
      </c>
      <c r="H11" s="593">
        <f t="shared" si="9"/>
        <v>10338</v>
      </c>
      <c r="I11" s="396">
        <f t="shared" si="1"/>
        <v>0</v>
      </c>
      <c r="J11" s="66">
        <f t="shared" si="10"/>
        <v>0</v>
      </c>
      <c r="K11" s="593">
        <f t="shared" si="29"/>
        <v>2292</v>
      </c>
      <c r="L11" s="52">
        <f t="shared" si="11"/>
        <v>0</v>
      </c>
      <c r="M11" s="593">
        <f t="shared" si="29"/>
        <v>168778</v>
      </c>
      <c r="N11" s="396">
        <f t="shared" si="2"/>
        <v>0</v>
      </c>
      <c r="O11" s="64">
        <f t="shared" si="12"/>
        <v>1869</v>
      </c>
      <c r="P11" s="593">
        <f t="shared" si="12"/>
        <v>2050</v>
      </c>
      <c r="Q11" s="593">
        <f t="shared" ref="Q11" si="53">Q10</f>
        <v>172727</v>
      </c>
      <c r="R11" s="395">
        <f t="shared" ref="R11:R32" si="54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0</v>
      </c>
      <c r="V11" s="62">
        <f t="shared" si="14"/>
        <v>0</v>
      </c>
      <c r="W11" s="400" t="e">
        <f t="shared" si="15"/>
        <v>#DIV/0!</v>
      </c>
      <c r="X11" s="593">
        <f t="shared" si="16"/>
        <v>2463</v>
      </c>
      <c r="Y11" s="52">
        <f t="shared" si="17"/>
        <v>0</v>
      </c>
      <c r="Z11" s="593">
        <f t="shared" si="16"/>
        <v>138550</v>
      </c>
      <c r="AA11" s="65">
        <f t="shared" si="5"/>
        <v>0</v>
      </c>
      <c r="AB11" s="284">
        <f t="shared" si="31"/>
        <v>0</v>
      </c>
      <c r="AC11" s="593">
        <f t="shared" ref="AC11:AE11" si="55">AC10</f>
        <v>1936</v>
      </c>
      <c r="AD11" s="45">
        <f t="shared" si="6"/>
        <v>0</v>
      </c>
      <c r="AE11" s="593">
        <f t="shared" si="55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1"/>
        <v>0</v>
      </c>
      <c r="AL11" s="318">
        <f t="shared" si="7"/>
        <v>0</v>
      </c>
      <c r="AM11" s="318">
        <f t="shared" si="22"/>
        <v>0</v>
      </c>
      <c r="AN11" s="593">
        <f t="shared" ref="AN11:AP11" si="56">AN10</f>
        <v>67</v>
      </c>
      <c r="AO11" s="320">
        <f t="shared" si="24"/>
        <v>2010.0000000000002</v>
      </c>
      <c r="AP11" s="593">
        <f t="shared" si="56"/>
        <v>55</v>
      </c>
      <c r="AQ11" s="320">
        <f t="shared" si="25"/>
        <v>1650.0000000000002</v>
      </c>
      <c r="AR11" s="593">
        <f t="shared" ref="AR11" si="57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3">
        <f t="shared" si="44"/>
        <v>197</v>
      </c>
      <c r="C12" s="593">
        <f t="shared" si="44"/>
        <v>204</v>
      </c>
      <c r="D12" s="45">
        <f t="shared" si="28"/>
        <v>0</v>
      </c>
      <c r="E12" s="45">
        <f t="shared" si="8"/>
        <v>0</v>
      </c>
      <c r="F12" s="593">
        <f t="shared" si="9"/>
        <v>1801</v>
      </c>
      <c r="G12" s="52">
        <f t="shared" si="0"/>
        <v>0</v>
      </c>
      <c r="H12" s="593">
        <f t="shared" si="9"/>
        <v>10338</v>
      </c>
      <c r="I12" s="396">
        <f t="shared" si="1"/>
        <v>0</v>
      </c>
      <c r="J12" s="66">
        <f t="shared" si="10"/>
        <v>0</v>
      </c>
      <c r="K12" s="593">
        <f t="shared" si="29"/>
        <v>2292</v>
      </c>
      <c r="L12" s="52">
        <f t="shared" si="11"/>
        <v>0</v>
      </c>
      <c r="M12" s="593">
        <f t="shared" si="29"/>
        <v>168778</v>
      </c>
      <c r="N12" s="396">
        <f t="shared" si="2"/>
        <v>0</v>
      </c>
      <c r="O12" s="64">
        <f t="shared" si="12"/>
        <v>1869</v>
      </c>
      <c r="P12" s="593">
        <f t="shared" si="12"/>
        <v>2050</v>
      </c>
      <c r="Q12" s="593">
        <f t="shared" ref="Q12" si="58">Q11</f>
        <v>172727</v>
      </c>
      <c r="R12" s="395">
        <f t="shared" si="54"/>
        <v>0</v>
      </c>
      <c r="S12" s="52">
        <f t="shared" si="4"/>
        <v>0</v>
      </c>
      <c r="T12" s="67">
        <f t="shared" si="30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93">
        <f t="shared" si="16"/>
        <v>2463</v>
      </c>
      <c r="Y12" s="52">
        <f t="shared" si="17"/>
        <v>0</v>
      </c>
      <c r="Z12" s="593">
        <f t="shared" si="16"/>
        <v>138550</v>
      </c>
      <c r="AA12" s="65">
        <f t="shared" si="5"/>
        <v>0</v>
      </c>
      <c r="AB12" s="284">
        <f t="shared" si="31"/>
        <v>0</v>
      </c>
      <c r="AC12" s="593">
        <f t="shared" ref="AC12:AE12" si="59">AC11</f>
        <v>1936</v>
      </c>
      <c r="AD12" s="45">
        <f t="shared" si="6"/>
        <v>0</v>
      </c>
      <c r="AE12" s="593">
        <f t="shared" si="59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93">
        <f t="shared" ref="AN12:AP12" si="60">AN11</f>
        <v>67</v>
      </c>
      <c r="AO12" s="320">
        <f t="shared" si="24"/>
        <v>2010.0000000000002</v>
      </c>
      <c r="AP12" s="593">
        <f t="shared" si="60"/>
        <v>55</v>
      </c>
      <c r="AQ12" s="320">
        <f t="shared" si="25"/>
        <v>1650.0000000000002</v>
      </c>
      <c r="AR12" s="593">
        <f t="shared" ref="AR12" si="61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3">
        <f t="shared" si="44"/>
        <v>197</v>
      </c>
      <c r="C13" s="593">
        <f t="shared" si="44"/>
        <v>204</v>
      </c>
      <c r="D13" s="45">
        <f t="shared" si="28"/>
        <v>0</v>
      </c>
      <c r="E13" s="45">
        <f t="shared" si="8"/>
        <v>0</v>
      </c>
      <c r="F13" s="593">
        <f t="shared" si="9"/>
        <v>1801</v>
      </c>
      <c r="G13" s="52">
        <f t="shared" si="0"/>
        <v>0</v>
      </c>
      <c r="H13" s="593">
        <f t="shared" si="9"/>
        <v>10338</v>
      </c>
      <c r="I13" s="396">
        <f t="shared" si="1"/>
        <v>0</v>
      </c>
      <c r="J13" s="66">
        <f t="shared" si="10"/>
        <v>0</v>
      </c>
      <c r="K13" s="593">
        <f t="shared" si="29"/>
        <v>2292</v>
      </c>
      <c r="L13" s="52">
        <f t="shared" si="11"/>
        <v>0</v>
      </c>
      <c r="M13" s="593">
        <f t="shared" si="29"/>
        <v>168778</v>
      </c>
      <c r="N13" s="396">
        <f t="shared" si="2"/>
        <v>0</v>
      </c>
      <c r="O13" s="64">
        <f t="shared" si="12"/>
        <v>1869</v>
      </c>
      <c r="P13" s="593">
        <f t="shared" si="12"/>
        <v>2050</v>
      </c>
      <c r="Q13" s="593">
        <f t="shared" ref="Q13" si="62">Q12</f>
        <v>172727</v>
      </c>
      <c r="R13" s="395">
        <f t="shared" si="54"/>
        <v>0</v>
      </c>
      <c r="S13" s="52">
        <f t="shared" si="4"/>
        <v>0</v>
      </c>
      <c r="T13" s="67">
        <f t="shared" si="30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93">
        <f t="shared" si="16"/>
        <v>2463</v>
      </c>
      <c r="Y13" s="52">
        <f t="shared" si="17"/>
        <v>0</v>
      </c>
      <c r="Z13" s="593">
        <f t="shared" si="16"/>
        <v>138550</v>
      </c>
      <c r="AA13" s="284">
        <f t="shared" si="5"/>
        <v>0</v>
      </c>
      <c r="AB13" s="284">
        <f t="shared" si="31"/>
        <v>0</v>
      </c>
      <c r="AC13" s="593">
        <f t="shared" ref="AC13:AE13" si="63">AC12</f>
        <v>1936</v>
      </c>
      <c r="AD13" s="45">
        <f t="shared" si="6"/>
        <v>0</v>
      </c>
      <c r="AE13" s="593">
        <f t="shared" si="63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93">
        <f t="shared" ref="AN13:AP13" si="64">AN12</f>
        <v>67</v>
      </c>
      <c r="AO13" s="320">
        <f t="shared" si="24"/>
        <v>2010.0000000000002</v>
      </c>
      <c r="AP13" s="593">
        <f t="shared" si="64"/>
        <v>55</v>
      </c>
      <c r="AQ13" s="320">
        <f t="shared" si="25"/>
        <v>1650.0000000000002</v>
      </c>
      <c r="AR13" s="593">
        <f t="shared" ref="AR13" si="65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3">
        <f t="shared" si="44"/>
        <v>197</v>
      </c>
      <c r="C14" s="593">
        <f t="shared" si="44"/>
        <v>204</v>
      </c>
      <c r="D14" s="45">
        <f t="shared" si="28"/>
        <v>0</v>
      </c>
      <c r="E14" s="45">
        <f t="shared" si="8"/>
        <v>0</v>
      </c>
      <c r="F14" s="593">
        <f t="shared" si="9"/>
        <v>1801</v>
      </c>
      <c r="G14" s="52">
        <f t="shared" si="0"/>
        <v>0</v>
      </c>
      <c r="H14" s="593">
        <f t="shared" si="9"/>
        <v>10338</v>
      </c>
      <c r="I14" s="396">
        <f t="shared" si="1"/>
        <v>0</v>
      </c>
      <c r="J14" s="66">
        <f t="shared" si="10"/>
        <v>0</v>
      </c>
      <c r="K14" s="593">
        <f t="shared" si="29"/>
        <v>2292</v>
      </c>
      <c r="L14" s="52">
        <f t="shared" si="11"/>
        <v>0</v>
      </c>
      <c r="M14" s="593">
        <f t="shared" si="29"/>
        <v>168778</v>
      </c>
      <c r="N14" s="396">
        <f t="shared" si="2"/>
        <v>0</v>
      </c>
      <c r="O14" s="64">
        <f t="shared" si="12"/>
        <v>1869</v>
      </c>
      <c r="P14" s="593">
        <f t="shared" si="12"/>
        <v>2050</v>
      </c>
      <c r="Q14" s="593">
        <f t="shared" ref="Q14" si="66">Q13</f>
        <v>172727</v>
      </c>
      <c r="R14" s="395">
        <f t="shared" si="54"/>
        <v>0</v>
      </c>
      <c r="S14" s="52">
        <f t="shared" si="4"/>
        <v>0</v>
      </c>
      <c r="T14" s="67">
        <f t="shared" si="30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93">
        <f t="shared" si="16"/>
        <v>2463</v>
      </c>
      <c r="Y14" s="52">
        <f t="shared" si="17"/>
        <v>0</v>
      </c>
      <c r="Z14" s="593">
        <f t="shared" si="16"/>
        <v>138550</v>
      </c>
      <c r="AA14" s="65">
        <f t="shared" si="5"/>
        <v>0</v>
      </c>
      <c r="AB14" s="284">
        <f t="shared" si="31"/>
        <v>0</v>
      </c>
      <c r="AC14" s="593">
        <f t="shared" ref="AC14:AE14" si="67">AC13</f>
        <v>1936</v>
      </c>
      <c r="AD14" s="45">
        <f t="shared" si="6"/>
        <v>0</v>
      </c>
      <c r="AE14" s="593">
        <f t="shared" si="67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93">
        <f t="shared" ref="AN14:AP14" si="68">AN13</f>
        <v>67</v>
      </c>
      <c r="AO14" s="320">
        <f t="shared" si="24"/>
        <v>2010.0000000000002</v>
      </c>
      <c r="AP14" s="593">
        <f t="shared" si="68"/>
        <v>55</v>
      </c>
      <c r="AQ14" s="320">
        <f t="shared" si="25"/>
        <v>1650.0000000000002</v>
      </c>
      <c r="AR14" s="593">
        <f t="shared" ref="AR14" si="69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3">
        <f t="shared" si="44"/>
        <v>197</v>
      </c>
      <c r="C15" s="593">
        <f t="shared" si="44"/>
        <v>204</v>
      </c>
      <c r="D15" s="45">
        <f t="shared" si="28"/>
        <v>0</v>
      </c>
      <c r="E15" s="45">
        <f t="shared" si="8"/>
        <v>0</v>
      </c>
      <c r="F15" s="593">
        <f t="shared" si="9"/>
        <v>1801</v>
      </c>
      <c r="G15" s="52">
        <f t="shared" si="0"/>
        <v>0</v>
      </c>
      <c r="H15" s="593">
        <f t="shared" si="9"/>
        <v>10338</v>
      </c>
      <c r="I15" s="396">
        <f t="shared" si="1"/>
        <v>0</v>
      </c>
      <c r="J15" s="66">
        <f t="shared" si="10"/>
        <v>0</v>
      </c>
      <c r="K15" s="593">
        <f t="shared" si="29"/>
        <v>2292</v>
      </c>
      <c r="L15" s="52">
        <f t="shared" si="11"/>
        <v>0</v>
      </c>
      <c r="M15" s="593">
        <f t="shared" si="29"/>
        <v>168778</v>
      </c>
      <c r="N15" s="396">
        <f t="shared" si="2"/>
        <v>0</v>
      </c>
      <c r="O15" s="64">
        <f t="shared" si="12"/>
        <v>1869</v>
      </c>
      <c r="P15" s="593">
        <f t="shared" si="12"/>
        <v>2050</v>
      </c>
      <c r="Q15" s="593">
        <f t="shared" ref="Q15" si="70">Q14</f>
        <v>172727</v>
      </c>
      <c r="R15" s="395">
        <f t="shared" si="54"/>
        <v>0</v>
      </c>
      <c r="S15" s="52">
        <f t="shared" si="4"/>
        <v>0</v>
      </c>
      <c r="T15" s="67">
        <f t="shared" si="30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93">
        <f t="shared" si="16"/>
        <v>2463</v>
      </c>
      <c r="Y15" s="52">
        <f t="shared" si="17"/>
        <v>0</v>
      </c>
      <c r="Z15" s="593">
        <f t="shared" si="16"/>
        <v>138550</v>
      </c>
      <c r="AA15" s="65">
        <f t="shared" si="5"/>
        <v>0</v>
      </c>
      <c r="AB15" s="284">
        <f t="shared" si="31"/>
        <v>0</v>
      </c>
      <c r="AC15" s="593">
        <f t="shared" ref="AC15:AE15" si="71">AC14</f>
        <v>1936</v>
      </c>
      <c r="AD15" s="45">
        <f t="shared" si="6"/>
        <v>0</v>
      </c>
      <c r="AE15" s="593">
        <f t="shared" si="71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93">
        <f t="shared" ref="AN15:AP15" si="72">AN14</f>
        <v>67</v>
      </c>
      <c r="AO15" s="320">
        <f t="shared" si="24"/>
        <v>2010.0000000000002</v>
      </c>
      <c r="AP15" s="593">
        <f t="shared" si="72"/>
        <v>55</v>
      </c>
      <c r="AQ15" s="320">
        <f t="shared" si="25"/>
        <v>1650.0000000000002</v>
      </c>
      <c r="AR15" s="593">
        <f t="shared" ref="AR15" si="73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3">
        <f t="shared" si="44"/>
        <v>197</v>
      </c>
      <c r="C16" s="593">
        <f t="shared" si="44"/>
        <v>204</v>
      </c>
      <c r="D16" s="45">
        <f t="shared" si="28"/>
        <v>0</v>
      </c>
      <c r="E16" s="45">
        <f t="shared" si="8"/>
        <v>0</v>
      </c>
      <c r="F16" s="593">
        <f t="shared" si="9"/>
        <v>1801</v>
      </c>
      <c r="G16" s="52">
        <f t="shared" si="0"/>
        <v>0</v>
      </c>
      <c r="H16" s="593">
        <f t="shared" si="9"/>
        <v>10338</v>
      </c>
      <c r="I16" s="396">
        <f t="shared" si="1"/>
        <v>0</v>
      </c>
      <c r="J16" s="66">
        <f t="shared" si="10"/>
        <v>0</v>
      </c>
      <c r="K16" s="593">
        <f t="shared" si="29"/>
        <v>2292</v>
      </c>
      <c r="L16" s="52">
        <f t="shared" si="11"/>
        <v>0</v>
      </c>
      <c r="M16" s="593">
        <f t="shared" si="29"/>
        <v>168778</v>
      </c>
      <c r="N16" s="396">
        <f t="shared" si="2"/>
        <v>0</v>
      </c>
      <c r="O16" s="64">
        <f t="shared" si="12"/>
        <v>1869</v>
      </c>
      <c r="P16" s="593">
        <f t="shared" si="12"/>
        <v>2050</v>
      </c>
      <c r="Q16" s="593">
        <f t="shared" ref="Q16" si="74">Q15</f>
        <v>172727</v>
      </c>
      <c r="R16" s="395">
        <f t="shared" si="54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93">
        <f t="shared" si="16"/>
        <v>2463</v>
      </c>
      <c r="Y16" s="52">
        <f t="shared" si="17"/>
        <v>0</v>
      </c>
      <c r="Z16" s="593">
        <f t="shared" si="16"/>
        <v>138550</v>
      </c>
      <c r="AA16" s="65">
        <f t="shared" si="5"/>
        <v>0</v>
      </c>
      <c r="AB16" s="284">
        <f t="shared" si="31"/>
        <v>0</v>
      </c>
      <c r="AC16" s="593">
        <f t="shared" ref="AC16:AE16" si="75">AC15</f>
        <v>1936</v>
      </c>
      <c r="AD16" s="45">
        <f t="shared" si="6"/>
        <v>0</v>
      </c>
      <c r="AE16" s="593">
        <f t="shared" si="75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93">
        <f t="shared" ref="AN16:AP16" si="76">AN15</f>
        <v>67</v>
      </c>
      <c r="AO16" s="320">
        <f t="shared" si="24"/>
        <v>2010.0000000000002</v>
      </c>
      <c r="AP16" s="593">
        <f t="shared" si="76"/>
        <v>55</v>
      </c>
      <c r="AQ16" s="320">
        <f t="shared" si="25"/>
        <v>1650.0000000000002</v>
      </c>
      <c r="AR16" s="593">
        <f t="shared" ref="AR16" si="77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3">
        <f t="shared" si="44"/>
        <v>197</v>
      </c>
      <c r="C17" s="593">
        <f t="shared" si="44"/>
        <v>204</v>
      </c>
      <c r="D17" s="45">
        <f t="shared" si="28"/>
        <v>0</v>
      </c>
      <c r="E17" s="45">
        <f t="shared" si="8"/>
        <v>0</v>
      </c>
      <c r="F17" s="593">
        <f t="shared" si="9"/>
        <v>1801</v>
      </c>
      <c r="G17" s="52">
        <f t="shared" si="0"/>
        <v>0</v>
      </c>
      <c r="H17" s="593">
        <f t="shared" si="9"/>
        <v>10338</v>
      </c>
      <c r="I17" s="396">
        <f t="shared" si="1"/>
        <v>0</v>
      </c>
      <c r="J17" s="66">
        <f t="shared" si="10"/>
        <v>0</v>
      </c>
      <c r="K17" s="593">
        <f t="shared" si="29"/>
        <v>2292</v>
      </c>
      <c r="L17" s="52">
        <f t="shared" si="11"/>
        <v>0</v>
      </c>
      <c r="M17" s="593">
        <f t="shared" si="29"/>
        <v>168778</v>
      </c>
      <c r="N17" s="396">
        <f t="shared" si="2"/>
        <v>0</v>
      </c>
      <c r="O17" s="64">
        <f t="shared" si="12"/>
        <v>1869</v>
      </c>
      <c r="P17" s="593">
        <f t="shared" si="12"/>
        <v>2050</v>
      </c>
      <c r="Q17" s="593">
        <f t="shared" ref="Q17" si="78">Q16</f>
        <v>172727</v>
      </c>
      <c r="R17" s="395">
        <f t="shared" si="54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93">
        <f t="shared" si="16"/>
        <v>2463</v>
      </c>
      <c r="Y17" s="52">
        <f t="shared" si="17"/>
        <v>0</v>
      </c>
      <c r="Z17" s="593">
        <f t="shared" si="16"/>
        <v>138550</v>
      </c>
      <c r="AA17" s="65">
        <f t="shared" si="5"/>
        <v>0</v>
      </c>
      <c r="AB17" s="284">
        <f t="shared" si="31"/>
        <v>0</v>
      </c>
      <c r="AC17" s="593">
        <f t="shared" ref="AC17:AE17" si="79">AC16</f>
        <v>1936</v>
      </c>
      <c r="AD17" s="45">
        <f t="shared" si="6"/>
        <v>0</v>
      </c>
      <c r="AE17" s="593">
        <f t="shared" si="79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93">
        <f t="shared" ref="AN17:AP17" si="80">AN16</f>
        <v>67</v>
      </c>
      <c r="AO17" s="320">
        <f t="shared" si="24"/>
        <v>2010.0000000000002</v>
      </c>
      <c r="AP17" s="593">
        <f t="shared" si="80"/>
        <v>55</v>
      </c>
      <c r="AQ17" s="320">
        <f t="shared" si="25"/>
        <v>1650.0000000000002</v>
      </c>
      <c r="AR17" s="593">
        <f t="shared" ref="AR17" si="81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3">
        <f t="shared" si="44"/>
        <v>197</v>
      </c>
      <c r="C18" s="593">
        <f t="shared" si="44"/>
        <v>204</v>
      </c>
      <c r="D18" s="45">
        <f t="shared" si="28"/>
        <v>0</v>
      </c>
      <c r="E18" s="45">
        <f t="shared" si="8"/>
        <v>0</v>
      </c>
      <c r="F18" s="593">
        <f t="shared" si="9"/>
        <v>1801</v>
      </c>
      <c r="G18" s="52">
        <f t="shared" si="0"/>
        <v>0</v>
      </c>
      <c r="H18" s="593">
        <f t="shared" si="9"/>
        <v>10338</v>
      </c>
      <c r="I18" s="396">
        <f t="shared" si="1"/>
        <v>0</v>
      </c>
      <c r="J18" s="66">
        <f t="shared" si="10"/>
        <v>0</v>
      </c>
      <c r="K18" s="593">
        <f t="shared" si="29"/>
        <v>2292</v>
      </c>
      <c r="L18" s="52">
        <f t="shared" si="11"/>
        <v>0</v>
      </c>
      <c r="M18" s="593">
        <f t="shared" si="29"/>
        <v>168778</v>
      </c>
      <c r="N18" s="396">
        <f t="shared" si="2"/>
        <v>0</v>
      </c>
      <c r="O18" s="64">
        <v>1869</v>
      </c>
      <c r="P18" s="593">
        <f t="shared" si="12"/>
        <v>2050</v>
      </c>
      <c r="Q18" s="593">
        <f t="shared" ref="Q18" si="82">Q17</f>
        <v>172727</v>
      </c>
      <c r="R18" s="395">
        <f t="shared" si="54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93">
        <f t="shared" si="16"/>
        <v>2463</v>
      </c>
      <c r="Y18" s="52">
        <f t="shared" si="17"/>
        <v>0</v>
      </c>
      <c r="Z18" s="593">
        <f t="shared" si="16"/>
        <v>138550</v>
      </c>
      <c r="AA18" s="65">
        <f t="shared" si="5"/>
        <v>0</v>
      </c>
      <c r="AB18" s="284">
        <f t="shared" ref="AB18:AB23" si="83">SUM(Y18*$AB$2)</f>
        <v>0</v>
      </c>
      <c r="AC18" s="593">
        <f t="shared" ref="AC18:AE18" si="84">AC17</f>
        <v>1936</v>
      </c>
      <c r="AD18" s="45">
        <f t="shared" si="6"/>
        <v>0</v>
      </c>
      <c r="AE18" s="593">
        <f t="shared" si="84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93">
        <f t="shared" ref="AN18:AP18" si="85">AN17</f>
        <v>67</v>
      </c>
      <c r="AO18" s="320">
        <f t="shared" si="24"/>
        <v>2010.0000000000002</v>
      </c>
      <c r="AP18" s="593">
        <f t="shared" si="85"/>
        <v>55</v>
      </c>
      <c r="AQ18" s="320">
        <f t="shared" si="25"/>
        <v>1650.0000000000002</v>
      </c>
      <c r="AR18" s="593">
        <f t="shared" ref="AR18" si="86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3">
        <f t="shared" si="44"/>
        <v>197</v>
      </c>
      <c r="C19" s="593">
        <f t="shared" si="44"/>
        <v>204</v>
      </c>
      <c r="D19" s="45">
        <f t="shared" si="28"/>
        <v>0</v>
      </c>
      <c r="E19" s="45">
        <f t="shared" si="8"/>
        <v>0</v>
      </c>
      <c r="F19" s="593">
        <f t="shared" si="9"/>
        <v>1801</v>
      </c>
      <c r="G19" s="52">
        <f t="shared" si="0"/>
        <v>0</v>
      </c>
      <c r="H19" s="593">
        <f t="shared" si="9"/>
        <v>10338</v>
      </c>
      <c r="I19" s="396">
        <f t="shared" si="1"/>
        <v>0</v>
      </c>
      <c r="J19" s="66">
        <f t="shared" si="10"/>
        <v>0</v>
      </c>
      <c r="K19" s="593">
        <f t="shared" si="29"/>
        <v>2292</v>
      </c>
      <c r="L19" s="52">
        <f t="shared" si="11"/>
        <v>0</v>
      </c>
      <c r="M19" s="593">
        <f t="shared" si="29"/>
        <v>168778</v>
      </c>
      <c r="N19" s="396">
        <f t="shared" si="2"/>
        <v>0</v>
      </c>
      <c r="O19" s="64">
        <f t="shared" si="12"/>
        <v>1869</v>
      </c>
      <c r="P19" s="593">
        <f t="shared" si="12"/>
        <v>2050</v>
      </c>
      <c r="Q19" s="593">
        <f t="shared" ref="Q19" si="87">Q18</f>
        <v>172727</v>
      </c>
      <c r="R19" s="395">
        <f t="shared" si="54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93">
        <f t="shared" si="16"/>
        <v>2463</v>
      </c>
      <c r="Y19" s="52">
        <f t="shared" si="17"/>
        <v>0</v>
      </c>
      <c r="Z19" s="593">
        <f t="shared" si="16"/>
        <v>138550</v>
      </c>
      <c r="AA19" s="65">
        <f t="shared" si="5"/>
        <v>0</v>
      </c>
      <c r="AB19" s="284">
        <f t="shared" si="83"/>
        <v>0</v>
      </c>
      <c r="AC19" s="593">
        <f t="shared" ref="AC19:AE19" si="88">AC18</f>
        <v>1936</v>
      </c>
      <c r="AD19" s="45">
        <f t="shared" si="6"/>
        <v>0</v>
      </c>
      <c r="AE19" s="593">
        <f t="shared" si="88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3">
        <f t="shared" ref="AN19:AP19" si="89">AN18</f>
        <v>67</v>
      </c>
      <c r="AO19" s="320">
        <f t="shared" si="24"/>
        <v>2010.0000000000002</v>
      </c>
      <c r="AP19" s="593">
        <f t="shared" si="89"/>
        <v>55</v>
      </c>
      <c r="AQ19" s="320">
        <f t="shared" si="25"/>
        <v>1650.0000000000002</v>
      </c>
      <c r="AR19" s="593">
        <f t="shared" ref="AR19" si="90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3">
        <f t="shared" si="44"/>
        <v>197</v>
      </c>
      <c r="C20" s="593">
        <f t="shared" si="44"/>
        <v>204</v>
      </c>
      <c r="D20" s="45">
        <f>C19-C20</f>
        <v>0</v>
      </c>
      <c r="E20" s="45">
        <f t="shared" si="8"/>
        <v>0</v>
      </c>
      <c r="F20" s="593">
        <f t="shared" si="9"/>
        <v>1801</v>
      </c>
      <c r="G20" s="52">
        <f t="shared" si="0"/>
        <v>0</v>
      </c>
      <c r="H20" s="593">
        <f t="shared" si="9"/>
        <v>10338</v>
      </c>
      <c r="I20" s="396">
        <f t="shared" si="1"/>
        <v>0</v>
      </c>
      <c r="J20" s="66">
        <f t="shared" si="10"/>
        <v>0</v>
      </c>
      <c r="K20" s="593">
        <f t="shared" si="29"/>
        <v>2292</v>
      </c>
      <c r="L20" s="52">
        <f t="shared" si="11"/>
        <v>0</v>
      </c>
      <c r="M20" s="593">
        <f t="shared" si="29"/>
        <v>168778</v>
      </c>
      <c r="N20" s="396">
        <f t="shared" si="2"/>
        <v>0</v>
      </c>
      <c r="O20" s="64">
        <f t="shared" si="12"/>
        <v>1869</v>
      </c>
      <c r="P20" s="593">
        <f t="shared" si="12"/>
        <v>2050</v>
      </c>
      <c r="Q20" s="593">
        <f t="shared" ref="Q20" si="91">Q19</f>
        <v>172727</v>
      </c>
      <c r="R20" s="395">
        <f t="shared" si="54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3">
        <f t="shared" si="16"/>
        <v>2463</v>
      </c>
      <c r="Y20" s="52">
        <f t="shared" si="17"/>
        <v>0</v>
      </c>
      <c r="Z20" s="593">
        <f t="shared" si="16"/>
        <v>138550</v>
      </c>
      <c r="AA20" s="65">
        <f t="shared" si="5"/>
        <v>0</v>
      </c>
      <c r="AB20" s="284">
        <f t="shared" si="83"/>
        <v>0</v>
      </c>
      <c r="AC20" s="593">
        <f t="shared" ref="AC20:AE20" si="92">AC19</f>
        <v>1936</v>
      </c>
      <c r="AD20" s="45">
        <f t="shared" si="6"/>
        <v>0</v>
      </c>
      <c r="AE20" s="593">
        <f t="shared" si="92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3">
        <f t="shared" ref="AN20:AP20" si="93">AN19</f>
        <v>67</v>
      </c>
      <c r="AO20" s="320">
        <f t="shared" si="24"/>
        <v>2010.0000000000002</v>
      </c>
      <c r="AP20" s="593">
        <f t="shared" si="93"/>
        <v>55</v>
      </c>
      <c r="AQ20" s="320">
        <f t="shared" si="25"/>
        <v>1650.0000000000002</v>
      </c>
      <c r="AR20" s="593">
        <f t="shared" ref="AR20" si="94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3">
        <f t="shared" si="44"/>
        <v>197</v>
      </c>
      <c r="C21" s="593">
        <f t="shared" si="44"/>
        <v>204</v>
      </c>
      <c r="D21" s="45">
        <f t="shared" ref="D21:D31" si="95">C20-C21</f>
        <v>0</v>
      </c>
      <c r="E21" s="45">
        <f t="shared" si="8"/>
        <v>0</v>
      </c>
      <c r="F21" s="593">
        <f t="shared" si="9"/>
        <v>1801</v>
      </c>
      <c r="G21" s="52">
        <f t="shared" si="0"/>
        <v>0</v>
      </c>
      <c r="H21" s="593">
        <f t="shared" si="9"/>
        <v>10338</v>
      </c>
      <c r="I21" s="396">
        <f t="shared" si="1"/>
        <v>0</v>
      </c>
      <c r="J21" s="66">
        <f t="shared" si="10"/>
        <v>0</v>
      </c>
      <c r="K21" s="593">
        <f t="shared" si="29"/>
        <v>2292</v>
      </c>
      <c r="L21" s="52">
        <f t="shared" si="11"/>
        <v>0</v>
      </c>
      <c r="M21" s="593">
        <f t="shared" si="29"/>
        <v>168778</v>
      </c>
      <c r="N21" s="396">
        <f t="shared" si="2"/>
        <v>0</v>
      </c>
      <c r="O21" s="64">
        <f t="shared" si="12"/>
        <v>1869</v>
      </c>
      <c r="P21" s="593">
        <f t="shared" si="12"/>
        <v>2050</v>
      </c>
      <c r="Q21" s="593">
        <f t="shared" ref="Q21" si="96">Q20</f>
        <v>172727</v>
      </c>
      <c r="R21" s="395">
        <f t="shared" si="54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3">
        <f t="shared" si="16"/>
        <v>2463</v>
      </c>
      <c r="Y21" s="52">
        <f t="shared" si="17"/>
        <v>0</v>
      </c>
      <c r="Z21" s="593">
        <f t="shared" si="16"/>
        <v>138550</v>
      </c>
      <c r="AA21" s="65">
        <f t="shared" si="5"/>
        <v>0</v>
      </c>
      <c r="AB21" s="284">
        <f t="shared" si="83"/>
        <v>0</v>
      </c>
      <c r="AC21" s="593">
        <f t="shared" ref="AC21:AE21" si="97">AC20</f>
        <v>1936</v>
      </c>
      <c r="AD21" s="45">
        <f t="shared" si="6"/>
        <v>0</v>
      </c>
      <c r="AE21" s="593">
        <f t="shared" si="97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3">
        <f t="shared" ref="AN21:AP21" si="98">AN20</f>
        <v>67</v>
      </c>
      <c r="AO21" s="320">
        <f t="shared" si="24"/>
        <v>2010.0000000000002</v>
      </c>
      <c r="AP21" s="593">
        <f t="shared" si="98"/>
        <v>55</v>
      </c>
      <c r="AQ21" s="320">
        <f t="shared" si="25"/>
        <v>1650.0000000000002</v>
      </c>
      <c r="AR21" s="593">
        <f t="shared" ref="AR21" si="9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3">
        <f t="shared" si="44"/>
        <v>197</v>
      </c>
      <c r="C22" s="593">
        <f t="shared" si="44"/>
        <v>204</v>
      </c>
      <c r="D22" s="45">
        <f t="shared" si="95"/>
        <v>0</v>
      </c>
      <c r="E22" s="45">
        <f t="shared" si="8"/>
        <v>0</v>
      </c>
      <c r="F22" s="593">
        <f t="shared" si="9"/>
        <v>1801</v>
      </c>
      <c r="G22" s="52">
        <f t="shared" si="0"/>
        <v>0</v>
      </c>
      <c r="H22" s="593">
        <f t="shared" si="9"/>
        <v>10338</v>
      </c>
      <c r="I22" s="396">
        <f t="shared" si="1"/>
        <v>0</v>
      </c>
      <c r="J22" s="66">
        <f t="shared" si="10"/>
        <v>0</v>
      </c>
      <c r="K22" s="593">
        <f t="shared" si="29"/>
        <v>2292</v>
      </c>
      <c r="L22" s="52">
        <f t="shared" si="11"/>
        <v>0</v>
      </c>
      <c r="M22" s="593">
        <f t="shared" si="29"/>
        <v>168778</v>
      </c>
      <c r="N22" s="396">
        <f t="shared" si="2"/>
        <v>0</v>
      </c>
      <c r="O22" s="64">
        <f t="shared" si="12"/>
        <v>1869</v>
      </c>
      <c r="P22" s="593">
        <f t="shared" si="12"/>
        <v>2050</v>
      </c>
      <c r="Q22" s="593">
        <f t="shared" ref="Q22" si="100">Q21</f>
        <v>172727</v>
      </c>
      <c r="R22" s="395">
        <f t="shared" si="54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3">
        <f t="shared" si="16"/>
        <v>2463</v>
      </c>
      <c r="Y22" s="52">
        <f t="shared" si="17"/>
        <v>0</v>
      </c>
      <c r="Z22" s="593">
        <f t="shared" si="16"/>
        <v>138550</v>
      </c>
      <c r="AA22" s="65">
        <f t="shared" si="5"/>
        <v>0</v>
      </c>
      <c r="AB22" s="284">
        <f t="shared" si="83"/>
        <v>0</v>
      </c>
      <c r="AC22" s="593">
        <f t="shared" ref="AC22:AE22" si="101">AC21</f>
        <v>1936</v>
      </c>
      <c r="AD22" s="45">
        <f t="shared" si="6"/>
        <v>0</v>
      </c>
      <c r="AE22" s="593">
        <f t="shared" si="101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3">
        <f t="shared" ref="AN22:AP22" si="102">AN21</f>
        <v>67</v>
      </c>
      <c r="AO22" s="320">
        <f t="shared" si="24"/>
        <v>2010.0000000000002</v>
      </c>
      <c r="AP22" s="593">
        <f t="shared" si="102"/>
        <v>55</v>
      </c>
      <c r="AQ22" s="320">
        <f t="shared" si="25"/>
        <v>1650.0000000000002</v>
      </c>
      <c r="AR22" s="593">
        <f t="shared" ref="AR22" si="10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3">
        <f t="shared" si="44"/>
        <v>197</v>
      </c>
      <c r="C23" s="593">
        <f t="shared" si="44"/>
        <v>204</v>
      </c>
      <c r="D23" s="45">
        <f t="shared" si="95"/>
        <v>0</v>
      </c>
      <c r="E23" s="45">
        <f t="shared" si="8"/>
        <v>0</v>
      </c>
      <c r="F23" s="593">
        <f t="shared" si="9"/>
        <v>1801</v>
      </c>
      <c r="G23" s="52">
        <f t="shared" si="0"/>
        <v>0</v>
      </c>
      <c r="H23" s="593">
        <f t="shared" si="9"/>
        <v>10338</v>
      </c>
      <c r="I23" s="396">
        <f t="shared" si="1"/>
        <v>0</v>
      </c>
      <c r="J23" s="66">
        <f t="shared" si="10"/>
        <v>0</v>
      </c>
      <c r="K23" s="593">
        <f t="shared" si="29"/>
        <v>2292</v>
      </c>
      <c r="L23" s="52">
        <f t="shared" si="11"/>
        <v>0</v>
      </c>
      <c r="M23" s="593">
        <f t="shared" si="29"/>
        <v>168778</v>
      </c>
      <c r="N23" s="396">
        <f t="shared" si="2"/>
        <v>0</v>
      </c>
      <c r="O23" s="64">
        <f t="shared" si="12"/>
        <v>1869</v>
      </c>
      <c r="P23" s="593">
        <f t="shared" si="12"/>
        <v>2050</v>
      </c>
      <c r="Q23" s="593">
        <f t="shared" ref="Q23" si="104">Q22</f>
        <v>172727</v>
      </c>
      <c r="R23" s="395">
        <f t="shared" si="54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3">
        <f t="shared" si="16"/>
        <v>2463</v>
      </c>
      <c r="Y23" s="52">
        <f t="shared" si="17"/>
        <v>0</v>
      </c>
      <c r="Z23" s="593">
        <f t="shared" si="16"/>
        <v>138550</v>
      </c>
      <c r="AA23" s="65">
        <f t="shared" si="5"/>
        <v>0</v>
      </c>
      <c r="AB23" s="284">
        <f t="shared" si="83"/>
        <v>0</v>
      </c>
      <c r="AC23" s="593">
        <f t="shared" ref="AC23:AE23" si="105">AC22</f>
        <v>1936</v>
      </c>
      <c r="AD23" s="45">
        <f t="shared" si="6"/>
        <v>0</v>
      </c>
      <c r="AE23" s="593">
        <f t="shared" si="105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106">SUM(AH23+V23)</f>
        <v>0</v>
      </c>
      <c r="AJ23" s="318">
        <f>-tanks!AW24</f>
        <v>0</v>
      </c>
      <c r="AK23" s="318">
        <f t="shared" ref="AK23" si="107">SUM(AJ23-AI23)</f>
        <v>0</v>
      </c>
      <c r="AL23" s="318">
        <f t="shared" ref="AL23" si="108">S23+L23+G23</f>
        <v>0</v>
      </c>
      <c r="AM23" s="318">
        <f t="shared" ref="AM23" si="109">Y23+AD23</f>
        <v>0</v>
      </c>
      <c r="AN23" s="593">
        <f t="shared" ref="AN23:AP23" si="110">AN22</f>
        <v>67</v>
      </c>
      <c r="AO23" s="320">
        <f t="shared" si="24"/>
        <v>2010.0000000000002</v>
      </c>
      <c r="AP23" s="593">
        <f t="shared" si="110"/>
        <v>55</v>
      </c>
      <c r="AQ23" s="320">
        <f t="shared" si="25"/>
        <v>1650.0000000000002</v>
      </c>
      <c r="AR23" s="593">
        <f t="shared" ref="AR23" si="111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3">
        <f t="shared" si="44"/>
        <v>197</v>
      </c>
      <c r="C24" s="593">
        <f t="shared" si="44"/>
        <v>204</v>
      </c>
      <c r="D24" s="45">
        <f t="shared" si="95"/>
        <v>0</v>
      </c>
      <c r="E24" s="45">
        <f t="shared" si="8"/>
        <v>0</v>
      </c>
      <c r="F24" s="593">
        <f t="shared" si="9"/>
        <v>1801</v>
      </c>
      <c r="G24" s="52">
        <f t="shared" si="0"/>
        <v>0</v>
      </c>
      <c r="H24" s="593">
        <f t="shared" si="9"/>
        <v>10338</v>
      </c>
      <c r="I24" s="396">
        <f t="shared" si="1"/>
        <v>0</v>
      </c>
      <c r="J24" s="66">
        <f t="shared" si="10"/>
        <v>0</v>
      </c>
      <c r="K24" s="593">
        <f t="shared" si="29"/>
        <v>2292</v>
      </c>
      <c r="L24" s="52">
        <f t="shared" si="11"/>
        <v>0</v>
      </c>
      <c r="M24" s="593">
        <f t="shared" si="29"/>
        <v>168778</v>
      </c>
      <c r="N24" s="396">
        <f t="shared" si="2"/>
        <v>0</v>
      </c>
      <c r="O24" s="64">
        <f t="shared" si="12"/>
        <v>1869</v>
      </c>
      <c r="P24" s="593">
        <f t="shared" si="12"/>
        <v>2050</v>
      </c>
      <c r="Q24" s="593">
        <f t="shared" ref="Q24" si="112">Q23</f>
        <v>172727</v>
      </c>
      <c r="R24" s="395">
        <f t="shared" si="54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3">
        <f t="shared" si="16"/>
        <v>2463</v>
      </c>
      <c r="Y24" s="52">
        <f t="shared" si="17"/>
        <v>0</v>
      </c>
      <c r="Z24" s="593">
        <f t="shared" si="16"/>
        <v>138550</v>
      </c>
      <c r="AA24" s="65">
        <f t="shared" si="5"/>
        <v>0</v>
      </c>
      <c r="AB24" s="284">
        <f t="shared" ref="AB24:AB32" si="113">SUM(Y24*$AB$2)</f>
        <v>0</v>
      </c>
      <c r="AC24" s="593">
        <f t="shared" ref="AC24:AE24" si="114">AC23</f>
        <v>1936</v>
      </c>
      <c r="AD24" s="45">
        <f t="shared" si="6"/>
        <v>0</v>
      </c>
      <c r="AE24" s="593">
        <f t="shared" si="114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3">
        <f t="shared" ref="AN24:AP24" si="115">AN23</f>
        <v>67</v>
      </c>
      <c r="AO24" s="320">
        <f t="shared" si="24"/>
        <v>2010.0000000000002</v>
      </c>
      <c r="AP24" s="593">
        <f t="shared" si="115"/>
        <v>55</v>
      </c>
      <c r="AQ24" s="320">
        <f t="shared" si="25"/>
        <v>1650.0000000000002</v>
      </c>
      <c r="AR24" s="593">
        <f t="shared" ref="AR24" si="116">AR23</f>
        <v>61</v>
      </c>
      <c r="AS24" s="320">
        <f t="shared" si="37"/>
        <v>1830</v>
      </c>
      <c r="AT24" s="320">
        <f t="shared" ref="AT24:AT32" si="117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3">
        <f t="shared" si="44"/>
        <v>197</v>
      </c>
      <c r="C25" s="593">
        <f t="shared" si="44"/>
        <v>204</v>
      </c>
      <c r="D25" s="45">
        <f t="shared" si="95"/>
        <v>0</v>
      </c>
      <c r="E25" s="45">
        <f t="shared" si="8"/>
        <v>0</v>
      </c>
      <c r="F25" s="593">
        <f t="shared" si="9"/>
        <v>1801</v>
      </c>
      <c r="G25" s="52">
        <f t="shared" si="0"/>
        <v>0</v>
      </c>
      <c r="H25" s="593">
        <f t="shared" si="9"/>
        <v>10338</v>
      </c>
      <c r="I25" s="396">
        <f t="shared" si="1"/>
        <v>0</v>
      </c>
      <c r="J25" s="66">
        <f t="shared" si="10"/>
        <v>0</v>
      </c>
      <c r="K25" s="593">
        <f t="shared" si="29"/>
        <v>2292</v>
      </c>
      <c r="L25" s="52">
        <f t="shared" si="11"/>
        <v>0</v>
      </c>
      <c r="M25" s="593">
        <f t="shared" si="29"/>
        <v>168778</v>
      </c>
      <c r="N25" s="396">
        <f t="shared" si="2"/>
        <v>0</v>
      </c>
      <c r="O25" s="64">
        <f>O24</f>
        <v>1869</v>
      </c>
      <c r="P25" s="593">
        <f t="shared" si="12"/>
        <v>2050</v>
      </c>
      <c r="Q25" s="593">
        <f t="shared" ref="Q25" si="118">Q24</f>
        <v>172727</v>
      </c>
      <c r="R25" s="395">
        <f t="shared" si="54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3">
        <f t="shared" si="16"/>
        <v>2463</v>
      </c>
      <c r="Y25" s="52">
        <f t="shared" si="17"/>
        <v>0</v>
      </c>
      <c r="Z25" s="593">
        <f t="shared" si="16"/>
        <v>138550</v>
      </c>
      <c r="AA25" s="65">
        <f t="shared" si="5"/>
        <v>0</v>
      </c>
      <c r="AB25" s="284">
        <f t="shared" si="113"/>
        <v>0</v>
      </c>
      <c r="AC25" s="593">
        <f t="shared" ref="AC25:AE25" si="119">AC24</f>
        <v>1936</v>
      </c>
      <c r="AD25" s="45">
        <f t="shared" si="6"/>
        <v>0</v>
      </c>
      <c r="AE25" s="593">
        <f t="shared" si="119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3">
        <f t="shared" ref="AN25:AP25" si="120">AN24</f>
        <v>67</v>
      </c>
      <c r="AO25" s="320">
        <f t="shared" si="24"/>
        <v>2010.0000000000002</v>
      </c>
      <c r="AP25" s="593">
        <f t="shared" si="120"/>
        <v>55</v>
      </c>
      <c r="AQ25" s="320">
        <f t="shared" ref="AQ25:AQ32" si="121">(AP25/100)*3000</f>
        <v>1650.0000000000002</v>
      </c>
      <c r="AR25" s="593">
        <f t="shared" ref="AR25" si="122">AR24</f>
        <v>61</v>
      </c>
      <c r="AS25" s="320">
        <f t="shared" si="37"/>
        <v>1830</v>
      </c>
      <c r="AT25" s="320">
        <f t="shared" si="117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3">
        <f t="shared" si="44"/>
        <v>197</v>
      </c>
      <c r="C26" s="593">
        <f t="shared" si="44"/>
        <v>204</v>
      </c>
      <c r="D26" s="45">
        <f t="shared" si="95"/>
        <v>0</v>
      </c>
      <c r="E26" s="45">
        <f t="shared" si="8"/>
        <v>0</v>
      </c>
      <c r="F26" s="593">
        <f t="shared" si="9"/>
        <v>1801</v>
      </c>
      <c r="G26" s="52">
        <f t="shared" si="0"/>
        <v>0</v>
      </c>
      <c r="H26" s="593">
        <f t="shared" si="9"/>
        <v>10338</v>
      </c>
      <c r="I26" s="396">
        <f t="shared" si="1"/>
        <v>0</v>
      </c>
      <c r="J26" s="66">
        <f t="shared" si="10"/>
        <v>0</v>
      </c>
      <c r="K26" s="593">
        <f t="shared" si="29"/>
        <v>2292</v>
      </c>
      <c r="L26" s="52">
        <f t="shared" si="11"/>
        <v>0</v>
      </c>
      <c r="M26" s="593">
        <f t="shared" si="29"/>
        <v>168778</v>
      </c>
      <c r="N26" s="396">
        <f t="shared" si="2"/>
        <v>0</v>
      </c>
      <c r="O26" s="64">
        <f t="shared" si="12"/>
        <v>1869</v>
      </c>
      <c r="P26" s="593">
        <f t="shared" si="12"/>
        <v>2050</v>
      </c>
      <c r="Q26" s="593">
        <f t="shared" ref="Q26" si="123">Q25</f>
        <v>172727</v>
      </c>
      <c r="R26" s="395">
        <f t="shared" si="54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3">
        <f t="shared" si="16"/>
        <v>2463</v>
      </c>
      <c r="Y26" s="52">
        <f t="shared" si="17"/>
        <v>0</v>
      </c>
      <c r="Z26" s="593">
        <f t="shared" si="16"/>
        <v>138550</v>
      </c>
      <c r="AA26" s="65">
        <f t="shared" si="5"/>
        <v>0</v>
      </c>
      <c r="AB26" s="284">
        <f t="shared" si="113"/>
        <v>0</v>
      </c>
      <c r="AC26" s="593">
        <f t="shared" ref="AC26:AE26" si="124">AC25</f>
        <v>1936</v>
      </c>
      <c r="AD26" s="45">
        <f t="shared" si="6"/>
        <v>0</v>
      </c>
      <c r="AE26" s="593">
        <f t="shared" si="124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3">
        <f t="shared" ref="AN26:AP26" si="125">AN25</f>
        <v>67</v>
      </c>
      <c r="AO26" s="320">
        <f t="shared" si="24"/>
        <v>2010.0000000000002</v>
      </c>
      <c r="AP26" s="593">
        <f t="shared" si="125"/>
        <v>55</v>
      </c>
      <c r="AQ26" s="320">
        <f t="shared" si="121"/>
        <v>1650.0000000000002</v>
      </c>
      <c r="AR26" s="593">
        <f t="shared" ref="AR26" si="126">AR25</f>
        <v>61</v>
      </c>
      <c r="AS26" s="320">
        <f t="shared" si="37"/>
        <v>1830</v>
      </c>
      <c r="AT26" s="320">
        <f t="shared" si="117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3">
        <f t="shared" si="44"/>
        <v>197</v>
      </c>
      <c r="C27" s="593">
        <f t="shared" si="44"/>
        <v>204</v>
      </c>
      <c r="D27" s="45">
        <f t="shared" si="95"/>
        <v>0</v>
      </c>
      <c r="E27" s="45">
        <f t="shared" si="8"/>
        <v>0</v>
      </c>
      <c r="F27" s="593">
        <f t="shared" si="9"/>
        <v>1801</v>
      </c>
      <c r="G27" s="52">
        <f t="shared" si="0"/>
        <v>0</v>
      </c>
      <c r="H27" s="593">
        <f t="shared" si="9"/>
        <v>10338</v>
      </c>
      <c r="I27" s="396">
        <f t="shared" si="1"/>
        <v>0</v>
      </c>
      <c r="J27" s="66">
        <f t="shared" si="10"/>
        <v>0</v>
      </c>
      <c r="K27" s="593">
        <f t="shared" si="29"/>
        <v>2292</v>
      </c>
      <c r="L27" s="52">
        <f t="shared" si="11"/>
        <v>0</v>
      </c>
      <c r="M27" s="593">
        <f t="shared" si="29"/>
        <v>168778</v>
      </c>
      <c r="N27" s="396">
        <f t="shared" si="2"/>
        <v>0</v>
      </c>
      <c r="O27" s="64">
        <f t="shared" si="12"/>
        <v>1869</v>
      </c>
      <c r="P27" s="593">
        <f t="shared" si="12"/>
        <v>2050</v>
      </c>
      <c r="Q27" s="593">
        <f t="shared" ref="Q27" si="127">Q26</f>
        <v>172727</v>
      </c>
      <c r="R27" s="395">
        <f t="shared" si="54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3">
        <f t="shared" si="16"/>
        <v>2463</v>
      </c>
      <c r="Y27" s="52">
        <f t="shared" si="17"/>
        <v>0</v>
      </c>
      <c r="Z27" s="593">
        <f t="shared" si="16"/>
        <v>138550</v>
      </c>
      <c r="AA27" s="65">
        <f t="shared" si="5"/>
        <v>0</v>
      </c>
      <c r="AB27" s="284">
        <f t="shared" si="113"/>
        <v>0</v>
      </c>
      <c r="AC27" s="593">
        <f t="shared" ref="AC27:AE27" si="128">AC26</f>
        <v>1936</v>
      </c>
      <c r="AD27" s="45">
        <f t="shared" si="6"/>
        <v>0</v>
      </c>
      <c r="AE27" s="593">
        <f t="shared" si="128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3">
        <f t="shared" ref="AN27:AP27" si="129">AN26</f>
        <v>67</v>
      </c>
      <c r="AO27" s="320">
        <f>(AN27/100)*3000</f>
        <v>2010.0000000000002</v>
      </c>
      <c r="AP27" s="593">
        <f t="shared" si="129"/>
        <v>55</v>
      </c>
      <c r="AQ27" s="320">
        <f t="shared" si="121"/>
        <v>1650.0000000000002</v>
      </c>
      <c r="AR27" s="593">
        <f t="shared" ref="AR27" si="130">AR26</f>
        <v>61</v>
      </c>
      <c r="AS27" s="320">
        <f t="shared" si="37"/>
        <v>1830</v>
      </c>
      <c r="AT27" s="320">
        <f t="shared" si="117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44310</v>
      </c>
      <c r="B28" s="593">
        <f t="shared" si="44"/>
        <v>197</v>
      </c>
      <c r="C28" s="593">
        <f t="shared" si="44"/>
        <v>204</v>
      </c>
      <c r="D28" s="45">
        <f t="shared" si="95"/>
        <v>0</v>
      </c>
      <c r="E28" s="45">
        <f t="shared" si="8"/>
        <v>0</v>
      </c>
      <c r="F28" s="593">
        <f t="shared" si="9"/>
        <v>1801</v>
      </c>
      <c r="G28" s="52">
        <f t="shared" si="0"/>
        <v>0</v>
      </c>
      <c r="H28" s="593">
        <f t="shared" si="9"/>
        <v>10338</v>
      </c>
      <c r="I28" s="396">
        <f t="shared" si="1"/>
        <v>0</v>
      </c>
      <c r="J28" s="66">
        <f t="shared" si="10"/>
        <v>0</v>
      </c>
      <c r="K28" s="593">
        <f t="shared" si="29"/>
        <v>2292</v>
      </c>
      <c r="L28" s="52">
        <f t="shared" si="11"/>
        <v>0</v>
      </c>
      <c r="M28" s="593">
        <f t="shared" si="29"/>
        <v>168778</v>
      </c>
      <c r="N28" s="396">
        <f t="shared" si="2"/>
        <v>0</v>
      </c>
      <c r="O28" s="64">
        <f t="shared" si="12"/>
        <v>1869</v>
      </c>
      <c r="P28" s="593">
        <f t="shared" si="12"/>
        <v>2050</v>
      </c>
      <c r="Q28" s="593">
        <f t="shared" ref="Q28" si="131">Q27</f>
        <v>172727</v>
      </c>
      <c r="R28" s="395">
        <f t="shared" si="54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3">
        <f t="shared" si="16"/>
        <v>2463</v>
      </c>
      <c r="Y28" s="52">
        <f t="shared" si="17"/>
        <v>0</v>
      </c>
      <c r="Z28" s="593">
        <f t="shared" si="16"/>
        <v>138550</v>
      </c>
      <c r="AA28" s="65">
        <f t="shared" si="5"/>
        <v>0</v>
      </c>
      <c r="AB28" s="284">
        <f t="shared" si="113"/>
        <v>0</v>
      </c>
      <c r="AC28" s="593">
        <f t="shared" ref="AC28:AE28" si="132">AC27</f>
        <v>1936</v>
      </c>
      <c r="AD28" s="45">
        <f t="shared" si="6"/>
        <v>0</v>
      </c>
      <c r="AE28" s="593">
        <f t="shared" si="132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3">
        <f t="shared" ref="AN28:AP28" si="133">AN27</f>
        <v>67</v>
      </c>
      <c r="AO28" s="320">
        <f t="shared" ref="AO28:AO32" si="134">(AN28/100)*3000</f>
        <v>2010.0000000000002</v>
      </c>
      <c r="AP28" s="593">
        <f t="shared" si="133"/>
        <v>55</v>
      </c>
      <c r="AQ28" s="320">
        <f t="shared" si="121"/>
        <v>1650.0000000000002</v>
      </c>
      <c r="AR28" s="593">
        <f t="shared" ref="AR28" si="135">AR27</f>
        <v>61</v>
      </c>
      <c r="AS28" s="320">
        <f t="shared" si="37"/>
        <v>1830</v>
      </c>
      <c r="AT28" s="320">
        <f t="shared" si="117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3">
        <f t="shared" si="44"/>
        <v>197</v>
      </c>
      <c r="C29" s="593">
        <f t="shared" si="44"/>
        <v>204</v>
      </c>
      <c r="D29" s="45">
        <f t="shared" si="95"/>
        <v>0</v>
      </c>
      <c r="E29" s="45">
        <f t="shared" si="8"/>
        <v>0</v>
      </c>
      <c r="F29" s="593">
        <f t="shared" si="9"/>
        <v>1801</v>
      </c>
      <c r="G29" s="52">
        <f t="shared" si="0"/>
        <v>0</v>
      </c>
      <c r="H29" s="593">
        <f t="shared" si="9"/>
        <v>10338</v>
      </c>
      <c r="I29" s="396">
        <f t="shared" si="1"/>
        <v>0</v>
      </c>
      <c r="J29" s="66">
        <f t="shared" si="10"/>
        <v>0</v>
      </c>
      <c r="K29" s="593">
        <f t="shared" si="29"/>
        <v>2292</v>
      </c>
      <c r="L29" s="52">
        <f t="shared" si="11"/>
        <v>0</v>
      </c>
      <c r="M29" s="593">
        <f t="shared" si="29"/>
        <v>168778</v>
      </c>
      <c r="N29" s="396">
        <f t="shared" si="2"/>
        <v>0</v>
      </c>
      <c r="O29" s="64">
        <f t="shared" si="12"/>
        <v>1869</v>
      </c>
      <c r="P29" s="593">
        <f t="shared" si="12"/>
        <v>2050</v>
      </c>
      <c r="Q29" s="593">
        <f t="shared" ref="Q29" si="136">Q28</f>
        <v>172727</v>
      </c>
      <c r="R29" s="395">
        <f t="shared" si="54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3">
        <f t="shared" si="16"/>
        <v>2463</v>
      </c>
      <c r="Y29" s="52">
        <f t="shared" si="17"/>
        <v>0</v>
      </c>
      <c r="Z29" s="593">
        <f t="shared" si="16"/>
        <v>138550</v>
      </c>
      <c r="AA29" s="65">
        <f t="shared" si="5"/>
        <v>0</v>
      </c>
      <c r="AB29" s="284">
        <f t="shared" si="113"/>
        <v>0</v>
      </c>
      <c r="AC29" s="593">
        <f t="shared" ref="AC29:AE29" si="137">AC28</f>
        <v>1936</v>
      </c>
      <c r="AD29" s="45">
        <f t="shared" si="6"/>
        <v>0</v>
      </c>
      <c r="AE29" s="593">
        <f t="shared" si="137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3">
        <f t="shared" ref="AN29:AP29" si="138">AN28</f>
        <v>67</v>
      </c>
      <c r="AO29" s="320">
        <f t="shared" si="134"/>
        <v>2010.0000000000002</v>
      </c>
      <c r="AP29" s="593">
        <f t="shared" si="138"/>
        <v>55</v>
      </c>
      <c r="AQ29" s="320">
        <f t="shared" si="121"/>
        <v>1650.0000000000002</v>
      </c>
      <c r="AR29" s="593">
        <f t="shared" ref="AR29" si="139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3">
        <f t="shared" si="44"/>
        <v>197</v>
      </c>
      <c r="C30" s="593">
        <f t="shared" si="44"/>
        <v>204</v>
      </c>
      <c r="D30" s="45">
        <f t="shared" si="95"/>
        <v>0</v>
      </c>
      <c r="E30" s="45">
        <f t="shared" si="8"/>
        <v>0</v>
      </c>
      <c r="F30" s="593">
        <f t="shared" si="9"/>
        <v>1801</v>
      </c>
      <c r="G30" s="52">
        <f t="shared" si="0"/>
        <v>0</v>
      </c>
      <c r="H30" s="593">
        <f t="shared" si="9"/>
        <v>10338</v>
      </c>
      <c r="I30" s="396">
        <f t="shared" si="1"/>
        <v>0</v>
      </c>
      <c r="J30" s="66">
        <f t="shared" si="10"/>
        <v>0</v>
      </c>
      <c r="K30" s="593">
        <f t="shared" si="29"/>
        <v>2292</v>
      </c>
      <c r="L30" s="52">
        <f t="shared" si="11"/>
        <v>0</v>
      </c>
      <c r="M30" s="593">
        <f t="shared" si="29"/>
        <v>168778</v>
      </c>
      <c r="N30" s="396">
        <f t="shared" si="2"/>
        <v>0</v>
      </c>
      <c r="O30" s="64">
        <f t="shared" si="12"/>
        <v>1869</v>
      </c>
      <c r="P30" s="593">
        <f t="shared" si="12"/>
        <v>2050</v>
      </c>
      <c r="Q30" s="593">
        <f t="shared" ref="Q30" si="140">Q29</f>
        <v>172727</v>
      </c>
      <c r="R30" s="395">
        <f t="shared" si="54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3">
        <f t="shared" si="16"/>
        <v>2463</v>
      </c>
      <c r="Y30" s="52">
        <f t="shared" si="17"/>
        <v>0</v>
      </c>
      <c r="Z30" s="593">
        <f t="shared" si="16"/>
        <v>138550</v>
      </c>
      <c r="AA30" s="65">
        <f t="shared" si="5"/>
        <v>0</v>
      </c>
      <c r="AB30" s="284">
        <f t="shared" si="113"/>
        <v>0</v>
      </c>
      <c r="AC30" s="593">
        <f t="shared" ref="AC30:AE30" si="141">AC29</f>
        <v>1936</v>
      </c>
      <c r="AD30" s="45">
        <f t="shared" si="6"/>
        <v>0</v>
      </c>
      <c r="AE30" s="593">
        <f t="shared" si="141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3">
        <f t="shared" ref="AN30:AP30" si="142">AN29</f>
        <v>67</v>
      </c>
      <c r="AO30" s="320">
        <f t="shared" si="134"/>
        <v>2010.0000000000002</v>
      </c>
      <c r="AP30" s="593">
        <f t="shared" si="142"/>
        <v>55</v>
      </c>
      <c r="AQ30" s="320">
        <f t="shared" si="121"/>
        <v>1650.0000000000002</v>
      </c>
      <c r="AR30" s="593">
        <f t="shared" ref="AR30" si="143">AR29</f>
        <v>61</v>
      </c>
      <c r="AS30" s="320">
        <f t="shared" si="37"/>
        <v>1830</v>
      </c>
      <c r="AT30" s="320">
        <f t="shared" si="117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3">
        <f t="shared" si="44"/>
        <v>197</v>
      </c>
      <c r="C31" s="593">
        <f t="shared" si="44"/>
        <v>204</v>
      </c>
      <c r="D31" s="45">
        <f t="shared" si="95"/>
        <v>0</v>
      </c>
      <c r="E31" s="45">
        <f t="shared" si="8"/>
        <v>0</v>
      </c>
      <c r="F31" s="593">
        <f t="shared" si="9"/>
        <v>1801</v>
      </c>
      <c r="G31" s="52">
        <f t="shared" si="0"/>
        <v>0</v>
      </c>
      <c r="H31" s="593">
        <f t="shared" si="9"/>
        <v>10338</v>
      </c>
      <c r="I31" s="396">
        <f t="shared" si="1"/>
        <v>0</v>
      </c>
      <c r="J31" s="66">
        <f t="shared" si="10"/>
        <v>0</v>
      </c>
      <c r="K31" s="593">
        <f t="shared" si="29"/>
        <v>2292</v>
      </c>
      <c r="L31" s="52">
        <f t="shared" si="11"/>
        <v>0</v>
      </c>
      <c r="M31" s="593">
        <f t="shared" si="29"/>
        <v>168778</v>
      </c>
      <c r="N31" s="396">
        <f t="shared" si="2"/>
        <v>0</v>
      </c>
      <c r="O31" s="64">
        <f t="shared" si="12"/>
        <v>1869</v>
      </c>
      <c r="P31" s="593">
        <f t="shared" si="12"/>
        <v>2050</v>
      </c>
      <c r="Q31" s="593">
        <f t="shared" ref="Q31" si="144">Q30</f>
        <v>172727</v>
      </c>
      <c r="R31" s="395">
        <f t="shared" si="54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3">
        <f t="shared" si="16"/>
        <v>2463</v>
      </c>
      <c r="Y31" s="52">
        <f t="shared" si="17"/>
        <v>0</v>
      </c>
      <c r="Z31" s="593">
        <f t="shared" si="16"/>
        <v>138550</v>
      </c>
      <c r="AA31" s="65">
        <f t="shared" si="5"/>
        <v>0</v>
      </c>
      <c r="AB31" s="284">
        <f t="shared" si="113"/>
        <v>0</v>
      </c>
      <c r="AC31" s="593">
        <f t="shared" ref="AC31:AE31" si="145">AC30</f>
        <v>1936</v>
      </c>
      <c r="AD31" s="269">
        <f t="shared" si="6"/>
        <v>0</v>
      </c>
      <c r="AE31" s="593">
        <f t="shared" si="145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3">
        <f t="shared" ref="AN31:AP31" si="146">AN30</f>
        <v>67</v>
      </c>
      <c r="AO31" s="320">
        <f t="shared" si="134"/>
        <v>2010.0000000000002</v>
      </c>
      <c r="AP31" s="593">
        <f t="shared" si="146"/>
        <v>55</v>
      </c>
      <c r="AQ31" s="320">
        <f t="shared" si="121"/>
        <v>1650.0000000000002</v>
      </c>
      <c r="AR31" s="593">
        <f t="shared" ref="AR31" si="147">AR30</f>
        <v>61</v>
      </c>
      <c r="AS31" s="320">
        <f t="shared" si="37"/>
        <v>1830</v>
      </c>
      <c r="AT31" s="320">
        <f t="shared" si="117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3">
        <f t="shared" si="44"/>
        <v>197</v>
      </c>
      <c r="C32" s="593">
        <f t="shared" si="44"/>
        <v>204</v>
      </c>
      <c r="D32" s="45">
        <f t="shared" si="28"/>
        <v>0</v>
      </c>
      <c r="E32" s="45">
        <f t="shared" ref="E32" si="148">D32*8.38</f>
        <v>0</v>
      </c>
      <c r="F32" s="593">
        <f t="shared" si="9"/>
        <v>1801</v>
      </c>
      <c r="G32" s="52">
        <f t="shared" si="0"/>
        <v>0</v>
      </c>
      <c r="H32" s="593">
        <f t="shared" si="9"/>
        <v>10338</v>
      </c>
      <c r="I32" s="396">
        <f t="shared" si="1"/>
        <v>0</v>
      </c>
      <c r="J32" s="66">
        <f t="shared" si="10"/>
        <v>0</v>
      </c>
      <c r="K32" s="593">
        <f t="shared" si="29"/>
        <v>2292</v>
      </c>
      <c r="L32" s="52">
        <f t="shared" si="11"/>
        <v>0</v>
      </c>
      <c r="M32" s="593">
        <f t="shared" si="29"/>
        <v>168778</v>
      </c>
      <c r="N32" s="396">
        <f t="shared" si="2"/>
        <v>0</v>
      </c>
      <c r="O32" s="64">
        <f t="shared" si="12"/>
        <v>1869</v>
      </c>
      <c r="P32" s="593">
        <f t="shared" si="12"/>
        <v>2050</v>
      </c>
      <c r="Q32" s="593">
        <f t="shared" ref="Q32" si="149">Q31</f>
        <v>172727</v>
      </c>
      <c r="R32" s="395">
        <f t="shared" si="54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3">
        <f t="shared" si="16"/>
        <v>2463</v>
      </c>
      <c r="Y32" s="52">
        <f t="shared" si="17"/>
        <v>0</v>
      </c>
      <c r="Z32" s="593">
        <f t="shared" si="16"/>
        <v>138550</v>
      </c>
      <c r="AA32" s="65">
        <f t="shared" si="5"/>
        <v>0</v>
      </c>
      <c r="AB32" s="284">
        <f t="shared" si="113"/>
        <v>0</v>
      </c>
      <c r="AC32" s="593">
        <f t="shared" ref="AC32:AE32" si="150">AC31</f>
        <v>1936</v>
      </c>
      <c r="AD32" s="269">
        <f t="shared" si="6"/>
        <v>0</v>
      </c>
      <c r="AE32" s="593">
        <f t="shared" si="150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3">
        <f t="shared" ref="AN32:AP32" si="151">AN31</f>
        <v>67</v>
      </c>
      <c r="AO32" s="320">
        <f t="shared" si="134"/>
        <v>2010.0000000000002</v>
      </c>
      <c r="AP32" s="593">
        <f t="shared" si="151"/>
        <v>55</v>
      </c>
      <c r="AQ32" s="320">
        <f t="shared" si="121"/>
        <v>1650.0000000000002</v>
      </c>
      <c r="AR32" s="593">
        <f t="shared" ref="AR32" si="152">AR31</f>
        <v>61</v>
      </c>
      <c r="AS32" s="320">
        <f t="shared" si="37"/>
        <v>1830</v>
      </c>
      <c r="AT32" s="320">
        <f t="shared" si="117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3">
        <f t="shared" si="44"/>
        <v>197</v>
      </c>
      <c r="C33" s="593">
        <f t="shared" si="44"/>
        <v>204</v>
      </c>
      <c r="D33" s="45">
        <f t="shared" ref="D33:D34" si="153">C32-C33</f>
        <v>0</v>
      </c>
      <c r="E33" s="45">
        <f t="shared" ref="E33:E34" si="154">D33*8.38</f>
        <v>0</v>
      </c>
      <c r="F33" s="593">
        <f t="shared" si="9"/>
        <v>1801</v>
      </c>
      <c r="G33" s="52">
        <f t="shared" ref="G33:G34" si="155">F33-F32</f>
        <v>0</v>
      </c>
      <c r="H33" s="593">
        <f t="shared" si="9"/>
        <v>10338</v>
      </c>
      <c r="I33" s="396">
        <f t="shared" ref="I33:I34" si="156">SUM(H33-H32)</f>
        <v>0</v>
      </c>
      <c r="J33" s="66">
        <f t="shared" ref="J33:J34" si="157">IF(G33&gt;0,I33/G33,0)</f>
        <v>0</v>
      </c>
      <c r="K33" s="593">
        <f t="shared" si="29"/>
        <v>2292</v>
      </c>
      <c r="L33" s="52">
        <f t="shared" ref="L33:L34" si="158">K33-K32</f>
        <v>0</v>
      </c>
      <c r="M33" s="593">
        <f t="shared" si="29"/>
        <v>168778</v>
      </c>
      <c r="N33" s="396">
        <f t="shared" ref="N33:N34" si="159">M33-M32</f>
        <v>0</v>
      </c>
      <c r="O33" s="64">
        <f t="shared" ref="O33:P34" si="160">O32</f>
        <v>1869</v>
      </c>
      <c r="P33" s="593">
        <f t="shared" si="160"/>
        <v>2050</v>
      </c>
      <c r="Q33" s="593">
        <f t="shared" ref="Q33" si="161">Q32</f>
        <v>172727</v>
      </c>
      <c r="R33" s="395">
        <f t="shared" ref="R33:R34" si="162">Q33-Q32</f>
        <v>0</v>
      </c>
      <c r="S33" s="52">
        <f t="shared" ref="S33:S34" si="163">SUM(P33-P32)</f>
        <v>0</v>
      </c>
      <c r="T33" s="67">
        <f t="shared" ref="T33:T34" si="164">SUM(S33*$T$2)</f>
        <v>0</v>
      </c>
      <c r="U33" s="402">
        <f t="shared" ref="U33:U34" si="165">SUM(G33+L33+S33)</f>
        <v>0</v>
      </c>
      <c r="V33" s="62">
        <f t="shared" ref="V33:V34" si="166">R33+N33+I33:I33</f>
        <v>0</v>
      </c>
      <c r="W33" s="400"/>
      <c r="X33" s="593">
        <f t="shared" si="16"/>
        <v>2463</v>
      </c>
      <c r="Y33" s="52">
        <f t="shared" ref="Y33:Y34" si="167">X33-X32</f>
        <v>0</v>
      </c>
      <c r="Z33" s="593">
        <f t="shared" si="16"/>
        <v>138550</v>
      </c>
      <c r="AA33" s="65">
        <f t="shared" ref="AA33:AA34" si="168">Z33-Z32</f>
        <v>0</v>
      </c>
      <c r="AB33" s="284">
        <f t="shared" ref="AB33:AB34" si="169">SUM(Y33*$AB$2)</f>
        <v>0</v>
      </c>
      <c r="AC33" s="593">
        <f t="shared" ref="AC33:AE33" si="170">AC32</f>
        <v>1936</v>
      </c>
      <c r="AD33" s="269">
        <f t="shared" ref="AD33:AD34" si="171">AC33-AC32</f>
        <v>0</v>
      </c>
      <c r="AE33" s="593">
        <f t="shared" si="170"/>
        <v>365520.8</v>
      </c>
      <c r="AF33" s="306">
        <f t="shared" ref="AF33:AF34" si="172">AE33-AE32</f>
        <v>0</v>
      </c>
      <c r="AG33" s="209">
        <f t="shared" ref="AG33:AG34" si="173">IF(AD33&gt;0,AF33/AD33,0)</f>
        <v>0</v>
      </c>
      <c r="AH33" s="62">
        <f t="shared" ref="AH33:AH34" si="174">AF33+AA33</f>
        <v>0</v>
      </c>
      <c r="AI33" s="318">
        <f t="shared" ref="AI33:AI34" si="175">SUM(AH33+V33)</f>
        <v>0</v>
      </c>
      <c r="AJ33" s="318">
        <f>-tanks!AW34</f>
        <v>0</v>
      </c>
      <c r="AK33" s="318">
        <f t="shared" ref="AK33:AK34" si="176">SUM(AJ33-AI33)</f>
        <v>0</v>
      </c>
      <c r="AL33" s="318">
        <f t="shared" ref="AL33:AL34" si="177">S33+L33+G33</f>
        <v>0</v>
      </c>
      <c r="AM33" s="318">
        <f t="shared" ref="AM33:AM34" si="178">Y33+AD33</f>
        <v>0</v>
      </c>
      <c r="AN33" s="593">
        <f t="shared" ref="AN33:AP33" si="179">AN32</f>
        <v>67</v>
      </c>
      <c r="AO33" s="320">
        <f t="shared" ref="AO33:AO34" si="180">(AN33/100)*3000</f>
        <v>2010.0000000000002</v>
      </c>
      <c r="AP33" s="593">
        <f t="shared" si="179"/>
        <v>55</v>
      </c>
      <c r="AQ33" s="320">
        <f t="shared" ref="AQ33:AQ34" si="181">(AP33/100)*3000</f>
        <v>1650.0000000000002</v>
      </c>
      <c r="AR33" s="593">
        <f t="shared" ref="AR33" si="182">AR32</f>
        <v>61</v>
      </c>
      <c r="AS33" s="320">
        <f t="shared" ref="AS33:AS34" si="183">(AR33/100)*3000</f>
        <v>1830</v>
      </c>
      <c r="AT33" s="320">
        <f t="shared" ref="AT33:AT34" si="184">SUM(AO33+AQ33+AS33)</f>
        <v>5490</v>
      </c>
      <c r="AU33" s="320">
        <f t="shared" ref="AU33:AU34" si="185">AT32-AT33+AV33</f>
        <v>0</v>
      </c>
      <c r="AV33" s="269"/>
      <c r="AW33" s="269"/>
      <c r="AX33" s="313">
        <f t="shared" ref="AX33:AX34" si="186">IF(AV33&gt;0,AW33,AX32)</f>
        <v>0.8</v>
      </c>
    </row>
    <row r="34" spans="1:50">
      <c r="A34" s="63">
        <f>ELEC!C32</f>
        <v>44316</v>
      </c>
      <c r="B34" s="593">
        <f t="shared" si="44"/>
        <v>197</v>
      </c>
      <c r="C34" s="593">
        <f t="shared" si="44"/>
        <v>204</v>
      </c>
      <c r="D34" s="45">
        <f t="shared" si="153"/>
        <v>0</v>
      </c>
      <c r="E34" s="45">
        <f t="shared" si="154"/>
        <v>0</v>
      </c>
      <c r="F34" s="593">
        <f t="shared" si="9"/>
        <v>1801</v>
      </c>
      <c r="G34" s="52">
        <f t="shared" si="155"/>
        <v>0</v>
      </c>
      <c r="H34" s="593">
        <f t="shared" si="9"/>
        <v>10338</v>
      </c>
      <c r="I34" s="396">
        <f t="shared" si="156"/>
        <v>0</v>
      </c>
      <c r="J34" s="66">
        <f t="shared" si="157"/>
        <v>0</v>
      </c>
      <c r="K34" s="593">
        <f t="shared" si="29"/>
        <v>2292</v>
      </c>
      <c r="L34" s="52">
        <f t="shared" si="158"/>
        <v>0</v>
      </c>
      <c r="M34" s="593">
        <f t="shared" si="29"/>
        <v>168778</v>
      </c>
      <c r="N34" s="396">
        <f t="shared" si="159"/>
        <v>0</v>
      </c>
      <c r="O34" s="64">
        <f t="shared" ref="O34" si="187">O33</f>
        <v>1869</v>
      </c>
      <c r="P34" s="593">
        <f t="shared" si="160"/>
        <v>2050</v>
      </c>
      <c r="Q34" s="593">
        <f t="shared" ref="Q34" si="188">Q33</f>
        <v>172727</v>
      </c>
      <c r="R34" s="395">
        <f t="shared" si="162"/>
        <v>0</v>
      </c>
      <c r="S34" s="52">
        <f t="shared" si="163"/>
        <v>0</v>
      </c>
      <c r="T34" s="67">
        <f t="shared" si="164"/>
        <v>0</v>
      </c>
      <c r="U34" s="402">
        <f t="shared" si="165"/>
        <v>0</v>
      </c>
      <c r="V34" s="62">
        <f t="shared" si="166"/>
        <v>0</v>
      </c>
      <c r="W34" s="400"/>
      <c r="X34" s="593">
        <f t="shared" si="16"/>
        <v>2463</v>
      </c>
      <c r="Y34" s="52">
        <f t="shared" si="167"/>
        <v>0</v>
      </c>
      <c r="Z34" s="593">
        <f t="shared" si="16"/>
        <v>138550</v>
      </c>
      <c r="AA34" s="65">
        <f t="shared" si="168"/>
        <v>0</v>
      </c>
      <c r="AB34" s="284">
        <f t="shared" si="169"/>
        <v>0</v>
      </c>
      <c r="AC34" s="593">
        <f t="shared" ref="AC34:AE34" si="189">AC33</f>
        <v>1936</v>
      </c>
      <c r="AD34" s="269">
        <f t="shared" si="171"/>
        <v>0</v>
      </c>
      <c r="AE34" s="593">
        <f t="shared" si="189"/>
        <v>365520.8</v>
      </c>
      <c r="AF34" s="306">
        <f t="shared" si="172"/>
        <v>0</v>
      </c>
      <c r="AG34" s="209">
        <f t="shared" si="173"/>
        <v>0</v>
      </c>
      <c r="AH34" s="62">
        <f t="shared" si="174"/>
        <v>0</v>
      </c>
      <c r="AI34" s="318">
        <f t="shared" si="175"/>
        <v>0</v>
      </c>
      <c r="AJ34" s="318">
        <f>-tanks!AW35</f>
        <v>0</v>
      </c>
      <c r="AK34" s="318">
        <f t="shared" si="176"/>
        <v>0</v>
      </c>
      <c r="AL34" s="318">
        <f t="shared" si="177"/>
        <v>0</v>
      </c>
      <c r="AM34" s="318">
        <f t="shared" si="178"/>
        <v>0</v>
      </c>
      <c r="AN34" s="593">
        <f t="shared" ref="AN34:AP34" si="190">AN33</f>
        <v>67</v>
      </c>
      <c r="AO34" s="320">
        <f t="shared" si="180"/>
        <v>2010.0000000000002</v>
      </c>
      <c r="AP34" s="593">
        <f t="shared" si="190"/>
        <v>55</v>
      </c>
      <c r="AQ34" s="320">
        <f t="shared" si="181"/>
        <v>1650.0000000000002</v>
      </c>
      <c r="AR34" s="593">
        <f t="shared" ref="AR34" si="191">AR33</f>
        <v>61</v>
      </c>
      <c r="AS34" s="320">
        <f t="shared" si="183"/>
        <v>1830</v>
      </c>
      <c r="AT34" s="320">
        <f t="shared" si="184"/>
        <v>5490</v>
      </c>
      <c r="AU34" s="320">
        <f t="shared" si="185"/>
        <v>0</v>
      </c>
      <c r="AV34" s="269"/>
      <c r="AW34" s="269"/>
      <c r="AX34" s="313">
        <f t="shared" si="186"/>
        <v>0.8</v>
      </c>
    </row>
    <row r="35" spans="1:50">
      <c r="A35" s="63"/>
      <c r="B35" s="64"/>
      <c r="C35" s="64"/>
      <c r="D35" s="45"/>
      <c r="E35" s="45"/>
      <c r="F35" s="580"/>
      <c r="G35" s="52"/>
      <c r="H35" s="580"/>
      <c r="I35" s="396"/>
      <c r="J35" s="66"/>
      <c r="K35" s="580"/>
      <c r="L35" s="52"/>
      <c r="M35" s="580"/>
      <c r="N35" s="396"/>
      <c r="O35" s="64"/>
      <c r="P35" s="580"/>
      <c r="Q35" s="580"/>
      <c r="R35" s="395"/>
      <c r="S35" s="52"/>
      <c r="T35" s="67"/>
      <c r="U35" s="402"/>
      <c r="V35" s="62"/>
      <c r="W35" s="400"/>
      <c r="X35" s="580"/>
      <c r="Y35" s="52"/>
      <c r="Z35" s="580"/>
      <c r="AA35" s="65"/>
      <c r="AB35" s="284"/>
      <c r="AC35" s="580"/>
      <c r="AD35" s="269"/>
      <c r="AE35" s="580"/>
      <c r="AF35" s="306"/>
      <c r="AG35" s="209"/>
      <c r="AH35" s="62"/>
      <c r="AI35" s="318"/>
      <c r="AJ35" s="318"/>
      <c r="AK35" s="318"/>
      <c r="AL35" s="318"/>
      <c r="AM35" s="318"/>
      <c r="AN35" s="580"/>
      <c r="AO35" s="320"/>
      <c r="AP35" s="580"/>
      <c r="AQ35" s="320"/>
      <c r="AR35" s="580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50.333333333333336</v>
      </c>
      <c r="V36" s="62">
        <f>SUM(V5:V32)</f>
        <v>1234</v>
      </c>
      <c r="AE36" s="71" t="s">
        <v>383</v>
      </c>
      <c r="AG36" s="344"/>
      <c r="AH36" s="62">
        <f>SUM(AH5:AH32)</f>
        <v>0</v>
      </c>
      <c r="AL36" s="62">
        <f>SUM(AL5:AL32)</f>
        <v>17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1234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F1" zoomScaleNormal="100" workbookViewId="0">
      <pane ySplit="3" topLeftCell="A4" activePane="bottomLeft" state="frozen"/>
      <selection pane="bottomLeft" activeCell="AY9" sqref="AY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8035521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5" t="s">
        <v>126</v>
      </c>
      <c r="AO3" s="616"/>
      <c r="AP3" s="617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4">
        <f t="shared" si="2"/>
        <v>0</v>
      </c>
      <c r="O7" s="410">
        <f t="shared" ref="O7:O35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X9: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f t="shared" si="13"/>
        <v>618117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f t="shared" ref="X10:Z10" si="44">X9</f>
        <v>151284</v>
      </c>
      <c r="Y10" s="324">
        <f t="shared" si="39"/>
        <v>0</v>
      </c>
      <c r="Z10" s="5">
        <f t="shared" si="44"/>
        <v>98717</v>
      </c>
      <c r="AA10" s="83">
        <f t="shared" si="19"/>
        <v>0</v>
      </c>
      <c r="AB10" s="5">
        <f t="shared" ref="AB10:AC10" si="45">AB9</f>
        <v>261</v>
      </c>
      <c r="AC10" s="5">
        <f t="shared" si="45"/>
        <v>731</v>
      </c>
      <c r="AD10" s="83">
        <f t="shared" si="35"/>
        <v>0</v>
      </c>
      <c r="AE10" s="5">
        <f t="shared" ref="AE10:AG10" si="46">AE9</f>
        <v>229.03</v>
      </c>
      <c r="AF10" s="83">
        <f t="shared" si="22"/>
        <v>0</v>
      </c>
      <c r="AG10" s="5">
        <f t="shared" si="46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0</v>
      </c>
      <c r="AK10" s="327">
        <f t="shared" si="37"/>
        <v>0</v>
      </c>
      <c r="AL10" s="327">
        <f t="shared" si="26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f t="shared" si="6"/>
        <v>95</v>
      </c>
      <c r="AU10" s="425">
        <f t="shared" si="43"/>
        <v>1.1000000000000001</v>
      </c>
      <c r="AV10" s="201">
        <f t="shared" si="43"/>
        <v>185</v>
      </c>
      <c r="AW10" s="5">
        <v>2.9</v>
      </c>
      <c r="AX10" s="201">
        <f t="shared" ref="AX10" si="47">AX9</f>
        <v>182</v>
      </c>
      <c r="AY10" s="426">
        <f t="shared" si="7"/>
        <v>85.5</v>
      </c>
      <c r="AZ10" s="426">
        <f t="shared" si="28"/>
        <v>203.50000000000003</v>
      </c>
      <c r="BA10" s="426">
        <f t="shared" si="29"/>
        <v>527.79999999999995</v>
      </c>
      <c r="BB10" s="21">
        <f t="shared" si="30"/>
        <v>0</v>
      </c>
      <c r="BC10" s="21">
        <f t="shared" si="31"/>
        <v>0</v>
      </c>
      <c r="BD10" s="21">
        <f t="shared" si="31"/>
        <v>0</v>
      </c>
      <c r="BE10" s="24">
        <f t="shared" si="32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618117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6736</v>
      </c>
      <c r="L11" s="83">
        <f t="shared" si="38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8">X10</f>
        <v>151284</v>
      </c>
      <c r="Y11" s="324">
        <f t="shared" si="39"/>
        <v>0</v>
      </c>
      <c r="Z11" s="5">
        <f t="shared" si="48"/>
        <v>98717</v>
      </c>
      <c r="AA11" s="83">
        <f t="shared" si="19"/>
        <v>0</v>
      </c>
      <c r="AB11" s="5">
        <f t="shared" ref="AB11:AC11" si="49">AB10</f>
        <v>261</v>
      </c>
      <c r="AC11" s="5">
        <f t="shared" si="49"/>
        <v>731</v>
      </c>
      <c r="AD11" s="83">
        <f t="shared" si="35"/>
        <v>0</v>
      </c>
      <c r="AE11" s="5">
        <f t="shared" ref="AE11:AG11" si="50">AE10</f>
        <v>229.03</v>
      </c>
      <c r="AF11" s="83">
        <f t="shared" si="22"/>
        <v>0</v>
      </c>
      <c r="AG11" s="5">
        <f t="shared" si="50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0</v>
      </c>
      <c r="AL11" s="327">
        <f t="shared" si="26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95</v>
      </c>
      <c r="AU11" s="425">
        <f t="shared" si="43"/>
        <v>1.1000000000000001</v>
      </c>
      <c r="AV11" s="201">
        <f t="shared" si="43"/>
        <v>185</v>
      </c>
      <c r="AW11" s="5">
        <v>2.9</v>
      </c>
      <c r="AX11" s="201">
        <f t="shared" ref="AX11" si="51">AX10</f>
        <v>182</v>
      </c>
      <c r="AY11" s="426">
        <f t="shared" si="7"/>
        <v>85.5</v>
      </c>
      <c r="AZ11" s="426">
        <f t="shared" si="28"/>
        <v>203.50000000000003</v>
      </c>
      <c r="BA11" s="426">
        <f t="shared" si="29"/>
        <v>527.79999999999995</v>
      </c>
      <c r="BB11" s="21">
        <f t="shared" si="30"/>
        <v>0</v>
      </c>
      <c r="BC11" s="21">
        <f t="shared" si="31"/>
        <v>0</v>
      </c>
      <c r="BD11" s="21">
        <f t="shared" si="31"/>
        <v>0</v>
      </c>
      <c r="BE11" s="24">
        <f t="shared" si="32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f t="shared" si="13"/>
        <v>618117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6736</v>
      </c>
      <c r="L12" s="83">
        <f t="shared" si="38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:Z12" si="52">X11</f>
        <v>151284</v>
      </c>
      <c r="Y12" s="324">
        <f t="shared" si="39"/>
        <v>0</v>
      </c>
      <c r="Z12" s="5">
        <f t="shared" si="52"/>
        <v>98717</v>
      </c>
      <c r="AA12" s="83">
        <f t="shared" si="19"/>
        <v>0</v>
      </c>
      <c r="AB12" s="5">
        <f t="shared" ref="AB12:AC12" si="53">AB11</f>
        <v>261</v>
      </c>
      <c r="AC12" s="5">
        <f t="shared" si="53"/>
        <v>731</v>
      </c>
      <c r="AD12" s="83">
        <f t="shared" si="35"/>
        <v>0</v>
      </c>
      <c r="AE12" s="5">
        <f t="shared" ref="AE12:AG12" si="54">AE11</f>
        <v>229.03</v>
      </c>
      <c r="AF12" s="83">
        <f t="shared" si="22"/>
        <v>0</v>
      </c>
      <c r="AG12" s="5">
        <f t="shared" si="54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0</v>
      </c>
      <c r="AK12" s="327">
        <f t="shared" si="37"/>
        <v>0</v>
      </c>
      <c r="AL12" s="327">
        <f t="shared" si="26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f t="shared" si="6"/>
        <v>95</v>
      </c>
      <c r="AU12" s="425">
        <f t="shared" si="43"/>
        <v>1.1000000000000001</v>
      </c>
      <c r="AV12" s="201">
        <f t="shared" si="43"/>
        <v>185</v>
      </c>
      <c r="AW12" s="5">
        <v>2.9</v>
      </c>
      <c r="AX12" s="201">
        <f t="shared" ref="AX12" si="55">AX11</f>
        <v>182</v>
      </c>
      <c r="AY12" s="426">
        <f t="shared" si="7"/>
        <v>85.5</v>
      </c>
      <c r="AZ12" s="426">
        <f t="shared" si="28"/>
        <v>203.50000000000003</v>
      </c>
      <c r="BA12" s="426">
        <f t="shared" si="29"/>
        <v>527.79999999999995</v>
      </c>
      <c r="BB12" s="21">
        <f t="shared" si="30"/>
        <v>0</v>
      </c>
      <c r="BC12" s="21">
        <f t="shared" si="31"/>
        <v>0</v>
      </c>
      <c r="BD12" s="21">
        <f t="shared" si="31"/>
        <v>0</v>
      </c>
      <c r="BE12" s="24">
        <f t="shared" si="32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618117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6736</v>
      </c>
      <c r="L13" s="83">
        <f t="shared" si="38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5171</v>
      </c>
      <c r="U13" s="5">
        <f t="shared" si="4"/>
        <v>0</v>
      </c>
      <c r="V13" s="5">
        <f t="shared" si="17"/>
        <v>469</v>
      </c>
      <c r="W13" s="324">
        <f t="shared" si="18"/>
        <v>0</v>
      </c>
      <c r="X13" s="5">
        <f t="shared" ref="X13:Z13" si="56">X12</f>
        <v>151284</v>
      </c>
      <c r="Y13" s="324">
        <f t="shared" si="39"/>
        <v>0</v>
      </c>
      <c r="Z13" s="5">
        <f t="shared" si="56"/>
        <v>98717</v>
      </c>
      <c r="AA13" s="83">
        <f t="shared" si="19"/>
        <v>0</v>
      </c>
      <c r="AB13" s="5">
        <f t="shared" ref="AB13:AC13" si="57">AB12</f>
        <v>261</v>
      </c>
      <c r="AC13" s="5">
        <f t="shared" si="57"/>
        <v>731</v>
      </c>
      <c r="AD13" s="83">
        <f t="shared" si="35"/>
        <v>0</v>
      </c>
      <c r="AE13" s="5">
        <f t="shared" ref="AE13:AG13" si="58">AE12</f>
        <v>229.03</v>
      </c>
      <c r="AF13" s="83">
        <f t="shared" si="22"/>
        <v>0</v>
      </c>
      <c r="AG13" s="5">
        <f t="shared" si="58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0</v>
      </c>
      <c r="AK13" s="327">
        <f t="shared" si="37"/>
        <v>0</v>
      </c>
      <c r="AL13" s="327">
        <f t="shared" si="26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f t="shared" si="6"/>
        <v>95</v>
      </c>
      <c r="AU13" s="425">
        <f t="shared" si="43"/>
        <v>1.1000000000000001</v>
      </c>
      <c r="AV13" s="201">
        <f t="shared" si="43"/>
        <v>185</v>
      </c>
      <c r="AW13" s="5">
        <v>2.9</v>
      </c>
      <c r="AX13" s="201">
        <f t="shared" ref="AX13" si="59">AX12</f>
        <v>182</v>
      </c>
      <c r="AY13" s="426">
        <f t="shared" si="7"/>
        <v>85.5</v>
      </c>
      <c r="AZ13" s="426">
        <f t="shared" si="28"/>
        <v>203.50000000000003</v>
      </c>
      <c r="BA13" s="426">
        <f t="shared" si="29"/>
        <v>527.79999999999995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f t="shared" si="13"/>
        <v>618117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6736</v>
      </c>
      <c r="L14" s="83">
        <f t="shared" si="38"/>
        <v>0</v>
      </c>
      <c r="M14" s="410">
        <f t="shared" si="15"/>
        <v>457.44</v>
      </c>
      <c r="N14" s="514">
        <f t="shared" ref="N14:N33" si="60">SUM(M14-M13)</f>
        <v>0</v>
      </c>
      <c r="O14" s="410">
        <f t="shared" si="16"/>
        <v>529.52</v>
      </c>
      <c r="P14" s="514">
        <f t="shared" ref="P14:P33" si="61">SUM(O14-O13)</f>
        <v>0</v>
      </c>
      <c r="Q14" s="514">
        <f t="shared" ref="Q14:Q33" si="62">SUM(P14+N14)</f>
        <v>0</v>
      </c>
      <c r="R14" s="514"/>
      <c r="S14" s="514"/>
      <c r="T14" s="5">
        <f t="shared" si="17"/>
        <v>5171</v>
      </c>
      <c r="U14" s="5">
        <f t="shared" si="4"/>
        <v>0</v>
      </c>
      <c r="V14" s="5">
        <f t="shared" si="17"/>
        <v>469</v>
      </c>
      <c r="W14" s="324">
        <f t="shared" si="18"/>
        <v>0</v>
      </c>
      <c r="X14" s="5">
        <f t="shared" ref="X14:Z14" si="63">X13</f>
        <v>151284</v>
      </c>
      <c r="Y14" s="324">
        <f t="shared" si="39"/>
        <v>0</v>
      </c>
      <c r="Z14" s="5">
        <f t="shared" si="63"/>
        <v>98717</v>
      </c>
      <c r="AA14" s="83">
        <f t="shared" si="19"/>
        <v>0</v>
      </c>
      <c r="AB14" s="5">
        <f t="shared" ref="AB14:AC14" si="64">AB13</f>
        <v>261</v>
      </c>
      <c r="AC14" s="5">
        <f t="shared" si="64"/>
        <v>731</v>
      </c>
      <c r="AD14" s="83">
        <f t="shared" si="35"/>
        <v>0</v>
      </c>
      <c r="AE14" s="5">
        <f t="shared" ref="AE14:AG14" si="65">AE13</f>
        <v>229.03</v>
      </c>
      <c r="AF14" s="83">
        <f t="shared" si="22"/>
        <v>0</v>
      </c>
      <c r="AG14" s="5">
        <f t="shared" si="65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f t="shared" si="6"/>
        <v>95</v>
      </c>
      <c r="AU14" s="425">
        <f t="shared" si="43"/>
        <v>1.1000000000000001</v>
      </c>
      <c r="AV14" s="201">
        <f t="shared" si="43"/>
        <v>185</v>
      </c>
      <c r="AW14" s="5">
        <v>2.9</v>
      </c>
      <c r="AX14" s="201">
        <f t="shared" ref="AX14" si="66">AX13</f>
        <v>182</v>
      </c>
      <c r="AY14" s="426">
        <f t="shared" si="7"/>
        <v>85.5</v>
      </c>
      <c r="AZ14" s="426">
        <f t="shared" si="28"/>
        <v>203.50000000000003</v>
      </c>
      <c r="BA14" s="426">
        <f t="shared" si="29"/>
        <v>527.79999999999995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618117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6736</v>
      </c>
      <c r="L15" s="83">
        <f t="shared" si="38"/>
        <v>0</v>
      </c>
      <c r="M15" s="410">
        <f t="shared" si="15"/>
        <v>457.44</v>
      </c>
      <c r="N15" s="514">
        <f t="shared" si="60"/>
        <v>0</v>
      </c>
      <c r="O15" s="410">
        <f t="shared" si="16"/>
        <v>529.52</v>
      </c>
      <c r="P15" s="514">
        <f t="shared" si="61"/>
        <v>0</v>
      </c>
      <c r="Q15" s="514">
        <f t="shared" si="62"/>
        <v>0</v>
      </c>
      <c r="R15" s="514"/>
      <c r="S15" s="514"/>
      <c r="T15" s="5">
        <f t="shared" si="17"/>
        <v>5171</v>
      </c>
      <c r="U15" s="5">
        <f t="shared" si="4"/>
        <v>0</v>
      </c>
      <c r="V15" s="5">
        <f t="shared" si="17"/>
        <v>469</v>
      </c>
      <c r="W15" s="324">
        <f t="shared" si="18"/>
        <v>0</v>
      </c>
      <c r="X15" s="5">
        <f t="shared" ref="X15:Z15" si="67">X14</f>
        <v>151284</v>
      </c>
      <c r="Y15" s="324">
        <f t="shared" si="39"/>
        <v>0</v>
      </c>
      <c r="Z15" s="5">
        <f t="shared" si="67"/>
        <v>98717</v>
      </c>
      <c r="AA15" s="83">
        <f t="shared" si="19"/>
        <v>0</v>
      </c>
      <c r="AB15" s="5">
        <f t="shared" ref="AB15:AC15" si="68">AB14</f>
        <v>261</v>
      </c>
      <c r="AC15" s="5">
        <f t="shared" si="68"/>
        <v>731</v>
      </c>
      <c r="AD15" s="83">
        <f t="shared" si="35"/>
        <v>0</v>
      </c>
      <c r="AE15" s="5">
        <f t="shared" ref="AE15:AG15" si="69">AE14</f>
        <v>229.03</v>
      </c>
      <c r="AF15" s="83">
        <f t="shared" si="22"/>
        <v>0</v>
      </c>
      <c r="AG15" s="5">
        <f t="shared" si="69"/>
        <v>2199.36</v>
      </c>
      <c r="AH15" s="83">
        <f t="shared" si="23"/>
        <v>0</v>
      </c>
      <c r="AI15" s="83">
        <f t="shared" si="24"/>
        <v>0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f t="shared" si="6"/>
        <v>95</v>
      </c>
      <c r="AU15" s="425">
        <f t="shared" si="43"/>
        <v>1.1000000000000001</v>
      </c>
      <c r="AV15" s="201">
        <f t="shared" si="43"/>
        <v>185</v>
      </c>
      <c r="AW15" s="5">
        <v>2.9</v>
      </c>
      <c r="AX15" s="201">
        <f t="shared" ref="AX15" si="70">AX14</f>
        <v>182</v>
      </c>
      <c r="AY15" s="426">
        <f t="shared" si="7"/>
        <v>85.5</v>
      </c>
      <c r="AZ15" s="426">
        <f t="shared" si="28"/>
        <v>203.50000000000003</v>
      </c>
      <c r="BA15" s="426">
        <f t="shared" si="29"/>
        <v>527.79999999999995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f t="shared" si="13"/>
        <v>618117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6736</v>
      </c>
      <c r="L16" s="274">
        <f t="shared" si="38"/>
        <v>0</v>
      </c>
      <c r="M16" s="410">
        <f t="shared" si="15"/>
        <v>457.44</v>
      </c>
      <c r="N16" s="514">
        <f t="shared" si="60"/>
        <v>0</v>
      </c>
      <c r="O16" s="410">
        <f t="shared" si="16"/>
        <v>529.52</v>
      </c>
      <c r="P16" s="514">
        <f t="shared" si="61"/>
        <v>0</v>
      </c>
      <c r="Q16" s="514">
        <f t="shared" si="62"/>
        <v>0</v>
      </c>
      <c r="R16" s="516"/>
      <c r="S16" s="516"/>
      <c r="T16" s="5">
        <f t="shared" si="17"/>
        <v>5171</v>
      </c>
      <c r="U16" s="5">
        <f t="shared" si="4"/>
        <v>0</v>
      </c>
      <c r="V16" s="5">
        <f t="shared" si="17"/>
        <v>469</v>
      </c>
      <c r="W16" s="324">
        <f t="shared" si="18"/>
        <v>0</v>
      </c>
      <c r="X16" s="5">
        <f t="shared" ref="X16:Z16" si="71">X15</f>
        <v>151284</v>
      </c>
      <c r="Y16" s="324">
        <f t="shared" si="39"/>
        <v>0</v>
      </c>
      <c r="Z16" s="5">
        <f t="shared" si="71"/>
        <v>98717</v>
      </c>
      <c r="AA16" s="83">
        <f t="shared" si="19"/>
        <v>0</v>
      </c>
      <c r="AB16" s="5">
        <f t="shared" ref="AB16:AC16" si="72">AB15</f>
        <v>261</v>
      </c>
      <c r="AC16" s="5">
        <f t="shared" si="72"/>
        <v>731</v>
      </c>
      <c r="AD16" s="83">
        <f t="shared" si="35"/>
        <v>0</v>
      </c>
      <c r="AE16" s="5">
        <f t="shared" ref="AE16:AG16" si="73">AE15</f>
        <v>229.03</v>
      </c>
      <c r="AF16" s="83">
        <f t="shared" si="22"/>
        <v>0</v>
      </c>
      <c r="AG16" s="5">
        <f t="shared" si="73"/>
        <v>2199.36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f t="shared" si="6"/>
        <v>95</v>
      </c>
      <c r="AU16" s="425">
        <f t="shared" si="43"/>
        <v>1.1000000000000001</v>
      </c>
      <c r="AV16" s="201">
        <f t="shared" si="43"/>
        <v>185</v>
      </c>
      <c r="AW16" s="5">
        <v>2.9</v>
      </c>
      <c r="AX16" s="201">
        <f t="shared" ref="AX16" si="74">AX15</f>
        <v>182</v>
      </c>
      <c r="AY16" s="426">
        <f t="shared" si="7"/>
        <v>85.5</v>
      </c>
      <c r="AZ16" s="426">
        <f t="shared" si="28"/>
        <v>203.50000000000003</v>
      </c>
      <c r="BA16" s="426">
        <f t="shared" si="29"/>
        <v>527.79999999999995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618117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6736</v>
      </c>
      <c r="L17" s="83">
        <f t="shared" si="38"/>
        <v>0</v>
      </c>
      <c r="M17" s="410">
        <f t="shared" si="15"/>
        <v>457.44</v>
      </c>
      <c r="N17" s="514">
        <f t="shared" si="60"/>
        <v>0</v>
      </c>
      <c r="O17" s="410">
        <f t="shared" si="16"/>
        <v>529.52</v>
      </c>
      <c r="P17" s="514">
        <f t="shared" si="61"/>
        <v>0</v>
      </c>
      <c r="Q17" s="514">
        <f t="shared" si="62"/>
        <v>0</v>
      </c>
      <c r="R17" s="514"/>
      <c r="S17" s="514"/>
      <c r="T17" s="5">
        <f t="shared" si="17"/>
        <v>5171</v>
      </c>
      <c r="U17" s="5">
        <f t="shared" si="4"/>
        <v>0</v>
      </c>
      <c r="V17" s="5">
        <f t="shared" si="17"/>
        <v>469</v>
      </c>
      <c r="W17" s="324">
        <f t="shared" si="18"/>
        <v>0</v>
      </c>
      <c r="X17" s="5">
        <f t="shared" ref="X17:Z17" si="75">X16</f>
        <v>151284</v>
      </c>
      <c r="Y17" s="324">
        <f t="shared" si="39"/>
        <v>0</v>
      </c>
      <c r="Z17" s="5">
        <f t="shared" si="75"/>
        <v>98717</v>
      </c>
      <c r="AA17" s="83">
        <f t="shared" si="19"/>
        <v>0</v>
      </c>
      <c r="AB17" s="5">
        <f t="shared" ref="AB17:AC17" si="76">AB16</f>
        <v>261</v>
      </c>
      <c r="AC17" s="5">
        <f t="shared" si="76"/>
        <v>731</v>
      </c>
      <c r="AD17" s="83">
        <f t="shared" si="35"/>
        <v>0</v>
      </c>
      <c r="AE17" s="5">
        <f t="shared" ref="AE17:AG17" si="77">AE16</f>
        <v>229.03</v>
      </c>
      <c r="AF17" s="83">
        <f t="shared" si="22"/>
        <v>0</v>
      </c>
      <c r="AG17" s="5">
        <f t="shared" si="77"/>
        <v>2199.36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95</v>
      </c>
      <c r="AU17" s="425">
        <f t="shared" si="43"/>
        <v>1.1000000000000001</v>
      </c>
      <c r="AV17" s="201">
        <f t="shared" si="43"/>
        <v>185</v>
      </c>
      <c r="AW17" s="5">
        <v>2.9</v>
      </c>
      <c r="AX17" s="201">
        <f t="shared" ref="AX17" si="78">AX16</f>
        <v>182</v>
      </c>
      <c r="AY17" s="426">
        <f t="shared" si="7"/>
        <v>85.5</v>
      </c>
      <c r="AZ17" s="426">
        <f t="shared" si="28"/>
        <v>203.50000000000003</v>
      </c>
      <c r="BA17" s="426">
        <f t="shared" si="29"/>
        <v>527.79999999999995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618117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6736</v>
      </c>
      <c r="L18" s="83">
        <f t="shared" si="38"/>
        <v>0</v>
      </c>
      <c r="M18" s="410">
        <f t="shared" si="15"/>
        <v>457.44</v>
      </c>
      <c r="N18" s="514">
        <f t="shared" si="60"/>
        <v>0</v>
      </c>
      <c r="O18" s="410">
        <f t="shared" si="16"/>
        <v>529.52</v>
      </c>
      <c r="P18" s="514">
        <f t="shared" si="61"/>
        <v>0</v>
      </c>
      <c r="Q18" s="514">
        <f t="shared" si="62"/>
        <v>0</v>
      </c>
      <c r="R18" s="514"/>
      <c r="S18" s="514"/>
      <c r="T18" s="5">
        <f t="shared" si="17"/>
        <v>5171</v>
      </c>
      <c r="U18" s="5">
        <f t="shared" si="4"/>
        <v>0</v>
      </c>
      <c r="V18" s="5">
        <f t="shared" si="17"/>
        <v>469</v>
      </c>
      <c r="W18" s="324">
        <f t="shared" si="18"/>
        <v>0</v>
      </c>
      <c r="X18" s="5">
        <f t="shared" ref="X18:Z18" si="79">X17</f>
        <v>151284</v>
      </c>
      <c r="Y18" s="324">
        <f t="shared" si="39"/>
        <v>0</v>
      </c>
      <c r="Z18" s="5">
        <f t="shared" si="79"/>
        <v>98717</v>
      </c>
      <c r="AA18" s="83">
        <f t="shared" si="19"/>
        <v>0</v>
      </c>
      <c r="AB18" s="5">
        <f t="shared" ref="AB18:AC18" si="80">AB17</f>
        <v>261</v>
      </c>
      <c r="AC18" s="5">
        <f t="shared" si="80"/>
        <v>731</v>
      </c>
      <c r="AD18" s="83">
        <f t="shared" si="35"/>
        <v>0</v>
      </c>
      <c r="AE18" s="5">
        <f t="shared" ref="AE18:AG18" si="81">AE17</f>
        <v>229.03</v>
      </c>
      <c r="AF18" s="83">
        <f t="shared" si="22"/>
        <v>0</v>
      </c>
      <c r="AG18" s="5">
        <f t="shared" si="81"/>
        <v>2199.36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0</v>
      </c>
      <c r="AL18" s="327">
        <f t="shared" si="26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f t="shared" si="6"/>
        <v>95</v>
      </c>
      <c r="AU18" s="425">
        <f t="shared" si="43"/>
        <v>1.1000000000000001</v>
      </c>
      <c r="AV18" s="201">
        <f t="shared" si="43"/>
        <v>185</v>
      </c>
      <c r="AW18" s="5">
        <v>2.9</v>
      </c>
      <c r="AX18" s="201">
        <f t="shared" ref="AX18" si="82">AX17</f>
        <v>182</v>
      </c>
      <c r="AY18" s="426">
        <f t="shared" si="7"/>
        <v>85.5</v>
      </c>
      <c r="AZ18" s="426">
        <f t="shared" si="28"/>
        <v>203.50000000000003</v>
      </c>
      <c r="BA18" s="426">
        <f t="shared" si="29"/>
        <v>527.79999999999995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618117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6736</v>
      </c>
      <c r="L19" s="83">
        <f t="shared" si="38"/>
        <v>0</v>
      </c>
      <c r="M19" s="410">
        <f t="shared" si="15"/>
        <v>457.44</v>
      </c>
      <c r="N19" s="514">
        <f t="shared" si="60"/>
        <v>0</v>
      </c>
      <c r="O19" s="410">
        <f t="shared" si="16"/>
        <v>529.52</v>
      </c>
      <c r="P19" s="514">
        <f t="shared" si="61"/>
        <v>0</v>
      </c>
      <c r="Q19" s="514">
        <f t="shared" si="62"/>
        <v>0</v>
      </c>
      <c r="R19" s="514"/>
      <c r="S19" s="514"/>
      <c r="T19" s="5">
        <f t="shared" si="17"/>
        <v>5171</v>
      </c>
      <c r="U19" s="5">
        <f t="shared" si="4"/>
        <v>0</v>
      </c>
      <c r="V19" s="5">
        <f t="shared" si="17"/>
        <v>469</v>
      </c>
      <c r="W19" s="324">
        <f t="shared" si="18"/>
        <v>0</v>
      </c>
      <c r="X19" s="5">
        <f t="shared" ref="X19:Z19" si="83">X18</f>
        <v>151284</v>
      </c>
      <c r="Y19" s="324">
        <f t="shared" si="39"/>
        <v>0</v>
      </c>
      <c r="Z19" s="5">
        <f t="shared" si="83"/>
        <v>98717</v>
      </c>
      <c r="AA19" s="83">
        <f t="shared" si="19"/>
        <v>0</v>
      </c>
      <c r="AB19" s="5">
        <f t="shared" ref="AB19:AC19" si="84">AB18</f>
        <v>261</v>
      </c>
      <c r="AC19" s="5">
        <f t="shared" si="84"/>
        <v>731</v>
      </c>
      <c r="AD19" s="83">
        <f t="shared" si="35"/>
        <v>0</v>
      </c>
      <c r="AE19" s="5">
        <f t="shared" ref="AE19:AG19" si="85">AE18</f>
        <v>229.03</v>
      </c>
      <c r="AF19" s="83">
        <f t="shared" si="22"/>
        <v>0</v>
      </c>
      <c r="AG19" s="5">
        <f t="shared" si="85"/>
        <v>2199.36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0</v>
      </c>
      <c r="AL19" s="327">
        <f t="shared" si="26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95</v>
      </c>
      <c r="AU19" s="425">
        <f t="shared" si="43"/>
        <v>1.1000000000000001</v>
      </c>
      <c r="AV19" s="201">
        <f t="shared" si="43"/>
        <v>185</v>
      </c>
      <c r="AW19" s="5">
        <v>2.9</v>
      </c>
      <c r="AX19" s="201">
        <f t="shared" ref="AX19" si="86">AX18</f>
        <v>182</v>
      </c>
      <c r="AY19" s="426">
        <f t="shared" ref="AY19:AY21" si="87">AS19*AT19</f>
        <v>85.5</v>
      </c>
      <c r="AZ19" s="426">
        <f t="shared" ref="AZ19:AZ21" si="88">AU19*AV19</f>
        <v>203.50000000000003</v>
      </c>
      <c r="BA19" s="426">
        <f t="shared" ref="BA19:BA21" si="89">AW19*AX19</f>
        <v>527.79999999999995</v>
      </c>
      <c r="BB19" s="21">
        <f t="shared" ref="BB19:BB20" si="90">AY19-AY18</f>
        <v>0</v>
      </c>
      <c r="BC19" s="21">
        <f t="shared" ref="BC19:BC20" si="91">AZ19-AZ18</f>
        <v>0</v>
      </c>
      <c r="BD19" s="21">
        <f t="shared" ref="BD19:BD20" si="92">BA19-BA18</f>
        <v>0</v>
      </c>
      <c r="BE19" s="24">
        <f t="shared" ref="BE19:BE20" si="93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618117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6736</v>
      </c>
      <c r="L20" s="83">
        <f t="shared" si="38"/>
        <v>0</v>
      </c>
      <c r="M20" s="410">
        <f t="shared" si="15"/>
        <v>457.44</v>
      </c>
      <c r="N20" s="514">
        <f t="shared" si="60"/>
        <v>0</v>
      </c>
      <c r="O20" s="410">
        <f t="shared" si="16"/>
        <v>529.52</v>
      </c>
      <c r="P20" s="514">
        <f t="shared" si="61"/>
        <v>0</v>
      </c>
      <c r="Q20" s="514">
        <f t="shared" si="62"/>
        <v>0</v>
      </c>
      <c r="R20" s="514"/>
      <c r="S20" s="514"/>
      <c r="T20" s="5">
        <f t="shared" si="17"/>
        <v>5171</v>
      </c>
      <c r="U20" s="5">
        <f t="shared" si="4"/>
        <v>0</v>
      </c>
      <c r="V20" s="5">
        <f t="shared" si="17"/>
        <v>469</v>
      </c>
      <c r="W20" s="324">
        <f t="shared" si="18"/>
        <v>0</v>
      </c>
      <c r="X20" s="5">
        <f t="shared" ref="X20:Z20" si="94">X19</f>
        <v>151284</v>
      </c>
      <c r="Y20" s="324">
        <f t="shared" si="39"/>
        <v>0</v>
      </c>
      <c r="Z20" s="5">
        <f t="shared" si="94"/>
        <v>98717</v>
      </c>
      <c r="AA20" s="83">
        <f t="shared" si="19"/>
        <v>0</v>
      </c>
      <c r="AB20" s="5">
        <f t="shared" ref="AB20:AC20" si="95">AB19</f>
        <v>261</v>
      </c>
      <c r="AC20" s="5">
        <f t="shared" si="95"/>
        <v>731</v>
      </c>
      <c r="AD20" s="83">
        <f t="shared" si="35"/>
        <v>0</v>
      </c>
      <c r="AE20" s="5">
        <f t="shared" ref="AE20:AG20" si="96">AE19</f>
        <v>229.03</v>
      </c>
      <c r="AF20" s="83">
        <f t="shared" si="22"/>
        <v>0</v>
      </c>
      <c r="AG20" s="5">
        <f t="shared" si="96"/>
        <v>2199.36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95</v>
      </c>
      <c r="AU20" s="425">
        <f t="shared" si="43"/>
        <v>1.1000000000000001</v>
      </c>
      <c r="AV20" s="201">
        <f t="shared" si="43"/>
        <v>185</v>
      </c>
      <c r="AW20" s="5">
        <v>2.9</v>
      </c>
      <c r="AX20" s="201">
        <f t="shared" ref="AX20" si="97">AX19</f>
        <v>182</v>
      </c>
      <c r="AY20" s="426">
        <f t="shared" si="87"/>
        <v>85.5</v>
      </c>
      <c r="AZ20" s="426">
        <f t="shared" si="88"/>
        <v>203.50000000000003</v>
      </c>
      <c r="BA20" s="426">
        <f t="shared" si="89"/>
        <v>527.79999999999995</v>
      </c>
      <c r="BB20" s="21">
        <f t="shared" si="90"/>
        <v>0</v>
      </c>
      <c r="BC20" s="21">
        <f t="shared" si="91"/>
        <v>0</v>
      </c>
      <c r="BD20" s="21">
        <f t="shared" si="92"/>
        <v>0</v>
      </c>
      <c r="BE20" s="24">
        <f t="shared" si="93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618117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6736</v>
      </c>
      <c r="L21" s="83">
        <f t="shared" si="38"/>
        <v>0</v>
      </c>
      <c r="M21" s="410">
        <f t="shared" si="15"/>
        <v>457.44</v>
      </c>
      <c r="N21" s="514">
        <f t="shared" si="60"/>
        <v>0</v>
      </c>
      <c r="O21" s="410">
        <f t="shared" si="16"/>
        <v>529.52</v>
      </c>
      <c r="P21" s="514">
        <f t="shared" si="61"/>
        <v>0</v>
      </c>
      <c r="Q21" s="514">
        <f t="shared" si="62"/>
        <v>0</v>
      </c>
      <c r="R21" s="514"/>
      <c r="S21" s="514"/>
      <c r="T21" s="5">
        <f t="shared" si="17"/>
        <v>5171</v>
      </c>
      <c r="U21" s="5">
        <f t="shared" si="4"/>
        <v>0</v>
      </c>
      <c r="V21" s="5">
        <f t="shared" si="17"/>
        <v>469</v>
      </c>
      <c r="W21" s="324">
        <f t="shared" si="18"/>
        <v>0</v>
      </c>
      <c r="X21" s="5">
        <f t="shared" ref="X21:Z21" si="98">X20</f>
        <v>151284</v>
      </c>
      <c r="Y21" s="324">
        <f>SUM(X21-X20)</f>
        <v>0</v>
      </c>
      <c r="Z21" s="5">
        <f t="shared" si="98"/>
        <v>98717</v>
      </c>
      <c r="AA21" s="83">
        <f t="shared" si="19"/>
        <v>0</v>
      </c>
      <c r="AB21" s="5">
        <f t="shared" ref="AB21:AC21" si="99">AB20</f>
        <v>261</v>
      </c>
      <c r="AC21" s="5">
        <f t="shared" si="99"/>
        <v>731</v>
      </c>
      <c r="AD21" s="83">
        <f t="shared" si="35"/>
        <v>0</v>
      </c>
      <c r="AE21" s="5">
        <f t="shared" ref="AE21:AG21" si="100">AE20</f>
        <v>229.03</v>
      </c>
      <c r="AF21" s="83">
        <f t="shared" si="22"/>
        <v>0</v>
      </c>
      <c r="AG21" s="5">
        <f t="shared" si="100"/>
        <v>2199.36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95</v>
      </c>
      <c r="AU21" s="425">
        <f t="shared" si="43"/>
        <v>1.1000000000000001</v>
      </c>
      <c r="AV21" s="201">
        <f t="shared" si="43"/>
        <v>185</v>
      </c>
      <c r="AW21" s="5">
        <v>2.9</v>
      </c>
      <c r="AX21" s="201">
        <f t="shared" ref="AX21" si="101">AX20</f>
        <v>182</v>
      </c>
      <c r="AY21" s="426">
        <f t="shared" si="87"/>
        <v>85.5</v>
      </c>
      <c r="AZ21" s="426">
        <f t="shared" si="88"/>
        <v>203.50000000000003</v>
      </c>
      <c r="BA21" s="426">
        <f t="shared" si="89"/>
        <v>527.79999999999995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618117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6736</v>
      </c>
      <c r="L22" s="83">
        <f t="shared" si="38"/>
        <v>0</v>
      </c>
      <c r="M22" s="410">
        <f t="shared" si="15"/>
        <v>457.44</v>
      </c>
      <c r="N22" s="514">
        <f t="shared" si="60"/>
        <v>0</v>
      </c>
      <c r="O22" s="410">
        <f t="shared" si="16"/>
        <v>529.52</v>
      </c>
      <c r="P22" s="514">
        <f t="shared" si="61"/>
        <v>0</v>
      </c>
      <c r="Q22" s="514">
        <f t="shared" si="62"/>
        <v>0</v>
      </c>
      <c r="R22" s="514"/>
      <c r="S22" s="514"/>
      <c r="T22" s="5">
        <f t="shared" si="17"/>
        <v>5171</v>
      </c>
      <c r="U22" s="5">
        <f t="shared" si="4"/>
        <v>0</v>
      </c>
      <c r="V22" s="5">
        <f t="shared" si="17"/>
        <v>469</v>
      </c>
      <c r="W22" s="324">
        <f t="shared" si="18"/>
        <v>0</v>
      </c>
      <c r="X22" s="5">
        <f t="shared" ref="X22:Z22" si="102">X21</f>
        <v>151284</v>
      </c>
      <c r="Y22" s="324">
        <f t="shared" si="39"/>
        <v>0</v>
      </c>
      <c r="Z22" s="5">
        <f t="shared" si="102"/>
        <v>98717</v>
      </c>
      <c r="AA22" s="83">
        <f t="shared" si="19"/>
        <v>0</v>
      </c>
      <c r="AB22" s="5">
        <f t="shared" ref="AB22:AC22" si="103">AB21</f>
        <v>261</v>
      </c>
      <c r="AC22" s="5">
        <f t="shared" si="103"/>
        <v>731</v>
      </c>
      <c r="AD22" s="83">
        <f t="shared" si="35"/>
        <v>0</v>
      </c>
      <c r="AE22" s="5">
        <f t="shared" ref="AE22:AG22" si="104">AE21</f>
        <v>229.03</v>
      </c>
      <c r="AF22" s="83">
        <f t="shared" si="22"/>
        <v>0</v>
      </c>
      <c r="AG22" s="5">
        <f t="shared" si="104"/>
        <v>2199.36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105">AS21</f>
        <v>0.9</v>
      </c>
      <c r="AT22" s="201">
        <f t="shared" si="105"/>
        <v>95</v>
      </c>
      <c r="AU22" s="425">
        <f t="shared" si="43"/>
        <v>1.1000000000000001</v>
      </c>
      <c r="AV22" s="201">
        <f t="shared" si="43"/>
        <v>185</v>
      </c>
      <c r="AW22" s="5">
        <v>2.9</v>
      </c>
      <c r="AX22" s="201">
        <f t="shared" ref="AX22" si="106">AX21</f>
        <v>182</v>
      </c>
      <c r="AY22" s="426">
        <f t="shared" si="7"/>
        <v>85.5</v>
      </c>
      <c r="AZ22" s="426">
        <f t="shared" si="28"/>
        <v>203.50000000000003</v>
      </c>
      <c r="BA22" s="426">
        <f t="shared" si="29"/>
        <v>527.79999999999995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618117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6736</v>
      </c>
      <c r="L23" s="274">
        <f t="shared" si="38"/>
        <v>0</v>
      </c>
      <c r="M23" s="410">
        <f t="shared" si="15"/>
        <v>457.44</v>
      </c>
      <c r="N23" s="514">
        <f t="shared" si="60"/>
        <v>0</v>
      </c>
      <c r="O23" s="410">
        <f t="shared" si="16"/>
        <v>529.52</v>
      </c>
      <c r="P23" s="514">
        <f t="shared" si="61"/>
        <v>0</v>
      </c>
      <c r="Q23" s="514">
        <f t="shared" si="62"/>
        <v>0</v>
      </c>
      <c r="R23" s="516"/>
      <c r="S23" s="516"/>
      <c r="T23" s="5">
        <f t="shared" si="17"/>
        <v>5171</v>
      </c>
      <c r="U23" s="5">
        <f t="shared" si="4"/>
        <v>0</v>
      </c>
      <c r="V23" s="5">
        <f t="shared" si="17"/>
        <v>469</v>
      </c>
      <c r="W23" s="324">
        <f t="shared" si="18"/>
        <v>0</v>
      </c>
      <c r="X23" s="5">
        <f t="shared" ref="X23:Z23" si="107">X22</f>
        <v>151284</v>
      </c>
      <c r="Y23" s="324">
        <f t="shared" si="39"/>
        <v>0</v>
      </c>
      <c r="Z23" s="5">
        <f t="shared" si="107"/>
        <v>98717</v>
      </c>
      <c r="AA23" s="83">
        <f t="shared" si="19"/>
        <v>0</v>
      </c>
      <c r="AB23" s="5">
        <f t="shared" ref="AB23:AC23" si="108">AB22</f>
        <v>261</v>
      </c>
      <c r="AC23" s="5">
        <f t="shared" si="108"/>
        <v>731</v>
      </c>
      <c r="AD23" s="83">
        <f t="shared" si="35"/>
        <v>0</v>
      </c>
      <c r="AE23" s="5">
        <f t="shared" ref="AE23:AG23" si="109">AE22</f>
        <v>229.03</v>
      </c>
      <c r="AF23" s="83">
        <f t="shared" si="22"/>
        <v>0</v>
      </c>
      <c r="AG23" s="5">
        <f t="shared" si="109"/>
        <v>2199.36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105"/>
        <v>0.9</v>
      </c>
      <c r="AT23" s="201">
        <f t="shared" si="105"/>
        <v>95</v>
      </c>
      <c r="AU23" s="425">
        <f t="shared" si="43"/>
        <v>1.1000000000000001</v>
      </c>
      <c r="AV23" s="201">
        <f t="shared" si="43"/>
        <v>185</v>
      </c>
      <c r="AW23" s="5">
        <v>2.9</v>
      </c>
      <c r="AX23" s="201">
        <f t="shared" ref="AX23" si="110">AX22</f>
        <v>182</v>
      </c>
      <c r="AY23" s="426">
        <f t="shared" si="7"/>
        <v>85.5</v>
      </c>
      <c r="AZ23" s="426">
        <f t="shared" si="28"/>
        <v>203.50000000000003</v>
      </c>
      <c r="BA23" s="426">
        <f t="shared" si="29"/>
        <v>527.79999999999995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618117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-23</v>
      </c>
      <c r="M24" s="410">
        <f t="shared" si="15"/>
        <v>457.44</v>
      </c>
      <c r="N24" s="514">
        <f t="shared" si="60"/>
        <v>0</v>
      </c>
      <c r="O24" s="410">
        <f t="shared" si="16"/>
        <v>529.52</v>
      </c>
      <c r="P24" s="514">
        <f t="shared" si="61"/>
        <v>0</v>
      </c>
      <c r="Q24" s="514">
        <f t="shared" si="62"/>
        <v>0</v>
      </c>
      <c r="R24" s="516"/>
      <c r="S24" s="516"/>
      <c r="T24" s="5">
        <f t="shared" si="17"/>
        <v>5171</v>
      </c>
      <c r="U24" s="5">
        <f t="shared" si="4"/>
        <v>0</v>
      </c>
      <c r="V24" s="5">
        <f t="shared" si="17"/>
        <v>469</v>
      </c>
      <c r="W24" s="324">
        <f t="shared" si="18"/>
        <v>0</v>
      </c>
      <c r="X24" s="5">
        <f t="shared" ref="X24:Z24" si="111">X23</f>
        <v>151284</v>
      </c>
      <c r="Y24" s="324">
        <f t="shared" si="39"/>
        <v>0</v>
      </c>
      <c r="Z24" s="5">
        <f t="shared" si="111"/>
        <v>98717</v>
      </c>
      <c r="AA24" s="83">
        <f t="shared" si="19"/>
        <v>0</v>
      </c>
      <c r="AB24" s="5">
        <f t="shared" ref="AB24:AC24" si="112">AB23</f>
        <v>261</v>
      </c>
      <c r="AC24" s="5">
        <f t="shared" si="112"/>
        <v>731</v>
      </c>
      <c r="AD24" s="83">
        <f t="shared" si="35"/>
        <v>0</v>
      </c>
      <c r="AE24" s="5">
        <f t="shared" ref="AE24:AG24" si="113">AE23</f>
        <v>229.03</v>
      </c>
      <c r="AF24" s="83">
        <f t="shared" si="22"/>
        <v>0</v>
      </c>
      <c r="AG24" s="5">
        <f t="shared" si="113"/>
        <v>2199.36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23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105"/>
        <v>0.9</v>
      </c>
      <c r="AT24" s="201">
        <f t="shared" si="105"/>
        <v>95</v>
      </c>
      <c r="AU24" s="425">
        <f t="shared" si="43"/>
        <v>1.1000000000000001</v>
      </c>
      <c r="AV24" s="201">
        <f t="shared" si="43"/>
        <v>185</v>
      </c>
      <c r="AW24" s="5">
        <v>2.9</v>
      </c>
      <c r="AX24" s="201">
        <f t="shared" ref="AX24" si="114">AX23</f>
        <v>182</v>
      </c>
      <c r="AY24" s="426">
        <f t="shared" si="7"/>
        <v>85.5</v>
      </c>
      <c r="AZ24" s="426">
        <f t="shared" si="28"/>
        <v>203.50000000000003</v>
      </c>
      <c r="BA24" s="426">
        <f t="shared" si="29"/>
        <v>527.79999999999995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618117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6736</v>
      </c>
      <c r="L25" s="274">
        <f t="shared" si="38"/>
        <v>23</v>
      </c>
      <c r="M25" s="410">
        <f t="shared" si="15"/>
        <v>457.44</v>
      </c>
      <c r="N25" s="514">
        <f t="shared" si="60"/>
        <v>0</v>
      </c>
      <c r="O25" s="410">
        <f t="shared" si="16"/>
        <v>529.52</v>
      </c>
      <c r="P25" s="514">
        <f t="shared" si="61"/>
        <v>0</v>
      </c>
      <c r="Q25" s="514">
        <f t="shared" si="62"/>
        <v>0</v>
      </c>
      <c r="R25" s="516"/>
      <c r="S25" s="516"/>
      <c r="T25" s="5">
        <f t="shared" si="17"/>
        <v>5171</v>
      </c>
      <c r="U25" s="5">
        <f t="shared" si="4"/>
        <v>0</v>
      </c>
      <c r="V25" s="5">
        <f t="shared" si="17"/>
        <v>469</v>
      </c>
      <c r="W25" s="324">
        <f t="shared" si="18"/>
        <v>0</v>
      </c>
      <c r="X25" s="5">
        <f t="shared" ref="X25:Z25" si="115">X24</f>
        <v>151284</v>
      </c>
      <c r="Y25" s="324">
        <f t="shared" si="39"/>
        <v>0</v>
      </c>
      <c r="Z25" s="5">
        <f t="shared" si="115"/>
        <v>98717</v>
      </c>
      <c r="AA25" s="83">
        <f t="shared" si="19"/>
        <v>0</v>
      </c>
      <c r="AB25" s="5">
        <f t="shared" ref="AB25:AC25" si="116">AB24</f>
        <v>261</v>
      </c>
      <c r="AC25" s="5">
        <f t="shared" si="116"/>
        <v>731</v>
      </c>
      <c r="AD25" s="83">
        <f t="shared" si="35"/>
        <v>0</v>
      </c>
      <c r="AE25" s="5">
        <f t="shared" ref="AE25:AG25" si="117">AE24</f>
        <v>229.03</v>
      </c>
      <c r="AF25" s="83">
        <f t="shared" si="22"/>
        <v>0</v>
      </c>
      <c r="AG25" s="5">
        <f t="shared" si="117"/>
        <v>2199.36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-23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105"/>
        <v>0.9</v>
      </c>
      <c r="AT25" s="201">
        <f t="shared" si="105"/>
        <v>95</v>
      </c>
      <c r="AU25" s="425">
        <f t="shared" si="43"/>
        <v>1.1000000000000001</v>
      </c>
      <c r="AV25" s="201">
        <f t="shared" si="43"/>
        <v>185</v>
      </c>
      <c r="AW25" s="5">
        <v>2.9</v>
      </c>
      <c r="AX25" s="201">
        <f t="shared" ref="AX25" si="118">AX24</f>
        <v>182</v>
      </c>
      <c r="AY25" s="426">
        <f t="shared" si="7"/>
        <v>85.5</v>
      </c>
      <c r="AZ25" s="426">
        <f t="shared" si="28"/>
        <v>203.50000000000003</v>
      </c>
      <c r="BA25" s="426">
        <f t="shared" si="29"/>
        <v>527.79999999999995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618117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6736</v>
      </c>
      <c r="L26" s="274">
        <f t="shared" si="38"/>
        <v>0</v>
      </c>
      <c r="M26" s="410">
        <f t="shared" si="15"/>
        <v>457.44</v>
      </c>
      <c r="N26" s="514">
        <f t="shared" si="60"/>
        <v>0</v>
      </c>
      <c r="O26" s="410">
        <f t="shared" si="16"/>
        <v>529.52</v>
      </c>
      <c r="P26" s="514">
        <f t="shared" si="61"/>
        <v>0</v>
      </c>
      <c r="Q26" s="514">
        <f t="shared" si="62"/>
        <v>0</v>
      </c>
      <c r="R26" s="516"/>
      <c r="S26" s="516"/>
      <c r="T26" s="5">
        <f t="shared" si="17"/>
        <v>5171</v>
      </c>
      <c r="U26" s="5">
        <f t="shared" si="4"/>
        <v>0</v>
      </c>
      <c r="V26" s="5">
        <f t="shared" si="17"/>
        <v>469</v>
      </c>
      <c r="W26" s="324">
        <f t="shared" si="18"/>
        <v>0</v>
      </c>
      <c r="X26" s="5">
        <f t="shared" ref="X26:Z26" si="119">X25</f>
        <v>151284</v>
      </c>
      <c r="Y26" s="324">
        <f t="shared" si="39"/>
        <v>0</v>
      </c>
      <c r="Z26" s="5">
        <f t="shared" si="119"/>
        <v>98717</v>
      </c>
      <c r="AA26" s="83">
        <f t="shared" si="19"/>
        <v>0</v>
      </c>
      <c r="AB26" s="5">
        <f t="shared" ref="AB26:AC26" si="120">AB25</f>
        <v>261</v>
      </c>
      <c r="AC26" s="5">
        <f t="shared" si="120"/>
        <v>731</v>
      </c>
      <c r="AD26" s="83">
        <f t="shared" si="35"/>
        <v>0</v>
      </c>
      <c r="AE26" s="5">
        <f t="shared" ref="AE26:AG26" si="121">AE25</f>
        <v>229.03</v>
      </c>
      <c r="AF26" s="83">
        <f t="shared" si="22"/>
        <v>0</v>
      </c>
      <c r="AG26" s="5">
        <f t="shared" si="121"/>
        <v>2199.36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105"/>
        <v>0.9</v>
      </c>
      <c r="AT26" s="201">
        <f t="shared" si="105"/>
        <v>95</v>
      </c>
      <c r="AU26" s="425">
        <f t="shared" si="43"/>
        <v>1.1000000000000001</v>
      </c>
      <c r="AV26" s="201">
        <f t="shared" si="43"/>
        <v>185</v>
      </c>
      <c r="AW26" s="5">
        <v>2.9</v>
      </c>
      <c r="AX26" s="201">
        <f t="shared" ref="AX26" si="122">AX25</f>
        <v>182</v>
      </c>
      <c r="AY26" s="426">
        <f t="shared" si="7"/>
        <v>85.5</v>
      </c>
      <c r="AZ26" s="426">
        <f t="shared" si="28"/>
        <v>203.50000000000003</v>
      </c>
      <c r="BA26" s="426">
        <f t="shared" si="29"/>
        <v>527.79999999999995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618117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6736</v>
      </c>
      <c r="L27" s="274">
        <f t="shared" si="38"/>
        <v>0</v>
      </c>
      <c r="M27" s="410">
        <f t="shared" si="15"/>
        <v>457.44</v>
      </c>
      <c r="N27" s="514">
        <f t="shared" si="60"/>
        <v>0</v>
      </c>
      <c r="O27" s="410">
        <f t="shared" si="16"/>
        <v>529.52</v>
      </c>
      <c r="P27" s="514">
        <f t="shared" si="61"/>
        <v>0</v>
      </c>
      <c r="Q27" s="514">
        <f t="shared" si="62"/>
        <v>0</v>
      </c>
      <c r="R27" s="516"/>
      <c r="S27" s="516"/>
      <c r="T27" s="5">
        <f t="shared" si="17"/>
        <v>5171</v>
      </c>
      <c r="U27" s="5">
        <f t="shared" si="4"/>
        <v>0</v>
      </c>
      <c r="V27" s="5">
        <f t="shared" si="17"/>
        <v>469</v>
      </c>
      <c r="W27" s="324">
        <f t="shared" si="18"/>
        <v>0</v>
      </c>
      <c r="X27" s="5">
        <f t="shared" ref="X27:Z27" si="123">X26</f>
        <v>151284</v>
      </c>
      <c r="Y27" s="324">
        <f>SUM(X27-X26)</f>
        <v>0</v>
      </c>
      <c r="Z27" s="5">
        <f t="shared" si="123"/>
        <v>98717</v>
      </c>
      <c r="AA27" s="83">
        <f t="shared" si="19"/>
        <v>0</v>
      </c>
      <c r="AB27" s="5">
        <f t="shared" ref="AB27:AC27" si="124">AB26</f>
        <v>261</v>
      </c>
      <c r="AC27" s="5">
        <f t="shared" si="124"/>
        <v>731</v>
      </c>
      <c r="AD27" s="83">
        <f t="shared" si="35"/>
        <v>0</v>
      </c>
      <c r="AE27" s="5">
        <f t="shared" ref="AE27:AG27" si="125">AE26</f>
        <v>229.03</v>
      </c>
      <c r="AF27" s="83">
        <f t="shared" si="22"/>
        <v>0</v>
      </c>
      <c r="AG27" s="5">
        <f t="shared" si="125"/>
        <v>2199.36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105"/>
        <v>0.9</v>
      </c>
      <c r="AT27" s="201">
        <f t="shared" si="105"/>
        <v>95</v>
      </c>
      <c r="AU27" s="425">
        <f t="shared" si="43"/>
        <v>1.1000000000000001</v>
      </c>
      <c r="AV27" s="201">
        <f t="shared" si="43"/>
        <v>185</v>
      </c>
      <c r="AW27" s="5">
        <v>2.9</v>
      </c>
      <c r="AX27" s="201">
        <f t="shared" ref="AX27" si="126">AX26</f>
        <v>182</v>
      </c>
      <c r="AY27" s="426">
        <f t="shared" si="7"/>
        <v>85.5</v>
      </c>
      <c r="AZ27" s="426">
        <f t="shared" si="28"/>
        <v>203.50000000000003</v>
      </c>
      <c r="BA27" s="426">
        <f t="shared" si="29"/>
        <v>527.79999999999995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618117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6736</v>
      </c>
      <c r="L28" s="274">
        <f t="shared" si="38"/>
        <v>0</v>
      </c>
      <c r="M28" s="410">
        <f t="shared" si="15"/>
        <v>457.44</v>
      </c>
      <c r="N28" s="514">
        <f t="shared" si="60"/>
        <v>0</v>
      </c>
      <c r="O28" s="410">
        <f t="shared" si="16"/>
        <v>529.52</v>
      </c>
      <c r="P28" s="514">
        <f t="shared" si="61"/>
        <v>0</v>
      </c>
      <c r="Q28" s="514">
        <f t="shared" si="62"/>
        <v>0</v>
      </c>
      <c r="R28" s="516"/>
      <c r="S28" s="516"/>
      <c r="T28" s="5">
        <f t="shared" si="17"/>
        <v>5171</v>
      </c>
      <c r="U28" s="5">
        <f t="shared" si="4"/>
        <v>0</v>
      </c>
      <c r="V28" s="5">
        <f t="shared" si="17"/>
        <v>469</v>
      </c>
      <c r="W28" s="324">
        <f t="shared" si="18"/>
        <v>0</v>
      </c>
      <c r="X28" s="5">
        <f t="shared" ref="X28:Z28" si="127">X27</f>
        <v>151284</v>
      </c>
      <c r="Y28" s="324">
        <f t="shared" si="39"/>
        <v>0</v>
      </c>
      <c r="Z28" s="5">
        <f t="shared" si="127"/>
        <v>98717</v>
      </c>
      <c r="AA28" s="83">
        <f t="shared" si="19"/>
        <v>0</v>
      </c>
      <c r="AB28" s="5">
        <f t="shared" ref="AB28:AC28" si="128">AB27</f>
        <v>261</v>
      </c>
      <c r="AC28" s="5">
        <f t="shared" si="128"/>
        <v>731</v>
      </c>
      <c r="AD28" s="83">
        <f t="shared" si="35"/>
        <v>0</v>
      </c>
      <c r="AE28" s="5">
        <f t="shared" ref="AE28:AG28" si="129">AE27</f>
        <v>229.03</v>
      </c>
      <c r="AF28" s="83">
        <f t="shared" si="22"/>
        <v>0</v>
      </c>
      <c r="AG28" s="5">
        <f t="shared" si="129"/>
        <v>2199.36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105"/>
        <v>0.9</v>
      </c>
      <c r="AT28" s="201">
        <f t="shared" si="105"/>
        <v>95</v>
      </c>
      <c r="AU28" s="425">
        <f t="shared" si="43"/>
        <v>1.1000000000000001</v>
      </c>
      <c r="AV28" s="201">
        <f t="shared" si="43"/>
        <v>185</v>
      </c>
      <c r="AW28" s="5">
        <v>2.9</v>
      </c>
      <c r="AX28" s="201">
        <f t="shared" ref="AX28" si="130">AX27</f>
        <v>182</v>
      </c>
      <c r="AY28" s="426">
        <f t="shared" si="7"/>
        <v>85.5</v>
      </c>
      <c r="AZ28" s="426">
        <f t="shared" si="28"/>
        <v>203.50000000000003</v>
      </c>
      <c r="BA28" s="426">
        <f t="shared" si="29"/>
        <v>527.79999999999995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618117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6736</v>
      </c>
      <c r="L29" s="274">
        <f t="shared" si="38"/>
        <v>0</v>
      </c>
      <c r="M29" s="410">
        <f t="shared" si="15"/>
        <v>457.44</v>
      </c>
      <c r="N29" s="514">
        <f t="shared" si="60"/>
        <v>0</v>
      </c>
      <c r="O29" s="410">
        <f t="shared" si="16"/>
        <v>529.52</v>
      </c>
      <c r="P29" s="514">
        <f t="shared" si="61"/>
        <v>0</v>
      </c>
      <c r="Q29" s="514">
        <f t="shared" si="62"/>
        <v>0</v>
      </c>
      <c r="R29" s="516"/>
      <c r="S29" s="516"/>
      <c r="T29" s="5">
        <f t="shared" si="17"/>
        <v>5171</v>
      </c>
      <c r="U29" s="5">
        <f t="shared" si="4"/>
        <v>0</v>
      </c>
      <c r="V29" s="5">
        <f t="shared" si="17"/>
        <v>469</v>
      </c>
      <c r="W29" s="324">
        <f t="shared" si="18"/>
        <v>0</v>
      </c>
      <c r="X29" s="5">
        <f t="shared" ref="X29:Z29" si="131">X28</f>
        <v>151284</v>
      </c>
      <c r="Y29" s="324">
        <f t="shared" si="39"/>
        <v>0</v>
      </c>
      <c r="Z29" s="5">
        <f t="shared" si="131"/>
        <v>98717</v>
      </c>
      <c r="AA29" s="83">
        <f t="shared" si="19"/>
        <v>0</v>
      </c>
      <c r="AB29" s="5">
        <f t="shared" ref="AB29:AC29" si="132">AB28</f>
        <v>261</v>
      </c>
      <c r="AC29" s="5">
        <f t="shared" si="132"/>
        <v>731</v>
      </c>
      <c r="AD29" s="83">
        <f t="shared" si="35"/>
        <v>0</v>
      </c>
      <c r="AE29" s="5">
        <f t="shared" ref="AE29:AG29" si="133">AE28</f>
        <v>229.03</v>
      </c>
      <c r="AF29" s="83">
        <f t="shared" si="22"/>
        <v>0</v>
      </c>
      <c r="AG29" s="5">
        <f t="shared" si="133"/>
        <v>2199.36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105"/>
        <v>0.9</v>
      </c>
      <c r="AT29" s="201">
        <f t="shared" si="105"/>
        <v>95</v>
      </c>
      <c r="AU29" s="425">
        <f t="shared" si="43"/>
        <v>1.1000000000000001</v>
      </c>
      <c r="AV29" s="201">
        <f t="shared" si="43"/>
        <v>185</v>
      </c>
      <c r="AW29" s="5">
        <v>2.9</v>
      </c>
      <c r="AX29" s="201">
        <f t="shared" ref="AX29" si="134">AX28</f>
        <v>182</v>
      </c>
      <c r="AY29" s="426">
        <f t="shared" si="7"/>
        <v>85.5</v>
      </c>
      <c r="AZ29" s="426">
        <f t="shared" si="28"/>
        <v>203.50000000000003</v>
      </c>
      <c r="BA29" s="426">
        <f t="shared" si="29"/>
        <v>527.79999999999995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618117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6736</v>
      </c>
      <c r="L30" s="274">
        <f t="shared" si="38"/>
        <v>0</v>
      </c>
      <c r="M30" s="410">
        <f t="shared" si="15"/>
        <v>457.44</v>
      </c>
      <c r="N30" s="514">
        <f t="shared" si="60"/>
        <v>0</v>
      </c>
      <c r="O30" s="410">
        <f t="shared" si="16"/>
        <v>529.52</v>
      </c>
      <c r="P30" s="514">
        <f t="shared" si="61"/>
        <v>0</v>
      </c>
      <c r="Q30" s="514">
        <f t="shared" si="62"/>
        <v>0</v>
      </c>
      <c r="R30" s="516"/>
      <c r="S30" s="516"/>
      <c r="T30" s="5">
        <f t="shared" si="17"/>
        <v>5171</v>
      </c>
      <c r="U30" s="5">
        <f t="shared" si="4"/>
        <v>0</v>
      </c>
      <c r="V30" s="5">
        <f t="shared" si="17"/>
        <v>469</v>
      </c>
      <c r="W30" s="324">
        <f t="shared" si="18"/>
        <v>0</v>
      </c>
      <c r="X30" s="5">
        <f t="shared" ref="X30:Z30" si="135">X29</f>
        <v>151284</v>
      </c>
      <c r="Y30" s="324">
        <f t="shared" si="39"/>
        <v>0</v>
      </c>
      <c r="Z30" s="5">
        <f t="shared" si="135"/>
        <v>98717</v>
      </c>
      <c r="AA30" s="83">
        <f t="shared" si="19"/>
        <v>0</v>
      </c>
      <c r="AB30" s="5">
        <f t="shared" ref="AB30:AC30" si="136">AB29</f>
        <v>261</v>
      </c>
      <c r="AC30" s="5">
        <f t="shared" si="136"/>
        <v>731</v>
      </c>
      <c r="AD30" s="83">
        <f t="shared" si="35"/>
        <v>0</v>
      </c>
      <c r="AE30" s="5">
        <f t="shared" ref="AE30:AG30" si="137">AE29</f>
        <v>229.03</v>
      </c>
      <c r="AF30" s="83">
        <f t="shared" si="22"/>
        <v>0</v>
      </c>
      <c r="AG30" s="5">
        <f t="shared" si="137"/>
        <v>2199.36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105"/>
        <v>0.9</v>
      </c>
      <c r="AT30" s="201">
        <f t="shared" si="105"/>
        <v>95</v>
      </c>
      <c r="AU30" s="425">
        <f t="shared" si="43"/>
        <v>1.1000000000000001</v>
      </c>
      <c r="AV30" s="201">
        <f t="shared" si="43"/>
        <v>185</v>
      </c>
      <c r="AW30" s="5">
        <v>2.9</v>
      </c>
      <c r="AX30" s="201">
        <f t="shared" ref="AX30" si="138">AX29</f>
        <v>182</v>
      </c>
      <c r="AY30" s="426">
        <f t="shared" si="7"/>
        <v>85.5</v>
      </c>
      <c r="AZ30" s="426">
        <f t="shared" si="28"/>
        <v>203.50000000000003</v>
      </c>
      <c r="BA30" s="426">
        <f t="shared" si="29"/>
        <v>527.79999999999995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618117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6736</v>
      </c>
      <c r="L31" s="274">
        <f t="shared" si="38"/>
        <v>0</v>
      </c>
      <c r="M31" s="410">
        <f t="shared" si="15"/>
        <v>457.44</v>
      </c>
      <c r="N31" s="514">
        <f t="shared" si="60"/>
        <v>0</v>
      </c>
      <c r="O31" s="410">
        <f t="shared" si="16"/>
        <v>529.52</v>
      </c>
      <c r="P31" s="514">
        <f t="shared" si="61"/>
        <v>0</v>
      </c>
      <c r="Q31" s="514">
        <f t="shared" si="62"/>
        <v>0</v>
      </c>
      <c r="R31" s="516"/>
      <c r="S31" s="516"/>
      <c r="T31" s="5">
        <f t="shared" si="17"/>
        <v>5171</v>
      </c>
      <c r="U31" s="5">
        <f t="shared" si="4"/>
        <v>0</v>
      </c>
      <c r="V31" s="5">
        <f t="shared" si="17"/>
        <v>469</v>
      </c>
      <c r="W31" s="324">
        <f t="shared" si="18"/>
        <v>0</v>
      </c>
      <c r="X31" s="5">
        <f t="shared" ref="X31:Z31" si="139">X30</f>
        <v>151284</v>
      </c>
      <c r="Y31" s="324">
        <f t="shared" si="39"/>
        <v>0</v>
      </c>
      <c r="Z31" s="5">
        <f t="shared" si="139"/>
        <v>98717</v>
      </c>
      <c r="AA31" s="83">
        <f t="shared" si="19"/>
        <v>0</v>
      </c>
      <c r="AB31" s="5">
        <f t="shared" ref="AB31:AC31" si="140">AB30</f>
        <v>261</v>
      </c>
      <c r="AC31" s="5">
        <f t="shared" si="140"/>
        <v>731</v>
      </c>
      <c r="AD31" s="83">
        <f t="shared" si="35"/>
        <v>0</v>
      </c>
      <c r="AE31" s="5">
        <f t="shared" ref="AE31:AG31" si="141">AE30</f>
        <v>229.03</v>
      </c>
      <c r="AF31" s="83">
        <f t="shared" si="22"/>
        <v>0</v>
      </c>
      <c r="AG31" s="5">
        <f t="shared" si="141"/>
        <v>2199.36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105"/>
        <v>0.9</v>
      </c>
      <c r="AT31" s="201">
        <f t="shared" si="105"/>
        <v>95</v>
      </c>
      <c r="AU31" s="425">
        <f t="shared" si="43"/>
        <v>1.1000000000000001</v>
      </c>
      <c r="AV31" s="201">
        <f t="shared" si="43"/>
        <v>185</v>
      </c>
      <c r="AW31" s="5">
        <v>2.9</v>
      </c>
      <c r="AX31" s="201">
        <f t="shared" ref="AX31" si="142">AX30</f>
        <v>182</v>
      </c>
      <c r="AY31" s="426">
        <f t="shared" si="7"/>
        <v>85.5</v>
      </c>
      <c r="AZ31" s="426">
        <f t="shared" si="28"/>
        <v>203.50000000000003</v>
      </c>
      <c r="BA31" s="426">
        <f t="shared" si="29"/>
        <v>527.79999999999995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618117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6736</v>
      </c>
      <c r="L32" s="274">
        <f t="shared" si="38"/>
        <v>0</v>
      </c>
      <c r="M32" s="410">
        <f t="shared" si="15"/>
        <v>457.44</v>
      </c>
      <c r="N32" s="514">
        <f t="shared" si="60"/>
        <v>0</v>
      </c>
      <c r="O32" s="410">
        <f t="shared" si="16"/>
        <v>529.52</v>
      </c>
      <c r="P32" s="514">
        <f t="shared" si="61"/>
        <v>0</v>
      </c>
      <c r="Q32" s="514">
        <f t="shared" si="62"/>
        <v>0</v>
      </c>
      <c r="R32" s="516"/>
      <c r="S32" s="516"/>
      <c r="T32" s="5">
        <f t="shared" si="17"/>
        <v>5171</v>
      </c>
      <c r="U32" s="5">
        <f t="shared" si="4"/>
        <v>0</v>
      </c>
      <c r="V32" s="5">
        <f t="shared" si="17"/>
        <v>469</v>
      </c>
      <c r="W32" s="324">
        <f t="shared" si="18"/>
        <v>0</v>
      </c>
      <c r="X32" s="5">
        <f t="shared" ref="X32:Z32" si="143">X31</f>
        <v>151284</v>
      </c>
      <c r="Y32" s="324">
        <f t="shared" si="39"/>
        <v>0</v>
      </c>
      <c r="Z32" s="5">
        <f t="shared" si="143"/>
        <v>98717</v>
      </c>
      <c r="AA32" s="83">
        <f t="shared" si="19"/>
        <v>0</v>
      </c>
      <c r="AB32" s="5">
        <f t="shared" ref="AB32:AC32" si="144">AB31</f>
        <v>261</v>
      </c>
      <c r="AC32" s="5">
        <f t="shared" si="144"/>
        <v>731</v>
      </c>
      <c r="AD32" s="83">
        <f t="shared" si="35"/>
        <v>0</v>
      </c>
      <c r="AE32" s="5">
        <f t="shared" ref="AE32:AG32" si="145">AE31</f>
        <v>229.03</v>
      </c>
      <c r="AF32" s="83">
        <f t="shared" si="22"/>
        <v>0</v>
      </c>
      <c r="AG32" s="5">
        <f t="shared" si="145"/>
        <v>2199.36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105"/>
        <v>0.9</v>
      </c>
      <c r="AT32" s="201">
        <f t="shared" si="105"/>
        <v>95</v>
      </c>
      <c r="AU32" s="425">
        <f t="shared" si="43"/>
        <v>1.1000000000000001</v>
      </c>
      <c r="AV32" s="201">
        <f t="shared" si="43"/>
        <v>185</v>
      </c>
      <c r="AW32" s="5">
        <v>2.9</v>
      </c>
      <c r="AX32" s="201">
        <f t="shared" ref="AX32" si="146">AX31</f>
        <v>182</v>
      </c>
      <c r="AY32" s="426">
        <f t="shared" si="7"/>
        <v>85.5</v>
      </c>
      <c r="AZ32" s="426">
        <f t="shared" si="28"/>
        <v>203.50000000000003</v>
      </c>
      <c r="BA32" s="426">
        <f t="shared" si="29"/>
        <v>527.79999999999995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618117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6736</v>
      </c>
      <c r="L33" s="274">
        <f t="shared" si="38"/>
        <v>0</v>
      </c>
      <c r="M33" s="410">
        <f t="shared" si="15"/>
        <v>457.44</v>
      </c>
      <c r="N33" s="514">
        <f t="shared" si="60"/>
        <v>0</v>
      </c>
      <c r="O33" s="410">
        <f t="shared" si="16"/>
        <v>529.52</v>
      </c>
      <c r="P33" s="514">
        <f t="shared" si="61"/>
        <v>0</v>
      </c>
      <c r="Q33" s="514">
        <f t="shared" si="62"/>
        <v>0</v>
      </c>
      <c r="R33" s="516"/>
      <c r="S33" s="516"/>
      <c r="T33" s="5">
        <f t="shared" si="17"/>
        <v>5171</v>
      </c>
      <c r="U33" s="5">
        <f t="shared" si="4"/>
        <v>0</v>
      </c>
      <c r="V33" s="5">
        <f t="shared" si="17"/>
        <v>469</v>
      </c>
      <c r="W33" s="324">
        <f t="shared" si="18"/>
        <v>0</v>
      </c>
      <c r="X33" s="5">
        <f t="shared" ref="X33:Z33" si="147">X32</f>
        <v>151284</v>
      </c>
      <c r="Y33" s="324">
        <f t="shared" si="39"/>
        <v>0</v>
      </c>
      <c r="Z33" s="5">
        <f t="shared" si="147"/>
        <v>98717</v>
      </c>
      <c r="AA33" s="83">
        <f t="shared" si="19"/>
        <v>0</v>
      </c>
      <c r="AB33" s="5">
        <f t="shared" ref="AB33:AC33" si="148">AB32</f>
        <v>261</v>
      </c>
      <c r="AC33" s="5">
        <f t="shared" si="148"/>
        <v>731</v>
      </c>
      <c r="AD33" s="83">
        <f t="shared" si="35"/>
        <v>0</v>
      </c>
      <c r="AE33" s="5">
        <f t="shared" ref="AE33:AG33" si="149">AE32</f>
        <v>229.03</v>
      </c>
      <c r="AF33" s="83">
        <f>AE33-AE32</f>
        <v>0</v>
      </c>
      <c r="AG33" s="5">
        <f t="shared" si="149"/>
        <v>2199.36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105"/>
        <v>0.9</v>
      </c>
      <c r="AT33" s="201">
        <f t="shared" si="105"/>
        <v>95</v>
      </c>
      <c r="AU33" s="425">
        <f t="shared" si="43"/>
        <v>1.1000000000000001</v>
      </c>
      <c r="AV33" s="201">
        <f t="shared" si="43"/>
        <v>185</v>
      </c>
      <c r="AW33" s="5">
        <v>2.9</v>
      </c>
      <c r="AX33" s="201">
        <f t="shared" ref="AX33" si="150">AX32</f>
        <v>182</v>
      </c>
      <c r="AY33" s="426">
        <f t="shared" si="7"/>
        <v>85.5</v>
      </c>
      <c r="AZ33" s="426">
        <f t="shared" si="28"/>
        <v>203.50000000000003</v>
      </c>
      <c r="BA33" s="426">
        <f t="shared" si="29"/>
        <v>527.79999999999995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51">B34-B33</f>
        <v>0</v>
      </c>
      <c r="D34" s="419">
        <f t="shared" ref="D34:D35" si="152">C34/27</f>
        <v>0</v>
      </c>
      <c r="E34" s="333">
        <f>SUM((C34*$E$4)+(7500/'EDl log'!$A$36))</f>
        <v>250</v>
      </c>
      <c r="F34" s="327"/>
      <c r="G34" s="5">
        <f t="shared" si="13"/>
        <v>618117</v>
      </c>
      <c r="H34" s="5">
        <f t="shared" ref="H34:H35" si="153">G34-G33</f>
        <v>0</v>
      </c>
      <c r="I34" s="5">
        <f t="shared" ref="I34:I35" si="154">C34+H34</f>
        <v>0</v>
      </c>
      <c r="J34" s="334">
        <f t="shared" ref="J34:J35" si="155">IF(I34&gt;0,E34/I34,0)</f>
        <v>0</v>
      </c>
      <c r="K34" s="5">
        <f>'Swimming Pool quality check '!H34</f>
        <v>6736</v>
      </c>
      <c r="L34" s="274">
        <f t="shared" ref="L34:L35" si="156">K34-K33</f>
        <v>0</v>
      </c>
      <c r="M34" s="410">
        <f t="shared" si="15"/>
        <v>457.44</v>
      </c>
      <c r="N34" s="514">
        <f t="shared" ref="N34:N35" si="157">SUM(M34-M33)</f>
        <v>0</v>
      </c>
      <c r="O34" s="410">
        <f t="shared" si="16"/>
        <v>529.52</v>
      </c>
      <c r="P34" s="514">
        <f t="shared" ref="P34:P35" si="158">SUM(O34-O33)</f>
        <v>0</v>
      </c>
      <c r="Q34" s="514">
        <f t="shared" ref="Q34:Q35" si="159">SUM(P34+N34)</f>
        <v>0</v>
      </c>
      <c r="R34" s="516"/>
      <c r="S34" s="516"/>
      <c r="T34" s="5">
        <f t="shared" si="17"/>
        <v>5171</v>
      </c>
      <c r="U34" s="5">
        <f t="shared" ref="U34:U35" si="160">SUM(T34-T33)</f>
        <v>0</v>
      </c>
      <c r="V34" s="5">
        <f t="shared" si="17"/>
        <v>469</v>
      </c>
      <c r="W34" s="324">
        <f t="shared" ref="W34:W35" si="161">+V34-V33</f>
        <v>0</v>
      </c>
      <c r="X34" s="5">
        <f t="shared" ref="X34:Z34" si="162">X33</f>
        <v>151284</v>
      </c>
      <c r="Y34" s="324">
        <f t="shared" ref="Y34:Y35" si="163">SUM(X34-X33)</f>
        <v>0</v>
      </c>
      <c r="Z34" s="5">
        <f t="shared" si="162"/>
        <v>98717</v>
      </c>
      <c r="AA34" s="83">
        <f t="shared" ref="AA34:AA35" si="164">Z34-Z33</f>
        <v>0</v>
      </c>
      <c r="AB34" s="5">
        <f t="shared" ref="AB34:AC34" si="165">AB33</f>
        <v>261</v>
      </c>
      <c r="AC34" s="5">
        <f t="shared" si="165"/>
        <v>731</v>
      </c>
      <c r="AD34" s="83">
        <f t="shared" ref="AD34:AD35" si="166">AC34-AC33</f>
        <v>0</v>
      </c>
      <c r="AE34" s="5">
        <f t="shared" ref="AE34:AG34" si="167">AE33</f>
        <v>229.03</v>
      </c>
      <c r="AF34" s="83">
        <f t="shared" ref="AF34:AF35" si="168">AE34-AE33</f>
        <v>0</v>
      </c>
      <c r="AG34" s="5">
        <f t="shared" si="167"/>
        <v>2199.36</v>
      </c>
      <c r="AH34" s="83">
        <f t="shared" ref="AH34:AH35" si="169">AG34-AG33</f>
        <v>0</v>
      </c>
      <c r="AI34" s="83">
        <f t="shared" ref="AI34:AI35" si="170">AF34+AH34</f>
        <v>0</v>
      </c>
      <c r="AJ34" s="326">
        <f t="shared" ref="AJ34:AJ35" si="171">+Z34-Z33</f>
        <v>0</v>
      </c>
      <c r="AK34" s="327">
        <f t="shared" ref="AK34:AK35" si="172">SUM(Y34-L34)</f>
        <v>0</v>
      </c>
      <c r="AL34" s="327">
        <f t="shared" ref="AL34:AL35" si="173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74">A34</f>
        <v>44315</v>
      </c>
      <c r="AS34" s="424">
        <f t="shared" ref="AS34:AT34" si="175">AS33</f>
        <v>0.9</v>
      </c>
      <c r="AT34" s="201">
        <f t="shared" si="175"/>
        <v>95</v>
      </c>
      <c r="AU34" s="425">
        <f t="shared" ref="AU34:AV34" si="176">AU33</f>
        <v>1.1000000000000001</v>
      </c>
      <c r="AV34" s="201">
        <f t="shared" si="176"/>
        <v>185</v>
      </c>
      <c r="AW34" s="5">
        <v>2.9</v>
      </c>
      <c r="AX34" s="201">
        <f t="shared" ref="AX34" si="177">AX33</f>
        <v>182</v>
      </c>
      <c r="AY34" s="426">
        <f t="shared" ref="AY34:AY35" si="178">AS34*AT34</f>
        <v>85.5</v>
      </c>
      <c r="AZ34" s="426">
        <f t="shared" ref="AZ34:AZ35" si="179">AU34*AV34</f>
        <v>203.50000000000003</v>
      </c>
      <c r="BA34" s="426">
        <f t="shared" ref="BA34:BA35" si="180">AW34*AX34</f>
        <v>527.79999999999995</v>
      </c>
      <c r="BB34" s="21">
        <f t="shared" ref="BB34:BB35" si="181">AY34-AY33</f>
        <v>0</v>
      </c>
      <c r="BC34" s="21">
        <f t="shared" ref="BC34:BC35" si="182">AZ34-AZ33</f>
        <v>0</v>
      </c>
      <c r="BD34" s="21">
        <f t="shared" ref="BD34:BD35" si="183">BA34-BA33</f>
        <v>0</v>
      </c>
      <c r="BE34" s="24">
        <f t="shared" ref="BE34:BE35" si="184">SUM(BB34:BD34)</f>
        <v>0</v>
      </c>
      <c r="BF34" s="96">
        <f t="shared" ref="BF34:BF35" si="185">SUM(I34-BE34)</f>
        <v>0</v>
      </c>
      <c r="BG34" s="82">
        <f t="shared" ref="BG34:BG35" si="186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51"/>
        <v>0</v>
      </c>
      <c r="D35" s="419">
        <f t="shared" si="152"/>
        <v>0</v>
      </c>
      <c r="E35" s="333">
        <f>SUM((C35*$E$4)+(7500/'EDl log'!$A$36))</f>
        <v>250</v>
      </c>
      <c r="F35" s="327"/>
      <c r="G35" s="5">
        <f t="shared" si="13"/>
        <v>618117</v>
      </c>
      <c r="H35" s="5">
        <f t="shared" si="153"/>
        <v>0</v>
      </c>
      <c r="I35" s="5">
        <f t="shared" si="154"/>
        <v>0</v>
      </c>
      <c r="J35" s="334">
        <f t="shared" si="155"/>
        <v>0</v>
      </c>
      <c r="K35" s="5">
        <f>'Swimming Pool quality check '!H35</f>
        <v>6736</v>
      </c>
      <c r="L35" s="274">
        <f t="shared" si="156"/>
        <v>0</v>
      </c>
      <c r="M35" s="410">
        <f t="shared" si="15"/>
        <v>457.44</v>
      </c>
      <c r="N35" s="514">
        <f t="shared" si="157"/>
        <v>0</v>
      </c>
      <c r="O35" s="410">
        <f t="shared" si="16"/>
        <v>529.52</v>
      </c>
      <c r="P35" s="514">
        <f t="shared" si="158"/>
        <v>0</v>
      </c>
      <c r="Q35" s="514">
        <f t="shared" si="159"/>
        <v>0</v>
      </c>
      <c r="R35" s="516"/>
      <c r="S35" s="516"/>
      <c r="T35" s="5">
        <f t="shared" si="17"/>
        <v>5171</v>
      </c>
      <c r="U35" s="5">
        <f t="shared" si="160"/>
        <v>0</v>
      </c>
      <c r="V35" s="5">
        <f t="shared" si="17"/>
        <v>469</v>
      </c>
      <c r="W35" s="324">
        <f t="shared" si="161"/>
        <v>0</v>
      </c>
      <c r="X35" s="5">
        <f t="shared" ref="X35:Z35" si="187">X34</f>
        <v>151284</v>
      </c>
      <c r="Y35" s="324">
        <f t="shared" si="163"/>
        <v>0</v>
      </c>
      <c r="Z35" s="5">
        <f t="shared" si="187"/>
        <v>98717</v>
      </c>
      <c r="AA35" s="83">
        <f t="shared" si="164"/>
        <v>0</v>
      </c>
      <c r="AB35" s="5">
        <f t="shared" ref="AB35:AC35" si="188">AB34</f>
        <v>261</v>
      </c>
      <c r="AC35" s="5">
        <f t="shared" si="188"/>
        <v>731</v>
      </c>
      <c r="AD35" s="83">
        <f t="shared" si="166"/>
        <v>0</v>
      </c>
      <c r="AE35" s="5">
        <f t="shared" ref="AE35:AG35" si="189">AE34</f>
        <v>229.03</v>
      </c>
      <c r="AF35" s="83">
        <f t="shared" si="168"/>
        <v>0</v>
      </c>
      <c r="AG35" s="5">
        <f t="shared" si="189"/>
        <v>2199.36</v>
      </c>
      <c r="AH35" s="83">
        <f t="shared" si="169"/>
        <v>0</v>
      </c>
      <c r="AI35" s="83">
        <f t="shared" si="170"/>
        <v>0</v>
      </c>
      <c r="AJ35" s="326">
        <f t="shared" si="171"/>
        <v>0</v>
      </c>
      <c r="AK35" s="327">
        <f t="shared" si="172"/>
        <v>0</v>
      </c>
      <c r="AL35" s="327">
        <f t="shared" si="173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74"/>
        <v>44316</v>
      </c>
      <c r="AS35" s="424">
        <f t="shared" ref="AS35:AT35" si="190">AS34</f>
        <v>0.9</v>
      </c>
      <c r="AT35" s="201">
        <f t="shared" si="190"/>
        <v>95</v>
      </c>
      <c r="AU35" s="425">
        <f t="shared" ref="AU35:AV35" si="191">AU34</f>
        <v>1.1000000000000001</v>
      </c>
      <c r="AV35" s="201">
        <f t="shared" si="191"/>
        <v>185</v>
      </c>
      <c r="AW35" s="5">
        <v>2.9</v>
      </c>
      <c r="AX35" s="201">
        <f t="shared" ref="AX35" si="192">AX34</f>
        <v>182</v>
      </c>
      <c r="AY35" s="426">
        <f t="shared" si="178"/>
        <v>85.5</v>
      </c>
      <c r="AZ35" s="426">
        <f t="shared" si="179"/>
        <v>203.50000000000003</v>
      </c>
      <c r="BA35" s="426">
        <f t="shared" si="180"/>
        <v>527.79999999999995</v>
      </c>
      <c r="BB35" s="21">
        <f t="shared" si="181"/>
        <v>0</v>
      </c>
      <c r="BC35" s="21">
        <f t="shared" si="182"/>
        <v>0</v>
      </c>
      <c r="BD35" s="21">
        <f t="shared" si="183"/>
        <v>0</v>
      </c>
      <c r="BE35" s="24">
        <f t="shared" si="184"/>
        <v>0</v>
      </c>
      <c r="BF35" s="96">
        <f t="shared" si="185"/>
        <v>0</v>
      </c>
      <c r="BG35" s="82">
        <f t="shared" si="186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54</v>
      </c>
      <c r="I36" s="412">
        <f>SUM(I6:I33)</f>
        <v>54</v>
      </c>
      <c r="L36" s="268">
        <f>SUM(L7:L33)</f>
        <v>3</v>
      </c>
      <c r="Q36" s="495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20</v>
      </c>
      <c r="AK36" s="327" t="e">
        <f>SUM(Y36-L36)</f>
        <v>#REF!</v>
      </c>
      <c r="AL36" s="322">
        <f>SUM(AL6:AL33)</f>
        <v>20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2">
        <f>SUM(Q36+I36)</f>
        <v>54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54</v>
      </c>
      <c r="H38" s="1">
        <f>SUM(H37+C37)</f>
        <v>7500</v>
      </c>
      <c r="K38" s="1">
        <f>SUM(H38/G38)</f>
        <v>138.88888888888889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abSelected="1" zoomScaleNormal="100" workbookViewId="0">
      <pane ySplit="4" topLeftCell="A5" activePane="bottomLeft" state="frozen"/>
      <selection pane="bottomLeft" activeCell="I9" sqref="I9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3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44291</v>
      </c>
      <c r="B10" s="37"/>
      <c r="C10" s="37"/>
      <c r="D10" s="26">
        <f t="shared" si="0"/>
        <v>0</v>
      </c>
      <c r="E10" s="354"/>
      <c r="F10" s="340"/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44292</v>
      </c>
      <c r="B11" s="37"/>
      <c r="C11" s="37"/>
      <c r="D11" s="26">
        <f t="shared" si="0"/>
        <v>0</v>
      </c>
      <c r="E11" s="394"/>
      <c r="F11" s="394"/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44293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44294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44295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44296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44297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44298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44299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44300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3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30">
        <f>AVERAGE(F6:F33)</f>
        <v>0</v>
      </c>
      <c r="G36" s="203">
        <f>SUM(G6:G33)</f>
        <v>0</v>
      </c>
    </row>
    <row r="37" spans="1:15">
      <c r="D37" s="261">
        <f>SUM(D6:D33)/'EDl log'!A34</f>
        <v>15.375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I1" activePane="topRight" state="frozen"/>
      <selection pane="topRight" activeCell="AT6" sqref="AT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233</v>
      </c>
      <c r="AT3" s="627" t="s">
        <v>301</v>
      </c>
      <c r="AU3" s="628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44286</v>
      </c>
      <c r="B5" s="532">
        <f>[3]tanks!B36</f>
        <v>216</v>
      </c>
      <c r="C5" s="532">
        <f>[3]tanks!C36</f>
        <v>4647.4838709677415</v>
      </c>
      <c r="D5" s="532">
        <f>[3]tanks!D36</f>
        <v>216</v>
      </c>
      <c r="E5" s="532">
        <f>[3]tanks!E36</f>
        <v>4647.4838709677415</v>
      </c>
      <c r="F5" s="532">
        <f>[3]tanks!F36</f>
        <v>216</v>
      </c>
      <c r="G5" s="532">
        <f>[3]tanks!G36</f>
        <v>4647.4838709677415</v>
      </c>
      <c r="H5" s="532">
        <f>[3]tanks!H36</f>
        <v>216</v>
      </c>
      <c r="I5" s="532">
        <f>[3]tanks!I36</f>
        <v>4647.4838709677415</v>
      </c>
      <c r="J5" s="532">
        <f>[3]tanks!J36</f>
        <v>216</v>
      </c>
      <c r="K5" s="532">
        <f>[3]tanks!K36</f>
        <v>4647.4838709677415</v>
      </c>
      <c r="L5" s="532">
        <f>[3]tanks!L36</f>
        <v>216</v>
      </c>
      <c r="M5" s="532">
        <f>[3]tanks!M36</f>
        <v>4647.4838709677415</v>
      </c>
      <c r="N5" s="532">
        <f>[3]tanks!N36</f>
        <v>216</v>
      </c>
      <c r="O5" s="532">
        <f>[3]tanks!O36</f>
        <v>4647.4838709677415</v>
      </c>
      <c r="P5" s="532">
        <f>[3]tanks!P36</f>
        <v>216</v>
      </c>
      <c r="Q5" s="532">
        <f>[3]tanks!Q36</f>
        <v>4647.4838709677415</v>
      </c>
      <c r="R5" s="532">
        <f>[3]tanks!R36</f>
        <v>216</v>
      </c>
      <c r="S5" s="532">
        <f>[3]tanks!S36</f>
        <v>4647.4838709677415</v>
      </c>
      <c r="T5" s="532">
        <f>[3]tanks!T36</f>
        <v>216</v>
      </c>
      <c r="U5" s="532">
        <f>[3]tanks!U36</f>
        <v>4647.4838709677415</v>
      </c>
      <c r="V5" s="532">
        <f>[3]tanks!V36</f>
        <v>216</v>
      </c>
      <c r="W5" s="532">
        <f>[3]tanks!W36</f>
        <v>4647.4838709677415</v>
      </c>
      <c r="X5" s="505">
        <f>[3]tanks!X36</f>
        <v>0.6967741935483871</v>
      </c>
      <c r="Y5" s="532">
        <f>[3]tanks!Y36</f>
        <v>51122.322580645159</v>
      </c>
      <c r="Z5" s="532">
        <f>[3]tanks!Z36</f>
        <v>223</v>
      </c>
      <c r="AA5" s="532">
        <f>[3]tanks!AA36</f>
        <v>2230</v>
      </c>
      <c r="AB5" s="532">
        <f>[3]tanks!AB36</f>
        <v>223</v>
      </c>
      <c r="AC5" s="532">
        <f>[3]tanks!AC36</f>
        <v>2230</v>
      </c>
      <c r="AD5" s="532">
        <f>[3]tanks!AD36</f>
        <v>223</v>
      </c>
      <c r="AE5" s="532">
        <f>[3]tanks!AE36</f>
        <v>2230</v>
      </c>
      <c r="AF5" s="532">
        <f>[3]tanks!AF36</f>
        <v>223</v>
      </c>
      <c r="AG5" s="532">
        <f>[3]tanks!AG36</f>
        <v>2230</v>
      </c>
      <c r="AH5" s="532">
        <f>[3]tanks!AH36</f>
        <v>223</v>
      </c>
      <c r="AI5" s="532">
        <f>[3]tanks!AI36</f>
        <v>2230</v>
      </c>
      <c r="AJ5" s="532">
        <f>[3]tanks!AJ36</f>
        <v>223</v>
      </c>
      <c r="AK5" s="532">
        <f>[3]tanks!AK36</f>
        <v>2230</v>
      </c>
      <c r="AL5" s="532">
        <f>[3]tanks!AL36</f>
        <v>223</v>
      </c>
      <c r="AM5" s="532">
        <f>[3]tanks!AM36</f>
        <v>2230</v>
      </c>
      <c r="AN5" s="505">
        <f>[3]tanks!AN36</f>
        <v>0.79642857142857137</v>
      </c>
      <c r="AO5" s="532">
        <f>[3]tanks!AO36</f>
        <v>15610</v>
      </c>
      <c r="AP5" s="532">
        <f>[1]tanks!AP33</f>
        <v>0</v>
      </c>
      <c r="AQ5" s="505">
        <f>[3]tanks!AQ36</f>
        <v>0.71778339873771269</v>
      </c>
      <c r="AR5" s="532">
        <f>[3]tanks!AR36</f>
        <v>66732.322580645152</v>
      </c>
      <c r="AS5" s="532">
        <f>[3]tanks!AS36</f>
        <v>-3916.8064516129234</v>
      </c>
      <c r="AT5" s="532">
        <f>[3]tanks!AT36</f>
        <v>0</v>
      </c>
      <c r="AU5" s="532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5">
        <f>[3]tanks!AZ36</f>
        <v>0</v>
      </c>
      <c r="BA5" s="289">
        <f>[3]tanks!BA36</f>
        <v>15.5</v>
      </c>
      <c r="BB5" s="505">
        <f>[3]tanks!BB36</f>
        <v>0.65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[5]tanks!BH36</f>
        <v>0</v>
      </c>
      <c r="BI5" s="203"/>
    </row>
    <row r="6" spans="1:63">
      <c r="A6" s="444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436">
        <v>0.96</v>
      </c>
      <c r="AV6" s="518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4">
        <f>GEN!AF3</f>
        <v>0.28774999999995998</v>
      </c>
    </row>
    <row r="7" spans="1:63">
      <c r="A7" s="444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491"/>
      <c r="AV7" s="518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4">
        <f>GEN!AF4</f>
        <v>0.34473214285721304</v>
      </c>
    </row>
    <row r="8" spans="1:63">
      <c r="A8" s="444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436"/>
      <c r="AV8" s="518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2043.8860759490826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4">
        <f>GEN!AF5</f>
        <v>0.34424999999995032</v>
      </c>
    </row>
    <row r="9" spans="1:63">
      <c r="A9" s="444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91"/>
      <c r="AU9" s="436"/>
      <c r="AV9" s="518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4">
        <f>GEN!AF6</f>
        <v>0.27572916666662828</v>
      </c>
    </row>
    <row r="10" spans="1:63">
      <c r="A10" s="444">
        <f>ELEC!C7</f>
        <v>44291</v>
      </c>
      <c r="B10">
        <f>'B5'!B9</f>
        <v>197</v>
      </c>
      <c r="C10" s="203">
        <f t="shared" si="18"/>
        <v>4238.677419354839</v>
      </c>
      <c r="D10">
        <f t="shared" si="19"/>
        <v>197</v>
      </c>
      <c r="E10" s="203">
        <f t="shared" si="18"/>
        <v>4238.677419354839</v>
      </c>
      <c r="F10">
        <f t="shared" si="20"/>
        <v>197</v>
      </c>
      <c r="G10" s="203">
        <f t="shared" si="1"/>
        <v>4238.677419354839</v>
      </c>
      <c r="H10" s="203">
        <f t="shared" si="21"/>
        <v>197</v>
      </c>
      <c r="I10" s="203">
        <f t="shared" si="2"/>
        <v>4238.677419354839</v>
      </c>
      <c r="J10" s="203">
        <f t="shared" si="22"/>
        <v>197</v>
      </c>
      <c r="K10" s="203">
        <f t="shared" si="3"/>
        <v>4238.677419354839</v>
      </c>
      <c r="L10" s="203">
        <f t="shared" si="23"/>
        <v>197</v>
      </c>
      <c r="M10" s="203">
        <f t="shared" si="4"/>
        <v>4238.677419354839</v>
      </c>
      <c r="N10" s="203">
        <f t="shared" si="24"/>
        <v>197</v>
      </c>
      <c r="O10" s="203">
        <f t="shared" si="5"/>
        <v>4238.677419354839</v>
      </c>
      <c r="P10" s="203">
        <f t="shared" si="25"/>
        <v>197</v>
      </c>
      <c r="Q10" s="203">
        <f t="shared" si="6"/>
        <v>4238.677419354839</v>
      </c>
      <c r="R10" s="203">
        <f t="shared" si="26"/>
        <v>197</v>
      </c>
      <c r="S10" s="203">
        <f t="shared" si="7"/>
        <v>4238.677419354839</v>
      </c>
      <c r="T10" s="203">
        <f t="shared" si="27"/>
        <v>197</v>
      </c>
      <c r="U10" s="203">
        <f t="shared" si="8"/>
        <v>4238.677419354839</v>
      </c>
      <c r="V10" s="203">
        <f t="shared" si="28"/>
        <v>197</v>
      </c>
      <c r="W10" s="203">
        <f t="shared" si="9"/>
        <v>4238.677419354839</v>
      </c>
      <c r="X10" s="35">
        <f t="shared" si="10"/>
        <v>0.63548387096774217</v>
      </c>
      <c r="Y10" s="36">
        <f t="shared" si="29"/>
        <v>46625.451612903242</v>
      </c>
      <c r="Z10" s="203">
        <f>'B5'!C9</f>
        <v>204</v>
      </c>
      <c r="AA10" s="203">
        <f t="shared" si="30"/>
        <v>2040</v>
      </c>
      <c r="AB10" s="203">
        <f t="shared" si="31"/>
        <v>204</v>
      </c>
      <c r="AC10" s="203">
        <f t="shared" si="30"/>
        <v>2040</v>
      </c>
      <c r="AD10" s="203">
        <f t="shared" si="32"/>
        <v>204</v>
      </c>
      <c r="AE10" s="203">
        <f t="shared" si="11"/>
        <v>2040</v>
      </c>
      <c r="AF10" s="203">
        <f t="shared" si="33"/>
        <v>204</v>
      </c>
      <c r="AG10" s="203">
        <f t="shared" si="12"/>
        <v>2040</v>
      </c>
      <c r="AH10" s="203">
        <f t="shared" si="34"/>
        <v>204</v>
      </c>
      <c r="AI10" s="203">
        <f t="shared" si="13"/>
        <v>2040</v>
      </c>
      <c r="AJ10" s="203">
        <f t="shared" si="35"/>
        <v>204</v>
      </c>
      <c r="AK10" s="203">
        <f t="shared" si="14"/>
        <v>2040</v>
      </c>
      <c r="AL10" s="203">
        <f t="shared" si="36"/>
        <v>204</v>
      </c>
      <c r="AM10" s="203">
        <f t="shared" si="15"/>
        <v>2040</v>
      </c>
      <c r="AN10" s="35">
        <f t="shared" si="16"/>
        <v>0.72857142857142854</v>
      </c>
      <c r="AO10" s="36">
        <f t="shared" si="17"/>
        <v>14280</v>
      </c>
      <c r="AQ10" s="223">
        <f t="shared" si="37"/>
        <v>0.65510865454343592</v>
      </c>
      <c r="AR10" s="38">
        <f t="shared" si="42"/>
        <v>60905.451612903242</v>
      </c>
      <c r="AS10" s="197">
        <f>SUM(AR10-AR9-AT10)</f>
        <v>0</v>
      </c>
      <c r="AT10" s="355"/>
      <c r="AU10" s="436"/>
      <c r="AV10" s="518">
        <f>IF(AT10&gt;0,AU10,AV9)</f>
        <v>0.96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4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94" t="e">
        <f>GEN!AF7</f>
        <v>#DIV/0!</v>
      </c>
    </row>
    <row r="11" spans="1:63">
      <c r="A11" s="444">
        <f>ELEC!C8</f>
        <v>44292</v>
      </c>
      <c r="B11">
        <f>'B5'!B10</f>
        <v>197</v>
      </c>
      <c r="C11" s="203">
        <f t="shared" si="18"/>
        <v>4238.677419354839</v>
      </c>
      <c r="D11">
        <f>SUM(B11)</f>
        <v>197</v>
      </c>
      <c r="E11" s="203">
        <f t="shared" si="18"/>
        <v>4238.677419354839</v>
      </c>
      <c r="F11">
        <f>SUM(D11)</f>
        <v>197</v>
      </c>
      <c r="G11" s="203">
        <f t="shared" si="1"/>
        <v>4238.677419354839</v>
      </c>
      <c r="H11" s="203">
        <f>SUM(F11)</f>
        <v>197</v>
      </c>
      <c r="I11" s="203">
        <f t="shared" si="2"/>
        <v>4238.677419354839</v>
      </c>
      <c r="J11" s="203">
        <f>SUM(H11)</f>
        <v>197</v>
      </c>
      <c r="K11" s="203">
        <f t="shared" si="3"/>
        <v>4238.677419354839</v>
      </c>
      <c r="L11" s="203">
        <f>SUM(J11)</f>
        <v>197</v>
      </c>
      <c r="M11" s="203">
        <f t="shared" si="4"/>
        <v>4238.677419354839</v>
      </c>
      <c r="N11" s="203">
        <f>SUM(L11)</f>
        <v>197</v>
      </c>
      <c r="O11" s="203">
        <f t="shared" si="5"/>
        <v>4238.677419354839</v>
      </c>
      <c r="P11" s="203">
        <f>SUM(N11)</f>
        <v>197</v>
      </c>
      <c r="Q11" s="203">
        <f t="shared" si="6"/>
        <v>4238.677419354839</v>
      </c>
      <c r="R11" s="203">
        <f>SUM(P11)</f>
        <v>197</v>
      </c>
      <c r="S11" s="203">
        <f t="shared" si="7"/>
        <v>4238.677419354839</v>
      </c>
      <c r="T11" s="203">
        <f>SUM(R11)</f>
        <v>197</v>
      </c>
      <c r="U11" s="203">
        <f t="shared" si="8"/>
        <v>4238.677419354839</v>
      </c>
      <c r="V11" s="203">
        <f>SUM(T11)</f>
        <v>197</v>
      </c>
      <c r="W11" s="203">
        <f t="shared" si="9"/>
        <v>4238.677419354839</v>
      </c>
      <c r="X11" s="35">
        <f>SUM(Y11/73370)</f>
        <v>0.63548387096774217</v>
      </c>
      <c r="Y11" s="36">
        <f>SUM(C11+E11+G11+I11+K11+M11+O11+Q11+S11+U11+W11)</f>
        <v>46625.451612903242</v>
      </c>
      <c r="Z11" s="203">
        <f>'B5'!C10</f>
        <v>204</v>
      </c>
      <c r="AA11" s="203">
        <f t="shared" si="30"/>
        <v>2040</v>
      </c>
      <c r="AB11" s="203">
        <f>SUM(Z11)</f>
        <v>204</v>
      </c>
      <c r="AC11" s="203">
        <f t="shared" si="30"/>
        <v>2040</v>
      </c>
      <c r="AD11" s="203">
        <f>SUM(AB11)</f>
        <v>204</v>
      </c>
      <c r="AE11" s="203">
        <f t="shared" si="11"/>
        <v>2040</v>
      </c>
      <c r="AF11" s="203">
        <f>SUM(AD11)</f>
        <v>204</v>
      </c>
      <c r="AG11" s="203">
        <f t="shared" si="12"/>
        <v>2040</v>
      </c>
      <c r="AH11" s="203">
        <f>SUM(AF11)</f>
        <v>204</v>
      </c>
      <c r="AI11" s="203">
        <f t="shared" si="13"/>
        <v>2040</v>
      </c>
      <c r="AJ11" s="203">
        <f>SUM(AH11)</f>
        <v>204</v>
      </c>
      <c r="AK11" s="203">
        <f t="shared" si="14"/>
        <v>2040</v>
      </c>
      <c r="AL11" s="203">
        <f>SUM(AJ11)</f>
        <v>204</v>
      </c>
      <c r="AM11" s="203">
        <f t="shared" si="15"/>
        <v>2040</v>
      </c>
      <c r="AN11" s="35">
        <f>SUM(AO11/19600)</f>
        <v>0.72857142857142854</v>
      </c>
      <c r="AO11" s="36">
        <f t="shared" si="17"/>
        <v>14280</v>
      </c>
      <c r="AP11" s="563"/>
      <c r="AQ11" s="223">
        <f t="shared" si="37"/>
        <v>0.65510865454343592</v>
      </c>
      <c r="AR11" s="38">
        <f t="shared" si="42"/>
        <v>60905.451612903242</v>
      </c>
      <c r="AS11" s="197">
        <f>SUM(AR11-AR10-AT11)</f>
        <v>0</v>
      </c>
      <c r="AT11" s="355"/>
      <c r="AU11" s="436"/>
      <c r="AV11" s="518">
        <f>IF(AT11&gt;0,AU11,AV10)</f>
        <v>0.96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4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94" t="e">
        <f>GEN!AF8</f>
        <v>#DIV/0!</v>
      </c>
    </row>
    <row r="12" spans="1:63">
      <c r="A12" s="444">
        <f>ELEC!C9</f>
        <v>44293</v>
      </c>
      <c r="B12">
        <f>'B5'!B11</f>
        <v>197</v>
      </c>
      <c r="C12" s="203">
        <f t="shared" si="18"/>
        <v>4238.677419354839</v>
      </c>
      <c r="D12">
        <f t="shared" si="19"/>
        <v>197</v>
      </c>
      <c r="E12" s="203">
        <f t="shared" si="18"/>
        <v>4238.677419354839</v>
      </c>
      <c r="F12">
        <f t="shared" si="20"/>
        <v>197</v>
      </c>
      <c r="G12" s="203">
        <f t="shared" si="1"/>
        <v>4238.677419354839</v>
      </c>
      <c r="H12" s="203">
        <f t="shared" si="21"/>
        <v>197</v>
      </c>
      <c r="I12" s="203">
        <f t="shared" si="2"/>
        <v>4238.677419354839</v>
      </c>
      <c r="J12" s="203">
        <f t="shared" si="22"/>
        <v>197</v>
      </c>
      <c r="K12" s="203">
        <f t="shared" si="3"/>
        <v>4238.677419354839</v>
      </c>
      <c r="L12" s="203">
        <f t="shared" si="23"/>
        <v>197</v>
      </c>
      <c r="M12" s="203">
        <f t="shared" si="4"/>
        <v>4238.677419354839</v>
      </c>
      <c r="N12" s="203">
        <f t="shared" si="24"/>
        <v>197</v>
      </c>
      <c r="O12" s="203">
        <f t="shared" si="5"/>
        <v>4238.677419354839</v>
      </c>
      <c r="P12" s="203">
        <f t="shared" si="25"/>
        <v>197</v>
      </c>
      <c r="Q12" s="203">
        <f t="shared" si="6"/>
        <v>4238.677419354839</v>
      </c>
      <c r="R12" s="203">
        <f t="shared" si="26"/>
        <v>197</v>
      </c>
      <c r="S12" s="203">
        <f t="shared" si="7"/>
        <v>4238.677419354839</v>
      </c>
      <c r="T12" s="203">
        <f t="shared" si="27"/>
        <v>197</v>
      </c>
      <c r="U12" s="203">
        <f t="shared" si="8"/>
        <v>4238.677419354839</v>
      </c>
      <c r="V12" s="203">
        <f t="shared" si="28"/>
        <v>197</v>
      </c>
      <c r="W12" s="203">
        <f t="shared" si="9"/>
        <v>4238.677419354839</v>
      </c>
      <c r="X12" s="35">
        <f t="shared" si="10"/>
        <v>0.63548387096774217</v>
      </c>
      <c r="Y12" s="36">
        <f t="shared" si="29"/>
        <v>46625.451612903242</v>
      </c>
      <c r="Z12" s="203">
        <f>'B5'!C11</f>
        <v>204</v>
      </c>
      <c r="AA12" s="203">
        <f t="shared" si="30"/>
        <v>2040</v>
      </c>
      <c r="AB12" s="203">
        <f t="shared" si="31"/>
        <v>204</v>
      </c>
      <c r="AC12" s="203">
        <f t="shared" si="30"/>
        <v>2040</v>
      </c>
      <c r="AD12" s="203">
        <f t="shared" si="32"/>
        <v>204</v>
      </c>
      <c r="AE12" s="203">
        <f t="shared" si="11"/>
        <v>2040</v>
      </c>
      <c r="AF12" s="203">
        <f t="shared" si="33"/>
        <v>204</v>
      </c>
      <c r="AG12" s="203">
        <f t="shared" si="12"/>
        <v>2040</v>
      </c>
      <c r="AH12" s="203">
        <f t="shared" si="34"/>
        <v>204</v>
      </c>
      <c r="AI12" s="203">
        <f t="shared" si="13"/>
        <v>2040</v>
      </c>
      <c r="AJ12" s="203">
        <f t="shared" si="35"/>
        <v>204</v>
      </c>
      <c r="AK12" s="203">
        <f t="shared" si="14"/>
        <v>2040</v>
      </c>
      <c r="AL12" s="203">
        <f t="shared" si="36"/>
        <v>204</v>
      </c>
      <c r="AM12" s="203">
        <f t="shared" si="15"/>
        <v>2040</v>
      </c>
      <c r="AN12" s="35">
        <f t="shared" si="16"/>
        <v>0.72857142857142854</v>
      </c>
      <c r="AO12" s="36">
        <f t="shared" si="17"/>
        <v>14280</v>
      </c>
      <c r="AP12" s="563"/>
      <c r="AQ12" s="223">
        <f t="shared" si="37"/>
        <v>0.65510865454343592</v>
      </c>
      <c r="AR12" s="38">
        <f t="shared" si="42"/>
        <v>60905.451612903242</v>
      </c>
      <c r="AS12" s="197">
        <f>SUM(AR12-AR11-AT12)</f>
        <v>0</v>
      </c>
      <c r="AT12" s="271"/>
      <c r="AU12" s="478"/>
      <c r="AV12" s="518">
        <f t="shared" si="43"/>
        <v>0.96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4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94" t="e">
        <f>GEN!AF9</f>
        <v>#DIV/0!</v>
      </c>
    </row>
    <row r="13" spans="1:63">
      <c r="A13" s="444">
        <f>ELEC!C10</f>
        <v>44294</v>
      </c>
      <c r="B13">
        <f>'B5'!B12</f>
        <v>197</v>
      </c>
      <c r="C13" s="203">
        <f t="shared" si="18"/>
        <v>4238.677419354839</v>
      </c>
      <c r="D13">
        <f t="shared" si="19"/>
        <v>197</v>
      </c>
      <c r="E13" s="203">
        <f t="shared" si="18"/>
        <v>4238.677419354839</v>
      </c>
      <c r="F13">
        <f t="shared" si="20"/>
        <v>197</v>
      </c>
      <c r="G13" s="203">
        <f t="shared" si="1"/>
        <v>4238.677419354839</v>
      </c>
      <c r="H13" s="203">
        <f t="shared" si="21"/>
        <v>197</v>
      </c>
      <c r="I13" s="203">
        <f t="shared" si="2"/>
        <v>4238.677419354839</v>
      </c>
      <c r="J13" s="203">
        <f t="shared" si="22"/>
        <v>197</v>
      </c>
      <c r="K13" s="203">
        <f t="shared" si="3"/>
        <v>4238.677419354839</v>
      </c>
      <c r="L13" s="203">
        <f t="shared" si="23"/>
        <v>197</v>
      </c>
      <c r="M13" s="203">
        <f t="shared" si="4"/>
        <v>4238.677419354839</v>
      </c>
      <c r="N13" s="203">
        <f t="shared" si="24"/>
        <v>197</v>
      </c>
      <c r="O13" s="203">
        <f t="shared" si="5"/>
        <v>4238.677419354839</v>
      </c>
      <c r="P13" s="203">
        <f t="shared" si="25"/>
        <v>197</v>
      </c>
      <c r="Q13" s="203">
        <f t="shared" si="6"/>
        <v>4238.677419354839</v>
      </c>
      <c r="R13" s="203">
        <f t="shared" si="26"/>
        <v>197</v>
      </c>
      <c r="S13" s="203">
        <f t="shared" si="7"/>
        <v>4238.677419354839</v>
      </c>
      <c r="T13" s="203">
        <f t="shared" si="27"/>
        <v>197</v>
      </c>
      <c r="U13" s="203">
        <f t="shared" si="8"/>
        <v>4238.677419354839</v>
      </c>
      <c r="V13" s="203">
        <f t="shared" si="28"/>
        <v>197</v>
      </c>
      <c r="W13" s="203">
        <f t="shared" si="9"/>
        <v>4238.677419354839</v>
      </c>
      <c r="X13" s="35">
        <f t="shared" si="10"/>
        <v>0.63548387096774217</v>
      </c>
      <c r="Y13" s="36">
        <f t="shared" si="29"/>
        <v>46625.451612903242</v>
      </c>
      <c r="Z13" s="203">
        <f>'B5'!C12</f>
        <v>204</v>
      </c>
      <c r="AA13" s="203">
        <f t="shared" si="30"/>
        <v>2040</v>
      </c>
      <c r="AB13" s="203">
        <f t="shared" si="31"/>
        <v>204</v>
      </c>
      <c r="AC13" s="203">
        <f t="shared" si="30"/>
        <v>2040</v>
      </c>
      <c r="AD13" s="203">
        <f t="shared" si="32"/>
        <v>204</v>
      </c>
      <c r="AE13" s="203">
        <f t="shared" si="11"/>
        <v>2040</v>
      </c>
      <c r="AF13" s="203">
        <f t="shared" si="33"/>
        <v>204</v>
      </c>
      <c r="AG13" s="203">
        <f t="shared" si="12"/>
        <v>2040</v>
      </c>
      <c r="AH13" s="203">
        <f t="shared" si="34"/>
        <v>204</v>
      </c>
      <c r="AI13" s="203">
        <f t="shared" si="13"/>
        <v>2040</v>
      </c>
      <c r="AJ13" s="203">
        <f t="shared" si="35"/>
        <v>204</v>
      </c>
      <c r="AK13" s="203">
        <f t="shared" si="14"/>
        <v>2040</v>
      </c>
      <c r="AL13" s="203">
        <f t="shared" si="36"/>
        <v>204</v>
      </c>
      <c r="AM13" s="203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63"/>
      <c r="AQ13" s="223">
        <f t="shared" si="37"/>
        <v>0.65510865454343592</v>
      </c>
      <c r="AR13" s="38">
        <f t="shared" si="42"/>
        <v>60905.451612903242</v>
      </c>
      <c r="AS13" s="197">
        <f t="shared" si="38"/>
        <v>0</v>
      </c>
      <c r="AT13" s="271"/>
      <c r="AU13" s="436"/>
      <c r="AV13" s="518">
        <f t="shared" si="43"/>
        <v>0.96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4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94" t="e">
        <f>GEN!AF10</f>
        <v>#DIV/0!</v>
      </c>
    </row>
    <row r="14" spans="1:63">
      <c r="A14" s="444">
        <f>ELEC!C11</f>
        <v>44295</v>
      </c>
      <c r="B14">
        <f>'B5'!B13</f>
        <v>197</v>
      </c>
      <c r="C14" s="203">
        <f t="shared" si="18"/>
        <v>4238.677419354839</v>
      </c>
      <c r="D14">
        <f t="shared" si="19"/>
        <v>197</v>
      </c>
      <c r="E14" s="203">
        <f t="shared" si="18"/>
        <v>4238.677419354839</v>
      </c>
      <c r="F14">
        <f t="shared" si="20"/>
        <v>197</v>
      </c>
      <c r="G14" s="203">
        <f t="shared" si="1"/>
        <v>4238.677419354839</v>
      </c>
      <c r="H14" s="203">
        <f t="shared" si="21"/>
        <v>197</v>
      </c>
      <c r="I14" s="203">
        <f t="shared" si="2"/>
        <v>4238.677419354839</v>
      </c>
      <c r="J14" s="203">
        <f t="shared" si="22"/>
        <v>197</v>
      </c>
      <c r="K14" s="203">
        <f t="shared" si="3"/>
        <v>4238.677419354839</v>
      </c>
      <c r="L14" s="203">
        <f t="shared" si="23"/>
        <v>197</v>
      </c>
      <c r="M14" s="203">
        <f t="shared" si="4"/>
        <v>4238.677419354839</v>
      </c>
      <c r="N14" s="203">
        <f t="shared" si="24"/>
        <v>197</v>
      </c>
      <c r="O14" s="203">
        <f t="shared" si="5"/>
        <v>4238.677419354839</v>
      </c>
      <c r="P14" s="203">
        <f t="shared" si="25"/>
        <v>197</v>
      </c>
      <c r="Q14" s="203">
        <f t="shared" si="6"/>
        <v>4238.677419354839</v>
      </c>
      <c r="R14" s="203">
        <f t="shared" si="26"/>
        <v>197</v>
      </c>
      <c r="S14" s="203">
        <f t="shared" si="7"/>
        <v>4238.677419354839</v>
      </c>
      <c r="T14" s="203">
        <f t="shared" si="27"/>
        <v>197</v>
      </c>
      <c r="U14" s="203">
        <f t="shared" si="8"/>
        <v>4238.677419354839</v>
      </c>
      <c r="V14" s="203">
        <f t="shared" si="28"/>
        <v>197</v>
      </c>
      <c r="W14" s="203">
        <f t="shared" si="9"/>
        <v>4238.677419354839</v>
      </c>
      <c r="X14" s="35">
        <f t="shared" si="10"/>
        <v>0.63548387096774217</v>
      </c>
      <c r="Y14" s="36">
        <f t="shared" si="29"/>
        <v>46625.451612903242</v>
      </c>
      <c r="Z14" s="203">
        <f>'B5'!C13</f>
        <v>204</v>
      </c>
      <c r="AA14" s="203">
        <f t="shared" si="30"/>
        <v>2040</v>
      </c>
      <c r="AB14" s="203">
        <f t="shared" si="31"/>
        <v>204</v>
      </c>
      <c r="AC14" s="203">
        <f t="shared" si="30"/>
        <v>2040</v>
      </c>
      <c r="AD14" s="203">
        <f t="shared" si="32"/>
        <v>204</v>
      </c>
      <c r="AE14" s="203">
        <f t="shared" si="11"/>
        <v>2040</v>
      </c>
      <c r="AF14" s="203">
        <f t="shared" si="33"/>
        <v>204</v>
      </c>
      <c r="AG14" s="203">
        <f t="shared" si="12"/>
        <v>2040</v>
      </c>
      <c r="AH14" s="203">
        <f t="shared" si="34"/>
        <v>204</v>
      </c>
      <c r="AI14" s="203">
        <f t="shared" si="13"/>
        <v>2040</v>
      </c>
      <c r="AJ14" s="203">
        <f t="shared" si="35"/>
        <v>204</v>
      </c>
      <c r="AK14" s="203">
        <f t="shared" si="14"/>
        <v>2040</v>
      </c>
      <c r="AL14" s="203">
        <f t="shared" si="36"/>
        <v>204</v>
      </c>
      <c r="AM14" s="203">
        <f t="shared" si="15"/>
        <v>2040</v>
      </c>
      <c r="AN14" s="35">
        <f t="shared" si="16"/>
        <v>0.72857142857142854</v>
      </c>
      <c r="AO14" s="36">
        <f t="shared" si="17"/>
        <v>14280</v>
      </c>
      <c r="AQ14" s="223">
        <f t="shared" si="37"/>
        <v>0.65510865454343592</v>
      </c>
      <c r="AR14" s="38">
        <f t="shared" si="42"/>
        <v>60905.451612903242</v>
      </c>
      <c r="AS14" s="197">
        <f>SUM(AR14-AR13-AT14)</f>
        <v>0</v>
      </c>
      <c r="AT14" s="271"/>
      <c r="AU14" s="478"/>
      <c r="AV14" s="518">
        <f t="shared" si="43"/>
        <v>0.96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4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94" t="e">
        <f>GEN!AF11</f>
        <v>#DIV/0!</v>
      </c>
    </row>
    <row r="15" spans="1:63" ht="13.5" customHeight="1">
      <c r="A15" s="444">
        <f>ELEC!C12</f>
        <v>44296</v>
      </c>
      <c r="B15">
        <f>'B5'!B14</f>
        <v>197</v>
      </c>
      <c r="C15" s="203">
        <f t="shared" si="18"/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17"/>
        <v>14280</v>
      </c>
      <c r="AQ15" s="223">
        <f t="shared" si="37"/>
        <v>0.65510865454343592</v>
      </c>
      <c r="AR15" s="38">
        <f t="shared" si="42"/>
        <v>60905.451612903242</v>
      </c>
      <c r="AS15" s="197">
        <f>SUM(AR15-AR14-AT15)</f>
        <v>0</v>
      </c>
      <c r="AT15" s="271"/>
      <c r="AU15" s="436"/>
      <c r="AV15" s="518">
        <f>IF(AT15&gt;0,AU15,AV14)</f>
        <v>0.96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94" t="e">
        <f>GEN!AF12</f>
        <v>#DIV/0!</v>
      </c>
    </row>
    <row r="16" spans="1:63">
      <c r="A16" s="444">
        <f>ELEC!C13</f>
        <v>44297</v>
      </c>
      <c r="B16">
        <f>'B5'!B15</f>
        <v>197</v>
      </c>
      <c r="C16" s="203">
        <f t="shared" si="18"/>
        <v>4238.677419354839</v>
      </c>
      <c r="D16">
        <f t="shared" si="19"/>
        <v>197</v>
      </c>
      <c r="E16" s="203">
        <f t="shared" si="18"/>
        <v>4238.677419354839</v>
      </c>
      <c r="F16">
        <f t="shared" si="20"/>
        <v>197</v>
      </c>
      <c r="G16" s="203">
        <f t="shared" si="1"/>
        <v>4238.677419354839</v>
      </c>
      <c r="H16" s="203">
        <f t="shared" si="21"/>
        <v>197</v>
      </c>
      <c r="I16" s="203">
        <f t="shared" si="2"/>
        <v>4238.677419354839</v>
      </c>
      <c r="J16" s="203">
        <f t="shared" si="22"/>
        <v>197</v>
      </c>
      <c r="K16" s="203">
        <f t="shared" si="3"/>
        <v>4238.677419354839</v>
      </c>
      <c r="L16" s="203">
        <f t="shared" si="23"/>
        <v>197</v>
      </c>
      <c r="M16" s="203">
        <f t="shared" si="4"/>
        <v>4238.677419354839</v>
      </c>
      <c r="N16" s="203">
        <f t="shared" si="24"/>
        <v>197</v>
      </c>
      <c r="O16" s="203">
        <f t="shared" si="5"/>
        <v>4238.677419354839</v>
      </c>
      <c r="P16" s="203">
        <f t="shared" si="25"/>
        <v>197</v>
      </c>
      <c r="Q16" s="203">
        <f t="shared" si="6"/>
        <v>4238.677419354839</v>
      </c>
      <c r="R16" s="203">
        <f t="shared" si="26"/>
        <v>197</v>
      </c>
      <c r="S16" s="203">
        <f t="shared" si="7"/>
        <v>4238.677419354839</v>
      </c>
      <c r="T16" s="203">
        <f t="shared" si="27"/>
        <v>197</v>
      </c>
      <c r="U16" s="203">
        <f t="shared" si="8"/>
        <v>4238.677419354839</v>
      </c>
      <c r="V16" s="203">
        <f t="shared" si="28"/>
        <v>197</v>
      </c>
      <c r="W16" s="203">
        <f t="shared" si="9"/>
        <v>4238.677419354839</v>
      </c>
      <c r="X16" s="35">
        <f t="shared" si="10"/>
        <v>0.63548387096774217</v>
      </c>
      <c r="Y16" s="36">
        <f t="shared" si="29"/>
        <v>46625.451612903242</v>
      </c>
      <c r="Z16" s="203">
        <f>'B5'!C15</f>
        <v>204</v>
      </c>
      <c r="AA16" s="203">
        <f t="shared" si="30"/>
        <v>2040</v>
      </c>
      <c r="AB16" s="203">
        <f t="shared" si="31"/>
        <v>204</v>
      </c>
      <c r="AC16" s="203">
        <f t="shared" si="30"/>
        <v>2040</v>
      </c>
      <c r="AD16" s="203">
        <f t="shared" si="32"/>
        <v>204</v>
      </c>
      <c r="AE16" s="203">
        <f t="shared" si="11"/>
        <v>2040</v>
      </c>
      <c r="AF16" s="203">
        <f t="shared" si="33"/>
        <v>204</v>
      </c>
      <c r="AG16" s="203">
        <f t="shared" si="12"/>
        <v>2040</v>
      </c>
      <c r="AH16" s="203">
        <f t="shared" si="34"/>
        <v>204</v>
      </c>
      <c r="AI16" s="203">
        <f t="shared" si="13"/>
        <v>2040</v>
      </c>
      <c r="AJ16" s="203">
        <f t="shared" si="35"/>
        <v>204</v>
      </c>
      <c r="AK16" s="203">
        <f t="shared" si="14"/>
        <v>2040</v>
      </c>
      <c r="AL16" s="203">
        <f t="shared" si="36"/>
        <v>204</v>
      </c>
      <c r="AM16" s="203">
        <f t="shared" si="15"/>
        <v>2040</v>
      </c>
      <c r="AN16" s="35">
        <f t="shared" si="16"/>
        <v>0.72857142857142854</v>
      </c>
      <c r="AO16" s="36">
        <f t="shared" si="17"/>
        <v>14280</v>
      </c>
      <c r="AQ16" s="223">
        <f t="shared" si="37"/>
        <v>0.65510865454343592</v>
      </c>
      <c r="AR16" s="38">
        <f t="shared" si="42"/>
        <v>60905.451612903242</v>
      </c>
      <c r="AS16" s="197">
        <f>SUM(AR16-AR15-AT16)</f>
        <v>0</v>
      </c>
      <c r="AT16" s="355"/>
      <c r="AU16" s="436"/>
      <c r="AV16" s="518">
        <f>IF(AT16&gt;0,AU16,AV15)</f>
        <v>0.96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94" t="e">
        <f>GEN!AF13</f>
        <v>#DIV/0!</v>
      </c>
    </row>
    <row r="17" spans="1:61">
      <c r="A17" s="444">
        <f>ELEC!C14</f>
        <v>44298</v>
      </c>
      <c r="B17">
        <f>'B5'!B16</f>
        <v>197</v>
      </c>
      <c r="C17" s="203">
        <f t="shared" si="18"/>
        <v>4238.677419354839</v>
      </c>
      <c r="D17">
        <f t="shared" si="19"/>
        <v>197</v>
      </c>
      <c r="E17" s="203">
        <f t="shared" si="18"/>
        <v>4238.677419354839</v>
      </c>
      <c r="F17">
        <f t="shared" si="20"/>
        <v>197</v>
      </c>
      <c r="G17" s="203">
        <f t="shared" si="1"/>
        <v>4238.677419354839</v>
      </c>
      <c r="H17" s="203">
        <f t="shared" si="21"/>
        <v>197</v>
      </c>
      <c r="I17" s="203">
        <f t="shared" si="2"/>
        <v>4238.677419354839</v>
      </c>
      <c r="J17" s="203">
        <f t="shared" si="22"/>
        <v>197</v>
      </c>
      <c r="K17" s="203">
        <f t="shared" si="3"/>
        <v>4238.677419354839</v>
      </c>
      <c r="L17" s="203">
        <f t="shared" si="23"/>
        <v>197</v>
      </c>
      <c r="M17" s="203">
        <f t="shared" si="4"/>
        <v>4238.677419354839</v>
      </c>
      <c r="N17" s="203">
        <f t="shared" si="24"/>
        <v>197</v>
      </c>
      <c r="O17" s="203">
        <f t="shared" si="5"/>
        <v>4238.677419354839</v>
      </c>
      <c r="P17" s="203">
        <f t="shared" si="25"/>
        <v>197</v>
      </c>
      <c r="Q17" s="203">
        <f t="shared" si="6"/>
        <v>4238.677419354839</v>
      </c>
      <c r="R17" s="203">
        <f t="shared" si="26"/>
        <v>197</v>
      </c>
      <c r="S17" s="203">
        <f t="shared" si="7"/>
        <v>4238.677419354839</v>
      </c>
      <c r="T17" s="203">
        <f t="shared" si="27"/>
        <v>197</v>
      </c>
      <c r="U17" s="203">
        <f t="shared" si="8"/>
        <v>4238.677419354839</v>
      </c>
      <c r="V17" s="203">
        <f t="shared" si="28"/>
        <v>197</v>
      </c>
      <c r="W17" s="203">
        <f t="shared" si="9"/>
        <v>4238.677419354839</v>
      </c>
      <c r="X17" s="35">
        <f t="shared" si="10"/>
        <v>0.63548387096774217</v>
      </c>
      <c r="Y17" s="36">
        <f t="shared" si="29"/>
        <v>46625.451612903242</v>
      </c>
      <c r="Z17" s="203">
        <f>'B5'!C16</f>
        <v>204</v>
      </c>
      <c r="AA17" s="203">
        <f t="shared" si="30"/>
        <v>2040</v>
      </c>
      <c r="AB17" s="203">
        <f t="shared" si="31"/>
        <v>204</v>
      </c>
      <c r="AC17" s="203">
        <f t="shared" si="30"/>
        <v>2040</v>
      </c>
      <c r="AD17" s="203">
        <f t="shared" si="32"/>
        <v>204</v>
      </c>
      <c r="AE17" s="203">
        <f t="shared" si="11"/>
        <v>2040</v>
      </c>
      <c r="AF17" s="203">
        <f t="shared" si="33"/>
        <v>204</v>
      </c>
      <c r="AG17" s="203">
        <f t="shared" si="12"/>
        <v>2040</v>
      </c>
      <c r="AH17" s="203">
        <f t="shared" si="34"/>
        <v>204</v>
      </c>
      <c r="AI17" s="203">
        <f t="shared" si="13"/>
        <v>2040</v>
      </c>
      <c r="AJ17" s="203">
        <f t="shared" si="35"/>
        <v>204</v>
      </c>
      <c r="AK17" s="203">
        <f t="shared" si="14"/>
        <v>2040</v>
      </c>
      <c r="AL17" s="203">
        <f t="shared" si="36"/>
        <v>204</v>
      </c>
      <c r="AM17" s="203">
        <f t="shared" si="15"/>
        <v>2040</v>
      </c>
      <c r="AN17" s="35">
        <f t="shared" si="16"/>
        <v>0.72857142857142854</v>
      </c>
      <c r="AO17" s="36">
        <f>SUM(AA17+AC17+AE17+AG17+AI17+AK17+AM17)</f>
        <v>14280</v>
      </c>
      <c r="AQ17" s="223">
        <f t="shared" si="37"/>
        <v>0.65510865454343592</v>
      </c>
      <c r="AR17" s="38">
        <f t="shared" si="42"/>
        <v>60905.451612903242</v>
      </c>
      <c r="AS17" s="197">
        <f t="shared" si="38"/>
        <v>0</v>
      </c>
      <c r="AT17" s="355"/>
      <c r="AU17" s="478"/>
      <c r="AV17" s="518">
        <f t="shared" si="43"/>
        <v>0.96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44299</v>
      </c>
      <c r="B18">
        <f>'B5'!B17</f>
        <v>197</v>
      </c>
      <c r="C18" s="203">
        <f t="shared" si="18"/>
        <v>4238.677419354839</v>
      </c>
      <c r="D18">
        <f t="shared" si="19"/>
        <v>197</v>
      </c>
      <c r="E18" s="203">
        <f t="shared" si="18"/>
        <v>4238.677419354839</v>
      </c>
      <c r="F18">
        <f t="shared" si="20"/>
        <v>197</v>
      </c>
      <c r="G18" s="203">
        <f t="shared" si="1"/>
        <v>4238.677419354839</v>
      </c>
      <c r="H18" s="203">
        <f t="shared" si="21"/>
        <v>197</v>
      </c>
      <c r="I18" s="203">
        <f t="shared" si="2"/>
        <v>4238.677419354839</v>
      </c>
      <c r="J18" s="203">
        <f t="shared" si="22"/>
        <v>197</v>
      </c>
      <c r="K18" s="203">
        <f t="shared" si="3"/>
        <v>4238.677419354839</v>
      </c>
      <c r="L18" s="203">
        <f t="shared" si="23"/>
        <v>197</v>
      </c>
      <c r="M18" s="203">
        <f t="shared" si="4"/>
        <v>4238.677419354839</v>
      </c>
      <c r="N18" s="203">
        <f t="shared" si="24"/>
        <v>197</v>
      </c>
      <c r="O18" s="203">
        <f t="shared" si="5"/>
        <v>4238.677419354839</v>
      </c>
      <c r="P18" s="203">
        <f t="shared" si="25"/>
        <v>197</v>
      </c>
      <c r="Q18" s="203">
        <f t="shared" si="6"/>
        <v>4238.677419354839</v>
      </c>
      <c r="R18" s="203">
        <f t="shared" si="26"/>
        <v>197</v>
      </c>
      <c r="S18" s="203">
        <f t="shared" si="7"/>
        <v>4238.677419354839</v>
      </c>
      <c r="T18" s="203">
        <f t="shared" si="27"/>
        <v>197</v>
      </c>
      <c r="U18" s="203">
        <f t="shared" si="8"/>
        <v>4238.677419354839</v>
      </c>
      <c r="V18" s="203">
        <f t="shared" si="28"/>
        <v>197</v>
      </c>
      <c r="W18" s="203">
        <f t="shared" si="9"/>
        <v>4238.677419354839</v>
      </c>
      <c r="X18" s="35">
        <f t="shared" si="10"/>
        <v>0.63548387096774217</v>
      </c>
      <c r="Y18" s="36">
        <f t="shared" si="29"/>
        <v>46625.451612903242</v>
      </c>
      <c r="Z18" s="203">
        <f>'B5'!C17</f>
        <v>204</v>
      </c>
      <c r="AA18" s="203">
        <f t="shared" si="30"/>
        <v>2040</v>
      </c>
      <c r="AB18" s="203">
        <f t="shared" si="31"/>
        <v>204</v>
      </c>
      <c r="AC18" s="203">
        <f t="shared" si="30"/>
        <v>2040</v>
      </c>
      <c r="AD18" s="203">
        <f t="shared" si="32"/>
        <v>204</v>
      </c>
      <c r="AE18" s="203">
        <f t="shared" si="11"/>
        <v>2040</v>
      </c>
      <c r="AF18" s="203">
        <f t="shared" si="33"/>
        <v>204</v>
      </c>
      <c r="AG18" s="203">
        <f t="shared" si="12"/>
        <v>2040</v>
      </c>
      <c r="AH18" s="203">
        <f t="shared" si="34"/>
        <v>204</v>
      </c>
      <c r="AI18" s="203">
        <f t="shared" si="13"/>
        <v>2040</v>
      </c>
      <c r="AJ18" s="203">
        <f t="shared" si="35"/>
        <v>204</v>
      </c>
      <c r="AK18" s="203">
        <f t="shared" si="14"/>
        <v>2040</v>
      </c>
      <c r="AL18" s="203">
        <f t="shared" si="36"/>
        <v>204</v>
      </c>
      <c r="AM18" s="203">
        <f t="shared" si="15"/>
        <v>2040</v>
      </c>
      <c r="AN18" s="35">
        <f t="shared" si="16"/>
        <v>0.72857142857142854</v>
      </c>
      <c r="AO18" s="36">
        <f t="shared" si="17"/>
        <v>14280</v>
      </c>
      <c r="AQ18" s="223">
        <f t="shared" si="37"/>
        <v>0.65510865454343592</v>
      </c>
      <c r="AR18" s="38">
        <f t="shared" si="42"/>
        <v>60905.451612903242</v>
      </c>
      <c r="AS18" s="197">
        <f t="shared" si="38"/>
        <v>0</v>
      </c>
      <c r="AT18" s="271"/>
      <c r="AU18" s="436"/>
      <c r="AV18" s="518">
        <f>IF(AT18&gt;0,AU18,AV17)</f>
        <v>0.96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44300</v>
      </c>
      <c r="B19">
        <f>'B5'!B18</f>
        <v>197</v>
      </c>
      <c r="C19" s="203">
        <f t="shared" si="18"/>
        <v>4238.677419354839</v>
      </c>
      <c r="D19">
        <f t="shared" si="19"/>
        <v>197</v>
      </c>
      <c r="E19" s="203">
        <f t="shared" si="18"/>
        <v>4238.677419354839</v>
      </c>
      <c r="F19">
        <f t="shared" si="20"/>
        <v>197</v>
      </c>
      <c r="G19" s="203">
        <f t="shared" si="1"/>
        <v>4238.677419354839</v>
      </c>
      <c r="H19" s="203">
        <f t="shared" si="21"/>
        <v>197</v>
      </c>
      <c r="I19" s="203">
        <f t="shared" si="2"/>
        <v>4238.677419354839</v>
      </c>
      <c r="J19" s="203">
        <f t="shared" si="22"/>
        <v>197</v>
      </c>
      <c r="K19" s="203">
        <f t="shared" si="3"/>
        <v>4238.677419354839</v>
      </c>
      <c r="L19" s="203">
        <f t="shared" si="23"/>
        <v>197</v>
      </c>
      <c r="M19" s="203">
        <f t="shared" si="4"/>
        <v>4238.677419354839</v>
      </c>
      <c r="N19" s="203">
        <f t="shared" si="24"/>
        <v>197</v>
      </c>
      <c r="O19" s="203">
        <f t="shared" si="5"/>
        <v>4238.677419354839</v>
      </c>
      <c r="P19" s="203">
        <f t="shared" si="25"/>
        <v>197</v>
      </c>
      <c r="Q19" s="203">
        <f t="shared" si="6"/>
        <v>4238.677419354839</v>
      </c>
      <c r="R19" s="203">
        <f t="shared" si="26"/>
        <v>197</v>
      </c>
      <c r="S19" s="203">
        <f t="shared" si="7"/>
        <v>4238.677419354839</v>
      </c>
      <c r="T19" s="203">
        <f t="shared" si="27"/>
        <v>197</v>
      </c>
      <c r="U19" s="203">
        <f t="shared" si="8"/>
        <v>4238.677419354839</v>
      </c>
      <c r="V19" s="203">
        <f t="shared" si="28"/>
        <v>197</v>
      </c>
      <c r="W19" s="203">
        <f t="shared" si="9"/>
        <v>4238.677419354839</v>
      </c>
      <c r="X19" s="35">
        <f t="shared" si="10"/>
        <v>0.63548387096774217</v>
      </c>
      <c r="Y19" s="36">
        <f t="shared" si="29"/>
        <v>46625.451612903242</v>
      </c>
      <c r="Z19" s="203">
        <f>'B5'!C18</f>
        <v>204</v>
      </c>
      <c r="AA19" s="203">
        <f t="shared" si="30"/>
        <v>2040</v>
      </c>
      <c r="AB19" s="203">
        <f t="shared" si="31"/>
        <v>204</v>
      </c>
      <c r="AC19" s="203">
        <f t="shared" si="30"/>
        <v>2040</v>
      </c>
      <c r="AD19" s="203">
        <f t="shared" si="32"/>
        <v>204</v>
      </c>
      <c r="AE19" s="203">
        <f t="shared" si="11"/>
        <v>2040</v>
      </c>
      <c r="AF19" s="203">
        <f t="shared" si="33"/>
        <v>204</v>
      </c>
      <c r="AG19" s="203">
        <f t="shared" si="12"/>
        <v>2040</v>
      </c>
      <c r="AH19" s="203">
        <f t="shared" si="34"/>
        <v>204</v>
      </c>
      <c r="AI19" s="203">
        <f t="shared" si="13"/>
        <v>2040</v>
      </c>
      <c r="AJ19" s="203">
        <f t="shared" si="35"/>
        <v>204</v>
      </c>
      <c r="AK19" s="203">
        <f t="shared" si="14"/>
        <v>2040</v>
      </c>
      <c r="AL19" s="203">
        <f t="shared" si="36"/>
        <v>204</v>
      </c>
      <c r="AM19" s="203">
        <f t="shared" si="15"/>
        <v>2040</v>
      </c>
      <c r="AN19" s="35">
        <f t="shared" si="16"/>
        <v>0.72857142857142854</v>
      </c>
      <c r="AO19" s="36">
        <f t="shared" si="17"/>
        <v>14280</v>
      </c>
      <c r="AQ19" s="223">
        <f t="shared" si="37"/>
        <v>0.65510865454343592</v>
      </c>
      <c r="AR19" s="38">
        <f t="shared" si="42"/>
        <v>60905.451612903242</v>
      </c>
      <c r="AS19" s="197">
        <f t="shared" si="38"/>
        <v>0</v>
      </c>
      <c r="AT19" s="271"/>
      <c r="AU19" s="436"/>
      <c r="AV19" s="518">
        <f t="shared" si="43"/>
        <v>0.96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44301</v>
      </c>
      <c r="B20">
        <f>'B5'!B19</f>
        <v>197</v>
      </c>
      <c r="C20" s="203">
        <f t="shared" si="18"/>
        <v>4238.677419354839</v>
      </c>
      <c r="D20">
        <f t="shared" si="19"/>
        <v>197</v>
      </c>
      <c r="E20" s="203">
        <f t="shared" si="18"/>
        <v>4238.677419354839</v>
      </c>
      <c r="F20">
        <f t="shared" si="20"/>
        <v>197</v>
      </c>
      <c r="G20" s="203">
        <f t="shared" si="1"/>
        <v>4238.677419354839</v>
      </c>
      <c r="H20" s="203">
        <f t="shared" si="21"/>
        <v>197</v>
      </c>
      <c r="I20" s="203">
        <f t="shared" si="2"/>
        <v>4238.677419354839</v>
      </c>
      <c r="J20" s="203">
        <f t="shared" si="22"/>
        <v>197</v>
      </c>
      <c r="K20" s="203">
        <f t="shared" si="3"/>
        <v>4238.677419354839</v>
      </c>
      <c r="L20" s="203">
        <f t="shared" si="23"/>
        <v>197</v>
      </c>
      <c r="M20" s="203">
        <f t="shared" si="4"/>
        <v>4238.677419354839</v>
      </c>
      <c r="N20" s="203">
        <f t="shared" si="24"/>
        <v>197</v>
      </c>
      <c r="O20" s="203">
        <f t="shared" si="5"/>
        <v>4238.677419354839</v>
      </c>
      <c r="P20" s="203">
        <f t="shared" si="25"/>
        <v>197</v>
      </c>
      <c r="Q20" s="203">
        <f t="shared" si="6"/>
        <v>4238.677419354839</v>
      </c>
      <c r="R20" s="203">
        <f t="shared" si="26"/>
        <v>197</v>
      </c>
      <c r="S20" s="203">
        <f t="shared" si="7"/>
        <v>4238.677419354839</v>
      </c>
      <c r="T20" s="203">
        <f t="shared" si="27"/>
        <v>197</v>
      </c>
      <c r="U20" s="203">
        <f t="shared" si="8"/>
        <v>4238.677419354839</v>
      </c>
      <c r="V20" s="203">
        <f t="shared" si="28"/>
        <v>197</v>
      </c>
      <c r="W20" s="203">
        <f t="shared" si="9"/>
        <v>4238.677419354839</v>
      </c>
      <c r="X20" s="35">
        <f t="shared" si="10"/>
        <v>0.63548387096774217</v>
      </c>
      <c r="Y20" s="36">
        <f t="shared" si="29"/>
        <v>46625.451612903242</v>
      </c>
      <c r="Z20" s="203">
        <f>'B5'!C19</f>
        <v>204</v>
      </c>
      <c r="AA20" s="203">
        <f t="shared" si="30"/>
        <v>2040</v>
      </c>
      <c r="AB20" s="203">
        <f t="shared" si="31"/>
        <v>204</v>
      </c>
      <c r="AC20" s="203">
        <f t="shared" si="30"/>
        <v>2040</v>
      </c>
      <c r="AD20" s="203">
        <f t="shared" si="32"/>
        <v>204</v>
      </c>
      <c r="AE20" s="203">
        <f t="shared" si="11"/>
        <v>2040</v>
      </c>
      <c r="AF20" s="203">
        <f t="shared" si="33"/>
        <v>204</v>
      </c>
      <c r="AG20" s="203">
        <f t="shared" si="12"/>
        <v>2040</v>
      </c>
      <c r="AH20" s="203">
        <f t="shared" si="34"/>
        <v>204</v>
      </c>
      <c r="AI20" s="203">
        <f t="shared" si="13"/>
        <v>2040</v>
      </c>
      <c r="AJ20" s="203">
        <f t="shared" si="35"/>
        <v>204</v>
      </c>
      <c r="AK20" s="203">
        <f t="shared" si="14"/>
        <v>2040</v>
      </c>
      <c r="AL20" s="203">
        <f t="shared" si="36"/>
        <v>204</v>
      </c>
      <c r="AM20" s="203">
        <f t="shared" si="15"/>
        <v>2040</v>
      </c>
      <c r="AN20" s="35">
        <f t="shared" si="16"/>
        <v>0.72857142857142854</v>
      </c>
      <c r="AO20" s="36">
        <f t="shared" si="17"/>
        <v>14280</v>
      </c>
      <c r="AQ20" s="223">
        <f t="shared" si="37"/>
        <v>0.65510865454343592</v>
      </c>
      <c r="AR20" s="38">
        <f t="shared" si="42"/>
        <v>60905.451612903242</v>
      </c>
      <c r="AS20" s="197">
        <f t="shared" si="38"/>
        <v>0</v>
      </c>
      <c r="AT20" s="271"/>
      <c r="AU20" s="436"/>
      <c r="AV20" s="518">
        <f t="shared" si="43"/>
        <v>0.96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44302</v>
      </c>
      <c r="B21">
        <f>'B5'!B20</f>
        <v>197</v>
      </c>
      <c r="C21" s="203">
        <f t="shared" si="18"/>
        <v>4238.677419354839</v>
      </c>
      <c r="D21">
        <f t="shared" si="19"/>
        <v>197</v>
      </c>
      <c r="E21" s="203">
        <f t="shared" si="18"/>
        <v>4238.677419354839</v>
      </c>
      <c r="F21">
        <f t="shared" si="20"/>
        <v>197</v>
      </c>
      <c r="G21" s="203">
        <f t="shared" si="1"/>
        <v>4238.677419354839</v>
      </c>
      <c r="H21" s="203">
        <f t="shared" si="21"/>
        <v>197</v>
      </c>
      <c r="I21" s="203">
        <f t="shared" si="2"/>
        <v>4238.677419354839</v>
      </c>
      <c r="J21" s="203">
        <f t="shared" si="22"/>
        <v>197</v>
      </c>
      <c r="K21" s="203">
        <f t="shared" si="3"/>
        <v>4238.677419354839</v>
      </c>
      <c r="L21" s="203">
        <f t="shared" si="23"/>
        <v>197</v>
      </c>
      <c r="M21" s="203">
        <f t="shared" si="4"/>
        <v>4238.677419354839</v>
      </c>
      <c r="N21" s="203">
        <f t="shared" si="24"/>
        <v>197</v>
      </c>
      <c r="O21" s="203">
        <f t="shared" si="5"/>
        <v>4238.677419354839</v>
      </c>
      <c r="P21" s="203">
        <f t="shared" si="25"/>
        <v>197</v>
      </c>
      <c r="Q21" s="203">
        <f t="shared" si="6"/>
        <v>4238.677419354839</v>
      </c>
      <c r="R21" s="203">
        <f t="shared" si="26"/>
        <v>197</v>
      </c>
      <c r="S21" s="203">
        <f t="shared" si="7"/>
        <v>4238.677419354839</v>
      </c>
      <c r="T21" s="203">
        <f t="shared" si="27"/>
        <v>197</v>
      </c>
      <c r="U21" s="203">
        <f t="shared" si="8"/>
        <v>4238.677419354839</v>
      </c>
      <c r="V21" s="203">
        <f t="shared" si="28"/>
        <v>197</v>
      </c>
      <c r="W21" s="203">
        <f t="shared" si="9"/>
        <v>4238.677419354839</v>
      </c>
      <c r="X21" s="35">
        <f t="shared" si="10"/>
        <v>0.63548387096774217</v>
      </c>
      <c r="Y21" s="36">
        <f t="shared" si="29"/>
        <v>46625.451612903242</v>
      </c>
      <c r="Z21" s="203">
        <f>'B5'!C20</f>
        <v>204</v>
      </c>
      <c r="AA21" s="203">
        <f t="shared" si="30"/>
        <v>2040</v>
      </c>
      <c r="AB21" s="203">
        <f t="shared" si="31"/>
        <v>204</v>
      </c>
      <c r="AC21" s="203">
        <f t="shared" si="30"/>
        <v>2040</v>
      </c>
      <c r="AD21" s="203">
        <f t="shared" si="32"/>
        <v>204</v>
      </c>
      <c r="AE21" s="203">
        <f t="shared" si="11"/>
        <v>2040</v>
      </c>
      <c r="AF21" s="203">
        <f t="shared" si="33"/>
        <v>204</v>
      </c>
      <c r="AG21" s="203">
        <f t="shared" si="12"/>
        <v>2040</v>
      </c>
      <c r="AH21" s="203">
        <f t="shared" si="34"/>
        <v>204</v>
      </c>
      <c r="AI21" s="203">
        <f t="shared" si="13"/>
        <v>2040</v>
      </c>
      <c r="AJ21" s="203">
        <f t="shared" si="35"/>
        <v>204</v>
      </c>
      <c r="AK21" s="203">
        <f t="shared" si="14"/>
        <v>2040</v>
      </c>
      <c r="AL21" s="203">
        <f t="shared" si="36"/>
        <v>204</v>
      </c>
      <c r="AM21" s="203">
        <f t="shared" si="15"/>
        <v>2040</v>
      </c>
      <c r="AN21" s="35">
        <f t="shared" si="16"/>
        <v>0.72857142857142854</v>
      </c>
      <c r="AO21" s="36">
        <f t="shared" si="17"/>
        <v>14280</v>
      </c>
      <c r="AQ21" s="223">
        <f t="shared" si="37"/>
        <v>0.65510865454343592</v>
      </c>
      <c r="AR21" s="38">
        <f t="shared" si="42"/>
        <v>60905.451612903242</v>
      </c>
      <c r="AS21" s="197">
        <f t="shared" si="38"/>
        <v>0</v>
      </c>
      <c r="AT21" s="271"/>
      <c r="AU21" s="436"/>
      <c r="AV21" s="518">
        <f t="shared" si="43"/>
        <v>0.96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44303</v>
      </c>
      <c r="B22">
        <f>'B5'!B21</f>
        <v>197</v>
      </c>
      <c r="C22" s="203">
        <f t="shared" si="18"/>
        <v>4238.677419354839</v>
      </c>
      <c r="D22">
        <f t="shared" si="19"/>
        <v>197</v>
      </c>
      <c r="E22" s="203">
        <f t="shared" si="18"/>
        <v>4238.677419354839</v>
      </c>
      <c r="F22">
        <f t="shared" si="20"/>
        <v>197</v>
      </c>
      <c r="G22" s="203">
        <f t="shared" si="1"/>
        <v>4238.677419354839</v>
      </c>
      <c r="H22" s="203">
        <f t="shared" si="21"/>
        <v>197</v>
      </c>
      <c r="I22" s="203">
        <f t="shared" si="2"/>
        <v>4238.677419354839</v>
      </c>
      <c r="J22" s="203">
        <f t="shared" si="22"/>
        <v>197</v>
      </c>
      <c r="K22" s="203">
        <f t="shared" si="3"/>
        <v>4238.677419354839</v>
      </c>
      <c r="L22" s="203">
        <f t="shared" si="23"/>
        <v>197</v>
      </c>
      <c r="M22" s="203">
        <f t="shared" si="4"/>
        <v>4238.677419354839</v>
      </c>
      <c r="N22" s="203">
        <f t="shared" si="24"/>
        <v>197</v>
      </c>
      <c r="O22" s="203">
        <f t="shared" si="5"/>
        <v>4238.677419354839</v>
      </c>
      <c r="P22" s="203">
        <f t="shared" si="25"/>
        <v>197</v>
      </c>
      <c r="Q22" s="203">
        <f t="shared" si="6"/>
        <v>4238.677419354839</v>
      </c>
      <c r="R22" s="203">
        <f t="shared" si="26"/>
        <v>197</v>
      </c>
      <c r="S22" s="203">
        <f t="shared" si="7"/>
        <v>4238.677419354839</v>
      </c>
      <c r="T22" s="203">
        <f t="shared" si="27"/>
        <v>197</v>
      </c>
      <c r="U22" s="203">
        <f t="shared" si="8"/>
        <v>4238.677419354839</v>
      </c>
      <c r="V22" s="203">
        <f t="shared" si="28"/>
        <v>197</v>
      </c>
      <c r="W22" s="203">
        <f t="shared" si="9"/>
        <v>4238.677419354839</v>
      </c>
      <c r="X22" s="35">
        <f t="shared" si="10"/>
        <v>0.63548387096774217</v>
      </c>
      <c r="Y22" s="36">
        <f t="shared" si="29"/>
        <v>46625.451612903242</v>
      </c>
      <c r="Z22" s="203">
        <f>'B5'!C21</f>
        <v>204</v>
      </c>
      <c r="AA22" s="203">
        <f t="shared" si="30"/>
        <v>2040</v>
      </c>
      <c r="AB22" s="203">
        <f t="shared" si="31"/>
        <v>204</v>
      </c>
      <c r="AC22" s="203">
        <f t="shared" si="30"/>
        <v>2040</v>
      </c>
      <c r="AD22" s="203">
        <f t="shared" si="32"/>
        <v>204</v>
      </c>
      <c r="AE22" s="203">
        <f t="shared" si="11"/>
        <v>2040</v>
      </c>
      <c r="AF22" s="203">
        <f t="shared" si="33"/>
        <v>204</v>
      </c>
      <c r="AG22" s="203">
        <f t="shared" si="12"/>
        <v>2040</v>
      </c>
      <c r="AH22" s="203">
        <f t="shared" si="34"/>
        <v>204</v>
      </c>
      <c r="AI22" s="203">
        <f t="shared" si="13"/>
        <v>2040</v>
      </c>
      <c r="AJ22" s="203">
        <f t="shared" si="35"/>
        <v>204</v>
      </c>
      <c r="AK22" s="203">
        <f t="shared" si="14"/>
        <v>2040</v>
      </c>
      <c r="AL22" s="203">
        <f t="shared" si="36"/>
        <v>204</v>
      </c>
      <c r="AM22" s="203">
        <f t="shared" si="15"/>
        <v>2040</v>
      </c>
      <c r="AN22" s="35">
        <f t="shared" si="16"/>
        <v>0.72857142857142854</v>
      </c>
      <c r="AO22" s="36">
        <f t="shared" si="17"/>
        <v>14280</v>
      </c>
      <c r="AQ22" s="223">
        <f t="shared" si="37"/>
        <v>0.65510865454343592</v>
      </c>
      <c r="AR22" s="38">
        <f t="shared" si="42"/>
        <v>60905.451612903242</v>
      </c>
      <c r="AS22" s="197">
        <f t="shared" si="38"/>
        <v>0</v>
      </c>
      <c r="AT22" s="271"/>
      <c r="AU22" s="436"/>
      <c r="AV22" s="518">
        <f t="shared" si="43"/>
        <v>0.96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44304</v>
      </c>
      <c r="B23">
        <f>'B5'!B22</f>
        <v>197</v>
      </c>
      <c r="C23" s="203">
        <f t="shared" si="18"/>
        <v>4238.677419354839</v>
      </c>
      <c r="D23">
        <f t="shared" si="19"/>
        <v>197</v>
      </c>
      <c r="E23" s="203">
        <f t="shared" si="18"/>
        <v>4238.677419354839</v>
      </c>
      <c r="F23">
        <f t="shared" si="20"/>
        <v>197</v>
      </c>
      <c r="G23" s="203">
        <f t="shared" si="1"/>
        <v>4238.677419354839</v>
      </c>
      <c r="H23" s="203">
        <f t="shared" si="21"/>
        <v>197</v>
      </c>
      <c r="I23" s="203">
        <f t="shared" si="2"/>
        <v>4238.677419354839</v>
      </c>
      <c r="J23" s="203">
        <f t="shared" si="22"/>
        <v>197</v>
      </c>
      <c r="K23" s="203">
        <f t="shared" si="3"/>
        <v>4238.677419354839</v>
      </c>
      <c r="L23" s="203">
        <f t="shared" si="23"/>
        <v>197</v>
      </c>
      <c r="M23" s="203">
        <f t="shared" si="4"/>
        <v>4238.677419354839</v>
      </c>
      <c r="N23" s="203">
        <f t="shared" si="24"/>
        <v>197</v>
      </c>
      <c r="O23" s="203">
        <f t="shared" si="5"/>
        <v>4238.677419354839</v>
      </c>
      <c r="P23" s="203">
        <f t="shared" si="25"/>
        <v>197</v>
      </c>
      <c r="Q23" s="203">
        <f t="shared" si="6"/>
        <v>4238.677419354839</v>
      </c>
      <c r="R23" s="203">
        <f t="shared" si="26"/>
        <v>197</v>
      </c>
      <c r="S23" s="203">
        <f t="shared" si="7"/>
        <v>4238.677419354839</v>
      </c>
      <c r="T23" s="203">
        <f t="shared" si="27"/>
        <v>197</v>
      </c>
      <c r="U23" s="203">
        <f t="shared" si="8"/>
        <v>4238.677419354839</v>
      </c>
      <c r="V23" s="203">
        <f t="shared" si="28"/>
        <v>197</v>
      </c>
      <c r="W23" s="203">
        <f t="shared" si="9"/>
        <v>4238.677419354839</v>
      </c>
      <c r="X23" s="35">
        <f t="shared" si="10"/>
        <v>0.63548387096774217</v>
      </c>
      <c r="Y23" s="36">
        <f t="shared" si="29"/>
        <v>46625.451612903242</v>
      </c>
      <c r="Z23" s="203">
        <f>'B5'!C22</f>
        <v>204</v>
      </c>
      <c r="AA23" s="203">
        <f t="shared" si="30"/>
        <v>2040</v>
      </c>
      <c r="AB23" s="203">
        <f t="shared" si="31"/>
        <v>204</v>
      </c>
      <c r="AC23" s="203">
        <f t="shared" si="30"/>
        <v>2040</v>
      </c>
      <c r="AD23" s="203">
        <f t="shared" si="32"/>
        <v>204</v>
      </c>
      <c r="AE23" s="203">
        <f t="shared" si="11"/>
        <v>2040</v>
      </c>
      <c r="AF23" s="203">
        <f t="shared" si="33"/>
        <v>204</v>
      </c>
      <c r="AG23" s="203">
        <f t="shared" si="12"/>
        <v>2040</v>
      </c>
      <c r="AH23" s="203">
        <f t="shared" si="34"/>
        <v>204</v>
      </c>
      <c r="AI23" s="203">
        <f t="shared" si="13"/>
        <v>2040</v>
      </c>
      <c r="AJ23" s="203">
        <f t="shared" si="35"/>
        <v>204</v>
      </c>
      <c r="AK23" s="203">
        <f t="shared" si="14"/>
        <v>2040</v>
      </c>
      <c r="AL23" s="203">
        <f t="shared" si="36"/>
        <v>204</v>
      </c>
      <c r="AM23" s="203">
        <f t="shared" si="15"/>
        <v>2040</v>
      </c>
      <c r="AN23" s="35">
        <f t="shared" si="16"/>
        <v>0.72857142857142854</v>
      </c>
      <c r="AO23" s="36">
        <f t="shared" si="17"/>
        <v>14280</v>
      </c>
      <c r="AQ23" s="223">
        <f t="shared" si="37"/>
        <v>0.65510865454343592</v>
      </c>
      <c r="AR23" s="38">
        <f t="shared" si="42"/>
        <v>60905.451612903242</v>
      </c>
      <c r="AS23" s="197">
        <f t="shared" si="38"/>
        <v>0</v>
      </c>
      <c r="AT23" s="271"/>
      <c r="AU23" s="436"/>
      <c r="AV23" s="518">
        <f t="shared" si="43"/>
        <v>0.96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44305</v>
      </c>
      <c r="B24">
        <f>'B5'!B23</f>
        <v>197</v>
      </c>
      <c r="C24" s="203">
        <f t="shared" si="18"/>
        <v>4238.677419354839</v>
      </c>
      <c r="D24">
        <f t="shared" si="19"/>
        <v>197</v>
      </c>
      <c r="E24" s="203">
        <f t="shared" si="18"/>
        <v>4238.677419354839</v>
      </c>
      <c r="F24">
        <f t="shared" si="20"/>
        <v>197</v>
      </c>
      <c r="G24" s="203">
        <f t="shared" si="1"/>
        <v>4238.677419354839</v>
      </c>
      <c r="H24" s="203">
        <f t="shared" si="21"/>
        <v>197</v>
      </c>
      <c r="I24" s="203">
        <f t="shared" si="2"/>
        <v>4238.677419354839</v>
      </c>
      <c r="J24" s="203">
        <f t="shared" si="22"/>
        <v>197</v>
      </c>
      <c r="K24" s="203">
        <f t="shared" si="3"/>
        <v>4238.677419354839</v>
      </c>
      <c r="L24" s="203">
        <f t="shared" si="23"/>
        <v>197</v>
      </c>
      <c r="M24" s="203">
        <f t="shared" si="4"/>
        <v>4238.677419354839</v>
      </c>
      <c r="N24" s="203">
        <f t="shared" si="24"/>
        <v>197</v>
      </c>
      <c r="O24" s="203">
        <f t="shared" si="5"/>
        <v>4238.677419354839</v>
      </c>
      <c r="P24" s="203">
        <f t="shared" si="25"/>
        <v>197</v>
      </c>
      <c r="Q24" s="203">
        <f t="shared" si="6"/>
        <v>4238.677419354839</v>
      </c>
      <c r="R24" s="203">
        <f t="shared" si="26"/>
        <v>197</v>
      </c>
      <c r="S24" s="203">
        <f t="shared" si="7"/>
        <v>4238.677419354839</v>
      </c>
      <c r="T24" s="203">
        <f t="shared" si="27"/>
        <v>197</v>
      </c>
      <c r="U24" s="203">
        <f t="shared" si="8"/>
        <v>4238.677419354839</v>
      </c>
      <c r="V24" s="203">
        <f t="shared" si="28"/>
        <v>197</v>
      </c>
      <c r="W24" s="203">
        <f t="shared" si="9"/>
        <v>4238.677419354839</v>
      </c>
      <c r="X24" s="35">
        <f t="shared" si="10"/>
        <v>0.63548387096774217</v>
      </c>
      <c r="Y24" s="36">
        <f t="shared" si="29"/>
        <v>46625.451612903242</v>
      </c>
      <c r="Z24" s="203">
        <f>'B5'!C23</f>
        <v>204</v>
      </c>
      <c r="AA24" s="203">
        <f t="shared" si="30"/>
        <v>2040</v>
      </c>
      <c r="AB24" s="203">
        <f t="shared" si="31"/>
        <v>204</v>
      </c>
      <c r="AC24" s="203">
        <f t="shared" si="30"/>
        <v>2040</v>
      </c>
      <c r="AD24" s="203">
        <f t="shared" si="32"/>
        <v>204</v>
      </c>
      <c r="AE24" s="203">
        <f t="shared" si="11"/>
        <v>2040</v>
      </c>
      <c r="AF24" s="203">
        <f t="shared" si="33"/>
        <v>204</v>
      </c>
      <c r="AG24" s="203">
        <f t="shared" si="12"/>
        <v>2040</v>
      </c>
      <c r="AH24" s="203">
        <f t="shared" si="34"/>
        <v>204</v>
      </c>
      <c r="AI24" s="203">
        <f t="shared" si="13"/>
        <v>2040</v>
      </c>
      <c r="AJ24" s="203">
        <f t="shared" si="35"/>
        <v>204</v>
      </c>
      <c r="AK24" s="203">
        <f t="shared" si="14"/>
        <v>2040</v>
      </c>
      <c r="AL24" s="203">
        <f t="shared" si="36"/>
        <v>204</v>
      </c>
      <c r="AM24" s="203">
        <f t="shared" si="15"/>
        <v>2040</v>
      </c>
      <c r="AN24" s="35">
        <f t="shared" si="16"/>
        <v>0.72857142857142854</v>
      </c>
      <c r="AO24" s="36">
        <f t="shared" si="17"/>
        <v>14280</v>
      </c>
      <c r="AQ24" s="223">
        <f t="shared" si="37"/>
        <v>0.65510865454343592</v>
      </c>
      <c r="AR24" s="38">
        <f t="shared" si="42"/>
        <v>60905.451612903242</v>
      </c>
      <c r="AS24" s="197">
        <f t="shared" si="38"/>
        <v>0</v>
      </c>
      <c r="AT24" s="271"/>
      <c r="AU24" s="436"/>
      <c r="AV24" s="518">
        <f t="shared" si="43"/>
        <v>0.96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44306</v>
      </c>
      <c r="B25">
        <f>'B5'!B24</f>
        <v>197</v>
      </c>
      <c r="C25" s="203">
        <f t="shared" si="18"/>
        <v>4238.677419354839</v>
      </c>
      <c r="D25">
        <f t="shared" si="19"/>
        <v>197</v>
      </c>
      <c r="E25" s="203">
        <f t="shared" si="18"/>
        <v>4238.677419354839</v>
      </c>
      <c r="F25">
        <f t="shared" si="20"/>
        <v>197</v>
      </c>
      <c r="G25" s="203">
        <f t="shared" si="1"/>
        <v>4238.677419354839</v>
      </c>
      <c r="H25" s="203">
        <f t="shared" si="21"/>
        <v>197</v>
      </c>
      <c r="I25" s="203">
        <f t="shared" si="2"/>
        <v>4238.677419354839</v>
      </c>
      <c r="J25" s="203">
        <f t="shared" si="22"/>
        <v>197</v>
      </c>
      <c r="K25" s="203">
        <f t="shared" si="3"/>
        <v>4238.677419354839</v>
      </c>
      <c r="L25" s="203">
        <f t="shared" si="23"/>
        <v>197</v>
      </c>
      <c r="M25" s="203">
        <f t="shared" si="4"/>
        <v>4238.677419354839</v>
      </c>
      <c r="N25" s="203">
        <f t="shared" si="24"/>
        <v>197</v>
      </c>
      <c r="O25" s="203">
        <f t="shared" si="5"/>
        <v>4238.677419354839</v>
      </c>
      <c r="P25" s="203">
        <f t="shared" si="25"/>
        <v>197</v>
      </c>
      <c r="Q25" s="203">
        <f t="shared" si="6"/>
        <v>4238.677419354839</v>
      </c>
      <c r="R25" s="203">
        <f t="shared" si="26"/>
        <v>197</v>
      </c>
      <c r="S25" s="203">
        <f t="shared" si="7"/>
        <v>4238.677419354839</v>
      </c>
      <c r="T25" s="203">
        <f t="shared" si="27"/>
        <v>197</v>
      </c>
      <c r="U25" s="203">
        <f t="shared" si="8"/>
        <v>4238.677419354839</v>
      </c>
      <c r="V25" s="203">
        <f t="shared" si="28"/>
        <v>197</v>
      </c>
      <c r="W25" s="203">
        <f t="shared" si="9"/>
        <v>4238.677419354839</v>
      </c>
      <c r="X25" s="35">
        <f t="shared" si="10"/>
        <v>0.63548387096774217</v>
      </c>
      <c r="Y25" s="36">
        <f t="shared" si="29"/>
        <v>46625.451612903242</v>
      </c>
      <c r="Z25" s="203">
        <f>'B5'!C24</f>
        <v>204</v>
      </c>
      <c r="AA25" s="203">
        <f t="shared" si="30"/>
        <v>2040</v>
      </c>
      <c r="AB25" s="203">
        <f t="shared" si="31"/>
        <v>204</v>
      </c>
      <c r="AC25" s="203">
        <f t="shared" si="30"/>
        <v>2040</v>
      </c>
      <c r="AD25" s="203">
        <f t="shared" si="32"/>
        <v>204</v>
      </c>
      <c r="AE25" s="203">
        <f t="shared" si="11"/>
        <v>2040</v>
      </c>
      <c r="AF25" s="203">
        <f t="shared" si="33"/>
        <v>204</v>
      </c>
      <c r="AG25" s="203">
        <f t="shared" si="12"/>
        <v>2040</v>
      </c>
      <c r="AH25" s="203">
        <f t="shared" si="34"/>
        <v>204</v>
      </c>
      <c r="AI25" s="203">
        <f t="shared" si="13"/>
        <v>2040</v>
      </c>
      <c r="AJ25" s="203">
        <f t="shared" si="35"/>
        <v>204</v>
      </c>
      <c r="AK25" s="203">
        <f t="shared" si="14"/>
        <v>2040</v>
      </c>
      <c r="AL25" s="203">
        <f t="shared" si="36"/>
        <v>204</v>
      </c>
      <c r="AM25" s="203">
        <f t="shared" si="15"/>
        <v>2040</v>
      </c>
      <c r="AN25" s="35">
        <f t="shared" si="16"/>
        <v>0.72857142857142854</v>
      </c>
      <c r="AO25" s="36">
        <f t="shared" si="17"/>
        <v>14280</v>
      </c>
      <c r="AQ25" s="223">
        <f t="shared" si="37"/>
        <v>0.65510865454343592</v>
      </c>
      <c r="AR25" s="38">
        <f t="shared" si="42"/>
        <v>60905.451612903242</v>
      </c>
      <c r="AS25" s="197">
        <f t="shared" si="38"/>
        <v>0</v>
      </c>
      <c r="AT25" s="271"/>
      <c r="AU25" s="436"/>
      <c r="AV25" s="518">
        <f t="shared" si="43"/>
        <v>0.96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44307</v>
      </c>
      <c r="B26">
        <f>'B5'!B25</f>
        <v>197</v>
      </c>
      <c r="C26" s="203">
        <f t="shared" si="18"/>
        <v>4238.677419354839</v>
      </c>
      <c r="D26">
        <f t="shared" si="19"/>
        <v>197</v>
      </c>
      <c r="E26" s="203">
        <f t="shared" si="18"/>
        <v>4238.677419354839</v>
      </c>
      <c r="F26">
        <f t="shared" si="20"/>
        <v>197</v>
      </c>
      <c r="G26" s="203">
        <f t="shared" si="1"/>
        <v>4238.677419354839</v>
      </c>
      <c r="H26" s="203">
        <f t="shared" si="21"/>
        <v>197</v>
      </c>
      <c r="I26" s="203">
        <f t="shared" si="2"/>
        <v>4238.677419354839</v>
      </c>
      <c r="J26" s="203">
        <f t="shared" si="22"/>
        <v>197</v>
      </c>
      <c r="K26" s="203">
        <f t="shared" si="3"/>
        <v>4238.677419354839</v>
      </c>
      <c r="L26" s="203">
        <f t="shared" si="23"/>
        <v>197</v>
      </c>
      <c r="M26" s="203">
        <f t="shared" si="4"/>
        <v>4238.677419354839</v>
      </c>
      <c r="N26" s="203">
        <f t="shared" si="24"/>
        <v>197</v>
      </c>
      <c r="O26" s="203">
        <f t="shared" si="5"/>
        <v>4238.677419354839</v>
      </c>
      <c r="P26" s="203">
        <f t="shared" si="25"/>
        <v>197</v>
      </c>
      <c r="Q26" s="203">
        <f t="shared" si="6"/>
        <v>4238.677419354839</v>
      </c>
      <c r="R26" s="203">
        <f t="shared" si="26"/>
        <v>197</v>
      </c>
      <c r="S26" s="203">
        <f t="shared" si="7"/>
        <v>4238.677419354839</v>
      </c>
      <c r="T26" s="203">
        <f t="shared" si="27"/>
        <v>197</v>
      </c>
      <c r="U26" s="203">
        <f t="shared" si="8"/>
        <v>4238.677419354839</v>
      </c>
      <c r="V26" s="203">
        <f t="shared" si="28"/>
        <v>197</v>
      </c>
      <c r="W26" s="203">
        <f t="shared" si="9"/>
        <v>4238.677419354839</v>
      </c>
      <c r="X26" s="35">
        <f t="shared" si="10"/>
        <v>0.63548387096774217</v>
      </c>
      <c r="Y26" s="36">
        <f t="shared" si="29"/>
        <v>46625.451612903242</v>
      </c>
      <c r="Z26" s="203">
        <f>'B5'!C25</f>
        <v>204</v>
      </c>
      <c r="AA26" s="203">
        <f t="shared" si="30"/>
        <v>2040</v>
      </c>
      <c r="AB26" s="203">
        <f t="shared" si="31"/>
        <v>204</v>
      </c>
      <c r="AC26" s="203">
        <f t="shared" si="30"/>
        <v>2040</v>
      </c>
      <c r="AD26" s="203">
        <f t="shared" si="32"/>
        <v>204</v>
      </c>
      <c r="AE26" s="203">
        <f t="shared" si="11"/>
        <v>2040</v>
      </c>
      <c r="AF26" s="203">
        <f t="shared" si="33"/>
        <v>204</v>
      </c>
      <c r="AG26" s="203">
        <f t="shared" si="12"/>
        <v>2040</v>
      </c>
      <c r="AH26" s="203">
        <f t="shared" si="34"/>
        <v>204</v>
      </c>
      <c r="AI26" s="203">
        <f t="shared" si="13"/>
        <v>2040</v>
      </c>
      <c r="AJ26" s="203">
        <f t="shared" si="35"/>
        <v>204</v>
      </c>
      <c r="AK26" s="203">
        <f t="shared" si="14"/>
        <v>2040</v>
      </c>
      <c r="AL26" s="203">
        <f t="shared" si="36"/>
        <v>204</v>
      </c>
      <c r="AM26" s="203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3">
        <f t="shared" si="37"/>
        <v>0.65510865454343592</v>
      </c>
      <c r="AR26" s="38">
        <f t="shared" si="42"/>
        <v>60905.451612903242</v>
      </c>
      <c r="AS26" s="197">
        <f t="shared" si="38"/>
        <v>0</v>
      </c>
      <c r="AT26" s="271"/>
      <c r="AU26" s="491"/>
      <c r="AV26" s="518">
        <f t="shared" si="43"/>
        <v>0.96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44308</v>
      </c>
      <c r="B27">
        <f>'B5'!B26</f>
        <v>197</v>
      </c>
      <c r="C27" s="203">
        <f t="shared" si="18"/>
        <v>4238.677419354839</v>
      </c>
      <c r="D27">
        <f t="shared" si="19"/>
        <v>197</v>
      </c>
      <c r="E27" s="203">
        <f t="shared" si="18"/>
        <v>4238.677419354839</v>
      </c>
      <c r="F27">
        <f t="shared" si="20"/>
        <v>197</v>
      </c>
      <c r="G27" s="203">
        <f t="shared" si="1"/>
        <v>4238.677419354839</v>
      </c>
      <c r="H27" s="203">
        <f t="shared" si="21"/>
        <v>197</v>
      </c>
      <c r="I27" s="203">
        <f t="shared" si="2"/>
        <v>4238.677419354839</v>
      </c>
      <c r="J27" s="203">
        <f t="shared" si="22"/>
        <v>197</v>
      </c>
      <c r="K27" s="203">
        <f t="shared" si="3"/>
        <v>4238.677419354839</v>
      </c>
      <c r="L27" s="203">
        <f t="shared" si="23"/>
        <v>197</v>
      </c>
      <c r="M27" s="203">
        <f t="shared" si="4"/>
        <v>4238.677419354839</v>
      </c>
      <c r="N27" s="203">
        <f t="shared" si="24"/>
        <v>197</v>
      </c>
      <c r="O27" s="203">
        <f t="shared" si="5"/>
        <v>4238.677419354839</v>
      </c>
      <c r="P27" s="203">
        <f t="shared" si="25"/>
        <v>197</v>
      </c>
      <c r="Q27" s="203">
        <f t="shared" si="6"/>
        <v>4238.677419354839</v>
      </c>
      <c r="R27" s="203">
        <f t="shared" si="26"/>
        <v>197</v>
      </c>
      <c r="S27" s="203">
        <f t="shared" si="7"/>
        <v>4238.677419354839</v>
      </c>
      <c r="T27" s="203">
        <f t="shared" si="27"/>
        <v>197</v>
      </c>
      <c r="U27" s="203">
        <f t="shared" si="8"/>
        <v>4238.677419354839</v>
      </c>
      <c r="V27" s="203">
        <f t="shared" si="28"/>
        <v>197</v>
      </c>
      <c r="W27" s="203">
        <f t="shared" si="9"/>
        <v>4238.677419354839</v>
      </c>
      <c r="X27" s="35">
        <f t="shared" si="10"/>
        <v>0.63548387096774217</v>
      </c>
      <c r="Y27" s="36">
        <f t="shared" si="29"/>
        <v>46625.451612903242</v>
      </c>
      <c r="Z27" s="203">
        <f>'B5'!C26</f>
        <v>204</v>
      </c>
      <c r="AA27" s="203">
        <f t="shared" si="30"/>
        <v>2040</v>
      </c>
      <c r="AB27" s="203">
        <f t="shared" si="31"/>
        <v>204</v>
      </c>
      <c r="AC27" s="203">
        <f t="shared" si="30"/>
        <v>2040</v>
      </c>
      <c r="AD27" s="203">
        <f t="shared" si="32"/>
        <v>204</v>
      </c>
      <c r="AE27" s="203">
        <f t="shared" si="11"/>
        <v>2040</v>
      </c>
      <c r="AF27" s="203">
        <f t="shared" si="33"/>
        <v>204</v>
      </c>
      <c r="AG27" s="203">
        <f t="shared" si="12"/>
        <v>2040</v>
      </c>
      <c r="AH27" s="203">
        <f t="shared" si="34"/>
        <v>204</v>
      </c>
      <c r="AI27" s="203">
        <f t="shared" si="13"/>
        <v>2040</v>
      </c>
      <c r="AJ27" s="203">
        <f t="shared" si="35"/>
        <v>204</v>
      </c>
      <c r="AK27" s="203">
        <f t="shared" si="14"/>
        <v>2040</v>
      </c>
      <c r="AL27" s="203">
        <f t="shared" si="36"/>
        <v>204</v>
      </c>
      <c r="AM27" s="203">
        <f t="shared" si="15"/>
        <v>2040</v>
      </c>
      <c r="AN27" s="35">
        <f t="shared" si="16"/>
        <v>0.72857142857142854</v>
      </c>
      <c r="AO27" s="36">
        <f t="shared" si="17"/>
        <v>14280</v>
      </c>
      <c r="AQ27" s="223">
        <f t="shared" si="37"/>
        <v>0.65510865454343592</v>
      </c>
      <c r="AR27" s="38">
        <f t="shared" si="42"/>
        <v>60905.451612903242</v>
      </c>
      <c r="AS27" s="197">
        <f t="shared" si="38"/>
        <v>0</v>
      </c>
      <c r="AT27" s="271"/>
      <c r="AU27" s="436"/>
      <c r="AV27" s="518">
        <f t="shared" si="43"/>
        <v>0.96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44309</v>
      </c>
      <c r="B28">
        <f>'B5'!B27</f>
        <v>197</v>
      </c>
      <c r="C28" s="203">
        <f t="shared" si="18"/>
        <v>4238.677419354839</v>
      </c>
      <c r="D28">
        <f t="shared" si="19"/>
        <v>197</v>
      </c>
      <c r="E28" s="203">
        <f t="shared" si="18"/>
        <v>4238.677419354839</v>
      </c>
      <c r="F28">
        <f t="shared" si="20"/>
        <v>197</v>
      </c>
      <c r="G28" s="203">
        <f t="shared" si="1"/>
        <v>4238.677419354839</v>
      </c>
      <c r="H28" s="203">
        <f t="shared" si="21"/>
        <v>197</v>
      </c>
      <c r="I28" s="203">
        <f t="shared" si="2"/>
        <v>4238.677419354839</v>
      </c>
      <c r="J28" s="203">
        <f t="shared" si="22"/>
        <v>197</v>
      </c>
      <c r="K28" s="203">
        <f t="shared" si="3"/>
        <v>4238.677419354839</v>
      </c>
      <c r="L28" s="203">
        <f t="shared" si="23"/>
        <v>197</v>
      </c>
      <c r="M28" s="203">
        <f t="shared" si="4"/>
        <v>4238.677419354839</v>
      </c>
      <c r="N28" s="203">
        <f t="shared" si="24"/>
        <v>197</v>
      </c>
      <c r="O28" s="203">
        <f t="shared" si="5"/>
        <v>4238.677419354839</v>
      </c>
      <c r="P28" s="203">
        <f t="shared" si="25"/>
        <v>197</v>
      </c>
      <c r="Q28" s="203">
        <f t="shared" si="6"/>
        <v>4238.677419354839</v>
      </c>
      <c r="R28" s="203">
        <f t="shared" si="26"/>
        <v>197</v>
      </c>
      <c r="S28" s="203">
        <f t="shared" si="7"/>
        <v>4238.677419354839</v>
      </c>
      <c r="T28" s="203">
        <f t="shared" si="27"/>
        <v>197</v>
      </c>
      <c r="U28" s="203">
        <f t="shared" si="8"/>
        <v>4238.677419354839</v>
      </c>
      <c r="V28" s="203">
        <f t="shared" si="28"/>
        <v>197</v>
      </c>
      <c r="W28" s="203">
        <f t="shared" si="9"/>
        <v>4238.677419354839</v>
      </c>
      <c r="X28" s="35">
        <f t="shared" si="10"/>
        <v>0.63548387096774217</v>
      </c>
      <c r="Y28" s="36">
        <f t="shared" si="29"/>
        <v>46625.451612903242</v>
      </c>
      <c r="Z28" s="203">
        <f>'B5'!C27</f>
        <v>204</v>
      </c>
      <c r="AA28" s="203">
        <f t="shared" si="30"/>
        <v>2040</v>
      </c>
      <c r="AB28" s="203">
        <f t="shared" si="31"/>
        <v>204</v>
      </c>
      <c r="AC28" s="203">
        <f t="shared" si="30"/>
        <v>2040</v>
      </c>
      <c r="AD28" s="203">
        <f t="shared" si="32"/>
        <v>204</v>
      </c>
      <c r="AE28" s="203">
        <f t="shared" si="11"/>
        <v>2040</v>
      </c>
      <c r="AF28" s="203">
        <f t="shared" si="33"/>
        <v>204</v>
      </c>
      <c r="AG28" s="203">
        <f t="shared" si="12"/>
        <v>2040</v>
      </c>
      <c r="AH28" s="203">
        <f t="shared" si="34"/>
        <v>204</v>
      </c>
      <c r="AI28" s="203">
        <f t="shared" si="13"/>
        <v>2040</v>
      </c>
      <c r="AJ28" s="203">
        <f t="shared" si="35"/>
        <v>204</v>
      </c>
      <c r="AK28" s="203">
        <f t="shared" si="14"/>
        <v>2040</v>
      </c>
      <c r="AL28" s="203">
        <f t="shared" si="36"/>
        <v>204</v>
      </c>
      <c r="AM28" s="203">
        <f t="shared" si="15"/>
        <v>2040</v>
      </c>
      <c r="AN28" s="35">
        <f t="shared" si="16"/>
        <v>0.72857142857142854</v>
      </c>
      <c r="AO28" s="36">
        <f t="shared" si="17"/>
        <v>14280</v>
      </c>
      <c r="AQ28" s="223">
        <f t="shared" si="37"/>
        <v>0.65510865454343592</v>
      </c>
      <c r="AR28" s="38">
        <f t="shared" si="42"/>
        <v>60905.451612903242</v>
      </c>
      <c r="AS28" s="197">
        <f t="shared" si="38"/>
        <v>0</v>
      </c>
      <c r="AT28" s="355"/>
      <c r="AU28" s="436"/>
      <c r="AV28" s="518">
        <f t="shared" si="43"/>
        <v>0.96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44310</v>
      </c>
      <c r="B29">
        <f>'B5'!B28</f>
        <v>197</v>
      </c>
      <c r="C29" s="203">
        <f t="shared" si="18"/>
        <v>4238.677419354839</v>
      </c>
      <c r="D29">
        <f t="shared" si="19"/>
        <v>197</v>
      </c>
      <c r="E29" s="203">
        <f t="shared" si="18"/>
        <v>4238.677419354839</v>
      </c>
      <c r="F29">
        <f t="shared" si="20"/>
        <v>197</v>
      </c>
      <c r="G29" s="203">
        <f t="shared" si="1"/>
        <v>4238.677419354839</v>
      </c>
      <c r="H29" s="203">
        <f t="shared" si="21"/>
        <v>197</v>
      </c>
      <c r="I29" s="203">
        <f t="shared" si="2"/>
        <v>4238.677419354839</v>
      </c>
      <c r="J29" s="203">
        <f t="shared" si="22"/>
        <v>197</v>
      </c>
      <c r="K29" s="203">
        <f t="shared" si="3"/>
        <v>4238.677419354839</v>
      </c>
      <c r="L29" s="203">
        <f t="shared" si="23"/>
        <v>197</v>
      </c>
      <c r="M29" s="203">
        <f t="shared" si="4"/>
        <v>4238.677419354839</v>
      </c>
      <c r="N29" s="203">
        <f t="shared" si="24"/>
        <v>197</v>
      </c>
      <c r="O29" s="203">
        <f t="shared" si="5"/>
        <v>4238.677419354839</v>
      </c>
      <c r="P29" s="203">
        <f t="shared" si="25"/>
        <v>197</v>
      </c>
      <c r="Q29" s="203">
        <f t="shared" si="6"/>
        <v>4238.677419354839</v>
      </c>
      <c r="R29" s="203">
        <f t="shared" si="26"/>
        <v>197</v>
      </c>
      <c r="S29" s="203">
        <f t="shared" si="7"/>
        <v>4238.677419354839</v>
      </c>
      <c r="T29" s="203">
        <f t="shared" si="27"/>
        <v>197</v>
      </c>
      <c r="U29" s="203">
        <f t="shared" si="8"/>
        <v>4238.677419354839</v>
      </c>
      <c r="V29" s="203">
        <f t="shared" si="28"/>
        <v>197</v>
      </c>
      <c r="W29" s="203">
        <f t="shared" si="9"/>
        <v>4238.677419354839</v>
      </c>
      <c r="X29" s="35">
        <f t="shared" si="10"/>
        <v>0.63548387096774217</v>
      </c>
      <c r="Y29" s="36">
        <f t="shared" si="29"/>
        <v>46625.451612903242</v>
      </c>
      <c r="Z29" s="203">
        <f>'B5'!C28</f>
        <v>204</v>
      </c>
      <c r="AA29" s="203">
        <f t="shared" si="30"/>
        <v>2040</v>
      </c>
      <c r="AB29" s="203">
        <f t="shared" si="31"/>
        <v>204</v>
      </c>
      <c r="AC29" s="203">
        <f t="shared" si="30"/>
        <v>2040</v>
      </c>
      <c r="AD29" s="203">
        <f t="shared" si="32"/>
        <v>204</v>
      </c>
      <c r="AE29" s="203">
        <f t="shared" si="11"/>
        <v>2040</v>
      </c>
      <c r="AF29" s="203">
        <f t="shared" si="33"/>
        <v>204</v>
      </c>
      <c r="AG29" s="203">
        <f t="shared" si="12"/>
        <v>2040</v>
      </c>
      <c r="AH29" s="203">
        <f t="shared" si="34"/>
        <v>204</v>
      </c>
      <c r="AI29" s="203">
        <f t="shared" si="13"/>
        <v>2040</v>
      </c>
      <c r="AJ29" s="203">
        <f t="shared" si="35"/>
        <v>204</v>
      </c>
      <c r="AK29" s="203">
        <f t="shared" si="14"/>
        <v>2040</v>
      </c>
      <c r="AL29" s="203">
        <f t="shared" si="36"/>
        <v>204</v>
      </c>
      <c r="AM29" s="203">
        <f t="shared" si="15"/>
        <v>2040</v>
      </c>
      <c r="AN29" s="35">
        <f t="shared" si="16"/>
        <v>0.72857142857142854</v>
      </c>
      <c r="AO29" s="36">
        <f t="shared" si="17"/>
        <v>14280</v>
      </c>
      <c r="AQ29" s="223">
        <f t="shared" si="37"/>
        <v>0.65510865454343592</v>
      </c>
      <c r="AR29" s="38">
        <f t="shared" si="42"/>
        <v>60905.451612903242</v>
      </c>
      <c r="AS29" s="197">
        <f t="shared" si="38"/>
        <v>0</v>
      </c>
      <c r="AT29" s="355"/>
      <c r="AU29" s="436"/>
      <c r="AV29" s="518">
        <f t="shared" si="43"/>
        <v>0.96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44311</v>
      </c>
      <c r="B30">
        <f>'B5'!B29</f>
        <v>197</v>
      </c>
      <c r="C30" s="203">
        <f t="shared" si="18"/>
        <v>4238.677419354839</v>
      </c>
      <c r="D30">
        <f t="shared" ref="D30:D33" si="45">SUM(B30)</f>
        <v>197</v>
      </c>
      <c r="E30" s="203">
        <f t="shared" si="18"/>
        <v>4238.677419354839</v>
      </c>
      <c r="F30">
        <f t="shared" ref="F30:F33" si="46">SUM(D30)</f>
        <v>197</v>
      </c>
      <c r="G30" s="203">
        <f t="shared" si="1"/>
        <v>4238.677419354839</v>
      </c>
      <c r="H30" s="203">
        <f t="shared" ref="H30:H33" si="47">SUM(F30)</f>
        <v>197</v>
      </c>
      <c r="I30" s="203">
        <f t="shared" si="2"/>
        <v>4238.677419354839</v>
      </c>
      <c r="J30" s="203">
        <f t="shared" ref="J30:J33" si="48">SUM(H30)</f>
        <v>197</v>
      </c>
      <c r="K30" s="203">
        <f t="shared" si="3"/>
        <v>4238.677419354839</v>
      </c>
      <c r="L30" s="203">
        <f t="shared" ref="L30:L33" si="49">SUM(J30)</f>
        <v>197</v>
      </c>
      <c r="M30" s="203">
        <f t="shared" si="4"/>
        <v>4238.677419354839</v>
      </c>
      <c r="N30" s="203">
        <f t="shared" ref="N30:N33" si="50">SUM(L30)</f>
        <v>197</v>
      </c>
      <c r="O30" s="203">
        <f t="shared" si="5"/>
        <v>4238.677419354839</v>
      </c>
      <c r="P30" s="203">
        <f t="shared" ref="P30:P33" si="51">SUM(N30)</f>
        <v>197</v>
      </c>
      <c r="Q30" s="203">
        <f t="shared" si="6"/>
        <v>4238.677419354839</v>
      </c>
      <c r="R30" s="203">
        <f t="shared" ref="R30:R33" si="52">SUM(P30)</f>
        <v>197</v>
      </c>
      <c r="S30" s="203">
        <f t="shared" si="7"/>
        <v>4238.677419354839</v>
      </c>
      <c r="T30" s="203">
        <f t="shared" ref="T30:T33" si="53">SUM(R30)</f>
        <v>197</v>
      </c>
      <c r="U30" s="203">
        <f t="shared" si="8"/>
        <v>4238.677419354839</v>
      </c>
      <c r="V30" s="203">
        <f t="shared" ref="V30:V33" si="54">SUM(T30)</f>
        <v>197</v>
      </c>
      <c r="W30" s="203">
        <f t="shared" si="9"/>
        <v>4238.677419354839</v>
      </c>
      <c r="X30" s="35">
        <f t="shared" ref="X30:X33" si="55">SUM(Y30/73370)</f>
        <v>0.63548387096774217</v>
      </c>
      <c r="Y30" s="36">
        <f t="shared" ref="Y30:Y33" si="56">SUM(C30+E30+G30+I30+K30+M30+O30+Q30+S30+U30+W30)</f>
        <v>46625.451612903242</v>
      </c>
      <c r="Z30" s="203">
        <f>'B5'!C29</f>
        <v>204</v>
      </c>
      <c r="AA30" s="203">
        <f t="shared" si="30"/>
        <v>2040</v>
      </c>
      <c r="AB30" s="203">
        <f t="shared" ref="AB30:AB33" si="57">SUM(Z30)</f>
        <v>204</v>
      </c>
      <c r="AC30" s="203">
        <f t="shared" si="30"/>
        <v>2040</v>
      </c>
      <c r="AD30" s="203">
        <f t="shared" ref="AD30:AD33" si="58">SUM(AB30)</f>
        <v>204</v>
      </c>
      <c r="AE30" s="203">
        <f t="shared" si="11"/>
        <v>2040</v>
      </c>
      <c r="AF30" s="203">
        <f t="shared" ref="AF30:AF33" si="59">SUM(AD30)</f>
        <v>204</v>
      </c>
      <c r="AG30" s="203">
        <f t="shared" si="12"/>
        <v>2040</v>
      </c>
      <c r="AH30" s="203">
        <f t="shared" ref="AH30:AH33" si="60">SUM(AF30)</f>
        <v>204</v>
      </c>
      <c r="AI30" s="203">
        <f t="shared" si="13"/>
        <v>2040</v>
      </c>
      <c r="AJ30" s="203">
        <f t="shared" ref="AJ30:AJ33" si="61">SUM(AH30)</f>
        <v>204</v>
      </c>
      <c r="AK30" s="203">
        <f t="shared" si="14"/>
        <v>2040</v>
      </c>
      <c r="AL30" s="203">
        <f t="shared" ref="AL30:AL33" si="62">SUM(AJ30)</f>
        <v>204</v>
      </c>
      <c r="AM30" s="203">
        <f t="shared" si="15"/>
        <v>2040</v>
      </c>
      <c r="AN30" s="35">
        <f t="shared" ref="AN30:AN33" si="63">SUM(AO30/19600)</f>
        <v>0.72857142857142854</v>
      </c>
      <c r="AO30" s="36">
        <f t="shared" ref="AO30:AO33" si="64">SUM(AA30+AC30+AE30+AG30+AI30+AK30+AM30)</f>
        <v>14280</v>
      </c>
      <c r="AQ30" s="223">
        <f t="shared" si="37"/>
        <v>0.65510865454343592</v>
      </c>
      <c r="AR30" s="38">
        <f t="shared" si="42"/>
        <v>60905.451612903242</v>
      </c>
      <c r="AS30" s="197">
        <f t="shared" si="38"/>
        <v>0</v>
      </c>
      <c r="AT30" s="355"/>
      <c r="AU30" s="436"/>
      <c r="AV30" s="518">
        <f t="shared" si="43"/>
        <v>0.96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44312</v>
      </c>
      <c r="B31">
        <f>'B5'!B30</f>
        <v>197</v>
      </c>
      <c r="C31" s="203">
        <f t="shared" si="18"/>
        <v>4238.677419354839</v>
      </c>
      <c r="D31">
        <f t="shared" si="45"/>
        <v>197</v>
      </c>
      <c r="E31" s="203">
        <f t="shared" si="18"/>
        <v>4238.677419354839</v>
      </c>
      <c r="F31">
        <f t="shared" si="46"/>
        <v>197</v>
      </c>
      <c r="G31" s="203">
        <f t="shared" si="1"/>
        <v>4238.677419354839</v>
      </c>
      <c r="H31" s="203">
        <f t="shared" si="47"/>
        <v>197</v>
      </c>
      <c r="I31" s="203">
        <f t="shared" si="2"/>
        <v>4238.677419354839</v>
      </c>
      <c r="J31" s="203">
        <f t="shared" si="48"/>
        <v>197</v>
      </c>
      <c r="K31" s="203">
        <f t="shared" si="3"/>
        <v>4238.677419354839</v>
      </c>
      <c r="L31" s="203">
        <f t="shared" si="49"/>
        <v>197</v>
      </c>
      <c r="M31" s="203">
        <f t="shared" si="4"/>
        <v>4238.677419354839</v>
      </c>
      <c r="N31" s="203">
        <f t="shared" si="50"/>
        <v>197</v>
      </c>
      <c r="O31" s="203">
        <f t="shared" si="5"/>
        <v>4238.677419354839</v>
      </c>
      <c r="P31" s="203">
        <f t="shared" si="51"/>
        <v>197</v>
      </c>
      <c r="Q31" s="203">
        <f t="shared" si="6"/>
        <v>4238.677419354839</v>
      </c>
      <c r="R31" s="203">
        <f t="shared" si="52"/>
        <v>197</v>
      </c>
      <c r="S31" s="203">
        <f t="shared" si="7"/>
        <v>4238.677419354839</v>
      </c>
      <c r="T31" s="203">
        <f t="shared" si="53"/>
        <v>197</v>
      </c>
      <c r="U31" s="203">
        <f t="shared" si="8"/>
        <v>4238.677419354839</v>
      </c>
      <c r="V31" s="203">
        <f t="shared" si="54"/>
        <v>197</v>
      </c>
      <c r="W31" s="203">
        <f t="shared" si="9"/>
        <v>4238.677419354839</v>
      </c>
      <c r="X31" s="35">
        <f t="shared" si="55"/>
        <v>0.63548387096774217</v>
      </c>
      <c r="Y31" s="36">
        <f t="shared" si="56"/>
        <v>46625.451612903242</v>
      </c>
      <c r="Z31" s="203">
        <f>'B5'!C30</f>
        <v>204</v>
      </c>
      <c r="AA31" s="203">
        <f t="shared" si="30"/>
        <v>2040</v>
      </c>
      <c r="AB31" s="203">
        <f t="shared" si="57"/>
        <v>204</v>
      </c>
      <c r="AC31" s="203">
        <f t="shared" si="30"/>
        <v>2040</v>
      </c>
      <c r="AD31" s="203">
        <f t="shared" si="58"/>
        <v>204</v>
      </c>
      <c r="AE31" s="203">
        <f t="shared" si="11"/>
        <v>2040</v>
      </c>
      <c r="AF31" s="203">
        <f t="shared" si="59"/>
        <v>204</v>
      </c>
      <c r="AG31" s="203">
        <f t="shared" si="12"/>
        <v>2040</v>
      </c>
      <c r="AH31" s="203">
        <f t="shared" si="60"/>
        <v>204</v>
      </c>
      <c r="AI31" s="203">
        <f t="shared" si="13"/>
        <v>2040</v>
      </c>
      <c r="AJ31" s="203">
        <f t="shared" si="61"/>
        <v>204</v>
      </c>
      <c r="AK31" s="203">
        <f t="shared" si="14"/>
        <v>2040</v>
      </c>
      <c r="AL31" s="203">
        <f t="shared" si="62"/>
        <v>204</v>
      </c>
      <c r="AM31" s="203">
        <f t="shared" si="15"/>
        <v>2040</v>
      </c>
      <c r="AN31" s="35">
        <f t="shared" si="63"/>
        <v>0.72857142857142854</v>
      </c>
      <c r="AO31" s="36">
        <f t="shared" si="64"/>
        <v>14280</v>
      </c>
      <c r="AQ31" s="223">
        <f t="shared" si="37"/>
        <v>0.65510865454343592</v>
      </c>
      <c r="AR31" s="38">
        <f t="shared" si="42"/>
        <v>60905.451612903242</v>
      </c>
      <c r="AS31" s="197">
        <f>SUM(AR31-AR30-AT31)</f>
        <v>0</v>
      </c>
      <c r="AT31" s="355"/>
      <c r="AU31" s="436"/>
      <c r="AV31" s="518">
        <f t="shared" si="43"/>
        <v>0.96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44313</v>
      </c>
      <c r="B32">
        <f>'B5'!B31</f>
        <v>197</v>
      </c>
      <c r="C32" s="203">
        <f t="shared" si="18"/>
        <v>4238.677419354839</v>
      </c>
      <c r="D32">
        <f t="shared" si="45"/>
        <v>197</v>
      </c>
      <c r="E32" s="203">
        <f t="shared" si="18"/>
        <v>4238.677419354839</v>
      </c>
      <c r="F32">
        <f t="shared" si="46"/>
        <v>197</v>
      </c>
      <c r="G32" s="203">
        <f t="shared" si="1"/>
        <v>4238.677419354839</v>
      </c>
      <c r="H32" s="203">
        <f t="shared" si="47"/>
        <v>197</v>
      </c>
      <c r="I32" s="203">
        <f t="shared" si="2"/>
        <v>4238.677419354839</v>
      </c>
      <c r="J32" s="203">
        <f t="shared" si="48"/>
        <v>197</v>
      </c>
      <c r="K32" s="203">
        <f t="shared" si="3"/>
        <v>4238.677419354839</v>
      </c>
      <c r="L32" s="203">
        <f t="shared" si="49"/>
        <v>197</v>
      </c>
      <c r="M32" s="203">
        <f t="shared" si="4"/>
        <v>4238.677419354839</v>
      </c>
      <c r="N32" s="203">
        <f t="shared" si="50"/>
        <v>197</v>
      </c>
      <c r="O32" s="203">
        <f t="shared" si="5"/>
        <v>4238.677419354839</v>
      </c>
      <c r="P32" s="203">
        <f t="shared" si="51"/>
        <v>197</v>
      </c>
      <c r="Q32" s="203">
        <f t="shared" si="6"/>
        <v>4238.677419354839</v>
      </c>
      <c r="R32" s="203">
        <f t="shared" si="52"/>
        <v>197</v>
      </c>
      <c r="S32" s="203">
        <f t="shared" si="7"/>
        <v>4238.677419354839</v>
      </c>
      <c r="T32" s="203">
        <f t="shared" si="53"/>
        <v>197</v>
      </c>
      <c r="U32" s="203">
        <f t="shared" si="8"/>
        <v>4238.677419354839</v>
      </c>
      <c r="V32" s="203">
        <f t="shared" si="54"/>
        <v>197</v>
      </c>
      <c r="W32" s="203">
        <f t="shared" si="9"/>
        <v>4238.677419354839</v>
      </c>
      <c r="X32" s="35">
        <f t="shared" si="55"/>
        <v>0.63548387096774217</v>
      </c>
      <c r="Y32" s="36">
        <f t="shared" si="56"/>
        <v>46625.451612903242</v>
      </c>
      <c r="Z32" s="203">
        <f>'B5'!C31</f>
        <v>204</v>
      </c>
      <c r="AA32" s="203">
        <f t="shared" si="30"/>
        <v>2040</v>
      </c>
      <c r="AB32" s="203">
        <f t="shared" si="57"/>
        <v>204</v>
      </c>
      <c r="AC32" s="203">
        <f t="shared" si="30"/>
        <v>2040</v>
      </c>
      <c r="AD32" s="203">
        <f t="shared" si="58"/>
        <v>204</v>
      </c>
      <c r="AE32" s="203">
        <f t="shared" si="11"/>
        <v>2040</v>
      </c>
      <c r="AF32" s="203">
        <f t="shared" si="59"/>
        <v>204</v>
      </c>
      <c r="AG32" s="203">
        <f t="shared" si="12"/>
        <v>2040</v>
      </c>
      <c r="AH32" s="203">
        <f t="shared" si="60"/>
        <v>204</v>
      </c>
      <c r="AI32" s="203">
        <f t="shared" si="13"/>
        <v>2040</v>
      </c>
      <c r="AJ32" s="203">
        <f t="shared" si="61"/>
        <v>204</v>
      </c>
      <c r="AK32" s="203">
        <f t="shared" si="14"/>
        <v>2040</v>
      </c>
      <c r="AL32" s="203">
        <f t="shared" si="62"/>
        <v>204</v>
      </c>
      <c r="AM32" s="203">
        <f t="shared" si="15"/>
        <v>2040</v>
      </c>
      <c r="AN32" s="35">
        <f t="shared" si="63"/>
        <v>0.72857142857142854</v>
      </c>
      <c r="AO32" s="36">
        <f t="shared" si="64"/>
        <v>14280</v>
      </c>
      <c r="AQ32" s="223">
        <f t="shared" si="37"/>
        <v>0.65510865454343592</v>
      </c>
      <c r="AR32" s="38">
        <f t="shared" si="42"/>
        <v>60905.451612903242</v>
      </c>
      <c r="AS32" s="197">
        <f t="shared" si="38"/>
        <v>0</v>
      </c>
      <c r="AT32" s="355"/>
      <c r="AU32" s="436"/>
      <c r="AV32" s="518">
        <f>IF(AT32&gt;0,AU32,AV31)</f>
        <v>0.96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44314</v>
      </c>
      <c r="B33">
        <f>'B5'!B32</f>
        <v>197</v>
      </c>
      <c r="C33" s="203">
        <f t="shared" si="18"/>
        <v>4238.677419354839</v>
      </c>
      <c r="D33">
        <f t="shared" si="45"/>
        <v>197</v>
      </c>
      <c r="E33" s="203">
        <f t="shared" si="18"/>
        <v>4238.677419354839</v>
      </c>
      <c r="F33">
        <f t="shared" si="46"/>
        <v>197</v>
      </c>
      <c r="G33" s="203">
        <f t="shared" si="1"/>
        <v>4238.677419354839</v>
      </c>
      <c r="H33" s="203">
        <f t="shared" si="47"/>
        <v>197</v>
      </c>
      <c r="I33" s="203">
        <f t="shared" si="2"/>
        <v>4238.677419354839</v>
      </c>
      <c r="J33" s="203">
        <f t="shared" si="48"/>
        <v>197</v>
      </c>
      <c r="K33" s="203">
        <f t="shared" si="3"/>
        <v>4238.677419354839</v>
      </c>
      <c r="L33" s="203">
        <f t="shared" si="49"/>
        <v>197</v>
      </c>
      <c r="M33" s="203">
        <f t="shared" si="4"/>
        <v>4238.677419354839</v>
      </c>
      <c r="N33" s="203">
        <f t="shared" si="50"/>
        <v>197</v>
      </c>
      <c r="O33" s="203">
        <f t="shared" si="5"/>
        <v>4238.677419354839</v>
      </c>
      <c r="P33" s="203">
        <f t="shared" si="51"/>
        <v>197</v>
      </c>
      <c r="Q33" s="203">
        <f t="shared" si="6"/>
        <v>4238.677419354839</v>
      </c>
      <c r="R33" s="203">
        <f t="shared" si="52"/>
        <v>197</v>
      </c>
      <c r="S33" s="203">
        <f t="shared" si="7"/>
        <v>4238.677419354839</v>
      </c>
      <c r="T33" s="203">
        <f t="shared" si="53"/>
        <v>197</v>
      </c>
      <c r="U33" s="203">
        <f t="shared" si="8"/>
        <v>4238.677419354839</v>
      </c>
      <c r="V33" s="203">
        <f t="shared" si="54"/>
        <v>197</v>
      </c>
      <c r="W33" s="203">
        <f t="shared" si="9"/>
        <v>4238.677419354839</v>
      </c>
      <c r="X33" s="35">
        <f t="shared" si="55"/>
        <v>0.63548387096774217</v>
      </c>
      <c r="Y33" s="36">
        <f t="shared" si="56"/>
        <v>46625.451612903242</v>
      </c>
      <c r="Z33" s="203">
        <f>'B5'!C32</f>
        <v>204</v>
      </c>
      <c r="AA33" s="203">
        <f t="shared" si="30"/>
        <v>2040</v>
      </c>
      <c r="AB33" s="203">
        <f t="shared" si="57"/>
        <v>204</v>
      </c>
      <c r="AC33" s="203">
        <f t="shared" si="30"/>
        <v>2040</v>
      </c>
      <c r="AD33" s="203">
        <f t="shared" si="58"/>
        <v>204</v>
      </c>
      <c r="AE33" s="203">
        <f t="shared" si="11"/>
        <v>2040</v>
      </c>
      <c r="AF33" s="203">
        <f t="shared" si="59"/>
        <v>204</v>
      </c>
      <c r="AG33" s="203">
        <f t="shared" si="12"/>
        <v>2040</v>
      </c>
      <c r="AH33" s="203">
        <f t="shared" si="60"/>
        <v>204</v>
      </c>
      <c r="AI33" s="203">
        <f t="shared" si="13"/>
        <v>2040</v>
      </c>
      <c r="AJ33" s="203">
        <f t="shared" si="61"/>
        <v>204</v>
      </c>
      <c r="AK33" s="203">
        <f t="shared" si="14"/>
        <v>2040</v>
      </c>
      <c r="AL33" s="203">
        <f t="shared" si="62"/>
        <v>204</v>
      </c>
      <c r="AM33" s="203">
        <f t="shared" si="15"/>
        <v>2040</v>
      </c>
      <c r="AN33" s="35">
        <f t="shared" si="63"/>
        <v>0.72857142857142854</v>
      </c>
      <c r="AO33" s="36">
        <f t="shared" si="64"/>
        <v>14280</v>
      </c>
      <c r="AQ33" s="223">
        <f t="shared" si="37"/>
        <v>0.65510865454343592</v>
      </c>
      <c r="AR33" s="38">
        <f t="shared" si="42"/>
        <v>60905.451612903242</v>
      </c>
      <c r="AS33" s="197">
        <f t="shared" si="38"/>
        <v>0</v>
      </c>
      <c r="AT33" s="355"/>
      <c r="AU33" s="436"/>
      <c r="AV33" s="518">
        <f>IF(AT33&gt;0,AU33,AV32)</f>
        <v>0.96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44315</v>
      </c>
      <c r="B34">
        <f>'B5'!B33</f>
        <v>197</v>
      </c>
      <c r="C34" s="203">
        <f t="shared" ref="C34:C35" si="65">B34*$B$4</f>
        <v>4238.677419354839</v>
      </c>
      <c r="D34">
        <f t="shared" ref="D34:D35" si="66">SUM(B34)</f>
        <v>197</v>
      </c>
      <c r="E34" s="203">
        <f t="shared" ref="E34:E35" si="67">D34*$B$4</f>
        <v>4238.677419354839</v>
      </c>
      <c r="F34">
        <f t="shared" ref="F34:F35" si="68">SUM(D34)</f>
        <v>197</v>
      </c>
      <c r="G34" s="203">
        <f t="shared" ref="G34:G35" si="69">F34*$B$4</f>
        <v>4238.677419354839</v>
      </c>
      <c r="H34" s="203">
        <f t="shared" ref="H34:H35" si="70">SUM(F34)</f>
        <v>197</v>
      </c>
      <c r="I34" s="203">
        <f t="shared" ref="I34:I35" si="71">H34*$B$4</f>
        <v>4238.677419354839</v>
      </c>
      <c r="J34" s="203">
        <f t="shared" ref="J34:J35" si="72">SUM(H34)</f>
        <v>197</v>
      </c>
      <c r="K34" s="203">
        <f t="shared" ref="K34:K35" si="73">J34*$B$4</f>
        <v>4238.677419354839</v>
      </c>
      <c r="L34" s="203">
        <f t="shared" ref="L34:L35" si="74">SUM(J34)</f>
        <v>197</v>
      </c>
      <c r="M34" s="203">
        <f t="shared" ref="M34:M35" si="75">L34*$B$4</f>
        <v>4238.677419354839</v>
      </c>
      <c r="N34" s="203">
        <f t="shared" ref="N34:N35" si="76">SUM(L34)</f>
        <v>197</v>
      </c>
      <c r="O34" s="203">
        <f t="shared" ref="O34:O35" si="77">N34*$B$4</f>
        <v>4238.677419354839</v>
      </c>
      <c r="P34" s="203">
        <f t="shared" ref="P34:P35" si="78">SUM(N34)</f>
        <v>197</v>
      </c>
      <c r="Q34" s="203">
        <f t="shared" ref="Q34:Q35" si="79">P34*$B$4</f>
        <v>4238.677419354839</v>
      </c>
      <c r="R34" s="203">
        <f t="shared" ref="R34:R35" si="80">SUM(P34)</f>
        <v>197</v>
      </c>
      <c r="S34" s="203">
        <f t="shared" ref="S34:S35" si="81">R34*$B$4</f>
        <v>4238.677419354839</v>
      </c>
      <c r="T34" s="203">
        <f t="shared" ref="T34:T35" si="82">SUM(R34)</f>
        <v>197</v>
      </c>
      <c r="U34" s="203">
        <f t="shared" ref="U34:U35" si="83">T34*$B$4</f>
        <v>4238.677419354839</v>
      </c>
      <c r="V34" s="203">
        <f t="shared" ref="V34:V35" si="84">SUM(T34)</f>
        <v>197</v>
      </c>
      <c r="W34" s="203">
        <f t="shared" ref="W34:W35" si="85">V34*$B$4</f>
        <v>4238.677419354839</v>
      </c>
      <c r="X34" s="35">
        <f t="shared" ref="X34:X35" si="86">SUM(Y34/73370)</f>
        <v>0.63548387096774217</v>
      </c>
      <c r="Y34" s="36">
        <f t="shared" ref="Y34:Y35" si="87">SUM(C34+E34+G34+I34+K34+M34+O34+Q34+S34+U34+W34)</f>
        <v>46625.451612903242</v>
      </c>
      <c r="Z34" s="203">
        <f>'B5'!C33</f>
        <v>204</v>
      </c>
      <c r="AA34" s="203">
        <f t="shared" ref="AA34:AA35" si="88">SUM(Z34*$Z$4)</f>
        <v>2040</v>
      </c>
      <c r="AB34" s="203">
        <f t="shared" ref="AB34:AB35" si="89">SUM(Z34)</f>
        <v>204</v>
      </c>
      <c r="AC34" s="203">
        <f t="shared" ref="AC34:AC35" si="90">SUM(AB34*$Z$4)</f>
        <v>2040</v>
      </c>
      <c r="AD34" s="203">
        <f t="shared" ref="AD34:AD35" si="91">SUM(AB34)</f>
        <v>204</v>
      </c>
      <c r="AE34" s="203">
        <f t="shared" ref="AE34:AE35" si="92">SUM(AD34*$Z$4)</f>
        <v>2040</v>
      </c>
      <c r="AF34" s="203">
        <f t="shared" ref="AF34:AF35" si="93">SUM(AD34)</f>
        <v>204</v>
      </c>
      <c r="AG34" s="203">
        <f t="shared" ref="AG34:AG35" si="94">SUM(AF34*$Z$4)</f>
        <v>2040</v>
      </c>
      <c r="AH34" s="203">
        <f t="shared" ref="AH34:AH35" si="95">SUM(AF34)</f>
        <v>204</v>
      </c>
      <c r="AI34" s="203">
        <f t="shared" ref="AI34:AI35" si="96">SUM(AH34*$Z$4)</f>
        <v>2040</v>
      </c>
      <c r="AJ34" s="203">
        <f t="shared" ref="AJ34:AJ35" si="97">SUM(AH34)</f>
        <v>204</v>
      </c>
      <c r="AK34" s="203">
        <f t="shared" ref="AK34:AK35" si="98">SUM(AJ34*$Z$4)</f>
        <v>2040</v>
      </c>
      <c r="AL34" s="203">
        <f t="shared" ref="AL34:AL35" si="99">SUM(AJ34)</f>
        <v>204</v>
      </c>
      <c r="AM34" s="203">
        <f t="shared" ref="AM34:AM35" si="100">SUM(AL34*$Z$4)</f>
        <v>2040</v>
      </c>
      <c r="AN34" s="35">
        <f t="shared" ref="AN34:AN35" si="101">SUM(AO34/19600)</f>
        <v>0.72857142857142854</v>
      </c>
      <c r="AO34" s="36">
        <f t="shared" ref="AO34:AO35" si="102">SUM(AA34+AC34+AE34+AG34+AI34+AK34+AM34)</f>
        <v>14280</v>
      </c>
      <c r="AQ34" s="223">
        <f t="shared" ref="AQ34:AQ35" si="103">SUM(AR34/92970)</f>
        <v>0.65510865454343592</v>
      </c>
      <c r="AR34" s="38">
        <f t="shared" si="42"/>
        <v>60905.451612903242</v>
      </c>
      <c r="AS34" s="197">
        <f t="shared" ref="AS34:AS35" si="104">SUM(AR34-AR33-AT34)</f>
        <v>0</v>
      </c>
      <c r="AT34" s="355"/>
      <c r="AU34" s="436"/>
      <c r="AV34" s="518">
        <f t="shared" ref="AV34:AV35" si="105">IF(AT34&gt;0,AU34,AV33)</f>
        <v>0.96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44316</v>
      </c>
      <c r="B35">
        <f>'B5'!B34</f>
        <v>197</v>
      </c>
      <c r="C35" s="203">
        <f t="shared" si="65"/>
        <v>4238.677419354839</v>
      </c>
      <c r="D35">
        <f t="shared" si="66"/>
        <v>197</v>
      </c>
      <c r="E35" s="203">
        <f t="shared" si="67"/>
        <v>4238.677419354839</v>
      </c>
      <c r="F35">
        <f t="shared" si="68"/>
        <v>197</v>
      </c>
      <c r="G35" s="203">
        <f t="shared" si="69"/>
        <v>4238.677419354839</v>
      </c>
      <c r="H35" s="203">
        <f t="shared" si="70"/>
        <v>197</v>
      </c>
      <c r="I35" s="203">
        <f t="shared" si="71"/>
        <v>4238.677419354839</v>
      </c>
      <c r="J35" s="203">
        <f t="shared" si="72"/>
        <v>197</v>
      </c>
      <c r="K35" s="203">
        <f t="shared" si="73"/>
        <v>4238.677419354839</v>
      </c>
      <c r="L35" s="203">
        <f t="shared" si="74"/>
        <v>197</v>
      </c>
      <c r="M35" s="203">
        <f t="shared" si="75"/>
        <v>4238.677419354839</v>
      </c>
      <c r="N35" s="203">
        <f t="shared" si="76"/>
        <v>197</v>
      </c>
      <c r="O35" s="203">
        <f t="shared" si="77"/>
        <v>4238.677419354839</v>
      </c>
      <c r="P35" s="203">
        <f t="shared" si="78"/>
        <v>197</v>
      </c>
      <c r="Q35" s="203">
        <f t="shared" si="79"/>
        <v>4238.677419354839</v>
      </c>
      <c r="R35" s="203">
        <f t="shared" si="80"/>
        <v>197</v>
      </c>
      <c r="S35" s="203">
        <f t="shared" si="81"/>
        <v>4238.677419354839</v>
      </c>
      <c r="T35" s="203">
        <f t="shared" si="82"/>
        <v>197</v>
      </c>
      <c r="U35" s="203">
        <f t="shared" si="83"/>
        <v>4238.677419354839</v>
      </c>
      <c r="V35" s="203">
        <f t="shared" si="84"/>
        <v>197</v>
      </c>
      <c r="W35" s="203">
        <f t="shared" si="85"/>
        <v>4238.677419354839</v>
      </c>
      <c r="X35" s="35">
        <f t="shared" si="86"/>
        <v>0.63548387096774217</v>
      </c>
      <c r="Y35" s="36">
        <f t="shared" si="87"/>
        <v>46625.451612903242</v>
      </c>
      <c r="Z35" s="203">
        <f>'B5'!C34</f>
        <v>204</v>
      </c>
      <c r="AA35" s="203">
        <f t="shared" si="88"/>
        <v>2040</v>
      </c>
      <c r="AB35" s="203">
        <f t="shared" si="89"/>
        <v>204</v>
      </c>
      <c r="AC35" s="203">
        <f t="shared" si="90"/>
        <v>2040</v>
      </c>
      <c r="AD35" s="203">
        <f t="shared" si="91"/>
        <v>204</v>
      </c>
      <c r="AE35" s="203">
        <f t="shared" si="92"/>
        <v>2040</v>
      </c>
      <c r="AF35" s="203">
        <f t="shared" si="93"/>
        <v>204</v>
      </c>
      <c r="AG35" s="203">
        <f t="shared" si="94"/>
        <v>2040</v>
      </c>
      <c r="AH35" s="203">
        <f t="shared" si="95"/>
        <v>204</v>
      </c>
      <c r="AI35" s="203">
        <f t="shared" si="96"/>
        <v>2040</v>
      </c>
      <c r="AJ35" s="203">
        <f t="shared" si="97"/>
        <v>204</v>
      </c>
      <c r="AK35" s="203">
        <f t="shared" si="98"/>
        <v>2040</v>
      </c>
      <c r="AL35" s="203">
        <f t="shared" si="99"/>
        <v>204</v>
      </c>
      <c r="AM35" s="203">
        <f t="shared" si="100"/>
        <v>2040</v>
      </c>
      <c r="AN35" s="35">
        <f t="shared" si="101"/>
        <v>0.72857142857142854</v>
      </c>
      <c r="AO35" s="36">
        <f t="shared" si="102"/>
        <v>14280</v>
      </c>
      <c r="AQ35" s="223">
        <f t="shared" si="103"/>
        <v>0.65510865454343592</v>
      </c>
      <c r="AR35" s="38">
        <f t="shared" si="42"/>
        <v>60905.451612903242</v>
      </c>
      <c r="AS35" s="197">
        <f t="shared" si="104"/>
        <v>0</v>
      </c>
      <c r="AT35" s="355"/>
      <c r="AU35" s="478"/>
      <c r="AV35" s="597">
        <f t="shared" si="105"/>
        <v>0.96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9" t="s">
        <v>225</v>
      </c>
      <c r="AS36" s="485">
        <f>COUNT(AT6:AT33)</f>
        <v>1</v>
      </c>
      <c r="AT36" s="203">
        <f>SUM(AT6:AT33)</f>
        <v>6145</v>
      </c>
      <c r="AU36">
        <f>SUM(AU6:AU33)/AS36</f>
        <v>0.96</v>
      </c>
      <c r="AX36" s="203">
        <f>SUM(AX6:AX33)</f>
        <v>-10737.87096774191</v>
      </c>
      <c r="AY36" s="203">
        <f>SUM(AY6:AY33)</f>
        <v>-11971.87096774191</v>
      </c>
    </row>
    <row r="37" spans="1:60">
      <c r="AS37" s="206"/>
      <c r="AT37">
        <f>+AT36*AU36</f>
        <v>5899.2</v>
      </c>
    </row>
    <row r="39" spans="1:60">
      <c r="AS39" s="165">
        <f>SUM(AS6:AS33)/'EDl log'!A34</f>
        <v>-2992.9677419354775</v>
      </c>
      <c r="AT39" s="203"/>
    </row>
    <row r="40" spans="1:60">
      <c r="AX40">
        <v>43309</v>
      </c>
    </row>
    <row r="41" spans="1:60">
      <c r="AR41" s="203"/>
      <c r="AX41">
        <f>AX36/AX40</f>
        <v>-0.24793624807180747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1257.0000000011059</v>
      </c>
      <c r="E5" s="3">
        <f>ELEC!Q6</f>
        <v>7940.9999999988941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-74.80000000000004</v>
      </c>
      <c r="J6" s="9">
        <f>'B5'!A8</f>
        <v>44290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44291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44292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44293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44294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44295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44296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44297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44298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-23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23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4"/>
      <c r="B1" s="631" t="s">
        <v>119</v>
      </c>
      <c r="C1" s="631" t="s">
        <v>118</v>
      </c>
      <c r="D1" s="636" t="s">
        <v>113</v>
      </c>
      <c r="E1" s="636" t="s">
        <v>114</v>
      </c>
      <c r="F1" s="637" t="s">
        <v>120</v>
      </c>
      <c r="G1" s="638" t="s">
        <v>75</v>
      </c>
      <c r="H1" s="639" t="s">
        <v>115</v>
      </c>
      <c r="I1" s="640" t="s">
        <v>116</v>
      </c>
      <c r="J1" s="639" t="s">
        <v>117</v>
      </c>
      <c r="K1" s="633" t="s">
        <v>121</v>
      </c>
      <c r="L1" s="633" t="s">
        <v>122</v>
      </c>
      <c r="M1" s="633" t="s">
        <v>123</v>
      </c>
      <c r="N1" s="633" t="s">
        <v>124</v>
      </c>
    </row>
    <row r="2" spans="1:14">
      <c r="A2" s="635"/>
      <c r="B2" s="632"/>
      <c r="C2" s="632"/>
      <c r="D2" s="636"/>
      <c r="E2" s="636"/>
      <c r="F2" s="637"/>
      <c r="G2" s="638"/>
      <c r="H2" s="639"/>
      <c r="I2" s="641"/>
      <c r="J2" s="639"/>
      <c r="K2" s="633"/>
      <c r="L2" s="633"/>
      <c r="M2" s="633"/>
      <c r="N2" s="63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2043.8860759490826</v>
      </c>
      <c r="E8" s="242">
        <f t="shared" si="0"/>
        <v>2333.8860759490826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7940.9999999988941</v>
      </c>
      <c r="J8" s="79">
        <f>ELEC!R6</f>
        <v>1257.0000000011059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2</v>
      </c>
      <c r="G9" s="78">
        <f>WATER!BG9</f>
        <v>-16.30000000000004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C1" zoomScale="112" zoomScaleNormal="112" workbookViewId="0">
      <pane ySplit="1" topLeftCell="A2" activePane="bottomLeft" state="frozen"/>
      <selection pane="bottomLeft" activeCell="V6" sqref="V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9">
        <v>9782</v>
      </c>
      <c r="C3" s="287">
        <f>B3-B2</f>
        <v>10</v>
      </c>
      <c r="D3" s="540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40">
        <f>J2</f>
        <v>10698</v>
      </c>
      <c r="K3" s="287">
        <f t="shared" ref="K3:K30" si="2">J3-J2</f>
        <v>0</v>
      </c>
      <c r="L3" s="540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40">
        <v>12041</v>
      </c>
      <c r="S3" s="287">
        <f t="shared" ref="S3:S30" si="4">R3-R2</f>
        <v>10</v>
      </c>
      <c r="T3" s="540">
        <v>436413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9">
        <v>9795</v>
      </c>
      <c r="C4" s="287">
        <f t="shared" ref="C4:C30" si="9">B4-B3</f>
        <v>13</v>
      </c>
      <c r="D4" s="540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40">
        <f t="shared" ref="J4:L32" si="11">J3</f>
        <v>10698</v>
      </c>
      <c r="K4" s="287">
        <f t="shared" si="2"/>
        <v>0</v>
      </c>
      <c r="L4" s="540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40">
        <v>12042</v>
      </c>
      <c r="S4" s="287">
        <f t="shared" si="4"/>
        <v>1</v>
      </c>
      <c r="T4" s="540">
        <f t="shared" ref="R4:T32" si="15">T3</f>
        <v>436413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9">
        <v>9809</v>
      </c>
      <c r="C5" s="287">
        <f t="shared" si="9"/>
        <v>14</v>
      </c>
      <c r="D5" s="540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40">
        <f t="shared" si="11"/>
        <v>10698</v>
      </c>
      <c r="K5" s="287">
        <f t="shared" si="2"/>
        <v>0</v>
      </c>
      <c r="L5" s="540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40">
        <v>12043</v>
      </c>
      <c r="S5" s="287">
        <f t="shared" si="4"/>
        <v>1</v>
      </c>
      <c r="T5" s="540"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9">
        <v>9809</v>
      </c>
      <c r="C6" s="287">
        <f t="shared" si="9"/>
        <v>0</v>
      </c>
      <c r="D6" s="540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40">
        <f t="shared" si="11"/>
        <v>10698</v>
      </c>
      <c r="K6" s="287">
        <f t="shared" si="2"/>
        <v>0</v>
      </c>
      <c r="L6" s="540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40">
        <v>12061</v>
      </c>
      <c r="S6" s="287">
        <f t="shared" si="4"/>
        <v>18</v>
      </c>
      <c r="T6" s="540">
        <v>441163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7940.9999999988941</v>
      </c>
      <c r="AE6" s="73">
        <f>SUM(AD6/Z6)</f>
        <v>441.16666666660524</v>
      </c>
      <c r="AF6" s="403">
        <f t="shared" si="24"/>
        <v>0.27572916666662828</v>
      </c>
      <c r="AG6" s="404">
        <f>SUM(320*AF6)</f>
        <v>88.233333333321042</v>
      </c>
      <c r="AH6" s="404">
        <f t="shared" si="20"/>
        <v>161.76666666667896</v>
      </c>
      <c r="AI6" s="73">
        <f t="shared" si="26"/>
        <v>2043.8860759490826</v>
      </c>
      <c r="AJ6" s="289">
        <f t="shared" si="7"/>
        <v>0.25738396624472576</v>
      </c>
      <c r="AK6" s="289">
        <f t="shared" si="8"/>
        <v>113.5492264416157</v>
      </c>
    </row>
    <row r="7" spans="1:37" ht="15.75" thickBot="1">
      <c r="A7" s="4">
        <f>ELEC!C7</f>
        <v>44291</v>
      </c>
      <c r="B7" s="539">
        <f t="shared" ref="B6:B32" si="28">B6</f>
        <v>9809</v>
      </c>
      <c r="C7" s="287">
        <f t="shared" si="9"/>
        <v>0</v>
      </c>
      <c r="D7" s="540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40">
        <f t="shared" si="11"/>
        <v>10698</v>
      </c>
      <c r="K7" s="287">
        <f t="shared" si="2"/>
        <v>0</v>
      </c>
      <c r="L7" s="540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40">
        <f t="shared" si="15"/>
        <v>12061</v>
      </c>
      <c r="S7" s="287">
        <f t="shared" si="4"/>
        <v>0</v>
      </c>
      <c r="T7" s="540">
        <f t="shared" si="15"/>
        <v>441163</v>
      </c>
      <c r="U7" s="287">
        <f>V7*S7</f>
        <v>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18"/>
        <v>250</v>
      </c>
      <c r="AC7" s="287">
        <f t="shared" si="19"/>
        <v>0</v>
      </c>
      <c r="AD7" s="73">
        <f>ELEC!Q7</f>
        <v>0</v>
      </c>
      <c r="AE7" s="73" t="e">
        <f t="shared" si="23"/>
        <v>#DIV/0!</v>
      </c>
      <c r="AF7" s="403" t="e">
        <f t="shared" si="24"/>
        <v>#DIV/0!</v>
      </c>
      <c r="AG7" s="504" t="s">
        <v>403</v>
      </c>
      <c r="AH7" s="404" t="e">
        <f t="shared" si="20"/>
        <v>#VALUE!</v>
      </c>
      <c r="AI7" s="73">
        <f t="shared" si="26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ELEC!C8</f>
        <v>44292</v>
      </c>
      <c r="B8" s="539">
        <f t="shared" si="28"/>
        <v>9809</v>
      </c>
      <c r="C8" s="287">
        <f t="shared" si="9"/>
        <v>0</v>
      </c>
      <c r="D8" s="540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40">
        <f t="shared" si="11"/>
        <v>10698</v>
      </c>
      <c r="K8" s="287">
        <f t="shared" si="2"/>
        <v>0</v>
      </c>
      <c r="L8" s="540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40">
        <f t="shared" si="15"/>
        <v>12061</v>
      </c>
      <c r="S8" s="287">
        <f t="shared" si="4"/>
        <v>0</v>
      </c>
      <c r="T8" s="540">
        <f t="shared" si="15"/>
        <v>441163</v>
      </c>
      <c r="U8" s="287">
        <f>V8*S8</f>
        <v>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0</v>
      </c>
      <c r="AA8" s="287">
        <f t="shared" si="17"/>
        <v>0</v>
      </c>
      <c r="AB8" s="287">
        <f t="shared" si="18"/>
        <v>250</v>
      </c>
      <c r="AC8" s="287">
        <f t="shared" si="19"/>
        <v>0</v>
      </c>
      <c r="AD8" s="73">
        <f>ELEC!Q8</f>
        <v>0</v>
      </c>
      <c r="AE8" s="73" t="e">
        <f t="shared" si="23"/>
        <v>#DIV/0!</v>
      </c>
      <c r="AF8" s="403" t="e">
        <f t="shared" si="24"/>
        <v>#DIV/0!</v>
      </c>
      <c r="AG8" s="404" t="e">
        <f t="shared" si="25"/>
        <v>#DIV/0!</v>
      </c>
      <c r="AH8" s="404" t="e">
        <f t="shared" si="20"/>
        <v>#DIV/0!</v>
      </c>
      <c r="AI8" s="73">
        <f t="shared" si="26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44293</v>
      </c>
      <c r="B9" s="539">
        <f t="shared" si="28"/>
        <v>9809</v>
      </c>
      <c r="C9" s="287">
        <f t="shared" si="9"/>
        <v>0</v>
      </c>
      <c r="D9" s="540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40">
        <f t="shared" si="11"/>
        <v>10698</v>
      </c>
      <c r="K9" s="287">
        <f t="shared" si="2"/>
        <v>0</v>
      </c>
      <c r="L9" s="540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40">
        <f t="shared" si="15"/>
        <v>12061</v>
      </c>
      <c r="S9" s="287">
        <f t="shared" si="4"/>
        <v>0</v>
      </c>
      <c r="T9" s="540">
        <f t="shared" si="15"/>
        <v>441163</v>
      </c>
      <c r="U9" s="287">
        <f t="shared" si="16"/>
        <v>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0</v>
      </c>
      <c r="AA9" s="287">
        <f t="shared" si="17"/>
        <v>0</v>
      </c>
      <c r="AB9" s="287">
        <f t="shared" si="18"/>
        <v>250</v>
      </c>
      <c r="AC9" s="287">
        <f t="shared" si="19"/>
        <v>0</v>
      </c>
      <c r="AD9" s="73">
        <f>ELEC!Q9</f>
        <v>0</v>
      </c>
      <c r="AE9" s="73" t="e">
        <f t="shared" si="23"/>
        <v>#DIV/0!</v>
      </c>
      <c r="AF9" s="403" t="e">
        <f t="shared" si="24"/>
        <v>#DIV/0!</v>
      </c>
      <c r="AG9" s="404" t="e">
        <f t="shared" si="25"/>
        <v>#DIV/0!</v>
      </c>
      <c r="AH9" s="404" t="e">
        <f t="shared" si="20"/>
        <v>#DIV/0!</v>
      </c>
      <c r="AI9" s="73">
        <f t="shared" si="26"/>
        <v>0</v>
      </c>
      <c r="AJ9" s="289">
        <v>0.25738396624472576</v>
      </c>
      <c r="AK9" s="289">
        <f t="shared" ref="AK9:AK16" si="29">IF(Z9&gt;0,AI9/Z9,0)</f>
        <v>0</v>
      </c>
    </row>
    <row r="10" spans="1:37" ht="15.75" thickBot="1">
      <c r="A10" s="4">
        <f>ELEC!C10</f>
        <v>44294</v>
      </c>
      <c r="B10" s="539">
        <f t="shared" si="28"/>
        <v>9809</v>
      </c>
      <c r="C10" s="287">
        <f t="shared" si="9"/>
        <v>0</v>
      </c>
      <c r="D10" s="540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40">
        <f t="shared" si="11"/>
        <v>10698</v>
      </c>
      <c r="K10" s="287">
        <f t="shared" si="2"/>
        <v>0</v>
      </c>
      <c r="L10" s="540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40">
        <f t="shared" si="15"/>
        <v>12061</v>
      </c>
      <c r="S10" s="287">
        <f t="shared" si="4"/>
        <v>0</v>
      </c>
      <c r="T10" s="540">
        <f t="shared" si="15"/>
        <v>441163</v>
      </c>
      <c r="U10" s="287">
        <f t="shared" si="16"/>
        <v>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0</v>
      </c>
      <c r="AA10" s="287">
        <f t="shared" si="17"/>
        <v>0</v>
      </c>
      <c r="AB10" s="287">
        <f t="shared" si="18"/>
        <v>250</v>
      </c>
      <c r="AC10" s="287">
        <f t="shared" si="19"/>
        <v>0</v>
      </c>
      <c r="AD10" s="73">
        <f>ELEC!Q10</f>
        <v>0</v>
      </c>
      <c r="AE10" s="73" t="e">
        <f t="shared" si="23"/>
        <v>#DIV/0!</v>
      </c>
      <c r="AF10" s="403" t="e">
        <f t="shared" si="24"/>
        <v>#DIV/0!</v>
      </c>
      <c r="AG10" s="404" t="e">
        <f t="shared" si="25"/>
        <v>#DIV/0!</v>
      </c>
      <c r="AH10" s="404" t="e">
        <f t="shared" si="20"/>
        <v>#DIV/0!</v>
      </c>
      <c r="AI10" s="73">
        <f t="shared" si="26"/>
        <v>0</v>
      </c>
      <c r="AJ10" s="289">
        <f t="shared" si="7"/>
        <v>0.25738396624472576</v>
      </c>
      <c r="AK10" s="289">
        <f t="shared" si="29"/>
        <v>0</v>
      </c>
    </row>
    <row r="11" spans="1:37" ht="15.75" thickBot="1">
      <c r="A11" s="4">
        <f>ELEC!C11</f>
        <v>44295</v>
      </c>
      <c r="B11" s="539">
        <f t="shared" si="28"/>
        <v>9809</v>
      </c>
      <c r="C11" s="287">
        <f t="shared" si="9"/>
        <v>0</v>
      </c>
      <c r="D11" s="540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40">
        <f t="shared" si="11"/>
        <v>10698</v>
      </c>
      <c r="K11" s="287">
        <f t="shared" si="2"/>
        <v>0</v>
      </c>
      <c r="L11" s="540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40">
        <f t="shared" si="15"/>
        <v>12061</v>
      </c>
      <c r="S11" s="287">
        <f t="shared" si="4"/>
        <v>0</v>
      </c>
      <c r="T11" s="540">
        <f t="shared" si="15"/>
        <v>441163</v>
      </c>
      <c r="U11" s="287">
        <f t="shared" si="16"/>
        <v>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0</v>
      </c>
      <c r="AA11" s="287">
        <f t="shared" si="17"/>
        <v>0</v>
      </c>
      <c r="AB11" s="287">
        <f t="shared" si="18"/>
        <v>250</v>
      </c>
      <c r="AC11" s="287">
        <f t="shared" si="19"/>
        <v>0</v>
      </c>
      <c r="AD11" s="73">
        <f>ELEC!Q11</f>
        <v>0</v>
      </c>
      <c r="AE11" s="73" t="e">
        <f t="shared" si="23"/>
        <v>#DIV/0!</v>
      </c>
      <c r="AF11" s="403" t="e">
        <f t="shared" si="24"/>
        <v>#DIV/0!</v>
      </c>
      <c r="AG11" s="404" t="e">
        <f t="shared" si="25"/>
        <v>#DIV/0!</v>
      </c>
      <c r="AH11" s="404" t="e">
        <f t="shared" si="20"/>
        <v>#DIV/0!</v>
      </c>
      <c r="AI11" s="73">
        <f t="shared" si="26"/>
        <v>0</v>
      </c>
      <c r="AJ11" s="289">
        <f t="shared" si="7"/>
        <v>0.25738396624472576</v>
      </c>
      <c r="AK11" s="289">
        <f t="shared" si="29"/>
        <v>0</v>
      </c>
    </row>
    <row r="12" spans="1:37" ht="15.75" thickBot="1">
      <c r="A12" s="4">
        <f>ELEC!C12</f>
        <v>44296</v>
      </c>
      <c r="B12" s="539">
        <f t="shared" si="28"/>
        <v>9809</v>
      </c>
      <c r="C12" s="287">
        <f t="shared" si="9"/>
        <v>0</v>
      </c>
      <c r="D12" s="540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40">
        <f t="shared" si="11"/>
        <v>10698</v>
      </c>
      <c r="K12" s="287">
        <f t="shared" si="2"/>
        <v>0</v>
      </c>
      <c r="L12" s="540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40">
        <f t="shared" si="15"/>
        <v>12061</v>
      </c>
      <c r="S12" s="287">
        <f t="shared" si="4"/>
        <v>0</v>
      </c>
      <c r="T12" s="540">
        <f t="shared" si="15"/>
        <v>441163</v>
      </c>
      <c r="U12" s="287">
        <f t="shared" si="16"/>
        <v>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0</v>
      </c>
      <c r="AA12" s="287">
        <f t="shared" si="17"/>
        <v>0</v>
      </c>
      <c r="AB12" s="287">
        <f t="shared" si="18"/>
        <v>250</v>
      </c>
      <c r="AC12" s="287">
        <f t="shared" si="19"/>
        <v>0</v>
      </c>
      <c r="AD12" s="73">
        <f>ELEC!Q12</f>
        <v>0</v>
      </c>
      <c r="AE12" s="73" t="e">
        <f t="shared" si="23"/>
        <v>#DIV/0!</v>
      </c>
      <c r="AF12" s="403" t="e">
        <f t="shared" si="24"/>
        <v>#DIV/0!</v>
      </c>
      <c r="AG12" s="404" t="e">
        <f t="shared" si="25"/>
        <v>#DIV/0!</v>
      </c>
      <c r="AH12" s="404" t="e">
        <f t="shared" si="20"/>
        <v>#DIV/0!</v>
      </c>
      <c r="AI12" s="73">
        <f t="shared" si="26"/>
        <v>0</v>
      </c>
      <c r="AJ12" s="289">
        <f t="shared" si="7"/>
        <v>0.25738396624472576</v>
      </c>
      <c r="AK12" s="289">
        <f t="shared" si="29"/>
        <v>0</v>
      </c>
    </row>
    <row r="13" spans="1:37" ht="15.75" thickBot="1">
      <c r="A13" s="4">
        <f>ELEC!C13</f>
        <v>44297</v>
      </c>
      <c r="B13" s="539">
        <f t="shared" si="28"/>
        <v>9809</v>
      </c>
      <c r="C13" s="287">
        <f t="shared" si="9"/>
        <v>0</v>
      </c>
      <c r="D13" s="540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40">
        <f t="shared" si="11"/>
        <v>10698</v>
      </c>
      <c r="K13" s="287">
        <f t="shared" si="2"/>
        <v>0</v>
      </c>
      <c r="L13" s="540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40">
        <f t="shared" si="15"/>
        <v>12061</v>
      </c>
      <c r="S13" s="287">
        <f t="shared" si="4"/>
        <v>0</v>
      </c>
      <c r="T13" s="540">
        <f t="shared" si="15"/>
        <v>441163</v>
      </c>
      <c r="U13" s="287">
        <f t="shared" si="16"/>
        <v>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0</v>
      </c>
      <c r="AA13" s="287">
        <f t="shared" si="17"/>
        <v>0</v>
      </c>
      <c r="AB13" s="287">
        <f t="shared" si="18"/>
        <v>250</v>
      </c>
      <c r="AC13" s="287">
        <f t="shared" si="19"/>
        <v>0</v>
      </c>
      <c r="AD13" s="73">
        <f>ELEC!Q13</f>
        <v>0</v>
      </c>
      <c r="AE13" s="73" t="e">
        <f t="shared" si="23"/>
        <v>#DIV/0!</v>
      </c>
      <c r="AF13" s="403" t="e">
        <f t="shared" si="24"/>
        <v>#DIV/0!</v>
      </c>
      <c r="AG13" s="404" t="e">
        <f t="shared" si="25"/>
        <v>#DIV/0!</v>
      </c>
      <c r="AH13" s="404" t="e">
        <f t="shared" si="20"/>
        <v>#DIV/0!</v>
      </c>
      <c r="AI13" s="73">
        <f t="shared" si="26"/>
        <v>0</v>
      </c>
      <c r="AJ13" s="289">
        <f t="shared" si="7"/>
        <v>0.25738396624472576</v>
      </c>
      <c r="AK13" s="289">
        <f t="shared" si="29"/>
        <v>0</v>
      </c>
    </row>
    <row r="14" spans="1:37" ht="15.75" thickBot="1">
      <c r="A14" s="4">
        <f>ELEC!C14</f>
        <v>44298</v>
      </c>
      <c r="B14" s="539">
        <f t="shared" si="28"/>
        <v>9809</v>
      </c>
      <c r="C14" s="287">
        <f t="shared" si="9"/>
        <v>0</v>
      </c>
      <c r="D14" s="540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40">
        <f t="shared" si="11"/>
        <v>10698</v>
      </c>
      <c r="K14" s="287">
        <f t="shared" si="2"/>
        <v>0</v>
      </c>
      <c r="L14" s="540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40">
        <f t="shared" si="15"/>
        <v>12061</v>
      </c>
      <c r="S14" s="287">
        <f t="shared" si="4"/>
        <v>0</v>
      </c>
      <c r="T14" s="540">
        <f t="shared" si="15"/>
        <v>441163</v>
      </c>
      <c r="U14" s="287">
        <f t="shared" si="16"/>
        <v>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0</v>
      </c>
      <c r="AA14" s="287">
        <f t="shared" si="17"/>
        <v>0</v>
      </c>
      <c r="AB14" s="287">
        <f t="shared" si="18"/>
        <v>250</v>
      </c>
      <c r="AC14" s="287">
        <f t="shared" si="19"/>
        <v>0</v>
      </c>
      <c r="AD14" s="73">
        <f>ELEC!Q14</f>
        <v>0</v>
      </c>
      <c r="AE14" s="73" t="e">
        <f t="shared" si="23"/>
        <v>#DIV/0!</v>
      </c>
      <c r="AF14" s="403" t="e">
        <f t="shared" si="24"/>
        <v>#DIV/0!</v>
      </c>
      <c r="AG14" s="404" t="e">
        <f t="shared" si="25"/>
        <v>#DIV/0!</v>
      </c>
      <c r="AH14" s="404" t="e">
        <f t="shared" si="20"/>
        <v>#DIV/0!</v>
      </c>
      <c r="AI14" s="73">
        <f t="shared" si="26"/>
        <v>0</v>
      </c>
      <c r="AJ14" s="289">
        <f t="shared" si="7"/>
        <v>0.25738396624472576</v>
      </c>
      <c r="AK14" s="289">
        <f t="shared" si="29"/>
        <v>0</v>
      </c>
    </row>
    <row r="15" spans="1:37" ht="15.75" thickBot="1">
      <c r="A15" s="4">
        <f>ELEC!C15</f>
        <v>44299</v>
      </c>
      <c r="B15" s="539">
        <f t="shared" si="28"/>
        <v>9809</v>
      </c>
      <c r="C15" s="287">
        <f t="shared" si="9"/>
        <v>0</v>
      </c>
      <c r="D15" s="540">
        <f t="shared" si="27"/>
        <v>371590</v>
      </c>
      <c r="E15" s="287">
        <f t="shared" si="10"/>
        <v>0</v>
      </c>
      <c r="F15" s="287">
        <f t="shared" si="0"/>
        <v>0</v>
      </c>
      <c r="G15" s="196"/>
      <c r="H15" s="270">
        <f t="shared" si="21"/>
        <v>9934</v>
      </c>
      <c r="I15" s="287" t="str">
        <f t="shared" si="1"/>
        <v>ok</v>
      </c>
      <c r="J15" s="540">
        <f t="shared" si="11"/>
        <v>10698</v>
      </c>
      <c r="K15" s="287">
        <f t="shared" si="2"/>
        <v>0</v>
      </c>
      <c r="L15" s="540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40">
        <f t="shared" si="15"/>
        <v>12061</v>
      </c>
      <c r="S15" s="287">
        <f t="shared" si="4"/>
        <v>0</v>
      </c>
      <c r="T15" s="540">
        <f t="shared" si="15"/>
        <v>441163</v>
      </c>
      <c r="U15" s="287">
        <f t="shared" si="16"/>
        <v>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0</v>
      </c>
      <c r="AA15" s="287">
        <f t="shared" si="17"/>
        <v>0</v>
      </c>
      <c r="AB15" s="287">
        <f t="shared" si="18"/>
        <v>250</v>
      </c>
      <c r="AC15" s="287">
        <f t="shared" si="19"/>
        <v>0</v>
      </c>
      <c r="AD15" s="73">
        <f>ELEC!Q15</f>
        <v>0</v>
      </c>
      <c r="AE15" s="73" t="e">
        <f t="shared" si="23"/>
        <v>#DIV/0!</v>
      </c>
      <c r="AF15" s="403" t="e">
        <f t="shared" si="24"/>
        <v>#DIV/0!</v>
      </c>
      <c r="AG15" s="404" t="e">
        <f t="shared" si="25"/>
        <v>#DIV/0!</v>
      </c>
      <c r="AH15" s="404" t="e">
        <f t="shared" si="20"/>
        <v>#DIV/0!</v>
      </c>
      <c r="AI15" s="73">
        <f t="shared" si="26"/>
        <v>0</v>
      </c>
      <c r="AJ15" s="289">
        <f t="shared" si="7"/>
        <v>0.25738396624472576</v>
      </c>
      <c r="AK15" s="289">
        <f t="shared" si="29"/>
        <v>0</v>
      </c>
    </row>
    <row r="16" spans="1:37" ht="15.75" thickBot="1">
      <c r="A16" s="4">
        <f>ELEC!C16</f>
        <v>44300</v>
      </c>
      <c r="B16" s="539">
        <f t="shared" si="28"/>
        <v>9809</v>
      </c>
      <c r="C16" s="287">
        <f t="shared" si="9"/>
        <v>0</v>
      </c>
      <c r="D16" s="540">
        <f t="shared" si="27"/>
        <v>371590</v>
      </c>
      <c r="E16" s="287">
        <f t="shared" si="10"/>
        <v>0</v>
      </c>
      <c r="F16" s="287">
        <f t="shared" si="0"/>
        <v>0</v>
      </c>
      <c r="G16" s="196"/>
      <c r="H16" s="270">
        <f t="shared" si="21"/>
        <v>9934</v>
      </c>
      <c r="I16" s="287" t="str">
        <f t="shared" si="1"/>
        <v>ok</v>
      </c>
      <c r="J16" s="540">
        <f t="shared" si="11"/>
        <v>10698</v>
      </c>
      <c r="K16" s="287">
        <f t="shared" si="2"/>
        <v>0</v>
      </c>
      <c r="L16" s="540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40">
        <f t="shared" si="15"/>
        <v>12061</v>
      </c>
      <c r="S16" s="287">
        <f t="shared" si="4"/>
        <v>0</v>
      </c>
      <c r="T16" s="540">
        <f t="shared" si="15"/>
        <v>441163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0</v>
      </c>
      <c r="AA16" s="287">
        <f t="shared" si="17"/>
        <v>0</v>
      </c>
      <c r="AB16" s="287">
        <f t="shared" si="18"/>
        <v>250</v>
      </c>
      <c r="AC16" s="287">
        <f t="shared" si="19"/>
        <v>0</v>
      </c>
      <c r="AD16" s="73">
        <f>ELEC!Q16</f>
        <v>0</v>
      </c>
      <c r="AE16" s="73" t="e">
        <f t="shared" si="23"/>
        <v>#DIV/0!</v>
      </c>
      <c r="AF16" s="403" t="e">
        <f t="shared" si="24"/>
        <v>#DIV/0!</v>
      </c>
      <c r="AG16" s="404" t="e">
        <f t="shared" si="25"/>
        <v>#DIV/0!</v>
      </c>
      <c r="AH16" s="404" t="e">
        <f t="shared" si="20"/>
        <v>#DIV/0!</v>
      </c>
      <c r="AI16" s="73">
        <f t="shared" si="26"/>
        <v>0</v>
      </c>
      <c r="AJ16" s="289">
        <f t="shared" si="7"/>
        <v>0.25738396624472576</v>
      </c>
      <c r="AK16" s="289">
        <f t="shared" si="29"/>
        <v>0</v>
      </c>
    </row>
    <row r="17" spans="1:37" ht="15.75" thickBot="1">
      <c r="A17" s="4">
        <f>ELEC!C17</f>
        <v>44301</v>
      </c>
      <c r="B17" s="539">
        <f t="shared" si="28"/>
        <v>9809</v>
      </c>
      <c r="C17" s="287">
        <f t="shared" si="9"/>
        <v>0</v>
      </c>
      <c r="D17" s="540">
        <f t="shared" si="27"/>
        <v>371590</v>
      </c>
      <c r="E17" s="287">
        <f t="shared" si="10"/>
        <v>0</v>
      </c>
      <c r="F17" s="287">
        <f t="shared" si="0"/>
        <v>0</v>
      </c>
      <c r="G17" s="196"/>
      <c r="H17" s="270">
        <f t="shared" si="21"/>
        <v>9934</v>
      </c>
      <c r="I17" s="287" t="str">
        <f t="shared" si="1"/>
        <v>ok</v>
      </c>
      <c r="J17" s="540">
        <f t="shared" si="11"/>
        <v>10698</v>
      </c>
      <c r="K17" s="287">
        <f t="shared" si="2"/>
        <v>0</v>
      </c>
      <c r="L17" s="540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40">
        <f t="shared" si="15"/>
        <v>12061</v>
      </c>
      <c r="S17" s="287">
        <f t="shared" si="4"/>
        <v>0</v>
      </c>
      <c r="T17" s="540">
        <f t="shared" si="15"/>
        <v>441163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0</v>
      </c>
      <c r="AA17" s="287">
        <f t="shared" si="17"/>
        <v>0</v>
      </c>
      <c r="AB17" s="287">
        <f t="shared" si="18"/>
        <v>250</v>
      </c>
      <c r="AC17" s="287">
        <f t="shared" si="19"/>
        <v>0</v>
      </c>
      <c r="AD17" s="73">
        <f>ELEC!Q17</f>
        <v>0</v>
      </c>
      <c r="AE17" s="73" t="e">
        <f t="shared" si="23"/>
        <v>#DIV/0!</v>
      </c>
      <c r="AF17" s="403" t="e">
        <f t="shared" si="24"/>
        <v>#DIV/0!</v>
      </c>
      <c r="AG17" s="404" t="e">
        <f t="shared" si="25"/>
        <v>#DIV/0!</v>
      </c>
      <c r="AH17" s="404" t="e">
        <f t="shared" si="20"/>
        <v>#DIV/0!</v>
      </c>
      <c r="AI17" s="73">
        <f t="shared" si="26"/>
        <v>0</v>
      </c>
      <c r="AJ17" s="289">
        <f t="shared" si="7"/>
        <v>0.25738396624472576</v>
      </c>
      <c r="AK17" s="289">
        <f t="shared" ref="AK17:AK30" si="31">IF(Z17&gt;0,AI17/Z17,0)</f>
        <v>0</v>
      </c>
    </row>
    <row r="18" spans="1:37" ht="15.75" thickBot="1">
      <c r="A18" s="4">
        <f>ELEC!C18</f>
        <v>44302</v>
      </c>
      <c r="B18" s="539">
        <f t="shared" si="28"/>
        <v>9809</v>
      </c>
      <c r="C18" s="287">
        <f t="shared" si="9"/>
        <v>0</v>
      </c>
      <c r="D18" s="540">
        <f t="shared" si="27"/>
        <v>371590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40">
        <f t="shared" si="11"/>
        <v>10698</v>
      </c>
      <c r="K18" s="287">
        <f t="shared" si="2"/>
        <v>0</v>
      </c>
      <c r="L18" s="540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40">
        <f t="shared" si="15"/>
        <v>12061</v>
      </c>
      <c r="S18" s="287">
        <f t="shared" si="4"/>
        <v>0</v>
      </c>
      <c r="T18" s="540">
        <f t="shared" si="15"/>
        <v>441163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1"/>
        <v>0</v>
      </c>
    </row>
    <row r="19" spans="1:37" ht="15.75" thickBot="1">
      <c r="A19" s="4">
        <f>ELEC!C19</f>
        <v>44303</v>
      </c>
      <c r="B19" s="539">
        <f t="shared" si="28"/>
        <v>9809</v>
      </c>
      <c r="C19" s="287">
        <f t="shared" si="9"/>
        <v>0</v>
      </c>
      <c r="D19" s="540">
        <f t="shared" si="27"/>
        <v>371590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40">
        <f t="shared" si="11"/>
        <v>10698</v>
      </c>
      <c r="K19" s="287">
        <f t="shared" si="2"/>
        <v>0</v>
      </c>
      <c r="L19" s="540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40">
        <f t="shared" si="15"/>
        <v>12061</v>
      </c>
      <c r="S19" s="287">
        <f t="shared" si="4"/>
        <v>0</v>
      </c>
      <c r="T19" s="540">
        <f t="shared" si="15"/>
        <v>441163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1"/>
        <v>0</v>
      </c>
    </row>
    <row r="20" spans="1:37" ht="15.75" thickBot="1">
      <c r="A20" s="4">
        <f>ELEC!C20</f>
        <v>44304</v>
      </c>
      <c r="B20" s="539">
        <f t="shared" si="28"/>
        <v>9809</v>
      </c>
      <c r="C20" s="287">
        <f>B20-B19</f>
        <v>0</v>
      </c>
      <c r="D20" s="540">
        <f t="shared" si="27"/>
        <v>371590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40">
        <f t="shared" si="11"/>
        <v>10698</v>
      </c>
      <c r="K20" s="287">
        <f t="shared" si="2"/>
        <v>0</v>
      </c>
      <c r="L20" s="540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40">
        <f t="shared" si="15"/>
        <v>12061</v>
      </c>
      <c r="S20" s="287">
        <f t="shared" si="4"/>
        <v>0</v>
      </c>
      <c r="T20" s="540">
        <f t="shared" si="15"/>
        <v>441163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.75" thickBot="1">
      <c r="A21" s="4">
        <f>ELEC!C21</f>
        <v>44305</v>
      </c>
      <c r="B21" s="539">
        <f t="shared" si="28"/>
        <v>9809</v>
      </c>
      <c r="C21" s="287">
        <f t="shared" ref="C21" si="33">B21-B20</f>
        <v>0</v>
      </c>
      <c r="D21" s="540">
        <f t="shared" si="27"/>
        <v>371590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40">
        <f t="shared" si="11"/>
        <v>10698</v>
      </c>
      <c r="K21" s="287">
        <f t="shared" si="2"/>
        <v>0</v>
      </c>
      <c r="L21" s="540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40">
        <f t="shared" si="15"/>
        <v>12061</v>
      </c>
      <c r="S21" s="287">
        <f t="shared" si="4"/>
        <v>0</v>
      </c>
      <c r="T21" s="540">
        <f t="shared" si="15"/>
        <v>441163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1"/>
        <v>0</v>
      </c>
    </row>
    <row r="22" spans="1:37" ht="15.75" thickBot="1">
      <c r="A22" s="4">
        <f>ELEC!C22</f>
        <v>44306</v>
      </c>
      <c r="B22" s="539">
        <f t="shared" si="28"/>
        <v>9809</v>
      </c>
      <c r="C22" s="287">
        <f t="shared" si="9"/>
        <v>0</v>
      </c>
      <c r="D22" s="540">
        <f t="shared" si="27"/>
        <v>371590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40">
        <f t="shared" si="11"/>
        <v>10698</v>
      </c>
      <c r="K22" s="287">
        <f t="shared" si="2"/>
        <v>0</v>
      </c>
      <c r="L22" s="540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40">
        <f t="shared" si="15"/>
        <v>12061</v>
      </c>
      <c r="S22" s="287">
        <f t="shared" si="4"/>
        <v>0</v>
      </c>
      <c r="T22" s="540">
        <f t="shared" si="15"/>
        <v>441163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4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44307</v>
      </c>
      <c r="B23" s="539">
        <f t="shared" si="28"/>
        <v>9809</v>
      </c>
      <c r="C23" s="287">
        <f t="shared" si="9"/>
        <v>0</v>
      </c>
      <c r="D23" s="540">
        <f t="shared" si="27"/>
        <v>371590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40">
        <f t="shared" si="11"/>
        <v>10698</v>
      </c>
      <c r="K23" s="287">
        <f t="shared" si="2"/>
        <v>0</v>
      </c>
      <c r="L23" s="540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40">
        <f t="shared" si="15"/>
        <v>12061</v>
      </c>
      <c r="S23" s="287">
        <f>R23-R22</f>
        <v>0</v>
      </c>
      <c r="T23" s="540">
        <f t="shared" si="15"/>
        <v>441163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4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44308</v>
      </c>
      <c r="B24" s="539">
        <f t="shared" si="28"/>
        <v>9809</v>
      </c>
      <c r="C24" s="287">
        <f t="shared" si="9"/>
        <v>0</v>
      </c>
      <c r="D24" s="540">
        <f t="shared" si="27"/>
        <v>371590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40">
        <f t="shared" si="11"/>
        <v>10698</v>
      </c>
      <c r="K24" s="287">
        <f t="shared" si="2"/>
        <v>0</v>
      </c>
      <c r="L24" s="540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40">
        <f t="shared" si="15"/>
        <v>12061</v>
      </c>
      <c r="S24" s="287">
        <f t="shared" si="4"/>
        <v>0</v>
      </c>
      <c r="T24" s="540">
        <f t="shared" si="15"/>
        <v>441163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4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44309</v>
      </c>
      <c r="B25" s="539">
        <f t="shared" si="28"/>
        <v>9809</v>
      </c>
      <c r="C25" s="287">
        <f t="shared" si="9"/>
        <v>0</v>
      </c>
      <c r="D25" s="540">
        <f t="shared" si="27"/>
        <v>371590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40">
        <f t="shared" si="11"/>
        <v>10698</v>
      </c>
      <c r="K25" s="287">
        <f t="shared" si="2"/>
        <v>0</v>
      </c>
      <c r="L25" s="540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40">
        <f t="shared" si="15"/>
        <v>12061</v>
      </c>
      <c r="S25" s="287">
        <f t="shared" si="4"/>
        <v>0</v>
      </c>
      <c r="T25" s="540">
        <f t="shared" si="15"/>
        <v>441163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4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44310</v>
      </c>
      <c r="B26" s="539">
        <f t="shared" si="28"/>
        <v>9809</v>
      </c>
      <c r="C26" s="287">
        <f t="shared" si="9"/>
        <v>0</v>
      </c>
      <c r="D26" s="540">
        <f t="shared" si="27"/>
        <v>371590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40">
        <f t="shared" si="11"/>
        <v>10698</v>
      </c>
      <c r="K26" s="287">
        <f t="shared" si="2"/>
        <v>0</v>
      </c>
      <c r="L26" s="540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40">
        <f t="shared" si="15"/>
        <v>12061</v>
      </c>
      <c r="S26" s="287">
        <f t="shared" si="4"/>
        <v>0</v>
      </c>
      <c r="T26" s="540">
        <f t="shared" si="15"/>
        <v>441163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4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44311</v>
      </c>
      <c r="B27" s="539">
        <f t="shared" si="28"/>
        <v>9809</v>
      </c>
      <c r="C27" s="287">
        <f t="shared" si="9"/>
        <v>0</v>
      </c>
      <c r="D27" s="540">
        <f t="shared" si="27"/>
        <v>371590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40">
        <f t="shared" si="11"/>
        <v>10698</v>
      </c>
      <c r="K27" s="287">
        <f t="shared" si="2"/>
        <v>0</v>
      </c>
      <c r="L27" s="540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40">
        <f t="shared" si="15"/>
        <v>12061</v>
      </c>
      <c r="S27" s="287">
        <f t="shared" si="4"/>
        <v>0</v>
      </c>
      <c r="T27" s="540">
        <f t="shared" si="15"/>
        <v>441163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4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44312</v>
      </c>
      <c r="B28" s="539">
        <f t="shared" si="28"/>
        <v>9809</v>
      </c>
      <c r="C28" s="287">
        <f t="shared" si="9"/>
        <v>0</v>
      </c>
      <c r="D28" s="540">
        <f t="shared" si="27"/>
        <v>371590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40">
        <f t="shared" si="11"/>
        <v>10698</v>
      </c>
      <c r="K28" s="287">
        <f t="shared" si="2"/>
        <v>0</v>
      </c>
      <c r="L28" s="540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40">
        <f t="shared" si="15"/>
        <v>12061</v>
      </c>
      <c r="S28" s="287">
        <f t="shared" si="4"/>
        <v>0</v>
      </c>
      <c r="T28" s="540">
        <f t="shared" si="15"/>
        <v>441163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4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44313</v>
      </c>
      <c r="B29" s="539">
        <f t="shared" si="28"/>
        <v>9809</v>
      </c>
      <c r="C29" s="287">
        <f t="shared" si="9"/>
        <v>0</v>
      </c>
      <c r="D29" s="540">
        <f t="shared" si="27"/>
        <v>371590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40">
        <f t="shared" si="11"/>
        <v>10698</v>
      </c>
      <c r="K29" s="287">
        <f t="shared" si="2"/>
        <v>0</v>
      </c>
      <c r="L29" s="540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40">
        <f t="shared" si="15"/>
        <v>12061</v>
      </c>
      <c r="S29" s="287">
        <f t="shared" si="4"/>
        <v>0</v>
      </c>
      <c r="T29" s="540">
        <f t="shared" si="15"/>
        <v>441163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4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44314</v>
      </c>
      <c r="B30" s="539">
        <f t="shared" si="28"/>
        <v>9809</v>
      </c>
      <c r="C30" s="287">
        <f t="shared" si="9"/>
        <v>0</v>
      </c>
      <c r="D30" s="540">
        <f t="shared" si="27"/>
        <v>371590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40">
        <f t="shared" si="11"/>
        <v>10698</v>
      </c>
      <c r="K30" s="287">
        <f t="shared" si="2"/>
        <v>0</v>
      </c>
      <c r="L30" s="540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40">
        <f t="shared" si="15"/>
        <v>12061</v>
      </c>
      <c r="S30" s="287">
        <f t="shared" si="4"/>
        <v>0</v>
      </c>
      <c r="T30" s="540">
        <f t="shared" si="15"/>
        <v>441163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4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44315</v>
      </c>
      <c r="B31" s="539">
        <f t="shared" si="28"/>
        <v>9809</v>
      </c>
      <c r="C31" s="287">
        <f t="shared" ref="C31:C32" si="35">B31-B30</f>
        <v>0</v>
      </c>
      <c r="D31" s="540">
        <f t="shared" si="27"/>
        <v>371590</v>
      </c>
      <c r="E31" s="287">
        <f t="shared" ref="E31:E32" si="36">SUM(D31-D30)</f>
        <v>0</v>
      </c>
      <c r="F31" s="287">
        <f t="shared" ref="F31:F32" si="37">IF(C31&gt;0,E31/C31,0)</f>
        <v>0</v>
      </c>
      <c r="G31" s="338"/>
      <c r="H31" s="270">
        <f t="shared" si="21"/>
        <v>9934</v>
      </c>
      <c r="I31" s="287" t="str">
        <f t="shared" ref="I31:I32" si="38">IF(B31-H31&lt;=0,"ok","oil change")</f>
        <v>ok</v>
      </c>
      <c r="J31" s="540">
        <f t="shared" si="11"/>
        <v>10698</v>
      </c>
      <c r="K31" s="287">
        <f t="shared" ref="K31:K32" si="39">J31-J30</f>
        <v>0</v>
      </c>
      <c r="L31" s="540">
        <f t="shared" si="11"/>
        <v>357691</v>
      </c>
      <c r="M31" s="287">
        <f t="shared" ref="M31:M32" si="40">SUM(L31-L30)</f>
        <v>0</v>
      </c>
      <c r="N31" s="287">
        <f t="shared" ref="N31:N32" si="41">IF(K31&gt;0,M31/K31,0)</f>
        <v>0</v>
      </c>
      <c r="O31" s="338"/>
      <c r="P31" s="288">
        <f t="shared" si="14"/>
        <v>10873</v>
      </c>
      <c r="Q31" s="287" t="str">
        <f t="shared" ref="Q31:Q32" si="42">IF(J31-P31&lt;=0,"ok","oil change")</f>
        <v>ok</v>
      </c>
      <c r="R31" s="540">
        <f t="shared" si="15"/>
        <v>12061</v>
      </c>
      <c r="S31" s="287">
        <f t="shared" ref="S31:S32" si="43">R31-R30</f>
        <v>0</v>
      </c>
      <c r="T31" s="540">
        <f t="shared" si="15"/>
        <v>441163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4">IF(R31-X31&lt;=0,"ok","oil change")</f>
        <v>ok</v>
      </c>
      <c r="Z31" s="287">
        <f t="shared" ref="Z31:Z32" si="45">C31+K31+S31</f>
        <v>0</v>
      </c>
      <c r="AA31" s="287">
        <f t="shared" ref="AA31:AA32" si="46">U31+M31+E31</f>
        <v>0</v>
      </c>
      <c r="AB31" s="287">
        <f t="shared" ref="AB31:AB32" si="47">V31+N31+F31</f>
        <v>250</v>
      </c>
      <c r="AC31" s="287">
        <f t="shared" ref="AC31:AC32" si="48">IF(Z31&gt;0,AA31/Z31,0)</f>
        <v>0</v>
      </c>
      <c r="AD31" s="73">
        <f>ELEC!Q31</f>
        <v>0</v>
      </c>
      <c r="AE31" s="73" t="e">
        <f t="shared" ref="AE31:AE32" si="49">SUM(AD31/Z31)</f>
        <v>#DIV/0!</v>
      </c>
      <c r="AF31" s="403" t="e">
        <f t="shared" ref="AF31:AF32" si="50">SUM(AE31/1600)</f>
        <v>#DIV/0!</v>
      </c>
      <c r="AG31" s="504" t="e">
        <f t="shared" ref="AG31:AG32" si="51">SUM(320*AF31)</f>
        <v>#DIV/0!</v>
      </c>
      <c r="AH31" s="504" t="e">
        <f t="shared" ref="AH31:AH32" si="52">SUM(AC31-AG31)</f>
        <v>#DIV/0!</v>
      </c>
      <c r="AI31" s="73">
        <f t="shared" ref="AI31:AI32" si="53">AD31*AJ31</f>
        <v>0</v>
      </c>
      <c r="AJ31" s="289">
        <f t="shared" si="7"/>
        <v>0.25738396624472576</v>
      </c>
      <c r="AK31" s="289">
        <f t="shared" ref="AK31:AK32" si="54">IF(Z31&gt;0,AI31/Z31,0)</f>
        <v>0</v>
      </c>
    </row>
    <row r="32" spans="1:37">
      <c r="A32" s="4">
        <f>ELEC!C32</f>
        <v>44316</v>
      </c>
      <c r="B32" s="539">
        <f t="shared" si="28"/>
        <v>9809</v>
      </c>
      <c r="C32" s="287">
        <f t="shared" si="35"/>
        <v>0</v>
      </c>
      <c r="D32" s="540">
        <f t="shared" si="27"/>
        <v>371590</v>
      </c>
      <c r="E32" s="287">
        <f t="shared" si="36"/>
        <v>0</v>
      </c>
      <c r="F32" s="287">
        <f t="shared" si="37"/>
        <v>0</v>
      </c>
      <c r="G32" s="338"/>
      <c r="H32" s="270">
        <f t="shared" si="21"/>
        <v>9934</v>
      </c>
      <c r="I32" s="287" t="str">
        <f t="shared" si="38"/>
        <v>ok</v>
      </c>
      <c r="J32" s="540">
        <f t="shared" si="11"/>
        <v>10698</v>
      </c>
      <c r="K32" s="287">
        <f t="shared" si="39"/>
        <v>0</v>
      </c>
      <c r="L32" s="540">
        <f t="shared" si="11"/>
        <v>357691</v>
      </c>
      <c r="M32" s="287">
        <f t="shared" si="40"/>
        <v>0</v>
      </c>
      <c r="N32" s="287">
        <f t="shared" si="41"/>
        <v>0</v>
      </c>
      <c r="O32" s="338"/>
      <c r="P32" s="288">
        <f t="shared" si="14"/>
        <v>10873</v>
      </c>
      <c r="Q32" s="287" t="str">
        <f t="shared" si="42"/>
        <v>ok</v>
      </c>
      <c r="R32" s="540">
        <f t="shared" si="15"/>
        <v>12061</v>
      </c>
      <c r="S32" s="287">
        <f t="shared" si="43"/>
        <v>0</v>
      </c>
      <c r="T32" s="540">
        <f t="shared" si="15"/>
        <v>441163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4"/>
        <v>ok</v>
      </c>
      <c r="Z32" s="287">
        <f t="shared" si="45"/>
        <v>0</v>
      </c>
      <c r="AA32" s="287">
        <f t="shared" si="46"/>
        <v>0</v>
      </c>
      <c r="AB32" s="287">
        <f t="shared" si="47"/>
        <v>250</v>
      </c>
      <c r="AC32" s="287">
        <f t="shared" si="48"/>
        <v>0</v>
      </c>
      <c r="AD32" s="73">
        <f>ELEC!Q32</f>
        <v>0</v>
      </c>
      <c r="AE32" s="73" t="e">
        <f t="shared" si="49"/>
        <v>#DIV/0!</v>
      </c>
      <c r="AF32" s="403" t="e">
        <f t="shared" si="50"/>
        <v>#DIV/0!</v>
      </c>
      <c r="AG32" s="504" t="e">
        <f t="shared" si="51"/>
        <v>#DIV/0!</v>
      </c>
      <c r="AH32" s="504" t="e">
        <f t="shared" si="52"/>
        <v>#DIV/0!</v>
      </c>
      <c r="AI32" s="73">
        <f t="shared" si="53"/>
        <v>0</v>
      </c>
      <c r="AJ32" s="289">
        <f t="shared" si="7"/>
        <v>0.25738396624472576</v>
      </c>
      <c r="AK32" s="289">
        <f t="shared" si="54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67</v>
      </c>
      <c r="V33" s="40"/>
      <c r="X33">
        <v>341</v>
      </c>
      <c r="Z33" s="421">
        <f>SUM(Z3:Z30)</f>
        <v>67</v>
      </c>
    </row>
    <row r="34" spans="3:26">
      <c r="C34" s="40">
        <f>SUM(C3:C30)</f>
        <v>37</v>
      </c>
      <c r="K34" s="40">
        <f>SUM(K3:K30)</f>
        <v>0</v>
      </c>
      <c r="S34" s="40">
        <f>SUM(S3:S30)</f>
        <v>30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zoomScale="70" zoomScaleNormal="70" workbookViewId="0">
      <selection activeCell="K7" sqref="K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90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8">
        <v>144003</v>
      </c>
      <c r="G4" s="160">
        <f t="shared" ref="G4:G30" si="1">F4-F3</f>
        <v>40</v>
      </c>
      <c r="H4" s="598">
        <v>468754</v>
      </c>
      <c r="I4" s="161">
        <f t="shared" ref="I4:I30" si="2">H4-H3</f>
        <v>318</v>
      </c>
      <c r="J4" s="598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1432.8154838709534</v>
      </c>
      <c r="R4" s="297">
        <f>SUM(P4:Q4)</f>
        <v>1651.2701660157848</v>
      </c>
      <c r="S4" s="299">
        <f>SUM(ELEC!N3)</f>
        <v>10627</v>
      </c>
      <c r="T4" s="336">
        <f>IF(S4&gt;0,R4/S4,0)</f>
        <v>0.15538441385299565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56"/>
      <c r="AC4" s="657"/>
    </row>
    <row r="5" spans="1:32" ht="20.100000000000001" customHeight="1">
      <c r="A5" s="163">
        <f>ELEC!C4</f>
        <v>44288</v>
      </c>
      <c r="B5" s="598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8">
        <v>144003</v>
      </c>
      <c r="G5" s="160">
        <f t="shared" si="1"/>
        <v>0</v>
      </c>
      <c r="H5" s="598">
        <v>469130</v>
      </c>
      <c r="I5" s="161">
        <f t="shared" si="2"/>
        <v>376</v>
      </c>
      <c r="J5" s="598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2952.4335483871118</v>
      </c>
      <c r="R5" s="297">
        <f t="shared" ref="R5:R30" si="10">SUM(P5:Q5)</f>
        <v>3152.8026583926398</v>
      </c>
      <c r="S5" s="299">
        <f>SUM(ELEC!N4)</f>
        <v>8566</v>
      </c>
      <c r="T5" s="336">
        <f>IF(S5&gt;0,R5/S5,0)</f>
        <v>0.36806008153077746</v>
      </c>
      <c r="U5" s="250"/>
      <c r="V5" s="650"/>
      <c r="W5" s="651"/>
      <c r="X5" s="651"/>
      <c r="Y5" s="652"/>
      <c r="Z5" s="26" t="s">
        <v>203</v>
      </c>
      <c r="AA5" s="264">
        <f>'[8]EDl log'!AA22</f>
        <v>5000</v>
      </c>
      <c r="AB5" s="658"/>
      <c r="AC5" s="659"/>
    </row>
    <row r="6" spans="1:32" ht="20.100000000000001" customHeight="1">
      <c r="A6" s="163">
        <f>ELEC!C5</f>
        <v>44289</v>
      </c>
      <c r="B6" s="598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8">
        <v>144225</v>
      </c>
      <c r="G6" s="160">
        <f t="shared" si="1"/>
        <v>222</v>
      </c>
      <c r="H6" s="598">
        <v>469522</v>
      </c>
      <c r="I6" s="161">
        <f t="shared" si="2"/>
        <v>392</v>
      </c>
      <c r="J6" s="598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2962.9935483870981</v>
      </c>
      <c r="R6" s="297">
        <f t="shared" si="10"/>
        <v>3211.5696235667556</v>
      </c>
      <c r="S6" s="299">
        <f>SUM(ELEC!N5)</f>
        <v>9686</v>
      </c>
      <c r="T6" s="336">
        <f t="shared" ref="T6:T30" si="12">IF(S6&gt;0,R6/S6,0)</f>
        <v>0.33156820396105263</v>
      </c>
      <c r="V6" s="653"/>
      <c r="W6" s="654"/>
      <c r="X6" s="654"/>
      <c r="Y6" s="655"/>
      <c r="Z6" s="3"/>
      <c r="AA6" s="3"/>
      <c r="AB6" s="658"/>
      <c r="AC6" s="659"/>
    </row>
    <row r="7" spans="1:32" ht="20.100000000000001" customHeight="1">
      <c r="A7" s="163">
        <f>ELEC!C6</f>
        <v>44290</v>
      </c>
      <c r="B7" s="598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8">
        <v>144225</v>
      </c>
      <c r="G7" s="160">
        <f t="shared" si="1"/>
        <v>0</v>
      </c>
      <c r="H7" s="598">
        <v>470042</v>
      </c>
      <c r="I7" s="161">
        <f t="shared" si="2"/>
        <v>520</v>
      </c>
      <c r="J7" s="598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2960.1135483870703</v>
      </c>
      <c r="R7" s="297">
        <f t="shared" si="10"/>
        <v>3167.625610299729</v>
      </c>
      <c r="S7" s="299">
        <f>SUM(ELEC!N6)</f>
        <v>9198</v>
      </c>
      <c r="T7" s="336">
        <f t="shared" si="12"/>
        <v>0.34438199720588486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2" ht="20.100000000000001" customHeight="1">
      <c r="A8" s="163">
        <f>ELEC!C7</f>
        <v>44291</v>
      </c>
      <c r="B8" s="598">
        <f t="shared" ref="B7:B33" si="13">B7</f>
        <v>959658</v>
      </c>
      <c r="C8" s="264">
        <f t="shared" si="0"/>
        <v>0</v>
      </c>
      <c r="D8" s="308">
        <f t="shared" si="7"/>
        <v>0</v>
      </c>
      <c r="E8" s="308">
        <f t="shared" si="11"/>
        <v>959658</v>
      </c>
      <c r="F8" s="598">
        <f t="shared" ref="F7:J33" si="14">F7</f>
        <v>144225</v>
      </c>
      <c r="G8" s="160">
        <f t="shared" si="1"/>
        <v>0</v>
      </c>
      <c r="H8" s="598">
        <f t="shared" si="14"/>
        <v>470042</v>
      </c>
      <c r="I8" s="161">
        <f t="shared" si="2"/>
        <v>0</v>
      </c>
      <c r="J8" s="598">
        <f t="shared" si="14"/>
        <v>345389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8"/>
        <v>159.96313985627418</v>
      </c>
      <c r="P8" s="297">
        <f t="shared" si="9"/>
        <v>159.96313985627418</v>
      </c>
      <c r="Q8" s="297">
        <f>SUM(-tanks!AX10*tanks!$AU$36)</f>
        <v>0</v>
      </c>
      <c r="R8" s="297">
        <f t="shared" si="10"/>
        <v>159.96313985627418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8">
        <f t="shared" si="13"/>
        <v>959658</v>
      </c>
      <c r="C9" s="264">
        <f t="shared" si="0"/>
        <v>0</v>
      </c>
      <c r="D9" s="308">
        <f t="shared" si="7"/>
        <v>0</v>
      </c>
      <c r="E9" s="308">
        <f t="shared" si="11"/>
        <v>959658</v>
      </c>
      <c r="F9" s="598">
        <f t="shared" si="14"/>
        <v>144225</v>
      </c>
      <c r="G9" s="160">
        <f t="shared" si="1"/>
        <v>0</v>
      </c>
      <c r="H9" s="598">
        <f t="shared" si="14"/>
        <v>470042</v>
      </c>
      <c r="I9" s="161">
        <f t="shared" si="2"/>
        <v>0</v>
      </c>
      <c r="J9" s="598">
        <f t="shared" si="14"/>
        <v>345389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8"/>
        <v>159.96313985627418</v>
      </c>
      <c r="P9" s="297">
        <f t="shared" si="9"/>
        <v>159.96313985627418</v>
      </c>
      <c r="Q9" s="297">
        <f>SUM(-tanks!AX11*tanks!$AU$36)</f>
        <v>0</v>
      </c>
      <c r="R9" s="297">
        <f>SUM(P9:Q9)</f>
        <v>159.96313985627418</v>
      </c>
      <c r="S9" s="299">
        <f>SUM(ELEC!N8)</f>
        <v>0</v>
      </c>
      <c r="T9" s="336">
        <f t="shared" si="12"/>
        <v>0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9">
        <f>'[3]EDl log'!AD26</f>
        <v>0.44904988583149508</v>
      </c>
    </row>
    <row r="10" spans="1:32" ht="20.100000000000001" customHeight="1">
      <c r="A10" s="163">
        <f>ELEC!C9</f>
        <v>44293</v>
      </c>
      <c r="B10" s="598">
        <f t="shared" si="13"/>
        <v>959658</v>
      </c>
      <c r="C10" s="264">
        <f t="shared" si="0"/>
        <v>0</v>
      </c>
      <c r="D10" s="308">
        <f t="shared" si="7"/>
        <v>0</v>
      </c>
      <c r="E10" s="308">
        <f t="shared" si="11"/>
        <v>959658</v>
      </c>
      <c r="F10" s="598">
        <f t="shared" si="14"/>
        <v>144225</v>
      </c>
      <c r="G10" s="160">
        <f t="shared" si="1"/>
        <v>0</v>
      </c>
      <c r="H10" s="598">
        <f t="shared" si="14"/>
        <v>470042</v>
      </c>
      <c r="I10" s="161">
        <f t="shared" si="2"/>
        <v>0</v>
      </c>
      <c r="J10" s="598">
        <f t="shared" si="14"/>
        <v>345389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8"/>
        <v>159.96313985627418</v>
      </c>
      <c r="P10" s="297">
        <f t="shared" si="9"/>
        <v>159.96313985627418</v>
      </c>
      <c r="Q10" s="297">
        <f>SUM(-tanks!AX12*tanks!$AU$36)</f>
        <v>0</v>
      </c>
      <c r="R10" s="297">
        <f t="shared" si="10"/>
        <v>159.96313985627418</v>
      </c>
      <c r="S10" s="299">
        <f>SUM(ELEC!N9)</f>
        <v>0</v>
      </c>
      <c r="T10" s="336">
        <f t="shared" si="12"/>
        <v>0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9">
        <f>'[3]EDl log'!AD27</f>
        <v>0.41828244127094699</v>
      </c>
    </row>
    <row r="11" spans="1:32" ht="20.100000000000001" customHeight="1">
      <c r="A11" s="163">
        <f>ELEC!C10</f>
        <v>44294</v>
      </c>
      <c r="B11" s="598">
        <f t="shared" si="13"/>
        <v>959658</v>
      </c>
      <c r="C11" s="264">
        <f t="shared" si="0"/>
        <v>0</v>
      </c>
      <c r="D11" s="308">
        <f>SUM(G11+I11+K11)</f>
        <v>0</v>
      </c>
      <c r="E11" s="308">
        <f t="shared" si="11"/>
        <v>959658</v>
      </c>
      <c r="F11" s="598">
        <f t="shared" si="14"/>
        <v>144225</v>
      </c>
      <c r="G11" s="160">
        <f t="shared" si="1"/>
        <v>0</v>
      </c>
      <c r="H11" s="598">
        <f t="shared" si="14"/>
        <v>470042</v>
      </c>
      <c r="I11" s="161">
        <f t="shared" si="2"/>
        <v>0</v>
      </c>
      <c r="J11" s="598">
        <f t="shared" si="14"/>
        <v>345389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159.96313985627418</v>
      </c>
      <c r="P11" s="297">
        <f t="shared" si="9"/>
        <v>159.96313985627418</v>
      </c>
      <c r="Q11" s="297">
        <f>SUM(-tanks!AX13*tanks!$AU$36)</f>
        <v>0</v>
      </c>
      <c r="R11" s="297">
        <f t="shared" si="10"/>
        <v>159.96313985627418</v>
      </c>
      <c r="S11" s="299">
        <f>SUM(ELEC!N10)</f>
        <v>0</v>
      </c>
      <c r="T11" s="336">
        <f t="shared" si="12"/>
        <v>0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9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8">
        <f t="shared" si="13"/>
        <v>959658</v>
      </c>
      <c r="C12" s="264">
        <f t="shared" si="0"/>
        <v>0</v>
      </c>
      <c r="D12" s="308">
        <f t="shared" si="7"/>
        <v>0</v>
      </c>
      <c r="E12" s="308">
        <f t="shared" si="11"/>
        <v>959658</v>
      </c>
      <c r="F12" s="598">
        <f t="shared" si="14"/>
        <v>144225</v>
      </c>
      <c r="G12" s="160">
        <f t="shared" si="1"/>
        <v>0</v>
      </c>
      <c r="H12" s="598">
        <f t="shared" si="14"/>
        <v>470042</v>
      </c>
      <c r="I12" s="161">
        <f t="shared" si="2"/>
        <v>0</v>
      </c>
      <c r="J12" s="598">
        <f t="shared" si="14"/>
        <v>345389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159.96313985627418</v>
      </c>
      <c r="P12" s="297">
        <f t="shared" si="9"/>
        <v>159.96313985627418</v>
      </c>
      <c r="Q12" s="297">
        <f>SUM(-tanks!AX14*tanks!$AU$36)</f>
        <v>0</v>
      </c>
      <c r="R12" s="297">
        <f t="shared" si="10"/>
        <v>159.96313985627418</v>
      </c>
      <c r="S12" s="299">
        <f>SUM(ELEC!N11)</f>
        <v>0</v>
      </c>
      <c r="T12" s="336">
        <f t="shared" si="12"/>
        <v>0</v>
      </c>
      <c r="V12" s="567"/>
      <c r="W12" s="264"/>
      <c r="X12" s="3"/>
      <c r="Y12" s="264"/>
      <c r="Z12" s="565">
        <f>'[10]EDl log'!Z29</f>
        <v>0</v>
      </c>
      <c r="AA12" s="586">
        <f>'[1]EDl log'!$AA$29</f>
        <v>53698</v>
      </c>
      <c r="AB12" s="565">
        <f>'[2]EDl log'!AB29</f>
        <v>0</v>
      </c>
      <c r="AC12" s="565">
        <f>'[2]EDl log'!AC29</f>
        <v>0</v>
      </c>
      <c r="AD12" s="589"/>
    </row>
    <row r="13" spans="1:32" ht="20.100000000000001" customHeight="1">
      <c r="A13" s="163">
        <f>ELEC!C12</f>
        <v>44296</v>
      </c>
      <c r="B13" s="598">
        <f t="shared" si="13"/>
        <v>959658</v>
      </c>
      <c r="C13" s="264">
        <f t="shared" si="0"/>
        <v>0</v>
      </c>
      <c r="D13" s="308">
        <f t="shared" si="7"/>
        <v>0</v>
      </c>
      <c r="E13" s="308">
        <f t="shared" si="11"/>
        <v>959658</v>
      </c>
      <c r="F13" s="598">
        <f t="shared" si="14"/>
        <v>144225</v>
      </c>
      <c r="G13" s="160">
        <f t="shared" si="1"/>
        <v>0</v>
      </c>
      <c r="H13" s="598">
        <f t="shared" si="14"/>
        <v>470042</v>
      </c>
      <c r="I13" s="161">
        <f t="shared" si="2"/>
        <v>0</v>
      </c>
      <c r="J13" s="598">
        <f t="shared" si="14"/>
        <v>345389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159.96313985627418</v>
      </c>
      <c r="P13" s="297">
        <f t="shared" si="9"/>
        <v>159.96313985627418</v>
      </c>
      <c r="Q13" s="297">
        <f>SUM(-tanks!AX15*tanks!$AU$36)</f>
        <v>0</v>
      </c>
      <c r="R13" s="297">
        <f t="shared" si="10"/>
        <v>159.96313985627418</v>
      </c>
      <c r="S13" s="299">
        <f>SUM(ELEC!N12)</f>
        <v>0</v>
      </c>
      <c r="T13" s="336">
        <f>IF(S13&gt;0,R13/S13,0)</f>
        <v>0</v>
      </c>
      <c r="V13" s="567" t="str">
        <f>'[8]EDl log'!V30</f>
        <v>Occ %</v>
      </c>
      <c r="W13" s="599">
        <f>'[3]EDl log'!W30</f>
        <v>0</v>
      </c>
      <c r="X13" s="506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8">
        <f t="shared" si="13"/>
        <v>959658</v>
      </c>
      <c r="C14" s="264">
        <f t="shared" si="0"/>
        <v>0</v>
      </c>
      <c r="D14" s="308">
        <f t="shared" si="7"/>
        <v>0</v>
      </c>
      <c r="E14" s="308">
        <f t="shared" si="11"/>
        <v>959658</v>
      </c>
      <c r="F14" s="598">
        <f t="shared" si="14"/>
        <v>144225</v>
      </c>
      <c r="G14" s="160">
        <f t="shared" si="1"/>
        <v>0</v>
      </c>
      <c r="H14" s="598">
        <f t="shared" si="14"/>
        <v>470042</v>
      </c>
      <c r="I14" s="161">
        <f t="shared" si="2"/>
        <v>0</v>
      </c>
      <c r="J14" s="598">
        <f t="shared" si="14"/>
        <v>345389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8"/>
        <v>159.96313985627418</v>
      </c>
      <c r="P14" s="297">
        <f t="shared" ref="P14:P17" si="19">SUM(L14:O14)</f>
        <v>159.96313985627418</v>
      </c>
      <c r="Q14" s="297">
        <f>SUM(-tanks!AX16*tanks!$AU$36)</f>
        <v>0</v>
      </c>
      <c r="R14" s="297">
        <f t="shared" ref="R14:R17" si="20">SUM(P14:Q14)</f>
        <v>159.96313985627418</v>
      </c>
      <c r="S14" s="299">
        <f>SUM(ELEC!N13)</f>
        <v>0</v>
      </c>
      <c r="T14" s="336">
        <f t="shared" ref="T14:T17" si="21">IF(S14&gt;0,R14/S14,0)</f>
        <v>0</v>
      </c>
      <c r="V14" s="567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598">
        <f t="shared" si="13"/>
        <v>959658</v>
      </c>
      <c r="C15" s="264">
        <f t="shared" si="0"/>
        <v>0</v>
      </c>
      <c r="D15" s="308">
        <f t="shared" si="7"/>
        <v>0</v>
      </c>
      <c r="E15" s="308">
        <f t="shared" si="11"/>
        <v>959658</v>
      </c>
      <c r="F15" s="598">
        <f t="shared" si="14"/>
        <v>144225</v>
      </c>
      <c r="G15" s="160">
        <f t="shared" si="1"/>
        <v>0</v>
      </c>
      <c r="H15" s="598">
        <f t="shared" si="14"/>
        <v>470042</v>
      </c>
      <c r="I15" s="161">
        <f t="shared" si="2"/>
        <v>0</v>
      </c>
      <c r="J15" s="598">
        <f t="shared" si="14"/>
        <v>345389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8"/>
        <v>159.96313985627418</v>
      </c>
      <c r="P15" s="297">
        <f t="shared" si="19"/>
        <v>159.96313985627418</v>
      </c>
      <c r="Q15" s="297">
        <f>SUM(-tanks!AX17*tanks!$AU$36)</f>
        <v>0</v>
      </c>
      <c r="R15" s="297">
        <f t="shared" si="20"/>
        <v>159.96313985627418</v>
      </c>
      <c r="S15" s="299">
        <f>SUM(ELEC!N14)</f>
        <v>0</v>
      </c>
      <c r="T15" s="336">
        <f t="shared" si="21"/>
        <v>0</v>
      </c>
      <c r="V15" s="567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7"/>
    </row>
    <row r="16" spans="1:32" ht="20.100000000000001" customHeight="1" thickBot="1">
      <c r="A16" s="163">
        <f>ELEC!C15</f>
        <v>44299</v>
      </c>
      <c r="B16" s="598">
        <f t="shared" si="13"/>
        <v>959658</v>
      </c>
      <c r="C16" s="264">
        <f t="shared" si="0"/>
        <v>0</v>
      </c>
      <c r="D16" s="308">
        <f t="shared" si="7"/>
        <v>0</v>
      </c>
      <c r="E16" s="308">
        <f t="shared" si="11"/>
        <v>959658</v>
      </c>
      <c r="F16" s="598">
        <f t="shared" si="14"/>
        <v>144225</v>
      </c>
      <c r="G16" s="160">
        <f t="shared" si="1"/>
        <v>0</v>
      </c>
      <c r="H16" s="598">
        <f t="shared" si="14"/>
        <v>470042</v>
      </c>
      <c r="I16" s="161">
        <f t="shared" si="2"/>
        <v>0</v>
      </c>
      <c r="J16" s="598">
        <f t="shared" si="14"/>
        <v>345389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8"/>
        <v>159.96313985627418</v>
      </c>
      <c r="P16" s="297">
        <f t="shared" si="19"/>
        <v>159.96313985627418</v>
      </c>
      <c r="Q16" s="297">
        <f>SUM(-tanks!AX18*tanks!$AU$36)</f>
        <v>0</v>
      </c>
      <c r="R16" s="297">
        <f t="shared" si="20"/>
        <v>159.96313985627418</v>
      </c>
      <c r="S16" s="299">
        <f>SUM(ELEC!N15)</f>
        <v>0</v>
      </c>
      <c r="T16" s="336">
        <f t="shared" si="21"/>
        <v>0</v>
      </c>
      <c r="V16" s="567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3">
        <f>SUM(AB14/1507.5)</f>
        <v>0</v>
      </c>
      <c r="AC16" s="588"/>
    </row>
    <row r="17" spans="1:32" ht="20.100000000000001" customHeight="1">
      <c r="A17" s="163">
        <f>ELEC!C16</f>
        <v>44300</v>
      </c>
      <c r="B17" s="598">
        <f t="shared" si="13"/>
        <v>959658</v>
      </c>
      <c r="C17" s="264">
        <f t="shared" si="0"/>
        <v>0</v>
      </c>
      <c r="D17" s="308">
        <f t="shared" si="7"/>
        <v>0</v>
      </c>
      <c r="E17" s="308">
        <f t="shared" si="11"/>
        <v>959658</v>
      </c>
      <c r="F17" s="598">
        <f t="shared" si="14"/>
        <v>144225</v>
      </c>
      <c r="G17" s="160">
        <f t="shared" si="1"/>
        <v>0</v>
      </c>
      <c r="H17" s="598">
        <f t="shared" si="14"/>
        <v>470042</v>
      </c>
      <c r="I17" s="161">
        <f t="shared" si="2"/>
        <v>0</v>
      </c>
      <c r="J17" s="598">
        <f t="shared" si="14"/>
        <v>345389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8"/>
        <v>159.96313985627418</v>
      </c>
      <c r="P17" s="297">
        <f t="shared" si="19"/>
        <v>159.96313985627418</v>
      </c>
      <c r="Q17" s="297">
        <f>SUM(-tanks!AX19*tanks!$AU$36)</f>
        <v>0</v>
      </c>
      <c r="R17" s="297">
        <f t="shared" si="20"/>
        <v>159.96313985627418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585">
        <f>'[11]EDl log'!AA34</f>
        <v>0.11</v>
      </c>
      <c r="AB17" s="584"/>
      <c r="AC17" s="565">
        <f>'[2]EDl log'!AC34</f>
        <v>0</v>
      </c>
    </row>
    <row r="18" spans="1:32" ht="20.100000000000001" customHeight="1" thickBot="1">
      <c r="A18" s="163">
        <f>ELEC!C17</f>
        <v>44301</v>
      </c>
      <c r="B18" s="598">
        <f t="shared" si="13"/>
        <v>959658</v>
      </c>
      <c r="C18" s="264">
        <f t="shared" si="0"/>
        <v>0</v>
      </c>
      <c r="D18" s="308">
        <f t="shared" si="7"/>
        <v>0</v>
      </c>
      <c r="E18" s="308">
        <f t="shared" si="11"/>
        <v>959658</v>
      </c>
      <c r="F18" s="598">
        <f t="shared" si="14"/>
        <v>144225</v>
      </c>
      <c r="G18" s="160">
        <f t="shared" si="1"/>
        <v>0</v>
      </c>
      <c r="H18" s="598">
        <f t="shared" si="14"/>
        <v>470042</v>
      </c>
      <c r="I18" s="161">
        <f t="shared" si="2"/>
        <v>0</v>
      </c>
      <c r="J18" s="598">
        <f t="shared" si="14"/>
        <v>345389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85"/>
      <c r="AB18" s="584"/>
      <c r="AC18" s="565">
        <f>'[2]EDl log'!AC35</f>
        <v>0</v>
      </c>
    </row>
    <row r="19" spans="1:32" ht="20.100000000000001" customHeight="1" thickBot="1">
      <c r="A19" s="163">
        <f>ELEC!C18</f>
        <v>44302</v>
      </c>
      <c r="B19" s="598">
        <f t="shared" si="13"/>
        <v>959658</v>
      </c>
      <c r="C19" s="264">
        <f t="shared" si="0"/>
        <v>0</v>
      </c>
      <c r="D19" s="308">
        <f t="shared" si="7"/>
        <v>0</v>
      </c>
      <c r="E19" s="308">
        <f t="shared" si="11"/>
        <v>959658</v>
      </c>
      <c r="F19" s="598">
        <f t="shared" si="14"/>
        <v>144225</v>
      </c>
      <c r="G19" s="160">
        <f t="shared" si="1"/>
        <v>0</v>
      </c>
      <c r="H19" s="598">
        <f t="shared" si="14"/>
        <v>470042</v>
      </c>
      <c r="I19" s="161">
        <f t="shared" si="2"/>
        <v>0</v>
      </c>
      <c r="J19" s="598">
        <f t="shared" si="14"/>
        <v>345389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8"/>
      <c r="Z19" s="568"/>
      <c r="AA19" s="585"/>
      <c r="AB19" s="584"/>
      <c r="AC19" s="565">
        <f>'[2]EDl log'!AC36</f>
        <v>0</v>
      </c>
    </row>
    <row r="20" spans="1:32" ht="20.100000000000001" customHeight="1" thickBot="1">
      <c r="A20" s="163">
        <f>ELEC!C19</f>
        <v>44303</v>
      </c>
      <c r="B20" s="598">
        <f t="shared" si="13"/>
        <v>959658</v>
      </c>
      <c r="C20" s="264">
        <f t="shared" si="0"/>
        <v>0</v>
      </c>
      <c r="D20" s="308">
        <f t="shared" si="7"/>
        <v>0</v>
      </c>
      <c r="E20" s="308">
        <f t="shared" si="11"/>
        <v>959658</v>
      </c>
      <c r="F20" s="598">
        <f t="shared" si="14"/>
        <v>144225</v>
      </c>
      <c r="G20" s="160">
        <f t="shared" si="1"/>
        <v>0</v>
      </c>
      <c r="H20" s="598">
        <f t="shared" si="14"/>
        <v>470042</v>
      </c>
      <c r="I20" s="161">
        <f t="shared" si="2"/>
        <v>0</v>
      </c>
      <c r="J20" s="598">
        <f t="shared" si="14"/>
        <v>345389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6"/>
    </row>
    <row r="21" spans="1:32" ht="20.100000000000001" customHeight="1">
      <c r="A21" s="163">
        <f>ELEC!C20</f>
        <v>44304</v>
      </c>
      <c r="B21" s="598">
        <f t="shared" si="13"/>
        <v>959658</v>
      </c>
      <c r="C21" s="264">
        <f t="shared" si="0"/>
        <v>0</v>
      </c>
      <c r="D21" s="308">
        <f t="shared" si="7"/>
        <v>0</v>
      </c>
      <c r="E21" s="308">
        <f t="shared" si="11"/>
        <v>959658</v>
      </c>
      <c r="F21" s="598">
        <f t="shared" si="14"/>
        <v>144225</v>
      </c>
      <c r="G21" s="160">
        <f t="shared" si="1"/>
        <v>0</v>
      </c>
      <c r="H21" s="598">
        <f t="shared" si="14"/>
        <v>470042</v>
      </c>
      <c r="I21" s="161">
        <f t="shared" si="2"/>
        <v>0</v>
      </c>
      <c r="J21" s="598">
        <f t="shared" si="14"/>
        <v>345389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56"/>
      <c r="AC21" s="657"/>
    </row>
    <row r="22" spans="1:32" ht="20.100000000000001" customHeight="1">
      <c r="A22" s="163">
        <f>ELEC!C21</f>
        <v>44305</v>
      </c>
      <c r="B22" s="598">
        <f t="shared" si="13"/>
        <v>959658</v>
      </c>
      <c r="C22" s="264">
        <f t="shared" si="0"/>
        <v>0</v>
      </c>
      <c r="D22" s="308">
        <f t="shared" si="7"/>
        <v>0</v>
      </c>
      <c r="E22" s="308">
        <f t="shared" si="11"/>
        <v>959658</v>
      </c>
      <c r="F22" s="598">
        <f t="shared" si="14"/>
        <v>144225</v>
      </c>
      <c r="G22" s="160">
        <f t="shared" si="1"/>
        <v>0</v>
      </c>
      <c r="H22" s="598">
        <f t="shared" si="14"/>
        <v>470042</v>
      </c>
      <c r="I22" s="161">
        <f t="shared" si="2"/>
        <v>0</v>
      </c>
      <c r="J22" s="598">
        <f t="shared" si="14"/>
        <v>345389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20.100000000000001" customHeight="1">
      <c r="A23" s="163">
        <f>ELEC!C22</f>
        <v>44306</v>
      </c>
      <c r="B23" s="598">
        <f t="shared" si="13"/>
        <v>959658</v>
      </c>
      <c r="C23" s="264">
        <f t="shared" si="0"/>
        <v>0</v>
      </c>
      <c r="D23" s="308">
        <f t="shared" si="7"/>
        <v>0</v>
      </c>
      <c r="E23" s="308">
        <f t="shared" si="11"/>
        <v>959658</v>
      </c>
      <c r="F23" s="598">
        <f t="shared" si="14"/>
        <v>144225</v>
      </c>
      <c r="G23" s="160">
        <f t="shared" si="1"/>
        <v>0</v>
      </c>
      <c r="H23" s="598">
        <f t="shared" si="14"/>
        <v>470042</v>
      </c>
      <c r="I23" s="161">
        <f t="shared" si="2"/>
        <v>0</v>
      </c>
      <c r="J23" s="598">
        <f t="shared" si="14"/>
        <v>345389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65"/>
      <c r="W23" s="666"/>
      <c r="X23" s="666"/>
      <c r="Y23" s="667"/>
      <c r="Z23" s="668"/>
      <c r="AA23" s="669"/>
      <c r="AB23" s="658"/>
      <c r="AC23" s="659"/>
    </row>
    <row r="24" spans="1:32" ht="20.100000000000001" customHeight="1">
      <c r="A24" s="163">
        <f>ELEC!C23</f>
        <v>44307</v>
      </c>
      <c r="B24" s="598">
        <f t="shared" si="13"/>
        <v>959658</v>
      </c>
      <c r="C24" s="264">
        <f t="shared" si="0"/>
        <v>0</v>
      </c>
      <c r="D24" s="308">
        <f t="shared" si="7"/>
        <v>0</v>
      </c>
      <c r="E24" s="308">
        <f t="shared" si="11"/>
        <v>959658</v>
      </c>
      <c r="F24" s="598">
        <f t="shared" si="14"/>
        <v>144225</v>
      </c>
      <c r="G24" s="160">
        <f t="shared" si="1"/>
        <v>0</v>
      </c>
      <c r="H24" s="598">
        <f t="shared" si="14"/>
        <v>470042</v>
      </c>
      <c r="I24" s="161">
        <f t="shared" si="2"/>
        <v>0</v>
      </c>
      <c r="J24" s="598">
        <f t="shared" si="14"/>
        <v>345389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20.100000000000001" customHeight="1">
      <c r="A25" s="163">
        <f>ELEC!C24</f>
        <v>44308</v>
      </c>
      <c r="B25" s="598">
        <f t="shared" si="13"/>
        <v>959658</v>
      </c>
      <c r="C25" s="264">
        <f t="shared" si="0"/>
        <v>0</v>
      </c>
      <c r="D25" s="308">
        <f t="shared" si="7"/>
        <v>0</v>
      </c>
      <c r="E25" s="308">
        <f t="shared" si="11"/>
        <v>959658</v>
      </c>
      <c r="F25" s="598">
        <f t="shared" si="14"/>
        <v>144225</v>
      </c>
      <c r="G25" s="160">
        <f t="shared" si="1"/>
        <v>0</v>
      </c>
      <c r="H25" s="598">
        <f t="shared" si="14"/>
        <v>470042</v>
      </c>
      <c r="I25" s="161">
        <f t="shared" si="2"/>
        <v>0</v>
      </c>
      <c r="J25" s="598">
        <f t="shared" si="14"/>
        <v>345389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8">
        <f t="shared" si="13"/>
        <v>959658</v>
      </c>
      <c r="C26" s="264">
        <f t="shared" si="0"/>
        <v>0</v>
      </c>
      <c r="D26" s="308">
        <f t="shared" si="7"/>
        <v>0</v>
      </c>
      <c r="E26" s="308">
        <f t="shared" si="11"/>
        <v>959658</v>
      </c>
      <c r="F26" s="598">
        <f t="shared" si="14"/>
        <v>144225</v>
      </c>
      <c r="G26" s="160">
        <f t="shared" si="1"/>
        <v>0</v>
      </c>
      <c r="H26" s="598">
        <f t="shared" si="14"/>
        <v>470042</v>
      </c>
      <c r="I26" s="161">
        <f t="shared" si="2"/>
        <v>0</v>
      </c>
      <c r="J26" s="598">
        <f t="shared" si="14"/>
        <v>345389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345389</v>
      </c>
      <c r="X26" s="172" t="s">
        <v>199</v>
      </c>
      <c r="Y26" s="172">
        <v>80</v>
      </c>
      <c r="Z26" s="172">
        <v>1</v>
      </c>
      <c r="AA26" s="338">
        <f>(W26-V26)*Z26</f>
        <v>1133</v>
      </c>
      <c r="AB26" s="338">
        <f>AA26*Y26</f>
        <v>90640</v>
      </c>
      <c r="AC26" s="249">
        <f>AC9</f>
        <v>1033333</v>
      </c>
      <c r="AD26" s="212">
        <f>SUM(K35)</f>
        <v>0.37741505662891406</v>
      </c>
    </row>
    <row r="27" spans="1:32" ht="20.100000000000001" customHeight="1">
      <c r="A27" s="163">
        <f>ELEC!C26</f>
        <v>44310</v>
      </c>
      <c r="B27" s="598">
        <f t="shared" si="13"/>
        <v>959658</v>
      </c>
      <c r="C27" s="264">
        <f t="shared" si="0"/>
        <v>0</v>
      </c>
      <c r="D27" s="308">
        <f t="shared" si="7"/>
        <v>0</v>
      </c>
      <c r="E27" s="308">
        <f t="shared" si="11"/>
        <v>959658</v>
      </c>
      <c r="F27" s="598">
        <f t="shared" si="14"/>
        <v>144225</v>
      </c>
      <c r="G27" s="160">
        <f t="shared" si="1"/>
        <v>0</v>
      </c>
      <c r="H27" s="598">
        <f t="shared" si="14"/>
        <v>470042</v>
      </c>
      <c r="I27" s="161">
        <f t="shared" si="2"/>
        <v>0</v>
      </c>
      <c r="J27" s="598">
        <f t="shared" si="14"/>
        <v>345389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470042</v>
      </c>
      <c r="X27" s="172" t="s">
        <v>213</v>
      </c>
      <c r="Y27" s="172">
        <v>112</v>
      </c>
      <c r="Z27" s="172">
        <v>1</v>
      </c>
      <c r="AA27" s="338">
        <f>(W27-V27)*Z27</f>
        <v>1606</v>
      </c>
      <c r="AB27" s="338">
        <f>SUM(AA27*Y27)</f>
        <v>179872</v>
      </c>
      <c r="AC27" s="249">
        <f>AC10</f>
        <v>6200000</v>
      </c>
      <c r="AD27" s="212">
        <f>SUM(I35)</f>
        <v>0.53497668221185879</v>
      </c>
    </row>
    <row r="28" spans="1:32" ht="20.100000000000001" customHeight="1">
      <c r="A28" s="163">
        <f>ELEC!C27</f>
        <v>44311</v>
      </c>
      <c r="B28" s="598">
        <f t="shared" si="13"/>
        <v>959658</v>
      </c>
      <c r="C28" s="264">
        <f t="shared" si="0"/>
        <v>0</v>
      </c>
      <c r="D28" s="308">
        <f t="shared" si="7"/>
        <v>0</v>
      </c>
      <c r="E28" s="308">
        <f t="shared" si="11"/>
        <v>959658</v>
      </c>
      <c r="F28" s="598">
        <f t="shared" si="14"/>
        <v>144225</v>
      </c>
      <c r="G28" s="160">
        <f t="shared" si="1"/>
        <v>0</v>
      </c>
      <c r="H28" s="598">
        <f t="shared" si="14"/>
        <v>470042</v>
      </c>
      <c r="I28" s="161">
        <f t="shared" si="2"/>
        <v>0</v>
      </c>
      <c r="J28" s="598">
        <f t="shared" si="14"/>
        <v>345389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144225</v>
      </c>
      <c r="X28" s="172" t="s">
        <v>197</v>
      </c>
      <c r="Y28" s="172">
        <v>320</v>
      </c>
      <c r="Z28" s="172">
        <v>1</v>
      </c>
      <c r="AA28" s="338">
        <f>(W28-V28)*Z28</f>
        <v>262</v>
      </c>
      <c r="AB28" s="338">
        <f>SUM(AA28*Y28)</f>
        <v>83840</v>
      </c>
      <c r="AC28" s="249">
        <f>AC11</f>
        <v>1000</v>
      </c>
      <c r="AD28" s="212">
        <f>SUM(G35)</f>
        <v>8.7275149900066629E-2</v>
      </c>
      <c r="AE28" s="40">
        <f>SUM(AB28*5%)</f>
        <v>4192</v>
      </c>
      <c r="AF28" s="82">
        <f>SUM(AE28/7)*31</f>
        <v>18564.571428571431</v>
      </c>
    </row>
    <row r="29" spans="1:32" ht="20.100000000000001" customHeight="1">
      <c r="A29" s="163">
        <f>ELEC!C28</f>
        <v>44312</v>
      </c>
      <c r="B29" s="598">
        <f t="shared" si="13"/>
        <v>959658</v>
      </c>
      <c r="C29" s="264">
        <f t="shared" si="0"/>
        <v>0</v>
      </c>
      <c r="D29" s="308">
        <f t="shared" si="7"/>
        <v>0</v>
      </c>
      <c r="E29" s="308">
        <f t="shared" si="11"/>
        <v>959658</v>
      </c>
      <c r="F29" s="598">
        <f t="shared" si="14"/>
        <v>144225</v>
      </c>
      <c r="G29" s="160">
        <f t="shared" si="1"/>
        <v>0</v>
      </c>
      <c r="H29" s="598">
        <f t="shared" si="14"/>
        <v>470042</v>
      </c>
      <c r="I29" s="161">
        <f t="shared" si="2"/>
        <v>0</v>
      </c>
      <c r="J29" s="598">
        <f t="shared" si="14"/>
        <v>345389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3001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8">
        <f t="shared" si="13"/>
        <v>959658</v>
      </c>
      <c r="C30" s="264">
        <f t="shared" si="0"/>
        <v>0</v>
      </c>
      <c r="D30" s="308">
        <f t="shared" si="7"/>
        <v>0</v>
      </c>
      <c r="E30" s="308">
        <f t="shared" si="11"/>
        <v>959658</v>
      </c>
      <c r="F30" s="598">
        <f t="shared" si="14"/>
        <v>144225</v>
      </c>
      <c r="G30" s="160">
        <f t="shared" si="1"/>
        <v>0</v>
      </c>
      <c r="H30" s="598">
        <f t="shared" si="14"/>
        <v>470042</v>
      </c>
      <c r="I30" s="161">
        <f t="shared" si="2"/>
        <v>0</v>
      </c>
      <c r="J30" s="598">
        <f t="shared" si="14"/>
        <v>345389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354352</v>
      </c>
      <c r="AC30" s="249"/>
    </row>
    <row r="31" spans="1:32" ht="20.100000000000001" customHeight="1">
      <c r="A31" s="163">
        <f>ELEC!C30</f>
        <v>44314</v>
      </c>
      <c r="B31" s="598">
        <f t="shared" si="13"/>
        <v>959658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959658</v>
      </c>
      <c r="F31" s="598">
        <f t="shared" si="14"/>
        <v>144225</v>
      </c>
      <c r="G31" s="160">
        <f t="shared" ref="G31:G33" si="29">F31-F30</f>
        <v>0</v>
      </c>
      <c r="H31" s="598">
        <f t="shared" si="14"/>
        <v>470042</v>
      </c>
      <c r="I31" s="161">
        <f t="shared" ref="I31:I33" si="30">H31-H30</f>
        <v>0</v>
      </c>
      <c r="J31" s="598">
        <f t="shared" si="14"/>
        <v>345389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2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8">
        <f t="shared" si="13"/>
        <v>959658</v>
      </c>
      <c r="C32" s="264">
        <f t="shared" si="26"/>
        <v>0</v>
      </c>
      <c r="D32" s="308">
        <f t="shared" si="27"/>
        <v>0</v>
      </c>
      <c r="E32" s="308">
        <f t="shared" si="28"/>
        <v>959658</v>
      </c>
      <c r="F32" s="598">
        <f t="shared" si="14"/>
        <v>144225</v>
      </c>
      <c r="G32" s="160">
        <f t="shared" si="29"/>
        <v>0</v>
      </c>
      <c r="H32" s="598">
        <f t="shared" si="14"/>
        <v>470042</v>
      </c>
      <c r="I32" s="161">
        <f t="shared" si="30"/>
        <v>0</v>
      </c>
      <c r="J32" s="598">
        <f t="shared" si="14"/>
        <v>345389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2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8">
        <f t="shared" si="13"/>
        <v>959658</v>
      </c>
      <c r="C33" s="264">
        <f t="shared" si="26"/>
        <v>0</v>
      </c>
      <c r="D33" s="308">
        <f t="shared" si="27"/>
        <v>0</v>
      </c>
      <c r="E33" s="308">
        <f t="shared" si="28"/>
        <v>959658</v>
      </c>
      <c r="F33" s="598">
        <f t="shared" si="14"/>
        <v>144225</v>
      </c>
      <c r="G33" s="160">
        <f t="shared" si="29"/>
        <v>0</v>
      </c>
      <c r="H33" s="598">
        <f t="shared" si="14"/>
        <v>470042</v>
      </c>
      <c r="I33" s="161">
        <f t="shared" si="30"/>
        <v>0</v>
      </c>
      <c r="J33" s="598">
        <f t="shared" si="14"/>
        <v>345389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600">
        <f>'Utility Cost '!B18</f>
        <v>67</v>
      </c>
      <c r="X33" s="222"/>
      <c r="Y33" s="260"/>
      <c r="Z33" s="3"/>
      <c r="AA33" s="3"/>
      <c r="AB33" s="541">
        <f>SUM(AB30+AC33)</f>
        <v>7588685</v>
      </c>
      <c r="AC33" s="249">
        <f>SUM(AC29)</f>
        <v>7234333</v>
      </c>
    </row>
    <row r="34" spans="1:32" ht="15.75" thickBot="1">
      <c r="A34" s="538">
        <f>A36-COUNTIF(C4:C33,0)</f>
        <v>4</v>
      </c>
      <c r="C34" s="173">
        <f>SUM(C4:C33)/A34</f>
        <v>750.5</v>
      </c>
      <c r="D34" s="173"/>
      <c r="E34" s="173"/>
      <c r="G34" s="173">
        <f>SUM(G4:G33)/A34</f>
        <v>65.5</v>
      </c>
      <c r="I34" s="173">
        <f>SUM(I4:I33)/A34</f>
        <v>401.5</v>
      </c>
      <c r="K34" s="173">
        <f>SUM(K4:K33)/A34</f>
        <v>283.25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2"/>
      <c r="AD34" s="82">
        <f>AC33/1507</f>
        <v>4800.4863968148638</v>
      </c>
    </row>
    <row r="35" spans="1:32" ht="15.75" thickBot="1">
      <c r="A35" s="210"/>
      <c r="C35" s="212">
        <f>SUM(G35:K35)</f>
        <v>0.99966688874083953</v>
      </c>
      <c r="G35" s="225">
        <f>IF(C34&gt;0,G34/C34,0)</f>
        <v>8.7275149900066629E-2</v>
      </c>
      <c r="H35" s="212"/>
      <c r="I35" s="225">
        <f>SUM(I34/C34)</f>
        <v>0.53497668221185879</v>
      </c>
      <c r="J35" s="212"/>
      <c r="K35" s="225">
        <f>SUM(K34/C34)</f>
        <v>0.37741505662891406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3">
        <f>SUM(AB33/1507.5)</f>
        <v>5033.9535655058044</v>
      </c>
      <c r="AC35" s="574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9"/>
      <c r="AA36" s="569"/>
      <c r="AB36" s="570"/>
      <c r="AC36" s="571"/>
    </row>
    <row r="37" spans="1:32">
      <c r="V37" s="217"/>
      <c r="W37" s="82"/>
      <c r="Z37" s="40"/>
      <c r="AA37" s="292"/>
      <c r="AB37" s="294">
        <f>SUM(AB35)</f>
        <v>5033.9535655058044</v>
      </c>
    </row>
    <row r="38" spans="1:32">
      <c r="V38" s="217"/>
      <c r="W38" s="82"/>
      <c r="X38" s="542"/>
      <c r="Z38" s="294"/>
      <c r="AA38" s="293"/>
      <c r="AB38" s="293"/>
    </row>
    <row r="39" spans="1:32">
      <c r="V39" s="17"/>
      <c r="W39" s="82"/>
      <c r="X39" s="542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9"/>
      <c r="E41" s="519"/>
      <c r="F41" s="519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3"/>
      <c r="W44" s="544"/>
      <c r="X44" s="17"/>
      <c r="Y44" s="17"/>
      <c r="Z44" s="545"/>
      <c r="AA44" s="17"/>
      <c r="AB44" s="643"/>
      <c r="AC44" s="643"/>
      <c r="AD44" s="17"/>
      <c r="AE44" s="17"/>
      <c r="AF44" s="17"/>
    </row>
    <row r="45" spans="1:32">
      <c r="V45" s="643"/>
      <c r="W45" s="643"/>
      <c r="X45" s="643"/>
      <c r="Y45" s="643"/>
      <c r="Z45" s="545"/>
      <c r="AA45" s="545"/>
      <c r="AB45" s="643"/>
      <c r="AC45" s="643"/>
      <c r="AD45" s="17"/>
      <c r="AE45" s="17"/>
      <c r="AF45" s="17"/>
    </row>
    <row r="46" spans="1:32">
      <c r="V46" s="643"/>
      <c r="W46" s="643"/>
      <c r="X46" s="643"/>
      <c r="Y46" s="643"/>
      <c r="Z46" s="643"/>
      <c r="AA46" s="643"/>
      <c r="AB46" s="643"/>
      <c r="AC46" s="643"/>
      <c r="AD46" s="17"/>
      <c r="AE46" s="17"/>
      <c r="AF46" s="17"/>
    </row>
    <row r="47" spans="1:32">
      <c r="V47" s="644"/>
      <c r="W47" s="644"/>
      <c r="X47" s="645"/>
      <c r="Y47" s="645"/>
      <c r="Z47" s="645"/>
      <c r="AA47" s="546"/>
      <c r="AB47" s="643"/>
      <c r="AC47" s="643"/>
      <c r="AD47" s="17"/>
      <c r="AE47" s="17"/>
      <c r="AF47" s="17"/>
    </row>
    <row r="48" spans="1:32">
      <c r="V48" s="543"/>
      <c r="W48" s="543"/>
      <c r="X48" s="543"/>
      <c r="Y48" s="543"/>
      <c r="Z48" s="543"/>
      <c r="AA48" s="543"/>
      <c r="AB48" s="543"/>
      <c r="AC48" s="547"/>
      <c r="AD48" s="17"/>
      <c r="AE48" s="17"/>
      <c r="AF48" s="17"/>
    </row>
    <row r="49" spans="22:32">
      <c r="V49" s="546"/>
      <c r="W49" s="546"/>
      <c r="X49" s="548"/>
      <c r="Y49" s="548"/>
      <c r="Z49" s="548"/>
      <c r="AA49" s="73"/>
      <c r="AB49" s="73"/>
      <c r="AC49" s="73"/>
      <c r="AD49" s="549"/>
      <c r="AE49" s="17"/>
      <c r="AF49" s="17"/>
    </row>
    <row r="50" spans="22:32">
      <c r="V50" s="546"/>
      <c r="W50" s="546"/>
      <c r="X50" s="548"/>
      <c r="Y50" s="548"/>
      <c r="Z50" s="548"/>
      <c r="AA50" s="73"/>
      <c r="AB50" s="73"/>
      <c r="AC50" s="73"/>
      <c r="AD50" s="549"/>
      <c r="AE50" s="17"/>
      <c r="AF50" s="17"/>
    </row>
    <row r="51" spans="22:32">
      <c r="V51" s="546"/>
      <c r="W51" s="546"/>
      <c r="X51" s="548"/>
      <c r="Y51" s="548"/>
      <c r="Z51" s="548"/>
      <c r="AA51" s="73"/>
      <c r="AB51" s="73"/>
      <c r="AC51" s="73"/>
      <c r="AD51" s="549"/>
      <c r="AE51" s="550"/>
      <c r="AF51" s="551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2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3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4"/>
      <c r="AB58" s="555"/>
      <c r="AC58" s="556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7"/>
      <c r="AB59" s="555"/>
      <c r="AC59" s="556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5"/>
      <c r="AC60" s="556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8"/>
      <c r="AC61" s="17"/>
      <c r="AD61" s="17"/>
      <c r="AE61" s="17"/>
      <c r="AF61" s="17"/>
    </row>
    <row r="62" spans="22:32">
      <c r="V62" s="217"/>
      <c r="W62" s="551"/>
      <c r="X62" s="17"/>
      <c r="Y62" s="17"/>
      <c r="Z62" s="550"/>
      <c r="AA62" s="559"/>
      <c r="AB62" s="548"/>
      <c r="AC62" s="17"/>
      <c r="AD62" s="17"/>
      <c r="AE62" s="17"/>
      <c r="AF62" s="17"/>
    </row>
    <row r="63" spans="22:32">
      <c r="V63" s="217"/>
      <c r="W63" s="551"/>
      <c r="X63" s="17"/>
      <c r="Y63" s="17"/>
      <c r="Z63" s="422"/>
      <c r="AA63" s="548"/>
      <c r="AB63" s="548"/>
      <c r="AC63" s="17"/>
      <c r="AD63" s="17"/>
      <c r="AE63" s="17"/>
      <c r="AF63" s="17"/>
    </row>
    <row r="64" spans="22:32">
      <c r="V64" s="17"/>
      <c r="W64" s="551"/>
      <c r="X64" s="17"/>
      <c r="Y64" s="551"/>
      <c r="Z64" s="422"/>
      <c r="AA64" s="548"/>
      <c r="AB64" s="560"/>
      <c r="AC64" s="17"/>
      <c r="AD64" s="17"/>
      <c r="AE64" s="17"/>
      <c r="AF64" s="17"/>
    </row>
    <row r="65" spans="22:32" ht="18.75">
      <c r="V65" s="17"/>
      <c r="W65" s="551"/>
      <c r="X65" s="17"/>
      <c r="Y65" s="17"/>
      <c r="Z65" s="561"/>
      <c r="AA65" s="548"/>
      <c r="AB65" s="562"/>
      <c r="AC65" s="17"/>
      <c r="AD65" s="17"/>
      <c r="AE65" s="17"/>
      <c r="AF65" s="17"/>
    </row>
    <row r="66" spans="22:32">
      <c r="V66" s="17"/>
      <c r="W66" s="551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8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4:AC47"/>
    <mergeCell ref="V45:Y46"/>
    <mergeCell ref="Z46:AA46"/>
    <mergeCell ref="V47:W47"/>
    <mergeCell ref="X47:Z47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J9" sqref="J9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75" t="s">
        <v>51</v>
      </c>
      <c r="B1" s="687" t="s">
        <v>318</v>
      </c>
      <c r="C1" s="688"/>
      <c r="D1" s="690"/>
      <c r="E1" s="687" t="s">
        <v>319</v>
      </c>
      <c r="F1" s="688"/>
      <c r="G1" s="689"/>
      <c r="H1" s="684" t="s">
        <v>324</v>
      </c>
      <c r="I1" s="681" t="s">
        <v>325</v>
      </c>
      <c r="J1" s="678" t="s">
        <v>43</v>
      </c>
    </row>
    <row r="2" spans="1:18" ht="38.25" thickBot="1">
      <c r="A2" s="676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5"/>
      <c r="I2" s="682"/>
      <c r="J2" s="679"/>
    </row>
    <row r="3" spans="1:18" ht="24" customHeight="1" thickBot="1">
      <c r="A3" s="677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6"/>
      <c r="I3" s="683"/>
      <c r="J3" s="680"/>
    </row>
    <row r="4" spans="1:18" ht="19.5" thickBot="1">
      <c r="A4" s="243"/>
      <c r="B4" s="508"/>
      <c r="C4" s="508"/>
      <c r="D4" s="508"/>
      <c r="E4" s="508"/>
      <c r="F4" s="508"/>
      <c r="G4" s="508"/>
      <c r="H4" s="579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44286</v>
      </c>
      <c r="M5" s="509">
        <v>6541</v>
      </c>
      <c r="N5" s="509">
        <f>'[8]Swimming Pool quality check '!N36</f>
        <v>642</v>
      </c>
      <c r="O5" s="509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91">
        <v>7.4</v>
      </c>
      <c r="D6" s="170"/>
      <c r="E6" s="170">
        <v>1</v>
      </c>
      <c r="F6" s="170">
        <v>7.8</v>
      </c>
      <c r="G6" s="582"/>
      <c r="H6" s="583">
        <v>6733</v>
      </c>
      <c r="I6" s="509">
        <f>H6-H5</f>
        <v>3</v>
      </c>
      <c r="J6" s="487">
        <v>0.29166666666666669</v>
      </c>
      <c r="L6" s="99">
        <f t="shared" ref="L6:L33" si="0">A6</f>
        <v>44287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91">
        <v>7.8</v>
      </c>
      <c r="D7" s="170"/>
      <c r="E7" s="170">
        <v>1</v>
      </c>
      <c r="F7" s="170">
        <v>7.4</v>
      </c>
      <c r="G7" s="170"/>
      <c r="H7" s="583">
        <f t="shared" ref="H7:H35" si="2">H6</f>
        <v>6733</v>
      </c>
      <c r="I7" s="509">
        <f>H7-H6</f>
        <v>0</v>
      </c>
      <c r="J7" s="488">
        <v>0.29166666666666669</v>
      </c>
      <c r="L7" s="99">
        <f t="shared" si="0"/>
        <v>44288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44289</v>
      </c>
      <c r="B8" s="537">
        <v>1.5</v>
      </c>
      <c r="C8" s="591">
        <v>7.8</v>
      </c>
      <c r="D8" s="591"/>
      <c r="E8" s="591">
        <v>1</v>
      </c>
      <c r="F8" s="591">
        <v>8</v>
      </c>
      <c r="G8" s="583"/>
      <c r="H8" s="583">
        <v>6734</v>
      </c>
      <c r="I8" s="509">
        <f t="shared" ref="I8:I33" si="3">H8-H7</f>
        <v>1</v>
      </c>
      <c r="J8" s="488">
        <v>0.29166666666666669</v>
      </c>
      <c r="L8" s="99">
        <f t="shared" si="0"/>
        <v>44289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91">
        <v>7.8</v>
      </c>
      <c r="D9" s="170"/>
      <c r="E9" s="170">
        <v>1</v>
      </c>
      <c r="F9" s="170">
        <v>8</v>
      </c>
      <c r="G9" s="45"/>
      <c r="H9" s="583">
        <v>6736</v>
      </c>
      <c r="I9" s="509">
        <f t="shared" si="3"/>
        <v>2</v>
      </c>
      <c r="J9" s="488">
        <v>0.25</v>
      </c>
      <c r="L9" s="99">
        <f t="shared" si="0"/>
        <v>44290</v>
      </c>
      <c r="M9" s="3">
        <f t="shared" ref="M9:M35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44291</v>
      </c>
      <c r="B10" s="254"/>
      <c r="C10" s="592"/>
      <c r="D10" s="170"/>
      <c r="E10" s="170"/>
      <c r="F10" s="170"/>
      <c r="G10" s="578"/>
      <c r="H10" s="583">
        <f t="shared" si="2"/>
        <v>6736</v>
      </c>
      <c r="I10" s="509">
        <f t="shared" si="3"/>
        <v>0</v>
      </c>
      <c r="J10" s="488">
        <v>0.29166666666666669</v>
      </c>
      <c r="L10" s="99">
        <f t="shared" si="0"/>
        <v>44291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44292</v>
      </c>
      <c r="B11" s="537"/>
      <c r="C11" s="537"/>
      <c r="D11" s="537"/>
      <c r="E11" s="537"/>
      <c r="F11" s="537"/>
      <c r="G11" s="537"/>
      <c r="H11" s="583">
        <f t="shared" si="2"/>
        <v>6736</v>
      </c>
      <c r="I11" s="509">
        <f t="shared" si="3"/>
        <v>0</v>
      </c>
      <c r="J11" s="488">
        <v>0.29166666666666669</v>
      </c>
      <c r="L11" s="99">
        <f t="shared" si="0"/>
        <v>44292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44293</v>
      </c>
      <c r="B12" s="537"/>
      <c r="C12" s="537"/>
      <c r="D12" s="537"/>
      <c r="E12" s="537"/>
      <c r="F12" s="537"/>
      <c r="G12" s="537"/>
      <c r="H12" s="583">
        <f t="shared" si="2"/>
        <v>6736</v>
      </c>
      <c r="I12" s="509">
        <f t="shared" si="3"/>
        <v>0</v>
      </c>
      <c r="J12" s="488">
        <v>0.29166666666666669</v>
      </c>
      <c r="L12" s="99">
        <f t="shared" si="0"/>
        <v>44293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44294</v>
      </c>
      <c r="B13" s="537"/>
      <c r="C13" s="537"/>
      <c r="D13" s="537"/>
      <c r="E13" s="537"/>
      <c r="F13" s="537"/>
      <c r="G13" s="537"/>
      <c r="H13" s="583">
        <f t="shared" si="2"/>
        <v>6736</v>
      </c>
      <c r="I13" s="509">
        <f t="shared" si="3"/>
        <v>0</v>
      </c>
      <c r="J13" s="488">
        <v>0.29166666666666669</v>
      </c>
      <c r="L13" s="99">
        <f t="shared" si="0"/>
        <v>44294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44295</v>
      </c>
      <c r="B14" s="537"/>
      <c r="C14" s="591"/>
      <c r="D14" s="170"/>
      <c r="E14" s="170"/>
      <c r="F14" s="170"/>
      <c r="G14" s="170"/>
      <c r="H14" s="583">
        <f t="shared" si="2"/>
        <v>6736</v>
      </c>
      <c r="I14" s="509">
        <f t="shared" si="3"/>
        <v>0</v>
      </c>
      <c r="J14" s="488">
        <v>0.29166666666666669</v>
      </c>
      <c r="L14" s="99">
        <f t="shared" si="0"/>
        <v>44295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44296</v>
      </c>
      <c r="B15" s="537"/>
      <c r="C15" s="591"/>
      <c r="D15" s="591"/>
      <c r="E15" s="591"/>
      <c r="F15" s="591"/>
      <c r="G15" s="581"/>
      <c r="H15" s="583">
        <f t="shared" si="2"/>
        <v>6736</v>
      </c>
      <c r="I15" s="509">
        <f t="shared" si="3"/>
        <v>0</v>
      </c>
      <c r="J15" s="488">
        <v>0.29166666666666669</v>
      </c>
      <c r="L15" s="99">
        <f t="shared" si="0"/>
        <v>44296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44297</v>
      </c>
      <c r="B16" s="537"/>
      <c r="C16" s="591"/>
      <c r="D16" s="591"/>
      <c r="E16" s="591"/>
      <c r="F16" s="591"/>
      <c r="G16" s="581"/>
      <c r="H16" s="583">
        <f t="shared" si="2"/>
        <v>6736</v>
      </c>
      <c r="I16" s="509">
        <f t="shared" si="3"/>
        <v>0</v>
      </c>
      <c r="J16" s="488">
        <v>0.29166666666666669</v>
      </c>
      <c r="L16" s="99">
        <f t="shared" si="0"/>
        <v>44297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44298</v>
      </c>
      <c r="B17" s="537"/>
      <c r="C17" s="537"/>
      <c r="D17" s="537"/>
      <c r="E17" s="537"/>
      <c r="F17" s="537"/>
      <c r="G17" s="537"/>
      <c r="H17" s="583">
        <f t="shared" si="2"/>
        <v>6736</v>
      </c>
      <c r="I17" s="509">
        <f t="shared" si="3"/>
        <v>0</v>
      </c>
      <c r="J17" s="488">
        <v>0.29166666666666669</v>
      </c>
      <c r="L17" s="99">
        <f t="shared" si="0"/>
        <v>44298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44299</v>
      </c>
      <c r="B18" s="537"/>
      <c r="C18" s="591"/>
      <c r="D18" s="170"/>
      <c r="E18" s="170"/>
      <c r="F18" s="170"/>
      <c r="G18" s="537"/>
      <c r="H18" s="583">
        <f t="shared" si="2"/>
        <v>6736</v>
      </c>
      <c r="I18" s="509">
        <f t="shared" si="3"/>
        <v>0</v>
      </c>
      <c r="J18" s="488">
        <v>0.29166666666666669</v>
      </c>
      <c r="L18" s="99">
        <f t="shared" si="0"/>
        <v>44299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44300</v>
      </c>
      <c r="B19" s="537"/>
      <c r="C19" s="591"/>
      <c r="D19" s="170"/>
      <c r="E19" s="170"/>
      <c r="F19" s="170"/>
      <c r="G19" s="537"/>
      <c r="H19" s="583">
        <f t="shared" si="2"/>
        <v>6736</v>
      </c>
      <c r="I19" s="509">
        <f t="shared" si="3"/>
        <v>0</v>
      </c>
      <c r="J19" s="488">
        <v>0.29166666666666669</v>
      </c>
      <c r="L19" s="99">
        <f t="shared" si="0"/>
        <v>44300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44301</v>
      </c>
      <c r="B20" s="537"/>
      <c r="C20" s="537"/>
      <c r="D20" s="537"/>
      <c r="E20" s="537"/>
      <c r="F20" s="537"/>
      <c r="G20" s="537"/>
      <c r="H20" s="583">
        <f t="shared" si="2"/>
        <v>6736</v>
      </c>
      <c r="I20" s="509">
        <f t="shared" si="3"/>
        <v>0</v>
      </c>
      <c r="J20" s="488">
        <v>0.29166666666666669</v>
      </c>
      <c r="L20" s="99">
        <f t="shared" si="0"/>
        <v>44301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44302</v>
      </c>
      <c r="B21" s="537"/>
      <c r="C21" s="591"/>
      <c r="D21" s="170"/>
      <c r="E21" s="170"/>
      <c r="F21" s="170"/>
      <c r="G21" s="537"/>
      <c r="H21" s="583">
        <f t="shared" si="2"/>
        <v>6736</v>
      </c>
      <c r="I21" s="509">
        <f t="shared" si="3"/>
        <v>0</v>
      </c>
      <c r="J21" s="576" t="s">
        <v>415</v>
      </c>
      <c r="L21" s="99">
        <f t="shared" si="0"/>
        <v>44302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44303</v>
      </c>
      <c r="B22" s="537"/>
      <c r="C22" s="537"/>
      <c r="D22" s="537"/>
      <c r="E22" s="537"/>
      <c r="F22" s="537"/>
      <c r="G22" s="537"/>
      <c r="H22" s="583">
        <f t="shared" si="2"/>
        <v>6736</v>
      </c>
      <c r="I22" s="509">
        <f t="shared" si="3"/>
        <v>0</v>
      </c>
      <c r="J22" s="488">
        <v>0.29166666666666669</v>
      </c>
      <c r="L22" s="99">
        <f t="shared" si="0"/>
        <v>44303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44304</v>
      </c>
      <c r="B23" s="537"/>
      <c r="C23" s="537"/>
      <c r="D23" s="537"/>
      <c r="E23" s="537"/>
      <c r="F23" s="537"/>
      <c r="G23" s="537"/>
      <c r="H23" s="583">
        <f t="shared" si="2"/>
        <v>6736</v>
      </c>
      <c r="I23" s="509">
        <f t="shared" si="3"/>
        <v>0</v>
      </c>
      <c r="J23" s="488">
        <v>0.29166666666666669</v>
      </c>
      <c r="L23" s="99">
        <f t="shared" si="0"/>
        <v>44304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44305</v>
      </c>
      <c r="B24" s="537"/>
      <c r="C24" s="591"/>
      <c r="D24" s="170"/>
      <c r="E24" s="170"/>
      <c r="F24" s="170"/>
      <c r="G24" s="170"/>
      <c r="H24" s="583">
        <f t="shared" si="2"/>
        <v>6736</v>
      </c>
      <c r="I24" s="509">
        <f t="shared" si="3"/>
        <v>0</v>
      </c>
      <c r="J24" s="488">
        <v>0.29166666666666702</v>
      </c>
      <c r="L24" s="99">
        <f t="shared" si="0"/>
        <v>44305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44306</v>
      </c>
      <c r="B25" s="577"/>
      <c r="C25" s="591"/>
      <c r="D25" s="170"/>
      <c r="E25" s="170"/>
      <c r="F25" s="170"/>
      <c r="G25" s="170"/>
      <c r="H25" s="583">
        <f t="shared" si="2"/>
        <v>6736</v>
      </c>
      <c r="I25" s="509">
        <f t="shared" si="3"/>
        <v>0</v>
      </c>
      <c r="J25" s="488">
        <v>0.29166666666666702</v>
      </c>
      <c r="L25" s="99">
        <f t="shared" si="0"/>
        <v>44306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44307</v>
      </c>
      <c r="B26" s="254"/>
      <c r="C26" s="595"/>
      <c r="D26" s="170"/>
      <c r="E26" s="537"/>
      <c r="F26" s="595"/>
      <c r="G26" s="170"/>
      <c r="H26" s="583">
        <f t="shared" si="2"/>
        <v>6736</v>
      </c>
      <c r="I26" s="509">
        <f t="shared" si="3"/>
        <v>0</v>
      </c>
      <c r="J26" s="488">
        <v>0.29166666666666702</v>
      </c>
      <c r="L26" s="99">
        <f t="shared" si="0"/>
        <v>44307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83">
        <f t="shared" si="2"/>
        <v>6736</v>
      </c>
      <c r="I27" s="509">
        <f t="shared" si="3"/>
        <v>0</v>
      </c>
      <c r="J27" s="488">
        <v>0.29166666666666702</v>
      </c>
      <c r="L27" s="99">
        <f t="shared" si="0"/>
        <v>44308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44309</v>
      </c>
      <c r="B28" s="254"/>
      <c r="C28" s="596"/>
      <c r="D28" s="170"/>
      <c r="E28" s="537"/>
      <c r="F28" s="596"/>
      <c r="G28" s="170"/>
      <c r="H28" s="583">
        <f t="shared" si="2"/>
        <v>6736</v>
      </c>
      <c r="I28" s="509">
        <f t="shared" si="3"/>
        <v>0</v>
      </c>
      <c r="J28" s="489">
        <v>0.29166666666666702</v>
      </c>
      <c r="L28" s="99">
        <f t="shared" si="0"/>
        <v>44309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44310</v>
      </c>
      <c r="B29" s="537"/>
      <c r="C29" s="537"/>
      <c r="D29" s="537"/>
      <c r="E29" s="170"/>
      <c r="F29" s="170"/>
      <c r="G29" s="537"/>
      <c r="H29" s="583">
        <f t="shared" si="2"/>
        <v>6736</v>
      </c>
      <c r="I29" s="509">
        <f t="shared" si="3"/>
        <v>0</v>
      </c>
      <c r="J29" s="488">
        <v>0.29166666666666702</v>
      </c>
      <c r="L29" s="99">
        <f t="shared" si="0"/>
        <v>44310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83">
        <f t="shared" si="2"/>
        <v>6736</v>
      </c>
      <c r="I30" s="509">
        <f t="shared" si="3"/>
        <v>0</v>
      </c>
      <c r="J30" s="488">
        <v>0.29166666666666702</v>
      </c>
      <c r="L30" s="99">
        <f t="shared" si="0"/>
        <v>44311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44312</v>
      </c>
      <c r="B31" s="254"/>
      <c r="C31" s="591"/>
      <c r="D31" s="170"/>
      <c r="E31" s="170"/>
      <c r="F31" s="170"/>
      <c r="G31" s="170"/>
      <c r="H31" s="583">
        <f t="shared" si="2"/>
        <v>6736</v>
      </c>
      <c r="I31" s="509">
        <f t="shared" si="3"/>
        <v>0</v>
      </c>
      <c r="J31" s="488">
        <v>0.29166666666666702</v>
      </c>
      <c r="L31" s="99">
        <f t="shared" si="0"/>
        <v>44312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9"/>
      <c r="H32" s="583">
        <f t="shared" si="2"/>
        <v>6736</v>
      </c>
      <c r="I32" s="509">
        <f t="shared" si="3"/>
        <v>0</v>
      </c>
      <c r="J32" s="488">
        <v>0.29166666666666702</v>
      </c>
      <c r="L32" s="99">
        <f t="shared" si="0"/>
        <v>44313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9"/>
      <c r="H33" s="583">
        <f t="shared" si="2"/>
        <v>6736</v>
      </c>
      <c r="I33" s="509">
        <f t="shared" si="3"/>
        <v>0</v>
      </c>
      <c r="J33" s="488">
        <v>0.29166666666666702</v>
      </c>
      <c r="L33" s="99">
        <f t="shared" si="0"/>
        <v>44314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9"/>
      <c r="H34" s="583">
        <f t="shared" si="2"/>
        <v>6736</v>
      </c>
      <c r="I34" s="509">
        <f t="shared" ref="I34:I35" si="5">H34-H33</f>
        <v>0</v>
      </c>
      <c r="J34" s="488">
        <v>0.33333333333333398</v>
      </c>
      <c r="L34" s="99">
        <f t="shared" ref="L34:L35" si="6">A34</f>
        <v>44315</v>
      </c>
      <c r="M34" s="3">
        <f t="shared" si="4"/>
        <v>6555</v>
      </c>
      <c r="N34" s="509">
        <v>646</v>
      </c>
      <c r="O34" s="509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9"/>
      <c r="H35" s="583">
        <f t="shared" si="2"/>
        <v>6736</v>
      </c>
      <c r="I35" s="509">
        <f t="shared" si="5"/>
        <v>0</v>
      </c>
      <c r="J35" s="488">
        <v>0.375</v>
      </c>
      <c r="L35" s="99">
        <f t="shared" si="6"/>
        <v>44316</v>
      </c>
      <c r="M35" s="3">
        <f t="shared" si="4"/>
        <v>6555</v>
      </c>
      <c r="N35" s="509">
        <v>647</v>
      </c>
      <c r="O35" s="509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1" t="s">
        <v>161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</row>
    <row r="2" spans="1:28" ht="19.5">
      <c r="A2" s="692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</row>
    <row r="3" spans="1:28" ht="19.5">
      <c r="A3" s="692" t="s">
        <v>162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2"/>
      <c r="W3" s="692"/>
      <c r="X3" s="69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2" t="s">
        <v>409</v>
      </c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</row>
    <row r="6" spans="1:28" ht="15.75" thickBo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  <c r="U6" s="693"/>
      <c r="V6" s="693"/>
      <c r="W6" s="693"/>
      <c r="X6" s="693"/>
    </row>
    <row r="7" spans="1:28" ht="15.7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31">
        <v>2</v>
      </c>
      <c r="R11" s="272"/>
      <c r="S11" s="272"/>
      <c r="T11" s="272">
        <f t="shared" ref="T11:T40" si="1">(R11+S11)/2-18.3</f>
        <v>-18.3</v>
      </c>
      <c r="U11" s="531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31">
        <v>3</v>
      </c>
      <c r="R12" s="272"/>
      <c r="S12" s="272"/>
      <c r="T12" s="272">
        <f t="shared" si="1"/>
        <v>-18.3</v>
      </c>
      <c r="U12" s="531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31">
        <v>4</v>
      </c>
      <c r="R13" s="272"/>
      <c r="S13" s="272"/>
      <c r="T13" s="272">
        <f t="shared" si="1"/>
        <v>-18.3</v>
      </c>
      <c r="U13" s="531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-450.9000000000002</v>
      </c>
      <c r="AB13" s="272">
        <f>O43</f>
        <v>0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0</v>
      </c>
      <c r="O14" s="272">
        <f>'General information '!C10</f>
        <v>0</v>
      </c>
      <c r="P14" s="272">
        <f t="shared" si="0"/>
        <v>-18.3</v>
      </c>
      <c r="Q14" s="531">
        <v>5</v>
      </c>
      <c r="R14" s="272"/>
      <c r="S14" s="272"/>
      <c r="T14" s="272">
        <f t="shared" si="1"/>
        <v>-18.3</v>
      </c>
      <c r="U14" s="531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0</v>
      </c>
      <c r="O15" s="272">
        <f>'General information '!C11</f>
        <v>0</v>
      </c>
      <c r="P15" s="272">
        <f t="shared" si="0"/>
        <v>-18.3</v>
      </c>
      <c r="Q15" s="531">
        <v>6</v>
      </c>
      <c r="R15" s="272"/>
      <c r="S15" s="272"/>
      <c r="T15" s="272">
        <f t="shared" si="1"/>
        <v>-18.3</v>
      </c>
      <c r="U15" s="531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0</v>
      </c>
      <c r="O16" s="272">
        <f>'General information '!C12</f>
        <v>0</v>
      </c>
      <c r="P16" s="272">
        <f t="shared" si="0"/>
        <v>-18.3</v>
      </c>
      <c r="Q16" s="531">
        <v>7</v>
      </c>
      <c r="R16" s="272"/>
      <c r="S16" s="272"/>
      <c r="T16" s="272">
        <f t="shared" si="1"/>
        <v>-18.3</v>
      </c>
      <c r="U16" s="531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0</v>
      </c>
      <c r="O17" s="272">
        <f>'General information '!C13</f>
        <v>0</v>
      </c>
      <c r="P17" s="272">
        <f t="shared" si="0"/>
        <v>-18.3</v>
      </c>
      <c r="Q17" s="531">
        <v>8</v>
      </c>
      <c r="R17" s="272"/>
      <c r="S17" s="272"/>
      <c r="T17" s="272">
        <f t="shared" si="1"/>
        <v>-18.3</v>
      </c>
      <c r="U17" s="531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0</v>
      </c>
      <c r="O18" s="272">
        <f>'General information '!C14</f>
        <v>0</v>
      </c>
      <c r="P18" s="272">
        <f t="shared" si="0"/>
        <v>-18.3</v>
      </c>
      <c r="Q18" s="531">
        <v>9</v>
      </c>
      <c r="R18" s="272"/>
      <c r="S18" s="272"/>
      <c r="T18" s="272">
        <f t="shared" si="1"/>
        <v>-18.3</v>
      </c>
      <c r="U18" s="531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0</v>
      </c>
      <c r="O19" s="272">
        <f>'General information '!C15</f>
        <v>0</v>
      </c>
      <c r="P19" s="272">
        <f t="shared" si="0"/>
        <v>-18.3</v>
      </c>
      <c r="Q19" s="531">
        <v>10</v>
      </c>
      <c r="R19" s="272"/>
      <c r="S19" s="272"/>
      <c r="T19" s="272">
        <f t="shared" si="1"/>
        <v>-18.3</v>
      </c>
      <c r="U19" s="531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0</v>
      </c>
      <c r="O20" s="272">
        <f>'General information '!C16</f>
        <v>0</v>
      </c>
      <c r="P20" s="272">
        <f t="shared" si="0"/>
        <v>-18.3</v>
      </c>
      <c r="Q20" s="531">
        <v>11</v>
      </c>
      <c r="R20" s="272"/>
      <c r="S20" s="272"/>
      <c r="T20" s="272">
        <f t="shared" si="1"/>
        <v>-18.3</v>
      </c>
      <c r="U20" s="531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0</v>
      </c>
      <c r="O21" s="272">
        <f>'General information '!C17</f>
        <v>0</v>
      </c>
      <c r="P21" s="272">
        <f t="shared" si="0"/>
        <v>-18.3</v>
      </c>
      <c r="Q21" s="531">
        <v>12</v>
      </c>
      <c r="R21" s="272"/>
      <c r="S21" s="272"/>
      <c r="T21" s="272">
        <f t="shared" si="1"/>
        <v>-18.3</v>
      </c>
      <c r="U21" s="531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0</v>
      </c>
      <c r="O22" s="272">
        <f>'General information '!C18</f>
        <v>0</v>
      </c>
      <c r="P22" s="272">
        <f t="shared" si="0"/>
        <v>-18.3</v>
      </c>
      <c r="Q22" s="531">
        <v>13</v>
      </c>
      <c r="R22" s="272"/>
      <c r="S22" s="272"/>
      <c r="T22" s="272">
        <f t="shared" si="1"/>
        <v>-18.3</v>
      </c>
      <c r="U22" s="531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0</v>
      </c>
      <c r="O23" s="272">
        <f>'General information '!C19</f>
        <v>0</v>
      </c>
      <c r="P23" s="272">
        <f t="shared" si="0"/>
        <v>-18.3</v>
      </c>
      <c r="Q23" s="531">
        <v>14</v>
      </c>
      <c r="R23" s="272"/>
      <c r="S23" s="272"/>
      <c r="T23" s="272">
        <f t="shared" si="1"/>
        <v>-18.3</v>
      </c>
      <c r="U23" s="531">
        <v>14</v>
      </c>
      <c r="V23" s="272"/>
      <c r="W23" s="272"/>
      <c r="X23" s="272">
        <f t="shared" si="2"/>
        <v>-18.3</v>
      </c>
      <c r="AA23" s="134">
        <f>SUM(AA10:AA22)</f>
        <v>-676.30000000000018</v>
      </c>
      <c r="AB23" s="134">
        <f>SUM(AB10:AB22)</f>
        <v>20.799999999999986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31">
        <v>15</v>
      </c>
      <c r="R24" s="272"/>
      <c r="S24" s="272"/>
      <c r="T24" s="272">
        <f t="shared" si="1"/>
        <v>-18.3</v>
      </c>
      <c r="U24" s="531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31">
        <v>16</v>
      </c>
      <c r="R25" s="272"/>
      <c r="S25" s="272"/>
      <c r="T25" s="272">
        <f t="shared" si="1"/>
        <v>-18.3</v>
      </c>
      <c r="U25" s="531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31">
        <v>17</v>
      </c>
      <c r="R26" s="272"/>
      <c r="S26" s="272"/>
      <c r="T26" s="272">
        <f t="shared" si="1"/>
        <v>-18.3</v>
      </c>
      <c r="U26" s="531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31">
        <v>18</v>
      </c>
      <c r="R27" s="272"/>
      <c r="S27" s="272"/>
      <c r="T27" s="272">
        <f t="shared" si="1"/>
        <v>-18.3</v>
      </c>
      <c r="U27" s="531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31">
        <v>19</v>
      </c>
      <c r="R28" s="272"/>
      <c r="S28" s="272"/>
      <c r="T28" s="272">
        <f t="shared" si="1"/>
        <v>-18.3</v>
      </c>
      <c r="U28" s="531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31">
        <v>20</v>
      </c>
      <c r="R29" s="272"/>
      <c r="S29" s="272"/>
      <c r="T29" s="272">
        <f t="shared" si="1"/>
        <v>-18.3</v>
      </c>
      <c r="U29" s="531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31">
        <v>21</v>
      </c>
      <c r="R30" s="272"/>
      <c r="S30" s="272"/>
      <c r="T30" s="272">
        <f t="shared" si="1"/>
        <v>-18.3</v>
      </c>
      <c r="U30" s="531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31">
        <v>22</v>
      </c>
      <c r="R31" s="272"/>
      <c r="S31" s="272"/>
      <c r="T31" s="272">
        <f t="shared" si="1"/>
        <v>-18.3</v>
      </c>
      <c r="U31" s="531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31">
        <v>23</v>
      </c>
      <c r="R32" s="272"/>
      <c r="S32" s="272"/>
      <c r="T32" s="272">
        <f t="shared" si="1"/>
        <v>-18.3</v>
      </c>
      <c r="U32" s="531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31">
        <v>24</v>
      </c>
      <c r="R33" s="272"/>
      <c r="S33" s="272"/>
      <c r="T33" s="272">
        <f t="shared" si="1"/>
        <v>-18.3</v>
      </c>
      <c r="U33" s="531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31">
        <v>25</v>
      </c>
      <c r="R34" s="272"/>
      <c r="S34" s="272"/>
      <c r="T34" s="272">
        <f t="shared" si="1"/>
        <v>-18.3</v>
      </c>
      <c r="U34" s="531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31">
        <v>26</v>
      </c>
      <c r="R35" s="272"/>
      <c r="S35" s="272"/>
      <c r="T35" s="272">
        <f t="shared" si="1"/>
        <v>-18.3</v>
      </c>
      <c r="U35" s="531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31">
        <v>27</v>
      </c>
      <c r="R36" s="272"/>
      <c r="S36" s="272"/>
      <c r="T36" s="272">
        <f t="shared" si="1"/>
        <v>-18.3</v>
      </c>
      <c r="U36" s="531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31">
        <v>28</v>
      </c>
      <c r="R37" s="272"/>
      <c r="S37" s="272"/>
      <c r="T37" s="272">
        <f t="shared" si="1"/>
        <v>-18.3</v>
      </c>
      <c r="U37" s="531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31">
        <v>29</v>
      </c>
      <c r="R38" s="272"/>
      <c r="S38" s="272"/>
      <c r="T38" s="272">
        <f t="shared" si="1"/>
        <v>-18.3</v>
      </c>
      <c r="U38" s="531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31">
        <v>30</v>
      </c>
      <c r="R39" s="272"/>
      <c r="S39" s="272"/>
      <c r="T39" s="272">
        <f t="shared" si="1"/>
        <v>-18.3</v>
      </c>
      <c r="U39" s="531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-450.9000000000002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.25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.75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-5068.3000000000011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5" t="s">
        <v>216</v>
      </c>
      <c r="B2" s="705"/>
      <c r="C2" s="705"/>
      <c r="D2" s="705"/>
      <c r="E2" s="705"/>
      <c r="F2" s="705"/>
      <c r="G2" s="705"/>
      <c r="H2" s="705"/>
      <c r="I2" s="705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4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5">
        <v>0</v>
      </c>
      <c r="J6" s="276"/>
    </row>
    <row r="7" spans="1:11">
      <c r="A7" s="184" t="s">
        <v>218</v>
      </c>
      <c r="B7" s="350">
        <f>WATER!H36</f>
        <v>54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1093.3333333333333</v>
      </c>
      <c r="G7" s="510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6145</v>
      </c>
      <c r="C8" s="493">
        <f>SUM(tanks!AU36)</f>
        <v>0.96</v>
      </c>
      <c r="D8" s="191">
        <f>SUM(B8*C8)*D4</f>
        <v>8893044</v>
      </c>
      <c r="E8" s="192">
        <f>SUM(D8/D4/F4)</f>
        <v>1474.8</v>
      </c>
      <c r="F8" s="192">
        <f>SUM(E8*F4)</f>
        <v>5899.2</v>
      </c>
      <c r="G8" s="510">
        <f>E8*$F$4</f>
        <v>5899.2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7588685</v>
      </c>
      <c r="E10" s="182">
        <f>SUM(D10/D4/F4)</f>
        <v>1258.4883913764511</v>
      </c>
      <c r="F10" s="182">
        <f>SUM(E10*F4)</f>
        <v>5033.9535655058044</v>
      </c>
      <c r="G10" s="510">
        <f>(E10-'EDl log'!AD34)*$G$4</f>
        <v>-106259.94016315238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3006.6217247097843</v>
      </c>
      <c r="F12" s="180">
        <f>SUM(F6:F10)</f>
        <v>12026.486898839137</v>
      </c>
      <c r="G12" s="179">
        <f>SUM(G6:G10)</f>
        <v>-92160.740163152383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9">
        <v>0</v>
      </c>
      <c r="G14" s="422"/>
      <c r="H14" s="423">
        <f>SUM(G12-H12)</f>
        <v>-137499.7401631524</v>
      </c>
      <c r="I14" s="423">
        <f>SUM(G12-I12)</f>
        <v>-137499.7401631524</v>
      </c>
    </row>
    <row r="15" spans="1:11">
      <c r="A15" s="449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4">
        <f>'General information '!D37</f>
        <v>15.375</v>
      </c>
      <c r="C16" s="433">
        <f>'[15]Utility Cost '!C16</f>
        <v>18.116666666666667</v>
      </c>
      <c r="D16" s="432"/>
      <c r="E16" s="433">
        <f t="shared" si="0"/>
        <v>-2.7416666666666671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'!F36</f>
        <v>0</v>
      </c>
      <c r="C17" s="433">
        <f>'[15]Utility Cost '!C17</f>
        <v>0.81745666666666661</v>
      </c>
      <c r="D17" s="477">
        <v>0</v>
      </c>
      <c r="E17" s="523">
        <f t="shared" si="0"/>
        <v>-0.81745666666666661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GEN!Z33</f>
        <v>67</v>
      </c>
      <c r="C18" s="433">
        <f>'[15]Utility Cost '!C18</f>
        <v>100</v>
      </c>
      <c r="D18" s="430">
        <f>'[14]Other Fuel Calculation 2021'!$C$117</f>
        <v>172.73885330486587</v>
      </c>
      <c r="E18" s="525">
        <f t="shared" si="0"/>
        <v>-33</v>
      </c>
      <c r="F18" s="528">
        <f>B18-D18</f>
        <v>-105.73885330486587</v>
      </c>
    </row>
    <row r="19" spans="1:10">
      <c r="A19" s="522" t="s">
        <v>411</v>
      </c>
      <c r="B19" s="520">
        <f>SUM(B18/$F$4)</f>
        <v>16.75</v>
      </c>
      <c r="C19" s="433">
        <f>'[15]Utility Cost '!C19</f>
        <v>3.3333333333333335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2021-04-05T06:50:45Z</dcterms:modified>
</cp:coreProperties>
</file>