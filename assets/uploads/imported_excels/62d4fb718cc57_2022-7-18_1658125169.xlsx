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<sst xmlns="http://schemas.openxmlformats.org/spreadsheetml/2006/main" count="605" uniqueCount="75">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</sst>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70" workbookViewId="0">
      <selection activeCell="O191" sqref="O19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2.4300000000000002</v>
      </c>
      <c r="G189" s="4">
        <f>'Gas Water'!M192</f>
        <v>1713</v>
      </c>
      <c r="H189" s="132">
        <v>16.5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2.4300000000000002</v>
      </c>
      <c r="G190" s="4">
        <f>'Gas Water'!M193</f>
        <v>1713</v>
      </c>
      <c r="H190" s="132">
        <v>16.5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2.4300000000000002</v>
      </c>
      <c r="G191" s="4">
        <f>'Gas Water'!M194</f>
        <v>1701</v>
      </c>
      <c r="H191" s="132">
        <v>16.5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2.4300000000000002</v>
      </c>
      <c r="G192" s="4">
        <f>'Gas Water'!M195</f>
        <v>1818</v>
      </c>
      <c r="H192" s="132">
        <v>16.5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2.4300000000000002</v>
      </c>
      <c r="G193" s="4">
        <f>'Gas Water'!M196</f>
        <v>1805</v>
      </c>
      <c r="H193" s="132">
        <v>16.5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2.4300000000000002</v>
      </c>
      <c r="G194" s="4">
        <f>'Gas Water'!M197</f>
        <v>1739</v>
      </c>
      <c r="H194" s="132">
        <v>16.5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2.4300000000000002</v>
      </c>
      <c r="G195" s="4">
        <f>'Gas Water'!M198</f>
        <v>1769</v>
      </c>
      <c r="H195" s="132">
        <v>16.5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2">
        <v>2.4300000000000002</v>
      </c>
      <c r="G196" s="4">
        <f>'Gas Water'!M199</f>
        <v>1871</v>
      </c>
      <c r="H196" s="132">
        <v>16.5</v>
      </c>
      <c r="I196" s="2">
        <f>'Gas Water'!L199</f>
        <v>298</v>
      </c>
      <c r="J196" s="132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2">
        <v>2.4300000000000002</v>
      </c>
      <c r="G197" s="4">
        <f>'Gas Water'!M200</f>
        <v>1622</v>
      </c>
      <c r="H197" s="132">
        <v>16.5</v>
      </c>
      <c r="I197" s="2">
        <f>'Gas Water'!L200</f>
        <v>282</v>
      </c>
      <c r="J197" s="132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2">
        <v>2.4300000000000002</v>
      </c>
      <c r="G198" s="4">
        <f>'Gas Water'!M201</f>
        <v>1532</v>
      </c>
      <c r="H198" s="132">
        <v>16.5</v>
      </c>
      <c r="I198" s="2">
        <f>'Gas Water'!L201</f>
        <v>342</v>
      </c>
      <c r="J198" s="132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2">
        <v>2.4300000000000002</v>
      </c>
      <c r="G199" s="4">
        <f>'Gas Water'!M202</f>
        <v>1513</v>
      </c>
      <c r="H199" s="132">
        <v>16.5</v>
      </c>
      <c r="I199" s="2">
        <f>'Gas Water'!L202</f>
        <v>315</v>
      </c>
      <c r="J199" s="132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T192" sqref="T192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>
        <v>0.14199999999999999</v>
      </c>
      <c r="E198" s="137">
        <v>3109.0790000000002</v>
      </c>
      <c r="F198" s="138">
        <v>90.914000000000001</v>
      </c>
      <c r="G198" s="56"/>
      <c r="H198" s="56">
        <v>4140</v>
      </c>
      <c r="I198" s="56">
        <f t="shared" si="76"/>
        <v>34324.740000000689</v>
      </c>
      <c r="J198" s="56">
        <f t="shared" si="77"/>
        <v>948.05999999999676</v>
      </c>
      <c r="K198" s="57">
        <f t="shared" si="72"/>
        <v>2.7620311180797809E-2</v>
      </c>
      <c r="L198" s="56">
        <f t="shared" si="73"/>
        <v>948.05999999999676</v>
      </c>
      <c r="M198" s="57">
        <f t="shared" si="74"/>
        <v>2.7620311180797809E-2</v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>
        <v>0.14199999999999999</v>
      </c>
      <c r="E199" s="137">
        <v>3117.413</v>
      </c>
      <c r="F199" s="138">
        <v>91.177999999999997</v>
      </c>
      <c r="G199" s="56"/>
      <c r="H199" s="56">
        <v>4140</v>
      </c>
      <c r="I199" s="56">
        <f t="shared" si="76"/>
        <v>34502.759999999311</v>
      </c>
      <c r="J199" s="56">
        <f t="shared" si="77"/>
        <v>1092.9599999999825</v>
      </c>
      <c r="K199" s="57">
        <f t="shared" si="72"/>
        <v>3.1677465802735907E-2</v>
      </c>
      <c r="L199" s="56">
        <f t="shared" si="73"/>
        <v>1092.9599999999825</v>
      </c>
      <c r="M199" s="57">
        <f t="shared" si="74"/>
        <v>3.1677465802735907E-2</v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>
        <v>0.14199999999999999</v>
      </c>
      <c r="E200" s="137">
        <v>3125.893</v>
      </c>
      <c r="F200" s="138">
        <v>91.488</v>
      </c>
      <c r="G200" s="56"/>
      <c r="H200" s="56">
        <v>4140</v>
      </c>
      <c r="I200" s="56">
        <f t="shared" si="76"/>
        <v>35107.200000000077</v>
      </c>
      <c r="J200" s="56">
        <f t="shared" si="77"/>
        <v>1283.4000000000094</v>
      </c>
      <c r="K200" s="57">
        <f t="shared" si="72"/>
        <v>3.6556603773585092E-2</v>
      </c>
      <c r="L200" s="56">
        <f t="shared" si="73"/>
        <v>1283.4000000000094</v>
      </c>
      <c r="M200" s="57">
        <f t="shared" si="74"/>
        <v>3.6556603773585092E-2</v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>
        <v>0.14199999999999999</v>
      </c>
      <c r="E201" s="137">
        <v>3134.2260000000001</v>
      </c>
      <c r="F201" s="138">
        <v>91.734999999999999</v>
      </c>
      <c r="G201" s="56"/>
      <c r="H201" s="56">
        <v>4140</v>
      </c>
      <c r="I201" s="56">
        <f t="shared" si="76"/>
        <v>34498.620000000345</v>
      </c>
      <c r="J201" s="56">
        <f t="shared" si="77"/>
        <v>1022.5799999999995</v>
      </c>
      <c r="K201" s="57">
        <f t="shared" si="72"/>
        <v>2.9641185647425586E-2</v>
      </c>
      <c r="L201" s="56">
        <f t="shared" si="73"/>
        <v>1022.5799999999995</v>
      </c>
      <c r="M201" s="57">
        <f t="shared" si="74"/>
        <v>2.9641185647425586E-2</v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3.3568192224371102E-2</v>
      </c>
      <c r="Q206" s="66">
        <f>IF(L185="",0,+SUM(L185:L215)/SUM(I185:I215))</f>
        <v>3.3568192224371102E-2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3" workbookViewId="0">
      <selection activeCell="O194" sqref="O194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N202" s="43"/>
      <c r="Q202" s="19">
        <f t="shared" si="96"/>
        <v>0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5146</v>
      </c>
      <c r="O209" s="30">
        <f>SUM(M186:M216)</f>
        <v>29650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302.70588235294116</v>
      </c>
      <c r="O212" s="30">
        <f>AVERAGE(M186:M216)</f>
        <v>1744.1176470588234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07fdfd0-8ece-48a6-a46c-61dc91b6cdb1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2022-07-18T06:17:02Z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