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9" l="1"/>
  <c r="G4" i="3" l="1"/>
  <c r="AA5" i="4"/>
  <c r="AA4" i="4"/>
  <c r="Y4" i="4" l="1"/>
  <c r="T7" i="2" l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<sst xmlns="http://schemas.openxmlformats.org/spreadsheetml/2006/main" count="511" uniqueCount="150">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</sst>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7" sqref="K7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9">
        <v>1.27</v>
      </c>
      <c r="G8" s="37">
        <f>Gas!C9*0.9147</f>
        <v>0</v>
      </c>
      <c r="H8" s="140">
        <v>3.65</v>
      </c>
      <c r="I8" s="142">
        <f>Submetering!H8+Submetering!AD8+Submetering!AE8</f>
        <v>-194</v>
      </c>
      <c r="J8" s="142">
        <v>10.029999999999999</v>
      </c>
      <c r="K8" s="37">
        <f>ELECT.!B9</f>
        <v>0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9">
        <v>1.27</v>
      </c>
      <c r="G9" s="37">
        <f>Gas!C10*0.9147</f>
        <v>0</v>
      </c>
      <c r="H9" s="140">
        <v>3.65</v>
      </c>
      <c r="I9" s="142">
        <f>Submetering!H9+Submetering!AD9+Submetering!AE9</f>
        <v>-194</v>
      </c>
      <c r="J9" s="142">
        <v>10.029999999999999</v>
      </c>
      <c r="K9" s="37">
        <f>ELECT.!B10</f>
        <v>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9">
        <v>1.27</v>
      </c>
      <c r="G10" s="37">
        <f>Gas!C11*0.9147</f>
        <v>0</v>
      </c>
      <c r="H10" s="140">
        <v>3.65</v>
      </c>
      <c r="I10" s="142">
        <f>Submetering!H10+Submetering!AD10+Submetering!AE10</f>
        <v>-194</v>
      </c>
      <c r="J10" s="142">
        <v>10.029999999999999</v>
      </c>
      <c r="K10" s="37">
        <f>ELECT.!B11</f>
        <v>0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9">
        <v>1.27</v>
      </c>
      <c r="G11" s="37">
        <f>Gas!C12*0.9147</f>
        <v>0</v>
      </c>
      <c r="H11" s="140">
        <v>3.65</v>
      </c>
      <c r="I11" s="142">
        <f>Submetering!H11+Submetering!AD11+Submetering!AE11</f>
        <v>-194</v>
      </c>
      <c r="J11" s="142">
        <v>10.029999999999999</v>
      </c>
      <c r="K11" s="37">
        <f>ELECT.!B12</f>
        <v>0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9">
        <v>1.27</v>
      </c>
      <c r="G12" s="37">
        <f>Gas!C13*0.9147</f>
        <v>0</v>
      </c>
      <c r="H12" s="140">
        <v>3.65</v>
      </c>
      <c r="I12" s="142">
        <f>Submetering!H12+Submetering!AD12+Submetering!AE12</f>
        <v>-194</v>
      </c>
      <c r="J12" s="142">
        <v>10.029999999999999</v>
      </c>
      <c r="K12" s="37">
        <f>ELECT.!B13</f>
        <v>0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A4"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0</v>
      </c>
      <c r="F8" s="37">
        <f>Water!E9</f>
        <v>0</v>
      </c>
      <c r="G8" s="37">
        <f>Water!G9</f>
        <v>0</v>
      </c>
      <c r="H8" s="37">
        <f>Water!I9</f>
        <v>0</v>
      </c>
      <c r="I8" s="37" t="str">
        <f>ELECT.!F9</f>
        <v>0</v>
      </c>
      <c r="J8" s="37" t="str">
        <f>ELECT.!H9</f>
        <v>0</v>
      </c>
      <c r="K8" s="37">
        <f>ELECT.!K9</f>
        <v>0</v>
      </c>
      <c r="L8" s="37" t="str">
        <f>ELECT.!M9</f>
        <v>0</v>
      </c>
      <c r="M8" s="37">
        <f>ELECT.!O9</f>
        <v>0</v>
      </c>
      <c r="N8" s="37" t="str">
        <f>ELECT.!Q9</f>
        <v>0</v>
      </c>
      <c r="O8" s="37" t="str">
        <f>ELECT.!S9</f>
        <v>0</v>
      </c>
      <c r="P8" s="37">
        <f>ELECT.!W9*2</f>
        <v>0</v>
      </c>
      <c r="Q8" s="37">
        <f>ELECT.!D9</f>
        <v>0</v>
      </c>
      <c r="R8" s="142" t="str">
        <f>BTU!C9</f>
        <v>0</v>
      </c>
      <c r="S8" s="142" t="str">
        <f>BTU!F9</f>
        <v>0</v>
      </c>
      <c r="T8" s="142" t="str">
        <f>BTU!I9</f>
        <v>0</v>
      </c>
      <c r="U8" s="142" t="str">
        <f>BTU!O9</f>
        <v>0</v>
      </c>
      <c r="V8" s="142" t="str">
        <f>BTU!L9</f>
        <v>0</v>
      </c>
      <c r="W8" s="142" t="str">
        <f>BTU!R9</f>
        <v>0</v>
      </c>
      <c r="X8" s="35">
        <f>ELECT.!B9</f>
        <v>0</v>
      </c>
      <c r="Y8" s="3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5">
        <f t="shared" si="1"/>
        <v>-25.569199999999999</v>
      </c>
      <c r="AE8" s="35">
        <f t="shared" si="2"/>
        <v>-168.4308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0</v>
      </c>
      <c r="F9" s="37">
        <f>Water!E10</f>
        <v>0</v>
      </c>
      <c r="G9" s="37">
        <f>Water!G10</f>
        <v>0</v>
      </c>
      <c r="H9" s="37">
        <f>Water!I10</f>
        <v>0</v>
      </c>
      <c r="I9" s="37">
        <f>ELECT.!F10</f>
        <v>0</v>
      </c>
      <c r="J9" s="37">
        <f>ELECT.!H10</f>
        <v>0</v>
      </c>
      <c r="K9" s="37">
        <f>ELECT.!K10</f>
        <v>0</v>
      </c>
      <c r="L9" s="37">
        <f>ELECT.!M10</f>
        <v>0</v>
      </c>
      <c r="M9" s="37">
        <f>ELECT.!O10</f>
        <v>0</v>
      </c>
      <c r="N9" s="37">
        <f>ELECT.!Q10</f>
        <v>0</v>
      </c>
      <c r="O9" s="37">
        <f>ELECT.!S10</f>
        <v>0</v>
      </c>
      <c r="P9" s="37">
        <f>ELECT.!W10*2</f>
        <v>0</v>
      </c>
      <c r="Q9" s="37">
        <f>ELECT.!D10</f>
        <v>0</v>
      </c>
      <c r="R9" s="142">
        <f>BTU!C10</f>
        <v>0</v>
      </c>
      <c r="S9" s="142">
        <f>BTU!F10</f>
        <v>0</v>
      </c>
      <c r="T9" s="142">
        <f>BTU!I10</f>
        <v>0</v>
      </c>
      <c r="U9" s="142">
        <f>BTU!O10</f>
        <v>0</v>
      </c>
      <c r="V9" s="142">
        <f>BTU!L10</f>
        <v>0</v>
      </c>
      <c r="W9" s="142">
        <f>BTU!R10</f>
        <v>0</v>
      </c>
      <c r="X9" s="35">
        <f>ELECT.!B10</f>
        <v>0</v>
      </c>
      <c r="Y9" s="3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5">
        <f t="shared" si="1"/>
        <v>-25.569199999999999</v>
      </c>
      <c r="AE9" s="35">
        <f t="shared" si="2"/>
        <v>-168.4308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0</v>
      </c>
      <c r="F10" s="37">
        <f>Water!E11</f>
        <v>0</v>
      </c>
      <c r="G10" s="37">
        <f>Water!G11</f>
        <v>0</v>
      </c>
      <c r="H10" s="37">
        <f>Water!I11</f>
        <v>0</v>
      </c>
      <c r="I10" s="37">
        <f>ELECT.!F11</f>
        <v>0</v>
      </c>
      <c r="J10" s="37">
        <f>ELECT.!H11</f>
        <v>0</v>
      </c>
      <c r="K10" s="37">
        <f>ELECT.!K11</f>
        <v>0</v>
      </c>
      <c r="L10" s="37">
        <f>ELECT.!M11</f>
        <v>0</v>
      </c>
      <c r="M10" s="37">
        <f>ELECT.!O11</f>
        <v>0</v>
      </c>
      <c r="N10" s="37">
        <f>ELECT.!Q11</f>
        <v>0</v>
      </c>
      <c r="O10" s="37">
        <f>ELECT.!S11</f>
        <v>0</v>
      </c>
      <c r="P10" s="37">
        <f>ELECT.!W11*2</f>
        <v>0</v>
      </c>
      <c r="Q10" s="37">
        <f>ELECT.!D11</f>
        <v>0</v>
      </c>
      <c r="R10" s="142">
        <f>BTU!C11</f>
        <v>0</v>
      </c>
      <c r="S10" s="142">
        <f>BTU!F11</f>
        <v>0</v>
      </c>
      <c r="T10" s="142">
        <f>BTU!I11</f>
        <v>0</v>
      </c>
      <c r="U10" s="142">
        <f>BTU!O11</f>
        <v>0</v>
      </c>
      <c r="V10" s="142">
        <f>BTU!L11</f>
        <v>0</v>
      </c>
      <c r="W10" s="142">
        <f>BTU!R11</f>
        <v>0</v>
      </c>
      <c r="X10" s="35">
        <f>ELECT.!B11</f>
        <v>0</v>
      </c>
      <c r="Y10" s="3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5">
        <f t="shared" si="1"/>
        <v>-25.569199999999999</v>
      </c>
      <c r="AE10" s="35">
        <f t="shared" si="2"/>
        <v>-168.4308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0</v>
      </c>
      <c r="F11" s="37">
        <f>Water!E12</f>
        <v>0</v>
      </c>
      <c r="G11" s="37">
        <f>Water!G12</f>
        <v>0</v>
      </c>
      <c r="H11" s="37">
        <f>Water!I12</f>
        <v>0</v>
      </c>
      <c r="I11" s="37">
        <f>ELECT.!F12</f>
        <v>0</v>
      </c>
      <c r="J11" s="37">
        <f>ELECT.!H12</f>
        <v>0</v>
      </c>
      <c r="K11" s="37">
        <f>ELECT.!K12</f>
        <v>0</v>
      </c>
      <c r="L11" s="37">
        <f>ELECT.!M12</f>
        <v>0</v>
      </c>
      <c r="M11" s="37">
        <f>ELECT.!O12</f>
        <v>0</v>
      </c>
      <c r="N11" s="37">
        <f>ELECT.!Q12</f>
        <v>0</v>
      </c>
      <c r="O11" s="37">
        <f>ELECT.!S12</f>
        <v>0</v>
      </c>
      <c r="P11" s="37">
        <f>ELECT.!W12*2</f>
        <v>0</v>
      </c>
      <c r="Q11" s="37">
        <f>ELECT.!D12</f>
        <v>0</v>
      </c>
      <c r="R11" s="142">
        <f>BTU!C12</f>
        <v>0</v>
      </c>
      <c r="S11" s="142">
        <f>BTU!F12</f>
        <v>0</v>
      </c>
      <c r="T11" s="142">
        <f>BTU!I12</f>
        <v>0</v>
      </c>
      <c r="U11" s="142">
        <f>BTU!O12</f>
        <v>0</v>
      </c>
      <c r="V11" s="142">
        <f>BTU!L12</f>
        <v>0</v>
      </c>
      <c r="W11" s="142">
        <f>BTU!R12</f>
        <v>0</v>
      </c>
      <c r="X11" s="35">
        <f>ELECT.!B12</f>
        <v>0</v>
      </c>
      <c r="Y11" s="3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5">
        <f t="shared" si="1"/>
        <v>-25.569199999999999</v>
      </c>
      <c r="AE11" s="35">
        <f t="shared" si="2"/>
        <v>-168.4308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0</v>
      </c>
      <c r="F12" s="37">
        <f>Water!E13</f>
        <v>0</v>
      </c>
      <c r="G12" s="37">
        <f>Water!G13</f>
        <v>0</v>
      </c>
      <c r="H12" s="37">
        <f>Water!I13</f>
        <v>0</v>
      </c>
      <c r="I12" s="37">
        <f>ELECT.!F13</f>
        <v>0</v>
      </c>
      <c r="J12" s="37">
        <f>ELECT.!H13</f>
        <v>0</v>
      </c>
      <c r="K12" s="37">
        <f>ELECT.!K13</f>
        <v>0</v>
      </c>
      <c r="L12" s="37">
        <f>ELECT.!M13</f>
        <v>0</v>
      </c>
      <c r="M12" s="37">
        <f>ELECT.!O13</f>
        <v>0</v>
      </c>
      <c r="N12" s="37">
        <f>ELECT.!Q13</f>
        <v>0</v>
      </c>
      <c r="O12" s="37">
        <f>ELECT.!S13</f>
        <v>0</v>
      </c>
      <c r="P12" s="37">
        <f>ELECT.!W13*2</f>
        <v>0</v>
      </c>
      <c r="Q12" s="37">
        <f>ELECT.!D13</f>
        <v>0</v>
      </c>
      <c r="R12" s="142">
        <f>BTU!C13</f>
        <v>0</v>
      </c>
      <c r="S12" s="142">
        <f>BTU!F13</f>
        <v>0</v>
      </c>
      <c r="T12" s="142">
        <f>BTU!I13</f>
        <v>0</v>
      </c>
      <c r="U12" s="142">
        <f>BTU!O13</f>
        <v>0</v>
      </c>
      <c r="V12" s="142">
        <f>BTU!L13</f>
        <v>0</v>
      </c>
      <c r="W12" s="142">
        <f>BTU!R13</f>
        <v>0</v>
      </c>
      <c r="X12" s="35">
        <f>ELECT.!B13</f>
        <v>0</v>
      </c>
      <c r="Y12" s="3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5">
        <f t="shared" si="1"/>
        <v>-25.569199999999999</v>
      </c>
      <c r="AE12" s="35">
        <f t="shared" si="2"/>
        <v>-168.4308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>
        <f>ELECT.!F14</f>
        <v>0</v>
      </c>
      <c r="J13" s="37">
        <f>ELECT.!H14</f>
        <v>0</v>
      </c>
      <c r="K13" s="37">
        <f>ELECT.!K14</f>
        <v>0</v>
      </c>
      <c r="L13" s="37">
        <f>ELECT.!M14</f>
        <v>0</v>
      </c>
      <c r="M13" s="37">
        <f>ELECT.!O14</f>
        <v>0</v>
      </c>
      <c r="N13" s="37">
        <f>ELECT.!Q14</f>
        <v>0</v>
      </c>
      <c r="O13" s="37">
        <f>ELECT.!S14</f>
        <v>0</v>
      </c>
      <c r="P13" s="37">
        <f>ELECT.!W14*2</f>
        <v>0</v>
      </c>
      <c r="Q13" s="37">
        <f>ELECT.!D14</f>
        <v>0</v>
      </c>
      <c r="R13" s="142">
        <f>BTU!C14</f>
        <v>0</v>
      </c>
      <c r="S13" s="142">
        <f>BTU!F14</f>
        <v>0</v>
      </c>
      <c r="T13" s="142">
        <f>BTU!I14</f>
        <v>0</v>
      </c>
      <c r="U13" s="142">
        <f>BTU!O14</f>
        <v>0</v>
      </c>
      <c r="V13" s="142">
        <f>BTU!L14</f>
        <v>0</v>
      </c>
      <c r="W13" s="142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142">
        <f>BTU!C15</f>
        <v>0</v>
      </c>
      <c r="S14" s="142">
        <f>BTU!F15</f>
        <v>0</v>
      </c>
      <c r="T14" s="142">
        <f>BTU!I15</f>
        <v>0</v>
      </c>
      <c r="U14" s="142">
        <f>BTU!O15</f>
        <v>0</v>
      </c>
      <c r="V14" s="142">
        <f>BTU!L15</f>
        <v>0</v>
      </c>
      <c r="W14" s="142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142">
        <f>BTU!C16</f>
        <v>0</v>
      </c>
      <c r="S15" s="142">
        <f>BTU!F16</f>
        <v>0</v>
      </c>
      <c r="T15" s="142">
        <f>BTU!I16</f>
        <v>0</v>
      </c>
      <c r="U15" s="142">
        <f>BTU!O16</f>
        <v>0</v>
      </c>
      <c r="V15" s="142">
        <f>BTU!L16</f>
        <v>0</v>
      </c>
      <c r="W15" s="142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142">
        <f>BTU!C17</f>
        <v>0</v>
      </c>
      <c r="S16" s="142">
        <f>BTU!F17</f>
        <v>0</v>
      </c>
      <c r="T16" s="142">
        <f>BTU!I17</f>
        <v>0</v>
      </c>
      <c r="U16" s="142">
        <f>BTU!O17</f>
        <v>0</v>
      </c>
      <c r="V16" s="142">
        <f>BTU!L17</f>
        <v>0</v>
      </c>
      <c r="W16" s="142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142">
        <f>BTU!C18</f>
        <v>0</v>
      </c>
      <c r="S17" s="142">
        <f>BTU!F18</f>
        <v>0</v>
      </c>
      <c r="T17" s="142">
        <f>BTU!I18</f>
        <v>0</v>
      </c>
      <c r="U17" s="142">
        <f>BTU!O18</f>
        <v>0</v>
      </c>
      <c r="V17" s="142">
        <f>BTU!L18</f>
        <v>0</v>
      </c>
      <c r="W17" s="142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142">
        <f>BTU!C19</f>
        <v>0</v>
      </c>
      <c r="S18" s="142">
        <f>BTU!F19</f>
        <v>0</v>
      </c>
      <c r="T18" s="142">
        <f>BTU!I19</f>
        <v>0</v>
      </c>
      <c r="U18" s="142">
        <f>BTU!O19</f>
        <v>0</v>
      </c>
      <c r="V18" s="142">
        <f>BTU!L19</f>
        <v>0</v>
      </c>
      <c r="W18" s="142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D40" sqref="D4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f t="shared" ref="B9:B32" si="13">B8</f>
        <v>47115</v>
      </c>
      <c r="C9" s="14">
        <f t="shared" si="9"/>
        <v>0</v>
      </c>
      <c r="D9" s="32">
        <f t="shared" ref="D9:D32" si="14">D8</f>
        <v>40657</v>
      </c>
      <c r="E9" s="14">
        <f t="shared" si="1"/>
        <v>0</v>
      </c>
      <c r="F9" s="32">
        <f t="shared" ref="F9:F32" si="15">F8</f>
        <v>21709</v>
      </c>
      <c r="G9" s="14">
        <f t="shared" si="2"/>
        <v>0</v>
      </c>
      <c r="H9" s="32">
        <f t="shared" ref="H9:H32" si="16">H8</f>
        <v>255454</v>
      </c>
      <c r="I9" s="14">
        <f t="shared" si="3"/>
        <v>0</v>
      </c>
      <c r="J9" s="32">
        <f t="shared" ref="J9:J32" si="17">J8</f>
        <v>317346</v>
      </c>
      <c r="K9" s="14">
        <f t="shared" si="4"/>
        <v>0</v>
      </c>
      <c r="L9" s="32">
        <f t="shared" ref="L9:L32" si="18">L8</f>
        <v>26189</v>
      </c>
      <c r="M9" s="14">
        <f t="shared" si="5"/>
        <v>0</v>
      </c>
      <c r="N9" s="32">
        <f t="shared" ref="N9:N32" si="19">N8</f>
        <v>226055</v>
      </c>
      <c r="O9" s="14">
        <f t="shared" si="6"/>
        <v>0</v>
      </c>
      <c r="P9" s="32">
        <f t="shared" si="12"/>
        <v>155229</v>
      </c>
      <c r="Q9" s="14">
        <f t="shared" si="0"/>
        <v>0</v>
      </c>
      <c r="R9" s="1">
        <f t="shared" si="10"/>
        <v>55047</v>
      </c>
      <c r="S9" s="14">
        <f>R9-R8</f>
        <v>0</v>
      </c>
      <c r="T9" s="32">
        <f t="shared" si="11"/>
        <v>4001</v>
      </c>
      <c r="U9" s="14">
        <f t="shared" si="8"/>
        <v>0</v>
      </c>
    </row>
    <row r="10" spans="1:24" ht="13.5" thickBot="1" x14ac:dyDescent="0.25">
      <c r="A10" s="9">
        <v>44720</v>
      </c>
      <c r="B10" s="32">
        <f t="shared" si="13"/>
        <v>47115</v>
      </c>
      <c r="C10" s="14">
        <f t="shared" si="9"/>
        <v>0</v>
      </c>
      <c r="D10" s="32">
        <f t="shared" si="14"/>
        <v>40657</v>
      </c>
      <c r="E10" s="14">
        <f t="shared" si="1"/>
        <v>0</v>
      </c>
      <c r="F10" s="32">
        <f t="shared" si="15"/>
        <v>21709</v>
      </c>
      <c r="G10" s="14">
        <f t="shared" si="2"/>
        <v>0</v>
      </c>
      <c r="H10" s="32">
        <f t="shared" si="16"/>
        <v>255454</v>
      </c>
      <c r="I10" s="14">
        <f t="shared" si="3"/>
        <v>0</v>
      </c>
      <c r="J10" s="32">
        <f t="shared" si="17"/>
        <v>317346</v>
      </c>
      <c r="K10" s="14">
        <f t="shared" si="4"/>
        <v>0</v>
      </c>
      <c r="L10" s="32">
        <f t="shared" si="18"/>
        <v>26189</v>
      </c>
      <c r="M10" s="14">
        <f t="shared" si="5"/>
        <v>0</v>
      </c>
      <c r="N10" s="32">
        <f t="shared" si="19"/>
        <v>226055</v>
      </c>
      <c r="O10" s="14">
        <f t="shared" si="6"/>
        <v>0</v>
      </c>
      <c r="P10" s="32">
        <f t="shared" si="12"/>
        <v>155229</v>
      </c>
      <c r="Q10" s="14">
        <f t="shared" si="0"/>
        <v>0</v>
      </c>
      <c r="R10" s="1">
        <f t="shared" si="10"/>
        <v>55047</v>
      </c>
      <c r="S10" s="14">
        <f>R10-R9</f>
        <v>0</v>
      </c>
      <c r="T10" s="32">
        <f t="shared" si="11"/>
        <v>4001</v>
      </c>
      <c r="U10" s="14">
        <f t="shared" si="8"/>
        <v>0</v>
      </c>
    </row>
    <row r="11" spans="1:24" ht="13.5" thickBot="1" x14ac:dyDescent="0.25">
      <c r="A11" s="9">
        <v>44721</v>
      </c>
      <c r="B11" s="32">
        <f t="shared" si="13"/>
        <v>47115</v>
      </c>
      <c r="C11" s="14">
        <f t="shared" si="9"/>
        <v>0</v>
      </c>
      <c r="D11" s="32">
        <f t="shared" si="14"/>
        <v>40657</v>
      </c>
      <c r="E11" s="14">
        <f t="shared" si="1"/>
        <v>0</v>
      </c>
      <c r="F11" s="32">
        <f t="shared" si="15"/>
        <v>21709</v>
      </c>
      <c r="G11" s="14">
        <f t="shared" si="2"/>
        <v>0</v>
      </c>
      <c r="H11" s="32">
        <f t="shared" si="16"/>
        <v>255454</v>
      </c>
      <c r="I11" s="14">
        <f t="shared" si="3"/>
        <v>0</v>
      </c>
      <c r="J11" s="32">
        <f t="shared" si="17"/>
        <v>317346</v>
      </c>
      <c r="K11" s="14">
        <f t="shared" si="4"/>
        <v>0</v>
      </c>
      <c r="L11" s="32">
        <f t="shared" si="18"/>
        <v>26189</v>
      </c>
      <c r="M11" s="14">
        <f t="shared" si="5"/>
        <v>0</v>
      </c>
      <c r="N11" s="32">
        <f t="shared" si="19"/>
        <v>226055</v>
      </c>
      <c r="O11" s="14">
        <f t="shared" si="6"/>
        <v>0</v>
      </c>
      <c r="P11" s="32">
        <f t="shared" si="12"/>
        <v>155229</v>
      </c>
      <c r="Q11" s="14">
        <f t="shared" si="0"/>
        <v>0</v>
      </c>
      <c r="R11" s="1">
        <f t="shared" si="10"/>
        <v>55047</v>
      </c>
      <c r="S11" s="14">
        <f t="shared" si="7"/>
        <v>0</v>
      </c>
      <c r="T11" s="32">
        <f t="shared" si="11"/>
        <v>4001</v>
      </c>
      <c r="U11" s="14">
        <f t="shared" si="8"/>
        <v>0</v>
      </c>
    </row>
    <row r="12" spans="1:24" ht="13.5" thickBot="1" x14ac:dyDescent="0.25">
      <c r="A12" s="9">
        <v>44722</v>
      </c>
      <c r="B12" s="32">
        <f t="shared" si="13"/>
        <v>47115</v>
      </c>
      <c r="C12" s="14">
        <f t="shared" si="9"/>
        <v>0</v>
      </c>
      <c r="D12" s="32">
        <f t="shared" si="14"/>
        <v>40657</v>
      </c>
      <c r="E12" s="14">
        <f t="shared" si="1"/>
        <v>0</v>
      </c>
      <c r="F12" s="32">
        <f t="shared" si="15"/>
        <v>21709</v>
      </c>
      <c r="G12" s="14">
        <f t="shared" si="2"/>
        <v>0</v>
      </c>
      <c r="H12" s="32">
        <f t="shared" si="16"/>
        <v>255454</v>
      </c>
      <c r="I12" s="14">
        <f t="shared" si="3"/>
        <v>0</v>
      </c>
      <c r="J12" s="32">
        <f t="shared" si="17"/>
        <v>317346</v>
      </c>
      <c r="K12" s="14">
        <f t="shared" si="4"/>
        <v>0</v>
      </c>
      <c r="L12" s="32">
        <f t="shared" si="18"/>
        <v>26189</v>
      </c>
      <c r="M12" s="14">
        <f t="shared" si="5"/>
        <v>0</v>
      </c>
      <c r="N12" s="32">
        <f t="shared" si="19"/>
        <v>226055</v>
      </c>
      <c r="O12" s="14">
        <f t="shared" si="6"/>
        <v>0</v>
      </c>
      <c r="P12" s="32">
        <f t="shared" si="12"/>
        <v>155229</v>
      </c>
      <c r="Q12" s="14">
        <f t="shared" si="0"/>
        <v>0</v>
      </c>
      <c r="R12" s="1">
        <f t="shared" si="10"/>
        <v>55047</v>
      </c>
      <c r="S12" s="14">
        <f t="shared" si="7"/>
        <v>0</v>
      </c>
      <c r="T12" s="32">
        <f t="shared" si="11"/>
        <v>4001</v>
      </c>
      <c r="U12" s="14">
        <f t="shared" si="8"/>
        <v>0</v>
      </c>
    </row>
    <row r="13" spans="1:24" ht="13.5" thickBot="1" x14ac:dyDescent="0.25">
      <c r="A13" s="9">
        <v>44723</v>
      </c>
      <c r="B13" s="32">
        <f t="shared" si="13"/>
        <v>47115</v>
      </c>
      <c r="C13" s="14">
        <f t="shared" si="9"/>
        <v>0</v>
      </c>
      <c r="D13" s="32">
        <f t="shared" si="14"/>
        <v>40657</v>
      </c>
      <c r="E13" s="14">
        <f t="shared" si="1"/>
        <v>0</v>
      </c>
      <c r="F13" s="32">
        <f t="shared" si="15"/>
        <v>21709</v>
      </c>
      <c r="G13" s="14">
        <f t="shared" si="2"/>
        <v>0</v>
      </c>
      <c r="H13" s="32">
        <f t="shared" si="16"/>
        <v>255454</v>
      </c>
      <c r="I13" s="14">
        <f t="shared" si="3"/>
        <v>0</v>
      </c>
      <c r="J13" s="32">
        <f t="shared" si="17"/>
        <v>317346</v>
      </c>
      <c r="K13" s="14">
        <f t="shared" si="4"/>
        <v>0</v>
      </c>
      <c r="L13" s="32">
        <f t="shared" si="18"/>
        <v>26189</v>
      </c>
      <c r="M13" s="14">
        <f t="shared" si="5"/>
        <v>0</v>
      </c>
      <c r="N13" s="32">
        <f t="shared" si="19"/>
        <v>226055</v>
      </c>
      <c r="O13" s="14">
        <f t="shared" si="6"/>
        <v>0</v>
      </c>
      <c r="P13" s="32">
        <f t="shared" si="12"/>
        <v>155229</v>
      </c>
      <c r="Q13" s="14">
        <f t="shared" si="0"/>
        <v>0</v>
      </c>
      <c r="R13" s="1">
        <f t="shared" si="10"/>
        <v>55047</v>
      </c>
      <c r="S13" s="14">
        <f t="shared" si="7"/>
        <v>0</v>
      </c>
      <c r="T13" s="32">
        <f t="shared" si="11"/>
        <v>4001</v>
      </c>
      <c r="U13" s="14">
        <f t="shared" si="8"/>
        <v>0</v>
      </c>
    </row>
    <row r="14" spans="1:24" ht="13.5" thickBot="1" x14ac:dyDescent="0.25">
      <c r="A14" s="9">
        <v>44724</v>
      </c>
      <c r="B14" s="32">
        <f t="shared" si="13"/>
        <v>47115</v>
      </c>
      <c r="C14" s="14">
        <f t="shared" si="9"/>
        <v>0</v>
      </c>
      <c r="D14" s="32">
        <f t="shared" si="14"/>
        <v>40657</v>
      </c>
      <c r="E14" s="14">
        <f t="shared" si="1"/>
        <v>0</v>
      </c>
      <c r="F14" s="32">
        <f t="shared" si="15"/>
        <v>21709</v>
      </c>
      <c r="G14" s="14">
        <f t="shared" si="2"/>
        <v>0</v>
      </c>
      <c r="H14" s="32">
        <f t="shared" si="16"/>
        <v>255454</v>
      </c>
      <c r="I14" s="14">
        <f t="shared" si="3"/>
        <v>0</v>
      </c>
      <c r="J14" s="32">
        <f t="shared" si="17"/>
        <v>317346</v>
      </c>
      <c r="K14" s="14">
        <f t="shared" si="4"/>
        <v>0</v>
      </c>
      <c r="L14" s="32">
        <f t="shared" si="18"/>
        <v>26189</v>
      </c>
      <c r="M14" s="14">
        <f t="shared" si="5"/>
        <v>0</v>
      </c>
      <c r="N14" s="32">
        <f t="shared" si="19"/>
        <v>226055</v>
      </c>
      <c r="O14" s="14">
        <f t="shared" si="6"/>
        <v>0</v>
      </c>
      <c r="P14" s="32">
        <f t="shared" si="12"/>
        <v>155229</v>
      </c>
      <c r="Q14" s="14">
        <f t="shared" si="0"/>
        <v>0</v>
      </c>
      <c r="R14" s="1">
        <f t="shared" si="10"/>
        <v>55047</v>
      </c>
      <c r="S14" s="14">
        <v>0</v>
      </c>
      <c r="T14" s="32">
        <f t="shared" si="11"/>
        <v>4001</v>
      </c>
      <c r="U14" s="14">
        <f t="shared" si="8"/>
        <v>0</v>
      </c>
    </row>
    <row r="15" spans="1:24" ht="13.5" thickBot="1" x14ac:dyDescent="0.25">
      <c r="A15" s="9">
        <v>44725</v>
      </c>
      <c r="B15" s="32">
        <f t="shared" si="13"/>
        <v>47115</v>
      </c>
      <c r="C15" s="14">
        <f t="shared" si="9"/>
        <v>0</v>
      </c>
      <c r="D15" s="32">
        <f t="shared" si="14"/>
        <v>40657</v>
      </c>
      <c r="E15" s="14">
        <f t="shared" si="1"/>
        <v>0</v>
      </c>
      <c r="F15" s="32">
        <f t="shared" si="15"/>
        <v>21709</v>
      </c>
      <c r="G15" s="14">
        <f t="shared" ref="G15" si="20">(F15-F14)*100/5</f>
        <v>0</v>
      </c>
      <c r="H15" s="32">
        <f t="shared" si="16"/>
        <v>255454</v>
      </c>
      <c r="I15" s="14">
        <f t="shared" ref="I15" si="21">(H15-H14)</f>
        <v>0</v>
      </c>
      <c r="J15" s="32">
        <f t="shared" si="17"/>
        <v>317346</v>
      </c>
      <c r="K15" s="14">
        <f t="shared" si="4"/>
        <v>0</v>
      </c>
      <c r="L15" s="32">
        <f t="shared" si="18"/>
        <v>26189</v>
      </c>
      <c r="M15" s="14">
        <f t="shared" si="5"/>
        <v>0</v>
      </c>
      <c r="N15" s="32">
        <f t="shared" si="19"/>
        <v>226055</v>
      </c>
      <c r="O15" s="14">
        <f t="shared" ref="O15" si="22">N15-N14</f>
        <v>0</v>
      </c>
      <c r="P15" s="32">
        <f t="shared" si="12"/>
        <v>155229</v>
      </c>
      <c r="Q15" s="14">
        <f t="shared" si="0"/>
        <v>0</v>
      </c>
      <c r="R15" s="1">
        <f t="shared" si="10"/>
        <v>55047</v>
      </c>
      <c r="S15" s="14">
        <v>0</v>
      </c>
      <c r="T15" s="32">
        <f t="shared" si="11"/>
        <v>4001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f t="shared" si="13"/>
        <v>47115</v>
      </c>
      <c r="C16" s="14">
        <f t="shared" si="9"/>
        <v>0</v>
      </c>
      <c r="D16" s="32">
        <f t="shared" si="14"/>
        <v>40657</v>
      </c>
      <c r="E16" s="14">
        <f t="shared" si="1"/>
        <v>0</v>
      </c>
      <c r="F16" s="32">
        <f t="shared" si="15"/>
        <v>21709</v>
      </c>
      <c r="G16" s="14">
        <f t="shared" si="2"/>
        <v>0</v>
      </c>
      <c r="H16" s="32">
        <f t="shared" si="16"/>
        <v>255454</v>
      </c>
      <c r="I16" s="14">
        <f t="shared" si="3"/>
        <v>0</v>
      </c>
      <c r="J16" s="32">
        <f t="shared" si="17"/>
        <v>317346</v>
      </c>
      <c r="K16" s="14">
        <f t="shared" si="4"/>
        <v>0</v>
      </c>
      <c r="L16" s="32">
        <f t="shared" si="18"/>
        <v>26189</v>
      </c>
      <c r="M16" s="14">
        <f t="shared" si="5"/>
        <v>0</v>
      </c>
      <c r="N16" s="32">
        <f t="shared" si="19"/>
        <v>226055</v>
      </c>
      <c r="O16" s="14">
        <f t="shared" si="6"/>
        <v>0</v>
      </c>
      <c r="P16" s="32">
        <f t="shared" si="12"/>
        <v>155229</v>
      </c>
      <c r="Q16" s="14">
        <f t="shared" si="0"/>
        <v>0</v>
      </c>
      <c r="R16" s="1">
        <f t="shared" si="10"/>
        <v>55047</v>
      </c>
      <c r="S16" s="14">
        <f t="shared" si="7"/>
        <v>0</v>
      </c>
      <c r="T16" s="32">
        <f t="shared" si="11"/>
        <v>4001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f t="shared" si="13"/>
        <v>47115</v>
      </c>
      <c r="C17" s="14">
        <f t="shared" si="9"/>
        <v>0</v>
      </c>
      <c r="D17" s="32">
        <f t="shared" si="14"/>
        <v>40657</v>
      </c>
      <c r="E17" s="14">
        <f t="shared" si="1"/>
        <v>0</v>
      </c>
      <c r="F17" s="32">
        <f t="shared" si="15"/>
        <v>21709</v>
      </c>
      <c r="G17" s="14">
        <f t="shared" si="2"/>
        <v>0</v>
      </c>
      <c r="H17" s="32">
        <f t="shared" si="16"/>
        <v>255454</v>
      </c>
      <c r="I17" s="14">
        <f t="shared" si="3"/>
        <v>0</v>
      </c>
      <c r="J17" s="32">
        <f t="shared" si="17"/>
        <v>317346</v>
      </c>
      <c r="K17" s="14">
        <f t="shared" si="4"/>
        <v>0</v>
      </c>
      <c r="L17" s="32">
        <f t="shared" si="18"/>
        <v>26189</v>
      </c>
      <c r="M17" s="14">
        <f t="shared" si="5"/>
        <v>0</v>
      </c>
      <c r="N17" s="32">
        <f t="shared" si="19"/>
        <v>226055</v>
      </c>
      <c r="O17" s="14">
        <f t="shared" si="6"/>
        <v>0</v>
      </c>
      <c r="P17" s="32">
        <f t="shared" si="12"/>
        <v>155229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f t="shared" si="11"/>
        <v>4001</v>
      </c>
      <c r="U17" s="14">
        <f t="shared" si="8"/>
        <v>0</v>
      </c>
    </row>
    <row r="18" spans="1:23" ht="13.5" thickBot="1" x14ac:dyDescent="0.25">
      <c r="A18" s="9">
        <v>44728</v>
      </c>
      <c r="B18" s="32">
        <f t="shared" si="13"/>
        <v>47115</v>
      </c>
      <c r="C18" s="14">
        <f t="shared" si="9"/>
        <v>0</v>
      </c>
      <c r="D18" s="32">
        <f t="shared" si="14"/>
        <v>40657</v>
      </c>
      <c r="E18" s="14">
        <f t="shared" si="1"/>
        <v>0</v>
      </c>
      <c r="F18" s="32">
        <f t="shared" si="15"/>
        <v>21709</v>
      </c>
      <c r="G18" s="14">
        <f t="shared" si="2"/>
        <v>0</v>
      </c>
      <c r="H18" s="32">
        <f t="shared" si="16"/>
        <v>255454</v>
      </c>
      <c r="I18" s="14">
        <f t="shared" si="3"/>
        <v>0</v>
      </c>
      <c r="J18" s="32">
        <f t="shared" si="17"/>
        <v>317346</v>
      </c>
      <c r="K18" s="14">
        <f t="shared" si="4"/>
        <v>0</v>
      </c>
      <c r="L18" s="32">
        <f t="shared" si="18"/>
        <v>26189</v>
      </c>
      <c r="M18" s="14">
        <f t="shared" si="5"/>
        <v>0</v>
      </c>
      <c r="N18" s="32">
        <f t="shared" si="19"/>
        <v>226055</v>
      </c>
      <c r="O18" s="14">
        <f t="shared" si="6"/>
        <v>0</v>
      </c>
      <c r="P18" s="32">
        <f t="shared" si="12"/>
        <v>155229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4001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si="13"/>
        <v>47115</v>
      </c>
      <c r="C19" s="14">
        <f t="shared" si="9"/>
        <v>0</v>
      </c>
      <c r="D19" s="32">
        <f t="shared" si="14"/>
        <v>40657</v>
      </c>
      <c r="E19" s="14">
        <f t="shared" si="1"/>
        <v>0</v>
      </c>
      <c r="F19" s="32">
        <f t="shared" si="15"/>
        <v>21709</v>
      </c>
      <c r="G19" s="14">
        <f t="shared" si="2"/>
        <v>0</v>
      </c>
      <c r="H19" s="32">
        <f t="shared" si="16"/>
        <v>255454</v>
      </c>
      <c r="I19" s="14">
        <f t="shared" si="3"/>
        <v>0</v>
      </c>
      <c r="J19" s="32">
        <f t="shared" si="17"/>
        <v>317346</v>
      </c>
      <c r="K19" s="14">
        <f t="shared" si="4"/>
        <v>0</v>
      </c>
      <c r="L19" s="32">
        <f t="shared" si="18"/>
        <v>26189</v>
      </c>
      <c r="M19" s="14">
        <f t="shared" si="5"/>
        <v>0</v>
      </c>
      <c r="N19" s="32">
        <f t="shared" si="19"/>
        <v>226055</v>
      </c>
      <c r="O19" s="14">
        <f t="shared" si="6"/>
        <v>0</v>
      </c>
      <c r="P19" s="32">
        <f t="shared" si="12"/>
        <v>155229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4001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3"/>
        <v>47115</v>
      </c>
      <c r="C20" s="14">
        <f t="shared" si="9"/>
        <v>0</v>
      </c>
      <c r="D20" s="32">
        <f t="shared" si="14"/>
        <v>40657</v>
      </c>
      <c r="E20" s="14">
        <f t="shared" si="1"/>
        <v>0</v>
      </c>
      <c r="F20" s="32">
        <f t="shared" si="15"/>
        <v>21709</v>
      </c>
      <c r="G20" s="14">
        <f t="shared" si="2"/>
        <v>0</v>
      </c>
      <c r="H20" s="32">
        <f t="shared" si="16"/>
        <v>255454</v>
      </c>
      <c r="I20" s="14">
        <f t="shared" si="3"/>
        <v>0</v>
      </c>
      <c r="J20" s="32">
        <f t="shared" si="17"/>
        <v>317346</v>
      </c>
      <c r="K20" s="14">
        <f t="shared" si="4"/>
        <v>0</v>
      </c>
      <c r="L20" s="32">
        <f t="shared" si="18"/>
        <v>26189</v>
      </c>
      <c r="M20" s="14">
        <f t="shared" si="5"/>
        <v>0</v>
      </c>
      <c r="N20" s="32">
        <f t="shared" si="19"/>
        <v>226055</v>
      </c>
      <c r="O20" s="14">
        <f t="shared" si="6"/>
        <v>0</v>
      </c>
      <c r="P20" s="32">
        <f t="shared" si="12"/>
        <v>155229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4001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3"/>
        <v>47115</v>
      </c>
      <c r="C21" s="14">
        <f t="shared" si="9"/>
        <v>0</v>
      </c>
      <c r="D21" s="32">
        <f t="shared" si="14"/>
        <v>40657</v>
      </c>
      <c r="E21" s="14">
        <f t="shared" si="1"/>
        <v>0</v>
      </c>
      <c r="F21" s="32">
        <f t="shared" si="15"/>
        <v>21709</v>
      </c>
      <c r="G21" s="14">
        <f t="shared" si="2"/>
        <v>0</v>
      </c>
      <c r="H21" s="32">
        <f t="shared" si="16"/>
        <v>255454</v>
      </c>
      <c r="I21" s="14">
        <f t="shared" si="3"/>
        <v>0</v>
      </c>
      <c r="J21" s="32">
        <f t="shared" si="17"/>
        <v>317346</v>
      </c>
      <c r="K21" s="14">
        <f t="shared" si="4"/>
        <v>0</v>
      </c>
      <c r="L21" s="32">
        <f t="shared" si="18"/>
        <v>26189</v>
      </c>
      <c r="M21" s="14">
        <f t="shared" si="5"/>
        <v>0</v>
      </c>
      <c r="N21" s="32">
        <f t="shared" si="19"/>
        <v>226055</v>
      </c>
      <c r="O21" s="14">
        <f t="shared" si="6"/>
        <v>0</v>
      </c>
      <c r="P21" s="32">
        <f t="shared" si="12"/>
        <v>155229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4001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3"/>
        <v>47115</v>
      </c>
      <c r="C22" s="14">
        <f t="shared" si="9"/>
        <v>0</v>
      </c>
      <c r="D22" s="32">
        <f t="shared" si="14"/>
        <v>40657</v>
      </c>
      <c r="E22" s="14">
        <f t="shared" si="1"/>
        <v>0</v>
      </c>
      <c r="F22" s="32">
        <f t="shared" si="15"/>
        <v>21709</v>
      </c>
      <c r="G22" s="14">
        <f t="shared" si="2"/>
        <v>0</v>
      </c>
      <c r="H22" s="32">
        <f t="shared" si="16"/>
        <v>255454</v>
      </c>
      <c r="I22" s="14">
        <f t="shared" si="3"/>
        <v>0</v>
      </c>
      <c r="J22" s="32">
        <f t="shared" si="17"/>
        <v>317346</v>
      </c>
      <c r="K22" s="14">
        <f t="shared" si="4"/>
        <v>0</v>
      </c>
      <c r="L22" s="32">
        <f t="shared" si="18"/>
        <v>26189</v>
      </c>
      <c r="M22" s="14">
        <f t="shared" si="5"/>
        <v>0</v>
      </c>
      <c r="N22" s="32">
        <f t="shared" si="19"/>
        <v>226055</v>
      </c>
      <c r="O22" s="14">
        <f t="shared" si="6"/>
        <v>0</v>
      </c>
      <c r="P22" s="32">
        <f t="shared" si="12"/>
        <v>155229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4001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3"/>
        <v>47115</v>
      </c>
      <c r="C23" s="14">
        <f t="shared" si="9"/>
        <v>0</v>
      </c>
      <c r="D23" s="32">
        <f t="shared" si="14"/>
        <v>40657</v>
      </c>
      <c r="E23" s="14">
        <f t="shared" si="1"/>
        <v>0</v>
      </c>
      <c r="F23" s="32">
        <f t="shared" si="15"/>
        <v>21709</v>
      </c>
      <c r="G23" s="14">
        <f t="shared" si="2"/>
        <v>0</v>
      </c>
      <c r="H23" s="32">
        <f t="shared" si="16"/>
        <v>255454</v>
      </c>
      <c r="I23" s="14">
        <f t="shared" si="3"/>
        <v>0</v>
      </c>
      <c r="J23" s="32">
        <f t="shared" si="17"/>
        <v>317346</v>
      </c>
      <c r="K23" s="14">
        <f t="shared" si="4"/>
        <v>0</v>
      </c>
      <c r="L23" s="32">
        <f t="shared" si="18"/>
        <v>26189</v>
      </c>
      <c r="M23" s="14">
        <f t="shared" si="5"/>
        <v>0</v>
      </c>
      <c r="N23" s="32">
        <f t="shared" si="19"/>
        <v>226055</v>
      </c>
      <c r="O23" s="14">
        <f t="shared" si="6"/>
        <v>0</v>
      </c>
      <c r="P23" s="32">
        <f t="shared" si="12"/>
        <v>155229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4001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3"/>
        <v>47115</v>
      </c>
      <c r="C24" s="14">
        <f t="shared" si="9"/>
        <v>0</v>
      </c>
      <c r="D24" s="32">
        <f t="shared" si="14"/>
        <v>40657</v>
      </c>
      <c r="E24" s="14">
        <f t="shared" si="1"/>
        <v>0</v>
      </c>
      <c r="F24" s="32">
        <f t="shared" si="15"/>
        <v>21709</v>
      </c>
      <c r="G24" s="14">
        <f t="shared" si="2"/>
        <v>0</v>
      </c>
      <c r="H24" s="32">
        <f t="shared" si="16"/>
        <v>255454</v>
      </c>
      <c r="I24" s="14">
        <f t="shared" si="3"/>
        <v>0</v>
      </c>
      <c r="J24" s="32">
        <f t="shared" si="17"/>
        <v>317346</v>
      </c>
      <c r="K24" s="14">
        <f t="shared" si="4"/>
        <v>0</v>
      </c>
      <c r="L24" s="32">
        <f t="shared" si="18"/>
        <v>26189</v>
      </c>
      <c r="M24" s="14">
        <f t="shared" si="5"/>
        <v>0</v>
      </c>
      <c r="N24" s="32">
        <f t="shared" si="19"/>
        <v>226055</v>
      </c>
      <c r="O24" s="14">
        <f t="shared" si="6"/>
        <v>0</v>
      </c>
      <c r="P24" s="32">
        <f t="shared" si="12"/>
        <v>155229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4001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3"/>
        <v>47115</v>
      </c>
      <c r="C25" s="14">
        <f t="shared" si="9"/>
        <v>0</v>
      </c>
      <c r="D25" s="32">
        <f t="shared" si="14"/>
        <v>40657</v>
      </c>
      <c r="E25" s="14">
        <f t="shared" si="1"/>
        <v>0</v>
      </c>
      <c r="F25" s="32">
        <f t="shared" si="15"/>
        <v>21709</v>
      </c>
      <c r="G25" s="14">
        <f t="shared" si="2"/>
        <v>0</v>
      </c>
      <c r="H25" s="32">
        <f t="shared" si="16"/>
        <v>255454</v>
      </c>
      <c r="I25" s="14">
        <f t="shared" si="3"/>
        <v>0</v>
      </c>
      <c r="J25" s="32">
        <f t="shared" si="17"/>
        <v>317346</v>
      </c>
      <c r="K25" s="14">
        <f t="shared" si="4"/>
        <v>0</v>
      </c>
      <c r="L25" s="32">
        <f t="shared" si="18"/>
        <v>26189</v>
      </c>
      <c r="M25" s="14">
        <f t="shared" si="5"/>
        <v>0</v>
      </c>
      <c r="N25" s="32">
        <f t="shared" si="19"/>
        <v>226055</v>
      </c>
      <c r="O25" s="14">
        <f t="shared" si="6"/>
        <v>0</v>
      </c>
      <c r="P25" s="32">
        <f t="shared" si="12"/>
        <v>155229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4001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3"/>
        <v>47115</v>
      </c>
      <c r="C26" s="14">
        <f t="shared" si="9"/>
        <v>0</v>
      </c>
      <c r="D26" s="32">
        <f t="shared" si="14"/>
        <v>40657</v>
      </c>
      <c r="E26" s="14">
        <f t="shared" si="1"/>
        <v>0</v>
      </c>
      <c r="F26" s="32">
        <f t="shared" si="15"/>
        <v>21709</v>
      </c>
      <c r="G26" s="14">
        <f t="shared" si="2"/>
        <v>0</v>
      </c>
      <c r="H26" s="32">
        <f t="shared" si="16"/>
        <v>255454</v>
      </c>
      <c r="I26" s="14">
        <f t="shared" si="3"/>
        <v>0</v>
      </c>
      <c r="J26" s="32">
        <f t="shared" si="17"/>
        <v>317346</v>
      </c>
      <c r="K26" s="14">
        <f t="shared" si="4"/>
        <v>0</v>
      </c>
      <c r="L26" s="32">
        <f t="shared" si="18"/>
        <v>26189</v>
      </c>
      <c r="M26" s="14">
        <f t="shared" si="5"/>
        <v>0</v>
      </c>
      <c r="N26" s="32">
        <f t="shared" si="19"/>
        <v>226055</v>
      </c>
      <c r="O26" s="14">
        <f t="shared" si="6"/>
        <v>0</v>
      </c>
      <c r="P26" s="32">
        <f t="shared" si="12"/>
        <v>155229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4001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3"/>
        <v>47115</v>
      </c>
      <c r="C27" s="14">
        <f t="shared" si="9"/>
        <v>0</v>
      </c>
      <c r="D27" s="32">
        <f t="shared" si="14"/>
        <v>40657</v>
      </c>
      <c r="E27" s="14">
        <f t="shared" si="1"/>
        <v>0</v>
      </c>
      <c r="F27" s="32">
        <f t="shared" si="15"/>
        <v>21709</v>
      </c>
      <c r="G27" s="14">
        <f t="shared" si="2"/>
        <v>0</v>
      </c>
      <c r="H27" s="32">
        <f t="shared" si="16"/>
        <v>255454</v>
      </c>
      <c r="I27" s="14">
        <f t="shared" si="3"/>
        <v>0</v>
      </c>
      <c r="J27" s="32">
        <f t="shared" si="17"/>
        <v>317346</v>
      </c>
      <c r="K27" s="14">
        <f t="shared" si="4"/>
        <v>0</v>
      </c>
      <c r="L27" s="32">
        <f t="shared" si="18"/>
        <v>26189</v>
      </c>
      <c r="M27" s="14">
        <f t="shared" si="5"/>
        <v>0</v>
      </c>
      <c r="N27" s="32">
        <f t="shared" si="19"/>
        <v>226055</v>
      </c>
      <c r="O27" s="14">
        <f t="shared" si="6"/>
        <v>0</v>
      </c>
      <c r="P27" s="32">
        <f t="shared" si="12"/>
        <v>155229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4001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3"/>
        <v>47115</v>
      </c>
      <c r="C28" s="14">
        <f t="shared" si="9"/>
        <v>0</v>
      </c>
      <c r="D28" s="32">
        <f t="shared" si="14"/>
        <v>40657</v>
      </c>
      <c r="E28" s="14">
        <f t="shared" si="1"/>
        <v>0</v>
      </c>
      <c r="F28" s="32">
        <f t="shared" si="15"/>
        <v>21709</v>
      </c>
      <c r="G28" s="14">
        <f t="shared" si="2"/>
        <v>0</v>
      </c>
      <c r="H28" s="32">
        <f t="shared" si="16"/>
        <v>255454</v>
      </c>
      <c r="I28" s="14">
        <f t="shared" si="3"/>
        <v>0</v>
      </c>
      <c r="J28" s="32">
        <f t="shared" si="17"/>
        <v>317346</v>
      </c>
      <c r="K28" s="14">
        <f t="shared" si="4"/>
        <v>0</v>
      </c>
      <c r="L28" s="32">
        <f t="shared" si="18"/>
        <v>26189</v>
      </c>
      <c r="M28" s="14">
        <f t="shared" si="5"/>
        <v>0</v>
      </c>
      <c r="N28" s="32">
        <f t="shared" si="19"/>
        <v>226055</v>
      </c>
      <c r="O28" s="14">
        <f t="shared" si="6"/>
        <v>0</v>
      </c>
      <c r="P28" s="32">
        <f t="shared" si="12"/>
        <v>155229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4001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3"/>
        <v>47115</v>
      </c>
      <c r="C29" s="14">
        <f t="shared" si="9"/>
        <v>0</v>
      </c>
      <c r="D29" s="32">
        <f t="shared" si="14"/>
        <v>40657</v>
      </c>
      <c r="E29" s="14">
        <f t="shared" si="1"/>
        <v>0</v>
      </c>
      <c r="F29" s="32">
        <f t="shared" si="15"/>
        <v>21709</v>
      </c>
      <c r="G29" s="14">
        <f t="shared" si="2"/>
        <v>0</v>
      </c>
      <c r="H29" s="32">
        <f t="shared" si="16"/>
        <v>255454</v>
      </c>
      <c r="I29" s="14">
        <f t="shared" si="3"/>
        <v>0</v>
      </c>
      <c r="J29" s="32">
        <f t="shared" si="17"/>
        <v>317346</v>
      </c>
      <c r="K29" s="14">
        <f t="shared" si="4"/>
        <v>0</v>
      </c>
      <c r="L29" s="32">
        <f t="shared" si="18"/>
        <v>26189</v>
      </c>
      <c r="M29" s="14">
        <f t="shared" si="5"/>
        <v>0</v>
      </c>
      <c r="N29" s="32">
        <f t="shared" si="19"/>
        <v>226055</v>
      </c>
      <c r="O29" s="14">
        <f t="shared" si="6"/>
        <v>0</v>
      </c>
      <c r="P29" s="32">
        <f t="shared" si="12"/>
        <v>155229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4001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3"/>
        <v>47115</v>
      </c>
      <c r="C30" s="14">
        <f t="shared" si="9"/>
        <v>0</v>
      </c>
      <c r="D30" s="32">
        <f t="shared" si="14"/>
        <v>40657</v>
      </c>
      <c r="E30" s="14">
        <f t="shared" si="1"/>
        <v>0</v>
      </c>
      <c r="F30" s="32">
        <f t="shared" si="15"/>
        <v>21709</v>
      </c>
      <c r="G30" s="14">
        <f t="shared" si="2"/>
        <v>0</v>
      </c>
      <c r="H30" s="32">
        <f t="shared" si="16"/>
        <v>255454</v>
      </c>
      <c r="I30" s="14">
        <f t="shared" si="3"/>
        <v>0</v>
      </c>
      <c r="J30" s="32">
        <f t="shared" si="17"/>
        <v>317346</v>
      </c>
      <c r="K30" s="14">
        <f t="shared" si="4"/>
        <v>0</v>
      </c>
      <c r="L30" s="32">
        <f t="shared" si="18"/>
        <v>26189</v>
      </c>
      <c r="M30" s="14">
        <f t="shared" si="5"/>
        <v>0</v>
      </c>
      <c r="N30" s="32">
        <f t="shared" si="19"/>
        <v>226055</v>
      </c>
      <c r="O30" s="14">
        <f t="shared" si="6"/>
        <v>0</v>
      </c>
      <c r="P30" s="32">
        <f t="shared" si="12"/>
        <v>155229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4001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3"/>
        <v>47115</v>
      </c>
      <c r="C31" s="14">
        <f t="shared" si="9"/>
        <v>0</v>
      </c>
      <c r="D31" s="32">
        <f t="shared" si="14"/>
        <v>40657</v>
      </c>
      <c r="E31" s="14">
        <f t="shared" si="1"/>
        <v>0</v>
      </c>
      <c r="F31" s="32">
        <f t="shared" si="15"/>
        <v>21709</v>
      </c>
      <c r="G31" s="14">
        <f t="shared" si="2"/>
        <v>0</v>
      </c>
      <c r="H31" s="32">
        <f t="shared" si="16"/>
        <v>255454</v>
      </c>
      <c r="I31" s="14">
        <f t="shared" si="3"/>
        <v>0</v>
      </c>
      <c r="J31" s="32">
        <f t="shared" si="17"/>
        <v>317346</v>
      </c>
      <c r="K31" s="14">
        <f t="shared" si="4"/>
        <v>0</v>
      </c>
      <c r="L31" s="32">
        <f t="shared" si="18"/>
        <v>26189</v>
      </c>
      <c r="M31" s="14">
        <f t="shared" si="5"/>
        <v>0</v>
      </c>
      <c r="N31" s="32">
        <f t="shared" si="19"/>
        <v>226055</v>
      </c>
      <c r="O31" s="14">
        <f t="shared" si="6"/>
        <v>0</v>
      </c>
      <c r="P31" s="32">
        <f t="shared" si="12"/>
        <v>155229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4001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3"/>
        <v>47115</v>
      </c>
      <c r="C32" s="14">
        <f t="shared" si="9"/>
        <v>0</v>
      </c>
      <c r="D32" s="32">
        <f t="shared" si="14"/>
        <v>40657</v>
      </c>
      <c r="E32" s="14">
        <f t="shared" si="1"/>
        <v>0</v>
      </c>
      <c r="F32" s="32">
        <f t="shared" si="15"/>
        <v>21709</v>
      </c>
      <c r="G32" s="14">
        <f t="shared" si="2"/>
        <v>0</v>
      </c>
      <c r="H32" s="32">
        <f t="shared" si="16"/>
        <v>255454</v>
      </c>
      <c r="I32" s="14">
        <f t="shared" si="3"/>
        <v>0</v>
      </c>
      <c r="J32" s="32">
        <f t="shared" si="17"/>
        <v>317346</v>
      </c>
      <c r="K32" s="14">
        <f t="shared" si="4"/>
        <v>0</v>
      </c>
      <c r="L32" s="32">
        <f t="shared" si="18"/>
        <v>26189</v>
      </c>
      <c r="M32" s="14">
        <f t="shared" si="5"/>
        <v>0</v>
      </c>
      <c r="N32" s="32">
        <f t="shared" si="19"/>
        <v>226055</v>
      </c>
      <c r="O32" s="14">
        <f t="shared" si="6"/>
        <v>0</v>
      </c>
      <c r="P32" s="32">
        <f t="shared" si="12"/>
        <v>155229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4001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4480</v>
      </c>
      <c r="D33" s="11"/>
      <c r="E33" s="14">
        <f>SUM(E3:E32)</f>
        <v>3040</v>
      </c>
      <c r="F33" s="11"/>
      <c r="G33" s="14">
        <f>SUM(G3:G32)</f>
        <v>440</v>
      </c>
      <c r="H33" s="11"/>
      <c r="I33" s="14">
        <f>SUM(I3:I32)</f>
        <v>155</v>
      </c>
      <c r="J33" s="11"/>
      <c r="K33" s="14">
        <f>SUM(K3:K32)</f>
        <v>942</v>
      </c>
      <c r="L33" s="11"/>
      <c r="M33" s="14">
        <f>SUM(M3:M32)</f>
        <v>1080</v>
      </c>
      <c r="N33" s="33"/>
      <c r="O33" s="14">
        <f>SUM(O3:O32)</f>
        <v>19</v>
      </c>
      <c r="P33" s="32"/>
      <c r="Q33" s="14">
        <f>SUM(Q3:Q32)</f>
        <v>863</v>
      </c>
      <c r="R33" s="1"/>
      <c r="S33" s="14">
        <f>SUM(S3:S32)</f>
        <v>0</v>
      </c>
      <c r="T33" s="1"/>
      <c r="U33" s="14">
        <f>SUM(U3:U32)</f>
        <v>640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9" sqref="B9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/>
      <c r="C9" s="145"/>
      <c r="D9" s="39">
        <f t="shared" si="1"/>
        <v>0</v>
      </c>
      <c r="E9" s="146"/>
      <c r="F9" s="39" t="str">
        <f t="shared" si="2"/>
        <v>0</v>
      </c>
      <c r="G9" s="147"/>
      <c r="H9" s="39" t="str">
        <f t="shared" si="3"/>
        <v>0</v>
      </c>
      <c r="I9" s="148">
        <f t="shared" si="4"/>
        <v>0</v>
      </c>
      <c r="J9" s="146"/>
      <c r="K9" s="39">
        <f t="shared" si="12"/>
        <v>0</v>
      </c>
      <c r="L9" s="149"/>
      <c r="M9" s="39" t="str">
        <f t="shared" si="5"/>
        <v>0</v>
      </c>
      <c r="N9" s="146"/>
      <c r="O9" s="39">
        <f t="shared" si="13"/>
        <v>0</v>
      </c>
      <c r="P9" s="149"/>
      <c r="Q9" s="39" t="str">
        <f t="shared" si="6"/>
        <v>0</v>
      </c>
      <c r="R9" s="146"/>
      <c r="S9" s="39" t="str">
        <f t="shared" si="7"/>
        <v>0</v>
      </c>
      <c r="T9" s="146">
        <v>0</v>
      </c>
      <c r="U9" s="150"/>
      <c r="V9" s="146"/>
      <c r="W9" s="39" t="str">
        <f t="shared" si="8"/>
        <v>0</v>
      </c>
      <c r="X9" s="19">
        <f t="shared" si="9"/>
        <v>0</v>
      </c>
      <c r="Y9" s="151">
        <f t="shared" si="10"/>
        <v>0</v>
      </c>
      <c r="Z9" s="3">
        <f t="shared" si="11"/>
        <v>0</v>
      </c>
      <c r="AA9" s="3">
        <f>SUM(Z1:Z9)</f>
        <v>56416.114975999997</v>
      </c>
    </row>
    <row r="10" spans="1:27" ht="16.5" thickBot="1" x14ac:dyDescent="0.3">
      <c r="A10" s="9">
        <v>44720</v>
      </c>
      <c r="B10" s="39"/>
      <c r="C10" s="145"/>
      <c r="D10" s="39">
        <f t="shared" si="1"/>
        <v>0</v>
      </c>
      <c r="E10" s="146"/>
      <c r="F10" s="39">
        <f t="shared" si="2"/>
        <v>0</v>
      </c>
      <c r="G10" s="147"/>
      <c r="H10" s="39">
        <f t="shared" si="3"/>
        <v>0</v>
      </c>
      <c r="I10" s="148">
        <f t="shared" si="4"/>
        <v>0</v>
      </c>
      <c r="J10" s="146"/>
      <c r="K10" s="39">
        <f t="shared" si="12"/>
        <v>0</v>
      </c>
      <c r="L10" s="149"/>
      <c r="M10" s="39">
        <f t="shared" si="5"/>
        <v>0</v>
      </c>
      <c r="N10" s="146"/>
      <c r="O10" s="39">
        <f t="shared" si="13"/>
        <v>0</v>
      </c>
      <c r="P10" s="149"/>
      <c r="Q10" s="39">
        <f t="shared" si="6"/>
        <v>0</v>
      </c>
      <c r="R10" s="146"/>
      <c r="S10" s="39">
        <f t="shared" si="7"/>
        <v>0</v>
      </c>
      <c r="T10" s="146">
        <v>0</v>
      </c>
      <c r="U10" s="150"/>
      <c r="V10" s="146"/>
      <c r="W10" s="39">
        <f t="shared" si="8"/>
        <v>0</v>
      </c>
      <c r="X10" s="19">
        <f t="shared" si="9"/>
        <v>0</v>
      </c>
      <c r="Y10" s="151">
        <f t="shared" si="10"/>
        <v>0</v>
      </c>
      <c r="Z10" s="3">
        <f t="shared" si="11"/>
        <v>0</v>
      </c>
      <c r="AA10" s="3">
        <f>SUM(Z1:Z10)</f>
        <v>56416.114975999997</v>
      </c>
    </row>
    <row r="11" spans="1:27" ht="15.75" customHeight="1" thickBot="1" x14ac:dyDescent="0.3">
      <c r="A11" s="9">
        <v>44721</v>
      </c>
      <c r="B11" s="39"/>
      <c r="C11" s="145"/>
      <c r="D11" s="39">
        <f t="shared" si="1"/>
        <v>0</v>
      </c>
      <c r="E11" s="146"/>
      <c r="F11" s="39">
        <f t="shared" si="2"/>
        <v>0</v>
      </c>
      <c r="G11" s="147"/>
      <c r="H11" s="39">
        <f t="shared" si="3"/>
        <v>0</v>
      </c>
      <c r="I11" s="148">
        <f t="shared" si="4"/>
        <v>0</v>
      </c>
      <c r="J11" s="146"/>
      <c r="K11" s="39">
        <f t="shared" si="12"/>
        <v>0</v>
      </c>
      <c r="L11" s="149"/>
      <c r="M11" s="39">
        <f t="shared" si="5"/>
        <v>0</v>
      </c>
      <c r="N11" s="146"/>
      <c r="O11" s="39">
        <f t="shared" si="13"/>
        <v>0</v>
      </c>
      <c r="P11" s="149"/>
      <c r="Q11" s="39">
        <f t="shared" si="6"/>
        <v>0</v>
      </c>
      <c r="R11" s="146"/>
      <c r="S11" s="39">
        <f t="shared" si="7"/>
        <v>0</v>
      </c>
      <c r="T11" s="146">
        <v>0</v>
      </c>
      <c r="U11" s="150"/>
      <c r="V11" s="146"/>
      <c r="W11" s="39">
        <f t="shared" si="8"/>
        <v>0</v>
      </c>
      <c r="X11" s="19">
        <f t="shared" si="9"/>
        <v>0</v>
      </c>
      <c r="Y11" s="151">
        <f t="shared" si="10"/>
        <v>0</v>
      </c>
      <c r="Z11" s="3">
        <f t="shared" si="11"/>
        <v>0</v>
      </c>
      <c r="AA11" s="3">
        <f>SUM(Z1:Z11)</f>
        <v>56416.114975999997</v>
      </c>
    </row>
    <row r="12" spans="1:27" ht="16.5" thickBot="1" x14ac:dyDescent="0.3">
      <c r="A12" s="9">
        <v>44722</v>
      </c>
      <c r="B12" s="39"/>
      <c r="C12" s="145"/>
      <c r="D12" s="39">
        <f t="shared" si="1"/>
        <v>0</v>
      </c>
      <c r="E12" s="146"/>
      <c r="F12" s="39">
        <f t="shared" si="2"/>
        <v>0</v>
      </c>
      <c r="G12" s="147"/>
      <c r="H12" s="39">
        <f t="shared" si="3"/>
        <v>0</v>
      </c>
      <c r="I12" s="148">
        <f t="shared" si="4"/>
        <v>0</v>
      </c>
      <c r="J12" s="146"/>
      <c r="K12" s="39">
        <f t="shared" si="12"/>
        <v>0</v>
      </c>
      <c r="L12" s="149"/>
      <c r="M12" s="39">
        <f t="shared" si="5"/>
        <v>0</v>
      </c>
      <c r="N12" s="146"/>
      <c r="O12" s="39">
        <f t="shared" si="13"/>
        <v>0</v>
      </c>
      <c r="P12" s="149"/>
      <c r="Q12" s="39">
        <f t="shared" si="6"/>
        <v>0</v>
      </c>
      <c r="R12" s="146"/>
      <c r="S12" s="39">
        <f t="shared" si="7"/>
        <v>0</v>
      </c>
      <c r="T12" s="146">
        <v>0</v>
      </c>
      <c r="U12" s="150"/>
      <c r="V12" s="146"/>
      <c r="W12" s="39">
        <f t="shared" si="8"/>
        <v>0</v>
      </c>
      <c r="X12" s="19">
        <f t="shared" si="9"/>
        <v>0</v>
      </c>
      <c r="Y12" s="151">
        <f t="shared" si="10"/>
        <v>0</v>
      </c>
      <c r="Z12" s="3">
        <f t="shared" si="11"/>
        <v>0</v>
      </c>
      <c r="AA12" s="3">
        <f>SUM(Z1:Z12)</f>
        <v>56416.114975999997</v>
      </c>
    </row>
    <row r="13" spans="1:27" ht="16.5" thickBot="1" x14ac:dyDescent="0.3">
      <c r="A13" s="9">
        <v>44723</v>
      </c>
      <c r="B13" s="39"/>
      <c r="C13" s="145"/>
      <c r="D13" s="39">
        <f t="shared" ref="D13" si="14">IF((C13-C12)&lt;0,"0",(C13-C12))*160</f>
        <v>0</v>
      </c>
      <c r="E13" s="146"/>
      <c r="F13" s="39">
        <f t="shared" ref="F13" si="15">IF((E13-E12)&lt;0,"0",(E13-E12))</f>
        <v>0</v>
      </c>
      <c r="G13" s="147"/>
      <c r="H13" s="39">
        <f t="shared" si="3"/>
        <v>0</v>
      </c>
      <c r="I13" s="148">
        <f t="shared" ref="I13" si="16">F13+H13</f>
        <v>0</v>
      </c>
      <c r="J13" s="146"/>
      <c r="K13" s="39">
        <f t="shared" ref="K13" si="17">(IF((J13-J12)&lt;0,"0",(J13-J12)))*2</f>
        <v>0</v>
      </c>
      <c r="L13" s="149"/>
      <c r="M13" s="39">
        <f t="shared" ref="M13" si="18">IF((L13-L12)&lt;0,"0",(L13-L12))</f>
        <v>0</v>
      </c>
      <c r="N13" s="146"/>
      <c r="O13" s="39">
        <f t="shared" ref="O13" si="19">(IF((N13-N12)&lt;0,"0",(N13-N12)))*2</f>
        <v>0</v>
      </c>
      <c r="P13" s="149"/>
      <c r="Q13" s="39">
        <f t="shared" ref="Q13" si="20">IF((P13-P12)&lt;0,"0",(P13-P12))</f>
        <v>0</v>
      </c>
      <c r="R13" s="146"/>
      <c r="S13" s="39">
        <f t="shared" ref="S13" si="21">IF((R13-R12)&lt;0,"0",(R13-R12))</f>
        <v>0</v>
      </c>
      <c r="T13" s="146">
        <v>0</v>
      </c>
      <c r="U13" s="150"/>
      <c r="V13" s="146"/>
      <c r="W13" s="39">
        <f t="shared" ref="W13" si="22">IF((V13-V12)&lt;0,"0",(V13-V12))</f>
        <v>0</v>
      </c>
      <c r="X13" s="19">
        <f t="shared" ref="X13" si="23">K13+M13+O13+Q13+S13+U13+W13</f>
        <v>0</v>
      </c>
      <c r="Y13" s="151">
        <f t="shared" ref="Y13" si="24">I13-X13</f>
        <v>0</v>
      </c>
      <c r="Z13" s="3">
        <f t="shared" ref="Z13" si="25">(0.93352*(W13+S13)+0.5568*(Q13+O13))*0.26</f>
        <v>0</v>
      </c>
      <c r="AA13" s="3">
        <f>SUM(Z1:Z13)</f>
        <v>56416.114975999997</v>
      </c>
    </row>
    <row r="14" spans="1:27" ht="16.5" thickBot="1" x14ac:dyDescent="0.3">
      <c r="A14" s="9">
        <v>44724</v>
      </c>
      <c r="B14" s="39"/>
      <c r="C14" s="145"/>
      <c r="D14" s="39">
        <f t="shared" si="1"/>
        <v>0</v>
      </c>
      <c r="E14" s="146"/>
      <c r="F14" s="39">
        <f t="shared" si="2"/>
        <v>0</v>
      </c>
      <c r="G14" s="147"/>
      <c r="H14" s="39">
        <f t="shared" si="3"/>
        <v>0</v>
      </c>
      <c r="I14" s="148">
        <f t="shared" si="4"/>
        <v>0</v>
      </c>
      <c r="J14" s="146"/>
      <c r="K14" s="39">
        <f t="shared" si="12"/>
        <v>0</v>
      </c>
      <c r="L14" s="149"/>
      <c r="M14" s="39">
        <f t="shared" si="5"/>
        <v>0</v>
      </c>
      <c r="N14" s="146"/>
      <c r="O14" s="39">
        <f t="shared" si="13"/>
        <v>0</v>
      </c>
      <c r="P14" s="149"/>
      <c r="Q14" s="39">
        <f t="shared" si="6"/>
        <v>0</v>
      </c>
      <c r="R14" s="146"/>
      <c r="S14" s="39">
        <f>IF((R14-R13)&lt;0,"0",(R14-R13))</f>
        <v>0</v>
      </c>
      <c r="T14" s="146">
        <v>0</v>
      </c>
      <c r="U14" s="150"/>
      <c r="V14" s="146"/>
      <c r="W14" s="39">
        <f t="shared" si="8"/>
        <v>0</v>
      </c>
      <c r="X14" s="19">
        <f t="shared" si="9"/>
        <v>0</v>
      </c>
      <c r="Y14" s="151">
        <f t="shared" si="10"/>
        <v>0</v>
      </c>
      <c r="Z14" s="3">
        <f t="shared" si="11"/>
        <v>0</v>
      </c>
      <c r="AA14" s="3">
        <f>SUM(Z1:Z14)</f>
        <v>56416.114975999997</v>
      </c>
    </row>
    <row r="15" spans="1:27" ht="16.5" thickBot="1" x14ac:dyDescent="0.3">
      <c r="A15" s="9">
        <v>44725</v>
      </c>
      <c r="B15" s="39"/>
      <c r="C15" s="145"/>
      <c r="D15" s="39">
        <f t="shared" si="1"/>
        <v>0</v>
      </c>
      <c r="E15" s="146"/>
      <c r="F15" s="39">
        <f t="shared" si="2"/>
        <v>0</v>
      </c>
      <c r="G15" s="147"/>
      <c r="H15" s="39">
        <f t="shared" si="3"/>
        <v>0</v>
      </c>
      <c r="I15" s="148">
        <f t="shared" si="4"/>
        <v>0</v>
      </c>
      <c r="J15" s="146"/>
      <c r="K15" s="39">
        <f t="shared" si="12"/>
        <v>0</v>
      </c>
      <c r="L15" s="149"/>
      <c r="M15" s="39">
        <f t="shared" si="5"/>
        <v>0</v>
      </c>
      <c r="N15" s="146"/>
      <c r="O15" s="39">
        <f t="shared" si="13"/>
        <v>0</v>
      </c>
      <c r="P15" s="149"/>
      <c r="Q15" s="39">
        <f t="shared" si="6"/>
        <v>0</v>
      </c>
      <c r="R15" s="146"/>
      <c r="S15" s="39">
        <f>IF((R15-R14)&lt;0,"0",(R15-R14))</f>
        <v>0</v>
      </c>
      <c r="T15" s="146">
        <v>0</v>
      </c>
      <c r="U15" s="150"/>
      <c r="V15" s="146"/>
      <c r="W15" s="39">
        <f t="shared" si="8"/>
        <v>0</v>
      </c>
      <c r="X15" s="19">
        <f t="shared" si="9"/>
        <v>0</v>
      </c>
      <c r="Y15" s="151">
        <f t="shared" si="10"/>
        <v>0</v>
      </c>
      <c r="Z15" s="3">
        <f t="shared" si="11"/>
        <v>0</v>
      </c>
      <c r="AA15" s="3">
        <f>SUM(Z1:Z15)</f>
        <v>56416.114975999997</v>
      </c>
    </row>
    <row r="16" spans="1:27" ht="16.5" thickBot="1" x14ac:dyDescent="0.3">
      <c r="A16" s="9">
        <v>44726</v>
      </c>
      <c r="B16" s="39"/>
      <c r="C16" s="145"/>
      <c r="D16" s="39">
        <f t="shared" si="1"/>
        <v>0</v>
      </c>
      <c r="E16" s="146"/>
      <c r="F16" s="39">
        <f t="shared" si="2"/>
        <v>0</v>
      </c>
      <c r="G16" s="147"/>
      <c r="H16" s="39">
        <f t="shared" si="3"/>
        <v>0</v>
      </c>
      <c r="I16" s="148">
        <f t="shared" si="4"/>
        <v>0</v>
      </c>
      <c r="J16" s="146"/>
      <c r="K16" s="39">
        <f t="shared" si="12"/>
        <v>0</v>
      </c>
      <c r="L16" s="149"/>
      <c r="M16" s="39">
        <f t="shared" si="5"/>
        <v>0</v>
      </c>
      <c r="N16" s="146"/>
      <c r="O16" s="39">
        <f t="shared" si="13"/>
        <v>0</v>
      </c>
      <c r="P16" s="149"/>
      <c r="Q16" s="39">
        <f t="shared" si="6"/>
        <v>0</v>
      </c>
      <c r="R16" s="146"/>
      <c r="S16" s="39">
        <f t="shared" si="7"/>
        <v>0</v>
      </c>
      <c r="T16" s="146">
        <v>0</v>
      </c>
      <c r="U16" s="150"/>
      <c r="V16" s="146"/>
      <c r="W16" s="39">
        <f t="shared" si="8"/>
        <v>0</v>
      </c>
      <c r="X16" s="19">
        <f t="shared" si="9"/>
        <v>0</v>
      </c>
      <c r="Y16" s="151">
        <f t="shared" si="10"/>
        <v>0</v>
      </c>
      <c r="Z16" s="3">
        <f t="shared" si="11"/>
        <v>0</v>
      </c>
      <c r="AA16" s="3">
        <f>SUM(Z1:Z16)</f>
        <v>56416.114975999997</v>
      </c>
    </row>
    <row r="17" spans="1:27" s="131" customFormat="1" ht="16.5" thickBot="1" x14ac:dyDescent="0.3">
      <c r="A17" s="9">
        <v>44727</v>
      </c>
      <c r="B17" s="39"/>
      <c r="C17" s="145"/>
      <c r="D17" s="39">
        <f t="shared" si="1"/>
        <v>0</v>
      </c>
      <c r="E17" s="146"/>
      <c r="F17" s="39">
        <f t="shared" si="2"/>
        <v>0</v>
      </c>
      <c r="G17" s="147"/>
      <c r="H17" s="39">
        <f t="shared" si="3"/>
        <v>0</v>
      </c>
      <c r="I17" s="152">
        <f t="shared" si="4"/>
        <v>0</v>
      </c>
      <c r="J17" s="146"/>
      <c r="K17" s="130">
        <f t="shared" si="12"/>
        <v>0</v>
      </c>
      <c r="L17" s="149"/>
      <c r="M17" s="130">
        <f t="shared" si="5"/>
        <v>0</v>
      </c>
      <c r="N17" s="146"/>
      <c r="O17" s="130">
        <f t="shared" si="13"/>
        <v>0</v>
      </c>
      <c r="P17" s="149"/>
      <c r="Q17" s="130">
        <f t="shared" si="6"/>
        <v>0</v>
      </c>
      <c r="R17" s="146"/>
      <c r="S17" s="130">
        <f t="shared" si="7"/>
        <v>0</v>
      </c>
      <c r="T17" s="153">
        <v>0</v>
      </c>
      <c r="U17" s="150"/>
      <c r="V17" s="146"/>
      <c r="W17" s="130">
        <f t="shared" si="8"/>
        <v>0</v>
      </c>
      <c r="X17" s="19">
        <f t="shared" si="9"/>
        <v>0</v>
      </c>
      <c r="Y17" s="154">
        <f t="shared" si="10"/>
        <v>0</v>
      </c>
      <c r="Z17" s="155">
        <f t="shared" si="11"/>
        <v>0</v>
      </c>
      <c r="AA17" s="3">
        <f>SUM(Z1:Z17)</f>
        <v>56416.114975999997</v>
      </c>
    </row>
    <row r="18" spans="1:27" s="131" customFormat="1" ht="16.5" thickBot="1" x14ac:dyDescent="0.3">
      <c r="A18" s="9">
        <v>44728</v>
      </c>
      <c r="B18" s="39"/>
      <c r="C18" s="145"/>
      <c r="D18" s="39">
        <f t="shared" si="1"/>
        <v>0</v>
      </c>
      <c r="E18" s="146"/>
      <c r="F18" s="39">
        <f t="shared" si="2"/>
        <v>0</v>
      </c>
      <c r="G18" s="147"/>
      <c r="H18" s="39">
        <f t="shared" si="3"/>
        <v>0</v>
      </c>
      <c r="I18" s="152">
        <f t="shared" si="4"/>
        <v>0</v>
      </c>
      <c r="J18" s="146"/>
      <c r="K18" s="130">
        <f t="shared" si="12"/>
        <v>0</v>
      </c>
      <c r="L18" s="149"/>
      <c r="M18" s="130">
        <f t="shared" si="5"/>
        <v>0</v>
      </c>
      <c r="N18" s="146"/>
      <c r="O18" s="130">
        <f t="shared" si="13"/>
        <v>0</v>
      </c>
      <c r="P18" s="149"/>
      <c r="Q18" s="130">
        <f t="shared" si="6"/>
        <v>0</v>
      </c>
      <c r="R18" s="146"/>
      <c r="S18" s="130">
        <f t="shared" si="7"/>
        <v>0</v>
      </c>
      <c r="T18" s="153">
        <v>0</v>
      </c>
      <c r="U18" s="150"/>
      <c r="V18" s="146"/>
      <c r="W18" s="130">
        <f t="shared" si="8"/>
        <v>0</v>
      </c>
      <c r="X18" s="19">
        <f t="shared" si="9"/>
        <v>0</v>
      </c>
      <c r="Y18" s="154">
        <f t="shared" si="10"/>
        <v>0</v>
      </c>
      <c r="Z18" s="155">
        <f t="shared" si="11"/>
        <v>0</v>
      </c>
      <c r="AA18" s="3">
        <f>SUM(Z1:Z18)</f>
        <v>56416.114975999997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>
        <f t="shared" si="2"/>
        <v>0</v>
      </c>
      <c r="G19" s="147"/>
      <c r="H19" s="39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>
        <f t="shared" si="5"/>
        <v>0</v>
      </c>
      <c r="N19" s="146"/>
      <c r="O19" s="130">
        <f t="shared" si="13"/>
        <v>0</v>
      </c>
      <c r="P19" s="149"/>
      <c r="Q19" s="130">
        <f t="shared" si="6"/>
        <v>0</v>
      </c>
      <c r="R19" s="146"/>
      <c r="S19" s="130">
        <f t="shared" si="7"/>
        <v>0</v>
      </c>
      <c r="T19" s="153">
        <v>0</v>
      </c>
      <c r="U19" s="150"/>
      <c r="V19" s="146"/>
      <c r="W19" s="130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56416.114975999997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56416.114975999997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56416.114975999997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56416.114975999997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56416.114975999997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56416.114975999997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56416.114975999997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56416.114975999997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56416.114975999997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56416.114975999997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56416.114975999997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56416.114975999997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56416.114975999997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56416.114975999997</v>
      </c>
    </row>
    <row r="33" spans="1:27" ht="16.5" thickBot="1" x14ac:dyDescent="0.3">
      <c r="A33" s="137" t="s">
        <v>23</v>
      </c>
      <c r="B33" s="137">
        <f>SUM(B3:B32)</f>
        <v>1259</v>
      </c>
      <c r="C33" s="137">
        <v>0</v>
      </c>
      <c r="D33" s="137">
        <f>SUM(D3:D32)</f>
        <v>3520</v>
      </c>
      <c r="E33" s="56">
        <v>0</v>
      </c>
      <c r="F33" s="56">
        <f>SUM(F3:F32)</f>
        <v>126569</v>
      </c>
      <c r="G33" s="56">
        <v>0</v>
      </c>
      <c r="H33" s="56">
        <f>SUM(H3:H32)</f>
        <v>318473</v>
      </c>
      <c r="I33" s="56">
        <f>SUM(I3:I32)</f>
        <v>445042</v>
      </c>
      <c r="J33" s="56">
        <v>0</v>
      </c>
      <c r="K33" s="56">
        <f>SUM(K2:K32)</f>
        <v>63474</v>
      </c>
      <c r="L33" s="56">
        <v>0</v>
      </c>
      <c r="M33" s="56">
        <f>SUM(M3:M32)</f>
        <v>40311</v>
      </c>
      <c r="N33" s="56">
        <v>0</v>
      </c>
      <c r="O33" s="56">
        <f>SUM(O3:O32)</f>
        <v>85088</v>
      </c>
      <c r="P33" s="56">
        <v>0</v>
      </c>
      <c r="Q33" s="56">
        <f>SUM(Q3:Q32)</f>
        <v>81124</v>
      </c>
      <c r="R33" s="56">
        <v>0</v>
      </c>
      <c r="S33" s="56">
        <f>SUM(S3:S32)</f>
        <v>65849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67451</v>
      </c>
      <c r="X33" s="56">
        <f>SUM(X3:X32)</f>
        <v>403297</v>
      </c>
      <c r="Y33" s="56">
        <f>SUM(Y3:Y32)</f>
        <v>41745</v>
      </c>
      <c r="Z33" s="56">
        <f>SUM(Z3:Z32)</f>
        <v>56416.114975999997</v>
      </c>
      <c r="AA33" s="56">
        <f>SUM(AA3:AA32)</f>
        <v>1549097.9670192006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8" sqref="K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/>
      <c r="C9" s="39">
        <f t="shared" ref="C9:C32" si="5">(IF((B9-B8)&lt;0,"0",(B9-B8)))*10</f>
        <v>0</v>
      </c>
      <c r="D9" s="3"/>
      <c r="E9" s="39">
        <f t="shared" si="0"/>
        <v>0</v>
      </c>
      <c r="F9" s="3"/>
      <c r="G9" s="39">
        <f t="shared" si="3"/>
        <v>0</v>
      </c>
      <c r="H9" s="3"/>
      <c r="I9" s="44">
        <f t="shared" si="4"/>
        <v>0</v>
      </c>
      <c r="J9" s="19">
        <f t="shared" si="1"/>
        <v>0</v>
      </c>
      <c r="K9" s="20">
        <f t="shared" si="2"/>
        <v>0</v>
      </c>
    </row>
    <row r="10" spans="1:14" ht="16.5" thickBot="1" x14ac:dyDescent="0.3">
      <c r="A10" s="9">
        <v>44720</v>
      </c>
      <c r="B10" s="3"/>
      <c r="C10" s="39">
        <f>(IF((B10-B9)&lt;0,"0",(B10-B9)))*10</f>
        <v>0</v>
      </c>
      <c r="D10" s="3"/>
      <c r="E10" s="39">
        <f t="shared" si="0"/>
        <v>0</v>
      </c>
      <c r="F10" s="3"/>
      <c r="G10" s="39">
        <f t="shared" si="3"/>
        <v>0</v>
      </c>
      <c r="H10" s="3"/>
      <c r="I10" s="44">
        <f t="shared" si="4"/>
        <v>0</v>
      </c>
      <c r="J10" s="19">
        <f t="shared" si="1"/>
        <v>0</v>
      </c>
      <c r="K10" s="20">
        <f t="shared" si="2"/>
        <v>0</v>
      </c>
    </row>
    <row r="11" spans="1:14" ht="16.5" thickBot="1" x14ac:dyDescent="0.3">
      <c r="A11" s="9">
        <v>44721</v>
      </c>
      <c r="B11" s="3"/>
      <c r="C11" s="39">
        <f t="shared" si="5"/>
        <v>0</v>
      </c>
      <c r="D11" s="3"/>
      <c r="E11" s="39">
        <f t="shared" si="0"/>
        <v>0</v>
      </c>
      <c r="F11" s="3"/>
      <c r="G11" s="39">
        <f t="shared" si="3"/>
        <v>0</v>
      </c>
      <c r="H11" s="3"/>
      <c r="I11" s="44">
        <f t="shared" si="4"/>
        <v>0</v>
      </c>
      <c r="J11" s="19">
        <f t="shared" si="1"/>
        <v>0</v>
      </c>
      <c r="K11" s="20">
        <f t="shared" si="2"/>
        <v>0</v>
      </c>
      <c r="N11" t="s">
        <v>12</v>
      </c>
    </row>
    <row r="12" spans="1:14" ht="16.5" thickBot="1" x14ac:dyDescent="0.3">
      <c r="A12" s="9">
        <v>44722</v>
      </c>
      <c r="B12" s="3"/>
      <c r="C12" s="39">
        <f t="shared" si="5"/>
        <v>0</v>
      </c>
      <c r="D12" s="3"/>
      <c r="E12" s="39">
        <f t="shared" si="0"/>
        <v>0</v>
      </c>
      <c r="F12" s="3"/>
      <c r="G12" s="39">
        <f t="shared" si="3"/>
        <v>0</v>
      </c>
      <c r="H12" s="3"/>
      <c r="I12" s="44">
        <f t="shared" si="4"/>
        <v>0</v>
      </c>
      <c r="J12" s="19">
        <f t="shared" si="1"/>
        <v>0</v>
      </c>
      <c r="K12" s="20">
        <f t="shared" si="2"/>
        <v>0</v>
      </c>
    </row>
    <row r="13" spans="1:14" ht="16.5" thickBot="1" x14ac:dyDescent="0.3">
      <c r="A13" s="9">
        <v>44723</v>
      </c>
      <c r="B13" s="3"/>
      <c r="C13" s="39">
        <f t="shared" si="5"/>
        <v>0</v>
      </c>
      <c r="D13" s="3"/>
      <c r="E13" s="39">
        <f t="shared" si="0"/>
        <v>0</v>
      </c>
      <c r="F13" s="3"/>
      <c r="G13" s="39">
        <f t="shared" si="3"/>
        <v>0</v>
      </c>
      <c r="H13" s="3"/>
      <c r="I13" s="44">
        <f t="shared" si="4"/>
        <v>0</v>
      </c>
      <c r="J13" s="19">
        <f t="shared" si="1"/>
        <v>0</v>
      </c>
      <c r="K13" s="20">
        <f t="shared" si="2"/>
        <v>0</v>
      </c>
    </row>
    <row r="14" spans="1:14" ht="16.5" thickBot="1" x14ac:dyDescent="0.3">
      <c r="A14" s="9">
        <v>44724</v>
      </c>
      <c r="B14" s="3"/>
      <c r="C14" s="39">
        <f t="shared" si="5"/>
        <v>0</v>
      </c>
      <c r="D14" s="3"/>
      <c r="E14" s="39">
        <f t="shared" si="0"/>
        <v>0</v>
      </c>
      <c r="F14" s="3"/>
      <c r="G14" s="39">
        <f t="shared" si="3"/>
        <v>0</v>
      </c>
      <c r="H14" s="3"/>
      <c r="I14" s="44">
        <f t="shared" si="4"/>
        <v>0</v>
      </c>
      <c r="J14" s="19">
        <f t="shared" si="1"/>
        <v>0</v>
      </c>
      <c r="K14" s="20">
        <f t="shared" si="2"/>
        <v>0</v>
      </c>
    </row>
    <row r="15" spans="1:14" ht="16.5" thickBot="1" x14ac:dyDescent="0.3">
      <c r="A15" s="9">
        <v>44725</v>
      </c>
      <c r="B15" s="3"/>
      <c r="C15" s="39">
        <f t="shared" si="5"/>
        <v>0</v>
      </c>
      <c r="D15" s="3"/>
      <c r="E15" s="39">
        <f t="shared" si="0"/>
        <v>0</v>
      </c>
      <c r="F15" s="3"/>
      <c r="G15" s="39">
        <f t="shared" si="3"/>
        <v>0</v>
      </c>
      <c r="H15" s="3"/>
      <c r="I15" s="44">
        <f t="shared" si="4"/>
        <v>0</v>
      </c>
      <c r="J15" s="19">
        <f t="shared" si="1"/>
        <v>0</v>
      </c>
      <c r="K15" s="20">
        <f t="shared" si="2"/>
        <v>0</v>
      </c>
    </row>
    <row r="16" spans="1:14" ht="16.5" thickBot="1" x14ac:dyDescent="0.3">
      <c r="A16" s="9">
        <v>44726</v>
      </c>
      <c r="B16" s="3"/>
      <c r="C16" s="39">
        <f t="shared" si="5"/>
        <v>0</v>
      </c>
      <c r="D16" s="3"/>
      <c r="E16" s="39">
        <f t="shared" si="0"/>
        <v>0</v>
      </c>
      <c r="F16" s="3"/>
      <c r="G16" s="39">
        <f t="shared" si="3"/>
        <v>0</v>
      </c>
      <c r="H16" s="3"/>
      <c r="I16" s="44">
        <f t="shared" si="4"/>
        <v>0</v>
      </c>
      <c r="J16" s="19">
        <f t="shared" si="1"/>
        <v>0</v>
      </c>
      <c r="K16" s="20">
        <f t="shared" si="2"/>
        <v>0</v>
      </c>
    </row>
    <row r="17" spans="1:25" ht="16.5" thickBot="1" x14ac:dyDescent="0.3">
      <c r="A17" s="9">
        <v>44727</v>
      </c>
      <c r="B17" s="3"/>
      <c r="C17" s="39">
        <f t="shared" si="5"/>
        <v>0</v>
      </c>
      <c r="D17" s="3"/>
      <c r="E17" s="39">
        <f t="shared" si="0"/>
        <v>0</v>
      </c>
      <c r="F17" s="3"/>
      <c r="G17" s="39">
        <f t="shared" si="3"/>
        <v>0</v>
      </c>
      <c r="H17" s="3"/>
      <c r="I17" s="44">
        <f t="shared" si="4"/>
        <v>0</v>
      </c>
      <c r="J17" s="19">
        <f t="shared" si="1"/>
        <v>0</v>
      </c>
      <c r="K17" s="20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/>
      <c r="C18" s="39">
        <f t="shared" si="5"/>
        <v>0</v>
      </c>
      <c r="D18" s="3"/>
      <c r="E18" s="39">
        <f t="shared" si="0"/>
        <v>0</v>
      </c>
      <c r="F18" s="3"/>
      <c r="G18" s="39">
        <f t="shared" si="3"/>
        <v>0</v>
      </c>
      <c r="H18" s="3"/>
      <c r="I18" s="44">
        <f t="shared" si="4"/>
        <v>0</v>
      </c>
      <c r="J18" s="19">
        <f t="shared" si="1"/>
        <v>0</v>
      </c>
      <c r="K18" s="20">
        <f t="shared" si="2"/>
        <v>0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6420</v>
      </c>
      <c r="D33" s="3"/>
      <c r="E33" s="56">
        <f>SUM(E3:E32)</f>
        <v>3030</v>
      </c>
      <c r="F33" s="3"/>
      <c r="G33" s="56">
        <f>SUM(G3:G32)</f>
        <v>3210.2999999999997</v>
      </c>
      <c r="H33" s="3"/>
      <c r="I33" s="56">
        <f>SUM(I3:I32)</f>
        <v>31.86</v>
      </c>
      <c r="J33" s="56">
        <f>SUM(J3:J32)</f>
        <v>12692.16</v>
      </c>
      <c r="K33" s="56">
        <f>SUM(K3:K32)</f>
        <v>74376.0576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14" sqref="B1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/>
      <c r="C9" s="45" t="str">
        <f t="shared" si="0"/>
        <v>0</v>
      </c>
    </row>
    <row r="10" spans="1:9" ht="24" thickBot="1" x14ac:dyDescent="0.4">
      <c r="A10" s="9">
        <v>44720</v>
      </c>
      <c r="B10" s="133"/>
      <c r="C10" s="45">
        <f t="shared" si="0"/>
        <v>0</v>
      </c>
    </row>
    <row r="11" spans="1:9" ht="24" thickBot="1" x14ac:dyDescent="0.4">
      <c r="A11" s="9">
        <v>44721</v>
      </c>
      <c r="B11" s="133"/>
      <c r="C11" s="45">
        <f t="shared" si="0"/>
        <v>0</v>
      </c>
    </row>
    <row r="12" spans="1:9" ht="24" thickBot="1" x14ac:dyDescent="0.4">
      <c r="A12" s="9">
        <v>44722</v>
      </c>
      <c r="B12" s="133"/>
      <c r="C12" s="45">
        <f t="shared" si="0"/>
        <v>0</v>
      </c>
    </row>
    <row r="13" spans="1:9" ht="24" thickBot="1" x14ac:dyDescent="0.4">
      <c r="A13" s="9">
        <v>44723</v>
      </c>
      <c r="B13" s="133"/>
      <c r="C13" s="45">
        <f t="shared" si="0"/>
        <v>0</v>
      </c>
    </row>
    <row r="14" spans="1:9" ht="24" thickBot="1" x14ac:dyDescent="0.4">
      <c r="A14" s="9">
        <v>44724</v>
      </c>
      <c r="B14" s="133"/>
      <c r="C14" s="45">
        <f t="shared" si="0"/>
        <v>0</v>
      </c>
    </row>
    <row r="15" spans="1:9" ht="24" thickBot="1" x14ac:dyDescent="0.4">
      <c r="A15" s="9">
        <v>44725</v>
      </c>
      <c r="B15" s="133"/>
      <c r="C15" s="45">
        <f t="shared" si="0"/>
        <v>0</v>
      </c>
      <c r="I15" t="s">
        <v>12</v>
      </c>
    </row>
    <row r="16" spans="1:9" ht="26.25" customHeight="1" thickBot="1" x14ac:dyDescent="0.4">
      <c r="A16" s="9">
        <v>44726</v>
      </c>
      <c r="B16" s="133"/>
      <c r="C16" s="45">
        <f t="shared" si="0"/>
        <v>0</v>
      </c>
      <c r="F16" s="156"/>
    </row>
    <row r="17" spans="1:9" ht="25.5" customHeight="1" thickBot="1" x14ac:dyDescent="0.4">
      <c r="A17" s="9">
        <v>44727</v>
      </c>
      <c r="B17" s="133"/>
      <c r="C17" s="45">
        <f t="shared" si="0"/>
        <v>0</v>
      </c>
    </row>
    <row r="18" spans="1:9" ht="24" thickBot="1" x14ac:dyDescent="0.4">
      <c r="A18" s="9">
        <v>44728</v>
      </c>
      <c r="B18" s="133"/>
      <c r="C18" s="45">
        <f t="shared" si="0"/>
        <v>0</v>
      </c>
      <c r="I18" s="35"/>
    </row>
    <row r="19" spans="1:9" ht="24" thickBot="1" x14ac:dyDescent="0.4">
      <c r="A19" s="9">
        <v>44729</v>
      </c>
      <c r="B19" s="133"/>
      <c r="C19" s="45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14800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H8" sqref="AH8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/>
      <c r="C9" s="44" t="str">
        <f t="shared" si="22"/>
        <v>0</v>
      </c>
      <c r="D9" s="28">
        <f t="shared" si="23"/>
        <v>0</v>
      </c>
      <c r="E9" s="160"/>
      <c r="F9" s="44" t="str">
        <f t="shared" si="24"/>
        <v>0</v>
      </c>
      <c r="G9" s="28">
        <f t="shared" si="25"/>
        <v>0</v>
      </c>
      <c r="H9" s="160"/>
      <c r="I9" s="44" t="str">
        <f t="shared" si="26"/>
        <v>0</v>
      </c>
      <c r="J9" s="28">
        <f t="shared" si="27"/>
        <v>0</v>
      </c>
      <c r="K9" s="7"/>
      <c r="L9" s="44" t="str">
        <f t="shared" si="28"/>
        <v>0</v>
      </c>
      <c r="M9" s="28">
        <f t="shared" si="29"/>
        <v>0</v>
      </c>
      <c r="N9" s="160"/>
      <c r="O9" s="44" t="str">
        <f t="shared" si="30"/>
        <v>0</v>
      </c>
      <c r="P9" s="28">
        <f t="shared" si="31"/>
        <v>0</v>
      </c>
      <c r="Q9" s="160"/>
      <c r="R9" s="44" t="str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7">
        <v>44719</v>
      </c>
      <c r="X9" s="158"/>
      <c r="Y9" s="163" t="str">
        <f t="shared" si="21"/>
        <v>0</v>
      </c>
      <c r="Z9" s="158"/>
      <c r="AA9" s="163" t="str">
        <f t="shared" si="21"/>
        <v>0</v>
      </c>
      <c r="AB9" s="158"/>
      <c r="AC9" s="163" t="str">
        <f t="shared" si="21"/>
        <v>0</v>
      </c>
      <c r="AD9" s="158"/>
      <c r="AE9" s="163" t="str">
        <f t="shared" si="21"/>
        <v>0</v>
      </c>
      <c r="AF9" s="158"/>
      <c r="AG9" s="163" t="str">
        <f t="shared" si="21"/>
        <v>0</v>
      </c>
    </row>
    <row r="10" spans="1:33" ht="16.5" thickBot="1" x14ac:dyDescent="0.25">
      <c r="A10" s="9">
        <v>44720</v>
      </c>
      <c r="B10" s="160"/>
      <c r="C10" s="44">
        <f t="shared" si="22"/>
        <v>0</v>
      </c>
      <c r="D10" s="28">
        <f t="shared" si="23"/>
        <v>0</v>
      </c>
      <c r="E10" s="160"/>
      <c r="F10" s="44">
        <f t="shared" si="24"/>
        <v>0</v>
      </c>
      <c r="G10" s="28">
        <f t="shared" si="25"/>
        <v>0</v>
      </c>
      <c r="H10" s="160"/>
      <c r="I10" s="44">
        <f t="shared" si="26"/>
        <v>0</v>
      </c>
      <c r="J10" s="28">
        <f t="shared" si="27"/>
        <v>0</v>
      </c>
      <c r="K10" s="7"/>
      <c r="L10" s="44">
        <f t="shared" si="28"/>
        <v>0</v>
      </c>
      <c r="M10" s="28">
        <f t="shared" si="29"/>
        <v>0</v>
      </c>
      <c r="N10" s="160"/>
      <c r="O10" s="44">
        <f>IF((N10-N9)&lt;0,"0",(N10-N9))</f>
        <v>0</v>
      </c>
      <c r="P10" s="28">
        <f t="shared" si="31"/>
        <v>0</v>
      </c>
      <c r="Q10" s="160"/>
      <c r="R10" s="44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7">
        <v>44720</v>
      </c>
      <c r="X10" s="158"/>
      <c r="Y10" s="163">
        <f t="shared" si="21"/>
        <v>0</v>
      </c>
      <c r="Z10" s="158"/>
      <c r="AA10" s="163">
        <f t="shared" si="21"/>
        <v>0</v>
      </c>
      <c r="AB10" s="158"/>
      <c r="AC10" s="163">
        <f t="shared" si="21"/>
        <v>0</v>
      </c>
      <c r="AD10" s="158"/>
      <c r="AE10" s="163">
        <f t="shared" si="21"/>
        <v>0</v>
      </c>
      <c r="AF10" s="158"/>
      <c r="AG10" s="163">
        <f t="shared" si="21"/>
        <v>0</v>
      </c>
    </row>
    <row r="11" spans="1:33" ht="16.5" thickBot="1" x14ac:dyDescent="0.25">
      <c r="A11" s="9">
        <v>44721</v>
      </c>
      <c r="B11" s="160"/>
      <c r="C11" s="44">
        <f t="shared" si="22"/>
        <v>0</v>
      </c>
      <c r="D11" s="28">
        <f t="shared" si="23"/>
        <v>0</v>
      </c>
      <c r="E11" s="160"/>
      <c r="F11" s="44">
        <f t="shared" si="24"/>
        <v>0</v>
      </c>
      <c r="G11" s="28">
        <f t="shared" si="25"/>
        <v>0</v>
      </c>
      <c r="H11" s="160"/>
      <c r="I11" s="44">
        <f t="shared" si="26"/>
        <v>0</v>
      </c>
      <c r="J11" s="28">
        <f t="shared" si="27"/>
        <v>0</v>
      </c>
      <c r="K11" s="7"/>
      <c r="L11" s="44">
        <f t="shared" si="28"/>
        <v>0</v>
      </c>
      <c r="M11" s="28">
        <f t="shared" si="29"/>
        <v>0</v>
      </c>
      <c r="N11" s="160"/>
      <c r="O11" s="44">
        <f t="shared" si="30"/>
        <v>0</v>
      </c>
      <c r="P11" s="28">
        <f t="shared" si="31"/>
        <v>0</v>
      </c>
      <c r="Q11" s="160"/>
      <c r="R11" s="44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7">
        <v>44721</v>
      </c>
      <c r="X11" s="158"/>
      <c r="Y11" s="163">
        <f t="shared" si="21"/>
        <v>0</v>
      </c>
      <c r="Z11" s="158"/>
      <c r="AA11" s="163">
        <f t="shared" si="21"/>
        <v>0</v>
      </c>
      <c r="AB11" s="158"/>
      <c r="AC11" s="163">
        <f t="shared" si="21"/>
        <v>0</v>
      </c>
      <c r="AD11" s="158"/>
      <c r="AE11" s="163">
        <f t="shared" si="21"/>
        <v>0</v>
      </c>
      <c r="AF11" s="158"/>
      <c r="AG11" s="163">
        <f t="shared" si="21"/>
        <v>0</v>
      </c>
    </row>
    <row r="12" spans="1:33" ht="16.5" thickBot="1" x14ac:dyDescent="0.25">
      <c r="A12" s="9">
        <v>44722</v>
      </c>
      <c r="B12" s="160"/>
      <c r="C12" s="44">
        <f t="shared" si="22"/>
        <v>0</v>
      </c>
      <c r="D12" s="28">
        <f t="shared" si="23"/>
        <v>0</v>
      </c>
      <c r="E12" s="160"/>
      <c r="F12" s="44">
        <f t="shared" si="24"/>
        <v>0</v>
      </c>
      <c r="G12" s="28">
        <f t="shared" si="25"/>
        <v>0</v>
      </c>
      <c r="H12" s="160"/>
      <c r="I12" s="44">
        <f t="shared" si="26"/>
        <v>0</v>
      </c>
      <c r="J12" s="28">
        <f t="shared" si="27"/>
        <v>0</v>
      </c>
      <c r="K12" s="7"/>
      <c r="L12" s="44">
        <f t="shared" si="28"/>
        <v>0</v>
      </c>
      <c r="M12" s="28">
        <f t="shared" si="29"/>
        <v>0</v>
      </c>
      <c r="N12" s="160"/>
      <c r="O12" s="44">
        <f t="shared" si="30"/>
        <v>0</v>
      </c>
      <c r="P12" s="28">
        <f t="shared" si="31"/>
        <v>0</v>
      </c>
      <c r="Q12" s="160"/>
      <c r="R12" s="44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7">
        <v>44722</v>
      </c>
      <c r="X12" s="158"/>
      <c r="Y12" s="163">
        <f t="shared" si="21"/>
        <v>0</v>
      </c>
      <c r="Z12" s="158"/>
      <c r="AA12" s="163">
        <f t="shared" si="21"/>
        <v>0</v>
      </c>
      <c r="AB12" s="158"/>
      <c r="AC12" s="163">
        <f t="shared" si="21"/>
        <v>0</v>
      </c>
      <c r="AD12" s="158"/>
      <c r="AE12" s="163">
        <f t="shared" si="21"/>
        <v>0</v>
      </c>
      <c r="AF12" s="158"/>
      <c r="AG12" s="163">
        <f t="shared" si="21"/>
        <v>0</v>
      </c>
    </row>
    <row r="13" spans="1:33" ht="16.5" thickBot="1" x14ac:dyDescent="0.25">
      <c r="A13" s="9">
        <v>44723</v>
      </c>
      <c r="B13" s="160"/>
      <c r="C13" s="44">
        <f t="shared" si="22"/>
        <v>0</v>
      </c>
      <c r="D13" s="28">
        <f t="shared" si="23"/>
        <v>0</v>
      </c>
      <c r="E13" s="160"/>
      <c r="F13" s="44">
        <f t="shared" si="24"/>
        <v>0</v>
      </c>
      <c r="G13" s="28">
        <f t="shared" si="25"/>
        <v>0</v>
      </c>
      <c r="H13" s="160"/>
      <c r="I13" s="44">
        <f t="shared" si="26"/>
        <v>0</v>
      </c>
      <c r="J13" s="28">
        <f t="shared" si="27"/>
        <v>0</v>
      </c>
      <c r="K13" s="7"/>
      <c r="L13" s="44">
        <f t="shared" si="28"/>
        <v>0</v>
      </c>
      <c r="M13" s="28">
        <f t="shared" si="29"/>
        <v>0</v>
      </c>
      <c r="N13" s="160"/>
      <c r="O13" s="44">
        <f t="shared" si="30"/>
        <v>0</v>
      </c>
      <c r="P13" s="28">
        <f t="shared" si="31"/>
        <v>0</v>
      </c>
      <c r="Q13" s="160"/>
      <c r="R13" s="44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7">
        <v>44723</v>
      </c>
      <c r="X13" s="158"/>
      <c r="Y13" s="163">
        <f t="shared" si="21"/>
        <v>0</v>
      </c>
      <c r="Z13" s="158"/>
      <c r="AA13" s="163">
        <f t="shared" si="21"/>
        <v>0</v>
      </c>
      <c r="AB13" s="158"/>
      <c r="AC13" s="163">
        <f t="shared" si="21"/>
        <v>0</v>
      </c>
      <c r="AD13" s="158"/>
      <c r="AE13" s="163">
        <f t="shared" si="21"/>
        <v>0</v>
      </c>
      <c r="AF13" s="158"/>
      <c r="AG13" s="163">
        <f t="shared" si="21"/>
        <v>0</v>
      </c>
    </row>
    <row r="14" spans="1:33" ht="16.5" thickBot="1" x14ac:dyDescent="0.25">
      <c r="A14" s="9">
        <v>44724</v>
      </c>
      <c r="B14" s="160"/>
      <c r="C14" s="44">
        <f t="shared" si="22"/>
        <v>0</v>
      </c>
      <c r="D14" s="28">
        <f t="shared" si="23"/>
        <v>0</v>
      </c>
      <c r="E14" s="160"/>
      <c r="F14" s="44">
        <f t="shared" si="24"/>
        <v>0</v>
      </c>
      <c r="G14" s="28">
        <f t="shared" si="25"/>
        <v>0</v>
      </c>
      <c r="H14" s="160"/>
      <c r="I14" s="44">
        <f t="shared" si="26"/>
        <v>0</v>
      </c>
      <c r="J14" s="28">
        <f t="shared" si="27"/>
        <v>0</v>
      </c>
      <c r="K14" s="7"/>
      <c r="L14" s="44">
        <f t="shared" si="28"/>
        <v>0</v>
      </c>
      <c r="M14" s="28">
        <f t="shared" si="29"/>
        <v>0</v>
      </c>
      <c r="N14" s="160"/>
      <c r="O14" s="44">
        <f>IF((N14-N13)&lt;0,"0",(N14-N13))</f>
        <v>0</v>
      </c>
      <c r="P14" s="28">
        <f t="shared" si="31"/>
        <v>0</v>
      </c>
      <c r="Q14" s="160"/>
      <c r="R14" s="44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44724</v>
      </c>
      <c r="X14" s="158"/>
      <c r="Y14" s="163">
        <f t="shared" si="21"/>
        <v>0</v>
      </c>
      <c r="Z14" s="158"/>
      <c r="AA14" s="163">
        <f t="shared" si="21"/>
        <v>0</v>
      </c>
      <c r="AB14" s="158"/>
      <c r="AC14" s="163">
        <f t="shared" si="21"/>
        <v>0</v>
      </c>
      <c r="AD14" s="158"/>
      <c r="AE14" s="163">
        <f t="shared" si="21"/>
        <v>0</v>
      </c>
      <c r="AF14" s="158"/>
      <c r="AG14" s="163">
        <f t="shared" si="21"/>
        <v>0</v>
      </c>
    </row>
    <row r="15" spans="1:33" ht="16.5" thickBot="1" x14ac:dyDescent="0.25">
      <c r="A15" s="9">
        <v>44725</v>
      </c>
      <c r="B15" s="160"/>
      <c r="C15" s="44">
        <f t="shared" ref="C15" si="36">IF((B15-B14)&lt;0,"0",(B15-B14))</f>
        <v>0</v>
      </c>
      <c r="D15" s="28">
        <f t="shared" ref="D15" si="37">C15*1.9*1000</f>
        <v>0</v>
      </c>
      <c r="E15" s="160"/>
      <c r="F15" s="44">
        <f t="shared" ref="F15" si="38">IF((E15-E14)&lt;0,"0",(E15-E14))</f>
        <v>0</v>
      </c>
      <c r="G15" s="28">
        <f t="shared" ref="G15" si="39">F15*1.9*1000</f>
        <v>0</v>
      </c>
      <c r="H15" s="160"/>
      <c r="I15" s="44">
        <f t="shared" ref="I15" si="40">IF((H15-H14)&lt;0,"0",(H15-H14))</f>
        <v>0</v>
      </c>
      <c r="J15" s="28">
        <f t="shared" ref="J15" si="41">I15*1.9*1000</f>
        <v>0</v>
      </c>
      <c r="K15" s="7"/>
      <c r="L15" s="44">
        <f t="shared" ref="L15" si="42">IF((K15-K14)&lt;0,"0",(K15-K14))</f>
        <v>0</v>
      </c>
      <c r="M15" s="28">
        <f t="shared" ref="M15" si="43">L15*1.9*1000</f>
        <v>0</v>
      </c>
      <c r="N15" s="160"/>
      <c r="O15" s="44">
        <f>IF((N15-N14)&lt;0,"0",(N15-N14))</f>
        <v>0</v>
      </c>
      <c r="P15" s="28">
        <f t="shared" ref="P15" si="44">O15*1.9*1000</f>
        <v>0</v>
      </c>
      <c r="Q15" s="160"/>
      <c r="R15" s="44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7">
        <v>44725</v>
      </c>
      <c r="X15" s="158"/>
      <c r="Y15" s="163">
        <f t="shared" si="21"/>
        <v>0</v>
      </c>
      <c r="Z15" s="158"/>
      <c r="AA15" s="163">
        <f t="shared" si="21"/>
        <v>0</v>
      </c>
      <c r="AB15" s="158"/>
      <c r="AC15" s="163">
        <f t="shared" si="21"/>
        <v>0</v>
      </c>
      <c r="AD15" s="158"/>
      <c r="AE15" s="163">
        <f t="shared" si="21"/>
        <v>0</v>
      </c>
      <c r="AF15" s="158"/>
      <c r="AG15" s="163">
        <f t="shared" si="21"/>
        <v>0</v>
      </c>
    </row>
    <row r="16" spans="1:33" ht="16.5" thickBot="1" x14ac:dyDescent="0.25">
      <c r="A16" s="9">
        <v>44726</v>
      </c>
      <c r="B16" s="160"/>
      <c r="C16" s="44">
        <f t="shared" si="22"/>
        <v>0</v>
      </c>
      <c r="D16" s="28">
        <f t="shared" si="23"/>
        <v>0</v>
      </c>
      <c r="E16" s="160"/>
      <c r="F16" s="44">
        <f t="shared" si="24"/>
        <v>0</v>
      </c>
      <c r="G16" s="28">
        <f t="shared" si="25"/>
        <v>0</v>
      </c>
      <c r="H16" s="160"/>
      <c r="I16" s="44">
        <f t="shared" si="26"/>
        <v>0</v>
      </c>
      <c r="J16" s="28">
        <f t="shared" si="27"/>
        <v>0</v>
      </c>
      <c r="K16" s="7"/>
      <c r="L16" s="44">
        <f t="shared" si="28"/>
        <v>0</v>
      </c>
      <c r="M16" s="28">
        <f t="shared" si="29"/>
        <v>0</v>
      </c>
      <c r="N16" s="160"/>
      <c r="O16" s="44">
        <f t="shared" si="30"/>
        <v>0</v>
      </c>
      <c r="P16" s="28">
        <f t="shared" si="31"/>
        <v>0</v>
      </c>
      <c r="Q16" s="160"/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44726</v>
      </c>
      <c r="X16" s="158"/>
      <c r="Y16" s="163">
        <f t="shared" si="21"/>
        <v>0</v>
      </c>
      <c r="Z16" s="158"/>
      <c r="AA16" s="163">
        <f t="shared" si="21"/>
        <v>0</v>
      </c>
      <c r="AB16" s="158"/>
      <c r="AC16" s="163">
        <f t="shared" si="21"/>
        <v>0</v>
      </c>
      <c r="AD16" s="158"/>
      <c r="AE16" s="163">
        <f t="shared" si="21"/>
        <v>0</v>
      </c>
      <c r="AF16" s="158"/>
      <c r="AG16" s="163">
        <f t="shared" si="21"/>
        <v>0</v>
      </c>
    </row>
    <row r="17" spans="1:33" ht="16.5" thickBot="1" x14ac:dyDescent="0.25">
      <c r="A17" s="9">
        <v>44727</v>
      </c>
      <c r="B17" s="160"/>
      <c r="C17" s="44">
        <f t="shared" si="22"/>
        <v>0</v>
      </c>
      <c r="D17" s="28">
        <f t="shared" si="23"/>
        <v>0</v>
      </c>
      <c r="E17" s="160"/>
      <c r="F17" s="44">
        <f t="shared" si="24"/>
        <v>0</v>
      </c>
      <c r="G17" s="28">
        <f t="shared" si="25"/>
        <v>0</v>
      </c>
      <c r="H17" s="160"/>
      <c r="I17" s="44">
        <f t="shared" si="26"/>
        <v>0</v>
      </c>
      <c r="J17" s="28">
        <f t="shared" si="27"/>
        <v>0</v>
      </c>
      <c r="K17" s="7"/>
      <c r="L17" s="44">
        <f t="shared" si="28"/>
        <v>0</v>
      </c>
      <c r="M17" s="28">
        <f t="shared" si="29"/>
        <v>0</v>
      </c>
      <c r="N17" s="160"/>
      <c r="O17" s="44">
        <f t="shared" si="30"/>
        <v>0</v>
      </c>
      <c r="P17" s="28">
        <f t="shared" si="31"/>
        <v>0</v>
      </c>
      <c r="Q17" s="160"/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44727</v>
      </c>
      <c r="X17" s="158"/>
      <c r="Y17" s="163">
        <f t="shared" si="21"/>
        <v>0</v>
      </c>
      <c r="Z17" s="158"/>
      <c r="AA17" s="163">
        <f t="shared" si="21"/>
        <v>0</v>
      </c>
      <c r="AB17" s="158"/>
      <c r="AC17" s="163">
        <f t="shared" si="21"/>
        <v>0</v>
      </c>
      <c r="AD17" s="158"/>
      <c r="AE17" s="163">
        <f t="shared" si="21"/>
        <v>0</v>
      </c>
      <c r="AF17" s="158"/>
      <c r="AG17" s="163">
        <f t="shared" si="21"/>
        <v>0</v>
      </c>
    </row>
    <row r="18" spans="1:33" ht="16.5" thickBot="1" x14ac:dyDescent="0.25">
      <c r="A18" s="9">
        <v>44728</v>
      </c>
      <c r="B18" s="160"/>
      <c r="C18" s="44">
        <f t="shared" si="22"/>
        <v>0</v>
      </c>
      <c r="D18" s="28">
        <f t="shared" si="23"/>
        <v>0</v>
      </c>
      <c r="E18" s="160"/>
      <c r="F18" s="44">
        <f t="shared" si="24"/>
        <v>0</v>
      </c>
      <c r="G18" s="28">
        <f t="shared" si="25"/>
        <v>0</v>
      </c>
      <c r="H18" s="160"/>
      <c r="I18" s="44">
        <f t="shared" si="26"/>
        <v>0</v>
      </c>
      <c r="J18" s="28">
        <f t="shared" si="27"/>
        <v>0</v>
      </c>
      <c r="K18" s="7"/>
      <c r="L18" s="44">
        <f t="shared" si="28"/>
        <v>0</v>
      </c>
      <c r="M18" s="28">
        <f t="shared" si="29"/>
        <v>0</v>
      </c>
      <c r="N18" s="160"/>
      <c r="O18" s="44">
        <f t="shared" si="30"/>
        <v>0</v>
      </c>
      <c r="P18" s="28">
        <f t="shared" si="31"/>
        <v>0</v>
      </c>
      <c r="Q18" s="160"/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44728</v>
      </c>
      <c r="X18" s="158"/>
      <c r="Y18" s="163">
        <f t="shared" si="21"/>
        <v>0</v>
      </c>
      <c r="Z18" s="158"/>
      <c r="AA18" s="163">
        <f t="shared" si="21"/>
        <v>0</v>
      </c>
      <c r="AB18" s="158"/>
      <c r="AC18" s="163">
        <f t="shared" si="21"/>
        <v>0</v>
      </c>
      <c r="AD18" s="158"/>
      <c r="AE18" s="163">
        <f t="shared" si="21"/>
        <v>0</v>
      </c>
      <c r="AF18" s="158"/>
      <c r="AG18" s="163">
        <f t="shared" si="21"/>
        <v>0</v>
      </c>
    </row>
    <row r="19" spans="1:33" ht="16.5" thickBot="1" x14ac:dyDescent="0.25">
      <c r="A19" s="9">
        <v>44729</v>
      </c>
      <c r="B19" s="160"/>
      <c r="C19" s="44">
        <f t="shared" si="22"/>
        <v>0</v>
      </c>
      <c r="D19" s="28">
        <f t="shared" si="23"/>
        <v>0</v>
      </c>
      <c r="E19" s="160"/>
      <c r="F19" s="44">
        <f t="shared" si="24"/>
        <v>0</v>
      </c>
      <c r="G19" s="28">
        <f t="shared" si="25"/>
        <v>0</v>
      </c>
      <c r="H19" s="160"/>
      <c r="I19" s="44">
        <f t="shared" si="26"/>
        <v>0</v>
      </c>
      <c r="J19" s="28">
        <f t="shared" si="27"/>
        <v>0</v>
      </c>
      <c r="K19" s="7"/>
      <c r="L19" s="44">
        <f t="shared" si="28"/>
        <v>0</v>
      </c>
      <c r="M19" s="28">
        <f t="shared" si="29"/>
        <v>0</v>
      </c>
      <c r="N19" s="160"/>
      <c r="O19" s="44">
        <f t="shared" si="30"/>
        <v>0</v>
      </c>
      <c r="P19" s="28">
        <f t="shared" si="31"/>
        <v>0</v>
      </c>
      <c r="Q19" s="160"/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>
        <f t="shared" si="21"/>
        <v>0</v>
      </c>
      <c r="Z19" s="158"/>
      <c r="AA19" s="163">
        <f t="shared" si="21"/>
        <v>0</v>
      </c>
      <c r="AB19" s="158"/>
      <c r="AC19" s="163">
        <f t="shared" si="21"/>
        <v>0</v>
      </c>
      <c r="AD19" s="158"/>
      <c r="AE19" s="163">
        <f t="shared" si="21"/>
        <v>0</v>
      </c>
      <c r="AF19" s="158"/>
      <c r="AG19" s="163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83.977999999999156</v>
      </c>
      <c r="D33" s="137">
        <f>SUM(D3:D32)</f>
        <v>159558.19999999838</v>
      </c>
      <c r="E33" s="137"/>
      <c r="F33" s="44">
        <f>SUM(F2:F32)</f>
        <v>17.661000000000058</v>
      </c>
      <c r="G33" s="137">
        <f>SUM(G3:G32)</f>
        <v>33555.900000000111</v>
      </c>
      <c r="H33" s="137"/>
      <c r="I33" s="44">
        <f>SUM(I2:I32)</f>
        <v>50</v>
      </c>
      <c r="J33" s="137">
        <f>SUM(J3:J32)</f>
        <v>95000</v>
      </c>
      <c r="K33" s="137"/>
      <c r="L33" s="44">
        <f>SUM(L2:L32)</f>
        <v>14.920000000000073</v>
      </c>
      <c r="M33" s="137">
        <f>SUM(M3:M32)</f>
        <v>28348.000000000138</v>
      </c>
      <c r="N33" s="137"/>
      <c r="O33" s="44">
        <f>SUM(O2:O32)</f>
        <v>9.5399999999999636</v>
      </c>
      <c r="P33" s="137">
        <f>SUM(P3:P32)</f>
        <v>18125.999999999931</v>
      </c>
      <c r="Q33" s="137"/>
      <c r="R33" s="44">
        <f>SUM(R3:R32)</f>
        <v>7.5799999999999272</v>
      </c>
      <c r="S33" s="137">
        <f>SUM(S3:S32)</f>
        <v>14401.999999999862</v>
      </c>
      <c r="T33" s="137">
        <f>SUM(T3:T32)</f>
        <v>183.67899999999918</v>
      </c>
      <c r="U33" s="137">
        <f>SUM(U3:U32)</f>
        <v>348990.09999999846</v>
      </c>
      <c r="V33"/>
      <c r="W33" s="137" t="s">
        <v>141</v>
      </c>
      <c r="X33" s="137"/>
      <c r="Y33" s="137">
        <f>SUM(Y2:Y32)</f>
        <v>1621</v>
      </c>
      <c r="Z33" s="137"/>
      <c r="AA33" s="137">
        <f>SUM(AA2:AA32)</f>
        <v>36</v>
      </c>
      <c r="AB33" s="137"/>
      <c r="AC33" s="137">
        <f>SUM(AC2:AC32)</f>
        <v>0.10000000000000142</v>
      </c>
      <c r="AD33" s="137"/>
      <c r="AE33" s="137">
        <f>SUM(AE2:AE32)</f>
        <v>14</v>
      </c>
      <c r="AF33" s="137">
        <v>0</v>
      </c>
      <c r="AG33" s="137">
        <f>SUM(AG2:AG32)</f>
        <v>77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73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3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3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0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0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0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74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74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74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73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3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3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0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0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0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74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74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74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73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3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3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0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0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0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74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74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74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73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3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3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0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0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0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74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74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74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73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3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3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0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0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0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74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74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74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73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3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3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0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0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0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74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74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74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73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3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3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0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0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0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74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74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74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73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3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3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0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0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0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74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74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74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73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3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3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0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0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0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74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74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74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73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3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3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0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0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0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74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74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74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73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3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3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0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0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0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74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74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74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73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3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3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0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0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0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74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74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74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73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3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3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0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0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0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74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74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74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73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3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3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0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0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0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74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74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74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73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3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3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0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0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0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73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3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3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0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0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0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73">
        <v>23</v>
      </c>
      <c r="D49" s="61" t="s">
        <v>83</v>
      </c>
      <c r="E49" s="62"/>
      <c r="F49" s="76"/>
      <c r="G49" s="63">
        <f t="shared" si="4"/>
        <v>0</v>
      </c>
      <c r="H49" s="64"/>
      <c r="J49" s="173">
        <v>23</v>
      </c>
      <c r="K49" s="61" t="s">
        <v>83</v>
      </c>
      <c r="L49" s="76"/>
      <c r="M49" s="76"/>
      <c r="N49" s="63">
        <f t="shared" si="2"/>
        <v>0</v>
      </c>
      <c r="O49" s="64"/>
      <c r="Q49" s="173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0"/>
      <c r="D50" s="61" t="s">
        <v>82</v>
      </c>
      <c r="E50" s="62"/>
      <c r="F50" s="76"/>
      <c r="G50" s="63">
        <f t="shared" si="4"/>
        <v>0</v>
      </c>
      <c r="H50" s="64"/>
      <c r="J50" s="180"/>
      <c r="K50" s="61" t="s">
        <v>82</v>
      </c>
      <c r="L50" s="76"/>
      <c r="M50" s="76"/>
      <c r="N50" s="63">
        <f t="shared" si="2"/>
        <v>0</v>
      </c>
      <c r="O50" s="64"/>
      <c r="Q50" s="180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1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1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1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2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2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2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3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3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3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73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3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3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74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74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74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73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3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3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74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74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74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73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3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3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74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74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74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73">
        <v>28</v>
      </c>
      <c r="D62" s="175" t="s">
        <v>86</v>
      </c>
      <c r="E62" s="62"/>
      <c r="F62" s="62"/>
      <c r="G62" s="63"/>
      <c r="H62" s="177" t="s">
        <v>87</v>
      </c>
      <c r="I62" s="67"/>
      <c r="J62" s="173">
        <v>28</v>
      </c>
      <c r="K62" s="175" t="s">
        <v>86</v>
      </c>
      <c r="L62" s="62"/>
      <c r="M62" s="62"/>
      <c r="N62" s="63"/>
      <c r="O62" s="177" t="s">
        <v>87</v>
      </c>
      <c r="Q62" s="173">
        <v>28</v>
      </c>
      <c r="R62" s="175" t="s">
        <v>86</v>
      </c>
      <c r="S62" s="62"/>
      <c r="T62" s="62"/>
      <c r="U62" s="63">
        <f t="shared" si="3"/>
        <v>0</v>
      </c>
      <c r="V62" s="177" t="s">
        <v>87</v>
      </c>
    </row>
    <row r="63" spans="1:22" ht="15" x14ac:dyDescent="0.2">
      <c r="A63" s="67"/>
      <c r="B63" s="57"/>
      <c r="C63" s="174"/>
      <c r="D63" s="176"/>
      <c r="E63" s="62"/>
      <c r="F63" s="62"/>
      <c r="G63" s="63"/>
      <c r="H63" s="178"/>
      <c r="I63" s="67"/>
      <c r="J63" s="174"/>
      <c r="K63" s="176"/>
      <c r="L63" s="62"/>
      <c r="M63" s="62"/>
      <c r="N63" s="63"/>
      <c r="O63" s="178"/>
      <c r="Q63" s="174"/>
      <c r="R63" s="176"/>
      <c r="S63" s="62"/>
      <c r="T63" s="62"/>
      <c r="U63" s="63">
        <f t="shared" si="3"/>
        <v>0</v>
      </c>
      <c r="V63" s="178"/>
    </row>
    <row r="64" spans="1:22" x14ac:dyDescent="0.2">
      <c r="A64" s="67"/>
      <c r="B64" s="57"/>
      <c r="C64" s="179" t="s">
        <v>88</v>
      </c>
      <c r="D64" s="179"/>
      <c r="E64" s="179"/>
      <c r="F64" s="179"/>
      <c r="G64" s="81">
        <f>SUM(G2:G63)</f>
        <v>35162</v>
      </c>
      <c r="H64" s="82"/>
      <c r="I64" s="67"/>
      <c r="J64" s="179" t="s">
        <v>88</v>
      </c>
      <c r="K64" s="179"/>
      <c r="L64" s="179"/>
      <c r="M64" s="179"/>
      <c r="N64" s="81">
        <f>SUM(N2:N63)</f>
        <v>295061</v>
      </c>
      <c r="O64" s="82"/>
      <c r="Q64" s="179" t="s">
        <v>88</v>
      </c>
      <c r="R64" s="179"/>
      <c r="S64" s="179"/>
      <c r="T64" s="179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7">
        <v>44621</v>
      </c>
      <c r="C69" s="188"/>
      <c r="D69" s="188"/>
      <c r="E69" s="189"/>
      <c r="F69" s="85"/>
      <c r="G69" s="187">
        <v>44652</v>
      </c>
      <c r="H69" s="188"/>
      <c r="I69" s="188"/>
      <c r="J69" s="189"/>
      <c r="K69" s="85"/>
      <c r="L69" s="184" t="s">
        <v>25</v>
      </c>
      <c r="M69" s="185"/>
      <c r="N69" s="185"/>
      <c r="O69" s="186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-6879858</v>
      </c>
      <c r="D7" s="105">
        <f t="shared" si="0"/>
        <v>-8737419.6600000001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6995</v>
      </c>
      <c r="D8" s="105">
        <f t="shared" si="0"/>
        <v>8883.65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1601</v>
      </c>
      <c r="D9" s="105">
        <f t="shared" si="0"/>
        <v>2033.27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2880</v>
      </c>
      <c r="D10" s="105">
        <f t="shared" si="0"/>
        <v>3657.6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863</v>
      </c>
      <c r="D11" s="105">
        <f t="shared" si="0"/>
        <v>1096.01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4001</v>
      </c>
      <c r="K16" s="94">
        <f>(J16-I16)*160</f>
        <v>640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317346</v>
      </c>
      <c r="K17" s="94">
        <f>(J17-I17)</f>
        <v>942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26189</v>
      </c>
      <c r="K18" s="94">
        <f>(J18-I18)*160</f>
        <v>2880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155229</v>
      </c>
      <c r="K19" s="94">
        <f>J19-I19</f>
        <v>863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47115</v>
      </c>
      <c r="K21" s="94">
        <f>(J21-I21)*120</f>
        <v>3360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40657</v>
      </c>
      <c r="K22" s="94">
        <f>(J22-I22)*160</f>
        <v>3040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21709</v>
      </c>
      <c r="K23" s="94">
        <f>(J23-I23)*20</f>
        <v>440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255454</v>
      </c>
      <c r="K24" s="94">
        <f>J24-I24</f>
        <v>155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226055</v>
      </c>
      <c r="K25" s="94">
        <f>J25-I25</f>
        <v>19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2022-06-07T03:21:24Z</dcterms:modified>
</cp:coreProperties>
</file>