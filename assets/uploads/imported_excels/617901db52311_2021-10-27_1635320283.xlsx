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0" windowWidth="11340" windowHeight="11070" tabRatio="579" firstSheet="13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7" i="3"/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7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30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E25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E27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E28"/>
  <c r="Z21"/>
  <c r="X21"/>
  <c r="Q6"/>
  <c r="Q9"/>
  <c r="K6" i="5"/>
  <c r="I36" i="79"/>
  <c r="E27" i="3"/>
  <c r="C27"/>
  <c r="C26"/>
  <c r="S26"/>
  <c r="AB22" i="2" l="1"/>
  <c r="G22"/>
  <c r="Z22"/>
  <c r="Q22"/>
  <c r="X22"/>
  <c r="E29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D30"/>
  <c r="E30" s="1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1" s="1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V21"/>
  <c r="AF21" s="1"/>
  <c r="U22"/>
  <c r="S22"/>
  <c r="T21"/>
  <c r="AE21" s="1"/>
  <c r="M26"/>
  <c r="K26"/>
  <c r="X26"/>
  <c r="G26"/>
  <c r="Q26"/>
  <c r="I26"/>
  <c r="D33"/>
  <c r="E33" s="1"/>
  <c r="AB26"/>
  <c r="AD26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I27"/>
  <c r="S23"/>
  <c r="T22"/>
  <c r="AE22" s="1"/>
  <c r="AG22" s="1"/>
  <c r="AC28"/>
  <c r="AD27"/>
  <c r="Q27"/>
  <c r="G27"/>
  <c r="K27"/>
  <c r="Z27"/>
  <c r="X27"/>
  <c r="M27"/>
  <c r="V22"/>
  <c r="AF22" s="1"/>
  <c r="U23"/>
  <c r="Q15"/>
  <c r="E31" i="3"/>
  <c r="N27" i="2" l="1"/>
  <c r="R27" s="1"/>
  <c r="AC29"/>
  <c r="AD28"/>
  <c r="G28"/>
  <c r="I28"/>
  <c r="M28"/>
  <c r="U24"/>
  <c r="V23"/>
  <c r="AF23" s="1"/>
  <c r="X28"/>
  <c r="Q28"/>
  <c r="K28"/>
  <c r="T23"/>
  <c r="AE23" s="1"/>
  <c r="AG23" s="1"/>
  <c r="S24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AG24" i="2" l="1"/>
  <c r="S26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AG27" l="1"/>
  <c r="N32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<sst xmlns="http://schemas.openxmlformats.org/spreadsheetml/2006/main" count="654" uniqueCount="416">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</sst>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4756608"/>
        <c:axId val="115041024"/>
      </c:lineChart>
      <c:catAx>
        <c:axId val="11475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41024"/>
        <c:crosses val="autoZero"/>
        <c:auto val="1"/>
        <c:lblAlgn val="ctr"/>
        <c:lblOffset val="100"/>
      </c:catAx>
      <c:valAx>
        <c:axId val="115041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5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0630016"/>
        <c:axId val="130631552"/>
      </c:lineChart>
      <c:catAx>
        <c:axId val="13063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1552"/>
        <c:crosses val="autoZero"/>
        <c:auto val="1"/>
        <c:lblAlgn val="ctr"/>
        <c:lblOffset val="100"/>
      </c:catAx>
      <c:valAx>
        <c:axId val="13063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5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0652032"/>
        <c:axId val="130653568"/>
      </c:lineChart>
      <c:catAx>
        <c:axId val="13065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3568"/>
        <c:crosses val="autoZero"/>
        <c:auto val="1"/>
        <c:lblAlgn val="ctr"/>
        <c:lblOffset val="100"/>
      </c:catAx>
      <c:valAx>
        <c:axId val="1306535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0674048"/>
        <c:axId val="130712704"/>
      </c:lineChart>
      <c:catAx>
        <c:axId val="1306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2704"/>
        <c:crosses val="autoZero"/>
        <c:auto val="1"/>
        <c:lblAlgn val="ctr"/>
        <c:lblOffset val="100"/>
      </c:catAx>
      <c:valAx>
        <c:axId val="130712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83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0737280"/>
        <c:axId val="130738816"/>
      </c:lineChart>
      <c:catAx>
        <c:axId val="13073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8816"/>
        <c:crosses val="autoZero"/>
        <c:auto val="1"/>
        <c:lblAlgn val="ctr"/>
        <c:lblOffset val="100"/>
      </c:catAx>
      <c:valAx>
        <c:axId val="130738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3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2312064"/>
        <c:axId val="132317952"/>
      </c:lineChart>
      <c:catAx>
        <c:axId val="13231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7952"/>
        <c:crosses val="autoZero"/>
        <c:auto val="1"/>
        <c:lblAlgn val="ctr"/>
        <c:lblOffset val="100"/>
      </c:catAx>
      <c:valAx>
        <c:axId val="13231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2330240"/>
        <c:axId val="132331776"/>
      </c:lineChart>
      <c:catAx>
        <c:axId val="13233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31776"/>
        <c:crosses val="autoZero"/>
        <c:auto val="1"/>
        <c:lblAlgn val="ctr"/>
        <c:lblOffset val="100"/>
      </c:catAx>
      <c:valAx>
        <c:axId val="13233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3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2348160"/>
        <c:axId val="132354048"/>
      </c:lineChart>
      <c:catAx>
        <c:axId val="13234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54048"/>
        <c:crosses val="autoZero"/>
        <c:auto val="1"/>
        <c:lblAlgn val="ctr"/>
        <c:lblOffset val="100"/>
      </c:catAx>
      <c:valAx>
        <c:axId val="13235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4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2382720"/>
        <c:axId val="132384256"/>
      </c:lineChart>
      <c:catAx>
        <c:axId val="1323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84256"/>
        <c:crosses val="autoZero"/>
        <c:auto val="1"/>
        <c:lblAlgn val="ctr"/>
        <c:lblOffset val="100"/>
      </c:catAx>
      <c:valAx>
        <c:axId val="132384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956"/>
          <c:w val="0.1272403315177559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2412928"/>
        <c:axId val="132414464"/>
      </c:lineChart>
      <c:catAx>
        <c:axId val="1324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14464"/>
        <c:crosses val="autoZero"/>
        <c:auto val="1"/>
        <c:lblAlgn val="ctr"/>
        <c:lblOffset val="100"/>
      </c:catAx>
      <c:valAx>
        <c:axId val="13241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2590592"/>
        <c:axId val="132592384"/>
      </c:lineChart>
      <c:catAx>
        <c:axId val="13259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2384"/>
        <c:crosses val="autoZero"/>
        <c:auto val="1"/>
        <c:lblAlgn val="ctr"/>
        <c:lblOffset val="100"/>
      </c:catAx>
      <c:valAx>
        <c:axId val="132592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6815744"/>
        <c:axId val="136817280"/>
      </c:lineChart>
      <c:catAx>
        <c:axId val="1368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7280"/>
        <c:crosses val="autoZero"/>
        <c:auto val="1"/>
        <c:lblAlgn val="ctr"/>
        <c:lblOffset val="100"/>
      </c:catAx>
      <c:valAx>
        <c:axId val="13681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92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6887296"/>
        <c:axId val="136897280"/>
      </c:lineChart>
      <c:catAx>
        <c:axId val="13688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97280"/>
        <c:crosses val="autoZero"/>
        <c:auto val="1"/>
        <c:lblAlgn val="ctr"/>
        <c:lblOffset val="100"/>
      </c:catAx>
      <c:valAx>
        <c:axId val="13689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8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956"/>
          <c:w val="0.135416885389371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7437952"/>
        <c:axId val="137439488"/>
      </c:lineChart>
      <c:catAx>
        <c:axId val="13743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39488"/>
        <c:crosses val="autoZero"/>
        <c:auto val="1"/>
        <c:lblAlgn val="ctr"/>
        <c:lblOffset val="100"/>
      </c:catAx>
      <c:valAx>
        <c:axId val="137439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3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9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7460352"/>
        <c:axId val="137462144"/>
      </c:lineChart>
      <c:catAx>
        <c:axId val="13746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62144"/>
        <c:crosses val="autoZero"/>
        <c:auto val="1"/>
        <c:lblAlgn val="ctr"/>
        <c:lblOffset val="100"/>
      </c:catAx>
      <c:valAx>
        <c:axId val="137462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6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7503104"/>
        <c:axId val="137504640"/>
      </c:lineChart>
      <c:catAx>
        <c:axId val="1375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04640"/>
        <c:crosses val="autoZero"/>
        <c:auto val="1"/>
        <c:lblAlgn val="ctr"/>
        <c:lblOffset val="100"/>
      </c:catAx>
      <c:valAx>
        <c:axId val="13750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956"/>
          <c:w val="0.135416885389371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7516928"/>
        <c:axId val="137518464"/>
      </c:lineChart>
      <c:catAx>
        <c:axId val="13751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8464"/>
        <c:crosses val="autoZero"/>
        <c:auto val="1"/>
        <c:lblAlgn val="ctr"/>
        <c:lblOffset val="100"/>
      </c:catAx>
      <c:valAx>
        <c:axId val="137518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59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-10355</c:v>
                </c:pt>
                <c:pt idx="22">
                  <c:v>0</c:v>
                </c:pt>
                <c:pt idx="23">
                  <c:v>9813.6774193548335</c:v>
                </c:pt>
                <c:pt idx="24">
                  <c:v>-1840.0645161290231</c:v>
                </c:pt>
                <c:pt idx="25">
                  <c:v>-2760.0967741935456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7551232"/>
        <c:axId val="137557120"/>
      </c:lineChart>
      <c:catAx>
        <c:axId val="13755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57120"/>
        <c:crosses val="autoZero"/>
        <c:auto val="1"/>
        <c:lblAlgn val="ctr"/>
        <c:lblOffset val="100"/>
      </c:catAx>
      <c:valAx>
        <c:axId val="137557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5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7647616"/>
        <c:axId val="137649152"/>
      </c:lineChart>
      <c:catAx>
        <c:axId val="1376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49152"/>
        <c:crosses val="autoZero"/>
        <c:auto val="1"/>
        <c:lblAlgn val="ctr"/>
        <c:lblOffset val="100"/>
      </c:catAx>
      <c:valAx>
        <c:axId val="13764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7673728"/>
        <c:axId val="137687808"/>
      </c:lineChart>
      <c:catAx>
        <c:axId val="1376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87808"/>
        <c:crosses val="autoZero"/>
        <c:auto val="1"/>
        <c:lblAlgn val="ctr"/>
        <c:lblOffset val="100"/>
      </c:catAx>
      <c:valAx>
        <c:axId val="137687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3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7978624"/>
        <c:axId val="137980160"/>
      </c:lineChart>
      <c:catAx>
        <c:axId val="1379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0160"/>
        <c:crosses val="autoZero"/>
        <c:auto val="1"/>
        <c:lblAlgn val="ctr"/>
        <c:lblOffset val="100"/>
      </c:catAx>
      <c:valAx>
        <c:axId val="13798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8017024"/>
        <c:axId val="138092544"/>
      </c:lineChart>
      <c:catAx>
        <c:axId val="1380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92544"/>
        <c:crosses val="autoZero"/>
        <c:auto val="1"/>
        <c:lblAlgn val="ctr"/>
        <c:lblOffset val="100"/>
      </c:catAx>
      <c:valAx>
        <c:axId val="13809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32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8117120"/>
        <c:axId val="138118656"/>
      </c:lineChart>
      <c:catAx>
        <c:axId val="1381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8656"/>
        <c:crosses val="autoZero"/>
        <c:auto val="1"/>
        <c:lblAlgn val="ctr"/>
        <c:lblOffset val="100"/>
      </c:catAx>
      <c:valAx>
        <c:axId val="13811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9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8147328"/>
        <c:axId val="138148864"/>
      </c:lineChart>
      <c:catAx>
        <c:axId val="1381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48864"/>
        <c:crosses val="autoZero"/>
        <c:auto val="1"/>
        <c:lblAlgn val="ctr"/>
        <c:lblOffset val="100"/>
      </c:catAx>
      <c:valAx>
        <c:axId val="1381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834"/>
          <c:w val="0.123431181980940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8183040"/>
        <c:axId val="138184576"/>
      </c:lineChart>
      <c:catAx>
        <c:axId val="1381830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4576"/>
        <c:crosses val="autoZero"/>
        <c:auto val="1"/>
        <c:lblAlgn val="ctr"/>
        <c:lblOffset val="100"/>
      </c:catAx>
      <c:valAx>
        <c:axId val="1381845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412"/>
          <c:w val="0.156903985328236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8221056"/>
        <c:axId val="138222592"/>
      </c:lineChart>
      <c:catAx>
        <c:axId val="13822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22592"/>
        <c:crosses val="autoZero"/>
        <c:auto val="1"/>
        <c:lblAlgn val="ctr"/>
        <c:lblOffset val="100"/>
      </c:catAx>
      <c:valAx>
        <c:axId val="138222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2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07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8231168"/>
        <c:axId val="138261632"/>
      </c:lineChart>
      <c:catAx>
        <c:axId val="13823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61632"/>
        <c:crosses val="autoZero"/>
        <c:auto val="1"/>
        <c:lblAlgn val="ctr"/>
        <c:lblOffset val="100"/>
      </c:catAx>
      <c:valAx>
        <c:axId val="13826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00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4644736"/>
        <c:axId val="144654720"/>
      </c:lineChart>
      <c:catAx>
        <c:axId val="144644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54720"/>
        <c:crosses val="autoZero"/>
        <c:auto val="1"/>
        <c:lblAlgn val="ctr"/>
        <c:lblOffset val="100"/>
      </c:catAx>
      <c:valAx>
        <c:axId val="144654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41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-0.29039260195814459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0.35489238632152986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0.24423953075199459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0.21082094190226547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0.27246142011804525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0.19859852517668058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9.7366478002682166E-2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0.26843532509909285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0.21914923663031025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3">
        <f>SUM('EDl log'!T22)</f>
        <v>0.22294606095457717</v>
      </c>
      <c r="G20" s="203">
        <f>-tanks!AW24</f>
        <v>127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68</v>
      </c>
      <c r="L20" s="324">
        <f>SUM(WATER!J24)</f>
        <v>3.5578747628083494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3">
        <f>SUM('EDl log'!T23)</f>
        <v>0.25636691716375648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3">
        <f>SUM('EDl log'!T24)</f>
        <v>0.23130321733917536</v>
      </c>
      <c r="G22" s="203">
        <f>-tanks!AW26</f>
        <v>126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610</v>
      </c>
      <c r="F23" s="323">
        <f>SUM('EDl log'!T25)</f>
        <v>10.829455800935392</v>
      </c>
      <c r="G23" s="203">
        <f>-tanks!AW27</f>
        <v>0</v>
      </c>
      <c r="H23" s="323">
        <f>SUM(tanks!AV27)</f>
        <v>0.66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0.66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6232</v>
      </c>
      <c r="F25" s="323">
        <f>SUM('EDl log'!T27)</f>
        <v>-0.96351042902558959</v>
      </c>
      <c r="G25" s="203">
        <f>-tanks!AW29</f>
        <v>73</v>
      </c>
      <c r="H25" s="323">
        <f>SUM(tanks!AV29)</f>
        <v>0.66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5784</v>
      </c>
      <c r="F26" s="323">
        <f>SUM('EDl log'!T28)</f>
        <v>0.2151573706983004</v>
      </c>
      <c r="G26" s="203">
        <f>-tanks!AW30</f>
        <v>91</v>
      </c>
      <c r="H26" s="323">
        <f>SUM(tanks!AV30)</f>
        <v>0.66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7303</v>
      </c>
      <c r="F27" s="323">
        <f>SUM('EDl log'!T29)</f>
        <v>0.26556855308163635</v>
      </c>
      <c r="G27" s="203">
        <f>-tanks!AW31</f>
        <v>0</v>
      </c>
      <c r="H27" s="323">
        <f>SUM(tanks!AV31)</f>
        <v>0.66</v>
      </c>
      <c r="I27" s="10">
        <f>('B5'!AU30)*0.51</f>
        <v>0</v>
      </c>
      <c r="J27" s="303">
        <f>'B5'!AX30/0.51</f>
        <v>1.5686274509803921</v>
      </c>
      <c r="K27" s="203">
        <f>WATER!I31</f>
        <v>67</v>
      </c>
      <c r="L27" s="324">
        <f>SUM(WATER!J31)</f>
        <v>3.6109773712084738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0.66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0.66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0.66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0.66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0.66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610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976</v>
      </c>
      <c r="F25" s="203">
        <f>ELEC!K27</f>
        <v>1374</v>
      </c>
      <c r="G25" s="203">
        <f>ELEC!I27</f>
        <v>544</v>
      </c>
      <c r="H25" s="203">
        <f>ELEC!E27</f>
        <v>3012</v>
      </c>
      <c r="I25" s="203">
        <f>ELEC!G27</f>
        <v>326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1034</v>
      </c>
      <c r="F26" s="203">
        <f>ELEC!K28</f>
        <v>2476</v>
      </c>
      <c r="G26" s="203">
        <f>ELEC!I28</f>
        <v>558</v>
      </c>
      <c r="H26" s="203">
        <f>ELEC!E28</f>
        <v>1378</v>
      </c>
      <c r="I26" s="203">
        <f>ELEC!G28</f>
        <v>338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1350</v>
      </c>
      <c r="F27" s="203">
        <f>ELEC!K29</f>
        <v>2782</v>
      </c>
      <c r="G27" s="203">
        <f>ELEC!I29</f>
        <v>724</v>
      </c>
      <c r="H27" s="203">
        <f>ELEC!E29</f>
        <v>2000</v>
      </c>
      <c r="I27" s="203">
        <f>ELEC!G29</f>
        <v>447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T1" zoomScale="70" zoomScaleNormal="70" zoomScaleSheetLayoutView="100" workbookViewId="0">
      <pane ySplit="2" topLeftCell="A6" activePane="bottomLeft" state="frozen"/>
      <selection activeCell="C1" sqref="C1"/>
      <selection pane="bottomLeft" activeCell="Y29" sqref="Y29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v>6027</v>
      </c>
      <c r="E22" s="637">
        <f t="shared" si="34"/>
        <v>2027</v>
      </c>
      <c r="F22" s="594">
        <v>4094342</v>
      </c>
      <c r="G22" s="305">
        <f t="shared" si="20"/>
        <v>344</v>
      </c>
      <c r="H22" s="436">
        <v>17973490</v>
      </c>
      <c r="I22" s="305">
        <f t="shared" si="21"/>
        <v>554</v>
      </c>
      <c r="J22" s="436">
        <v>29553518</v>
      </c>
      <c r="K22" s="305">
        <f t="shared" si="22"/>
        <v>2648</v>
      </c>
      <c r="L22" s="436">
        <v>24443126</v>
      </c>
      <c r="M22" s="305">
        <f t="shared" si="23"/>
        <v>1096</v>
      </c>
      <c r="N22" s="304">
        <f t="shared" si="24"/>
        <v>6669</v>
      </c>
      <c r="O22" s="456">
        <f t="shared" si="31"/>
        <v>0</v>
      </c>
      <c r="P22" s="585">
        <v>18478.12</v>
      </c>
      <c r="Q22" s="457">
        <f t="shared" si="1"/>
        <v>6652.9999999984284</v>
      </c>
      <c r="R22" s="439">
        <f t="shared" si="33"/>
        <v>16.000000001571607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v>33348</v>
      </c>
      <c r="X22" s="439">
        <f t="shared" si="30"/>
        <v>7</v>
      </c>
      <c r="Y22" s="436">
        <v>964220</v>
      </c>
      <c r="Z22" s="439">
        <f t="shared" si="29"/>
        <v>1537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7</v>
      </c>
      <c r="AF22" s="462">
        <f t="shared" si="4"/>
        <v>1537</v>
      </c>
      <c r="AG22" s="454">
        <f t="shared" si="32"/>
        <v>219.57142857142858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v>8478</v>
      </c>
      <c r="E23" s="637">
        <f t="shared" si="34"/>
        <v>2451</v>
      </c>
      <c r="F23" s="594">
        <v>4094646</v>
      </c>
      <c r="G23" s="305">
        <f t="shared" si="20"/>
        <v>304</v>
      </c>
      <c r="H23" s="436">
        <v>17973998</v>
      </c>
      <c r="I23" s="305">
        <f t="shared" si="21"/>
        <v>508</v>
      </c>
      <c r="J23" s="436">
        <v>29555118</v>
      </c>
      <c r="K23" s="305">
        <f t="shared" si="22"/>
        <v>1600</v>
      </c>
      <c r="L23" s="436">
        <v>24444140</v>
      </c>
      <c r="M23" s="305">
        <f t="shared" si="23"/>
        <v>1014</v>
      </c>
      <c r="N23" s="304">
        <f t="shared" si="24"/>
        <v>5877</v>
      </c>
      <c r="O23" s="456">
        <f t="shared" si="31"/>
        <v>0</v>
      </c>
      <c r="P23" s="585">
        <v>18484.083999999999</v>
      </c>
      <c r="Q23" s="457">
        <f t="shared" si="1"/>
        <v>5963.9999999999418</v>
      </c>
      <c r="R23" s="439">
        <f>AP23-Q23</f>
        <v>-5963.9999999999418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v>33350</v>
      </c>
      <c r="X23" s="439">
        <f t="shared" si="30"/>
        <v>2</v>
      </c>
      <c r="Y23" s="436">
        <v>964722</v>
      </c>
      <c r="Z23" s="439">
        <f t="shared" si="29"/>
        <v>502</v>
      </c>
      <c r="AA23" s="436">
        <v>36785</v>
      </c>
      <c r="AB23" s="439">
        <f t="shared" si="26"/>
        <v>0</v>
      </c>
      <c r="AC23" s="436">
        <v>1167920</v>
      </c>
      <c r="AD23" s="439">
        <f t="shared" si="36"/>
        <v>0</v>
      </c>
      <c r="AE23" s="461">
        <f t="shared" si="19"/>
        <v>2</v>
      </c>
      <c r="AF23" s="462">
        <f t="shared" si="4"/>
        <v>502</v>
      </c>
      <c r="AG23" s="454">
        <f t="shared" si="32"/>
        <v>251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v>11000</v>
      </c>
      <c r="E24" s="637">
        <f t="shared" si="34"/>
        <v>2522</v>
      </c>
      <c r="F24" s="594">
        <v>4095000</v>
      </c>
      <c r="G24" s="305">
        <f t="shared" si="20"/>
        <v>354</v>
      </c>
      <c r="H24" s="436">
        <v>17974578</v>
      </c>
      <c r="I24" s="429">
        <f t="shared" si="21"/>
        <v>580</v>
      </c>
      <c r="J24" s="436">
        <v>29556692</v>
      </c>
      <c r="K24" s="305">
        <f t="shared" si="22"/>
        <v>1574</v>
      </c>
      <c r="L24" s="436">
        <v>24445222</v>
      </c>
      <c r="M24" s="305">
        <f t="shared" si="23"/>
        <v>1082</v>
      </c>
      <c r="N24" s="304">
        <f t="shared" si="24"/>
        <v>6112</v>
      </c>
      <c r="O24" s="456">
        <f t="shared" si="31"/>
        <v>0</v>
      </c>
      <c r="P24" s="585">
        <v>18490.486000000001</v>
      </c>
      <c r="Q24" s="457">
        <f t="shared" si="1"/>
        <v>6402.0000000018626</v>
      </c>
      <c r="R24" s="439">
        <f t="shared" si="33"/>
        <v>-290.00000000186265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v>33351</v>
      </c>
      <c r="X24" s="439">
        <f t="shared" si="30"/>
        <v>1</v>
      </c>
      <c r="Y24" s="436">
        <v>965086</v>
      </c>
      <c r="Z24" s="439">
        <f t="shared" si="29"/>
        <v>364</v>
      </c>
      <c r="AA24" s="436">
        <v>36792</v>
      </c>
      <c r="AB24" s="439">
        <f t="shared" si="26"/>
        <v>7</v>
      </c>
      <c r="AC24" s="436">
        <v>1169481</v>
      </c>
      <c r="AD24" s="439">
        <f t="shared" si="36"/>
        <v>1561</v>
      </c>
      <c r="AE24" s="461">
        <f t="shared" si="19"/>
        <v>8</v>
      </c>
      <c r="AF24" s="462">
        <f t="shared" si="4"/>
        <v>1925</v>
      </c>
      <c r="AG24" s="454">
        <f t="shared" si="32"/>
        <v>240.625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v>11610</v>
      </c>
      <c r="E25" s="637">
        <f t="shared" si="34"/>
        <v>610</v>
      </c>
      <c r="F25" s="594">
        <v>4095000</v>
      </c>
      <c r="G25" s="305">
        <f t="shared" si="20"/>
        <v>0</v>
      </c>
      <c r="H25" s="436">
        <f t="shared" si="9"/>
        <v>17974578</v>
      </c>
      <c r="I25" s="305">
        <f t="shared" si="21"/>
        <v>0</v>
      </c>
      <c r="J25" s="436">
        <f t="shared" si="10"/>
        <v>29556692</v>
      </c>
      <c r="K25" s="305">
        <f t="shared" si="22"/>
        <v>0</v>
      </c>
      <c r="L25" s="436">
        <f t="shared" si="11"/>
        <v>24445222</v>
      </c>
      <c r="M25" s="305">
        <f t="shared" si="23"/>
        <v>0</v>
      </c>
      <c r="N25" s="304">
        <f t="shared" si="24"/>
        <v>610</v>
      </c>
      <c r="O25" s="456">
        <f t="shared" si="31"/>
        <v>0</v>
      </c>
      <c r="P25" s="585">
        <f t="shared" si="12"/>
        <v>18490.486000000001</v>
      </c>
      <c r="Q25" s="457">
        <f t="shared" si="1"/>
        <v>0</v>
      </c>
      <c r="R25" s="439">
        <f t="shared" si="33"/>
        <v>610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33351</v>
      </c>
      <c r="X25" s="439">
        <f t="shared" si="30"/>
        <v>0</v>
      </c>
      <c r="Y25" s="436">
        <f t="shared" si="16"/>
        <v>965086</v>
      </c>
      <c r="Z25" s="439">
        <f t="shared" si="29"/>
        <v>0</v>
      </c>
      <c r="AA25" s="436">
        <f t="shared" si="17"/>
        <v>36792</v>
      </c>
      <c r="AB25" s="439">
        <f t="shared" si="26"/>
        <v>0</v>
      </c>
      <c r="AC25" s="436">
        <f t="shared" si="18"/>
        <v>1169481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11610</v>
      </c>
      <c r="E26" s="637">
        <f t="shared" si="34"/>
        <v>0</v>
      </c>
      <c r="F26" s="594">
        <f t="shared" si="8"/>
        <v>4095000</v>
      </c>
      <c r="G26" s="305">
        <f t="shared" si="20"/>
        <v>0</v>
      </c>
      <c r="H26" s="436">
        <f t="shared" si="9"/>
        <v>17974578</v>
      </c>
      <c r="I26" s="305">
        <f t="shared" si="21"/>
        <v>0</v>
      </c>
      <c r="J26" s="436">
        <f t="shared" si="10"/>
        <v>29556692</v>
      </c>
      <c r="K26" s="305">
        <f t="shared" si="22"/>
        <v>0</v>
      </c>
      <c r="L26" s="436">
        <f t="shared" si="11"/>
        <v>24445222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18490.486000000001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33351</v>
      </c>
      <c r="X26" s="439">
        <f t="shared" si="30"/>
        <v>0</v>
      </c>
      <c r="Y26" s="436">
        <f t="shared" si="16"/>
        <v>965086</v>
      </c>
      <c r="Z26" s="439">
        <f t="shared" si="29"/>
        <v>0</v>
      </c>
      <c r="AA26" s="436">
        <f t="shared" si="17"/>
        <v>36792</v>
      </c>
      <c r="AB26" s="439">
        <f t="shared" si="26"/>
        <v>0</v>
      </c>
      <c r="AC26" s="436">
        <f t="shared" si="18"/>
        <v>1169481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v>14622</v>
      </c>
      <c r="E27" s="637">
        <f t="shared" si="34"/>
        <v>3012</v>
      </c>
      <c r="F27" s="594">
        <v>4095326</v>
      </c>
      <c r="G27" s="305">
        <f t="shared" si="20"/>
        <v>326</v>
      </c>
      <c r="H27" s="436">
        <v>17975122</v>
      </c>
      <c r="I27" s="305">
        <f t="shared" si="21"/>
        <v>544</v>
      </c>
      <c r="J27" s="436">
        <v>29558066</v>
      </c>
      <c r="K27" s="305">
        <f t="shared" si="22"/>
        <v>1374</v>
      </c>
      <c r="L27" s="436">
        <v>24446198</v>
      </c>
      <c r="M27" s="305">
        <f t="shared" si="23"/>
        <v>976</v>
      </c>
      <c r="N27" s="304">
        <f t="shared" si="24"/>
        <v>6232</v>
      </c>
      <c r="O27" s="456">
        <f t="shared" si="31"/>
        <v>0</v>
      </c>
      <c r="P27" s="585">
        <v>18495.884999999998</v>
      </c>
      <c r="Q27" s="457">
        <f t="shared" si="1"/>
        <v>5398.9999999976135</v>
      </c>
      <c r="R27" s="439">
        <f t="shared" si="33"/>
        <v>833.00000000238651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v>33352</v>
      </c>
      <c r="X27" s="439">
        <f t="shared" si="30"/>
        <v>1</v>
      </c>
      <c r="Y27" s="436">
        <v>965372</v>
      </c>
      <c r="Z27" s="439">
        <f t="shared" si="29"/>
        <v>286</v>
      </c>
      <c r="AA27" s="436">
        <v>36796</v>
      </c>
      <c r="AB27" s="439">
        <f t="shared" si="26"/>
        <v>4</v>
      </c>
      <c r="AC27" s="436">
        <v>1170505</v>
      </c>
      <c r="AD27" s="439">
        <f t="shared" si="36"/>
        <v>1024</v>
      </c>
      <c r="AE27" s="461">
        <f t="shared" si="19"/>
        <v>5</v>
      </c>
      <c r="AF27" s="462">
        <f t="shared" si="4"/>
        <v>1310</v>
      </c>
      <c r="AG27" s="454">
        <f t="shared" si="32"/>
        <v>262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v>16000</v>
      </c>
      <c r="E28" s="637">
        <f t="shared" si="34"/>
        <v>1378</v>
      </c>
      <c r="F28" s="594">
        <v>4095664</v>
      </c>
      <c r="G28" s="305">
        <f>F28-F27</f>
        <v>338</v>
      </c>
      <c r="H28" s="436">
        <v>17975680</v>
      </c>
      <c r="I28" s="305">
        <f t="shared" si="21"/>
        <v>558</v>
      </c>
      <c r="J28" s="436">
        <v>29560542</v>
      </c>
      <c r="K28" s="305">
        <f t="shared" si="22"/>
        <v>2476</v>
      </c>
      <c r="L28" s="436">
        <v>24447232</v>
      </c>
      <c r="M28" s="305">
        <f t="shared" si="23"/>
        <v>1034</v>
      </c>
      <c r="N28" s="304">
        <f t="shared" si="24"/>
        <v>5784</v>
      </c>
      <c r="O28" s="456">
        <f t="shared" si="31"/>
        <v>0</v>
      </c>
      <c r="P28" s="585">
        <v>18501.984</v>
      </c>
      <c r="Q28" s="457">
        <f t="shared" si="1"/>
        <v>6099.0000000019791</v>
      </c>
      <c r="R28" s="439">
        <f t="shared" si="33"/>
        <v>-315.00000000197906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v>33358</v>
      </c>
      <c r="X28" s="439">
        <f t="shared" si="30"/>
        <v>6</v>
      </c>
      <c r="Y28" s="436">
        <v>966595</v>
      </c>
      <c r="Z28" s="439">
        <f t="shared" si="29"/>
        <v>1223</v>
      </c>
      <c r="AA28" s="436">
        <f t="shared" si="17"/>
        <v>36796</v>
      </c>
      <c r="AB28" s="439">
        <f t="shared" si="26"/>
        <v>0</v>
      </c>
      <c r="AC28" s="436">
        <f t="shared" si="18"/>
        <v>1170505</v>
      </c>
      <c r="AD28" s="439">
        <f t="shared" si="36"/>
        <v>0</v>
      </c>
      <c r="AE28" s="461">
        <f t="shared" si="19"/>
        <v>6</v>
      </c>
      <c r="AF28" s="462">
        <f t="shared" si="4"/>
        <v>1223</v>
      </c>
      <c r="AG28" s="454">
        <f t="shared" si="32"/>
        <v>203.83333333333334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v>18000</v>
      </c>
      <c r="E29" s="637">
        <f t="shared" si="34"/>
        <v>2000</v>
      </c>
      <c r="F29" s="594">
        <v>4096111</v>
      </c>
      <c r="G29" s="305">
        <f t="shared" ref="G29" si="37">F29-F28</f>
        <v>447</v>
      </c>
      <c r="H29" s="436">
        <v>17976404</v>
      </c>
      <c r="I29" s="305">
        <f t="shared" ref="I29" si="38">H29-H28</f>
        <v>724</v>
      </c>
      <c r="J29" s="436">
        <v>29563324</v>
      </c>
      <c r="K29" s="305">
        <f t="shared" ref="K29" si="39">J29-J28</f>
        <v>2782</v>
      </c>
      <c r="L29" s="436">
        <v>24448582</v>
      </c>
      <c r="M29" s="305">
        <f t="shared" ref="M29" si="40">L29-L28</f>
        <v>1350</v>
      </c>
      <c r="N29" s="304">
        <f t="shared" ref="N29" si="41">M29+K29+I29+G29+E29</f>
        <v>7303</v>
      </c>
      <c r="O29" s="456">
        <f t="shared" ref="O29" si="42">IF(B29&gt;0,N29/B29,0)</f>
        <v>0</v>
      </c>
      <c r="P29" s="585">
        <v>18509.258000000002</v>
      </c>
      <c r="Q29" s="457">
        <f t="shared" ref="Q29" si="43">(P29-P28)*1000</f>
        <v>7274.0000000012515</v>
      </c>
      <c r="R29" s="439">
        <f t="shared" ref="R29" si="44">N29-Q29</f>
        <v>28.999999998748535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v>33363</v>
      </c>
      <c r="X29" s="439">
        <f t="shared" ref="X29" si="47">W29-W28</f>
        <v>5</v>
      </c>
      <c r="Y29" s="436">
        <v>967832</v>
      </c>
      <c r="Z29" s="439">
        <f t="shared" ref="Z29" si="48">Y29-Y28</f>
        <v>1237</v>
      </c>
      <c r="AA29" s="436">
        <f t="shared" si="17"/>
        <v>36796</v>
      </c>
      <c r="AB29" s="439">
        <f t="shared" ref="AB29" si="49">AA29-AA28</f>
        <v>0</v>
      </c>
      <c r="AC29" s="436">
        <f t="shared" si="18"/>
        <v>1170505</v>
      </c>
      <c r="AD29" s="439">
        <f t="shared" ref="AD29" si="50">AC29-AC28</f>
        <v>0</v>
      </c>
      <c r="AE29" s="461">
        <f t="shared" ref="AE29" si="51">AB29+X29+T29</f>
        <v>5</v>
      </c>
      <c r="AF29" s="462">
        <f t="shared" ref="AF29" si="52">V29+Z29+AD29</f>
        <v>1237</v>
      </c>
      <c r="AG29" s="454">
        <f t="shared" si="32"/>
        <v>247.4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5"/>
        <v>18000</v>
      </c>
      <c r="E30" s="637">
        <f t="shared" si="34"/>
        <v>0</v>
      </c>
      <c r="F30" s="594">
        <f t="shared" si="8"/>
        <v>4096111</v>
      </c>
      <c r="G30" s="305">
        <f t="shared" si="20"/>
        <v>0</v>
      </c>
      <c r="H30" s="436">
        <f t="shared" si="9"/>
        <v>17976404</v>
      </c>
      <c r="I30" s="305">
        <f t="shared" si="21"/>
        <v>0</v>
      </c>
      <c r="J30" s="436">
        <f t="shared" si="10"/>
        <v>29563324</v>
      </c>
      <c r="K30" s="305">
        <f t="shared" si="22"/>
        <v>0</v>
      </c>
      <c r="L30" s="436">
        <f t="shared" si="11"/>
        <v>24448582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18509.258000000002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33363</v>
      </c>
      <c r="X30" s="439">
        <f t="shared" si="30"/>
        <v>0</v>
      </c>
      <c r="Y30" s="436">
        <f t="shared" si="16"/>
        <v>967832</v>
      </c>
      <c r="Z30" s="439">
        <f t="shared" si="29"/>
        <v>0</v>
      </c>
      <c r="AA30" s="436">
        <f t="shared" si="17"/>
        <v>36796</v>
      </c>
      <c r="AB30" s="439">
        <f t="shared" si="26"/>
        <v>0</v>
      </c>
      <c r="AC30" s="436">
        <f t="shared" si="18"/>
        <v>1170505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5"/>
        <v>18000</v>
      </c>
      <c r="E31" s="637">
        <f t="shared" si="34"/>
        <v>0</v>
      </c>
      <c r="F31" s="594">
        <f t="shared" si="8"/>
        <v>4096111</v>
      </c>
      <c r="G31" s="305">
        <f t="shared" si="20"/>
        <v>0</v>
      </c>
      <c r="H31" s="436">
        <f t="shared" si="9"/>
        <v>17976404</v>
      </c>
      <c r="I31" s="305">
        <f t="shared" si="21"/>
        <v>0</v>
      </c>
      <c r="J31" s="436">
        <f t="shared" si="10"/>
        <v>29563324</v>
      </c>
      <c r="K31" s="305">
        <f t="shared" si="22"/>
        <v>0</v>
      </c>
      <c r="L31" s="436">
        <f t="shared" si="11"/>
        <v>24448582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18509.258000000002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33363</v>
      </c>
      <c r="X31" s="459">
        <f t="shared" si="30"/>
        <v>0</v>
      </c>
      <c r="Y31" s="436">
        <f t="shared" si="16"/>
        <v>967832</v>
      </c>
      <c r="Z31" s="439">
        <f t="shared" si="29"/>
        <v>0</v>
      </c>
      <c r="AA31" s="436">
        <f t="shared" si="17"/>
        <v>36796</v>
      </c>
      <c r="AB31" s="439">
        <f t="shared" si="26"/>
        <v>0</v>
      </c>
      <c r="AC31" s="436">
        <f t="shared" si="18"/>
        <v>1170505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18000</v>
      </c>
      <c r="E32" s="637">
        <f t="shared" si="34"/>
        <v>0</v>
      </c>
      <c r="F32" s="594">
        <f t="shared" si="8"/>
        <v>4096111</v>
      </c>
      <c r="G32" s="305">
        <f t="shared" si="20"/>
        <v>0</v>
      </c>
      <c r="H32" s="436">
        <f t="shared" si="9"/>
        <v>17976404</v>
      </c>
      <c r="I32" s="305">
        <f t="shared" si="21"/>
        <v>0</v>
      </c>
      <c r="J32" s="436">
        <f t="shared" si="10"/>
        <v>29563324</v>
      </c>
      <c r="K32" s="305">
        <f t="shared" si="22"/>
        <v>0</v>
      </c>
      <c r="L32" s="436">
        <f t="shared" si="11"/>
        <v>24448582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18509.258000000002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33363</v>
      </c>
      <c r="X32" s="459">
        <f>W32-W31</f>
        <v>0</v>
      </c>
      <c r="Y32" s="436">
        <f t="shared" si="16"/>
        <v>967832</v>
      </c>
      <c r="Z32" s="439">
        <f>Y32-Y31</f>
        <v>0</v>
      </c>
      <c r="AA32" s="436">
        <f t="shared" si="17"/>
        <v>36796</v>
      </c>
      <c r="AB32" s="439">
        <f>AA32-AA31</f>
        <v>0</v>
      </c>
      <c r="AC32" s="436">
        <f t="shared" si="18"/>
        <v>1170505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18000</v>
      </c>
      <c r="E33" s="637">
        <f t="shared" si="34"/>
        <v>0</v>
      </c>
      <c r="F33" s="594">
        <f t="shared" si="8"/>
        <v>4096111</v>
      </c>
      <c r="G33" s="305">
        <f t="shared" si="20"/>
        <v>0</v>
      </c>
      <c r="H33" s="436">
        <f t="shared" si="9"/>
        <v>17976404</v>
      </c>
      <c r="I33" s="305">
        <f t="shared" si="21"/>
        <v>0</v>
      </c>
      <c r="J33" s="436">
        <f t="shared" si="10"/>
        <v>29563324</v>
      </c>
      <c r="K33" s="305">
        <f t="shared" si="22"/>
        <v>0</v>
      </c>
      <c r="L33" s="436">
        <f t="shared" si="11"/>
        <v>24448582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18509.258000000002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33363</v>
      </c>
      <c r="X33" s="459">
        <f>W33-W32</f>
        <v>0</v>
      </c>
      <c r="Y33" s="436">
        <f t="shared" si="16"/>
        <v>967832</v>
      </c>
      <c r="Z33" s="439">
        <f>Y33-Y32</f>
        <v>0</v>
      </c>
      <c r="AA33" s="436">
        <f t="shared" si="17"/>
        <v>36796</v>
      </c>
      <c r="AB33" s="439">
        <f>AA33-AA32</f>
        <v>0</v>
      </c>
      <c r="AC33" s="436">
        <f t="shared" si="18"/>
        <v>1170505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18000</v>
      </c>
      <c r="E34" s="637">
        <f t="shared" si="34"/>
        <v>0</v>
      </c>
      <c r="F34" s="594">
        <f t="shared" si="8"/>
        <v>4096111</v>
      </c>
      <c r="G34" s="305">
        <f t="shared" ref="G34" si="53">F34-F33</f>
        <v>0</v>
      </c>
      <c r="H34" s="436">
        <f t="shared" si="9"/>
        <v>17976404</v>
      </c>
      <c r="I34" s="305">
        <f t="shared" ref="I34" si="54">H34-H33</f>
        <v>0</v>
      </c>
      <c r="J34" s="436">
        <f t="shared" si="10"/>
        <v>29563324</v>
      </c>
      <c r="K34" s="305">
        <f t="shared" ref="K34" si="55">J34-J33</f>
        <v>0</v>
      </c>
      <c r="L34" s="436">
        <f t="shared" si="11"/>
        <v>24448582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18509.258000000002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33363</v>
      </c>
      <c r="X34" s="459">
        <f>W34-W33</f>
        <v>0</v>
      </c>
      <c r="Y34" s="436">
        <f t="shared" si="16"/>
        <v>967832</v>
      </c>
      <c r="Z34" s="439">
        <f>Y34-Y33</f>
        <v>0</v>
      </c>
      <c r="AA34" s="436">
        <f t="shared" si="17"/>
        <v>36796</v>
      </c>
      <c r="AB34" s="439">
        <f>AA34-AA33</f>
        <v>0</v>
      </c>
      <c r="AC34" s="436">
        <f t="shared" si="18"/>
        <v>1170505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5" activePane="bottomLeft" state="frozen"/>
      <selection activeCell="K1" sqref="K1"/>
      <selection pane="bottomLeft" activeCell="D30" sqref="D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67.13636363636364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v>126</v>
      </c>
      <c r="C23" s="557">
        <v>133</v>
      </c>
      <c r="D23" s="45">
        <f t="shared" si="49"/>
        <v>7</v>
      </c>
      <c r="E23" s="45">
        <f t="shared" si="14"/>
        <v>58.660000000000004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v>2357</v>
      </c>
      <c r="L23" s="52">
        <f t="shared" si="19"/>
        <v>1</v>
      </c>
      <c r="M23" s="557">
        <v>173988</v>
      </c>
      <c r="N23" s="388">
        <f t="shared" si="2"/>
        <v>73</v>
      </c>
      <c r="O23" s="64">
        <f t="shared" si="48"/>
        <v>1869</v>
      </c>
      <c r="P23" s="557">
        <v>2132</v>
      </c>
      <c r="Q23" s="557">
        <v>178909</v>
      </c>
      <c r="R23" s="387">
        <f t="shared" si="44"/>
        <v>54</v>
      </c>
      <c r="S23" s="52">
        <f t="shared" si="5"/>
        <v>1</v>
      </c>
      <c r="T23" s="67">
        <f t="shared" si="37"/>
        <v>0</v>
      </c>
      <c r="U23" s="394">
        <f t="shared" si="21"/>
        <v>2</v>
      </c>
      <c r="V23" s="62">
        <f t="shared" si="22"/>
        <v>127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127</v>
      </c>
      <c r="AJ23" s="311">
        <f>-tanks!AW24</f>
        <v>127</v>
      </c>
      <c r="AK23" s="311">
        <f>SUM(AJ23-AI23)</f>
        <v>0</v>
      </c>
      <c r="AL23" s="311">
        <f>S23+L23+G23</f>
        <v>2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v>119</v>
      </c>
      <c r="C24" s="557">
        <v>126</v>
      </c>
      <c r="D24" s="45">
        <f t="shared" si="49"/>
        <v>7</v>
      </c>
      <c r="E24" s="45">
        <f t="shared" si="14"/>
        <v>58.660000000000004</v>
      </c>
      <c r="F24" s="557"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2357</v>
      </c>
      <c r="L24" s="52">
        <f t="shared" si="19"/>
        <v>0</v>
      </c>
      <c r="M24" s="557">
        <f t="shared" si="20"/>
        <v>173988</v>
      </c>
      <c r="N24" s="388">
        <f t="shared" si="2"/>
        <v>0</v>
      </c>
      <c r="O24" s="64">
        <f t="shared" si="48"/>
        <v>1869</v>
      </c>
      <c r="P24" s="557">
        <f t="shared" si="45"/>
        <v>2132</v>
      </c>
      <c r="Q24" s="557">
        <f t="shared" si="46"/>
        <v>178909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v>112</v>
      </c>
      <c r="C25" s="557">
        <v>119</v>
      </c>
      <c r="D25" s="45">
        <f t="shared" si="49"/>
        <v>7</v>
      </c>
      <c r="E25" s="45">
        <f t="shared" si="14"/>
        <v>58.660000000000004</v>
      </c>
      <c r="F25" s="557">
        <v>1898</v>
      </c>
      <c r="G25" s="52">
        <f t="shared" si="0"/>
        <v>1</v>
      </c>
      <c r="H25" s="557">
        <v>17745</v>
      </c>
      <c r="I25" s="388">
        <f t="shared" si="1"/>
        <v>126</v>
      </c>
      <c r="J25" s="66">
        <f t="shared" si="17"/>
        <v>126</v>
      </c>
      <c r="K25" s="557">
        <f t="shared" si="18"/>
        <v>2357</v>
      </c>
      <c r="L25" s="52">
        <f t="shared" si="19"/>
        <v>0</v>
      </c>
      <c r="M25" s="557">
        <f t="shared" si="20"/>
        <v>173988</v>
      </c>
      <c r="N25" s="388">
        <f t="shared" si="2"/>
        <v>0</v>
      </c>
      <c r="O25" s="64">
        <f t="shared" si="48"/>
        <v>1869</v>
      </c>
      <c r="P25" s="557">
        <f t="shared" si="45"/>
        <v>2132</v>
      </c>
      <c r="Q25" s="557">
        <f t="shared" si="46"/>
        <v>178909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1</v>
      </c>
      <c r="V25" s="62">
        <f t="shared" si="22"/>
        <v>126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126</v>
      </c>
      <c r="AJ25" s="311">
        <f>-tanks!AW26</f>
        <v>126</v>
      </c>
      <c r="AK25" s="311">
        <f t="shared" si="31"/>
        <v>0</v>
      </c>
      <c r="AL25" s="311">
        <f t="shared" si="8"/>
        <v>1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112</v>
      </c>
      <c r="C26" s="557">
        <f t="shared" si="13"/>
        <v>119</v>
      </c>
      <c r="D26" s="45">
        <f t="shared" si="49"/>
        <v>0</v>
      </c>
      <c r="E26" s="45">
        <f t="shared" si="14"/>
        <v>0</v>
      </c>
      <c r="F26" s="557">
        <f t="shared" si="15"/>
        <v>1898</v>
      </c>
      <c r="G26" s="52">
        <f t="shared" si="0"/>
        <v>0</v>
      </c>
      <c r="H26" s="557">
        <f t="shared" si="16"/>
        <v>17745</v>
      </c>
      <c r="I26" s="388">
        <f t="shared" si="1"/>
        <v>0</v>
      </c>
      <c r="J26" s="66">
        <f t="shared" si="17"/>
        <v>0</v>
      </c>
      <c r="K26" s="557">
        <f t="shared" si="18"/>
        <v>2357</v>
      </c>
      <c r="L26" s="52">
        <f t="shared" si="19"/>
        <v>0</v>
      </c>
      <c r="M26" s="557">
        <f t="shared" si="20"/>
        <v>173988</v>
      </c>
      <c r="N26" s="388">
        <f t="shared" si="2"/>
        <v>0</v>
      </c>
      <c r="O26" s="64">
        <f t="shared" si="48"/>
        <v>1869</v>
      </c>
      <c r="P26" s="557">
        <f t="shared" si="45"/>
        <v>2132</v>
      </c>
      <c r="Q26" s="557">
        <f t="shared" si="46"/>
        <v>178909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112</v>
      </c>
      <c r="C27" s="557">
        <f t="shared" si="13"/>
        <v>119</v>
      </c>
      <c r="D27" s="45">
        <f t="shared" si="49"/>
        <v>0</v>
      </c>
      <c r="E27" s="45">
        <f t="shared" si="14"/>
        <v>0</v>
      </c>
      <c r="F27" s="557">
        <f t="shared" si="15"/>
        <v>1898</v>
      </c>
      <c r="G27" s="52">
        <f t="shared" si="0"/>
        <v>0</v>
      </c>
      <c r="H27" s="557">
        <f t="shared" si="16"/>
        <v>17745</v>
      </c>
      <c r="I27" s="388">
        <f t="shared" si="1"/>
        <v>0</v>
      </c>
      <c r="J27" s="66">
        <f t="shared" si="17"/>
        <v>0</v>
      </c>
      <c r="K27" s="557">
        <f t="shared" si="18"/>
        <v>2357</v>
      </c>
      <c r="L27" s="52">
        <f t="shared" si="19"/>
        <v>0</v>
      </c>
      <c r="M27" s="557">
        <f t="shared" si="20"/>
        <v>173988</v>
      </c>
      <c r="N27" s="388">
        <f t="shared" si="2"/>
        <v>0</v>
      </c>
      <c r="O27" s="64">
        <f t="shared" si="48"/>
        <v>1869</v>
      </c>
      <c r="P27" s="557">
        <f t="shared" si="45"/>
        <v>2132</v>
      </c>
      <c r="Q27" s="557">
        <f t="shared" si="46"/>
        <v>178909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v>144</v>
      </c>
      <c r="C28" s="557">
        <v>151</v>
      </c>
      <c r="D28" s="45">
        <f t="shared" si="49"/>
        <v>-32</v>
      </c>
      <c r="E28" s="45">
        <f t="shared" si="14"/>
        <v>-268.16000000000003</v>
      </c>
      <c r="F28" s="557">
        <v>1899</v>
      </c>
      <c r="G28" s="52">
        <f t="shared" si="0"/>
        <v>1</v>
      </c>
      <c r="H28" s="557">
        <v>17818</v>
      </c>
      <c r="I28" s="388">
        <f t="shared" si="1"/>
        <v>73</v>
      </c>
      <c r="J28" s="66">
        <f t="shared" si="17"/>
        <v>73</v>
      </c>
      <c r="K28" s="557">
        <f t="shared" si="18"/>
        <v>2357</v>
      </c>
      <c r="L28" s="52">
        <f t="shared" si="19"/>
        <v>0</v>
      </c>
      <c r="M28" s="557">
        <f t="shared" si="20"/>
        <v>173988</v>
      </c>
      <c r="N28" s="388">
        <f t="shared" si="2"/>
        <v>0</v>
      </c>
      <c r="O28" s="64">
        <f t="shared" si="48"/>
        <v>1869</v>
      </c>
      <c r="P28" s="557">
        <f t="shared" si="45"/>
        <v>2132</v>
      </c>
      <c r="Q28" s="557">
        <f t="shared" si="46"/>
        <v>178909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1</v>
      </c>
      <c r="V28" s="62">
        <f t="shared" si="22"/>
        <v>73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73</v>
      </c>
      <c r="AJ28" s="311">
        <f>-tanks!AW29</f>
        <v>73</v>
      </c>
      <c r="AK28" s="311">
        <f t="shared" si="31"/>
        <v>0</v>
      </c>
      <c r="AL28" s="311">
        <f t="shared" si="8"/>
        <v>1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v>138</v>
      </c>
      <c r="C29" s="557">
        <v>145</v>
      </c>
      <c r="D29" s="45">
        <f t="shared" si="49"/>
        <v>6</v>
      </c>
      <c r="E29" s="45">
        <f t="shared" si="14"/>
        <v>50.28</v>
      </c>
      <c r="F29" s="557">
        <v>1901</v>
      </c>
      <c r="G29" s="52">
        <f t="shared" si="0"/>
        <v>2</v>
      </c>
      <c r="H29" s="557">
        <v>17909</v>
      </c>
      <c r="I29" s="388">
        <f t="shared" si="1"/>
        <v>91</v>
      </c>
      <c r="J29" s="66">
        <f t="shared" si="17"/>
        <v>45.5</v>
      </c>
      <c r="K29" s="557">
        <f t="shared" si="18"/>
        <v>2357</v>
      </c>
      <c r="L29" s="52">
        <f t="shared" si="19"/>
        <v>0</v>
      </c>
      <c r="M29" s="557">
        <f t="shared" si="20"/>
        <v>173988</v>
      </c>
      <c r="N29" s="388">
        <f t="shared" si="2"/>
        <v>0</v>
      </c>
      <c r="O29" s="64">
        <f t="shared" si="48"/>
        <v>1869</v>
      </c>
      <c r="P29" s="557">
        <f t="shared" si="45"/>
        <v>2132</v>
      </c>
      <c r="Q29" s="557">
        <f t="shared" si="46"/>
        <v>178909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2</v>
      </c>
      <c r="V29" s="62">
        <f t="shared" si="22"/>
        <v>91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91</v>
      </c>
      <c r="AJ29" s="311">
        <f>-tanks!AW30</f>
        <v>91</v>
      </c>
      <c r="AK29" s="311">
        <f t="shared" si="31"/>
        <v>0</v>
      </c>
      <c r="AL29" s="311">
        <f t="shared" si="8"/>
        <v>2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v>129</v>
      </c>
      <c r="C30" s="557">
        <v>136</v>
      </c>
      <c r="D30" s="45">
        <f t="shared" ref="D30" si="54">C29-C30</f>
        <v>9</v>
      </c>
      <c r="E30" s="45">
        <f t="shared" ref="E30" si="55">D30*8.38</f>
        <v>75.42</v>
      </c>
      <c r="F30" s="557">
        <f t="shared" si="15"/>
        <v>1901</v>
      </c>
      <c r="G30" s="52">
        <f t="shared" ref="G30" si="56">F30-F29</f>
        <v>0</v>
      </c>
      <c r="H30" s="557">
        <f t="shared" si="16"/>
        <v>17909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2357</v>
      </c>
      <c r="L30" s="52">
        <f t="shared" ref="L30" si="59">K30-K29</f>
        <v>0</v>
      </c>
      <c r="M30" s="557">
        <f t="shared" si="20"/>
        <v>173988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2132</v>
      </c>
      <c r="Q30" s="557">
        <f t="shared" si="46"/>
        <v>178909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129</v>
      </c>
      <c r="C31" s="557">
        <f t="shared" si="13"/>
        <v>136</v>
      </c>
      <c r="D31" s="45">
        <f t="shared" si="49"/>
        <v>0</v>
      </c>
      <c r="E31" s="45">
        <f t="shared" si="14"/>
        <v>0</v>
      </c>
      <c r="F31" s="557">
        <f t="shared" si="15"/>
        <v>1901</v>
      </c>
      <c r="G31" s="52">
        <f t="shared" si="0"/>
        <v>0</v>
      </c>
      <c r="H31" s="557">
        <f t="shared" si="16"/>
        <v>17909</v>
      </c>
      <c r="I31" s="388">
        <f t="shared" si="1"/>
        <v>0</v>
      </c>
      <c r="J31" s="66">
        <f t="shared" si="17"/>
        <v>0</v>
      </c>
      <c r="K31" s="557">
        <f t="shared" si="18"/>
        <v>2357</v>
      </c>
      <c r="L31" s="52">
        <f t="shared" si="19"/>
        <v>0</v>
      </c>
      <c r="M31" s="557">
        <f t="shared" si="20"/>
        <v>173988</v>
      </c>
      <c r="N31" s="388">
        <f t="shared" si="2"/>
        <v>0</v>
      </c>
      <c r="O31" s="64">
        <f t="shared" si="48"/>
        <v>1869</v>
      </c>
      <c r="P31" s="557">
        <f t="shared" si="45"/>
        <v>2132</v>
      </c>
      <c r="Q31" s="557">
        <f t="shared" si="46"/>
        <v>178909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129</v>
      </c>
      <c r="C32" s="557">
        <f t="shared" si="13"/>
        <v>136</v>
      </c>
      <c r="D32" s="45">
        <f t="shared" si="49"/>
        <v>0</v>
      </c>
      <c r="E32" s="45">
        <f t="shared" si="14"/>
        <v>0</v>
      </c>
      <c r="F32" s="557">
        <f t="shared" si="15"/>
        <v>1901</v>
      </c>
      <c r="G32" s="52">
        <f t="shared" si="0"/>
        <v>0</v>
      </c>
      <c r="H32" s="557">
        <f t="shared" si="16"/>
        <v>17909</v>
      </c>
      <c r="I32" s="388">
        <f t="shared" si="1"/>
        <v>0</v>
      </c>
      <c r="J32" s="66">
        <f t="shared" si="17"/>
        <v>0</v>
      </c>
      <c r="K32" s="557">
        <f t="shared" si="18"/>
        <v>2357</v>
      </c>
      <c r="L32" s="52">
        <f t="shared" si="19"/>
        <v>0</v>
      </c>
      <c r="M32" s="557">
        <f t="shared" si="20"/>
        <v>173988</v>
      </c>
      <c r="N32" s="388">
        <f t="shared" si="2"/>
        <v>0</v>
      </c>
      <c r="O32" s="64">
        <f t="shared" si="48"/>
        <v>1869</v>
      </c>
      <c r="P32" s="557">
        <f t="shared" si="45"/>
        <v>2132</v>
      </c>
      <c r="Q32" s="557">
        <f t="shared" si="46"/>
        <v>178909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129</v>
      </c>
      <c r="C33" s="557">
        <f t="shared" si="13"/>
        <v>136</v>
      </c>
      <c r="D33" s="45">
        <f>C32-C33</f>
        <v>0</v>
      </c>
      <c r="E33" s="45">
        <f>D33*8.38</f>
        <v>0</v>
      </c>
      <c r="F33" s="557">
        <f t="shared" si="15"/>
        <v>1901</v>
      </c>
      <c r="G33" s="52">
        <f>F33-F32</f>
        <v>0</v>
      </c>
      <c r="H33" s="557">
        <f t="shared" si="16"/>
        <v>17909</v>
      </c>
      <c r="I33" s="388">
        <f>SUM(H33-H32)</f>
        <v>0</v>
      </c>
      <c r="J33" s="66">
        <f>IF(G33&gt;0,I33/G33,0)</f>
        <v>0</v>
      </c>
      <c r="K33" s="557">
        <f t="shared" si="18"/>
        <v>2357</v>
      </c>
      <c r="L33" s="52">
        <f>K33-K32</f>
        <v>0</v>
      </c>
      <c r="M33" s="557">
        <f t="shared" si="20"/>
        <v>173988</v>
      </c>
      <c r="N33" s="388">
        <f>M33-M32</f>
        <v>0</v>
      </c>
      <c r="O33" s="64">
        <f t="shared" si="48"/>
        <v>1869</v>
      </c>
      <c r="P33" s="557">
        <f t="shared" si="45"/>
        <v>2132</v>
      </c>
      <c r="Q33" s="557">
        <f t="shared" si="46"/>
        <v>178909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129</v>
      </c>
      <c r="C34" s="557">
        <f t="shared" si="13"/>
        <v>136</v>
      </c>
      <c r="D34" s="45">
        <f>C33-C34</f>
        <v>0</v>
      </c>
      <c r="E34" s="45">
        <f>D34*8.38</f>
        <v>0</v>
      </c>
      <c r="F34" s="557">
        <f t="shared" si="15"/>
        <v>1901</v>
      </c>
      <c r="G34" s="52">
        <f>F34-F33</f>
        <v>0</v>
      </c>
      <c r="H34" s="557">
        <f t="shared" si="16"/>
        <v>17909</v>
      </c>
      <c r="I34" s="388">
        <f>SUM(H34-H33)</f>
        <v>0</v>
      </c>
      <c r="J34" s="66">
        <f>IF(G34&gt;0,I34/G34,0)</f>
        <v>0</v>
      </c>
      <c r="K34" s="557">
        <f t="shared" si="18"/>
        <v>2357</v>
      </c>
      <c r="L34" s="52">
        <f>K34-K33</f>
        <v>0</v>
      </c>
      <c r="M34" s="557">
        <f t="shared" si="20"/>
        <v>173988</v>
      </c>
      <c r="N34" s="388">
        <f>M34-M33</f>
        <v>0</v>
      </c>
      <c r="O34" s="64">
        <f t="shared" si="48"/>
        <v>1869</v>
      </c>
      <c r="P34" s="557">
        <f t="shared" si="45"/>
        <v>2132</v>
      </c>
      <c r="Q34" s="557">
        <f t="shared" si="46"/>
        <v>178909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129</v>
      </c>
      <c r="C35" s="557">
        <f t="shared" si="13"/>
        <v>136</v>
      </c>
      <c r="D35" s="45">
        <f>C34-C35</f>
        <v>0</v>
      </c>
      <c r="E35" s="45">
        <f>D35*8.38</f>
        <v>0</v>
      </c>
      <c r="F35" s="557">
        <f t="shared" si="15"/>
        <v>1901</v>
      </c>
      <c r="G35" s="52">
        <f>F35-F34</f>
        <v>0</v>
      </c>
      <c r="H35" s="557">
        <f t="shared" si="16"/>
        <v>17909</v>
      </c>
      <c r="I35" s="388">
        <f>SUM(H35-H34)</f>
        <v>0</v>
      </c>
      <c r="J35" s="66">
        <f>IF(G35&gt;0,I35/G35,0)</f>
        <v>0</v>
      </c>
      <c r="K35" s="557">
        <f t="shared" si="18"/>
        <v>2357</v>
      </c>
      <c r="L35" s="52">
        <f>K35-K34</f>
        <v>0</v>
      </c>
      <c r="M35" s="557">
        <f t="shared" si="20"/>
        <v>173988</v>
      </c>
      <c r="N35" s="388">
        <f>M35-M34</f>
        <v>0</v>
      </c>
      <c r="O35" s="64">
        <f t="shared" si="48"/>
        <v>1869</v>
      </c>
      <c r="P35" s="557">
        <f t="shared" si="45"/>
        <v>2132</v>
      </c>
      <c r="Q35" s="557">
        <f t="shared" si="46"/>
        <v>178909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67.13636363636364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15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1076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31" activePane="bottomLeft" state="frozen"/>
      <selection pane="bottomLeft" activeCell="D33" sqref="D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8125550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v>625047</v>
      </c>
      <c r="H24" s="5">
        <f t="shared" si="10"/>
        <v>68</v>
      </c>
      <c r="I24" s="5">
        <f t="shared" si="11"/>
        <v>68</v>
      </c>
      <c r="J24" s="327">
        <f t="shared" si="0"/>
        <v>3.5578747628083494</v>
      </c>
      <c r="K24" s="5">
        <f>'Swimming Pool quality check '!H24</f>
        <v>6899</v>
      </c>
      <c r="L24" s="269">
        <f t="shared" si="41"/>
        <v>1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v>153898</v>
      </c>
      <c r="Y24" s="317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82</v>
      </c>
      <c r="AL24" s="320">
        <f t="shared" si="28"/>
        <v>0</v>
      </c>
      <c r="AM24" s="320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v>87</v>
      </c>
      <c r="AU24" s="417">
        <f t="shared" si="43"/>
        <v>1.1000000000000001</v>
      </c>
      <c r="AV24" s="201">
        <v>149</v>
      </c>
      <c r="AW24" s="5">
        <v>2.9</v>
      </c>
      <c r="AX24" s="201">
        <v>110</v>
      </c>
      <c r="AY24" s="418">
        <f t="shared" si="33"/>
        <v>78.3</v>
      </c>
      <c r="AZ24" s="418">
        <f t="shared" si="34"/>
        <v>163.9</v>
      </c>
      <c r="BA24" s="418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6899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153898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87</v>
      </c>
      <c r="AU25" s="417">
        <f t="shared" si="43"/>
        <v>1.1000000000000001</v>
      </c>
      <c r="AV25" s="201">
        <v>156</v>
      </c>
      <c r="AW25" s="5">
        <v>2.9</v>
      </c>
      <c r="AX25" s="201">
        <v>106</v>
      </c>
      <c r="AY25" s="418">
        <f t="shared" si="33"/>
        <v>78.3</v>
      </c>
      <c r="AZ25" s="418">
        <f t="shared" si="34"/>
        <v>171.60000000000002</v>
      </c>
      <c r="BA25" s="418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625047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6902</v>
      </c>
      <c r="L26" s="269">
        <f t="shared" si="41"/>
        <v>3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153898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-3</v>
      </c>
      <c r="AL26" s="320">
        <f>SUM(AJ26-W26)</f>
        <v>0</v>
      </c>
      <c r="AM26" s="320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v>87</v>
      </c>
      <c r="AU26" s="417">
        <f t="shared" si="43"/>
        <v>1.1000000000000001</v>
      </c>
      <c r="AV26" s="201">
        <v>156</v>
      </c>
      <c r="AW26" s="5">
        <v>2.9</v>
      </c>
      <c r="AX26" s="201">
        <v>102</v>
      </c>
      <c r="AY26" s="418">
        <f t="shared" si="33"/>
        <v>78.3</v>
      </c>
      <c r="AZ26" s="418">
        <f t="shared" si="34"/>
        <v>171.60000000000002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6902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153898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87</v>
      </c>
      <c r="AU27" s="417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8">
        <f t="shared" si="33"/>
        <v>78.3</v>
      </c>
      <c r="AZ27" s="418">
        <f t="shared" si="34"/>
        <v>171.60000000000002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6902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153898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87</v>
      </c>
      <c r="AU28" s="417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8">
        <f t="shared" si="33"/>
        <v>78.3</v>
      </c>
      <c r="AZ28" s="418">
        <f t="shared" si="34"/>
        <v>171.60000000000002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6903</v>
      </c>
      <c r="L29" s="269">
        <f t="shared" si="41"/>
        <v>1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153898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-1</v>
      </c>
      <c r="AL29" s="320">
        <f t="shared" si="28"/>
        <v>0</v>
      </c>
      <c r="AM29" s="320">
        <f>'General information '!D28</f>
        <v>23.5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87</v>
      </c>
      <c r="AU29" s="417">
        <f t="shared" si="43"/>
        <v>1.1000000000000001</v>
      </c>
      <c r="AV29" s="201">
        <v>144</v>
      </c>
      <c r="AW29" s="5">
        <v>2.9</v>
      </c>
      <c r="AX29" s="201">
        <v>98</v>
      </c>
      <c r="AY29" s="418">
        <f t="shared" si="33"/>
        <v>78.3</v>
      </c>
      <c r="AZ29" s="418">
        <f t="shared" si="34"/>
        <v>158.4</v>
      </c>
      <c r="BA29" s="418">
        <f t="shared" si="35"/>
        <v>284.2</v>
      </c>
      <c r="BB29" s="21">
        <f t="shared" si="36"/>
        <v>0</v>
      </c>
      <c r="BC29" s="21">
        <f t="shared" si="36"/>
        <v>-13.200000000000017</v>
      </c>
      <c r="BD29" s="21">
        <f t="shared" si="36"/>
        <v>-11.600000000000023</v>
      </c>
      <c r="BE29" s="24">
        <f t="shared" si="38"/>
        <v>-24.80000000000004</v>
      </c>
      <c r="BF29" s="96">
        <f t="shared" si="4"/>
        <v>24.80000000000004</v>
      </c>
      <c r="BG29" s="82">
        <f t="shared" si="5"/>
        <v>-24.80000000000004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6905</v>
      </c>
      <c r="L30" s="269">
        <f t="shared" si="41"/>
        <v>2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153898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-2</v>
      </c>
      <c r="AL30" s="320">
        <f t="shared" si="28"/>
        <v>0</v>
      </c>
      <c r="AM30" s="320">
        <f>'General information '!D29</f>
        <v>23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87</v>
      </c>
      <c r="AU30" s="417">
        <f t="shared" si="43"/>
        <v>1.1000000000000001</v>
      </c>
      <c r="AV30" s="201">
        <f t="shared" si="31"/>
        <v>144</v>
      </c>
      <c r="AW30" s="5">
        <v>2.9</v>
      </c>
      <c r="AX30" s="201">
        <v>95</v>
      </c>
      <c r="AY30" s="418">
        <f t="shared" si="33"/>
        <v>78.3</v>
      </c>
      <c r="AZ30" s="418">
        <f t="shared" si="34"/>
        <v>158.4</v>
      </c>
      <c r="BA30" s="418">
        <f t="shared" si="35"/>
        <v>275.5</v>
      </c>
      <c r="BB30" s="21">
        <f t="shared" si="36"/>
        <v>0</v>
      </c>
      <c r="BC30" s="21">
        <f t="shared" si="36"/>
        <v>0</v>
      </c>
      <c r="BD30" s="21">
        <f t="shared" si="36"/>
        <v>-8.6999999999999886</v>
      </c>
      <c r="BE30" s="24">
        <f t="shared" si="38"/>
        <v>-8.6999999999999886</v>
      </c>
      <c r="BF30" s="96">
        <f t="shared" si="4"/>
        <v>8.6999999999999886</v>
      </c>
      <c r="BG30" s="82">
        <f t="shared" si="5"/>
        <v>-8.6999999999999886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v>625114</v>
      </c>
      <c r="H31" s="5">
        <f t="shared" si="10"/>
        <v>67</v>
      </c>
      <c r="I31" s="5">
        <f t="shared" si="11"/>
        <v>67</v>
      </c>
      <c r="J31" s="327">
        <f t="shared" si="0"/>
        <v>3.6109773712084738</v>
      </c>
      <c r="K31" s="5">
        <f>'Swimming Pool quality check '!H31</f>
        <v>6906</v>
      </c>
      <c r="L31" s="269">
        <f t="shared" si="41"/>
        <v>1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153898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-1</v>
      </c>
      <c r="AL31" s="320">
        <f t="shared" si="28"/>
        <v>0</v>
      </c>
      <c r="AM31" s="320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v>117</v>
      </c>
      <c r="AU31" s="417">
        <f t="shared" si="43"/>
        <v>1.1000000000000001</v>
      </c>
      <c r="AV31" s="201">
        <v>143</v>
      </c>
      <c r="AW31" s="5">
        <v>2.9</v>
      </c>
      <c r="AX31" s="201">
        <v>92</v>
      </c>
      <c r="AY31" s="418">
        <f t="shared" si="33"/>
        <v>105.3</v>
      </c>
      <c r="AZ31" s="418">
        <f>AU31*AV31</f>
        <v>157.30000000000001</v>
      </c>
      <c r="BA31" s="418">
        <f t="shared" si="35"/>
        <v>266.8</v>
      </c>
      <c r="BB31" s="21">
        <f t="shared" si="36"/>
        <v>27</v>
      </c>
      <c r="BC31" s="21">
        <f t="shared" si="36"/>
        <v>-1.0999999999999943</v>
      </c>
      <c r="BD31" s="21">
        <f t="shared" si="36"/>
        <v>-8.6999999999999886</v>
      </c>
      <c r="BE31" s="24">
        <f t="shared" si="38"/>
        <v>17.200000000000017</v>
      </c>
      <c r="BF31" s="96">
        <f t="shared" si="4"/>
        <v>49.799999999999983</v>
      </c>
      <c r="BG31" s="82">
        <f t="shared" si="5"/>
        <v>17.200000000000017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625114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6906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153898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117</v>
      </c>
      <c r="AU32" s="417">
        <f t="shared" si="43"/>
        <v>1.1000000000000001</v>
      </c>
      <c r="AV32" s="201">
        <f t="shared" si="31"/>
        <v>143</v>
      </c>
      <c r="AW32" s="5">
        <v>2.9</v>
      </c>
      <c r="AX32" s="201">
        <f t="shared" si="32"/>
        <v>92</v>
      </c>
      <c r="AY32" s="418">
        <f t="shared" si="33"/>
        <v>105.3</v>
      </c>
      <c r="AZ32" s="418">
        <f t="shared" si="34"/>
        <v>157.30000000000001</v>
      </c>
      <c r="BA32" s="418">
        <f t="shared" si="35"/>
        <v>266.8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625114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6906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153898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117</v>
      </c>
      <c r="AU33" s="417">
        <f t="shared" si="43"/>
        <v>1.1000000000000001</v>
      </c>
      <c r="AV33" s="201">
        <f t="shared" si="31"/>
        <v>143</v>
      </c>
      <c r="AW33" s="5">
        <v>2.9</v>
      </c>
      <c r="AX33" s="201">
        <f t="shared" si="32"/>
        <v>92</v>
      </c>
      <c r="AY33" s="418">
        <f t="shared" si="33"/>
        <v>105.3</v>
      </c>
      <c r="AZ33" s="418">
        <f t="shared" si="34"/>
        <v>157.30000000000001</v>
      </c>
      <c r="BA33" s="418">
        <f t="shared" si="35"/>
        <v>266.8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625114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6906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153898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117</v>
      </c>
      <c r="AU34" s="417">
        <f>AU33</f>
        <v>1.1000000000000001</v>
      </c>
      <c r="AV34" s="201">
        <f t="shared" si="31"/>
        <v>143</v>
      </c>
      <c r="AW34" s="5">
        <v>2.9</v>
      </c>
      <c r="AX34" s="201">
        <f t="shared" si="32"/>
        <v>92</v>
      </c>
      <c r="AY34" s="418">
        <f t="shared" si="33"/>
        <v>105.3</v>
      </c>
      <c r="AZ34" s="418">
        <f>AU34*AV34</f>
        <v>157.30000000000001</v>
      </c>
      <c r="BA34" s="418">
        <f>AW34*AX34</f>
        <v>266.8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625114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6906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153898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117</v>
      </c>
      <c r="AU35" s="417">
        <f>AU34</f>
        <v>1.1000000000000001</v>
      </c>
      <c r="AV35" s="201">
        <f t="shared" si="31"/>
        <v>143</v>
      </c>
      <c r="AW35" s="5">
        <v>2.9</v>
      </c>
      <c r="AX35" s="201">
        <f t="shared" si="32"/>
        <v>92</v>
      </c>
      <c r="AY35" s="418">
        <f t="shared" si="33"/>
        <v>105.3</v>
      </c>
      <c r="AZ35" s="418">
        <f>AU35*AV35</f>
        <v>157.30000000000001</v>
      </c>
      <c r="BA35" s="418">
        <f>AW35*AX35</f>
        <v>266.8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625114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6906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153898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117</v>
      </c>
      <c r="AU36" s="417">
        <f>AU35</f>
        <v>1.1000000000000001</v>
      </c>
      <c r="AV36" s="201">
        <f t="shared" si="31"/>
        <v>143</v>
      </c>
      <c r="AW36" s="5">
        <v>2.9</v>
      </c>
      <c r="AX36" s="201">
        <f t="shared" si="32"/>
        <v>92</v>
      </c>
      <c r="AY36" s="418">
        <f t="shared" ref="AY36" si="53">AS36*AT36</f>
        <v>105.3</v>
      </c>
      <c r="AZ36" s="418">
        <f>AU36*AV36</f>
        <v>157.30000000000001</v>
      </c>
      <c r="BA36" s="418">
        <f>AW36*AX36</f>
        <v>266.8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391</v>
      </c>
      <c r="I37" s="404">
        <f>SUM(I6:I36)</f>
        <v>391</v>
      </c>
      <c r="L37" s="264">
        <f>SUM(L7:L36)</f>
        <v>22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-22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391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391</v>
      </c>
      <c r="H39" s="1">
        <f>SUM(H38+C38)</f>
        <v>7500</v>
      </c>
      <c r="K39" s="1">
        <f>SUM(H39/G39)</f>
        <v>19.181585677749361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D1" zoomScale="70" zoomScaleNormal="70" workbookViewId="0">
      <pane ySplit="1" topLeftCell="A20" activePane="bottomLeft" state="frozen"/>
      <selection pane="bottomLeft" activeCell="S28" sqref="S2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v>11028</v>
      </c>
      <c r="C21" s="282">
        <f>B21-B20</f>
        <v>11</v>
      </c>
      <c r="D21" s="520">
        <v>531527</v>
      </c>
      <c r="E21" s="282">
        <f t="shared" si="12"/>
        <v>1851</v>
      </c>
      <c r="F21" s="282">
        <f t="shared" si="0"/>
        <v>168.27272727272728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11</v>
      </c>
      <c r="AA21" s="282">
        <f t="shared" si="22"/>
        <v>1851</v>
      </c>
      <c r="AB21" s="282">
        <f t="shared" si="23"/>
        <v>418.27272727272725</v>
      </c>
      <c r="AC21" s="282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5">
        <f t="shared" si="27"/>
        <v>0.37801136363627436</v>
      </c>
      <c r="AG21" s="396">
        <f t="shared" si="28"/>
        <v>120.96363636360779</v>
      </c>
      <c r="AH21" s="396">
        <f t="shared" si="25"/>
        <v>47.30909090911949</v>
      </c>
      <c r="AI21" s="73">
        <f t="shared" si="29"/>
        <v>1712.375527425756</v>
      </c>
      <c r="AJ21" s="284">
        <f t="shared" si="7"/>
        <v>0.25738396624472576</v>
      </c>
      <c r="AK21" s="284">
        <f t="shared" si="8"/>
        <v>155.67050249325055</v>
      </c>
    </row>
    <row r="22" spans="1:37" ht="16.5" thickBot="1">
      <c r="A22" s="4">
        <f>ELEC!C23</f>
        <v>44489</v>
      </c>
      <c r="B22" s="519">
        <v>11038</v>
      </c>
      <c r="C22" s="282">
        <f t="shared" si="10"/>
        <v>10</v>
      </c>
      <c r="D22" s="520">
        <v>532514</v>
      </c>
      <c r="E22" s="282">
        <f>150*C22</f>
        <v>1500</v>
      </c>
      <c r="F22" s="282">
        <f t="shared" si="0"/>
        <v>150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10</v>
      </c>
      <c r="AA22" s="282">
        <f t="shared" si="22"/>
        <v>1500</v>
      </c>
      <c r="AB22" s="282">
        <f t="shared" si="23"/>
        <v>400</v>
      </c>
      <c r="AC22" s="282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5">
        <f t="shared" si="27"/>
        <v>0.37274999999999636</v>
      </c>
      <c r="AG22" s="396">
        <f t="shared" si="28"/>
        <v>119.27999999999884</v>
      </c>
      <c r="AH22" s="396">
        <f t="shared" si="25"/>
        <v>30.720000000001164</v>
      </c>
      <c r="AI22" s="73">
        <f t="shared" si="29"/>
        <v>1535.0379746835295</v>
      </c>
      <c r="AJ22" s="284">
        <f t="shared" si="7"/>
        <v>0.25738396624472576</v>
      </c>
      <c r="AK22" s="284">
        <f t="shared" si="8"/>
        <v>153.50379746835296</v>
      </c>
    </row>
    <row r="23" spans="1:37" ht="16.5" thickBot="1">
      <c r="A23" s="4">
        <f>ELEC!C24</f>
        <v>44490</v>
      </c>
      <c r="B23" s="519">
        <v>11045</v>
      </c>
      <c r="C23" s="282">
        <f t="shared" si="10"/>
        <v>7</v>
      </c>
      <c r="D23" s="520">
        <v>532516</v>
      </c>
      <c r="E23" s="282">
        <f>150*C23</f>
        <v>1050</v>
      </c>
      <c r="F23" s="282">
        <f t="shared" si="0"/>
        <v>150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v>13177</v>
      </c>
      <c r="S23" s="282">
        <f>R23-R22</f>
        <v>4</v>
      </c>
      <c r="T23" s="520">
        <f t="shared" si="20"/>
        <v>233744</v>
      </c>
      <c r="U23" s="282">
        <f>V23*S23</f>
        <v>1000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11</v>
      </c>
      <c r="AA23" s="282">
        <f t="shared" si="22"/>
        <v>2050</v>
      </c>
      <c r="AB23" s="282">
        <f t="shared" si="23"/>
        <v>400</v>
      </c>
      <c r="AC23" s="282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5">
        <f t="shared" si="27"/>
        <v>0.36375000000010582</v>
      </c>
      <c r="AG23" s="396">
        <f t="shared" si="28"/>
        <v>116.40000000003386</v>
      </c>
      <c r="AH23" s="396">
        <f t="shared" si="25"/>
        <v>69.963636363602518</v>
      </c>
      <c r="AI23" s="73">
        <f t="shared" si="29"/>
        <v>1647.7721518992137</v>
      </c>
      <c r="AJ23" s="284">
        <f t="shared" si="7"/>
        <v>0.25738396624472576</v>
      </c>
      <c r="AK23" s="284">
        <f t="shared" si="8"/>
        <v>149.79746835447398</v>
      </c>
    </row>
    <row r="24" spans="1:37" ht="16.5" thickBot="1">
      <c r="A24" s="4">
        <f>ELEC!C25</f>
        <v>44491</v>
      </c>
      <c r="B24" s="519">
        <f t="shared" si="9"/>
        <v>11045</v>
      </c>
      <c r="C24" s="282">
        <f t="shared" si="10"/>
        <v>0</v>
      </c>
      <c r="D24" s="520">
        <f t="shared" si="11"/>
        <v>532516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13177</v>
      </c>
      <c r="S24" s="282">
        <f t="shared" si="4"/>
        <v>0</v>
      </c>
      <c r="T24" s="520">
        <f t="shared" si="20"/>
        <v>233744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11045</v>
      </c>
      <c r="C25" s="282">
        <f t="shared" si="10"/>
        <v>0</v>
      </c>
      <c r="D25" s="520">
        <f t="shared" si="11"/>
        <v>532516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13177</v>
      </c>
      <c r="S25" s="282">
        <f t="shared" si="4"/>
        <v>0</v>
      </c>
      <c r="T25" s="520">
        <f t="shared" si="20"/>
        <v>233744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v>11046</v>
      </c>
      <c r="C26" s="282">
        <f>B26-B25</f>
        <v>1</v>
      </c>
      <c r="D26" s="520">
        <f t="shared" si="11"/>
        <v>532516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v>13185</v>
      </c>
      <c r="S26" s="282">
        <f t="shared" ref="S26" si="33">R26-R25</f>
        <v>8</v>
      </c>
      <c r="T26" s="520">
        <f t="shared" si="20"/>
        <v>235744</v>
      </c>
      <c r="U26" s="282">
        <f t="shared" si="21"/>
        <v>2000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9</v>
      </c>
      <c r="AA26" s="282">
        <f t="shared" si="22"/>
        <v>2000</v>
      </c>
      <c r="AB26" s="282">
        <f t="shared" si="23"/>
        <v>250</v>
      </c>
      <c r="AC26" s="282">
        <f t="shared" si="24"/>
        <v>222.22222222222223</v>
      </c>
      <c r="AD26" s="73">
        <f>ELEC!Q27</f>
        <v>5398.9999999976135</v>
      </c>
      <c r="AE26" s="73">
        <f t="shared" si="26"/>
        <v>599.88888888862368</v>
      </c>
      <c r="AF26" s="395">
        <f t="shared" si="27"/>
        <v>0.37493055555538979</v>
      </c>
      <c r="AG26" s="396">
        <f t="shared" si="28"/>
        <v>119.97777777772473</v>
      </c>
      <c r="AH26" s="396">
        <f t="shared" si="25"/>
        <v>102.2444444444975</v>
      </c>
      <c r="AI26" s="73">
        <f t="shared" si="29"/>
        <v>1389.6160337546601</v>
      </c>
      <c r="AJ26" s="284">
        <f t="shared" si="7"/>
        <v>0.25738396624472576</v>
      </c>
      <c r="AK26" s="284">
        <f t="shared" si="8"/>
        <v>154.40178152829557</v>
      </c>
    </row>
    <row r="27" spans="1:37" ht="16.5" thickBot="1">
      <c r="A27" s="4">
        <f>ELEC!C28</f>
        <v>44494</v>
      </c>
      <c r="B27" s="519">
        <v>11057</v>
      </c>
      <c r="C27" s="282">
        <f>B27-B26</f>
        <v>11</v>
      </c>
      <c r="D27" s="520">
        <f t="shared" si="11"/>
        <v>532516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oil change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13185</v>
      </c>
      <c r="S27" s="282">
        <f t="shared" si="4"/>
        <v>0</v>
      </c>
      <c r="T27" s="520">
        <f t="shared" si="20"/>
        <v>235744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11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6099.0000000019791</v>
      </c>
      <c r="AE27" s="73">
        <f t="shared" si="26"/>
        <v>554.45454545472535</v>
      </c>
      <c r="AF27" s="395">
        <f t="shared" si="27"/>
        <v>0.34653409090920334</v>
      </c>
      <c r="AG27" s="396">
        <f t="shared" si="28"/>
        <v>110.89090909094507</v>
      </c>
      <c r="AH27" s="396">
        <f t="shared" si="25"/>
        <v>-110.89090909094507</v>
      </c>
      <c r="AI27" s="73">
        <f t="shared" si="29"/>
        <v>1569.7848101270918</v>
      </c>
      <c r="AJ27" s="284">
        <f t="shared" si="7"/>
        <v>0.25738396624472576</v>
      </c>
      <c r="AK27" s="284">
        <f t="shared" si="8"/>
        <v>142.70771001155379</v>
      </c>
    </row>
    <row r="28" spans="1:37" ht="16.5" thickBot="1">
      <c r="A28" s="4">
        <f>ELEC!C29</f>
        <v>44495</v>
      </c>
      <c r="B28" s="519">
        <v>11061</v>
      </c>
      <c r="C28" s="282">
        <f t="shared" si="10"/>
        <v>4</v>
      </c>
      <c r="D28" s="520">
        <f t="shared" si="11"/>
        <v>532516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oil change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v>13194</v>
      </c>
      <c r="S28" s="282">
        <f t="shared" si="4"/>
        <v>9</v>
      </c>
      <c r="T28" s="520">
        <f t="shared" si="20"/>
        <v>237994</v>
      </c>
      <c r="U28" s="282">
        <f t="shared" si="21"/>
        <v>2250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13</v>
      </c>
      <c r="AA28" s="282">
        <f t="shared" si="22"/>
        <v>2250</v>
      </c>
      <c r="AB28" s="282">
        <f t="shared" si="23"/>
        <v>250</v>
      </c>
      <c r="AC28" s="282">
        <f t="shared" si="24"/>
        <v>173.07692307692307</v>
      </c>
      <c r="AD28" s="73">
        <f>ELEC!Q29</f>
        <v>7274.0000000012515</v>
      </c>
      <c r="AE28" s="73">
        <f t="shared" si="26"/>
        <v>559.53846153855784</v>
      </c>
      <c r="AF28" s="395">
        <f t="shared" si="27"/>
        <v>0.34971153846159864</v>
      </c>
      <c r="AG28" s="396">
        <f t="shared" si="28"/>
        <v>111.90769230771156</v>
      </c>
      <c r="AH28" s="396">
        <f t="shared" si="25"/>
        <v>61.169230769211509</v>
      </c>
      <c r="AI28" s="73">
        <f t="shared" si="29"/>
        <v>1872.2109704644572</v>
      </c>
      <c r="AJ28" s="284">
        <f t="shared" si="7"/>
        <v>0.25738396624472576</v>
      </c>
      <c r="AK28" s="284">
        <f t="shared" si="8"/>
        <v>144.01622849726593</v>
      </c>
    </row>
    <row r="29" spans="1:37" ht="16.5" thickBot="1">
      <c r="A29" s="4">
        <f>ELEC!C30</f>
        <v>44496</v>
      </c>
      <c r="B29" s="519">
        <f t="shared" si="9"/>
        <v>11061</v>
      </c>
      <c r="C29" s="282">
        <f t="shared" si="10"/>
        <v>0</v>
      </c>
      <c r="D29" s="520">
        <f t="shared" si="11"/>
        <v>532516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oil change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13194</v>
      </c>
      <c r="S29" s="282">
        <f t="shared" si="4"/>
        <v>0</v>
      </c>
      <c r="T29" s="520">
        <f t="shared" si="20"/>
        <v>237994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11061</v>
      </c>
      <c r="C30" s="282">
        <f t="shared" si="10"/>
        <v>0</v>
      </c>
      <c r="D30" s="520">
        <f t="shared" si="11"/>
        <v>532516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oil change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13194</v>
      </c>
      <c r="S30" s="282">
        <f t="shared" si="4"/>
        <v>0</v>
      </c>
      <c r="T30" s="520">
        <f t="shared" si="20"/>
        <v>237994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11061</v>
      </c>
      <c r="C31" s="282">
        <f>B31-B30</f>
        <v>0</v>
      </c>
      <c r="D31" s="520">
        <f t="shared" si="11"/>
        <v>532516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oil change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13194</v>
      </c>
      <c r="S31" s="282">
        <f>R31-R30</f>
        <v>0</v>
      </c>
      <c r="T31" s="520">
        <f t="shared" si="20"/>
        <v>237994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11061</v>
      </c>
      <c r="C32" s="282">
        <f>B32-B31</f>
        <v>0</v>
      </c>
      <c r="D32" s="520">
        <f t="shared" si="11"/>
        <v>532516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oil change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13194</v>
      </c>
      <c r="S32" s="282">
        <f>R32-R31</f>
        <v>0</v>
      </c>
      <c r="T32" s="520">
        <f t="shared" si="20"/>
        <v>237994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11061</v>
      </c>
      <c r="C33" s="282">
        <f>B33-B32</f>
        <v>0</v>
      </c>
      <c r="D33" s="520">
        <f t="shared" si="11"/>
        <v>532516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oil change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13194</v>
      </c>
      <c r="S33" s="282">
        <f>R33-R32</f>
        <v>0</v>
      </c>
      <c r="T33" s="520">
        <f t="shared" si="20"/>
        <v>237994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159</v>
      </c>
      <c r="V34" s="40"/>
      <c r="X34">
        <v>341</v>
      </c>
      <c r="Z34" s="413">
        <f>SUM(Z3:Z33)</f>
        <v>159</v>
      </c>
    </row>
    <row r="35" spans="1:37">
      <c r="C35" s="40">
        <f>SUM(C3:C33)</f>
        <v>96</v>
      </c>
      <c r="K35" s="40">
        <f>SUM(K3:K33)</f>
        <v>0</v>
      </c>
      <c r="S35" s="40">
        <f>SUM(S3:S33)</f>
        <v>63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4" zoomScale="85" zoomScaleNormal="85" workbookViewId="0">
      <pane xSplit="1" topLeftCell="AL1" activePane="topRight" state="frozen"/>
      <selection pane="topRight" activeCell="A41" sqref="A4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8"/>
      <c r="AU24" s="570"/>
      <c r="AV24" s="500">
        <f t="shared" si="43"/>
        <v>0.59399999999999997</v>
      </c>
      <c r="AW24" s="285">
        <f>-SUM('B5'!AI23)</f>
        <v>-127</v>
      </c>
      <c r="AX24" s="285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6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6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8"/>
      <c r="AU26" s="570"/>
      <c r="AV26" s="500">
        <f t="shared" si="43"/>
        <v>0.59399999999999997</v>
      </c>
      <c r="AW26" s="285">
        <f>-SUM('B5'!AI25)</f>
        <v>-126</v>
      </c>
      <c r="AX26" s="285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6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-10355</v>
      </c>
      <c r="AT27" s="348">
        <v>10355</v>
      </c>
      <c r="AU27" s="570">
        <v>0.66</v>
      </c>
      <c r="AV27" s="500">
        <f t="shared" si="43"/>
        <v>0.66</v>
      </c>
      <c r="AW27" s="285">
        <f>-SUM('B5'!AI26)</f>
        <v>0</v>
      </c>
      <c r="AX27" s="285">
        <f t="shared" si="19"/>
        <v>-10355</v>
      </c>
      <c r="AY27" s="37">
        <f t="shared" si="40"/>
        <v>-10355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8"/>
      <c r="AU28" s="571"/>
      <c r="AV28" s="500">
        <f t="shared" si="43"/>
        <v>0.66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1389.6160337546601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9813.6774193548335</v>
      </c>
      <c r="AT29" s="348"/>
      <c r="AU29" s="571"/>
      <c r="AV29" s="500">
        <f t="shared" si="43"/>
        <v>0.66</v>
      </c>
      <c r="AW29" s="285">
        <f>-SUM('B5'!AI28)</f>
        <v>-73</v>
      </c>
      <c r="AX29" s="285">
        <f t="shared" si="19"/>
        <v>9886.6774193548335</v>
      </c>
      <c r="AY29" s="37">
        <f t="shared" si="40"/>
        <v>9813.6774193548335</v>
      </c>
      <c r="AZ29" s="100">
        <f>ELEC!A27</f>
        <v>0</v>
      </c>
      <c r="BA29" s="118">
        <f>'General information '!D28</f>
        <v>23.5</v>
      </c>
      <c r="BB29" s="386">
        <f>SUM('General information '!E28)</f>
        <v>0.61</v>
      </c>
      <c r="BC29" s="3">
        <f t="shared" si="44"/>
        <v>1</v>
      </c>
      <c r="BD29" s="102">
        <v>19222</v>
      </c>
      <c r="BE29" s="14">
        <f>(305/1185)*ELEC!Q28</f>
        <v>1569.7848101270918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138</v>
      </c>
      <c r="C30" s="203">
        <f t="shared" si="20"/>
        <v>2969.2258064516127</v>
      </c>
      <c r="D30">
        <f t="shared" ref="D30:D35" si="48">SUM(B30)</f>
        <v>138</v>
      </c>
      <c r="E30" s="203">
        <f t="shared" si="20"/>
        <v>2969.2258064516127</v>
      </c>
      <c r="F30">
        <f t="shared" ref="F30:F35" si="49">SUM(D30)</f>
        <v>138</v>
      </c>
      <c r="G30" s="203">
        <f t="shared" si="1"/>
        <v>2969.2258064516127</v>
      </c>
      <c r="H30" s="203">
        <f t="shared" ref="H30:H35" si="50">SUM(F30)</f>
        <v>138</v>
      </c>
      <c r="I30" s="203">
        <f t="shared" si="2"/>
        <v>2969.2258064516127</v>
      </c>
      <c r="J30" s="203">
        <f t="shared" ref="J30:J35" si="51">SUM(H30)</f>
        <v>138</v>
      </c>
      <c r="K30" s="203">
        <f t="shared" si="3"/>
        <v>2969.2258064516127</v>
      </c>
      <c r="L30" s="203">
        <f t="shared" ref="L30:L35" si="52">SUM(J30)</f>
        <v>138</v>
      </c>
      <c r="M30" s="203">
        <f t="shared" si="4"/>
        <v>2969.2258064516127</v>
      </c>
      <c r="N30" s="203">
        <f t="shared" ref="N30:N35" si="53">SUM(L30)</f>
        <v>138</v>
      </c>
      <c r="O30" s="203">
        <f t="shared" si="5"/>
        <v>2969.2258064516127</v>
      </c>
      <c r="P30" s="203">
        <f t="shared" ref="P30:P35" si="54">SUM(N30)</f>
        <v>138</v>
      </c>
      <c r="Q30" s="203">
        <f t="shared" si="6"/>
        <v>2969.2258064516127</v>
      </c>
      <c r="R30" s="203">
        <f t="shared" ref="R30:R35" si="55">SUM(P30)</f>
        <v>138</v>
      </c>
      <c r="S30" s="203">
        <f t="shared" si="7"/>
        <v>2969.2258064516127</v>
      </c>
      <c r="T30" s="203">
        <f t="shared" ref="T30:T35" si="56">SUM(R30)</f>
        <v>138</v>
      </c>
      <c r="U30" s="203">
        <f t="shared" si="8"/>
        <v>2969.2258064516127</v>
      </c>
      <c r="V30" s="203">
        <f t="shared" ref="V30:V35" si="57">SUM(T30)</f>
        <v>138</v>
      </c>
      <c r="W30" s="203">
        <f t="shared" si="9"/>
        <v>2969.2258064516127</v>
      </c>
      <c r="X30" s="35">
        <f t="shared" ref="X30:X35" si="58">SUM(Y30/73370)</f>
        <v>0.44516129032258073</v>
      </c>
      <c r="Y30" s="36">
        <f t="shared" ref="Y30:Y35" si="59">SUM(C30+E30+G30+I30+K30+M30+O30+Q30+S30+U30+W30)</f>
        <v>32661.483870967746</v>
      </c>
      <c r="Z30" s="203">
        <f>'B5'!C29</f>
        <v>145</v>
      </c>
      <c r="AA30" s="203">
        <f t="shared" si="32"/>
        <v>1450</v>
      </c>
      <c r="AB30" s="203">
        <f t="shared" ref="AB30:AB35" si="60">SUM(Z30)</f>
        <v>145</v>
      </c>
      <c r="AC30" s="203">
        <f t="shared" si="32"/>
        <v>1450</v>
      </c>
      <c r="AD30" s="203">
        <f t="shared" ref="AD30:AD35" si="61">SUM(AB30)</f>
        <v>145</v>
      </c>
      <c r="AE30" s="203">
        <f t="shared" si="11"/>
        <v>1450</v>
      </c>
      <c r="AF30" s="203">
        <f t="shared" ref="AF30:AF35" si="62">SUM(AD30)</f>
        <v>145</v>
      </c>
      <c r="AG30" s="203">
        <f t="shared" si="12"/>
        <v>1450</v>
      </c>
      <c r="AH30" s="203">
        <f t="shared" ref="AH30:AH35" si="63">SUM(AF30)</f>
        <v>145</v>
      </c>
      <c r="AI30" s="203">
        <f t="shared" si="13"/>
        <v>1450</v>
      </c>
      <c r="AJ30" s="203">
        <f t="shared" ref="AJ30:AJ35" si="64">SUM(AH30)</f>
        <v>145</v>
      </c>
      <c r="AK30" s="203">
        <f t="shared" si="14"/>
        <v>1450</v>
      </c>
      <c r="AL30" s="203">
        <f t="shared" ref="AL30:AL35" si="65">SUM(AJ30)</f>
        <v>145</v>
      </c>
      <c r="AM30" s="203">
        <f t="shared" si="15"/>
        <v>1450</v>
      </c>
      <c r="AN30" s="35">
        <f t="shared" ref="AN30:AN35" si="66">SUM(AO30/19600)</f>
        <v>0.5178571428571429</v>
      </c>
      <c r="AO30" s="36">
        <f t="shared" ref="AO30:AO35" si="67">SUM(AA30+AC30+AE30+AG30+AI30+AK30+AM30)</f>
        <v>10150</v>
      </c>
      <c r="AQ30" s="223">
        <f t="shared" si="39"/>
        <v>0.4604870804664703</v>
      </c>
      <c r="AR30" s="38">
        <f t="shared" ref="AR30:AR35" si="68">Y30+AO30</f>
        <v>42811.483870967742</v>
      </c>
      <c r="AS30" s="197">
        <f>SUM(AR30-AR29-AT30)</f>
        <v>-1840.0645161290231</v>
      </c>
      <c r="AT30" s="348"/>
      <c r="AU30" s="571"/>
      <c r="AV30" s="500">
        <f t="shared" si="43"/>
        <v>0.66</v>
      </c>
      <c r="AW30" s="285">
        <f>-SUM('B5'!AI29)</f>
        <v>-91</v>
      </c>
      <c r="AX30" s="285">
        <f t="shared" si="19"/>
        <v>-1749.0645161290231</v>
      </c>
      <c r="AY30" s="37">
        <f t="shared" si="40"/>
        <v>-1840.0645161290231</v>
      </c>
      <c r="AZ30" s="100">
        <f>ELEC!A28</f>
        <v>0</v>
      </c>
      <c r="BA30" s="118">
        <f>'General information '!D29</f>
        <v>23</v>
      </c>
      <c r="BB30" s="386">
        <f>SUM('General information '!E29)</f>
        <v>0.62</v>
      </c>
      <c r="BC30" s="3">
        <f t="shared" si="44"/>
        <v>0</v>
      </c>
      <c r="BD30" s="102">
        <v>19222</v>
      </c>
      <c r="BE30" s="14">
        <f>(305/1185)*ELEC!Q29</f>
        <v>1872.2109704644572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129</v>
      </c>
      <c r="C31" s="203">
        <f t="shared" si="20"/>
        <v>2775.5806451612902</v>
      </c>
      <c r="D31">
        <f t="shared" si="48"/>
        <v>129</v>
      </c>
      <c r="E31" s="203">
        <f t="shared" si="20"/>
        <v>2775.5806451612902</v>
      </c>
      <c r="F31">
        <f t="shared" si="49"/>
        <v>129</v>
      </c>
      <c r="G31" s="203">
        <f t="shared" si="1"/>
        <v>2775.5806451612902</v>
      </c>
      <c r="H31" s="203">
        <f t="shared" si="50"/>
        <v>129</v>
      </c>
      <c r="I31" s="203">
        <f t="shared" si="2"/>
        <v>2775.5806451612902</v>
      </c>
      <c r="J31" s="203">
        <f t="shared" si="51"/>
        <v>129</v>
      </c>
      <c r="K31" s="203">
        <f t="shared" si="3"/>
        <v>2775.5806451612902</v>
      </c>
      <c r="L31" s="203">
        <f t="shared" si="52"/>
        <v>129</v>
      </c>
      <c r="M31" s="203">
        <f t="shared" si="4"/>
        <v>2775.5806451612902</v>
      </c>
      <c r="N31" s="203">
        <f t="shared" si="53"/>
        <v>129</v>
      </c>
      <c r="O31" s="203">
        <f t="shared" si="5"/>
        <v>2775.5806451612902</v>
      </c>
      <c r="P31" s="203">
        <f t="shared" si="54"/>
        <v>129</v>
      </c>
      <c r="Q31" s="203">
        <f t="shared" si="6"/>
        <v>2775.5806451612902</v>
      </c>
      <c r="R31" s="203">
        <f t="shared" si="55"/>
        <v>129</v>
      </c>
      <c r="S31" s="203">
        <f t="shared" si="7"/>
        <v>2775.5806451612902</v>
      </c>
      <c r="T31" s="203">
        <f t="shared" si="56"/>
        <v>129</v>
      </c>
      <c r="U31" s="203">
        <f t="shared" si="8"/>
        <v>2775.5806451612902</v>
      </c>
      <c r="V31" s="203">
        <f t="shared" si="57"/>
        <v>129</v>
      </c>
      <c r="W31" s="203">
        <f t="shared" si="9"/>
        <v>2775.5806451612902</v>
      </c>
      <c r="X31" s="35">
        <f t="shared" si="58"/>
        <v>0.41612903225806464</v>
      </c>
      <c r="Y31" s="36">
        <f t="shared" si="59"/>
        <v>30531.3870967742</v>
      </c>
      <c r="Z31" s="203">
        <f>'B5'!C30</f>
        <v>136</v>
      </c>
      <c r="AA31" s="203">
        <f t="shared" si="32"/>
        <v>1360</v>
      </c>
      <c r="AB31" s="203">
        <f t="shared" si="60"/>
        <v>136</v>
      </c>
      <c r="AC31" s="203">
        <f t="shared" si="32"/>
        <v>1360</v>
      </c>
      <c r="AD31" s="203">
        <f t="shared" si="61"/>
        <v>136</v>
      </c>
      <c r="AE31" s="203">
        <f t="shared" si="11"/>
        <v>1360</v>
      </c>
      <c r="AF31" s="203">
        <f t="shared" si="62"/>
        <v>136</v>
      </c>
      <c r="AG31" s="203">
        <f t="shared" si="12"/>
        <v>1360</v>
      </c>
      <c r="AH31" s="203">
        <f t="shared" si="63"/>
        <v>136</v>
      </c>
      <c r="AI31" s="203">
        <f t="shared" si="13"/>
        <v>1360</v>
      </c>
      <c r="AJ31" s="203">
        <f t="shared" si="64"/>
        <v>136</v>
      </c>
      <c r="AK31" s="203">
        <f t="shared" si="14"/>
        <v>1360</v>
      </c>
      <c r="AL31" s="203">
        <f t="shared" si="65"/>
        <v>136</v>
      </c>
      <c r="AM31" s="203">
        <f t="shared" si="15"/>
        <v>1360</v>
      </c>
      <c r="AN31" s="35">
        <f t="shared" si="66"/>
        <v>0.48571428571428571</v>
      </c>
      <c r="AO31" s="36">
        <f t="shared" si="67"/>
        <v>9520</v>
      </c>
      <c r="AQ31" s="223">
        <f t="shared" si="39"/>
        <v>0.43079904374286543</v>
      </c>
      <c r="AR31" s="38">
        <f t="shared" si="68"/>
        <v>40051.387096774197</v>
      </c>
      <c r="AS31" s="197">
        <f t="shared" si="47"/>
        <v>-2760.0967741935456</v>
      </c>
      <c r="AT31" s="348"/>
      <c r="AU31" s="596"/>
      <c r="AV31" s="500">
        <f t="shared" si="43"/>
        <v>0.66</v>
      </c>
      <c r="AW31" s="285">
        <f>-SUM('B5'!AI30)</f>
        <v>0</v>
      </c>
      <c r="AX31" s="285">
        <f t="shared" si="19"/>
        <v>-2760.0967741935456</v>
      </c>
      <c r="AY31" s="37">
        <f t="shared" si="40"/>
        <v>-2760.0967741935456</v>
      </c>
      <c r="AZ31" s="100">
        <f>ELEC!A29</f>
        <v>0</v>
      </c>
      <c r="BA31" s="118">
        <f>'General information '!D30</f>
        <v>23.5</v>
      </c>
      <c r="BB31" s="386">
        <f>SUM('General information '!E30)</f>
        <v>0.59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129</v>
      </c>
      <c r="C32" s="203">
        <f t="shared" si="20"/>
        <v>2775.5806451612902</v>
      </c>
      <c r="D32">
        <f t="shared" si="48"/>
        <v>129</v>
      </c>
      <c r="E32" s="203">
        <f t="shared" si="20"/>
        <v>2775.5806451612902</v>
      </c>
      <c r="F32">
        <f t="shared" si="49"/>
        <v>129</v>
      </c>
      <c r="G32" s="203">
        <f t="shared" si="1"/>
        <v>2775.5806451612902</v>
      </c>
      <c r="H32" s="203">
        <f t="shared" si="50"/>
        <v>129</v>
      </c>
      <c r="I32" s="203">
        <f t="shared" si="2"/>
        <v>2775.5806451612902</v>
      </c>
      <c r="J32" s="203">
        <f t="shared" si="51"/>
        <v>129</v>
      </c>
      <c r="K32" s="203">
        <f t="shared" si="3"/>
        <v>2775.5806451612902</v>
      </c>
      <c r="L32" s="203">
        <f t="shared" si="52"/>
        <v>129</v>
      </c>
      <c r="M32" s="203">
        <f t="shared" si="4"/>
        <v>2775.5806451612902</v>
      </c>
      <c r="N32" s="203">
        <f t="shared" si="53"/>
        <v>129</v>
      </c>
      <c r="O32" s="203">
        <f t="shared" si="5"/>
        <v>2775.5806451612902</v>
      </c>
      <c r="P32" s="203">
        <f t="shared" si="54"/>
        <v>129</v>
      </c>
      <c r="Q32" s="203">
        <f t="shared" si="6"/>
        <v>2775.5806451612902</v>
      </c>
      <c r="R32" s="203">
        <f t="shared" si="55"/>
        <v>129</v>
      </c>
      <c r="S32" s="203">
        <f t="shared" si="7"/>
        <v>2775.5806451612902</v>
      </c>
      <c r="T32" s="203">
        <f t="shared" si="56"/>
        <v>129</v>
      </c>
      <c r="U32" s="203">
        <f t="shared" si="8"/>
        <v>2775.5806451612902</v>
      </c>
      <c r="V32" s="203">
        <f t="shared" si="57"/>
        <v>129</v>
      </c>
      <c r="W32" s="203">
        <f t="shared" si="9"/>
        <v>2775.5806451612902</v>
      </c>
      <c r="X32" s="35">
        <f t="shared" si="58"/>
        <v>0.41612903225806464</v>
      </c>
      <c r="Y32" s="36">
        <f t="shared" si="59"/>
        <v>30531.3870967742</v>
      </c>
      <c r="Z32" s="203">
        <f>'B5'!C31</f>
        <v>136</v>
      </c>
      <c r="AA32" s="203">
        <f t="shared" si="32"/>
        <v>1360</v>
      </c>
      <c r="AB32" s="203">
        <f t="shared" si="60"/>
        <v>136</v>
      </c>
      <c r="AC32" s="203">
        <f t="shared" si="32"/>
        <v>1360</v>
      </c>
      <c r="AD32" s="203">
        <f t="shared" si="61"/>
        <v>136</v>
      </c>
      <c r="AE32" s="203">
        <f t="shared" si="11"/>
        <v>1360</v>
      </c>
      <c r="AF32" s="203">
        <f t="shared" si="62"/>
        <v>136</v>
      </c>
      <c r="AG32" s="203">
        <f t="shared" si="12"/>
        <v>1360</v>
      </c>
      <c r="AH32" s="203">
        <f t="shared" si="63"/>
        <v>136</v>
      </c>
      <c r="AI32" s="203">
        <f t="shared" si="13"/>
        <v>1360</v>
      </c>
      <c r="AJ32" s="203">
        <f t="shared" si="64"/>
        <v>136</v>
      </c>
      <c r="AK32" s="203">
        <f t="shared" si="14"/>
        <v>1360</v>
      </c>
      <c r="AL32" s="203">
        <f t="shared" si="65"/>
        <v>136</v>
      </c>
      <c r="AM32" s="203">
        <f t="shared" si="15"/>
        <v>1360</v>
      </c>
      <c r="AN32" s="35">
        <f t="shared" si="66"/>
        <v>0.48571428571428571</v>
      </c>
      <c r="AO32" s="36">
        <f t="shared" si="67"/>
        <v>9520</v>
      </c>
      <c r="AQ32" s="223">
        <f t="shared" si="39"/>
        <v>0.43079904374286543</v>
      </c>
      <c r="AR32" s="38">
        <f t="shared" si="68"/>
        <v>40051.387096774197</v>
      </c>
      <c r="AS32" s="197">
        <f t="shared" si="47"/>
        <v>0</v>
      </c>
      <c r="AT32" s="348"/>
      <c r="AU32" s="570"/>
      <c r="AV32" s="500">
        <f>IF(AT32&gt;0,AU32,AV31)</f>
        <v>0.66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129</v>
      </c>
      <c r="C33" s="203">
        <f t="shared" si="20"/>
        <v>2775.5806451612902</v>
      </c>
      <c r="D33">
        <f t="shared" si="48"/>
        <v>129</v>
      </c>
      <c r="E33" s="203">
        <f t="shared" si="20"/>
        <v>2775.5806451612902</v>
      </c>
      <c r="F33">
        <f t="shared" si="49"/>
        <v>129</v>
      </c>
      <c r="G33" s="203">
        <f t="shared" si="1"/>
        <v>2775.5806451612902</v>
      </c>
      <c r="H33" s="203">
        <f t="shared" si="50"/>
        <v>129</v>
      </c>
      <c r="I33" s="203">
        <f t="shared" si="2"/>
        <v>2775.5806451612902</v>
      </c>
      <c r="J33" s="203">
        <f t="shared" si="51"/>
        <v>129</v>
      </c>
      <c r="K33" s="203">
        <f t="shared" si="3"/>
        <v>2775.5806451612902</v>
      </c>
      <c r="L33" s="203">
        <f t="shared" si="52"/>
        <v>129</v>
      </c>
      <c r="M33" s="203">
        <f t="shared" si="4"/>
        <v>2775.5806451612902</v>
      </c>
      <c r="N33" s="203">
        <f t="shared" si="53"/>
        <v>129</v>
      </c>
      <c r="O33" s="203">
        <f t="shared" si="5"/>
        <v>2775.5806451612902</v>
      </c>
      <c r="P33" s="203">
        <f t="shared" si="54"/>
        <v>129</v>
      </c>
      <c r="Q33" s="203">
        <f t="shared" si="6"/>
        <v>2775.5806451612902</v>
      </c>
      <c r="R33" s="203">
        <f t="shared" si="55"/>
        <v>129</v>
      </c>
      <c r="S33" s="203">
        <f t="shared" si="7"/>
        <v>2775.5806451612902</v>
      </c>
      <c r="T33" s="203">
        <f t="shared" si="56"/>
        <v>129</v>
      </c>
      <c r="U33" s="203">
        <f t="shared" si="8"/>
        <v>2775.5806451612902</v>
      </c>
      <c r="V33" s="203">
        <f t="shared" si="57"/>
        <v>129</v>
      </c>
      <c r="W33" s="203">
        <f t="shared" si="9"/>
        <v>2775.5806451612902</v>
      </c>
      <c r="X33" s="35">
        <f t="shared" si="58"/>
        <v>0.41612903225806464</v>
      </c>
      <c r="Y33" s="36">
        <f t="shared" si="59"/>
        <v>30531.3870967742</v>
      </c>
      <c r="Z33" s="203">
        <f>'B5'!C32</f>
        <v>136</v>
      </c>
      <c r="AA33" s="203">
        <f t="shared" si="32"/>
        <v>1360</v>
      </c>
      <c r="AB33" s="203">
        <f t="shared" si="60"/>
        <v>136</v>
      </c>
      <c r="AC33" s="203">
        <f t="shared" si="32"/>
        <v>1360</v>
      </c>
      <c r="AD33" s="203">
        <f t="shared" si="61"/>
        <v>136</v>
      </c>
      <c r="AE33" s="203">
        <f t="shared" si="11"/>
        <v>1360</v>
      </c>
      <c r="AF33" s="203">
        <f t="shared" si="62"/>
        <v>136</v>
      </c>
      <c r="AG33" s="203">
        <f t="shared" si="12"/>
        <v>1360</v>
      </c>
      <c r="AH33" s="203">
        <f t="shared" si="63"/>
        <v>136</v>
      </c>
      <c r="AI33" s="203">
        <f t="shared" si="13"/>
        <v>1360</v>
      </c>
      <c r="AJ33" s="203">
        <f t="shared" si="64"/>
        <v>136</v>
      </c>
      <c r="AK33" s="203">
        <f t="shared" si="14"/>
        <v>1360</v>
      </c>
      <c r="AL33" s="203">
        <f t="shared" si="65"/>
        <v>136</v>
      </c>
      <c r="AM33" s="203">
        <f t="shared" si="15"/>
        <v>1360</v>
      </c>
      <c r="AN33" s="35">
        <f t="shared" si="66"/>
        <v>0.48571428571428571</v>
      </c>
      <c r="AO33" s="36">
        <f t="shared" si="67"/>
        <v>9520</v>
      </c>
      <c r="AQ33" s="223">
        <f t="shared" si="39"/>
        <v>0.43079904374286543</v>
      </c>
      <c r="AR33" s="38">
        <f t="shared" si="68"/>
        <v>40051.387096774197</v>
      </c>
      <c r="AS33" s="197">
        <f>SUM(AR33-AR32-AT33)</f>
        <v>0</v>
      </c>
      <c r="AT33" s="348"/>
      <c r="AU33" s="570"/>
      <c r="AV33" s="500">
        <f>IF(AT33&gt;0,AU33,AV32)</f>
        <v>0.66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129</v>
      </c>
      <c r="C34" s="203">
        <f>B34*$B$4</f>
        <v>2775.5806451612902</v>
      </c>
      <c r="D34">
        <f t="shared" si="48"/>
        <v>129</v>
      </c>
      <c r="E34" s="203">
        <f>D34*$B$4</f>
        <v>2775.5806451612902</v>
      </c>
      <c r="F34">
        <f t="shared" si="49"/>
        <v>129</v>
      </c>
      <c r="G34" s="203">
        <f>F34*$B$4</f>
        <v>2775.5806451612902</v>
      </c>
      <c r="H34" s="203">
        <f t="shared" si="50"/>
        <v>129</v>
      </c>
      <c r="I34" s="203">
        <f>H34*$B$4</f>
        <v>2775.5806451612902</v>
      </c>
      <c r="J34" s="203">
        <f t="shared" si="51"/>
        <v>129</v>
      </c>
      <c r="K34" s="203">
        <f>J34*$B$4</f>
        <v>2775.5806451612902</v>
      </c>
      <c r="L34" s="203">
        <f t="shared" si="52"/>
        <v>129</v>
      </c>
      <c r="M34" s="203">
        <f>L34*$B$4</f>
        <v>2775.5806451612902</v>
      </c>
      <c r="N34" s="203">
        <f t="shared" si="53"/>
        <v>129</v>
      </c>
      <c r="O34" s="203">
        <f>N34*$B$4</f>
        <v>2775.5806451612902</v>
      </c>
      <c r="P34" s="203">
        <f t="shared" si="54"/>
        <v>129</v>
      </c>
      <c r="Q34" s="203">
        <f>P34*$B$4</f>
        <v>2775.5806451612902</v>
      </c>
      <c r="R34" s="203">
        <f t="shared" si="55"/>
        <v>129</v>
      </c>
      <c r="S34" s="203">
        <f>R34*$B$4</f>
        <v>2775.5806451612902</v>
      </c>
      <c r="T34" s="203">
        <f t="shared" si="56"/>
        <v>129</v>
      </c>
      <c r="U34" s="203">
        <f>T34*$B$4</f>
        <v>2775.5806451612902</v>
      </c>
      <c r="V34" s="203">
        <f t="shared" si="57"/>
        <v>129</v>
      </c>
      <c r="W34" s="203">
        <f>V34*$B$4</f>
        <v>2775.5806451612902</v>
      </c>
      <c r="X34" s="35">
        <f t="shared" si="58"/>
        <v>0.41612903225806464</v>
      </c>
      <c r="Y34" s="36">
        <f t="shared" si="59"/>
        <v>30531.3870967742</v>
      </c>
      <c r="Z34" s="203">
        <f>'B5'!C33</f>
        <v>136</v>
      </c>
      <c r="AA34" s="203">
        <f>SUM(Z34*$Z$4)</f>
        <v>1360</v>
      </c>
      <c r="AB34" s="203">
        <f t="shared" si="60"/>
        <v>136</v>
      </c>
      <c r="AC34" s="203">
        <f>SUM(AB34*$Z$4)</f>
        <v>1360</v>
      </c>
      <c r="AD34" s="203">
        <f t="shared" si="61"/>
        <v>136</v>
      </c>
      <c r="AE34" s="203">
        <f>SUM(AD34*$Z$4)</f>
        <v>1360</v>
      </c>
      <c r="AF34" s="203">
        <f t="shared" si="62"/>
        <v>136</v>
      </c>
      <c r="AG34" s="203">
        <f>SUM(AF34*$Z$4)</f>
        <v>1360</v>
      </c>
      <c r="AH34" s="203">
        <f t="shared" si="63"/>
        <v>136</v>
      </c>
      <c r="AI34" s="203">
        <f>SUM(AH34*$Z$4)</f>
        <v>1360</v>
      </c>
      <c r="AJ34" s="203">
        <f t="shared" si="64"/>
        <v>136</v>
      </c>
      <c r="AK34" s="203">
        <f>SUM(AJ34*$Z$4)</f>
        <v>1360</v>
      </c>
      <c r="AL34" s="203">
        <f t="shared" si="65"/>
        <v>136</v>
      </c>
      <c r="AM34" s="203">
        <f>SUM(AL34*$Z$4)</f>
        <v>1360</v>
      </c>
      <c r="AN34" s="35">
        <f t="shared" si="66"/>
        <v>0.48571428571428571</v>
      </c>
      <c r="AO34" s="36">
        <f t="shared" si="67"/>
        <v>9520</v>
      </c>
      <c r="AQ34" s="223">
        <f>SUM(AR34/92970)</f>
        <v>0.43079904374286543</v>
      </c>
      <c r="AR34" s="38">
        <f t="shared" si="68"/>
        <v>40051.387096774197</v>
      </c>
      <c r="AS34" s="197">
        <f t="shared" si="47"/>
        <v>0</v>
      </c>
      <c r="AT34" s="348"/>
      <c r="AU34" s="570"/>
      <c r="AV34" s="500">
        <f>IF(AT34&gt;0,AU34,AV33)</f>
        <v>0.66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129</v>
      </c>
      <c r="C35" s="203">
        <f>B35*$B$4</f>
        <v>2775.5806451612902</v>
      </c>
      <c r="D35">
        <f t="shared" si="48"/>
        <v>129</v>
      </c>
      <c r="E35" s="203">
        <f>D35*$B$4</f>
        <v>2775.5806451612902</v>
      </c>
      <c r="F35">
        <f t="shared" si="49"/>
        <v>129</v>
      </c>
      <c r="G35" s="203">
        <f>F35*$B$4</f>
        <v>2775.5806451612902</v>
      </c>
      <c r="H35" s="203">
        <f t="shared" si="50"/>
        <v>129</v>
      </c>
      <c r="I35" s="203">
        <f>H35*$B$4</f>
        <v>2775.5806451612902</v>
      </c>
      <c r="J35" s="203">
        <f t="shared" si="51"/>
        <v>129</v>
      </c>
      <c r="K35" s="203">
        <f>J35*$B$4</f>
        <v>2775.5806451612902</v>
      </c>
      <c r="L35" s="203">
        <f t="shared" si="52"/>
        <v>129</v>
      </c>
      <c r="M35" s="203">
        <f>L35*$B$4</f>
        <v>2775.5806451612902</v>
      </c>
      <c r="N35" s="203">
        <f t="shared" si="53"/>
        <v>129</v>
      </c>
      <c r="O35" s="203">
        <f>N35*$B$4</f>
        <v>2775.5806451612902</v>
      </c>
      <c r="P35" s="203">
        <f t="shared" si="54"/>
        <v>129</v>
      </c>
      <c r="Q35" s="203">
        <f>P35*$B$4</f>
        <v>2775.5806451612902</v>
      </c>
      <c r="R35" s="203">
        <f t="shared" si="55"/>
        <v>129</v>
      </c>
      <c r="S35" s="203">
        <f>R35*$B$4</f>
        <v>2775.5806451612902</v>
      </c>
      <c r="T35" s="203">
        <f t="shared" si="56"/>
        <v>129</v>
      </c>
      <c r="U35" s="203">
        <f>T35*$B$4</f>
        <v>2775.5806451612902</v>
      </c>
      <c r="V35" s="203">
        <f t="shared" si="57"/>
        <v>129</v>
      </c>
      <c r="W35" s="203">
        <f>V35*$B$4</f>
        <v>2775.5806451612902</v>
      </c>
      <c r="X35" s="35">
        <f t="shared" si="58"/>
        <v>0.41612903225806464</v>
      </c>
      <c r="Y35" s="36">
        <f t="shared" si="59"/>
        <v>30531.3870967742</v>
      </c>
      <c r="Z35" s="203">
        <f>'B5'!C34</f>
        <v>136</v>
      </c>
      <c r="AA35" s="203">
        <f>SUM(Z35*$Z$4)</f>
        <v>1360</v>
      </c>
      <c r="AB35" s="203">
        <f t="shared" si="60"/>
        <v>136</v>
      </c>
      <c r="AC35" s="203">
        <f>SUM(AB35*$Z$4)</f>
        <v>1360</v>
      </c>
      <c r="AD35" s="203">
        <f t="shared" si="61"/>
        <v>136</v>
      </c>
      <c r="AE35" s="203">
        <f>SUM(AD35*$Z$4)</f>
        <v>1360</v>
      </c>
      <c r="AF35" s="203">
        <f t="shared" si="62"/>
        <v>136</v>
      </c>
      <c r="AG35" s="203">
        <f>SUM(AF35*$Z$4)</f>
        <v>1360</v>
      </c>
      <c r="AH35" s="203">
        <f t="shared" si="63"/>
        <v>136</v>
      </c>
      <c r="AI35" s="203">
        <f>SUM(AH35*$Z$4)</f>
        <v>1360</v>
      </c>
      <c r="AJ35" s="203">
        <f t="shared" si="64"/>
        <v>136</v>
      </c>
      <c r="AK35" s="203">
        <f>SUM(AJ35*$Z$4)</f>
        <v>1360</v>
      </c>
      <c r="AL35" s="203">
        <f t="shared" si="65"/>
        <v>136</v>
      </c>
      <c r="AM35" s="203">
        <f>SUM(AL35*$Z$4)</f>
        <v>1360</v>
      </c>
      <c r="AN35" s="35">
        <f t="shared" si="66"/>
        <v>0.48571428571428571</v>
      </c>
      <c r="AO35" s="36">
        <f t="shared" si="67"/>
        <v>9520</v>
      </c>
      <c r="AQ35" s="223">
        <f>SUM(AR35/92970)</f>
        <v>0.43079904374286543</v>
      </c>
      <c r="AR35" s="38">
        <f t="shared" si="68"/>
        <v>40051.387096774197</v>
      </c>
      <c r="AS35" s="197">
        <f t="shared" si="47"/>
        <v>0</v>
      </c>
      <c r="AT35" s="348"/>
      <c r="AU35" s="570"/>
      <c r="AV35" s="559">
        <f>IF(AT35&gt;0,AU35,AV34)</f>
        <v>0.66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129</v>
      </c>
      <c r="C36" s="203">
        <f>B36*$B$4</f>
        <v>2775.5806451612902</v>
      </c>
      <c r="D36">
        <f t="shared" ref="D36" si="69">SUM(B36)</f>
        <v>129</v>
      </c>
      <c r="E36" s="203">
        <f>D36*$B$4</f>
        <v>2775.5806451612902</v>
      </c>
      <c r="F36">
        <f t="shared" ref="F36" si="70">SUM(D36)</f>
        <v>129</v>
      </c>
      <c r="G36" s="203">
        <f>F36*$B$4</f>
        <v>2775.5806451612902</v>
      </c>
      <c r="H36" s="203">
        <f t="shared" ref="H36" si="71">SUM(F36)</f>
        <v>129</v>
      </c>
      <c r="I36" s="203">
        <f>H36*$B$4</f>
        <v>2775.5806451612902</v>
      </c>
      <c r="J36" s="203">
        <f t="shared" ref="J36" si="72">SUM(H36)</f>
        <v>129</v>
      </c>
      <c r="K36" s="203">
        <f>J36*$B$4</f>
        <v>2775.5806451612902</v>
      </c>
      <c r="L36" s="203">
        <f t="shared" ref="L36" si="73">SUM(J36)</f>
        <v>129</v>
      </c>
      <c r="M36" s="203">
        <f>L36*$B$4</f>
        <v>2775.5806451612902</v>
      </c>
      <c r="N36" s="203">
        <f t="shared" ref="N36" si="74">SUM(L36)</f>
        <v>129</v>
      </c>
      <c r="O36" s="203">
        <f>N36*$B$4</f>
        <v>2775.5806451612902</v>
      </c>
      <c r="P36" s="203">
        <f t="shared" ref="P36" si="75">SUM(N36)</f>
        <v>129</v>
      </c>
      <c r="Q36" s="203">
        <f>P36*$B$4</f>
        <v>2775.5806451612902</v>
      </c>
      <c r="R36" s="203">
        <f t="shared" ref="R36" si="76">SUM(P36)</f>
        <v>129</v>
      </c>
      <c r="S36" s="203">
        <f>R36*$B$4</f>
        <v>2775.5806451612902</v>
      </c>
      <c r="T36" s="203">
        <f t="shared" ref="T36" si="77">SUM(R36)</f>
        <v>129</v>
      </c>
      <c r="U36" s="203">
        <f>T36*$B$4</f>
        <v>2775.5806451612902</v>
      </c>
      <c r="V36" s="203">
        <f t="shared" ref="V36" si="78">SUM(T36)</f>
        <v>129</v>
      </c>
      <c r="W36" s="203">
        <f>V36*$B$4</f>
        <v>2775.5806451612902</v>
      </c>
      <c r="X36" s="35">
        <f t="shared" ref="X36" si="79">SUM(Y36/73370)</f>
        <v>0.41612903225806464</v>
      </c>
      <c r="Y36" s="36">
        <f t="shared" ref="Y36" si="80">SUM(C36+E36+G36+I36+K36+M36+O36+Q36+S36+U36+W36)</f>
        <v>30531.3870967742</v>
      </c>
      <c r="Z36" s="203">
        <f>'B5'!C35</f>
        <v>136</v>
      </c>
      <c r="AA36" s="203">
        <f>SUM(Z36*$Z$4)</f>
        <v>1360</v>
      </c>
      <c r="AB36" s="203">
        <f t="shared" ref="AB36" si="81">SUM(Z36)</f>
        <v>136</v>
      </c>
      <c r="AC36" s="203">
        <f>SUM(AB36*$Z$4)</f>
        <v>1360</v>
      </c>
      <c r="AD36" s="203">
        <f t="shared" ref="AD36" si="82">SUM(AB36)</f>
        <v>136</v>
      </c>
      <c r="AE36" s="203">
        <f>SUM(AD36*$Z$4)</f>
        <v>1360</v>
      </c>
      <c r="AF36" s="203">
        <f t="shared" ref="AF36" si="83">SUM(AD36)</f>
        <v>136</v>
      </c>
      <c r="AG36" s="203">
        <f>SUM(AF36*$Z$4)</f>
        <v>1360</v>
      </c>
      <c r="AH36" s="203">
        <f t="shared" ref="AH36" si="84">SUM(AF36)</f>
        <v>136</v>
      </c>
      <c r="AI36" s="203">
        <f>SUM(AH36*$Z$4)</f>
        <v>1360</v>
      </c>
      <c r="AJ36" s="203">
        <f t="shared" ref="AJ36" si="85">SUM(AH36)</f>
        <v>136</v>
      </c>
      <c r="AK36" s="203">
        <f>SUM(AJ36*$Z$4)</f>
        <v>1360</v>
      </c>
      <c r="AL36" s="203">
        <f t="shared" ref="AL36" si="86">SUM(AJ36)</f>
        <v>136</v>
      </c>
      <c r="AM36" s="203">
        <f>SUM(AL36*$Z$4)</f>
        <v>1360</v>
      </c>
      <c r="AN36" s="35">
        <f t="shared" ref="AN36" si="87">SUM(AO36/19600)</f>
        <v>0.48571428571428571</v>
      </c>
      <c r="AO36" s="36">
        <f t="shared" ref="AO36" si="88">SUM(AA36+AC36+AE36+AG36+AI36+AK36+AM36)</f>
        <v>9520</v>
      </c>
      <c r="AQ36" s="223">
        <f>SUM(AR36/92970)</f>
        <v>0.43079904374286543</v>
      </c>
      <c r="AR36" s="38">
        <f t="shared" si="45"/>
        <v>40051.387096774197</v>
      </c>
      <c r="AS36" s="197">
        <f t="shared" si="47"/>
        <v>0</v>
      </c>
      <c r="AT36" s="348"/>
      <c r="AU36" s="570"/>
      <c r="AV36" s="559">
        <f>IF(AT36&gt;0,AU36,AV35)</f>
        <v>0.66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3</v>
      </c>
      <c r="AT37" s="203">
        <f>SUM(AT6:AT36)</f>
        <v>24735</v>
      </c>
      <c r="AU37" s="566">
        <f>SUM(AU6:AU36)/AS37</f>
        <v>0.62300000000000011</v>
      </c>
      <c r="AX37" s="203">
        <f>SUM(AX6:AX36)</f>
        <v>-28872.516129032258</v>
      </c>
      <c r="AY37" s="203">
        <f>SUM(AY6:AY36)</f>
        <v>-29948.516129032258</v>
      </c>
    </row>
    <row r="38" spans="1:60">
      <c r="AS38" s="206"/>
      <c r="AT38" s="82">
        <f>+AT37*AU37</f>
        <v>15409.905000000002</v>
      </c>
    </row>
    <row r="40" spans="1:60">
      <c r="AS40" s="165">
        <f>SUM(AS6:AS36)/'EDl log'!A35</f>
        <v>-5989.7032258064519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-0.66666319076940728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8" zoomScale="70" zoomScaleNormal="70" workbookViewId="0">
      <selection activeCell="A29" sqref="A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3115.0000000000005</v>
      </c>
      <c r="R4" s="292">
        <f>SUM(P4:Q4)</f>
        <v>3269.8030385705883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5"/>
      <c r="AC4" s="676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9"/>
      <c r="W5" s="670"/>
      <c r="X5" s="670"/>
      <c r="Y5" s="671"/>
      <c r="Z5" s="26" t="s">
        <v>202</v>
      </c>
      <c r="AA5" s="260">
        <f>'[7]EDl log'!AA22</f>
        <v>5000</v>
      </c>
      <c r="AB5" s="677"/>
      <c r="AC5" s="678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-2152.1233548387063</v>
      </c>
      <c r="R6" s="292">
        <f t="shared" si="13"/>
        <v>-1997.3203162681184</v>
      </c>
      <c r="S6" s="294">
        <f>SUM(ELEC!N6)</f>
        <v>6878</v>
      </c>
      <c r="T6" s="329">
        <f t="shared" ref="T6:T30" si="16">IF(S6&gt;0,R6/S6,0)</f>
        <v>-0.29039260195814459</v>
      </c>
      <c r="V6" s="672"/>
      <c r="W6" s="673"/>
      <c r="X6" s="673"/>
      <c r="Y6" s="674"/>
      <c r="Z6" s="3"/>
      <c r="AA6" s="3"/>
      <c r="AB6" s="677"/>
      <c r="AC6" s="678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616.7900967741931</v>
      </c>
      <c r="R7" s="292">
        <f t="shared" si="13"/>
        <v>848.90258808109945</v>
      </c>
      <c r="S7" s="294">
        <f>SUM(ELEC!N7)</f>
        <v>2392</v>
      </c>
      <c r="T7" s="329">
        <f t="shared" si="16"/>
        <v>0.35489238632152986</v>
      </c>
      <c r="V7" s="665" t="s">
        <v>203</v>
      </c>
      <c r="W7" s="666"/>
      <c r="X7" s="667" t="s">
        <v>204</v>
      </c>
      <c r="Y7" s="668"/>
      <c r="Z7" s="666"/>
      <c r="AA7" s="26"/>
      <c r="AB7" s="679"/>
      <c r="AC7" s="680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1418.8322580645133</v>
      </c>
      <c r="R8" s="292">
        <f t="shared" si="13"/>
        <v>1573.6352966351012</v>
      </c>
      <c r="S8" s="294">
        <f>SUM(ELEC!N8)</f>
        <v>6443</v>
      </c>
      <c r="T8" s="329">
        <f>IF(S8&gt;0,R8/S8,0)</f>
        <v>0.24423953075199459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1464.9342580645177</v>
      </c>
      <c r="R9" s="292">
        <f>SUM(P9:Q9)</f>
        <v>1619.7372966351056</v>
      </c>
      <c r="S9" s="294">
        <f>SUM(ELEC!N9)</f>
        <v>7683</v>
      </c>
      <c r="T9" s="329">
        <f t="shared" si="16"/>
        <v>0.21082094190226547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1361.717225806452</v>
      </c>
      <c r="R10" s="292">
        <f t="shared" si="13"/>
        <v>1516.5202643770399</v>
      </c>
      <c r="S10" s="294">
        <f>SUM(ELEC!N10)</f>
        <v>5566</v>
      </c>
      <c r="T10" s="329">
        <f t="shared" si="16"/>
        <v>0.27246142011804525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1080.3221935483907</v>
      </c>
      <c r="R13" s="292">
        <f t="shared" si="13"/>
        <v>1278.5773050874695</v>
      </c>
      <c r="S13" s="294">
        <f>SUM(ELEC!N13)</f>
        <v>6438</v>
      </c>
      <c r="T13" s="329">
        <f>IF(S13&gt;0,R13/S13,0)</f>
        <v>0.19859852517668058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601.63712903224985</v>
      </c>
      <c r="R14" s="292">
        <f>SUM(P14:Q14)</f>
        <v>756.44016760283773</v>
      </c>
      <c r="S14" s="294">
        <f>SUM(ELEC!N14)</f>
        <v>7769</v>
      </c>
      <c r="T14" s="329">
        <f>IF(S14&gt;0,R14/S14,0)</f>
        <v>9.7366478002682166E-2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1497.9532580645268</v>
      </c>
      <c r="R15" s="292">
        <f>SUM(P15:Q15)</f>
        <v>1652.7562966351147</v>
      </c>
      <c r="S15" s="294">
        <f>SUM(ELEC!N15)</f>
        <v>6157</v>
      </c>
      <c r="T15" s="329">
        <f>IF(S15&gt;0,R15/S15,0)</f>
        <v>0.26843532509909285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1953.1753387096758</v>
      </c>
      <c r="R21" s="292">
        <f t="shared" si="13"/>
        <v>2135.8284601990035</v>
      </c>
      <c r="S21" s="294">
        <f>SUM(ELEC!N21)</f>
        <v>9746</v>
      </c>
      <c r="T21" s="329">
        <f t="shared" si="16"/>
        <v>0.21914923663031025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5"/>
      <c r="AC21" s="676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1332.0242419354872</v>
      </c>
      <c r="R22" s="292">
        <f t="shared" si="13"/>
        <v>1486.8272805060751</v>
      </c>
      <c r="S22" s="294">
        <f>SUM(ELEC!N22)</f>
        <v>6669</v>
      </c>
      <c r="T22" s="329">
        <f t="shared" si="16"/>
        <v>0.22294606095457717</v>
      </c>
      <c r="V22" s="681"/>
      <c r="W22" s="682"/>
      <c r="X22" s="682"/>
      <c r="Y22" s="683"/>
      <c r="Z22" s="26" t="s">
        <v>202</v>
      </c>
      <c r="AA22" s="26">
        <v>5000</v>
      </c>
      <c r="AB22" s="677"/>
      <c r="AC22" s="678"/>
    </row>
    <row r="23" spans="1:32" ht="20.100000000000001" customHeight="1">
      <c r="A23" s="163">
        <f>ELEC!C23</f>
        <v>44489</v>
      </c>
      <c r="B23" s="626">
        <v>1098106</v>
      </c>
      <c r="C23" s="260">
        <f t="shared" si="0"/>
        <v>220</v>
      </c>
      <c r="D23" s="302">
        <f t="shared" si="14"/>
        <v>221</v>
      </c>
      <c r="E23" s="302">
        <f t="shared" si="15"/>
        <v>1098107</v>
      </c>
      <c r="F23" s="626">
        <v>159394</v>
      </c>
      <c r="G23" s="160">
        <f t="shared" si="1"/>
        <v>0</v>
      </c>
      <c r="H23" s="626">
        <v>539446</v>
      </c>
      <c r="I23" s="161">
        <f t="shared" si="2"/>
        <v>128</v>
      </c>
      <c r="J23" s="626">
        <v>399266</v>
      </c>
      <c r="K23" s="162">
        <f t="shared" si="3"/>
        <v>93</v>
      </c>
      <c r="L23" s="291">
        <f t="shared" si="17"/>
        <v>0</v>
      </c>
      <c r="M23" s="291">
        <f t="shared" si="18"/>
        <v>9.5097844112769483</v>
      </c>
      <c r="N23" s="291">
        <f t="shared" si="19"/>
        <v>4.9353233830845769</v>
      </c>
      <c r="O23" s="291">
        <f t="shared" si="11"/>
        <v>154.80303857058792</v>
      </c>
      <c r="P23" s="292">
        <f t="shared" si="12"/>
        <v>169.24814636494943</v>
      </c>
      <c r="Q23" s="292">
        <f>SUM(-tanks!AX25*tanks!$AU$37)</f>
        <v>1337.4202258064474</v>
      </c>
      <c r="R23" s="292">
        <f t="shared" si="13"/>
        <v>1506.6683721713969</v>
      </c>
      <c r="S23" s="294">
        <f>SUM(ELEC!N23)</f>
        <v>5877</v>
      </c>
      <c r="T23" s="329">
        <f t="shared" si="16"/>
        <v>0.25636691716375648</v>
      </c>
      <c r="V23" s="684"/>
      <c r="W23" s="685"/>
      <c r="X23" s="685"/>
      <c r="Y23" s="686"/>
      <c r="Z23" s="687"/>
      <c r="AA23" s="688"/>
      <c r="AB23" s="677"/>
      <c r="AC23" s="678"/>
    </row>
    <row r="24" spans="1:32" ht="20.100000000000001" customHeight="1">
      <c r="A24" s="163">
        <f>ELEC!C24</f>
        <v>44490</v>
      </c>
      <c r="B24" s="626">
        <f t="shared" si="7"/>
        <v>1098106</v>
      </c>
      <c r="C24" s="260">
        <f t="shared" si="0"/>
        <v>0</v>
      </c>
      <c r="D24" s="302">
        <f t="shared" si="14"/>
        <v>0</v>
      </c>
      <c r="E24" s="302">
        <f t="shared" si="15"/>
        <v>1098106</v>
      </c>
      <c r="F24" s="626">
        <f t="shared" si="8"/>
        <v>159394</v>
      </c>
      <c r="G24" s="160">
        <f t="shared" si="1"/>
        <v>0</v>
      </c>
      <c r="H24" s="626">
        <f t="shared" si="9"/>
        <v>539446</v>
      </c>
      <c r="I24" s="161">
        <f t="shared" si="2"/>
        <v>0</v>
      </c>
      <c r="J24" s="626">
        <f t="shared" si="10"/>
        <v>399266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1258.9222258064519</v>
      </c>
      <c r="R24" s="292">
        <f t="shared" si="13"/>
        <v>1413.7252643770398</v>
      </c>
      <c r="S24" s="294">
        <f>SUM(ELEC!N24)</f>
        <v>6112</v>
      </c>
      <c r="T24" s="329">
        <f t="shared" si="16"/>
        <v>0.23130321733917536</v>
      </c>
      <c r="V24" s="689" t="s">
        <v>203</v>
      </c>
      <c r="W24" s="690"/>
      <c r="X24" s="691" t="s">
        <v>204</v>
      </c>
      <c r="Y24" s="692"/>
      <c r="Z24" s="693"/>
      <c r="AA24" s="170"/>
      <c r="AB24" s="679"/>
      <c r="AC24" s="680"/>
    </row>
    <row r="25" spans="1:32" ht="20.100000000000001" customHeight="1">
      <c r="A25" s="163">
        <f>ELEC!C25</f>
        <v>44491</v>
      </c>
      <c r="B25" s="626">
        <f t="shared" si="7"/>
        <v>1098106</v>
      </c>
      <c r="C25" s="260">
        <f t="shared" si="0"/>
        <v>0</v>
      </c>
      <c r="D25" s="302">
        <f t="shared" si="14"/>
        <v>0</v>
      </c>
      <c r="E25" s="302">
        <f t="shared" si="15"/>
        <v>1098106</v>
      </c>
      <c r="F25" s="626">
        <f t="shared" si="8"/>
        <v>159394</v>
      </c>
      <c r="G25" s="160">
        <f t="shared" si="1"/>
        <v>0</v>
      </c>
      <c r="H25" s="626">
        <f t="shared" si="9"/>
        <v>539446</v>
      </c>
      <c r="I25" s="161">
        <f t="shared" si="2"/>
        <v>0</v>
      </c>
      <c r="J25" s="626">
        <f t="shared" si="10"/>
        <v>399266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6451.1650000000009</v>
      </c>
      <c r="R25" s="292">
        <f t="shared" si="13"/>
        <v>6605.9680385705888</v>
      </c>
      <c r="S25" s="294">
        <f>SUM(ELEC!N25)</f>
        <v>610</v>
      </c>
      <c r="T25" s="329">
        <f t="shared" si="16"/>
        <v>10.829455800935392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1098106</v>
      </c>
      <c r="C26" s="260">
        <f t="shared" si="0"/>
        <v>0</v>
      </c>
      <c r="D26" s="302">
        <f t="shared" si="14"/>
        <v>0</v>
      </c>
      <c r="E26" s="302">
        <f t="shared" si="15"/>
        <v>1098106</v>
      </c>
      <c r="F26" s="626">
        <f t="shared" si="8"/>
        <v>159394</v>
      </c>
      <c r="G26" s="160">
        <f t="shared" si="1"/>
        <v>0</v>
      </c>
      <c r="H26" s="626">
        <f t="shared" si="9"/>
        <v>539446</v>
      </c>
      <c r="I26" s="161">
        <f t="shared" si="2"/>
        <v>0</v>
      </c>
      <c r="J26" s="626">
        <f t="shared" si="10"/>
        <v>399266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399615</v>
      </c>
      <c r="X26" s="172" t="s">
        <v>199</v>
      </c>
      <c r="Y26" s="172">
        <v>80</v>
      </c>
      <c r="Z26" s="172">
        <v>1</v>
      </c>
      <c r="AA26" s="331">
        <f>(W26-V26)*Z26</f>
        <v>720</v>
      </c>
      <c r="AB26" s="331">
        <f>AA26*Y26</f>
        <v>57600</v>
      </c>
      <c r="AC26" s="245">
        <f>AC9</f>
        <v>1033333</v>
      </c>
      <c r="AD26" s="488">
        <f>SUM(K36)</f>
        <v>0.21991447770311548</v>
      </c>
    </row>
    <row r="27" spans="1:32" ht="20.100000000000001" customHeight="1">
      <c r="A27" s="163">
        <f>ELEC!C27</f>
        <v>44493</v>
      </c>
      <c r="B27" s="626">
        <f t="shared" si="7"/>
        <v>1098106</v>
      </c>
      <c r="C27" s="260">
        <f t="shared" si="0"/>
        <v>0</v>
      </c>
      <c r="D27" s="302">
        <f t="shared" si="14"/>
        <v>0</v>
      </c>
      <c r="E27" s="302">
        <f t="shared" si="15"/>
        <v>1098106</v>
      </c>
      <c r="F27" s="626">
        <f t="shared" si="8"/>
        <v>159394</v>
      </c>
      <c r="G27" s="160">
        <f t="shared" si="1"/>
        <v>0</v>
      </c>
      <c r="H27" s="626">
        <f t="shared" si="9"/>
        <v>539446</v>
      </c>
      <c r="I27" s="161">
        <f t="shared" si="2"/>
        <v>0</v>
      </c>
      <c r="J27" s="626">
        <f t="shared" si="10"/>
        <v>399266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-6159.4000322580623</v>
      </c>
      <c r="R27" s="292">
        <f t="shared" si="13"/>
        <v>-6004.5969936874744</v>
      </c>
      <c r="S27" s="294">
        <f>SUM(ELEC!N27)</f>
        <v>6232</v>
      </c>
      <c r="T27" s="329">
        <f t="shared" si="16"/>
        <v>-0.96351042902558959</v>
      </c>
      <c r="V27" s="250">
        <f>W10</f>
        <v>537522</v>
      </c>
      <c r="W27" s="170">
        <f>H33</f>
        <v>540073</v>
      </c>
      <c r="X27" s="172" t="s">
        <v>212</v>
      </c>
      <c r="Y27" s="172">
        <v>112</v>
      </c>
      <c r="Z27" s="172">
        <v>1</v>
      </c>
      <c r="AA27" s="331">
        <f>(W27-V27)*Z27</f>
        <v>2551</v>
      </c>
      <c r="AB27" s="331">
        <f>SUM(AA27*Y27)</f>
        <v>285712</v>
      </c>
      <c r="AC27" s="245">
        <f>AC10</f>
        <v>6200000</v>
      </c>
      <c r="AD27" s="488">
        <f>SUM(I36)</f>
        <v>0.77916921197312161</v>
      </c>
    </row>
    <row r="28" spans="1:32" ht="20.100000000000001" customHeight="1">
      <c r="A28" s="163">
        <f>ELEC!C28</f>
        <v>44494</v>
      </c>
      <c r="B28" s="626">
        <f t="shared" si="7"/>
        <v>1098106</v>
      </c>
      <c r="C28" s="260">
        <f t="shared" si="0"/>
        <v>0</v>
      </c>
      <c r="D28" s="302">
        <f t="shared" si="14"/>
        <v>0</v>
      </c>
      <c r="E28" s="302">
        <f>B27+D28</f>
        <v>1098106</v>
      </c>
      <c r="F28" s="626">
        <f t="shared" si="8"/>
        <v>159394</v>
      </c>
      <c r="G28" s="160">
        <f t="shared" si="1"/>
        <v>0</v>
      </c>
      <c r="H28" s="626">
        <f t="shared" si="9"/>
        <v>539446</v>
      </c>
      <c r="I28" s="161">
        <f t="shared" si="2"/>
        <v>0</v>
      </c>
      <c r="J28" s="626">
        <f t="shared" si="10"/>
        <v>399266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1089.6671935483816</v>
      </c>
      <c r="R28" s="292">
        <f t="shared" si="13"/>
        <v>1244.4702321189695</v>
      </c>
      <c r="S28" s="294">
        <f>SUM(ELEC!N28)</f>
        <v>5784</v>
      </c>
      <c r="T28" s="329">
        <f t="shared" si="16"/>
        <v>0.2151573706983004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6.1087354917532084E-4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v>1099083</v>
      </c>
      <c r="C29" s="260">
        <f t="shared" si="0"/>
        <v>977</v>
      </c>
      <c r="D29" s="302">
        <f t="shared" si="14"/>
        <v>976</v>
      </c>
      <c r="E29" s="302">
        <f>B28+D29</f>
        <v>1099082</v>
      </c>
      <c r="F29" s="626">
        <v>159394</v>
      </c>
      <c r="G29" s="160">
        <f t="shared" si="1"/>
        <v>0</v>
      </c>
      <c r="H29" s="626">
        <v>540073</v>
      </c>
      <c r="I29" s="161">
        <f t="shared" si="2"/>
        <v>627</v>
      </c>
      <c r="J29" s="626">
        <v>399615</v>
      </c>
      <c r="K29" s="162">
        <f t="shared" si="3"/>
        <v>349</v>
      </c>
      <c r="L29" s="291">
        <f t="shared" si="17"/>
        <v>0</v>
      </c>
      <c r="M29" s="291">
        <f t="shared" si="18"/>
        <v>46.583084577114427</v>
      </c>
      <c r="N29" s="291">
        <f t="shared" si="19"/>
        <v>18.52072968490879</v>
      </c>
      <c r="O29" s="291">
        <f t="shared" si="11"/>
        <v>154.80303857058792</v>
      </c>
      <c r="P29" s="292">
        <f t="shared" si="12"/>
        <v>219.90685283261115</v>
      </c>
      <c r="Q29" s="292">
        <f>SUM(-tanks!AX31*tanks!$AU$37)</f>
        <v>1719.5402903225793</v>
      </c>
      <c r="R29" s="292">
        <f t="shared" si="13"/>
        <v>1939.4471431551904</v>
      </c>
      <c r="S29" s="294">
        <f>SUM(ELEC!N29)</f>
        <v>7303</v>
      </c>
      <c r="T29" s="329">
        <f t="shared" si="16"/>
        <v>0.26556855308163635</v>
      </c>
      <c r="V29" s="213"/>
      <c r="W29" s="214"/>
      <c r="X29" s="214"/>
      <c r="Y29" s="215"/>
      <c r="Z29" s="3"/>
      <c r="AA29" s="331">
        <f>SUM(AA26:AA28)</f>
        <v>3273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1099083</v>
      </c>
      <c r="C30" s="260">
        <f t="shared" si="0"/>
        <v>0</v>
      </c>
      <c r="D30" s="302">
        <f t="shared" si="14"/>
        <v>0</v>
      </c>
      <c r="E30" s="302">
        <f t="shared" si="15"/>
        <v>1099083</v>
      </c>
      <c r="F30" s="626">
        <f t="shared" si="8"/>
        <v>159394</v>
      </c>
      <c r="G30" s="160">
        <f t="shared" si="1"/>
        <v>0</v>
      </c>
      <c r="H30" s="626">
        <f t="shared" si="9"/>
        <v>540073</v>
      </c>
      <c r="I30" s="161">
        <f t="shared" si="2"/>
        <v>0</v>
      </c>
      <c r="J30" s="626">
        <f t="shared" si="10"/>
        <v>399615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343952</v>
      </c>
      <c r="AC30" s="245"/>
    </row>
    <row r="31" spans="1:32" ht="20.100000000000001" customHeight="1">
      <c r="A31" s="163">
        <f>ELEC!C31</f>
        <v>44497</v>
      </c>
      <c r="B31" s="626">
        <f t="shared" si="7"/>
        <v>1099083</v>
      </c>
      <c r="C31" s="260">
        <f>SUM(B31-B30)</f>
        <v>0</v>
      </c>
      <c r="D31" s="302">
        <f t="shared" si="14"/>
        <v>0</v>
      </c>
      <c r="E31" s="302">
        <f>B30+D31</f>
        <v>1099083</v>
      </c>
      <c r="F31" s="626">
        <f t="shared" si="8"/>
        <v>159394</v>
      </c>
      <c r="G31" s="160">
        <f>F31-F30</f>
        <v>0</v>
      </c>
      <c r="H31" s="626">
        <f t="shared" si="9"/>
        <v>540073</v>
      </c>
      <c r="I31" s="161">
        <f>H31-H30</f>
        <v>0</v>
      </c>
      <c r="J31" s="626">
        <f t="shared" si="10"/>
        <v>399615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1099083</v>
      </c>
      <c r="C32" s="260">
        <f>SUM(B32-B31)</f>
        <v>0</v>
      </c>
      <c r="D32" s="302">
        <f t="shared" si="14"/>
        <v>0</v>
      </c>
      <c r="E32" s="302">
        <f>B31+D32</f>
        <v>1099083</v>
      </c>
      <c r="F32" s="626">
        <f t="shared" si="8"/>
        <v>159394</v>
      </c>
      <c r="G32" s="160">
        <f>F32-F31</f>
        <v>0</v>
      </c>
      <c r="H32" s="626">
        <f t="shared" si="9"/>
        <v>540073</v>
      </c>
      <c r="I32" s="161">
        <f>H32-H31</f>
        <v>0</v>
      </c>
      <c r="J32" s="626">
        <f t="shared" si="10"/>
        <v>399615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1099083</v>
      </c>
      <c r="C33" s="260">
        <f>SUM(B33-B32)</f>
        <v>0</v>
      </c>
      <c r="D33" s="302">
        <f t="shared" si="14"/>
        <v>0</v>
      </c>
      <c r="E33" s="302">
        <f>B32+D33</f>
        <v>1099083</v>
      </c>
      <c r="F33" s="626">
        <f t="shared" si="8"/>
        <v>159394</v>
      </c>
      <c r="G33" s="160">
        <f>F33-F32</f>
        <v>0</v>
      </c>
      <c r="H33" s="626">
        <f t="shared" si="9"/>
        <v>540073</v>
      </c>
      <c r="I33" s="161">
        <f>H33-H32</f>
        <v>0</v>
      </c>
      <c r="J33" s="626">
        <f t="shared" si="10"/>
        <v>399615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159</v>
      </c>
      <c r="X33" s="222">
        <f>SUM(W33/A35)</f>
        <v>31.8</v>
      </c>
      <c r="Y33" s="256">
        <f>SUM(X33/1)</f>
        <v>31.8</v>
      </c>
      <c r="Z33" s="3"/>
      <c r="AA33" s="3"/>
      <c r="AB33" s="521">
        <f>SUM(AB30+AC33)</f>
        <v>7578285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1099083</v>
      </c>
      <c r="C34" s="260">
        <f>SUM(B34-B33)</f>
        <v>0</v>
      </c>
      <c r="D34" s="302">
        <f t="shared" ref="D34" si="20">SUM(G34+I34+K34)</f>
        <v>0</v>
      </c>
      <c r="E34" s="302">
        <f>B33+D34</f>
        <v>1099083</v>
      </c>
      <c r="F34" s="626">
        <f t="shared" si="8"/>
        <v>159394</v>
      </c>
      <c r="G34" s="160">
        <f>F34-F33</f>
        <v>0</v>
      </c>
      <c r="H34" s="626">
        <f t="shared" si="9"/>
        <v>540073</v>
      </c>
      <c r="I34" s="161">
        <f>H34-H33</f>
        <v>0</v>
      </c>
      <c r="J34" s="626">
        <f t="shared" si="10"/>
        <v>399615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5</v>
      </c>
      <c r="C35" s="173">
        <f>SUM(C4:C34)/A35</f>
        <v>654.79999999999995</v>
      </c>
      <c r="D35" s="173"/>
      <c r="E35" s="173"/>
      <c r="F35" s="589"/>
      <c r="G35" s="589">
        <f>SUM(G4:G34)/A35</f>
        <v>0.4</v>
      </c>
      <c r="H35" s="173"/>
      <c r="I35" s="173">
        <f>SUM(I4:I34)/A35</f>
        <v>510.2</v>
      </c>
      <c r="K35" s="173">
        <f>SUM(K4:K34)/A35</f>
        <v>144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0.99969456322541239</v>
      </c>
      <c r="G36" s="225">
        <f>IF(C35&gt;0,G35/C35,0)</f>
        <v>6.1087354917532084E-4</v>
      </c>
      <c r="H36" s="212"/>
      <c r="I36" s="225">
        <f>SUM(I35/C35)</f>
        <v>0.77916921197312161</v>
      </c>
      <c r="J36" s="212"/>
      <c r="K36" s="225">
        <f>SUM(K35/C35)</f>
        <v>0.21991447770311548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5027.0547263681592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5027.0547263681592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62"/>
      <c r="AC45" s="662"/>
      <c r="AD45" s="564"/>
      <c r="AE45" s="17"/>
      <c r="AF45" s="17"/>
    </row>
    <row r="46" spans="1:32">
      <c r="V46" s="662"/>
      <c r="W46" s="662"/>
      <c r="X46" s="662"/>
      <c r="Y46" s="662"/>
      <c r="Z46" s="525"/>
      <c r="AA46" s="525"/>
      <c r="AB46" s="662"/>
      <c r="AC46" s="662"/>
      <c r="AD46" s="564"/>
      <c r="AE46" s="17"/>
      <c r="AF46" s="17"/>
    </row>
    <row r="47" spans="1:32">
      <c r="V47" s="662"/>
      <c r="W47" s="662"/>
      <c r="X47" s="662"/>
      <c r="Y47" s="662"/>
      <c r="Z47" s="662"/>
      <c r="AA47" s="662"/>
      <c r="AB47" s="662"/>
      <c r="AC47" s="662"/>
      <c r="AD47" s="564"/>
      <c r="AE47" s="17"/>
      <c r="AF47" s="17"/>
    </row>
    <row r="48" spans="1:32">
      <c r="V48" s="663"/>
      <c r="W48" s="663"/>
      <c r="X48" s="664"/>
      <c r="Y48" s="664"/>
      <c r="Z48" s="664"/>
      <c r="AA48" s="526"/>
      <c r="AB48" s="662"/>
      <c r="AC48" s="662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F30" sqref="F30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>
        <v>26</v>
      </c>
      <c r="C23" s="37">
        <v>22</v>
      </c>
      <c r="D23" s="26">
        <f>(C23+B23)/2</f>
        <v>24</v>
      </c>
      <c r="E23" s="386">
        <v>0.62</v>
      </c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>
        <v>26</v>
      </c>
      <c r="C24" s="37">
        <v>21</v>
      </c>
      <c r="D24" s="26">
        <f t="shared" si="3"/>
        <v>23.5</v>
      </c>
      <c r="E24" s="333">
        <v>0.46</v>
      </c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>
        <v>27</v>
      </c>
      <c r="C25" s="37">
        <v>21</v>
      </c>
      <c r="D25" s="26">
        <f t="shared" si="3"/>
        <v>24</v>
      </c>
      <c r="E25" s="333">
        <v>0.48</v>
      </c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>
        <v>26</v>
      </c>
      <c r="C28" s="37">
        <v>21</v>
      </c>
      <c r="D28" s="26">
        <f t="shared" si="3"/>
        <v>23.5</v>
      </c>
      <c r="E28" s="333">
        <v>0.61</v>
      </c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>
        <v>25</v>
      </c>
      <c r="C29" s="37">
        <v>21</v>
      </c>
      <c r="D29" s="26">
        <f t="shared" si="3"/>
        <v>23</v>
      </c>
      <c r="E29" s="333">
        <v>0.62</v>
      </c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>
        <v>26</v>
      </c>
      <c r="C30" s="37">
        <v>21</v>
      </c>
      <c r="D30" s="26">
        <f t="shared" si="3"/>
        <v>23.5</v>
      </c>
      <c r="E30" s="335">
        <v>0.59</v>
      </c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73.8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610</v>
      </c>
      <c r="D23" s="3">
        <f t="shared" si="0"/>
        <v>610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5</v>
      </c>
      <c r="B25" s="3">
        <f>ELEC!AF27</f>
        <v>1310</v>
      </c>
      <c r="C25" s="3">
        <f>ELEC!N27</f>
        <v>6232</v>
      </c>
      <c r="D25" s="3">
        <f t="shared" si="0"/>
        <v>833.00000000238651</v>
      </c>
      <c r="E25" s="3">
        <f>ELEC!Q27</f>
        <v>5398.9999999976135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-24.80000000000004</v>
      </c>
      <c r="J25" s="9">
        <f>'B5'!A27</f>
        <v>44492</v>
      </c>
    </row>
    <row r="26" spans="1:10">
      <c r="A26" s="3">
        <f>ELEC!T28+ELEC!X28+ELEC!AB28</f>
        <v>6</v>
      </c>
      <c r="B26" s="3">
        <f>ELEC!AF28</f>
        <v>1223</v>
      </c>
      <c r="C26" s="3">
        <f>ELEC!N28</f>
        <v>5784</v>
      </c>
      <c r="D26" s="3">
        <f t="shared" si="0"/>
        <v>-315.00000000197906</v>
      </c>
      <c r="E26" s="3">
        <f>ELEC!Q28</f>
        <v>6099.0000000019791</v>
      </c>
      <c r="F26" s="3">
        <f>GEN!Z26</f>
        <v>9</v>
      </c>
      <c r="G26" s="3">
        <f>WATER!C29+WATER!H29</f>
        <v>0</v>
      </c>
      <c r="H26" s="3">
        <f>WATER!L29</f>
        <v>1</v>
      </c>
      <c r="I26" s="15">
        <f>WATER!BC29+WATER!BD29+WATER!BE30-Sheet1!G26</f>
        <v>-33.500000000000028</v>
      </c>
      <c r="J26" s="9">
        <f>'B5'!A28</f>
        <v>44493</v>
      </c>
    </row>
    <row r="27" spans="1:10">
      <c r="A27" s="3">
        <f>ELEC!T29+ELEC!X29+ELEC!AB29</f>
        <v>5</v>
      </c>
      <c r="B27" s="3">
        <f>ELEC!AF29</f>
        <v>1237</v>
      </c>
      <c r="C27" s="3">
        <f>ELEC!N29</f>
        <v>7303</v>
      </c>
      <c r="D27" s="3">
        <f t="shared" si="0"/>
        <v>28.999999998748535</v>
      </c>
      <c r="E27" s="3">
        <f>ELEC!Q29</f>
        <v>7274.0000000012515</v>
      </c>
      <c r="F27" s="3">
        <f>GEN!Z27</f>
        <v>11</v>
      </c>
      <c r="G27" s="3">
        <f>WATER!C30+WATER!H30</f>
        <v>0</v>
      </c>
      <c r="H27" s="3">
        <f>WATER!L30</f>
        <v>2</v>
      </c>
      <c r="I27" s="15">
        <f>WATER!BC30+WATER!BD30+WATER!BE31-Sheet1!G27</f>
        <v>8.5000000000000284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13</v>
      </c>
      <c r="G28" s="3">
        <f>WATER!C31+WATER!H31</f>
        <v>67</v>
      </c>
      <c r="H28" s="3">
        <f>WATER!L31</f>
        <v>1</v>
      </c>
      <c r="I28" s="15">
        <f>WATER!BC31+WATER!BD31+WATER!BE32-Sheet1!G28</f>
        <v>-76.799999999999983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3"/>
      <c r="B1" s="700" t="s">
        <v>119</v>
      </c>
      <c r="C1" s="700" t="s">
        <v>118</v>
      </c>
      <c r="D1" s="705" t="s">
        <v>113</v>
      </c>
      <c r="E1" s="705" t="s">
        <v>114</v>
      </c>
      <c r="F1" s="706" t="s">
        <v>120</v>
      </c>
      <c r="G1" s="707" t="s">
        <v>75</v>
      </c>
      <c r="H1" s="708" t="s">
        <v>115</v>
      </c>
      <c r="I1" s="709" t="s">
        <v>116</v>
      </c>
      <c r="J1" s="708" t="s">
        <v>117</v>
      </c>
      <c r="K1" s="702" t="s">
        <v>121</v>
      </c>
      <c r="L1" s="702" t="s">
        <v>122</v>
      </c>
      <c r="M1" s="702" t="s">
        <v>123</v>
      </c>
      <c r="N1" s="702" t="s">
        <v>124</v>
      </c>
    </row>
    <row r="2" spans="1:14">
      <c r="A2" s="704"/>
      <c r="B2" s="701"/>
      <c r="C2" s="701"/>
      <c r="D2" s="705"/>
      <c r="E2" s="705"/>
      <c r="F2" s="706"/>
      <c r="G2" s="707"/>
      <c r="H2" s="708"/>
      <c r="I2" s="710"/>
      <c r="J2" s="708"/>
      <c r="K2" s="702"/>
      <c r="L2" s="702"/>
      <c r="M2" s="702"/>
      <c r="N2" s="70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610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73</v>
      </c>
      <c r="C28" s="76">
        <f>'B5'!AH28</f>
        <v>0</v>
      </c>
      <c r="D28" s="76">
        <f>GEN!AI26</f>
        <v>1389.6160337546601</v>
      </c>
      <c r="E28" s="239">
        <f t="shared" si="0"/>
        <v>1462.6160337546601</v>
      </c>
      <c r="F28" s="75">
        <f>WATER!L28</f>
        <v>0</v>
      </c>
      <c r="G28" s="78">
        <f>WATER!BG28</f>
        <v>0</v>
      </c>
      <c r="H28" s="79">
        <f>ELEC!AF27</f>
        <v>1310</v>
      </c>
      <c r="I28" s="79">
        <f>ELEC!Q27</f>
        <v>5398.9999999976135</v>
      </c>
      <c r="J28" s="79">
        <f>ELEC!R27</f>
        <v>833.00000000238651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91</v>
      </c>
      <c r="C29" s="76">
        <f>'B5'!AH29</f>
        <v>0</v>
      </c>
      <c r="D29" s="76">
        <f>GEN!AI27</f>
        <v>1569.7848101270918</v>
      </c>
      <c r="E29" s="77">
        <f t="shared" si="0"/>
        <v>1660.7848101270918</v>
      </c>
      <c r="F29" s="75">
        <f>WATER!L29</f>
        <v>1</v>
      </c>
      <c r="G29" s="78">
        <f>WATER!BG29</f>
        <v>-24.80000000000004</v>
      </c>
      <c r="H29" s="79">
        <f>ELEC!AF28</f>
        <v>1223</v>
      </c>
      <c r="I29" s="79">
        <f>ELEC!Q28</f>
        <v>6099.0000000019791</v>
      </c>
      <c r="J29" s="79">
        <f>ELEC!R28</f>
        <v>-315.00000000197906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1872.2109704644572</v>
      </c>
      <c r="E30" s="77">
        <f t="shared" si="0"/>
        <v>1872.2109704644572</v>
      </c>
      <c r="F30" s="75">
        <f>WATER!L30</f>
        <v>2</v>
      </c>
      <c r="G30" s="78">
        <f>WATER!BG30</f>
        <v>-8.6999999999999886</v>
      </c>
      <c r="H30" s="79">
        <f>ELEC!AF29</f>
        <v>1237</v>
      </c>
      <c r="I30" s="79">
        <f>ELEC!Q29</f>
        <v>7274.0000000012515</v>
      </c>
      <c r="J30" s="79">
        <f>ELEC!R29</f>
        <v>28.999999998748535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1</v>
      </c>
      <c r="G31" s="78">
        <f>WATER!BG31</f>
        <v>17.200000000000017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4" activePane="bottomLeft" state="frozen"/>
      <selection pane="bottomLeft" activeCell="H32" sqref="H3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>
        <v>1.5</v>
      </c>
      <c r="C24" s="602">
        <v>7.8</v>
      </c>
      <c r="D24" s="600">
        <v>0</v>
      </c>
      <c r="E24" s="602">
        <v>0</v>
      </c>
      <c r="F24" s="602">
        <v>0</v>
      </c>
      <c r="G24" s="601">
        <v>0</v>
      </c>
      <c r="H24" s="555">
        <v>6899</v>
      </c>
      <c r="I24" s="492">
        <f t="shared" si="4"/>
        <v>1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>
        <v>2.1</v>
      </c>
      <c r="C25" s="602">
        <v>7.8</v>
      </c>
      <c r="D25" s="600"/>
      <c r="E25" s="602"/>
      <c r="F25" s="602"/>
      <c r="G25" s="601"/>
      <c r="H25" s="555">
        <f t="shared" si="1"/>
        <v>6899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>
        <v>2.2000000000000002</v>
      </c>
      <c r="C26" s="622">
        <v>7.9</v>
      </c>
      <c r="D26" s="620">
        <v>0</v>
      </c>
      <c r="E26" s="622">
        <v>0</v>
      </c>
      <c r="F26" s="622">
        <v>0</v>
      </c>
      <c r="G26" s="621">
        <v>0</v>
      </c>
      <c r="H26" s="555">
        <v>6902</v>
      </c>
      <c r="I26" s="492">
        <f t="shared" si="4"/>
        <v>3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6902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6902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>
        <v>1.3</v>
      </c>
      <c r="C29" s="602">
        <v>8.6</v>
      </c>
      <c r="D29" s="600">
        <v>0</v>
      </c>
      <c r="E29" s="602">
        <v>0</v>
      </c>
      <c r="F29" s="602">
        <v>0</v>
      </c>
      <c r="G29" s="599">
        <v>0</v>
      </c>
      <c r="H29" s="555">
        <v>6903</v>
      </c>
      <c r="I29" s="492">
        <f t="shared" si="4"/>
        <v>1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>
        <v>1.2</v>
      </c>
      <c r="C30" s="170">
        <v>8.6</v>
      </c>
      <c r="D30" s="170">
        <v>0</v>
      </c>
      <c r="E30" s="170">
        <v>0</v>
      </c>
      <c r="F30" s="170">
        <v>0</v>
      </c>
      <c r="G30" s="170">
        <v>0</v>
      </c>
      <c r="H30" s="555">
        <v>6905</v>
      </c>
      <c r="I30" s="492">
        <f t="shared" si="4"/>
        <v>2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>
        <v>1.5</v>
      </c>
      <c r="C31" s="170">
        <v>8.5</v>
      </c>
      <c r="D31" s="170">
        <v>0</v>
      </c>
      <c r="E31" s="170">
        <v>0</v>
      </c>
      <c r="F31" s="170">
        <v>0</v>
      </c>
      <c r="G31" s="170">
        <v>0</v>
      </c>
      <c r="H31" s="555">
        <v>6906</v>
      </c>
      <c r="I31" s="492">
        <f t="shared" si="4"/>
        <v>1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6906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6906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6906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6906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6906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8" t="s">
        <v>161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</row>
    <row r="2" spans="1:28" ht="19.5">
      <c r="A2" s="729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</row>
    <row r="3" spans="1:28" ht="19.5">
      <c r="A3" s="729" t="s">
        <v>162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729"/>
      <c r="W3" s="729"/>
      <c r="X3" s="72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9" t="s">
        <v>406</v>
      </c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29"/>
      <c r="O5" s="729"/>
      <c r="P5" s="729"/>
      <c r="Q5" s="729"/>
      <c r="R5" s="729"/>
      <c r="S5" s="729"/>
      <c r="T5" s="729"/>
      <c r="U5" s="729"/>
      <c r="V5" s="729"/>
      <c r="W5" s="729"/>
      <c r="X5" s="729"/>
    </row>
    <row r="6" spans="1:28" ht="15.75" thickBot="1">
      <c r="A6" s="730"/>
      <c r="B6" s="730"/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  <c r="O6" s="730"/>
      <c r="P6" s="730"/>
      <c r="Q6" s="730"/>
      <c r="R6" s="730"/>
      <c r="S6" s="730"/>
      <c r="T6" s="730"/>
      <c r="U6" s="730"/>
      <c r="V6" s="730"/>
      <c r="W6" s="730"/>
      <c r="X6" s="730"/>
    </row>
    <row r="7" spans="1:28" ht="15.75" thickBot="1">
      <c r="A7" s="732" t="s">
        <v>163</v>
      </c>
      <c r="B7" s="733"/>
      <c r="C7" s="734" t="s">
        <v>164</v>
      </c>
      <c r="D7" s="735"/>
      <c r="E7" s="735"/>
      <c r="F7" s="735"/>
      <c r="G7" s="735"/>
      <c r="H7" s="735"/>
      <c r="I7" s="735"/>
      <c r="J7" s="735"/>
      <c r="K7" s="73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26</v>
      </c>
      <c r="O66" s="267">
        <f>'General information '!C23</f>
        <v>22</v>
      </c>
      <c r="P66" s="119">
        <f t="shared" si="7"/>
        <v>5.6999999999999993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26</v>
      </c>
      <c r="O67" s="267">
        <f>'General information '!C24</f>
        <v>21</v>
      </c>
      <c r="P67" s="119">
        <f t="shared" si="7"/>
        <v>5.1999999999999993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27</v>
      </c>
      <c r="O68" s="267">
        <f>'General information '!C25</f>
        <v>21</v>
      </c>
      <c r="P68" s="119">
        <f t="shared" si="7"/>
        <v>5.6999999999999993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26</v>
      </c>
      <c r="O71" s="267">
        <f>'General information '!C28</f>
        <v>21</v>
      </c>
      <c r="P71" s="119">
        <f t="shared" si="7"/>
        <v>5.1999999999999993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25</v>
      </c>
      <c r="O72" s="267">
        <f>'General information '!C29</f>
        <v>21</v>
      </c>
      <c r="P72" s="119">
        <f t="shared" si="7"/>
        <v>4.6999999999999993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26</v>
      </c>
      <c r="O73" s="267">
        <f>'General information '!C30</f>
        <v>21</v>
      </c>
      <c r="P73" s="119">
        <f t="shared" si="7"/>
        <v>5.1999999999999993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-292.80000000000007</v>
      </c>
      <c r="O81" s="119">
        <f>SUMIF(P48:P78,"&gt;0")</f>
        <v>94.500000000000028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7" t="s">
        <v>174</v>
      </c>
      <c r="O84" s="737" t="s">
        <v>175</v>
      </c>
      <c r="P84" s="134"/>
      <c r="T84" s="134"/>
      <c r="X84" s="134"/>
    </row>
    <row r="85" spans="1:24" ht="20.25" thickBot="1">
      <c r="D85" s="134"/>
      <c r="I85" s="739" t="s">
        <v>182</v>
      </c>
      <c r="J85" s="740"/>
      <c r="K85" s="740"/>
      <c r="L85" s="740"/>
      <c r="N85" s="738"/>
      <c r="O85" s="738"/>
      <c r="P85" s="134"/>
      <c r="R85" s="17"/>
      <c r="S85" s="17"/>
      <c r="T85" s="140"/>
      <c r="U85" s="141"/>
      <c r="X85" s="134"/>
    </row>
    <row r="86" spans="1:24" ht="18.75" thickBot="1">
      <c r="D86" s="134"/>
      <c r="I86" s="741" t="s">
        <v>183</v>
      </c>
      <c r="J86" s="741"/>
      <c r="K86" s="741"/>
      <c r="L86" s="741"/>
      <c r="N86" s="142">
        <f>B43+F43+J43+N43+R43+V43+B81+F81+J81+N81+R81+V81</f>
        <v>-2331.5000000000005</v>
      </c>
      <c r="O86" s="142">
        <f>C43+G43+K43+O43+S43+W43+C81+G81+K81+O81+S81+W81</f>
        <v>1101.4999999999998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1"/>
      <c r="C88" s="731"/>
      <c r="D88" s="731"/>
      <c r="E88" s="731"/>
      <c r="F88" s="731"/>
      <c r="G88" s="731"/>
      <c r="H88" s="731"/>
      <c r="I88" s="731"/>
      <c r="J88" s="731"/>
      <c r="K88" s="731"/>
      <c r="L88" s="731"/>
      <c r="M88" s="731"/>
      <c r="N88" s="731"/>
      <c r="O88" s="731"/>
      <c r="P88" s="731"/>
      <c r="Q88" s="731"/>
      <c r="R88" s="731"/>
      <c r="S88" s="731"/>
      <c r="T88" s="731"/>
      <c r="U88" s="731"/>
      <c r="V88" s="731"/>
      <c r="W88" s="73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391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1403.3870967741937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24735</v>
      </c>
      <c r="C8" s="478">
        <f>SUM(tanks!AU37)</f>
        <v>0.62300000000000011</v>
      </c>
      <c r="D8" s="191">
        <f>SUM(B8*C8)*D4</f>
        <v>23230431.787500005</v>
      </c>
      <c r="E8" s="192">
        <f>SUM(D8/D4/F4)</f>
        <v>3081.9810000000007</v>
      </c>
      <c r="F8" s="192">
        <f>SUM(E8*F4)</f>
        <v>15409.905000000002</v>
      </c>
      <c r="G8" s="595">
        <f>E8*$G$4</f>
        <v>95541.411000000022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3273</v>
      </c>
      <c r="C10" s="181"/>
      <c r="D10" s="183">
        <f>'EDl log'!AB33</f>
        <v>7578285</v>
      </c>
      <c r="E10" s="182">
        <f>SUM(D10/D4/F4)</f>
        <v>1005.4109452736318</v>
      </c>
      <c r="F10" s="182">
        <f>SUM(E10*F4)</f>
        <v>5027.0547263681592</v>
      </c>
      <c r="G10" s="493">
        <f>E10*$G$4</f>
        <v>31167.739303482587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4368.0693646284708</v>
      </c>
      <c r="F12" s="180">
        <f>SUM(F6:F10)</f>
        <v>21840.346823142354</v>
      </c>
      <c r="G12" s="179">
        <f>SUM(G6:G10)</f>
        <v>134909.1503034826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76918.250303482608</v>
      </c>
      <c r="I14" s="415">
        <f>SUM(G12-I12)</f>
        <v>76918.265916385833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73.8</v>
      </c>
      <c r="C16" s="425">
        <f>'[17]Utility Cost '!B16</f>
        <v>25.661290322580644</v>
      </c>
      <c r="D16" s="424"/>
      <c r="E16" s="629">
        <f>B16-C16</f>
        <v>48.138709677419357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159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56</v>
      </c>
      <c r="F18" s="510">
        <f>B18-D18</f>
        <v>-43.666666666666657</v>
      </c>
    </row>
    <row r="19" spans="1:10">
      <c r="A19" s="504" t="s">
        <v>408</v>
      </c>
      <c r="B19" s="502">
        <f>SUM(B18/$F$4)</f>
        <v>31.8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2021-10-27T07:37:04Z</dcterms:modified>
</cp:coreProperties>
</file>