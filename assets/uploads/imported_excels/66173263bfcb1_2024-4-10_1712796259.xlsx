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182" documentId="8_{0497B0DD-18C1-40BD-B9FC-449099B2A16A}" xr6:coauthVersionLast="36" xr6:coauthVersionMax="36" xr10:uidLastSave="{E789307E-8DB7-439E-9FA5-C862A5A866FA}"/>
  <bookViews>
    <workbookView xWindow="-100" yWindow="-100" windowWidth="18190" windowHeight="11470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<sst xmlns="http://schemas.openxmlformats.org/spreadsheetml/2006/main" count="160" uniqueCount="48">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</sst>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L17" sqref="L17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0</v>
      </c>
      <c r="F12" s="10">
        <v>0.2979</v>
      </c>
      <c r="G12" s="13">
        <f>-'Submetering '!J12+'Submetering '!K12</f>
        <v>0</v>
      </c>
      <c r="H12" s="10">
        <v>0.23119999999999999</v>
      </c>
      <c r="I12" s="13">
        <f>'Submetering '!L12+'Submetering '!M12</f>
        <v>0</v>
      </c>
      <c r="J12" s="10">
        <v>2.94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B15" sqref="AB15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 t="str">
        <f>IF((Electrical!E13-Electrical!E12)&lt;0,"0",(Electrical!E13-Electrical!E12))</f>
        <v>0</v>
      </c>
      <c r="I12" s="33" t="str">
        <f>IF((Electrical!F13-Electrical!F12)&lt;0,"0",(Electrical!F13-Electrical!F12))</f>
        <v>0</v>
      </c>
      <c r="J12" s="33">
        <f>IF((Gas!B13-Gas!B12)&lt;0,"0",(Gas!B13-Gas!B12))</f>
        <v>0</v>
      </c>
      <c r="K12" s="33" t="str">
        <f>IF((Gas!C13-Gas!C12)&lt;0,"0",(Gas!C13-Gas!C12))</f>
        <v>0</v>
      </c>
      <c r="L12" s="33">
        <f>(IF((Water!B13-Water!B12)&lt;0,"0",(Water!B13-Water!B12)))*10</f>
        <v>0</v>
      </c>
      <c r="M12" s="33" t="str">
        <f>IF((Water!C13-Water!C12)&lt;0,"0",(Water!C13-Water!C12))</f>
        <v>0</v>
      </c>
      <c r="N12" s="33">
        <f>IF((Water!D13-Water!D12)&lt;0,"0",(Water!D13-Water!D12))</f>
        <v>0</v>
      </c>
      <c r="O12" s="33" t="str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 t="str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 t="str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IF((Electrical!E38-Electrical!E25)&lt;0,"0",(Electrical!E38-Electrical!E25))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IF((Electrical!E27-Electrical!E38)&lt;0,"0",(Electrical!E27-Electrical!E38))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abSelected="1" topLeftCell="A5" zoomScale="70" zoomScaleNormal="70" workbookViewId="0">
      <selection activeCell="K21" sqref="K21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G18" sqref="G18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D4" zoomScale="85" zoomScaleNormal="85" workbookViewId="0">
      <selection activeCell="O22" sqref="O22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c0c63084-832f-4b13-a501-c844d9f3bfed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2024-04-11T00:31:27Z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