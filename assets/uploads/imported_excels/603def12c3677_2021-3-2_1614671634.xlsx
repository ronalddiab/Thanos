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/>
  </bookViews>
  <sheets>
    <sheet name="TOTAL" sheetId="3" r:id="rId1"/>
    <sheet name="Submetering " sheetId="4" r:id="rId2"/>
    <sheet name="FS Seychelles" sheetId="1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4" l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Q3" i="1" l="1"/>
  <c r="Q4" i="1"/>
  <c r="Q5" i="1"/>
  <c r="Q6" i="1"/>
  <c r="Q7" i="1"/>
  <c r="Q13" i="1"/>
  <c r="Q15" i="1"/>
  <c r="Q16" i="1"/>
  <c r="Q8" i="1"/>
  <c r="Q9" i="1"/>
  <c r="Q10" i="1"/>
  <c r="Q11" i="1"/>
  <c r="Q12" i="1"/>
  <c r="Q14" i="1"/>
  <c r="Q17" i="1"/>
  <c r="Q18" i="1"/>
  <c r="Q20" i="1"/>
  <c r="Q19" i="1"/>
  <c r="Q21" i="1"/>
  <c r="Q22" i="1"/>
  <c r="Q23" i="1"/>
  <c r="Q24" i="1"/>
  <c r="Q25" i="1"/>
  <c r="Q26" i="1"/>
  <c r="Q27" i="1"/>
  <c r="Q28" i="1"/>
  <c r="Q30" i="1"/>
  <c r="Q29" i="1"/>
  <c r="R25" i="1"/>
  <c r="R26" i="1"/>
  <c r="R27" i="1"/>
  <c r="R28" i="1"/>
  <c r="R29" i="1"/>
  <c r="R30" i="1"/>
  <c r="R24" i="1"/>
  <c r="AB15" i="1"/>
  <c r="AB9" i="1"/>
  <c r="T3" i="4"/>
  <c r="O3" i="4"/>
  <c r="P3" i="4"/>
  <c r="Q3" i="4"/>
  <c r="R3" i="4"/>
  <c r="S3" i="4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G32" i="3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G31" i="3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1" i="3"/>
  <c r="G24" i="3"/>
  <c r="G29" i="3"/>
  <c r="G2" i="3"/>
  <c r="T17" i="4"/>
  <c r="T15" i="4"/>
  <c r="T20" i="4"/>
  <c r="T22" i="4"/>
  <c r="T25" i="4"/>
  <c r="T24" i="4"/>
  <c r="T30" i="4"/>
  <c r="T14" i="4"/>
  <c r="T2" i="4"/>
  <c r="T5" i="4"/>
  <c r="T10" i="4"/>
  <c r="T13" i="4"/>
  <c r="T8" i="4"/>
  <c r="T7" i="4"/>
  <c r="T6" i="4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 s="1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G22" i="3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G26" i="3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G27" i="3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G28" i="3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G30" i="3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T16" i="4"/>
  <c r="E4" i="3" l="1"/>
  <c r="F4" i="3" s="1"/>
  <c r="E25" i="3"/>
  <c r="F25" i="3" s="1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</calcChain>
</file>

<file path=xl/sharedStrings.xml><?xml version="1.0" encoding="utf-8"?>
<sst xmlns="http://schemas.openxmlformats.org/spreadsheetml/2006/main" count="139" uniqueCount="71">
  <si>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</si>
  <si>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</si>
  <si>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</si>
  <si>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</si>
  <si>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</si>
  <si>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</si>
  <si>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</si>
  <si>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</si>
  <si>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</si>
  <si>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</si>
  <si>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</si>
  <si>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</si>
  <si>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</si>
  <si>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</si>
  <si>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</si>
  <si>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</si>
  <si>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</si>
  <si>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</si>
  <si>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</si>
  <si>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</si>
  <si>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</si>
  <si>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</si>
  <si>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</si>
  <si>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</si>
  <si>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</si>
  <si>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</si>
  <si>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</si>
  <si>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</si>
  <si>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</si>
  <si>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</si>
  <si>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</si>
  <si>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</si>
  <si>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</si>
  <si>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</si>
  <si>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</si>
  <si>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</si>
  <si>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</si>
  <si>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</si>
  <si>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</si>
  <si>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</si>
  <si>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</si>
  <si>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</si>
  <si>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</si>
  <si>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</si>
  <si>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</si>
  <si>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</si>
  <si>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</si>
  <si>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</si>
  <si>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</si>
  <si>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</si>
  <si>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</si>
  <si>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</si>
  <si>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</si>
  <si>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</si>
  <si>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($/Liter)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</si>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</sst>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0.00;[Red]0.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3" fillId="3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1" xfId="0" applyFont="1" applyBorder="1" applyAlignment="1"/>
    <xf numFmtId="0" fontId="12" fillId="0" borderId="6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2" fontId="12" fillId="0" borderId="11" xfId="0" applyNumberFormat="1" applyFont="1" applyBorder="1" applyAlignment="1">
      <alignment vertical="center" wrapText="1"/>
    </xf>
    <xf numFmtId="165" fontId="14" fillId="0" borderId="11" xfId="0" applyNumberFormat="1" applyFont="1" applyBorder="1" applyAlignment="1">
      <alignment horizontal="right"/>
    </xf>
    <xf numFmtId="4" fontId="12" fillId="0" borderId="7" xfId="0" applyNumberFormat="1" applyFont="1" applyBorder="1"/>
    <xf numFmtId="4" fontId="15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5" fillId="0" borderId="7" xfId="0" applyNumberFormat="1" applyFont="1" applyBorder="1" applyAlignment="1">
      <alignment horizontal="right"/>
    </xf>
    <xf numFmtId="165" fontId="14" fillId="0" borderId="11" xfId="0" applyNumberFormat="1" applyFont="1" applyBorder="1" applyAlignment="1">
      <alignment horizontal="right" wrapText="1"/>
    </xf>
    <xf numFmtId="4" fontId="15" fillId="0" borderId="12" xfId="0" applyNumberFormat="1" applyFont="1" applyBorder="1" applyAlignment="1">
      <alignment horizontal="right"/>
    </xf>
    <xf numFmtId="4" fontId="15" fillId="0" borderId="10" xfId="0" applyNumberFormat="1" applyFont="1" applyBorder="1" applyAlignment="1">
      <alignment horizontal="right"/>
    </xf>
    <xf numFmtId="2" fontId="15" fillId="0" borderId="13" xfId="0" applyNumberFormat="1" applyFont="1" applyBorder="1"/>
    <xf numFmtId="2" fontId="15" fillId="0" borderId="11" xfId="0" applyNumberFormat="1" applyFont="1" applyBorder="1"/>
    <xf numFmtId="2" fontId="15" fillId="0" borderId="6" xfId="0" applyNumberFormat="1" applyFont="1" applyBorder="1"/>
    <xf numFmtId="2" fontId="15" fillId="0" borderId="9" xfId="0" applyNumberFormat="1" applyFont="1" applyBorder="1"/>
    <xf numFmtId="4" fontId="15" fillId="0" borderId="9" xfId="0" applyNumberFormat="1" applyFont="1" applyBorder="1" applyAlignment="1">
      <alignment horizontal="right"/>
    </xf>
    <xf numFmtId="3" fontId="12" fillId="0" borderId="9" xfId="0" applyNumberFormat="1" applyFont="1" applyBorder="1"/>
    <xf numFmtId="1" fontId="8" fillId="0" borderId="0" xfId="0" applyNumberFormat="1" applyFont="1"/>
    <xf numFmtId="4" fontId="12" fillId="0" borderId="2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G2" sqref="G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1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9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2</v>
      </c>
      <c r="D2" s="1">
        <v>2021</v>
      </c>
      <c r="E2" s="12">
        <f>'Submetering '!O2+'Submetering '!P2+'Submetering '!Q2+'Submetering '!R2+'Submetering '!S2</f>
        <v>34479</v>
      </c>
      <c r="F2" s="11">
        <f>('FS Seychelles'!Q3*'FS Seychelles'!R3)/TOTAL!E2</f>
        <v>0.24270425476376928</v>
      </c>
      <c r="G2" s="12">
        <f>'Submetering '!AB2</f>
        <v>173.14285714285714</v>
      </c>
      <c r="H2" s="11">
        <v>18.899999999999999</v>
      </c>
      <c r="I2" s="12">
        <f>'FS Seychelles'!S3+'FS Seychelles'!U3+'FS Seychelles'!V3+'FS Seychelles'!W3</f>
        <v>399</v>
      </c>
      <c r="J2" s="11">
        <v>0</v>
      </c>
      <c r="K2" s="30">
        <f>'Submetering '!Z2</f>
        <v>29</v>
      </c>
      <c r="L2" s="11">
        <v>0</v>
      </c>
      <c r="M2" s="74">
        <f>'FS Seychelles'!B3</f>
        <v>29.03</v>
      </c>
    </row>
    <row r="3" spans="1:13" s="15" customFormat="1" x14ac:dyDescent="0.25">
      <c r="A3" s="1" t="s">
        <v>13</v>
      </c>
      <c r="B3" s="14">
        <f>B2+1</f>
        <v>2</v>
      </c>
      <c r="C3" s="11">
        <v>2</v>
      </c>
      <c r="D3" s="1">
        <v>2021</v>
      </c>
      <c r="E3" s="12">
        <f>'Submetering '!O3+'Submetering '!P3+'Submetering '!Q3+'Submetering '!R3+'Submetering '!S3</f>
        <v>15235</v>
      </c>
      <c r="F3" s="11">
        <f>('FS Seychelles'!Q4*'FS Seychelles'!R4)/TOTAL!E3</f>
        <v>0.24191007548408269</v>
      </c>
      <c r="G3" s="12">
        <f>'Submetering '!AB3</f>
        <v>173.14285714285714</v>
      </c>
      <c r="H3" s="11">
        <f>H2</f>
        <v>18.899999999999999</v>
      </c>
      <c r="I3" s="12">
        <f>'FS Seychelles'!S4+'FS Seychelles'!U4+'FS Seychelles'!V4+'FS Seychelles'!W4</f>
        <v>442</v>
      </c>
      <c r="J3" s="11">
        <f>J2</f>
        <v>0</v>
      </c>
      <c r="K3" s="30">
        <f>'Submetering '!Z3</f>
        <v>90</v>
      </c>
      <c r="L3" s="11">
        <f>L2</f>
        <v>0</v>
      </c>
      <c r="M3" s="74">
        <f>'FS Seychelles'!B4</f>
        <v>33.33</v>
      </c>
    </row>
    <row r="4" spans="1:13" s="15" customFormat="1" x14ac:dyDescent="0.25">
      <c r="A4" s="1" t="s">
        <v>13</v>
      </c>
      <c r="B4" s="14">
        <f t="shared" ref="B4:B32" si="0">B3+1</f>
        <v>3</v>
      </c>
      <c r="C4" s="11">
        <v>2</v>
      </c>
      <c r="D4" s="1">
        <v>2021</v>
      </c>
      <c r="E4" s="12">
        <f>'Submetering '!O4+'Submetering '!P4+'Submetering '!Q4+'Submetering '!R4+'Submetering '!S4</f>
        <v>24606</v>
      </c>
      <c r="F4" s="11">
        <f>('FS Seychelles'!Q5*'FS Seychelles'!R5)/TOTAL!E4</f>
        <v>0.25029261155815652</v>
      </c>
      <c r="G4" s="12">
        <f>'Submetering '!AB4</f>
        <v>173.14285714285714</v>
      </c>
      <c r="H4" s="11">
        <f t="shared" ref="H4:H32" si="1">H3</f>
        <v>18.899999999999999</v>
      </c>
      <c r="I4" s="12">
        <f>'FS Seychelles'!S5+'FS Seychelles'!U5+'FS Seychelles'!V5+'FS Seychelles'!W5</f>
        <v>420</v>
      </c>
      <c r="J4" s="11">
        <f t="shared" ref="J4:L32" si="2">J3</f>
        <v>0</v>
      </c>
      <c r="K4" s="30">
        <f>'Submetering '!Z4</f>
        <v>95</v>
      </c>
      <c r="L4" s="11">
        <f t="shared" si="2"/>
        <v>0</v>
      </c>
      <c r="M4" s="74">
        <f>'FS Seychelles'!B5</f>
        <v>31.91</v>
      </c>
    </row>
    <row r="5" spans="1:13" s="15" customFormat="1" x14ac:dyDescent="0.25">
      <c r="A5" s="1" t="s">
        <v>13</v>
      </c>
      <c r="B5" s="14">
        <f t="shared" si="0"/>
        <v>4</v>
      </c>
      <c r="C5" s="11">
        <v>2</v>
      </c>
      <c r="D5" s="1">
        <v>2021</v>
      </c>
      <c r="E5" s="12">
        <f>'Submetering '!O5+'Submetering '!P5+'Submetering '!Q5+'Submetering '!R5+'Submetering '!S5</f>
        <v>23932</v>
      </c>
      <c r="F5" s="11">
        <f>('FS Seychelles'!Q6*'FS Seychelles'!R6)/TOTAL!E5</f>
        <v>0.23989219455122848</v>
      </c>
      <c r="G5" s="12">
        <f>'Submetering '!AB5</f>
        <v>173.14285714285714</v>
      </c>
      <c r="H5" s="11">
        <f t="shared" si="1"/>
        <v>18.899999999999999</v>
      </c>
      <c r="I5" s="12">
        <f>'FS Seychelles'!S6+'FS Seychelles'!U6+'FS Seychelles'!V6+'FS Seychelles'!W6</f>
        <v>340</v>
      </c>
      <c r="J5" s="11">
        <f t="shared" si="2"/>
        <v>0</v>
      </c>
      <c r="K5" s="30">
        <f>'Submetering '!Z5</f>
        <v>102</v>
      </c>
      <c r="L5" s="11">
        <f t="shared" si="2"/>
        <v>0</v>
      </c>
      <c r="M5" s="74">
        <f>'FS Seychelles'!B6</f>
        <v>33.33</v>
      </c>
    </row>
    <row r="6" spans="1:13" s="15" customFormat="1" x14ac:dyDescent="0.25">
      <c r="A6" s="1" t="s">
        <v>13</v>
      </c>
      <c r="B6" s="14">
        <f t="shared" si="0"/>
        <v>5</v>
      </c>
      <c r="C6" s="11">
        <v>2</v>
      </c>
      <c r="D6" s="1">
        <v>2021</v>
      </c>
      <c r="E6" s="12">
        <f>'Submetering '!O6+'Submetering '!P6+'Submetering '!Q6+'Submetering '!R6+'Submetering '!S6</f>
        <v>26056</v>
      </c>
      <c r="F6" s="11">
        <f>('FS Seychelles'!Q7*'FS Seychelles'!R7)/TOTAL!E6</f>
        <v>0.2509748234571692</v>
      </c>
      <c r="G6" s="12">
        <f>'Submetering '!AB6</f>
        <v>173.14285714285714</v>
      </c>
      <c r="H6" s="11">
        <f t="shared" si="1"/>
        <v>18.899999999999999</v>
      </c>
      <c r="I6" s="12">
        <f>'FS Seychelles'!S7+'FS Seychelles'!U7+'FS Seychelles'!V7+'FS Seychelles'!W7</f>
        <v>295</v>
      </c>
      <c r="J6" s="11">
        <f t="shared" si="2"/>
        <v>0</v>
      </c>
      <c r="K6" s="30">
        <f>'Submetering '!Z6</f>
        <v>56</v>
      </c>
      <c r="L6" s="11">
        <f t="shared" si="2"/>
        <v>0</v>
      </c>
      <c r="M6" s="74">
        <f>'FS Seychelles'!B7</f>
        <v>37.1</v>
      </c>
    </row>
    <row r="7" spans="1:13" s="15" customFormat="1" x14ac:dyDescent="0.25">
      <c r="A7" s="1" t="s">
        <v>13</v>
      </c>
      <c r="B7" s="14">
        <f t="shared" si="0"/>
        <v>6</v>
      </c>
      <c r="C7" s="11">
        <v>2</v>
      </c>
      <c r="D7" s="1">
        <v>2021</v>
      </c>
      <c r="E7" s="12">
        <f>'Submetering '!O7+'Submetering '!P7+'Submetering '!Q7+'Submetering '!R7+'Submetering '!S7</f>
        <v>27019</v>
      </c>
      <c r="F7" s="11">
        <f>('FS Seychelles'!Q8*'FS Seychelles'!R8)/TOTAL!E7</f>
        <v>0.23896517265627892</v>
      </c>
      <c r="G7" s="12">
        <f>'Submetering '!AB7</f>
        <v>173.14285714285714</v>
      </c>
      <c r="H7" s="11">
        <f t="shared" si="1"/>
        <v>18.899999999999999</v>
      </c>
      <c r="I7" s="12">
        <f>'FS Seychelles'!S8+'FS Seychelles'!U8+'FS Seychelles'!V8+'FS Seychelles'!W8</f>
        <v>280</v>
      </c>
      <c r="J7" s="11">
        <f t="shared" si="2"/>
        <v>0</v>
      </c>
      <c r="K7" s="30">
        <f>'Submetering '!Z7</f>
        <v>0</v>
      </c>
      <c r="L7" s="11">
        <f t="shared" si="2"/>
        <v>0</v>
      </c>
      <c r="M7" s="74">
        <f>'FS Seychelles'!B8</f>
        <v>32.89</v>
      </c>
    </row>
    <row r="8" spans="1:13" s="15" customFormat="1" x14ac:dyDescent="0.25">
      <c r="A8" s="1" t="s">
        <v>13</v>
      </c>
      <c r="B8" s="14">
        <f t="shared" si="0"/>
        <v>7</v>
      </c>
      <c r="C8" s="11">
        <v>2</v>
      </c>
      <c r="D8" s="1">
        <v>2021</v>
      </c>
      <c r="E8" s="12">
        <f>'Submetering '!O8+'Submetering '!P8+'Submetering '!Q8+'Submetering '!R8+'Submetering '!S8</f>
        <v>26242</v>
      </c>
      <c r="F8" s="11">
        <f>('FS Seychelles'!Q9*'FS Seychelles'!R9)/TOTAL!E8</f>
        <v>0.24442877829433732</v>
      </c>
      <c r="G8" s="12">
        <f>'Submetering '!AB8</f>
        <v>173.14285714285714</v>
      </c>
      <c r="H8" s="11">
        <f t="shared" si="1"/>
        <v>18.899999999999999</v>
      </c>
      <c r="I8" s="12">
        <f>'FS Seychelles'!S9+'FS Seychelles'!U9+'FS Seychelles'!V9+'FS Seychelles'!W9</f>
        <v>524</v>
      </c>
      <c r="J8" s="11">
        <f t="shared" si="2"/>
        <v>0</v>
      </c>
      <c r="K8" s="30">
        <f>'Submetering '!Z8</f>
        <v>104</v>
      </c>
      <c r="L8" s="11">
        <f t="shared" si="2"/>
        <v>0</v>
      </c>
      <c r="M8" s="74">
        <f>'FS Seychelles'!B9</f>
        <v>37.090000000000003</v>
      </c>
    </row>
    <row r="9" spans="1:13" s="15" customFormat="1" x14ac:dyDescent="0.25">
      <c r="A9" s="1" t="s">
        <v>13</v>
      </c>
      <c r="B9" s="14">
        <f t="shared" si="0"/>
        <v>8</v>
      </c>
      <c r="C9" s="11">
        <v>2</v>
      </c>
      <c r="D9" s="1">
        <v>2021</v>
      </c>
      <c r="E9" s="12">
        <f>'Submetering '!O9+'Submetering '!P9+'Submetering '!Q9+'Submetering '!R9+'Submetering '!S9</f>
        <v>27312</v>
      </c>
      <c r="F9" s="11">
        <f>('FS Seychelles'!Q10*'FS Seychelles'!R10)/TOTAL!E9</f>
        <v>0.25030755711775043</v>
      </c>
      <c r="G9" s="12">
        <f>'Submetering '!AB9</f>
        <v>173.14285714285714</v>
      </c>
      <c r="H9" s="11">
        <f t="shared" si="1"/>
        <v>18.899999999999999</v>
      </c>
      <c r="I9" s="12">
        <f>'FS Seychelles'!S10+'FS Seychelles'!U10+'FS Seychelles'!V10+'FS Seychelles'!W10</f>
        <v>417</v>
      </c>
      <c r="J9" s="11">
        <f t="shared" si="2"/>
        <v>0</v>
      </c>
      <c r="K9" s="30">
        <f>'Submetering '!Z9</f>
        <v>103</v>
      </c>
      <c r="L9" s="11">
        <f t="shared" si="2"/>
        <v>0</v>
      </c>
      <c r="M9" s="74">
        <f>'FS Seychelles'!B10</f>
        <v>37.090000000000003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2</v>
      </c>
      <c r="D10" s="1">
        <v>2021</v>
      </c>
      <c r="E10" s="12">
        <f>'Submetering '!O10+'Submetering '!P10+'Submetering '!Q10+'Submetering '!R10+'Submetering '!S10</f>
        <v>28697</v>
      </c>
      <c r="F10" s="11">
        <f>('FS Seychelles'!Q11*'FS Seychelles'!R11)/TOTAL!E10</f>
        <v>0.24591072237516118</v>
      </c>
      <c r="G10" s="12">
        <f>'Submetering '!AB10</f>
        <v>173.14285714285714</v>
      </c>
      <c r="H10" s="11">
        <f t="shared" si="1"/>
        <v>18.899999999999999</v>
      </c>
      <c r="I10" s="12">
        <f>'FS Seychelles'!S11+'FS Seychelles'!U11+'FS Seychelles'!V11+'FS Seychelles'!W11</f>
        <v>436</v>
      </c>
      <c r="J10" s="11">
        <f t="shared" si="2"/>
        <v>0</v>
      </c>
      <c r="K10" s="30">
        <f>'Submetering '!Z10</f>
        <v>106</v>
      </c>
      <c r="L10" s="11">
        <f t="shared" si="2"/>
        <v>0</v>
      </c>
      <c r="M10" s="74">
        <f>'FS Seychelles'!B11</f>
        <v>39.340000000000003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2</v>
      </c>
      <c r="D11" s="1">
        <v>2021</v>
      </c>
      <c r="E11" s="12">
        <f>'Submetering '!O11+'Submetering '!P11+'Submetering '!Q11+'Submetering '!R11+'Submetering '!S11</f>
        <v>24475</v>
      </c>
      <c r="F11" s="11">
        <f>('FS Seychelles'!Q12*'FS Seychelles'!R12)/TOTAL!E11</f>
        <v>0.24883758937691522</v>
      </c>
      <c r="G11" s="12">
        <f>'Submetering '!AB11</f>
        <v>173.14285714285714</v>
      </c>
      <c r="H11" s="11">
        <f t="shared" si="1"/>
        <v>18.899999999999999</v>
      </c>
      <c r="I11" s="12">
        <f>'FS Seychelles'!S12+'FS Seychelles'!U12+'FS Seychelles'!V12+'FS Seychelles'!W12</f>
        <v>482</v>
      </c>
      <c r="J11" s="11">
        <f t="shared" si="2"/>
        <v>0</v>
      </c>
      <c r="K11" s="30">
        <f>'Submetering '!Z11</f>
        <v>60</v>
      </c>
      <c r="L11" s="11">
        <f t="shared" si="2"/>
        <v>0</v>
      </c>
      <c r="M11" s="74">
        <f>'FS Seychelles'!B12</f>
        <v>37.700000000000003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2</v>
      </c>
      <c r="D12" s="1">
        <v>2021</v>
      </c>
      <c r="E12" s="12">
        <f>'Submetering '!O12+'Submetering '!P12+'Submetering '!Q12+'Submetering '!R12+'Submetering '!S12</f>
        <v>24600</v>
      </c>
      <c r="F12" s="11">
        <f>('FS Seychelles'!Q13*'FS Seychelles'!R13)/TOTAL!E12</f>
        <v>0.25796341463414635</v>
      </c>
      <c r="G12" s="12">
        <f>'Submetering '!AB12</f>
        <v>173.14285714285714</v>
      </c>
      <c r="H12" s="11">
        <f t="shared" si="1"/>
        <v>18.899999999999999</v>
      </c>
      <c r="I12" s="12">
        <f>'FS Seychelles'!S13+'FS Seychelles'!U13+'FS Seychelles'!V13+'FS Seychelles'!W13</f>
        <v>323</v>
      </c>
      <c r="J12" s="11">
        <f t="shared" si="2"/>
        <v>0</v>
      </c>
      <c r="K12" s="30">
        <f>'Submetering '!Z12</f>
        <v>105</v>
      </c>
      <c r="L12" s="11">
        <f t="shared" si="2"/>
        <v>0</v>
      </c>
      <c r="M12" s="74">
        <f>'FS Seychelles'!B13</f>
        <v>28.42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2</v>
      </c>
      <c r="D13" s="1">
        <v>2021</v>
      </c>
      <c r="E13" s="12">
        <f>'Submetering '!O13+'Submetering '!P13+'Submetering '!Q13+'Submetering '!R13+'Submetering '!S13</f>
        <v>25705</v>
      </c>
      <c r="F13" s="11">
        <f>('FS Seychelles'!Q14*'FS Seychelles'!R14)/TOTAL!E13</f>
        <v>0.27943590741100954</v>
      </c>
      <c r="G13" s="12">
        <f>'Submetering '!AB13</f>
        <v>173.14285714285714</v>
      </c>
      <c r="H13" s="11">
        <f t="shared" si="1"/>
        <v>18.899999999999999</v>
      </c>
      <c r="I13" s="12">
        <f>'FS Seychelles'!S14+'FS Seychelles'!U14+'FS Seychelles'!V14+'FS Seychelles'!W14</f>
        <v>371</v>
      </c>
      <c r="J13" s="11">
        <f t="shared" si="2"/>
        <v>0</v>
      </c>
      <c r="K13" s="30">
        <f>'Submetering '!Z13</f>
        <v>1</v>
      </c>
      <c r="L13" s="11">
        <f t="shared" si="2"/>
        <v>0</v>
      </c>
      <c r="M13" s="74">
        <f>'FS Seychelles'!B14</f>
        <v>27.37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2</v>
      </c>
      <c r="D14" s="1">
        <v>2021</v>
      </c>
      <c r="E14" s="12">
        <f>'Submetering '!O14+'Submetering '!P14+'Submetering '!Q14+'Submetering '!R14+'Submetering '!S14</f>
        <v>26412</v>
      </c>
      <c r="F14" s="11">
        <f>('FS Seychelles'!Q15*'FS Seychelles'!R15)/TOTAL!E14</f>
        <v>0.27052476147205817</v>
      </c>
      <c r="G14" s="12">
        <f>'Submetering '!AB14</f>
        <v>173.14285714285714</v>
      </c>
      <c r="H14" s="11">
        <f t="shared" si="1"/>
        <v>18.899999999999999</v>
      </c>
      <c r="I14" s="12">
        <f>'FS Seychelles'!S15+'FS Seychelles'!U15+'FS Seychelles'!V15+'FS Seychelles'!W15</f>
        <v>382</v>
      </c>
      <c r="J14" s="11">
        <f t="shared" si="2"/>
        <v>0</v>
      </c>
      <c r="K14" s="30">
        <f>'Submetering '!Z14</f>
        <v>38</v>
      </c>
      <c r="L14" s="11">
        <f t="shared" si="2"/>
        <v>0</v>
      </c>
      <c r="M14" s="74">
        <f>'FS Seychelles'!B15</f>
        <v>27.37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2</v>
      </c>
      <c r="D15" s="1">
        <v>2021</v>
      </c>
      <c r="E15" s="12">
        <f>'Submetering '!O15+'Submetering '!P15+'Submetering '!Q15+'Submetering '!R15+'Submetering '!S15</f>
        <v>26789</v>
      </c>
      <c r="F15" s="11">
        <f>('FS Seychelles'!Q16*'FS Seychelles'!R16)/TOTAL!E15</f>
        <v>0.23822837731904889</v>
      </c>
      <c r="G15" s="12">
        <f>'Submetering '!AB15</f>
        <v>173.14285714285714</v>
      </c>
      <c r="H15" s="11">
        <f t="shared" si="1"/>
        <v>18.899999999999999</v>
      </c>
      <c r="I15" s="12">
        <f>'FS Seychelles'!S16+'FS Seychelles'!U16+'FS Seychelles'!V16+'FS Seychelles'!W16</f>
        <v>367</v>
      </c>
      <c r="J15" s="11">
        <f t="shared" si="2"/>
        <v>0</v>
      </c>
      <c r="K15" s="30">
        <f>'Submetering '!Z15</f>
        <v>130</v>
      </c>
      <c r="L15" s="11">
        <f t="shared" si="2"/>
        <v>0</v>
      </c>
      <c r="M15" s="74">
        <f>'FS Seychelles'!B16</f>
        <v>28.42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2</v>
      </c>
      <c r="D16" s="1">
        <v>2021</v>
      </c>
      <c r="E16" s="12">
        <f>'Submetering '!O16+'Submetering '!P16+'Submetering '!Q16+'Submetering '!R16+'Submetering '!S16</f>
        <v>26858</v>
      </c>
      <c r="F16" s="11">
        <f>('FS Seychelles'!Q17*'FS Seychelles'!R17)/TOTAL!E16</f>
        <v>0.24934470176483731</v>
      </c>
      <c r="G16" s="12">
        <f>'Submetering '!AB16</f>
        <v>173.14285714285714</v>
      </c>
      <c r="H16" s="11">
        <f t="shared" si="1"/>
        <v>18.899999999999999</v>
      </c>
      <c r="I16" s="12">
        <f>'FS Seychelles'!S17+'FS Seychelles'!U17+'FS Seychelles'!V17+'FS Seychelles'!W17</f>
        <v>413</v>
      </c>
      <c r="J16" s="11">
        <f t="shared" si="2"/>
        <v>0</v>
      </c>
      <c r="K16" s="30">
        <f>'Submetering '!Z16</f>
        <v>118</v>
      </c>
      <c r="L16" s="11">
        <f t="shared" si="2"/>
        <v>0</v>
      </c>
      <c r="M16" s="74">
        <f>'FS Seychelles'!B17</f>
        <v>10.52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2</v>
      </c>
      <c r="D17" s="1">
        <v>2021</v>
      </c>
      <c r="E17" s="12">
        <f>'Submetering '!O17+'Submetering '!P17+'Submetering '!Q17+'Submetering '!R17+'Submetering '!S17</f>
        <v>28874</v>
      </c>
      <c r="F17" s="11">
        <f>('FS Seychelles'!Q18*'FS Seychelles'!R18)/TOTAL!E17</f>
        <v>0.23601856341345157</v>
      </c>
      <c r="G17" s="12">
        <f>'Submetering '!AB17</f>
        <v>173.14285714285714</v>
      </c>
      <c r="H17" s="11">
        <f t="shared" si="1"/>
        <v>18.899999999999999</v>
      </c>
      <c r="I17" s="12">
        <f>'FS Seychelles'!S18+'FS Seychelles'!U18+'FS Seychelles'!V18+'FS Seychelles'!W18</f>
        <v>502</v>
      </c>
      <c r="J17" s="11">
        <f t="shared" si="2"/>
        <v>0</v>
      </c>
      <c r="K17" s="30">
        <f>'Submetering '!Z17</f>
        <v>117</v>
      </c>
      <c r="L17" s="11">
        <f t="shared" si="2"/>
        <v>0</v>
      </c>
      <c r="M17" s="74">
        <f>'FS Seychelles'!B18</f>
        <v>13.33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2</v>
      </c>
      <c r="D18" s="1">
        <v>2021</v>
      </c>
      <c r="E18" s="12">
        <f>'Submetering '!O18+'Submetering '!P18+'Submetering '!Q18+'Submetering '!R18+'Submetering '!S18</f>
        <v>23077</v>
      </c>
      <c r="F18" s="11">
        <f>('FS Seychelles'!Q19*'FS Seychelles'!R19)/TOTAL!E18</f>
        <v>0.34304285652381161</v>
      </c>
      <c r="G18" s="12">
        <f>'Submetering '!AB18</f>
        <v>173.14285714285714</v>
      </c>
      <c r="H18" s="11">
        <f t="shared" si="1"/>
        <v>18.899999999999999</v>
      </c>
      <c r="I18" s="12">
        <f>'FS Seychelles'!S19+'FS Seychelles'!U19+'FS Seychelles'!V19+'FS Seychelles'!W19</f>
        <v>451</v>
      </c>
      <c r="J18" s="11">
        <f t="shared" si="2"/>
        <v>0</v>
      </c>
      <c r="K18" s="30">
        <f>'Submetering '!Z18</f>
        <v>112</v>
      </c>
      <c r="L18" s="11">
        <f t="shared" si="2"/>
        <v>0</v>
      </c>
      <c r="M18" s="74">
        <f>'FS Seychelles'!B19</f>
        <v>11.86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2</v>
      </c>
      <c r="D19" s="1">
        <v>2021</v>
      </c>
      <c r="E19" s="12">
        <f>'Submetering '!O19+'Submetering '!P19+'Submetering '!Q19+'Submetering '!R19+'Submetering '!S19</f>
        <v>29862</v>
      </c>
      <c r="F19" s="11">
        <f>('FS Seychelles'!Q20*'FS Seychelles'!R20)/TOTAL!E19</f>
        <v>0.23698010849909584</v>
      </c>
      <c r="G19" s="12">
        <f>'Submetering '!AB19</f>
        <v>173.14285714285714</v>
      </c>
      <c r="H19" s="11">
        <f t="shared" si="1"/>
        <v>18.899999999999999</v>
      </c>
      <c r="I19" s="12">
        <f>'FS Seychelles'!S20+'FS Seychelles'!U20+'FS Seychelles'!V20+'FS Seychelles'!W20</f>
        <v>460</v>
      </c>
      <c r="J19" s="11">
        <f t="shared" si="2"/>
        <v>0</v>
      </c>
      <c r="K19" s="30">
        <f>'Submetering '!Z19</f>
        <v>116</v>
      </c>
      <c r="L19" s="11">
        <f t="shared" si="2"/>
        <v>0</v>
      </c>
      <c r="M19" s="74">
        <f>'FS Seychelles'!B20</f>
        <v>11.88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2</v>
      </c>
      <c r="D20" s="1">
        <v>2021</v>
      </c>
      <c r="E20" s="12">
        <f>'Submetering '!O20+'Submetering '!P20+'Submetering '!Q20+'Submetering '!R20+'Submetering '!S20</f>
        <v>18947</v>
      </c>
      <c r="F20" s="11">
        <f>('FS Seychelles'!Q21*'FS Seychelles'!R21)/TOTAL!E20</f>
        <v>0.27982794109885473</v>
      </c>
      <c r="G20" s="12">
        <f>'Submetering '!AB20</f>
        <v>173.14285714285714</v>
      </c>
      <c r="H20" s="11">
        <f t="shared" si="1"/>
        <v>18.899999999999999</v>
      </c>
      <c r="I20" s="12">
        <f>'FS Seychelles'!S21+'FS Seychelles'!U21+'FS Seychelles'!V21+'FS Seychelles'!W21</f>
        <v>400</v>
      </c>
      <c r="J20" s="11">
        <f t="shared" si="2"/>
        <v>0</v>
      </c>
      <c r="K20" s="30">
        <f>'Submetering '!Z20</f>
        <v>109</v>
      </c>
      <c r="L20" s="11">
        <f t="shared" si="2"/>
        <v>0</v>
      </c>
      <c r="M20" s="74">
        <f>'FS Seychelles'!B21</f>
        <v>13.11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2</v>
      </c>
      <c r="D21" s="1">
        <v>2021</v>
      </c>
      <c r="E21" s="12">
        <f>'Submetering '!O21+'Submetering '!P21+'Submetering '!Q21+'Submetering '!R21+'Submetering '!S21</f>
        <v>29380</v>
      </c>
      <c r="F21" s="11">
        <f>('FS Seychelles'!Q22*'FS Seychelles'!R22)/TOTAL!E21</f>
        <v>0.23716133424098026</v>
      </c>
      <c r="G21" s="12">
        <f>'Submetering '!AB21</f>
        <v>173.14285714285714</v>
      </c>
      <c r="H21" s="11">
        <f t="shared" si="1"/>
        <v>18.899999999999999</v>
      </c>
      <c r="I21" s="12">
        <f>'FS Seychelles'!S22+'FS Seychelles'!U22+'FS Seychelles'!V22+'FS Seychelles'!W22</f>
        <v>350</v>
      </c>
      <c r="J21" s="11">
        <f t="shared" si="2"/>
        <v>0</v>
      </c>
      <c r="K21" s="30">
        <f>'Submetering '!Z21</f>
        <v>97</v>
      </c>
      <c r="L21" s="11">
        <f t="shared" si="2"/>
        <v>0</v>
      </c>
      <c r="M21" s="74">
        <f>'FS Seychelles'!B22</f>
        <v>13.11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2</v>
      </c>
      <c r="D22" s="1">
        <v>2021</v>
      </c>
      <c r="E22" s="12">
        <f>'Submetering '!O22+'Submetering '!P22+'Submetering '!Q22+'Submetering '!R22+'Submetering '!S22</f>
        <v>25935</v>
      </c>
      <c r="F22" s="11">
        <f>('FS Seychelles'!Q23*'FS Seychelles'!R23)/TOTAL!E22</f>
        <v>0.25072296124927707</v>
      </c>
      <c r="G22" s="12">
        <f>'Submetering '!AB22</f>
        <v>173.14285714285714</v>
      </c>
      <c r="H22" s="11">
        <f t="shared" si="1"/>
        <v>18.899999999999999</v>
      </c>
      <c r="I22" s="12">
        <f>'FS Seychelles'!S23+'FS Seychelles'!U23+'FS Seychelles'!V23+'FS Seychelles'!W23</f>
        <v>347</v>
      </c>
      <c r="J22" s="11">
        <f t="shared" si="2"/>
        <v>0</v>
      </c>
      <c r="K22" s="30">
        <f>'Submetering '!Z22</f>
        <v>14</v>
      </c>
      <c r="L22" s="11">
        <f t="shared" si="2"/>
        <v>0</v>
      </c>
      <c r="M22" s="74">
        <f>'FS Seychelles'!B23</f>
        <v>14.75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2</v>
      </c>
      <c r="D23" s="1">
        <v>2021</v>
      </c>
      <c r="E23" s="12">
        <f>'Submetering '!O23+'Submetering '!P23+'Submetering '!Q23+'Submetering '!R23+'Submetering '!S23</f>
        <v>26456</v>
      </c>
      <c r="F23" s="11">
        <f>('FS Seychelles'!Q24*'FS Seychelles'!R24)/TOTAL!E23</f>
        <v>0.26024833686120352</v>
      </c>
      <c r="G23" s="12">
        <f>'Submetering '!AB23</f>
        <v>173.14285714285714</v>
      </c>
      <c r="H23" s="11">
        <f t="shared" si="1"/>
        <v>18.899999999999999</v>
      </c>
      <c r="I23" s="12">
        <f>'FS Seychelles'!S24+'FS Seychelles'!U24+'FS Seychelles'!V24+'FS Seychelles'!W24</f>
        <v>522</v>
      </c>
      <c r="J23" s="11">
        <f t="shared" si="2"/>
        <v>0</v>
      </c>
      <c r="K23" s="30">
        <f>'Submetering '!Z23</f>
        <v>44</v>
      </c>
      <c r="L23" s="11">
        <f t="shared" si="2"/>
        <v>0</v>
      </c>
      <c r="M23" s="74">
        <f>'FS Seychelles'!B24</f>
        <v>15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2</v>
      </c>
      <c r="D24" s="1">
        <v>2021</v>
      </c>
      <c r="E24" s="12">
        <f>'Submetering '!O24+'Submetering '!P24+'Submetering '!Q24+'Submetering '!R24+'Submetering '!S24</f>
        <v>28239</v>
      </c>
      <c r="F24" s="11">
        <f>('FS Seychelles'!Q25*'FS Seychelles'!R25)/TOTAL!E24</f>
        <v>0.2589595948865045</v>
      </c>
      <c r="G24" s="12">
        <f>'Submetering '!AB24</f>
        <v>173.14285714285714</v>
      </c>
      <c r="H24" s="11">
        <f t="shared" si="1"/>
        <v>18.899999999999999</v>
      </c>
      <c r="I24" s="12">
        <f>'FS Seychelles'!S25+'FS Seychelles'!U25+'FS Seychelles'!V25+'FS Seychelles'!W25</f>
        <v>484</v>
      </c>
      <c r="J24" s="11">
        <f t="shared" si="2"/>
        <v>0</v>
      </c>
      <c r="K24" s="30">
        <f>'Submetering '!Z24</f>
        <v>123</v>
      </c>
      <c r="L24" s="11">
        <f t="shared" si="2"/>
        <v>0</v>
      </c>
      <c r="M24" s="74">
        <f>'FS Seychelles'!B25</f>
        <v>15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2</v>
      </c>
      <c r="D25" s="1">
        <v>2021</v>
      </c>
      <c r="E25" s="12">
        <f>'Submetering '!O25+'Submetering '!P25+'Submetering '!Q25+'Submetering '!R25+'Submetering '!S25</f>
        <v>27727</v>
      </c>
      <c r="F25" s="11">
        <f>('FS Seychelles'!Q26*'FS Seychelles'!R26)/TOTAL!E25</f>
        <v>0.26032567533451151</v>
      </c>
      <c r="G25" s="12">
        <f>'Submetering '!AB25</f>
        <v>173.14285714285714</v>
      </c>
      <c r="H25" s="11">
        <f t="shared" si="1"/>
        <v>18.899999999999999</v>
      </c>
      <c r="I25" s="12">
        <f>'FS Seychelles'!S26+'FS Seychelles'!U26+'FS Seychelles'!V26+'FS Seychelles'!W26</f>
        <v>486</v>
      </c>
      <c r="J25" s="11">
        <f t="shared" si="2"/>
        <v>0</v>
      </c>
      <c r="K25" s="30">
        <f>'Submetering '!Z25</f>
        <v>117</v>
      </c>
      <c r="L25" s="11">
        <f t="shared" si="2"/>
        <v>0</v>
      </c>
      <c r="M25" s="74">
        <f>'FS Seychelles'!B26</f>
        <v>16.95</v>
      </c>
    </row>
    <row r="26" spans="1:13" s="15" customFormat="1" x14ac:dyDescent="0.25">
      <c r="A26" s="1" t="s">
        <v>13</v>
      </c>
      <c r="B26" s="14">
        <f>B25+1</f>
        <v>25</v>
      </c>
      <c r="C26" s="11">
        <v>2</v>
      </c>
      <c r="D26" s="1">
        <v>2021</v>
      </c>
      <c r="E26" s="12">
        <f>'Submetering '!O26+'Submetering '!P26+'Submetering '!Q26+'Submetering '!R26+'Submetering '!S26</f>
        <v>28256</v>
      </c>
      <c r="F26" s="11">
        <f>('FS Seychelles'!Q27*'FS Seychelles'!R27)/TOTAL!E26</f>
        <v>0.27343006795016989</v>
      </c>
      <c r="G26" s="12">
        <f>'Submetering '!AB26</f>
        <v>173.14285714285714</v>
      </c>
      <c r="H26" s="11">
        <f t="shared" si="1"/>
        <v>18.899999999999999</v>
      </c>
      <c r="I26" s="12">
        <f>'FS Seychelles'!S27+'FS Seychelles'!U27+'FS Seychelles'!V27+'FS Seychelles'!W27</f>
        <v>552</v>
      </c>
      <c r="J26" s="11">
        <f t="shared" si="2"/>
        <v>0</v>
      </c>
      <c r="K26" s="30">
        <f>'Submetering '!Z26</f>
        <v>113</v>
      </c>
      <c r="L26" s="11">
        <f t="shared" si="2"/>
        <v>0</v>
      </c>
      <c r="M26" s="74">
        <f>'FS Seychelles'!B27</f>
        <v>11.32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2</v>
      </c>
      <c r="D27" s="1">
        <v>2021</v>
      </c>
      <c r="E27" s="12">
        <f>'Submetering '!O27+'Submetering '!P27+'Submetering '!Q27+'Submetering '!R27+'Submetering '!S27</f>
        <v>28356</v>
      </c>
      <c r="F27" s="11">
        <f>('FS Seychelles'!Q28*'FS Seychelles'!R28)/TOTAL!E27</f>
        <v>0.25279670381341984</v>
      </c>
      <c r="G27" s="12">
        <f>'Submetering '!AB27</f>
        <v>173.14285714285714</v>
      </c>
      <c r="H27" s="11">
        <f t="shared" si="1"/>
        <v>18.899999999999999</v>
      </c>
      <c r="I27" s="12">
        <f>'FS Seychelles'!S28+'FS Seychelles'!U28+'FS Seychelles'!V28+'FS Seychelles'!W28</f>
        <v>430</v>
      </c>
      <c r="J27" s="11">
        <f t="shared" si="2"/>
        <v>0</v>
      </c>
      <c r="K27" s="30">
        <f>'Submetering '!Z27</f>
        <v>114</v>
      </c>
      <c r="L27" s="11">
        <f t="shared" si="2"/>
        <v>0</v>
      </c>
      <c r="M27" s="74">
        <f>'FS Seychelles'!B28</f>
        <v>12.06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2</v>
      </c>
      <c r="D28" s="1">
        <v>2021</v>
      </c>
      <c r="E28" s="12">
        <f>'Submetering '!O28+'Submetering '!P28+'Submetering '!Q28+'Submetering '!R28+'Submetering '!S28</f>
        <v>24177</v>
      </c>
      <c r="F28" s="11">
        <f>('FS Seychelles'!Q29*'FS Seychelles'!R29)/TOTAL!E28</f>
        <v>0.28058581847761649</v>
      </c>
      <c r="G28" s="12">
        <f>'Submetering '!AB28</f>
        <v>173.14285714285714</v>
      </c>
      <c r="H28" s="11">
        <f t="shared" si="1"/>
        <v>18.899999999999999</v>
      </c>
      <c r="I28" s="12">
        <f>'FS Seychelles'!S29+'FS Seychelles'!U29+'FS Seychelles'!V29+'FS Seychelles'!W29</f>
        <v>445</v>
      </c>
      <c r="J28" s="11">
        <f t="shared" si="2"/>
        <v>0</v>
      </c>
      <c r="K28" s="30">
        <f>'Submetering '!Z28</f>
        <v>76</v>
      </c>
      <c r="L28" s="11">
        <f t="shared" si="2"/>
        <v>0</v>
      </c>
      <c r="M28" s="74">
        <f>'FS Seychelles'!B29</f>
        <v>10.17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2</v>
      </c>
      <c r="D29" s="1">
        <v>2021</v>
      </c>
      <c r="E29" s="12">
        <f>'Submetering '!O29+'Submetering '!P29+'Submetering '!Q29+'Submetering '!R29+'Submetering '!S29</f>
        <v>26597</v>
      </c>
      <c r="F29" s="11">
        <f>('FS Seychelles'!Q30*'FS Seychelles'!R30)/TOTAL!E29</f>
        <v>0.25433657931345643</v>
      </c>
      <c r="G29" s="12">
        <f>'Submetering '!AB29</f>
        <v>173.14285714285714</v>
      </c>
      <c r="H29" s="11">
        <f t="shared" si="1"/>
        <v>18.899999999999999</v>
      </c>
      <c r="I29" s="12">
        <f>'FS Seychelles'!S30+'FS Seychelles'!U30+'FS Seychelles'!V30+'FS Seychelles'!W30</f>
        <v>804</v>
      </c>
      <c r="J29" s="11">
        <f t="shared" si="2"/>
        <v>0</v>
      </c>
      <c r="K29" s="30">
        <f>'Submetering '!Z29</f>
        <v>0</v>
      </c>
      <c r="L29" s="11">
        <f t="shared" si="2"/>
        <v>0</v>
      </c>
      <c r="M29" s="74">
        <f>'FS Seychelles'!B30</f>
        <v>10.17</v>
      </c>
    </row>
    <row r="30" spans="1:13" s="15" customFormat="1" x14ac:dyDescent="0.25">
      <c r="A30" s="1" t="s">
        <v>13</v>
      </c>
      <c r="B30" s="14">
        <f t="shared" si="0"/>
        <v>29</v>
      </c>
      <c r="C30" s="11"/>
      <c r="D30" s="1">
        <v>2021</v>
      </c>
      <c r="E30" s="12">
        <f>'Submetering '!O30+'Submetering '!P30+'Submetering '!Q30+'Submetering '!R30+'Submetering '!S30</f>
        <v>0</v>
      </c>
      <c r="F30" s="11" t="e">
        <f>('FS Seychelles'!Q31*'FS Seychelles'!R31)/TOTAL!E30</f>
        <v>#DIV/0!</v>
      </c>
      <c r="G30" s="12">
        <f>'Submetering '!AB30</f>
        <v>173.14285714285714</v>
      </c>
      <c r="H30" s="11">
        <f t="shared" si="1"/>
        <v>18.899999999999999</v>
      </c>
      <c r="I30" s="12">
        <f>'FS Seychelles'!S31+'FS Seychelles'!U31+'FS Seychelles'!V31+'FS Seychelles'!W31</f>
        <v>0</v>
      </c>
      <c r="J30" s="11">
        <f t="shared" si="2"/>
        <v>0</v>
      </c>
      <c r="K30" s="30">
        <f>'Submetering '!Z30</f>
        <v>0</v>
      </c>
      <c r="L30" s="11">
        <f t="shared" si="2"/>
        <v>0</v>
      </c>
      <c r="M30" s="74">
        <f>'FS Seychelles'!B31</f>
        <v>0</v>
      </c>
    </row>
    <row r="31" spans="1:13" s="13" customFormat="1" x14ac:dyDescent="0.25">
      <c r="A31" s="1" t="s">
        <v>13</v>
      </c>
      <c r="B31" s="14">
        <f t="shared" si="0"/>
        <v>30</v>
      </c>
      <c r="C31" s="11"/>
      <c r="D31" s="1">
        <v>2021</v>
      </c>
      <c r="E31" s="12">
        <f>'Submetering '!O31+'Submetering '!P31+'Submetering '!Q31+'Submetering '!R31+'Submetering '!S31</f>
        <v>0</v>
      </c>
      <c r="F31" s="11" t="e">
        <f>('FS Seychelles'!Q32*'FS Seychelles'!R32)/TOTAL!E31</f>
        <v>#DIV/0!</v>
      </c>
      <c r="G31" s="12">
        <f>'Submetering '!AB31</f>
        <v>173.14285714285714</v>
      </c>
      <c r="H31" s="11">
        <f t="shared" si="1"/>
        <v>18.899999999999999</v>
      </c>
      <c r="I31" s="12">
        <f>'FS Seychelles'!S32+'FS Seychelles'!U32+'FS Seychelles'!V32+'FS Seychelles'!W32</f>
        <v>0</v>
      </c>
      <c r="J31" s="11">
        <f t="shared" si="2"/>
        <v>0</v>
      </c>
      <c r="K31" s="30">
        <f>'Submetering '!Z31</f>
        <v>0</v>
      </c>
      <c r="L31" s="11">
        <f t="shared" si="2"/>
        <v>0</v>
      </c>
      <c r="M31" s="74">
        <f>'FS Seychelles'!B32</f>
        <v>0</v>
      </c>
    </row>
    <row r="32" spans="1:13" x14ac:dyDescent="0.25">
      <c r="A32" s="1" t="s">
        <v>13</v>
      </c>
      <c r="B32" s="14">
        <f t="shared" si="0"/>
        <v>31</v>
      </c>
      <c r="C32" s="11"/>
      <c r="D32" s="1">
        <v>2021</v>
      </c>
      <c r="E32" s="12">
        <f>'Submetering '!O32+'Submetering '!P32+'Submetering '!Q32+'Submetering '!R32+'Submetering '!S32</f>
        <v>0</v>
      </c>
      <c r="F32" s="11" t="e">
        <f>('FS Seychelles'!Q33*'FS Seychelles'!R33)/TOTAL!E32</f>
        <v>#DIV/0!</v>
      </c>
      <c r="G32" s="12">
        <f>'Submetering '!AB32</f>
        <v>173.14285714285714</v>
      </c>
      <c r="H32" s="11">
        <f t="shared" si="1"/>
        <v>18.899999999999999</v>
      </c>
      <c r="I32" s="12">
        <f>'FS Seychelles'!S33+'FS Seychelles'!U33+'FS Seychelles'!V33+'FS Seychelles'!W33</f>
        <v>0</v>
      </c>
      <c r="J32" s="11">
        <f t="shared" si="2"/>
        <v>0</v>
      </c>
      <c r="K32" s="30">
        <f>'Submetering '!Z32</f>
        <v>0</v>
      </c>
      <c r="L32" s="11">
        <f t="shared" si="2"/>
        <v>0</v>
      </c>
      <c r="M32" s="74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D7" sqref="D7"/>
    </sheetView>
  </sheetViews>
  <sheetFormatPr defaultColWidth="11.5703125" defaultRowHeight="15" x14ac:dyDescent="0.25"/>
  <cols>
    <col min="1" max="1" width="22.28515625" style="27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8" t="s">
        <v>0</v>
      </c>
      <c r="B1" s="25" t="s">
        <v>1</v>
      </c>
      <c r="C1" s="25" t="s">
        <v>2</v>
      </c>
      <c r="D1" s="25" t="s">
        <v>3</v>
      </c>
      <c r="E1" s="26" t="s">
        <v>14</v>
      </c>
      <c r="F1" s="26" t="s">
        <v>15</v>
      </c>
      <c r="G1" s="26" t="s">
        <v>16</v>
      </c>
      <c r="H1" s="26" t="s">
        <v>17</v>
      </c>
      <c r="I1" s="26" t="s">
        <v>18</v>
      </c>
      <c r="J1" s="26" t="s">
        <v>19</v>
      </c>
      <c r="K1" s="26" t="s">
        <v>20</v>
      </c>
      <c r="L1" s="26" t="s">
        <v>21</v>
      </c>
      <c r="M1" s="26" t="s">
        <v>22</v>
      </c>
      <c r="N1" s="26" t="s">
        <v>23</v>
      </c>
      <c r="O1" s="26" t="s">
        <v>24</v>
      </c>
      <c r="P1" s="26" t="s">
        <v>25</v>
      </c>
      <c r="Q1" s="26" t="s">
        <v>26</v>
      </c>
      <c r="R1" s="26" t="s">
        <v>27</v>
      </c>
      <c r="S1" s="26" t="s">
        <v>28</v>
      </c>
      <c r="T1" s="26" t="s">
        <v>29</v>
      </c>
      <c r="U1" s="26" t="s">
        <v>30</v>
      </c>
      <c r="V1" s="26" t="s">
        <v>31</v>
      </c>
      <c r="W1" s="26" t="s">
        <v>32</v>
      </c>
      <c r="X1" s="26" t="s">
        <v>33</v>
      </c>
      <c r="Y1" s="26" t="s">
        <v>34</v>
      </c>
      <c r="Z1" s="26" t="s">
        <v>35</v>
      </c>
      <c r="AA1" s="26" t="s">
        <v>36</v>
      </c>
      <c r="AB1" s="26" t="s">
        <v>37</v>
      </c>
    </row>
    <row r="2" spans="1:28" x14ac:dyDescent="0.25">
      <c r="A2" s="1" t="s">
        <v>13</v>
      </c>
      <c r="B2" s="11">
        <v>1</v>
      </c>
      <c r="C2" s="11">
        <v>2</v>
      </c>
      <c r="D2" s="11">
        <v>2021</v>
      </c>
      <c r="E2" s="18">
        <f>'FS Seychelles'!B3</f>
        <v>29.03</v>
      </c>
      <c r="F2" s="18">
        <f>'FS Seychelles'!C3*1000</f>
        <v>3011.8399999999997</v>
      </c>
      <c r="G2" s="18">
        <f>'FS Seychelles'!D3*1000</f>
        <v>3620.864</v>
      </c>
      <c r="H2" s="18">
        <f>'FS Seychelles'!E3*1000</f>
        <v>3949.5680000000002</v>
      </c>
      <c r="I2" s="18">
        <f>'FS Seychelles'!F3*1000</f>
        <v>1660.9279999999999</v>
      </c>
      <c r="J2" s="18">
        <f>'FS Seychelles'!G3*1000</f>
        <v>3227.3919999999998</v>
      </c>
      <c r="K2" s="18">
        <f>'FS Seychelles'!H3*1000</f>
        <v>2417.4079999999999</v>
      </c>
      <c r="L2" s="18">
        <f>'FS Seychelles'!I3*1000</f>
        <v>1159.9360000000001</v>
      </c>
      <c r="M2" s="18">
        <f>'FS Seychelles'!J3*1000</f>
        <v>1337.6</v>
      </c>
      <c r="N2" s="18">
        <f>'FS Seychelles'!K3*1000</f>
        <v>3235.328</v>
      </c>
      <c r="O2" s="18">
        <f>'FS Seychelles'!L3</f>
        <v>6005</v>
      </c>
      <c r="P2" s="18">
        <f>'FS Seychelles'!M3</f>
        <v>9225</v>
      </c>
      <c r="Q2" s="18">
        <f>'FS Seychelles'!N3</f>
        <v>9898</v>
      </c>
      <c r="R2" s="18">
        <f>'FS Seychelles'!O3</f>
        <v>9351</v>
      </c>
      <c r="S2" s="18">
        <f>'FS Seychelles'!P3</f>
        <v>0</v>
      </c>
      <c r="T2" s="18">
        <f>'FS Seychelles'!Q3</f>
        <v>9298</v>
      </c>
      <c r="U2" s="18">
        <f>'FS Seychelles'!S3</f>
        <v>28</v>
      </c>
      <c r="V2" s="18">
        <f>'FS Seychelles'!T3</f>
        <v>47</v>
      </c>
      <c r="W2" s="18">
        <f>'FS Seychelles'!U3</f>
        <v>48</v>
      </c>
      <c r="X2" s="18">
        <f>'FS Seychelles'!V3</f>
        <v>220</v>
      </c>
      <c r="Y2" s="18">
        <f>'FS Seychelles'!W3</f>
        <v>103</v>
      </c>
      <c r="Z2" s="18">
        <f>'FS Seychelles'!X3</f>
        <v>29</v>
      </c>
      <c r="AA2" s="18">
        <f>'FS Seychelles'!Y3</f>
        <v>0</v>
      </c>
      <c r="AB2" s="18">
        <f>('FS Seychelles'!$AB$9+'FS Seychelles'!$AB$15)/28</f>
        <v>173.14285714285714</v>
      </c>
    </row>
    <row r="3" spans="1:28" x14ac:dyDescent="0.25">
      <c r="A3" s="1" t="s">
        <v>13</v>
      </c>
      <c r="B3" s="11">
        <f>B2+1</f>
        <v>2</v>
      </c>
      <c r="C3" s="11">
        <v>2</v>
      </c>
      <c r="D3" s="11">
        <v>2021</v>
      </c>
      <c r="E3" s="18">
        <f>'FS Seychelles'!B4</f>
        <v>33.33</v>
      </c>
      <c r="F3" s="18">
        <f>'FS Seychelles'!C4*1000</f>
        <v>2795.2640000000001</v>
      </c>
      <c r="G3" s="18">
        <f>'FS Seychelles'!D4*1000</f>
        <v>3549.1839999999997</v>
      </c>
      <c r="H3" s="18">
        <f>'FS Seychelles'!E4*1000</f>
        <v>3829.248</v>
      </c>
      <c r="I3" s="18">
        <f>'FS Seychelles'!F4*1000</f>
        <v>1682.1759999999999</v>
      </c>
      <c r="J3" s="18">
        <f>'FS Seychelles'!G4*1000</f>
        <v>3100.16</v>
      </c>
      <c r="K3" s="18">
        <f>'FS Seychelles'!H4*1000</f>
        <v>2399.232</v>
      </c>
      <c r="L3" s="18">
        <f>'FS Seychelles'!I4*1000</f>
        <v>1176.704</v>
      </c>
      <c r="M3" s="18">
        <f>'FS Seychelles'!J4*1000</f>
        <v>1298.6880000000001</v>
      </c>
      <c r="N3" s="18">
        <f>'FS Seychelles'!K4*1000</f>
        <v>3267.5839999999998</v>
      </c>
      <c r="O3" s="18">
        <f>'FS Seychelles'!L4</f>
        <v>6652</v>
      </c>
      <c r="P3" s="18">
        <f>'FS Seychelles'!M4</f>
        <v>2827</v>
      </c>
      <c r="Q3" s="18">
        <f>'FS Seychelles'!N4</f>
        <v>5756</v>
      </c>
      <c r="R3" s="18">
        <f>'FS Seychelles'!O4</f>
        <v>0</v>
      </c>
      <c r="S3" s="18">
        <f>'FS Seychelles'!P4</f>
        <v>0</v>
      </c>
      <c r="T3" s="18">
        <f>'FS Seychelles'!Q4</f>
        <v>4095</v>
      </c>
      <c r="U3" s="18">
        <f>'FS Seychelles'!S4</f>
        <v>29</v>
      </c>
      <c r="V3" s="18">
        <f>'FS Seychelles'!T4</f>
        <v>39</v>
      </c>
      <c r="W3" s="18">
        <f>'FS Seychelles'!U4</f>
        <v>56</v>
      </c>
      <c r="X3" s="18">
        <f>'FS Seychelles'!V4</f>
        <v>229</v>
      </c>
      <c r="Y3" s="18">
        <f>'FS Seychelles'!W4</f>
        <v>128</v>
      </c>
      <c r="Z3" s="18">
        <f>'FS Seychelles'!X4</f>
        <v>90</v>
      </c>
      <c r="AA3" s="18">
        <f>'FS Seychelles'!Y4</f>
        <v>0</v>
      </c>
      <c r="AB3" s="18">
        <f>('FS Seychelles'!$AB$9+'FS Seychelles'!$AB$15)/28</f>
        <v>173.14285714285714</v>
      </c>
    </row>
    <row r="4" spans="1:28" x14ac:dyDescent="0.25">
      <c r="A4" s="1" t="s">
        <v>13</v>
      </c>
      <c r="B4" s="11">
        <f t="shared" ref="B4:B29" si="0">B3+1</f>
        <v>3</v>
      </c>
      <c r="C4" s="11">
        <v>2</v>
      </c>
      <c r="D4" s="11">
        <v>2021</v>
      </c>
      <c r="E4" s="18">
        <f>'FS Seychelles'!B5</f>
        <v>31.91</v>
      </c>
      <c r="F4" s="18">
        <f>'FS Seychelles'!C5*1000</f>
        <v>2846.2079999999996</v>
      </c>
      <c r="G4" s="18">
        <f>'FS Seychelles'!D5*1000</f>
        <v>3675.6479999999997</v>
      </c>
      <c r="H4" s="18">
        <f>'FS Seychelles'!E5*1000</f>
        <v>4000.2560000000003</v>
      </c>
      <c r="I4" s="18">
        <f>'FS Seychelles'!F5*1000</f>
        <v>1595.6479999999999</v>
      </c>
      <c r="J4" s="18">
        <f>'FS Seychelles'!G5*1000</f>
        <v>3098.3679999999999</v>
      </c>
      <c r="K4" s="18">
        <f>'FS Seychelles'!H5*1000</f>
        <v>2322.4320000000002</v>
      </c>
      <c r="L4" s="18">
        <f>'FS Seychelles'!I5*1000</f>
        <v>1266.3040000000001</v>
      </c>
      <c r="M4" s="18">
        <f>'FS Seychelles'!J5*1000</f>
        <v>1307.904</v>
      </c>
      <c r="N4" s="18">
        <f>'FS Seychelles'!K5*1000</f>
        <v>3334.6559999999999</v>
      </c>
      <c r="O4" s="18">
        <f>'FS Seychelles'!L5</f>
        <v>6364</v>
      </c>
      <c r="P4" s="18">
        <f>'FS Seychelles'!M5</f>
        <v>4876</v>
      </c>
      <c r="Q4" s="18">
        <f>'FS Seychelles'!N5</f>
        <v>4062</v>
      </c>
      <c r="R4" s="18">
        <f>'FS Seychelles'!O5</f>
        <v>9304</v>
      </c>
      <c r="S4" s="18">
        <f>'FS Seychelles'!P5</f>
        <v>0</v>
      </c>
      <c r="T4" s="18">
        <f>'FS Seychelles'!Q5</f>
        <v>6843</v>
      </c>
      <c r="U4" s="18">
        <f>'FS Seychelles'!S5</f>
        <v>28</v>
      </c>
      <c r="V4" s="18">
        <f>'FS Seychelles'!T5</f>
        <v>11</v>
      </c>
      <c r="W4" s="18">
        <f>'FS Seychelles'!U5</f>
        <v>63</v>
      </c>
      <c r="X4" s="18">
        <f>'FS Seychelles'!V5</f>
        <v>222</v>
      </c>
      <c r="Y4" s="18">
        <f>'FS Seychelles'!W5</f>
        <v>107</v>
      </c>
      <c r="Z4" s="18">
        <f>'FS Seychelles'!X5</f>
        <v>95</v>
      </c>
      <c r="AA4" s="18">
        <f>'FS Seychelles'!Y5</f>
        <v>0</v>
      </c>
      <c r="AB4" s="18">
        <f>('FS Seychelles'!$AB$9+'FS Seychelles'!$AB$15)/28</f>
        <v>173.14285714285714</v>
      </c>
    </row>
    <row r="5" spans="1:28" x14ac:dyDescent="0.25">
      <c r="A5" s="1" t="s">
        <v>13</v>
      </c>
      <c r="B5" s="11">
        <f t="shared" si="0"/>
        <v>4</v>
      </c>
      <c r="C5" s="11">
        <v>2</v>
      </c>
      <c r="D5" s="11">
        <v>2021</v>
      </c>
      <c r="E5" s="18">
        <f>'FS Seychelles'!B6</f>
        <v>33.33</v>
      </c>
      <c r="F5" s="18">
        <f>'FS Seychelles'!C6*1000</f>
        <v>2851.328</v>
      </c>
      <c r="G5" s="18">
        <f>'FS Seychelles'!D6*1000</f>
        <v>3773.44</v>
      </c>
      <c r="H5" s="18">
        <f>'FS Seychelles'!E6*1000</f>
        <v>4065.2799999999997</v>
      </c>
      <c r="I5" s="18">
        <f>'FS Seychelles'!F6*1000</f>
        <v>1585.664</v>
      </c>
      <c r="J5" s="18">
        <f>'FS Seychelles'!G6*1000</f>
        <v>3131.6480000000001</v>
      </c>
      <c r="K5" s="18">
        <f>'FS Seychelles'!H6*1000</f>
        <v>2565.6320000000001</v>
      </c>
      <c r="L5" s="18">
        <f>'FS Seychelles'!I6*1000</f>
        <v>1256.4480000000001</v>
      </c>
      <c r="M5" s="18">
        <f>'FS Seychelles'!J6*1000</f>
        <v>1342.4640000000002</v>
      </c>
      <c r="N5" s="18">
        <f>'FS Seychelles'!K6*1000</f>
        <v>3423.4879999999998</v>
      </c>
      <c r="O5" s="18">
        <f>'FS Seychelles'!L6</f>
        <v>9511</v>
      </c>
      <c r="P5" s="18">
        <f>'FS Seychelles'!M6</f>
        <v>0</v>
      </c>
      <c r="Q5" s="18">
        <f>'FS Seychelles'!N6</f>
        <v>14421</v>
      </c>
      <c r="R5" s="18">
        <f>'FS Seychelles'!O6</f>
        <v>0</v>
      </c>
      <c r="S5" s="18">
        <f>'FS Seychelles'!P6</f>
        <v>0</v>
      </c>
      <c r="T5" s="18">
        <f>'FS Seychelles'!Q6</f>
        <v>6379</v>
      </c>
      <c r="U5" s="18">
        <f>'FS Seychelles'!S6</f>
        <v>30</v>
      </c>
      <c r="V5" s="18">
        <f>'FS Seychelles'!T6</f>
        <v>33</v>
      </c>
      <c r="W5" s="18">
        <f>'FS Seychelles'!U6</f>
        <v>64</v>
      </c>
      <c r="X5" s="18">
        <f>'FS Seychelles'!V6</f>
        <v>145</v>
      </c>
      <c r="Y5" s="18">
        <f>'FS Seychelles'!W6</f>
        <v>101</v>
      </c>
      <c r="Z5" s="18">
        <f>'FS Seychelles'!X6</f>
        <v>102</v>
      </c>
      <c r="AA5" s="18">
        <f>'FS Seychelles'!Y6</f>
        <v>0</v>
      </c>
      <c r="AB5" s="18">
        <f>('FS Seychelles'!$AB$9+'FS Seychelles'!$AB$15)/28</f>
        <v>173.14285714285714</v>
      </c>
    </row>
    <row r="6" spans="1:28" x14ac:dyDescent="0.25">
      <c r="A6" s="1" t="s">
        <v>13</v>
      </c>
      <c r="B6" s="11">
        <f t="shared" si="0"/>
        <v>5</v>
      </c>
      <c r="C6" s="11">
        <v>2</v>
      </c>
      <c r="D6" s="11">
        <v>2021</v>
      </c>
      <c r="E6" s="18">
        <f>'FS Seychelles'!B7</f>
        <v>37.1</v>
      </c>
      <c r="F6" s="18">
        <f>'FS Seychelles'!C7*1000</f>
        <v>3264.5119999999997</v>
      </c>
      <c r="G6" s="18">
        <f>'FS Seychelles'!D7*1000</f>
        <v>3966.9759999999997</v>
      </c>
      <c r="H6" s="18">
        <f>'FS Seychelles'!E7*1000</f>
        <v>3990.5279999999998</v>
      </c>
      <c r="I6" s="18">
        <f>'FS Seychelles'!F7*1000</f>
        <v>1740.0319999999999</v>
      </c>
      <c r="J6" s="18">
        <f>'FS Seychelles'!G7*1000</f>
        <v>3424.5120000000002</v>
      </c>
      <c r="K6" s="18">
        <f>'FS Seychelles'!H7*1000</f>
        <v>2632.96</v>
      </c>
      <c r="L6" s="18">
        <f>'FS Seychelles'!I7*1000</f>
        <v>1172.7360000000001</v>
      </c>
      <c r="M6" s="18">
        <f>'FS Seychelles'!J7*1000</f>
        <v>1395.9680000000001</v>
      </c>
      <c r="N6" s="18">
        <f>'FS Seychelles'!K7*1000</f>
        <v>3377.152</v>
      </c>
      <c r="O6" s="18">
        <f>'FS Seychelles'!L7</f>
        <v>8773</v>
      </c>
      <c r="P6" s="18">
        <f>'FS Seychelles'!M7</f>
        <v>5303</v>
      </c>
      <c r="Q6" s="18">
        <f>'FS Seychelles'!N7</f>
        <v>7109</v>
      </c>
      <c r="R6" s="18">
        <f>'FS Seychelles'!O7</f>
        <v>4871</v>
      </c>
      <c r="S6" s="18">
        <f>'FS Seychelles'!P7</f>
        <v>0</v>
      </c>
      <c r="T6" s="18">
        <f>'FS Seychelles'!Q7</f>
        <v>7266</v>
      </c>
      <c r="U6" s="18">
        <f>'FS Seychelles'!S7</f>
        <v>30</v>
      </c>
      <c r="V6" s="18">
        <f>'FS Seychelles'!T7</f>
        <v>33</v>
      </c>
      <c r="W6" s="18">
        <f>'FS Seychelles'!U7</f>
        <v>73</v>
      </c>
      <c r="X6" s="18">
        <f>'FS Seychelles'!V7</f>
        <v>192</v>
      </c>
      <c r="Y6" s="18">
        <f>'FS Seychelles'!W7</f>
        <v>0</v>
      </c>
      <c r="Z6" s="18">
        <f>'FS Seychelles'!X7</f>
        <v>56</v>
      </c>
      <c r="AA6" s="18">
        <f>'FS Seychelles'!Y7</f>
        <v>0</v>
      </c>
      <c r="AB6" s="18">
        <f>('FS Seychelles'!$AB$9+'FS Seychelles'!$AB$15)/28</f>
        <v>173.14285714285714</v>
      </c>
    </row>
    <row r="7" spans="1:28" x14ac:dyDescent="0.25">
      <c r="A7" s="1" t="s">
        <v>13</v>
      </c>
      <c r="B7" s="11">
        <f t="shared" si="0"/>
        <v>6</v>
      </c>
      <c r="C7" s="11">
        <v>2</v>
      </c>
      <c r="D7" s="11">
        <v>2021</v>
      </c>
      <c r="E7" s="18">
        <f>'FS Seychelles'!B8</f>
        <v>32.89</v>
      </c>
      <c r="F7" s="18">
        <f>'FS Seychelles'!C8*1000</f>
        <v>2947.8399999999997</v>
      </c>
      <c r="G7" s="18">
        <f>'FS Seychelles'!D8*1000</f>
        <v>3765.76</v>
      </c>
      <c r="H7" s="18">
        <f>'FS Seychelles'!E8*1000</f>
        <v>3766.2719999999999</v>
      </c>
      <c r="I7" s="18">
        <f>'FS Seychelles'!F8*1000</f>
        <v>1616.64</v>
      </c>
      <c r="J7" s="18">
        <f>'FS Seychelles'!G8*1000</f>
        <v>3143.1680000000001</v>
      </c>
      <c r="K7" s="18">
        <f>'FS Seychelles'!H8*1000</f>
        <v>2481.92</v>
      </c>
      <c r="L7" s="18">
        <f>'FS Seychelles'!I8*1000</f>
        <v>1170.1760000000002</v>
      </c>
      <c r="M7" s="18">
        <f>'FS Seychelles'!J8*1000</f>
        <v>1389.056</v>
      </c>
      <c r="N7" s="18">
        <f>'FS Seychelles'!K8*1000</f>
        <v>3543.5520000000001</v>
      </c>
      <c r="O7" s="18">
        <f>'FS Seychelles'!L8</f>
        <v>5987</v>
      </c>
      <c r="P7" s="18">
        <f>'FS Seychelles'!M8</f>
        <v>8035</v>
      </c>
      <c r="Q7" s="18">
        <f>'FS Seychelles'!N8</f>
        <v>7968</v>
      </c>
      <c r="R7" s="18">
        <f>'FS Seychelles'!O8</f>
        <v>5029</v>
      </c>
      <c r="S7" s="18">
        <f>'FS Seychelles'!P8</f>
        <v>0</v>
      </c>
      <c r="T7" s="18">
        <f>'FS Seychelles'!Q8</f>
        <v>7174</v>
      </c>
      <c r="U7" s="18">
        <f>'FS Seychelles'!S8</f>
        <v>32</v>
      </c>
      <c r="V7" s="18">
        <f>'FS Seychelles'!T8</f>
        <v>19</v>
      </c>
      <c r="W7" s="18">
        <f>'FS Seychelles'!U8</f>
        <v>53</v>
      </c>
      <c r="X7" s="18">
        <f>'FS Seychelles'!V8</f>
        <v>195</v>
      </c>
      <c r="Y7" s="18">
        <f>'FS Seychelles'!W8</f>
        <v>0</v>
      </c>
      <c r="Z7" s="18">
        <f>'FS Seychelles'!X8</f>
        <v>0</v>
      </c>
      <c r="AA7" s="18">
        <f>'FS Seychelles'!Y8</f>
        <v>0</v>
      </c>
      <c r="AB7" s="18">
        <f>('FS Seychelles'!$AB$9+'FS Seychelles'!$AB$15)/28</f>
        <v>173.14285714285714</v>
      </c>
    </row>
    <row r="8" spans="1:28" x14ac:dyDescent="0.25">
      <c r="A8" s="1" t="s">
        <v>13</v>
      </c>
      <c r="B8" s="11">
        <f t="shared" si="0"/>
        <v>7</v>
      </c>
      <c r="C8" s="11">
        <v>2</v>
      </c>
      <c r="D8" s="11">
        <v>2021</v>
      </c>
      <c r="E8" s="18">
        <f>'FS Seychelles'!B9</f>
        <v>37.090000000000003</v>
      </c>
      <c r="F8" s="18">
        <f>'FS Seychelles'!C9*1000</f>
        <v>3335.424</v>
      </c>
      <c r="G8" s="18">
        <f>'FS Seychelles'!D9*1000</f>
        <v>4044.288</v>
      </c>
      <c r="H8" s="18">
        <f>'FS Seychelles'!E9*1000</f>
        <v>3664.8960000000002</v>
      </c>
      <c r="I8" s="18">
        <f>'FS Seychelles'!F9*1000</f>
        <v>1790.72</v>
      </c>
      <c r="J8" s="18">
        <f>'FS Seychelles'!G9*1000</f>
        <v>3468.0320000000002</v>
      </c>
      <c r="K8" s="18">
        <f>'FS Seychelles'!H9*1000</f>
        <v>2558.9760000000001</v>
      </c>
      <c r="L8" s="18">
        <f>'FS Seychelles'!I9*1000</f>
        <v>1015.4240000000001</v>
      </c>
      <c r="M8" s="18">
        <f>'FS Seychelles'!J9*1000</f>
        <v>1401.856</v>
      </c>
      <c r="N8" s="18">
        <f>'FS Seychelles'!K9*1000</f>
        <v>3299.0719999999997</v>
      </c>
      <c r="O8" s="18">
        <f>'FS Seychelles'!L9</f>
        <v>8011</v>
      </c>
      <c r="P8" s="18">
        <f>'FS Seychelles'!M9</f>
        <v>3023</v>
      </c>
      <c r="Q8" s="18">
        <f>'FS Seychelles'!N9</f>
        <v>6505</v>
      </c>
      <c r="R8" s="18">
        <f>'FS Seychelles'!O9</f>
        <v>8703</v>
      </c>
      <c r="S8" s="18">
        <f>'FS Seychelles'!P9</f>
        <v>0</v>
      </c>
      <c r="T8" s="18">
        <f>'FS Seychelles'!Q9</f>
        <v>7127</v>
      </c>
      <c r="U8" s="18">
        <f>'FS Seychelles'!S9</f>
        <v>34</v>
      </c>
      <c r="V8" s="18">
        <f>'FS Seychelles'!T9</f>
        <v>13</v>
      </c>
      <c r="W8" s="18">
        <f>'FS Seychelles'!U9</f>
        <v>72</v>
      </c>
      <c r="X8" s="18">
        <f>'FS Seychelles'!V9</f>
        <v>336</v>
      </c>
      <c r="Y8" s="18">
        <f>'FS Seychelles'!W9</f>
        <v>82</v>
      </c>
      <c r="Z8" s="18">
        <f>'FS Seychelles'!X9</f>
        <v>104</v>
      </c>
      <c r="AA8" s="18">
        <f>'FS Seychelles'!Y9</f>
        <v>0</v>
      </c>
      <c r="AB8" s="18">
        <f>('FS Seychelles'!$AB$9+'FS Seychelles'!$AB$15)/28</f>
        <v>173.14285714285714</v>
      </c>
    </row>
    <row r="9" spans="1:28" x14ac:dyDescent="0.25">
      <c r="A9" s="1" t="s">
        <v>13</v>
      </c>
      <c r="B9" s="11">
        <f t="shared" si="0"/>
        <v>8</v>
      </c>
      <c r="C9" s="11">
        <v>2</v>
      </c>
      <c r="D9" s="11">
        <v>2021</v>
      </c>
      <c r="E9" s="18">
        <f>'FS Seychelles'!B10</f>
        <v>37.090000000000003</v>
      </c>
      <c r="F9" s="18">
        <f>'FS Seychelles'!C10*1000</f>
        <v>3539.9679999999998</v>
      </c>
      <c r="G9" s="18">
        <f>'FS Seychelles'!D10*1000</f>
        <v>4110.848</v>
      </c>
      <c r="H9" s="18">
        <f>'FS Seychelles'!E10*1000</f>
        <v>4008.4479999999994</v>
      </c>
      <c r="I9" s="18">
        <f>'FS Seychelles'!F10*1000</f>
        <v>1884.16</v>
      </c>
      <c r="J9" s="18">
        <f>'FS Seychelles'!G10*1000</f>
        <v>3474.4320000000002</v>
      </c>
      <c r="K9" s="18">
        <f>'FS Seychelles'!H10*1000</f>
        <v>2631.1680000000001</v>
      </c>
      <c r="L9" s="18">
        <f>'FS Seychelles'!I10*1000</f>
        <v>1212.1599999999999</v>
      </c>
      <c r="M9" s="18">
        <f>'FS Seychelles'!J10*1000</f>
        <v>1424.896</v>
      </c>
      <c r="N9" s="18">
        <f>'FS Seychelles'!K10*1000</f>
        <v>3778.8159999999998</v>
      </c>
      <c r="O9" s="18">
        <f>'FS Seychelles'!L10</f>
        <v>3208</v>
      </c>
      <c r="P9" s="18">
        <f>'FS Seychelles'!M10</f>
        <v>4652</v>
      </c>
      <c r="Q9" s="18">
        <f>'FS Seychelles'!N10</f>
        <v>10300</v>
      </c>
      <c r="R9" s="18">
        <f>'FS Seychelles'!O10</f>
        <v>9152</v>
      </c>
      <c r="S9" s="18">
        <f>'FS Seychelles'!P10</f>
        <v>0</v>
      </c>
      <c r="T9" s="18">
        <f>'FS Seychelles'!Q10</f>
        <v>7596</v>
      </c>
      <c r="U9" s="18">
        <f>'FS Seychelles'!S10</f>
        <v>33</v>
      </c>
      <c r="V9" s="18">
        <f>'FS Seychelles'!T10</f>
        <v>36</v>
      </c>
      <c r="W9" s="18">
        <f>'FS Seychelles'!U10</f>
        <v>45</v>
      </c>
      <c r="X9" s="18">
        <f>'FS Seychelles'!V10</f>
        <v>221</v>
      </c>
      <c r="Y9" s="18">
        <f>'FS Seychelles'!W10</f>
        <v>118</v>
      </c>
      <c r="Z9" s="18">
        <f>'FS Seychelles'!X10</f>
        <v>103</v>
      </c>
      <c r="AA9" s="18">
        <f>'FS Seychelles'!Y10</f>
        <v>0</v>
      </c>
      <c r="AB9" s="18">
        <f>('FS Seychelles'!$AB$9+'FS Seychelles'!$AB$15)/28</f>
        <v>173.14285714285714</v>
      </c>
    </row>
    <row r="10" spans="1:28" x14ac:dyDescent="0.25">
      <c r="A10" s="1" t="s">
        <v>13</v>
      </c>
      <c r="B10" s="11">
        <f t="shared" si="0"/>
        <v>9</v>
      </c>
      <c r="C10" s="11">
        <v>2</v>
      </c>
      <c r="D10" s="11">
        <v>2021</v>
      </c>
      <c r="E10" s="18">
        <f>'FS Seychelles'!B11</f>
        <v>39.340000000000003</v>
      </c>
      <c r="F10" s="18">
        <f>'FS Seychelles'!C11*1000</f>
        <v>3488.768</v>
      </c>
      <c r="G10" s="18">
        <f>'FS Seychelles'!D11*1000</f>
        <v>4144.1280000000006</v>
      </c>
      <c r="H10" s="18">
        <f>'FS Seychelles'!E11*1000</f>
        <v>4133.8879999999999</v>
      </c>
      <c r="I10" s="18">
        <f>'FS Seychelles'!F11*1000</f>
        <v>1870.5920000000001</v>
      </c>
      <c r="J10" s="18">
        <f>'FS Seychelles'!G11*1000</f>
        <v>3464.96</v>
      </c>
      <c r="K10" s="18">
        <f>'FS Seychelles'!H11*1000</f>
        <v>2899.9679999999998</v>
      </c>
      <c r="L10" s="18">
        <f>'FS Seychelles'!I11*1000</f>
        <v>1185.92</v>
      </c>
      <c r="M10" s="18">
        <f>'FS Seychelles'!J11*1000</f>
        <v>1499.904</v>
      </c>
      <c r="N10" s="18">
        <f>'FS Seychelles'!K11*1000</f>
        <v>3875.328</v>
      </c>
      <c r="O10" s="18">
        <f>'FS Seychelles'!L11</f>
        <v>9151</v>
      </c>
      <c r="P10" s="18">
        <f>'FS Seychelles'!M11</f>
        <v>5206</v>
      </c>
      <c r="Q10" s="18">
        <f>'FS Seychelles'!N11</f>
        <v>5024</v>
      </c>
      <c r="R10" s="18">
        <f>'FS Seychelles'!O11</f>
        <v>9316</v>
      </c>
      <c r="S10" s="18">
        <f>'FS Seychelles'!P11</f>
        <v>0</v>
      </c>
      <c r="T10" s="18">
        <f>'FS Seychelles'!Q11</f>
        <v>7841</v>
      </c>
      <c r="U10" s="18">
        <f>'FS Seychelles'!S11</f>
        <v>35</v>
      </c>
      <c r="V10" s="18">
        <f>'FS Seychelles'!T11</f>
        <v>39</v>
      </c>
      <c r="W10" s="18">
        <f>'FS Seychelles'!U11</f>
        <v>66</v>
      </c>
      <c r="X10" s="18">
        <f>'FS Seychelles'!V11</f>
        <v>243</v>
      </c>
      <c r="Y10" s="18">
        <f>'FS Seychelles'!W11</f>
        <v>92</v>
      </c>
      <c r="Z10" s="18">
        <f>'FS Seychelles'!X11</f>
        <v>106</v>
      </c>
      <c r="AA10" s="18">
        <f>'FS Seychelles'!Y11</f>
        <v>0</v>
      </c>
      <c r="AB10" s="18">
        <f>('FS Seychelles'!$AB$9+'FS Seychelles'!$AB$15)/28</f>
        <v>173.14285714285714</v>
      </c>
    </row>
    <row r="11" spans="1:28" x14ac:dyDescent="0.25">
      <c r="A11" s="1" t="s">
        <v>13</v>
      </c>
      <c r="B11" s="11">
        <f t="shared" si="0"/>
        <v>10</v>
      </c>
      <c r="C11" s="11">
        <v>2</v>
      </c>
      <c r="D11" s="11">
        <v>2021</v>
      </c>
      <c r="E11" s="18">
        <f>'FS Seychelles'!B12</f>
        <v>37.700000000000003</v>
      </c>
      <c r="F11" s="18">
        <f>'FS Seychelles'!C12*1000</f>
        <v>3083.0079999999998</v>
      </c>
      <c r="G11" s="18">
        <f>'FS Seychelles'!D12*1000</f>
        <v>3624.4480000000003</v>
      </c>
      <c r="H11" s="18">
        <f>'FS Seychelles'!E12*1000</f>
        <v>3942.9120000000003</v>
      </c>
      <c r="I11" s="18">
        <f>'FS Seychelles'!F12*1000</f>
        <v>1742.848</v>
      </c>
      <c r="J11" s="18">
        <f>'FS Seychelles'!G12*1000</f>
        <v>3202.56</v>
      </c>
      <c r="K11" s="18">
        <f>'FS Seychelles'!H12*1000</f>
        <v>2452.2240000000002</v>
      </c>
      <c r="L11" s="18">
        <f>'FS Seychelles'!I12*1000</f>
        <v>1153.0240000000001</v>
      </c>
      <c r="M11" s="18">
        <f>'FS Seychelles'!J12*1000</f>
        <v>1464.8319999999999</v>
      </c>
      <c r="N11" s="18">
        <f>'FS Seychelles'!K12*1000</f>
        <v>3724.0319999999997</v>
      </c>
      <c r="O11" s="18">
        <f>'FS Seychelles'!L12</f>
        <v>5889</v>
      </c>
      <c r="P11" s="18">
        <f>'FS Seychelles'!M12</f>
        <v>4110</v>
      </c>
      <c r="Q11" s="18">
        <f>'FS Seychelles'!N12</f>
        <v>3450</v>
      </c>
      <c r="R11" s="18">
        <f>'FS Seychelles'!O12</f>
        <v>11026</v>
      </c>
      <c r="S11" s="18">
        <f>'FS Seychelles'!P12</f>
        <v>0</v>
      </c>
      <c r="T11" s="18">
        <f>'FS Seychelles'!Q12</f>
        <v>6767</v>
      </c>
      <c r="U11" s="18">
        <f>'FS Seychelles'!S12</f>
        <v>35</v>
      </c>
      <c r="V11" s="18">
        <f>'FS Seychelles'!T12</f>
        <v>16</v>
      </c>
      <c r="W11" s="18">
        <f>'FS Seychelles'!U12</f>
        <v>54</v>
      </c>
      <c r="X11" s="18">
        <f>'FS Seychelles'!V12</f>
        <v>207</v>
      </c>
      <c r="Y11" s="18">
        <f>'FS Seychelles'!W12</f>
        <v>186</v>
      </c>
      <c r="Z11" s="18">
        <f>'FS Seychelles'!X12</f>
        <v>60</v>
      </c>
      <c r="AA11" s="18">
        <f>'FS Seychelles'!Y12</f>
        <v>0</v>
      </c>
      <c r="AB11" s="18">
        <f>('FS Seychelles'!$AB$9+'FS Seychelles'!$AB$15)/28</f>
        <v>173.14285714285714</v>
      </c>
    </row>
    <row r="12" spans="1:28" x14ac:dyDescent="0.25">
      <c r="A12" s="1" t="s">
        <v>13</v>
      </c>
      <c r="B12" s="11">
        <f t="shared" si="0"/>
        <v>11</v>
      </c>
      <c r="C12" s="11">
        <v>2</v>
      </c>
      <c r="D12" s="11">
        <v>2021</v>
      </c>
      <c r="E12" s="18">
        <f>'FS Seychelles'!B13</f>
        <v>28.42</v>
      </c>
      <c r="F12" s="18">
        <f>'FS Seychelles'!C13*1000</f>
        <v>3053.3119999999999</v>
      </c>
      <c r="G12" s="18">
        <f>'FS Seychelles'!D13*1000</f>
        <v>3401.2159999999999</v>
      </c>
      <c r="H12" s="18">
        <f>'FS Seychelles'!E13*1000</f>
        <v>3668.48</v>
      </c>
      <c r="I12" s="18">
        <f>'FS Seychelles'!F13*1000</f>
        <v>1613.8239999999998</v>
      </c>
      <c r="J12" s="18">
        <f>'FS Seychelles'!G13*1000</f>
        <v>2949.8879999999999</v>
      </c>
      <c r="K12" s="18">
        <f>'FS Seychelles'!H13*1000</f>
        <v>2307.84</v>
      </c>
      <c r="L12" s="18">
        <f>'FS Seychelles'!I13*1000</f>
        <v>1118.2080000000001</v>
      </c>
      <c r="M12" s="18">
        <f>'FS Seychelles'!J13*1000</f>
        <v>1387.7759999999998</v>
      </c>
      <c r="N12" s="18">
        <f>'FS Seychelles'!K13*1000</f>
        <v>3473.92</v>
      </c>
      <c r="O12" s="18">
        <f>'FS Seychelles'!L13</f>
        <v>6854</v>
      </c>
      <c r="P12" s="18">
        <f>'FS Seychelles'!M13</f>
        <v>4854</v>
      </c>
      <c r="Q12" s="18">
        <f>'FS Seychelles'!N13</f>
        <v>8170</v>
      </c>
      <c r="R12" s="18">
        <f>'FS Seychelles'!O13</f>
        <v>4722</v>
      </c>
      <c r="S12" s="18">
        <f>'FS Seychelles'!P13</f>
        <v>0</v>
      </c>
      <c r="T12" s="18">
        <f>'FS Seychelles'!Q13</f>
        <v>7051</v>
      </c>
      <c r="U12" s="18">
        <f>'FS Seychelles'!S13</f>
        <v>33</v>
      </c>
      <c r="V12" s="18">
        <f>'FS Seychelles'!T13</f>
        <v>28</v>
      </c>
      <c r="W12" s="18">
        <f>'FS Seychelles'!U13</f>
        <v>36</v>
      </c>
      <c r="X12" s="18">
        <f>'FS Seychelles'!V13</f>
        <v>164</v>
      </c>
      <c r="Y12" s="18">
        <f>'FS Seychelles'!W13</f>
        <v>90</v>
      </c>
      <c r="Z12" s="18">
        <f>'FS Seychelles'!X13</f>
        <v>105</v>
      </c>
      <c r="AA12" s="18">
        <f>'FS Seychelles'!Y13</f>
        <v>0</v>
      </c>
      <c r="AB12" s="18">
        <f>('FS Seychelles'!$AB$9+'FS Seychelles'!$AB$15)/28</f>
        <v>173.14285714285714</v>
      </c>
    </row>
    <row r="13" spans="1:28" x14ac:dyDescent="0.25">
      <c r="A13" s="1" t="s">
        <v>13</v>
      </c>
      <c r="B13" s="11">
        <f t="shared" si="0"/>
        <v>12</v>
      </c>
      <c r="C13" s="11">
        <v>2</v>
      </c>
      <c r="D13" s="11">
        <v>2021</v>
      </c>
      <c r="E13" s="18">
        <f>'FS Seychelles'!B14</f>
        <v>27.37</v>
      </c>
      <c r="F13" s="18">
        <f>'FS Seychelles'!C14*1000</f>
        <v>3331.0719999999997</v>
      </c>
      <c r="G13" s="18">
        <f>'FS Seychelles'!D14*1000</f>
        <v>3628.0320000000002</v>
      </c>
      <c r="H13" s="18">
        <f>'FS Seychelles'!E14*1000</f>
        <v>3796.9919999999997</v>
      </c>
      <c r="I13" s="18">
        <f>'FS Seychelles'!F14*1000</f>
        <v>1628.6719999999998</v>
      </c>
      <c r="J13" s="18">
        <f>'FS Seychelles'!G14*1000</f>
        <v>3222.5280000000002</v>
      </c>
      <c r="K13" s="18">
        <f>'FS Seychelles'!H14*1000</f>
        <v>2703.616</v>
      </c>
      <c r="L13" s="18">
        <f>'FS Seychelles'!I14*1000</f>
        <v>1283.0719999999999</v>
      </c>
      <c r="M13" s="18">
        <f>'FS Seychelles'!J14*1000</f>
        <v>1405.6960000000001</v>
      </c>
      <c r="N13" s="18">
        <f>'FS Seychelles'!K14*1000</f>
        <v>3633.4080000000004</v>
      </c>
      <c r="O13" s="18">
        <f>'FS Seychelles'!L14</f>
        <v>9972</v>
      </c>
      <c r="P13" s="18">
        <f>'FS Seychelles'!M14</f>
        <v>1240</v>
      </c>
      <c r="Q13" s="18">
        <f>'FS Seychelles'!N14</f>
        <v>5699</v>
      </c>
      <c r="R13" s="18">
        <f>'FS Seychelles'!O14</f>
        <v>8794</v>
      </c>
      <c r="S13" s="18">
        <f>'FS Seychelles'!P14</f>
        <v>0</v>
      </c>
      <c r="T13" s="18">
        <f>'FS Seychelles'!Q14</f>
        <v>7981</v>
      </c>
      <c r="U13" s="18">
        <f>'FS Seychelles'!S14</f>
        <v>36</v>
      </c>
      <c r="V13" s="18">
        <f>'FS Seychelles'!T14</f>
        <v>32</v>
      </c>
      <c r="W13" s="18">
        <f>'FS Seychelles'!U14</f>
        <v>38</v>
      </c>
      <c r="X13" s="18">
        <f>'FS Seychelles'!V14</f>
        <v>199</v>
      </c>
      <c r="Y13" s="18">
        <f>'FS Seychelles'!W14</f>
        <v>98</v>
      </c>
      <c r="Z13" s="18">
        <f>'FS Seychelles'!X14</f>
        <v>1</v>
      </c>
      <c r="AA13" s="18">
        <f>'FS Seychelles'!Y14</f>
        <v>0</v>
      </c>
      <c r="AB13" s="18">
        <f>('FS Seychelles'!$AB$9+'FS Seychelles'!$AB$15)/28</f>
        <v>173.14285714285714</v>
      </c>
    </row>
    <row r="14" spans="1:28" x14ac:dyDescent="0.25">
      <c r="A14" s="1" t="s">
        <v>13</v>
      </c>
      <c r="B14" s="11">
        <f t="shared" si="0"/>
        <v>13</v>
      </c>
      <c r="C14" s="11">
        <v>2</v>
      </c>
      <c r="D14" s="11">
        <v>2021</v>
      </c>
      <c r="E14" s="18">
        <f>'FS Seychelles'!B15</f>
        <v>27.37</v>
      </c>
      <c r="F14" s="18">
        <f>'FS Seychelles'!C15*1000</f>
        <v>3451.6480000000001</v>
      </c>
      <c r="G14" s="18">
        <f>'FS Seychelles'!D15*1000</f>
        <v>3828.7360000000003</v>
      </c>
      <c r="H14" s="18">
        <f>'FS Seychelles'!E15*1000</f>
        <v>4021.248</v>
      </c>
      <c r="I14" s="18">
        <f>'FS Seychelles'!F15*1000</f>
        <v>1846.0160000000001</v>
      </c>
      <c r="J14" s="18">
        <f>'FS Seychelles'!G15*1000</f>
        <v>3434.4960000000001</v>
      </c>
      <c r="K14" s="18">
        <f>'FS Seychelles'!H15*1000</f>
        <v>3002.6239999999998</v>
      </c>
      <c r="L14" s="18">
        <f>'FS Seychelles'!I15*1000</f>
        <v>1151.1039999999998</v>
      </c>
      <c r="M14" s="18">
        <f>'FS Seychelles'!J15*1000</f>
        <v>1412.6080000000002</v>
      </c>
      <c r="N14" s="18">
        <f>'FS Seychelles'!K15*1000</f>
        <v>3305.9839999999999</v>
      </c>
      <c r="O14" s="18">
        <f>'FS Seychelles'!L15</f>
        <v>9234</v>
      </c>
      <c r="P14" s="18">
        <f>'FS Seychelles'!M15</f>
        <v>743</v>
      </c>
      <c r="Q14" s="18">
        <f>'FS Seychelles'!N15</f>
        <v>6414</v>
      </c>
      <c r="R14" s="18">
        <f>'FS Seychelles'!O15</f>
        <v>10021</v>
      </c>
      <c r="S14" s="18">
        <f>'FS Seychelles'!P15</f>
        <v>0</v>
      </c>
      <c r="T14" s="18">
        <f>'FS Seychelles'!Q15</f>
        <v>7939</v>
      </c>
      <c r="U14" s="18">
        <f>'FS Seychelles'!S15</f>
        <v>33</v>
      </c>
      <c r="V14" s="18">
        <f>'FS Seychelles'!T15</f>
        <v>31</v>
      </c>
      <c r="W14" s="18">
        <f>'FS Seychelles'!U15</f>
        <v>65</v>
      </c>
      <c r="X14" s="18">
        <f>'FS Seychelles'!V15</f>
        <v>193</v>
      </c>
      <c r="Y14" s="18">
        <f>'FS Seychelles'!W15</f>
        <v>91</v>
      </c>
      <c r="Z14" s="18">
        <f>'FS Seychelles'!X15</f>
        <v>38</v>
      </c>
      <c r="AA14" s="18">
        <f>'FS Seychelles'!Y15</f>
        <v>0</v>
      </c>
      <c r="AB14" s="18">
        <f>('FS Seychelles'!$AB$9+'FS Seychelles'!$AB$15)/28</f>
        <v>173.14285714285714</v>
      </c>
    </row>
    <row r="15" spans="1:28" x14ac:dyDescent="0.25">
      <c r="A15" s="1" t="s">
        <v>13</v>
      </c>
      <c r="B15" s="11">
        <f t="shared" si="0"/>
        <v>14</v>
      </c>
      <c r="C15" s="11">
        <v>2</v>
      </c>
      <c r="D15" s="11">
        <v>2021</v>
      </c>
      <c r="E15" s="18">
        <f>'FS Seychelles'!B16</f>
        <v>28.42</v>
      </c>
      <c r="F15" s="18">
        <f>'FS Seychelles'!C16*1000</f>
        <v>3289.3440000000001</v>
      </c>
      <c r="G15" s="18">
        <f>'FS Seychelles'!D16*1000</f>
        <v>3758.5920000000001</v>
      </c>
      <c r="H15" s="18">
        <f>'FS Seychelles'!E16*1000</f>
        <v>3838.4639999999999</v>
      </c>
      <c r="I15" s="18">
        <f>'FS Seychelles'!F16*1000</f>
        <v>2006.2720000000002</v>
      </c>
      <c r="J15" s="18">
        <f>'FS Seychelles'!G16*1000</f>
        <v>3548.672</v>
      </c>
      <c r="K15" s="18">
        <f>'FS Seychelles'!H16*1000</f>
        <v>2622.2080000000001</v>
      </c>
      <c r="L15" s="18">
        <f>'FS Seychelles'!I16*1000</f>
        <v>1187.0719999999999</v>
      </c>
      <c r="M15" s="18">
        <f>'FS Seychelles'!J16*1000</f>
        <v>1416.192</v>
      </c>
      <c r="N15" s="18">
        <f>'FS Seychelles'!K16*1000</f>
        <v>3291.6479999999997</v>
      </c>
      <c r="O15" s="18">
        <f>'FS Seychelles'!L16</f>
        <v>14544</v>
      </c>
      <c r="P15" s="18">
        <f>'FS Seychelles'!M16</f>
        <v>0</v>
      </c>
      <c r="Q15" s="18">
        <f>'FS Seychelles'!N16</f>
        <v>10008</v>
      </c>
      <c r="R15" s="18">
        <f>'FS Seychelles'!O16</f>
        <v>2237</v>
      </c>
      <c r="S15" s="18">
        <f>'FS Seychelles'!P16</f>
        <v>0</v>
      </c>
      <c r="T15" s="18">
        <f>'FS Seychelles'!Q17</f>
        <v>7441</v>
      </c>
      <c r="U15" s="18">
        <f>'FS Seychelles'!S16</f>
        <v>33</v>
      </c>
      <c r="V15" s="18">
        <f>'FS Seychelles'!T16</f>
        <v>22</v>
      </c>
      <c r="W15" s="18">
        <f>'FS Seychelles'!U16</f>
        <v>50</v>
      </c>
      <c r="X15" s="18">
        <f>'FS Seychelles'!V16</f>
        <v>186</v>
      </c>
      <c r="Y15" s="18">
        <f>'FS Seychelles'!W16</f>
        <v>98</v>
      </c>
      <c r="Z15" s="18">
        <f>'FS Seychelles'!X16</f>
        <v>130</v>
      </c>
      <c r="AA15" s="18">
        <f>'FS Seychelles'!Y16</f>
        <v>0</v>
      </c>
      <c r="AB15" s="18">
        <f>('FS Seychelles'!$AB$9+'FS Seychelles'!$AB$15)/28</f>
        <v>173.14285714285714</v>
      </c>
    </row>
    <row r="16" spans="1:28" x14ac:dyDescent="0.25">
      <c r="A16" s="1" t="s">
        <v>13</v>
      </c>
      <c r="B16" s="11">
        <f t="shared" si="0"/>
        <v>15</v>
      </c>
      <c r="C16" s="11">
        <v>2</v>
      </c>
      <c r="D16" s="11">
        <v>2021</v>
      </c>
      <c r="E16" s="18">
        <f>'FS Seychelles'!B17</f>
        <v>10.52</v>
      </c>
      <c r="F16" s="18">
        <f>'FS Seychelles'!C17*1000</f>
        <v>3257.3439999999996</v>
      </c>
      <c r="G16" s="18">
        <f>'FS Seychelles'!D17*1000</f>
        <v>3855.36</v>
      </c>
      <c r="H16" s="18">
        <f>'FS Seychelles'!E17*1000</f>
        <v>3952.6400000000003</v>
      </c>
      <c r="I16" s="18">
        <f>'FS Seychelles'!F17*1000</f>
        <v>2050.56</v>
      </c>
      <c r="J16" s="18">
        <f>'FS Seychelles'!G17*1000</f>
        <v>3622.9119999999998</v>
      </c>
      <c r="K16" s="18">
        <f>'FS Seychelles'!H17*1000</f>
        <v>2670.848</v>
      </c>
      <c r="L16" s="18">
        <f>'FS Seychelles'!I17*1000</f>
        <v>1202.1759999999999</v>
      </c>
      <c r="M16" s="18">
        <f>'FS Seychelles'!J17*1000</f>
        <v>1391.36</v>
      </c>
      <c r="N16" s="18">
        <f>'FS Seychelles'!K17*1000</f>
        <v>3403.2640000000001</v>
      </c>
      <c r="O16" s="18">
        <f>'FS Seychelles'!L17</f>
        <v>0</v>
      </c>
      <c r="P16" s="18">
        <f>'FS Seychelles'!M17</f>
        <v>0</v>
      </c>
      <c r="Q16" s="18">
        <f>'FS Seychelles'!N17</f>
        <v>11763</v>
      </c>
      <c r="R16" s="18">
        <f>'FS Seychelles'!O17</f>
        <v>15095</v>
      </c>
      <c r="S16" s="18">
        <f>'FS Seychelles'!P17</f>
        <v>0</v>
      </c>
      <c r="T16" s="18">
        <f>'FS Seychelles'!Q18</f>
        <v>7572</v>
      </c>
      <c r="U16" s="18">
        <f>'FS Seychelles'!S17</f>
        <v>34</v>
      </c>
      <c r="V16" s="18">
        <f>'FS Seychelles'!T17</f>
        <v>23</v>
      </c>
      <c r="W16" s="18">
        <f>'FS Seychelles'!U17</f>
        <v>51</v>
      </c>
      <c r="X16" s="18">
        <f>'FS Seychelles'!V17</f>
        <v>218</v>
      </c>
      <c r="Y16" s="18">
        <f>'FS Seychelles'!W17</f>
        <v>110</v>
      </c>
      <c r="Z16" s="18">
        <f>'FS Seychelles'!X17</f>
        <v>118</v>
      </c>
      <c r="AA16" s="18">
        <f>'FS Seychelles'!Y17</f>
        <v>0</v>
      </c>
      <c r="AB16" s="18">
        <f>('FS Seychelles'!$AB$9+'FS Seychelles'!$AB$15)/28</f>
        <v>173.14285714285714</v>
      </c>
    </row>
    <row r="17" spans="1:28" x14ac:dyDescent="0.25">
      <c r="A17" s="1" t="s">
        <v>13</v>
      </c>
      <c r="B17" s="11">
        <f t="shared" si="0"/>
        <v>16</v>
      </c>
      <c r="C17" s="11">
        <v>2</v>
      </c>
      <c r="D17" s="11">
        <v>2021</v>
      </c>
      <c r="E17" s="18">
        <f>'FS Seychelles'!B18</f>
        <v>13.33</v>
      </c>
      <c r="F17" s="18">
        <f>'FS Seychelles'!C18*1000</f>
        <v>3371.0079999999998</v>
      </c>
      <c r="G17" s="18">
        <f>'FS Seychelles'!D18*1000</f>
        <v>3894.2719999999999</v>
      </c>
      <c r="H17" s="18">
        <f>'FS Seychelles'!E18*1000</f>
        <v>4030.4640000000004</v>
      </c>
      <c r="I17" s="18">
        <f>'FS Seychelles'!F18*1000</f>
        <v>2010.624</v>
      </c>
      <c r="J17" s="18">
        <f>'FS Seychelles'!G18*1000</f>
        <v>3694.08</v>
      </c>
      <c r="K17" s="18">
        <f>'FS Seychelles'!H18*1000</f>
        <v>2975.232</v>
      </c>
      <c r="L17" s="18">
        <f>'FS Seychelles'!I18*1000</f>
        <v>1321.472</v>
      </c>
      <c r="M17" s="18">
        <f>'FS Seychelles'!J18*1000</f>
        <v>1404.672</v>
      </c>
      <c r="N17" s="18">
        <f>'FS Seychelles'!K18*1000</f>
        <v>3468.0320000000002</v>
      </c>
      <c r="O17" s="18">
        <f>'FS Seychelles'!L18</f>
        <v>0</v>
      </c>
      <c r="P17" s="18">
        <f>'FS Seychelles'!M18</f>
        <v>15161</v>
      </c>
      <c r="Q17" s="18">
        <f>'FS Seychelles'!N18</f>
        <v>9215</v>
      </c>
      <c r="R17" s="18">
        <f>'FS Seychelles'!O18</f>
        <v>4498</v>
      </c>
      <c r="S17" s="18">
        <f>'FS Seychelles'!P18</f>
        <v>0</v>
      </c>
      <c r="T17" s="18">
        <f>'FS Seychelles'!Q18</f>
        <v>7572</v>
      </c>
      <c r="U17" s="18">
        <f>'FS Seychelles'!S18</f>
        <v>31</v>
      </c>
      <c r="V17" s="18">
        <f>'FS Seychelles'!T18</f>
        <v>1</v>
      </c>
      <c r="W17" s="18">
        <f>'FS Seychelles'!U18</f>
        <v>87</v>
      </c>
      <c r="X17" s="18">
        <f>'FS Seychelles'!V18</f>
        <v>279</v>
      </c>
      <c r="Y17" s="18">
        <f>'FS Seychelles'!W18</f>
        <v>105</v>
      </c>
      <c r="Z17" s="18">
        <f>'FS Seychelles'!X18</f>
        <v>117</v>
      </c>
      <c r="AA17" s="18">
        <f>'FS Seychelles'!Y18</f>
        <v>0</v>
      </c>
      <c r="AB17" s="18">
        <f>('FS Seychelles'!$AB$9+'FS Seychelles'!$AB$15)/28</f>
        <v>173.14285714285714</v>
      </c>
    </row>
    <row r="18" spans="1:28" x14ac:dyDescent="0.25">
      <c r="A18" s="1" t="s">
        <v>13</v>
      </c>
      <c r="B18" s="11">
        <f t="shared" si="0"/>
        <v>17</v>
      </c>
      <c r="C18" s="11">
        <v>2</v>
      </c>
      <c r="D18" s="11">
        <v>2021</v>
      </c>
      <c r="E18" s="18">
        <f>'FS Seychelles'!B19</f>
        <v>11.86</v>
      </c>
      <c r="F18" s="18">
        <f>'FS Seychelles'!C19*1000</f>
        <v>3054.08</v>
      </c>
      <c r="G18" s="18">
        <f>'FS Seychelles'!D19*1000</f>
        <v>3553.28</v>
      </c>
      <c r="H18" s="18">
        <f>'FS Seychelles'!E19*1000</f>
        <v>4017.6639999999998</v>
      </c>
      <c r="I18" s="18">
        <f>'FS Seychelles'!F19*1000</f>
        <v>1955.5840000000001</v>
      </c>
      <c r="J18" s="18">
        <f>'FS Seychelles'!G19*1000</f>
        <v>3595.2639999999997</v>
      </c>
      <c r="K18" s="18">
        <f>'FS Seychelles'!H19*1000</f>
        <v>3058.1759999999999</v>
      </c>
      <c r="L18" s="18">
        <f>'FS Seychelles'!I19*1000</f>
        <v>1286.912</v>
      </c>
      <c r="M18" s="18">
        <f>'FS Seychelles'!J19*1000</f>
        <v>1397.248</v>
      </c>
      <c r="N18" s="18">
        <f>'FS Seychelles'!K19*1000</f>
        <v>3436.0320000000002</v>
      </c>
      <c r="O18" s="18">
        <f>'FS Seychelles'!L19</f>
        <v>0</v>
      </c>
      <c r="P18" s="18">
        <f>'FS Seychelles'!M19</f>
        <v>2254</v>
      </c>
      <c r="Q18" s="18">
        <f>'FS Seychelles'!N19</f>
        <v>8425</v>
      </c>
      <c r="R18" s="18">
        <f>'FS Seychelles'!O19</f>
        <v>12398</v>
      </c>
      <c r="S18" s="18">
        <f>'FS Seychelles'!P19</f>
        <v>0</v>
      </c>
      <c r="T18" s="18">
        <f>'FS Seychelles'!Q19</f>
        <v>8796</v>
      </c>
      <c r="U18" s="18">
        <f>'FS Seychelles'!S19</f>
        <v>35</v>
      </c>
      <c r="V18" s="18">
        <f>'FS Seychelles'!T19</f>
        <v>0</v>
      </c>
      <c r="W18" s="18">
        <f>'FS Seychelles'!U19</f>
        <v>83</v>
      </c>
      <c r="X18" s="18">
        <f>'FS Seychelles'!V19</f>
        <v>257</v>
      </c>
      <c r="Y18" s="18">
        <f>'FS Seychelles'!W19</f>
        <v>76</v>
      </c>
      <c r="Z18" s="18">
        <f>'FS Seychelles'!X19</f>
        <v>112</v>
      </c>
      <c r="AA18" s="18">
        <f>'FS Seychelles'!Y19</f>
        <v>0</v>
      </c>
      <c r="AB18" s="18">
        <f>('FS Seychelles'!$AB$9+'FS Seychelles'!$AB$15)/28</f>
        <v>173.14285714285714</v>
      </c>
    </row>
    <row r="19" spans="1:28" x14ac:dyDescent="0.25">
      <c r="A19" s="1" t="s">
        <v>13</v>
      </c>
      <c r="B19" s="11">
        <f t="shared" si="0"/>
        <v>18</v>
      </c>
      <c r="C19" s="11">
        <v>2</v>
      </c>
      <c r="D19" s="11">
        <v>2021</v>
      </c>
      <c r="E19" s="18">
        <f>'FS Seychelles'!B20</f>
        <v>11.88</v>
      </c>
      <c r="F19" s="18">
        <f>'FS Seychelles'!C20*1000</f>
        <v>3075.0720000000001</v>
      </c>
      <c r="G19" s="18">
        <f>'FS Seychelles'!D20*1000</f>
        <v>3600.384</v>
      </c>
      <c r="H19" s="18">
        <f>'FS Seychelles'!E20*1000</f>
        <v>4042.752</v>
      </c>
      <c r="I19" s="18">
        <f>'FS Seychelles'!F20*1000</f>
        <v>1942.2719999999999</v>
      </c>
      <c r="J19" s="18">
        <f>'FS Seychelles'!G20*1000</f>
        <v>3612.4160000000002</v>
      </c>
      <c r="K19" s="18">
        <f>'FS Seychelles'!H20*1000</f>
        <v>3241.2159999999999</v>
      </c>
      <c r="L19" s="18">
        <f>'FS Seychelles'!I20*1000</f>
        <v>1294.9759999999999</v>
      </c>
      <c r="M19" s="18">
        <f>'FS Seychelles'!J20*1000</f>
        <v>1414.912</v>
      </c>
      <c r="N19" s="18">
        <f>'FS Seychelles'!K20*1000</f>
        <v>3384.8319999999999</v>
      </c>
      <c r="O19" s="18">
        <f>'FS Seychelles'!L20</f>
        <v>0</v>
      </c>
      <c r="P19" s="18">
        <f>'FS Seychelles'!M20</f>
        <v>9268</v>
      </c>
      <c r="Q19" s="18">
        <f>'FS Seychelles'!N20</f>
        <v>10633</v>
      </c>
      <c r="R19" s="18">
        <f>'FS Seychelles'!O20</f>
        <v>9961</v>
      </c>
      <c r="S19" s="18">
        <f>'FS Seychelles'!P20</f>
        <v>0</v>
      </c>
      <c r="T19" s="18">
        <f>'FS Seychelles'!Q20</f>
        <v>7863</v>
      </c>
      <c r="U19" s="18">
        <f>'FS Seychelles'!S20</f>
        <v>31</v>
      </c>
      <c r="V19" s="18">
        <f>'FS Seychelles'!T20</f>
        <v>0</v>
      </c>
      <c r="W19" s="18">
        <f>'FS Seychelles'!U20</f>
        <v>116</v>
      </c>
      <c r="X19" s="18">
        <f>'FS Seychelles'!V20</f>
        <v>216</v>
      </c>
      <c r="Y19" s="18">
        <f>'FS Seychelles'!W20</f>
        <v>97</v>
      </c>
      <c r="Z19" s="18">
        <f>'FS Seychelles'!X20</f>
        <v>116</v>
      </c>
      <c r="AA19" s="18">
        <f>'FS Seychelles'!Y20</f>
        <v>0</v>
      </c>
      <c r="AB19" s="18">
        <f>('FS Seychelles'!$AB$9+'FS Seychelles'!$AB$15)/28</f>
        <v>173.14285714285714</v>
      </c>
    </row>
    <row r="20" spans="1:28" x14ac:dyDescent="0.25">
      <c r="A20" s="1" t="s">
        <v>13</v>
      </c>
      <c r="B20" s="11">
        <f t="shared" si="0"/>
        <v>19</v>
      </c>
      <c r="C20" s="11">
        <v>2</v>
      </c>
      <c r="D20" s="11">
        <v>2021</v>
      </c>
      <c r="E20" s="18">
        <f>'FS Seychelles'!B21</f>
        <v>13.11</v>
      </c>
      <c r="F20" s="18">
        <f>'FS Seychelles'!C21*1000</f>
        <v>2690.0479999999998</v>
      </c>
      <c r="G20" s="18">
        <f>'FS Seychelles'!D21*1000</f>
        <v>3278.848</v>
      </c>
      <c r="H20" s="18">
        <f>'FS Seychelles'!E21*1000</f>
        <v>3815.9360000000001</v>
      </c>
      <c r="I20" s="18">
        <f>'FS Seychelles'!F21*1000</f>
        <v>1733.8880000000001</v>
      </c>
      <c r="J20" s="18">
        <f>'FS Seychelles'!G21*1000</f>
        <v>3257.3439999999996</v>
      </c>
      <c r="K20" s="18">
        <f>'FS Seychelles'!H21*1000</f>
        <v>2985.2159999999999</v>
      </c>
      <c r="L20" s="18">
        <f>'FS Seychelles'!I21*1000</f>
        <v>1308.9280000000001</v>
      </c>
      <c r="M20" s="18">
        <f>'FS Seychelles'!J21*1000</f>
        <v>1382.9119999999998</v>
      </c>
      <c r="N20" s="18">
        <f>'FS Seychelles'!K21*1000</f>
        <v>3463.1680000000001</v>
      </c>
      <c r="O20" s="18">
        <f>'FS Seychelles'!L21</f>
        <v>3009</v>
      </c>
      <c r="P20" s="18">
        <f>'FS Seychelles'!M21</f>
        <v>0</v>
      </c>
      <c r="Q20" s="18">
        <f>'FS Seychelles'!N21</f>
        <v>10815</v>
      </c>
      <c r="R20" s="18">
        <f>'FS Seychelles'!O21</f>
        <v>5123</v>
      </c>
      <c r="S20" s="18">
        <f>'FS Seychelles'!P21</f>
        <v>0</v>
      </c>
      <c r="T20" s="18">
        <f>'FS Seychelles'!Q21</f>
        <v>5891</v>
      </c>
      <c r="U20" s="18">
        <f>'FS Seychelles'!S21</f>
        <v>36</v>
      </c>
      <c r="V20" s="18">
        <f>'FS Seychelles'!T21</f>
        <v>1</v>
      </c>
      <c r="W20" s="18">
        <f>'FS Seychelles'!U21</f>
        <v>80</v>
      </c>
      <c r="X20" s="18">
        <f>'FS Seychelles'!V21</f>
        <v>209</v>
      </c>
      <c r="Y20" s="18">
        <f>'FS Seychelles'!W21</f>
        <v>75</v>
      </c>
      <c r="Z20" s="18">
        <f>'FS Seychelles'!X21</f>
        <v>109</v>
      </c>
      <c r="AA20" s="18">
        <f>'FS Seychelles'!Y21</f>
        <v>0</v>
      </c>
      <c r="AB20" s="18">
        <f>('FS Seychelles'!$AB$9+'FS Seychelles'!$AB$15)/28</f>
        <v>173.14285714285714</v>
      </c>
    </row>
    <row r="21" spans="1:28" x14ac:dyDescent="0.25">
      <c r="A21" s="1" t="s">
        <v>13</v>
      </c>
      <c r="B21" s="11">
        <f t="shared" si="0"/>
        <v>20</v>
      </c>
      <c r="C21" s="11">
        <v>2</v>
      </c>
      <c r="D21" s="11">
        <v>2021</v>
      </c>
      <c r="E21" s="18">
        <f>'FS Seychelles'!B22</f>
        <v>13.11</v>
      </c>
      <c r="F21" s="18">
        <f>'FS Seychelles'!C22*1000</f>
        <v>3051.52</v>
      </c>
      <c r="G21" s="18">
        <f>'FS Seychelles'!D22*1000</f>
        <v>3375.1039999999998</v>
      </c>
      <c r="H21" s="18">
        <f>'FS Seychelles'!E22*1000</f>
        <v>3712</v>
      </c>
      <c r="I21" s="18">
        <f>'FS Seychelles'!F22*1000</f>
        <v>1827.84</v>
      </c>
      <c r="J21" s="18">
        <f>'FS Seychelles'!G22*1000</f>
        <v>3459.5839999999998</v>
      </c>
      <c r="K21" s="18">
        <f>'FS Seychelles'!H22*1000</f>
        <v>3262.4639999999999</v>
      </c>
      <c r="L21" s="18">
        <f>'FS Seychelles'!I22*1000</f>
        <v>834.30400000000009</v>
      </c>
      <c r="M21" s="18">
        <f>'FS Seychelles'!J22*1000</f>
        <v>1372.6719999999998</v>
      </c>
      <c r="N21" s="18">
        <f>'FS Seychelles'!K22*1000</f>
        <v>2775.5519999999997</v>
      </c>
      <c r="O21" s="18">
        <f>'FS Seychelles'!L22</f>
        <v>8821</v>
      </c>
      <c r="P21" s="18">
        <f>'FS Seychelles'!M22</f>
        <v>3814</v>
      </c>
      <c r="Q21" s="18">
        <f>'FS Seychelles'!N22</f>
        <v>6703</v>
      </c>
      <c r="R21" s="18">
        <f>'FS Seychelles'!O22</f>
        <v>10042</v>
      </c>
      <c r="S21" s="18">
        <f>'FS Seychelles'!P23</f>
        <v>0</v>
      </c>
      <c r="T21" s="18">
        <f>'FS Seychelles'!Q22</f>
        <v>7742</v>
      </c>
      <c r="U21" s="18">
        <f>'FS Seychelles'!S22</f>
        <v>32</v>
      </c>
      <c r="V21" s="18">
        <f>'FS Seychelles'!T22</f>
        <v>15</v>
      </c>
      <c r="W21" s="18">
        <f>'FS Seychelles'!U22</f>
        <v>57</v>
      </c>
      <c r="X21" s="18">
        <f>'FS Seychelles'!V22</f>
        <v>183</v>
      </c>
      <c r="Y21" s="18">
        <f>'FS Seychelles'!W22</f>
        <v>78</v>
      </c>
      <c r="Z21" s="18">
        <f>'FS Seychelles'!X22</f>
        <v>97</v>
      </c>
      <c r="AA21" s="18">
        <f>'FS Seychelles'!Y22</f>
        <v>0</v>
      </c>
      <c r="AB21" s="18">
        <f>('FS Seychelles'!$AB$9+'FS Seychelles'!$AB$15)/28</f>
        <v>173.14285714285714</v>
      </c>
    </row>
    <row r="22" spans="1:28" x14ac:dyDescent="0.25">
      <c r="A22" s="1" t="s">
        <v>13</v>
      </c>
      <c r="B22" s="11">
        <f t="shared" si="0"/>
        <v>21</v>
      </c>
      <c r="C22" s="11">
        <v>2</v>
      </c>
      <c r="D22" s="11">
        <v>2021</v>
      </c>
      <c r="E22" s="18">
        <f>'FS Seychelles'!B23</f>
        <v>14.75</v>
      </c>
      <c r="F22" s="18">
        <f>'FS Seychelles'!C23*1000</f>
        <v>2910.2080000000001</v>
      </c>
      <c r="G22" s="18">
        <f>'FS Seychelles'!D23*1000</f>
        <v>3354.1120000000001</v>
      </c>
      <c r="H22" s="18">
        <f>'FS Seychelles'!E23*1000</f>
        <v>3417.0880000000002</v>
      </c>
      <c r="I22" s="18">
        <f>'FS Seychelles'!F23*1000</f>
        <v>2016</v>
      </c>
      <c r="J22" s="18">
        <f>'FS Seychelles'!G23*1000</f>
        <v>3401.4720000000002</v>
      </c>
      <c r="K22" s="18">
        <f>'FS Seychelles'!H23*1000</f>
        <v>3339.7760000000003</v>
      </c>
      <c r="L22" s="18">
        <f>'FS Seychelles'!I23*1000</f>
        <v>1221.76</v>
      </c>
      <c r="M22" s="18">
        <f>'FS Seychelles'!J23*1000</f>
        <v>1391.1039999999998</v>
      </c>
      <c r="N22" s="18">
        <f>'FS Seychelles'!K23*1000</f>
        <v>3339.52</v>
      </c>
      <c r="O22" s="18">
        <f>'FS Seychelles'!L23</f>
        <v>4611</v>
      </c>
      <c r="P22" s="18">
        <f>'FS Seychelles'!M23</f>
        <v>3104</v>
      </c>
      <c r="Q22" s="18">
        <f>'FS Seychelles'!N23</f>
        <v>9498</v>
      </c>
      <c r="R22" s="18">
        <f>'FS Seychelles'!O23</f>
        <v>8722</v>
      </c>
      <c r="S22" s="18">
        <f>'FS Seychelles'!P24</f>
        <v>0</v>
      </c>
      <c r="T22" s="18">
        <f>'FS Seychelles'!Q23</f>
        <v>7225</v>
      </c>
      <c r="U22" s="18">
        <f>'FS Seychelles'!S23</f>
        <v>30</v>
      </c>
      <c r="V22" s="18">
        <f>'FS Seychelles'!T23</f>
        <v>53</v>
      </c>
      <c r="W22" s="18">
        <f>'FS Seychelles'!U23</f>
        <v>63</v>
      </c>
      <c r="X22" s="18">
        <f>'FS Seychelles'!V23</f>
        <v>171</v>
      </c>
      <c r="Y22" s="18">
        <f>'FS Seychelles'!W23</f>
        <v>83</v>
      </c>
      <c r="Z22" s="18">
        <f>'FS Seychelles'!X23</f>
        <v>14</v>
      </c>
      <c r="AA22" s="18">
        <f>'FS Seychelles'!Y23</f>
        <v>0</v>
      </c>
      <c r="AB22" s="18">
        <f>('FS Seychelles'!$AB$9+'FS Seychelles'!$AB$15)/28</f>
        <v>173.14285714285714</v>
      </c>
    </row>
    <row r="23" spans="1:28" x14ac:dyDescent="0.25">
      <c r="A23" s="1" t="s">
        <v>13</v>
      </c>
      <c r="B23" s="11">
        <f t="shared" si="0"/>
        <v>22</v>
      </c>
      <c r="C23" s="11">
        <v>2</v>
      </c>
      <c r="D23" s="11">
        <v>2021</v>
      </c>
      <c r="E23" s="18">
        <f>'FS Seychelles'!B24</f>
        <v>15</v>
      </c>
      <c r="F23" s="18">
        <f>'FS Seychelles'!C24*1000</f>
        <v>3022.3360000000002</v>
      </c>
      <c r="G23" s="18">
        <f>'FS Seychelles'!D24*1000</f>
        <v>3516.4160000000002</v>
      </c>
      <c r="H23" s="18">
        <f>'FS Seychelles'!E24*1000</f>
        <v>3616.2559999999999</v>
      </c>
      <c r="I23" s="18">
        <f>'FS Seychelles'!F24*1000</f>
        <v>2053.6320000000001</v>
      </c>
      <c r="J23" s="18">
        <f>'FS Seychelles'!G24*1000</f>
        <v>3415.5520000000001</v>
      </c>
      <c r="K23" s="18">
        <f>'FS Seychelles'!H24*1000</f>
        <v>3327.232</v>
      </c>
      <c r="L23" s="18">
        <f>'FS Seychelles'!I24*1000</f>
        <v>1246.9760000000001</v>
      </c>
      <c r="M23" s="18">
        <f>'FS Seychelles'!J24*1000</f>
        <v>1376.5119999999999</v>
      </c>
      <c r="N23" s="18">
        <f>'FS Seychelles'!K24*1000</f>
        <v>3476.2240000000002</v>
      </c>
      <c r="O23" s="18">
        <f>'FS Seychelles'!L24</f>
        <v>0</v>
      </c>
      <c r="P23" s="18">
        <f>'FS Seychelles'!M24</f>
        <v>8429</v>
      </c>
      <c r="Q23" s="18">
        <f>'FS Seychelles'!N24</f>
        <v>6264</v>
      </c>
      <c r="R23" s="18">
        <f>'FS Seychelles'!O24</f>
        <v>11763</v>
      </c>
      <c r="S23" s="18">
        <f>'FS Seychelles'!P25</f>
        <v>0</v>
      </c>
      <c r="T23" s="18">
        <f>'FS Seychelles'!Q24</f>
        <v>7197</v>
      </c>
      <c r="U23" s="18">
        <f>'FS Seychelles'!S24</f>
        <v>36</v>
      </c>
      <c r="V23" s="18">
        <f>'FS Seychelles'!T24</f>
        <v>0</v>
      </c>
      <c r="W23" s="18">
        <f>'FS Seychelles'!U24</f>
        <v>71</v>
      </c>
      <c r="X23" s="18">
        <f>'FS Seychelles'!V24</f>
        <v>278</v>
      </c>
      <c r="Y23" s="18">
        <f>'FS Seychelles'!W24</f>
        <v>137</v>
      </c>
      <c r="Z23" s="18">
        <f>'FS Seychelles'!X24</f>
        <v>44</v>
      </c>
      <c r="AA23" s="18">
        <f>'FS Seychelles'!Y24</f>
        <v>0</v>
      </c>
      <c r="AB23" s="18">
        <f>('FS Seychelles'!$AB$9+'FS Seychelles'!$AB$15)/28</f>
        <v>173.14285714285714</v>
      </c>
    </row>
    <row r="24" spans="1:28" x14ac:dyDescent="0.25">
      <c r="A24" s="1" t="s">
        <v>13</v>
      </c>
      <c r="B24" s="11">
        <f t="shared" si="0"/>
        <v>23</v>
      </c>
      <c r="C24" s="11">
        <v>2</v>
      </c>
      <c r="D24" s="11">
        <v>2021</v>
      </c>
      <c r="E24" s="18">
        <f>'FS Seychelles'!B25</f>
        <v>15</v>
      </c>
      <c r="F24" s="18">
        <f>'FS Seychelles'!C25*1000</f>
        <v>3171.0720000000001</v>
      </c>
      <c r="G24" s="18">
        <f>'FS Seychelles'!D25*1000</f>
        <v>3667.9680000000003</v>
      </c>
      <c r="H24" s="18">
        <f>'FS Seychelles'!E25*1000</f>
        <v>3926.0160000000001</v>
      </c>
      <c r="I24" s="18">
        <f>'FS Seychelles'!F25*1000</f>
        <v>1872.384</v>
      </c>
      <c r="J24" s="18">
        <f>'FS Seychelles'!G25*1000</f>
        <v>3753.7280000000001</v>
      </c>
      <c r="K24" s="18">
        <f>'FS Seychelles'!H25*1000</f>
        <v>3632.384</v>
      </c>
      <c r="L24" s="18">
        <f>'FS Seychelles'!I25*1000</f>
        <v>1256.8319999999999</v>
      </c>
      <c r="M24" s="18">
        <f>'FS Seychelles'!J25*1000</f>
        <v>1374.9759999999999</v>
      </c>
      <c r="N24" s="18">
        <f>'FS Seychelles'!K25*1000</f>
        <v>3491.8399999999997</v>
      </c>
      <c r="O24" s="18">
        <f>'FS Seychelles'!L25</f>
        <v>0</v>
      </c>
      <c r="P24" s="18">
        <f>'FS Seychelles'!M25</f>
        <v>8933</v>
      </c>
      <c r="Q24" s="18">
        <f>'FS Seychelles'!N25</f>
        <v>4968</v>
      </c>
      <c r="R24" s="18">
        <f>'FS Seychelles'!O25</f>
        <v>14338</v>
      </c>
      <c r="S24" s="18">
        <f>'FS Seychelles'!P25</f>
        <v>0</v>
      </c>
      <c r="T24" s="18">
        <f>'FS Seychelles'!Q25</f>
        <v>7644</v>
      </c>
      <c r="U24" s="18">
        <f>'FS Seychelles'!S25</f>
        <v>34</v>
      </c>
      <c r="V24" s="18">
        <f>'FS Seychelles'!T25</f>
        <v>41</v>
      </c>
      <c r="W24" s="18">
        <f>'FS Seychelles'!U25</f>
        <v>93</v>
      </c>
      <c r="X24" s="18">
        <f>'FS Seychelles'!V25</f>
        <v>278</v>
      </c>
      <c r="Y24" s="18">
        <f>'FS Seychelles'!W25</f>
        <v>79</v>
      </c>
      <c r="Z24" s="18">
        <f>'FS Seychelles'!X25</f>
        <v>123</v>
      </c>
      <c r="AA24" s="18">
        <f>'FS Seychelles'!Y25</f>
        <v>0</v>
      </c>
      <c r="AB24" s="18">
        <f>('FS Seychelles'!$AB$9+'FS Seychelles'!$AB$15)/28</f>
        <v>173.14285714285714</v>
      </c>
    </row>
    <row r="25" spans="1:28" x14ac:dyDescent="0.25">
      <c r="A25" s="1" t="s">
        <v>13</v>
      </c>
      <c r="B25" s="11">
        <f t="shared" si="0"/>
        <v>24</v>
      </c>
      <c r="C25" s="11">
        <v>2</v>
      </c>
      <c r="D25" s="11">
        <v>2021</v>
      </c>
      <c r="E25" s="18">
        <f>'FS Seychelles'!B26</f>
        <v>16.95</v>
      </c>
      <c r="F25" s="18">
        <f>'FS Seychelles'!C26*1000</f>
        <v>3164.672</v>
      </c>
      <c r="G25" s="18">
        <f>'FS Seychelles'!D26*1000</f>
        <v>3662.3359999999998</v>
      </c>
      <c r="H25" s="18">
        <f>'FS Seychelles'!E26*1000</f>
        <v>4077.0559999999996</v>
      </c>
      <c r="I25" s="18">
        <f>'FS Seychelles'!F26*1000</f>
        <v>1925.12</v>
      </c>
      <c r="J25" s="18">
        <f>'FS Seychelles'!G26*1000</f>
        <v>3712.2559999999999</v>
      </c>
      <c r="K25" s="18">
        <f>'FS Seychelles'!H26*1000</f>
        <v>3767.04</v>
      </c>
      <c r="L25" s="18">
        <f>'FS Seychelles'!I26*1000</f>
        <v>1237.376</v>
      </c>
      <c r="M25" s="18">
        <f>'FS Seychelles'!J26*1000</f>
        <v>1395.4560000000001</v>
      </c>
      <c r="N25" s="18">
        <f>'FS Seychelles'!K26*1000</f>
        <v>3561.7280000000001</v>
      </c>
      <c r="O25" s="18">
        <f>'FS Seychelles'!L26</f>
        <v>0</v>
      </c>
      <c r="P25" s="18">
        <f>'FS Seychelles'!M26</f>
        <v>14011</v>
      </c>
      <c r="Q25" s="18">
        <f>'FS Seychelles'!N26</f>
        <v>8967</v>
      </c>
      <c r="R25" s="18">
        <f>'FS Seychelles'!O26</f>
        <v>4749</v>
      </c>
      <c r="S25" s="18">
        <f>'FS Seychelles'!P26</f>
        <v>0</v>
      </c>
      <c r="T25" s="18">
        <f>'FS Seychelles'!Q26</f>
        <v>7545</v>
      </c>
      <c r="U25" s="18">
        <f>'FS Seychelles'!S26</f>
        <v>30</v>
      </c>
      <c r="V25" s="18">
        <f>'FS Seychelles'!T26</f>
        <v>40</v>
      </c>
      <c r="W25" s="18">
        <f>'FS Seychelles'!U26</f>
        <v>80</v>
      </c>
      <c r="X25" s="18">
        <f>'FS Seychelles'!V26</f>
        <v>278</v>
      </c>
      <c r="Y25" s="18">
        <f>'FS Seychelles'!W26</f>
        <v>98</v>
      </c>
      <c r="Z25" s="18">
        <f>'FS Seychelles'!X26</f>
        <v>117</v>
      </c>
      <c r="AA25" s="18">
        <f>'FS Seychelles'!Y26</f>
        <v>0</v>
      </c>
      <c r="AB25" s="18">
        <f>('FS Seychelles'!$AB$9+'FS Seychelles'!$AB$15)/28</f>
        <v>173.14285714285714</v>
      </c>
    </row>
    <row r="26" spans="1:28" x14ac:dyDescent="0.25">
      <c r="A26" s="1" t="s">
        <v>13</v>
      </c>
      <c r="B26" s="11">
        <f>B25+1</f>
        <v>25</v>
      </c>
      <c r="C26" s="11">
        <v>2</v>
      </c>
      <c r="D26" s="11">
        <v>2021</v>
      </c>
      <c r="E26" s="18">
        <f>'FS Seychelles'!B27</f>
        <v>11.32</v>
      </c>
      <c r="F26" s="18">
        <f>'FS Seychelles'!C27*1000</f>
        <v>3356.16</v>
      </c>
      <c r="G26" s="18">
        <f>'FS Seychelles'!D27*1000</f>
        <v>3831.2959999999998</v>
      </c>
      <c r="H26" s="18">
        <f>'FS Seychelles'!E27*1000</f>
        <v>4172.7999999999993</v>
      </c>
      <c r="I26" s="18">
        <f>'FS Seychelles'!F27*1000</f>
        <v>1971.712</v>
      </c>
      <c r="J26" s="18">
        <f>'FS Seychelles'!G27*1000</f>
        <v>3927.2960000000003</v>
      </c>
      <c r="K26" s="18">
        <f>'FS Seychelles'!H27*1000</f>
        <v>3982.848</v>
      </c>
      <c r="L26" s="18">
        <f>'FS Seychelles'!I27*1000</f>
        <v>1259.2639999999999</v>
      </c>
      <c r="M26" s="18">
        <f>'FS Seychelles'!J27*1000</f>
        <v>1404.672</v>
      </c>
      <c r="N26" s="18">
        <f>'FS Seychelles'!K27*1000</f>
        <v>3623.424</v>
      </c>
      <c r="O26" s="18">
        <f>'FS Seychelles'!L27</f>
        <v>0</v>
      </c>
      <c r="P26" s="18">
        <f>'FS Seychelles'!M27</f>
        <v>8622</v>
      </c>
      <c r="Q26" s="18">
        <f>'FS Seychelles'!N27</f>
        <v>9942</v>
      </c>
      <c r="R26" s="18">
        <f>'FS Seychelles'!O27</f>
        <v>9692</v>
      </c>
      <c r="S26" s="18">
        <f>'FS Seychelles'!P27</f>
        <v>0</v>
      </c>
      <c r="T26" s="18">
        <f>'FS Seychelles'!Q27</f>
        <v>8076</v>
      </c>
      <c r="U26" s="18">
        <f>'FS Seychelles'!S27</f>
        <v>34</v>
      </c>
      <c r="V26" s="18">
        <f>'FS Seychelles'!T27</f>
        <v>29</v>
      </c>
      <c r="W26" s="18">
        <f>'FS Seychelles'!U27</f>
        <v>99</v>
      </c>
      <c r="X26" s="18">
        <f>'FS Seychelles'!V27</f>
        <v>318</v>
      </c>
      <c r="Y26" s="18">
        <f>'FS Seychelles'!W27</f>
        <v>101</v>
      </c>
      <c r="Z26" s="18">
        <f>'FS Seychelles'!X27</f>
        <v>113</v>
      </c>
      <c r="AA26" s="18">
        <f>'FS Seychelles'!Y27</f>
        <v>0</v>
      </c>
      <c r="AB26" s="18">
        <f>('FS Seychelles'!$AB$9+'FS Seychelles'!$AB$15)/28</f>
        <v>173.14285714285714</v>
      </c>
    </row>
    <row r="27" spans="1:28" x14ac:dyDescent="0.25">
      <c r="A27" s="1" t="s">
        <v>13</v>
      </c>
      <c r="B27" s="11">
        <f t="shared" si="0"/>
        <v>26</v>
      </c>
      <c r="C27" s="11">
        <v>2</v>
      </c>
      <c r="D27" s="11">
        <v>2021</v>
      </c>
      <c r="E27" s="18">
        <f>'FS Seychelles'!B28</f>
        <v>12.06</v>
      </c>
      <c r="F27" s="18">
        <f>'FS Seychelles'!C28*1000</f>
        <v>3413.7599999999998</v>
      </c>
      <c r="G27" s="18">
        <f>'FS Seychelles'!D28*1000</f>
        <v>3844.6080000000002</v>
      </c>
      <c r="H27" s="18">
        <f>'FS Seychelles'!E28*1000</f>
        <v>3959.2960000000003</v>
      </c>
      <c r="I27" s="18">
        <f>'FS Seychelles'!F28*1000</f>
        <v>1913.6</v>
      </c>
      <c r="J27" s="18">
        <f>'FS Seychelles'!G28*1000</f>
        <v>3501.3119999999999</v>
      </c>
      <c r="K27" s="18">
        <f>'FS Seychelles'!H28*1000</f>
        <v>3980.288</v>
      </c>
      <c r="L27" s="18">
        <f>'FS Seychelles'!I28*1000</f>
        <v>1271.296</v>
      </c>
      <c r="M27" s="18">
        <f>'FS Seychelles'!J28*1000</f>
        <v>1438.4639999999999</v>
      </c>
      <c r="N27" s="18">
        <f>'FS Seychelles'!K28*1000</f>
        <v>3634.1759999999999</v>
      </c>
      <c r="O27" s="18">
        <f>'FS Seychelles'!L28</f>
        <v>0</v>
      </c>
      <c r="P27" s="18">
        <f>'FS Seychelles'!M28</f>
        <v>8217</v>
      </c>
      <c r="Q27" s="18">
        <f>'FS Seychelles'!N28</f>
        <v>10658</v>
      </c>
      <c r="R27" s="18">
        <f>'FS Seychelles'!O28</f>
        <v>9481</v>
      </c>
      <c r="S27" s="18">
        <f>'FS Seychelles'!P28</f>
        <v>0</v>
      </c>
      <c r="T27" s="18">
        <f>'FS Seychelles'!Q28</f>
        <v>7493</v>
      </c>
      <c r="U27" s="18">
        <f>'FS Seychelles'!S28</f>
        <v>39</v>
      </c>
      <c r="V27" s="18">
        <f>'FS Seychelles'!T28</f>
        <v>26</v>
      </c>
      <c r="W27" s="18">
        <f>'FS Seychelles'!U28</f>
        <v>61</v>
      </c>
      <c r="X27" s="18">
        <f>'FS Seychelles'!V28</f>
        <v>228</v>
      </c>
      <c r="Y27" s="18">
        <f>'FS Seychelles'!W28</f>
        <v>102</v>
      </c>
      <c r="Z27" s="18">
        <f>'FS Seychelles'!X28</f>
        <v>114</v>
      </c>
      <c r="AA27" s="18">
        <f>'FS Seychelles'!Y28</f>
        <v>0</v>
      </c>
      <c r="AB27" s="18">
        <f>('FS Seychelles'!$AB$9+'FS Seychelles'!$AB$15)/28</f>
        <v>173.14285714285714</v>
      </c>
    </row>
    <row r="28" spans="1:28" x14ac:dyDescent="0.25">
      <c r="A28" s="1" t="s">
        <v>13</v>
      </c>
      <c r="B28" s="11">
        <f t="shared" si="0"/>
        <v>27</v>
      </c>
      <c r="C28" s="11">
        <v>2</v>
      </c>
      <c r="D28" s="11">
        <v>2021</v>
      </c>
      <c r="E28" s="18">
        <f>'FS Seychelles'!B29</f>
        <v>10.17</v>
      </c>
      <c r="F28" s="18">
        <f>'FS Seychelles'!C29*1000</f>
        <v>3009.2799999999997</v>
      </c>
      <c r="G28" s="18">
        <f>'FS Seychelles'!D29*1000</f>
        <v>3487.7440000000001</v>
      </c>
      <c r="H28" s="18">
        <f>'FS Seychelles'!E29*1000</f>
        <v>4017.1520000000005</v>
      </c>
      <c r="I28" s="18">
        <f>'FS Seychelles'!F29*1000</f>
        <v>1701.8880000000001</v>
      </c>
      <c r="J28" s="18">
        <f>'FS Seychelles'!G29*1000</f>
        <v>3134.7200000000003</v>
      </c>
      <c r="K28" s="18">
        <f>'FS Seychelles'!H29*1000</f>
        <v>3635.712</v>
      </c>
      <c r="L28" s="18">
        <f>'FS Seychelles'!I29*1000</f>
        <v>1183.7439999999999</v>
      </c>
      <c r="M28" s="18">
        <f>'FS Seychelles'!J29*1000</f>
        <v>1366.0159999999998</v>
      </c>
      <c r="N28" s="18">
        <f>'FS Seychelles'!K29*1000</f>
        <v>3458.8160000000003</v>
      </c>
      <c r="O28" s="18">
        <f>'FS Seychelles'!L29</f>
        <v>734</v>
      </c>
      <c r="P28" s="18">
        <f>'FS Seychelles'!M29</f>
        <v>8947</v>
      </c>
      <c r="Q28" s="18">
        <f>'FS Seychelles'!N29</f>
        <v>5420</v>
      </c>
      <c r="R28" s="18">
        <f>'FS Seychelles'!O29</f>
        <v>9076</v>
      </c>
      <c r="S28" s="18">
        <f>'FS Seychelles'!P29</f>
        <v>0</v>
      </c>
      <c r="T28" s="18">
        <f>'FS Seychelles'!Q29</f>
        <v>7091</v>
      </c>
      <c r="U28" s="18">
        <f>'FS Seychelles'!S29</f>
        <v>32</v>
      </c>
      <c r="V28" s="18">
        <f>'FS Seychelles'!T29</f>
        <v>41</v>
      </c>
      <c r="W28" s="18">
        <f>'FS Seychelles'!U29</f>
        <v>79</v>
      </c>
      <c r="X28" s="18">
        <f>'FS Seychelles'!V29</f>
        <v>240</v>
      </c>
      <c r="Y28" s="18">
        <f>'FS Seychelles'!W29</f>
        <v>94</v>
      </c>
      <c r="Z28" s="18">
        <f>'FS Seychelles'!X29</f>
        <v>76</v>
      </c>
      <c r="AA28" s="18">
        <f>'FS Seychelles'!Y29</f>
        <v>0</v>
      </c>
      <c r="AB28" s="18">
        <f>('FS Seychelles'!$AB$9+'FS Seychelles'!$AB$15)/28</f>
        <v>173.14285714285714</v>
      </c>
    </row>
    <row r="29" spans="1:28" x14ac:dyDescent="0.25">
      <c r="A29" s="1" t="s">
        <v>13</v>
      </c>
      <c r="B29" s="11">
        <f t="shared" si="0"/>
        <v>28</v>
      </c>
      <c r="C29" s="11">
        <v>2</v>
      </c>
      <c r="D29" s="11">
        <v>2021</v>
      </c>
      <c r="E29" s="18">
        <f>'FS Seychelles'!B30</f>
        <v>10.17</v>
      </c>
      <c r="F29" s="18">
        <f>'FS Seychelles'!C30*1000</f>
        <v>3075.328</v>
      </c>
      <c r="G29" s="18">
        <f>'FS Seychelles'!D30*1000</f>
        <v>3385.3440000000001</v>
      </c>
      <c r="H29" s="18">
        <f>'FS Seychelles'!E30*1000</f>
        <v>3789.3119999999999</v>
      </c>
      <c r="I29" s="18">
        <f>'FS Seychelles'!F30*1000</f>
        <v>1789.4399999999998</v>
      </c>
      <c r="J29" s="18">
        <f>'FS Seychelles'!G30*1000</f>
        <v>2736.384</v>
      </c>
      <c r="K29" s="18">
        <f>'FS Seychelles'!H30*1000</f>
        <v>3722.752</v>
      </c>
      <c r="L29" s="18">
        <f>'FS Seychelles'!I30*1000</f>
        <v>1195.904</v>
      </c>
      <c r="M29" s="18">
        <f>'FS Seychelles'!J30*1000</f>
        <v>1374.4639999999999</v>
      </c>
      <c r="N29" s="18">
        <f>'FS Seychelles'!K30*1000</f>
        <v>3318.2719999999999</v>
      </c>
      <c r="O29" s="18">
        <f>'FS Seychelles'!L30</f>
        <v>0</v>
      </c>
      <c r="P29" s="18">
        <f>'FS Seychelles'!M30</f>
        <v>11737</v>
      </c>
      <c r="Q29" s="18">
        <f>'FS Seychelles'!N30</f>
        <v>9868</v>
      </c>
      <c r="R29" s="18">
        <f>'FS Seychelles'!O30</f>
        <v>4992</v>
      </c>
      <c r="S29" s="18">
        <f>'FS Seychelles'!P30</f>
        <v>0</v>
      </c>
      <c r="T29" s="18">
        <f>'FS Seychelles'!Q30</f>
        <v>7071</v>
      </c>
      <c r="U29" s="18">
        <f>'FS Seychelles'!S30</f>
        <v>32</v>
      </c>
      <c r="V29" s="18">
        <f>'FS Seychelles'!T30</f>
        <v>30</v>
      </c>
      <c r="W29" s="18">
        <f>'FS Seychelles'!U30</f>
        <v>447</v>
      </c>
      <c r="X29" s="18">
        <f>'FS Seychelles'!V30</f>
        <v>236</v>
      </c>
      <c r="Y29" s="18">
        <f>'FS Seychelles'!W30</f>
        <v>89</v>
      </c>
      <c r="Z29" s="18">
        <f>'FS Seychelles'!X30</f>
        <v>0</v>
      </c>
      <c r="AA29" s="18">
        <f>'FS Seychelles'!Y30</f>
        <v>0</v>
      </c>
      <c r="AB29" s="18">
        <f>('FS Seychelles'!$AB$9+'FS Seychelles'!$AB$15)/28</f>
        <v>173.14285714285714</v>
      </c>
    </row>
    <row r="30" spans="1:28" x14ac:dyDescent="0.25">
      <c r="A30" s="1" t="s">
        <v>13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Seychelles'!S31</f>
        <v>0</v>
      </c>
      <c r="V30" s="18">
        <f>'FS Seychelles'!T31</f>
        <v>0</v>
      </c>
      <c r="W30" s="18">
        <f>'FS Seychelles'!U31</f>
        <v>0</v>
      </c>
      <c r="X30" s="18">
        <f>'FS Seychelles'!V31</f>
        <v>0</v>
      </c>
      <c r="Y30" s="18">
        <f>'FS Seychelles'!W31</f>
        <v>0</v>
      </c>
      <c r="Z30" s="18">
        <f>'FS Seychelles'!X31</f>
        <v>0</v>
      </c>
      <c r="AA30" s="18">
        <f>'FS Seychelles'!Y31</f>
        <v>0</v>
      </c>
      <c r="AB30" s="18">
        <f>('FS Seychelles'!$AB$9+'FS Seychelles'!$AB$15)/28</f>
        <v>173.14285714285714</v>
      </c>
    </row>
    <row r="31" spans="1:28" x14ac:dyDescent="0.25">
      <c r="A31" s="1" t="s">
        <v>13</v>
      </c>
      <c r="E31" s="18">
        <f>'FS Seychelles'!B32</f>
        <v>0</v>
      </c>
      <c r="F31" s="18">
        <f>'FS Seychelles'!C32*1000</f>
        <v>0</v>
      </c>
      <c r="G31" s="18">
        <f>'FS Seychelles'!D32*1000</f>
        <v>0</v>
      </c>
      <c r="H31" s="18">
        <f>'FS Seychelles'!E32*1000</f>
        <v>0</v>
      </c>
      <c r="I31" s="18">
        <f>'FS Seychelles'!F32*1000</f>
        <v>0</v>
      </c>
      <c r="J31" s="18">
        <f>'FS Seychelles'!G32*1000</f>
        <v>0</v>
      </c>
      <c r="K31" s="18">
        <f>'FS Seychelles'!H32*1000</f>
        <v>0</v>
      </c>
      <c r="L31" s="18">
        <f>'FS Seychelles'!I32*1000</f>
        <v>0</v>
      </c>
      <c r="M31" s="18">
        <f>'FS Seychelles'!J32*1000</f>
        <v>0</v>
      </c>
      <c r="N31" s="18">
        <f>'FS Seychelles'!K32*1000</f>
        <v>0</v>
      </c>
      <c r="O31" s="18">
        <f>'FS Seychelles'!L32</f>
        <v>0</v>
      </c>
      <c r="P31" s="18">
        <f>'FS Seychelles'!M32</f>
        <v>0</v>
      </c>
      <c r="Q31" s="18">
        <f>'FS Seychelles'!N32</f>
        <v>0</v>
      </c>
      <c r="R31" s="18">
        <f>'FS Seychelles'!O32</f>
        <v>0</v>
      </c>
      <c r="S31" s="18">
        <f>'FS Seychelles'!P32</f>
        <v>0</v>
      </c>
      <c r="T31" s="18">
        <f>'FS Seychelles'!Q32</f>
        <v>0</v>
      </c>
      <c r="U31" s="18">
        <f>'FS Seychelles'!S32</f>
        <v>0</v>
      </c>
      <c r="V31" s="18">
        <f>'FS Seychelles'!T32</f>
        <v>0</v>
      </c>
      <c r="W31" s="18">
        <f>'FS Seychelles'!U32</f>
        <v>0</v>
      </c>
      <c r="X31" s="18">
        <f>'FS Seychelles'!V32</f>
        <v>0</v>
      </c>
      <c r="Y31" s="18">
        <f>'FS Seychelles'!W32</f>
        <v>0</v>
      </c>
      <c r="Z31" s="18">
        <f>'FS Seychelles'!X32</f>
        <v>0</v>
      </c>
      <c r="AA31" s="18">
        <f>'FS Seychelles'!Y32</f>
        <v>0</v>
      </c>
      <c r="AB31" s="18">
        <f>('FS Seychelles'!$AB$9+'FS Seychelles'!$AB$15)/28</f>
        <v>173.14285714285714</v>
      </c>
    </row>
    <row r="32" spans="1:28" x14ac:dyDescent="0.25">
      <c r="A32" s="1" t="s">
        <v>13</v>
      </c>
      <c r="E32" s="18">
        <f>'FS Seychelles'!B33</f>
        <v>0</v>
      </c>
      <c r="F32" s="18">
        <f>'FS Seychelles'!C33*1000</f>
        <v>0</v>
      </c>
      <c r="G32" s="18">
        <f>'FS Seychelles'!D33*1000</f>
        <v>0</v>
      </c>
      <c r="H32" s="18">
        <f>'FS Seychelles'!E33*1000</f>
        <v>0</v>
      </c>
      <c r="I32" s="18">
        <f>'FS Seychelles'!F33*1000</f>
        <v>0</v>
      </c>
      <c r="J32" s="18">
        <f>'FS Seychelles'!G33*1000</f>
        <v>0</v>
      </c>
      <c r="K32" s="18">
        <f>'FS Seychelles'!H33*1000</f>
        <v>0</v>
      </c>
      <c r="L32" s="18">
        <f>'FS Seychelles'!I33*1000</f>
        <v>0</v>
      </c>
      <c r="M32" s="18">
        <f>'FS Seychelles'!J33*1000</f>
        <v>0</v>
      </c>
      <c r="N32" s="18">
        <f>'FS Seychelles'!K33*1000</f>
        <v>0</v>
      </c>
      <c r="O32" s="18">
        <f>'FS Seychelles'!L33</f>
        <v>0</v>
      </c>
      <c r="P32" s="18">
        <f>'FS Seychelles'!M33</f>
        <v>0</v>
      </c>
      <c r="Q32" s="18">
        <f>'FS Seychelles'!N33</f>
        <v>0</v>
      </c>
      <c r="R32" s="18">
        <f>'FS Seychelles'!O33</f>
        <v>0</v>
      </c>
      <c r="S32" s="18">
        <f>'FS Seychelles'!P33</f>
        <v>0</v>
      </c>
      <c r="T32" s="18">
        <f>'FS Seychelles'!Q33</f>
        <v>0</v>
      </c>
      <c r="U32" s="18">
        <f>'FS Seychelles'!S33</f>
        <v>0</v>
      </c>
      <c r="V32" s="18">
        <f>'FS Seychelles'!T33</f>
        <v>0</v>
      </c>
      <c r="W32" s="18">
        <f>'FS Seychelles'!U33</f>
        <v>0</v>
      </c>
      <c r="X32" s="18">
        <f>'FS Seychelles'!V33</f>
        <v>0</v>
      </c>
      <c r="Y32" s="18">
        <f>'FS Seychelles'!W33</f>
        <v>0</v>
      </c>
      <c r="Z32" s="18">
        <f>'FS Seychelles'!X33</f>
        <v>0</v>
      </c>
      <c r="AA32" s="18">
        <f>'FS Seychelles'!Y33</f>
        <v>0</v>
      </c>
      <c r="AB32" s="18">
        <f>('FS Seychelles'!$AB$9+'FS Seychelles'!$AB$15)/28</f>
        <v>173.14285714285714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zoomScaleNormal="100" workbookViewId="0">
      <pane xSplit="1" topLeftCell="E1" activePane="topRight" state="frozen"/>
      <selection pane="topRight" activeCell="B3" sqref="B3:B33"/>
    </sheetView>
  </sheetViews>
  <sheetFormatPr defaultRowHeight="12.75" x14ac:dyDescent="0.2"/>
  <cols>
    <col min="1" max="1" width="10.42578125" style="19" bestFit="1" customWidth="1"/>
    <col min="2" max="2" width="12.7109375" style="35" customWidth="1"/>
    <col min="3" max="3" width="9.140625" style="19"/>
    <col min="4" max="11" width="9.140625" style="43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8" width="12" style="19" customWidth="1"/>
    <col min="19" max="20" width="10.7109375" style="19" customWidth="1"/>
    <col min="21" max="21" width="9.42578125" style="19" bestFit="1" customWidth="1"/>
    <col min="22" max="22" width="9.140625" style="19"/>
    <col min="23" max="23" width="6" style="19" bestFit="1" customWidth="1"/>
    <col min="24" max="24" width="9.140625" style="19"/>
    <col min="25" max="25" width="11.85546875" style="19" customWidth="1"/>
    <col min="26" max="26" width="13.5703125" style="39" customWidth="1"/>
    <col min="27" max="28" width="9.140625" style="39"/>
    <col min="29" max="16384" width="9.140625" style="19"/>
  </cols>
  <sheetData>
    <row r="1" spans="1:28" x14ac:dyDescent="0.2">
      <c r="C1" s="85"/>
      <c r="D1" s="85"/>
      <c r="E1" s="85"/>
      <c r="F1" s="85"/>
      <c r="G1" s="85"/>
      <c r="H1" s="85"/>
      <c r="I1" s="85"/>
      <c r="J1" s="85"/>
      <c r="K1" s="85"/>
    </row>
    <row r="2" spans="1:28" s="24" customFormat="1" ht="31.5" customHeight="1" x14ac:dyDescent="0.2">
      <c r="A2" s="33" t="s">
        <v>38</v>
      </c>
      <c r="B2" s="46" t="s">
        <v>14</v>
      </c>
      <c r="C2" s="47" t="s">
        <v>39</v>
      </c>
      <c r="D2" s="48" t="s">
        <v>40</v>
      </c>
      <c r="E2" s="48" t="s">
        <v>41</v>
      </c>
      <c r="F2" s="48" t="s">
        <v>42</v>
      </c>
      <c r="G2" s="48" t="s">
        <v>43</v>
      </c>
      <c r="H2" s="48" t="s">
        <v>44</v>
      </c>
      <c r="I2" s="48" t="s">
        <v>45</v>
      </c>
      <c r="J2" s="48" t="s">
        <v>46</v>
      </c>
      <c r="K2" s="48" t="s">
        <v>47</v>
      </c>
      <c r="L2" s="49" t="s">
        <v>48</v>
      </c>
      <c r="M2" s="49" t="s">
        <v>49</v>
      </c>
      <c r="N2" s="49" t="s">
        <v>50</v>
      </c>
      <c r="O2" s="49" t="s">
        <v>51</v>
      </c>
      <c r="P2" s="49" t="s">
        <v>52</v>
      </c>
      <c r="Q2" s="50" t="s">
        <v>53</v>
      </c>
      <c r="R2" s="50" t="s">
        <v>54</v>
      </c>
      <c r="S2" s="45" t="s">
        <v>55</v>
      </c>
      <c r="T2" s="45" t="s">
        <v>56</v>
      </c>
      <c r="U2" s="45" t="s">
        <v>57</v>
      </c>
      <c r="V2" s="45" t="s">
        <v>58</v>
      </c>
      <c r="W2" s="45" t="s">
        <v>59</v>
      </c>
      <c r="X2" s="45" t="s">
        <v>60</v>
      </c>
      <c r="Y2" s="51" t="s">
        <v>61</v>
      </c>
      <c r="Z2" s="87" t="s">
        <v>37</v>
      </c>
      <c r="AA2" s="87"/>
      <c r="AB2" s="87"/>
    </row>
    <row r="3" spans="1:28" ht="15" customHeight="1" x14ac:dyDescent="0.2">
      <c r="A3" s="21">
        <v>44228</v>
      </c>
      <c r="B3" s="63">
        <v>29.03</v>
      </c>
      <c r="C3" s="59">
        <v>3.0118399999999999</v>
      </c>
      <c r="D3" s="60">
        <v>3.6208640000000001</v>
      </c>
      <c r="E3" s="60">
        <v>3.9495680000000002</v>
      </c>
      <c r="F3" s="60">
        <v>1.660928</v>
      </c>
      <c r="G3" s="60">
        <v>3.227392</v>
      </c>
      <c r="H3" s="60">
        <v>2.417408</v>
      </c>
      <c r="I3" s="60">
        <v>1.1599360000000001</v>
      </c>
      <c r="J3" s="60">
        <v>1.3375999999999999</v>
      </c>
      <c r="K3" s="60">
        <v>3.235328</v>
      </c>
      <c r="L3" s="34">
        <v>6005</v>
      </c>
      <c r="M3" s="34">
        <v>9225</v>
      </c>
      <c r="N3" s="34">
        <v>9898</v>
      </c>
      <c r="O3" s="34">
        <v>9351</v>
      </c>
      <c r="P3" s="34">
        <v>0</v>
      </c>
      <c r="Q3" s="22">
        <f>1525+2437+2678+2658</f>
        <v>9298</v>
      </c>
      <c r="R3" s="22">
        <v>0.9</v>
      </c>
      <c r="S3" s="32">
        <v>28</v>
      </c>
      <c r="T3" s="20">
        <v>47</v>
      </c>
      <c r="U3" s="20">
        <v>48</v>
      </c>
      <c r="V3" s="20">
        <v>220</v>
      </c>
      <c r="W3" s="20">
        <v>103</v>
      </c>
      <c r="X3" s="32">
        <v>29</v>
      </c>
      <c r="Y3" s="38">
        <v>0</v>
      </c>
      <c r="Z3" s="88" t="s">
        <v>62</v>
      </c>
      <c r="AA3" s="88"/>
      <c r="AB3" s="88"/>
    </row>
    <row r="4" spans="1:28" ht="16.5" customHeight="1" x14ac:dyDescent="0.2">
      <c r="A4" s="21">
        <v>44229</v>
      </c>
      <c r="B4" s="63">
        <v>33.33</v>
      </c>
      <c r="C4" s="59">
        <v>2.795264</v>
      </c>
      <c r="D4" s="60">
        <v>3.5491839999999999</v>
      </c>
      <c r="E4" s="60">
        <v>3.8292480000000002</v>
      </c>
      <c r="F4" s="60">
        <v>1.6821759999999999</v>
      </c>
      <c r="G4" s="60">
        <v>3.1001599999999998</v>
      </c>
      <c r="H4" s="60">
        <v>2.399232</v>
      </c>
      <c r="I4" s="60">
        <v>1.176704</v>
      </c>
      <c r="J4" s="60">
        <v>1.2986880000000001</v>
      </c>
      <c r="K4" s="60">
        <v>3.2675839999999998</v>
      </c>
      <c r="L4" s="75">
        <v>6652</v>
      </c>
      <c r="M4" s="34">
        <v>2827</v>
      </c>
      <c r="N4" s="34">
        <v>5756</v>
      </c>
      <c r="O4" s="34">
        <v>0</v>
      </c>
      <c r="P4" s="34">
        <v>0</v>
      </c>
      <c r="Q4" s="22">
        <f>1728+801+1566</f>
        <v>4095</v>
      </c>
      <c r="R4" s="22">
        <v>0.9</v>
      </c>
      <c r="S4" s="32">
        <v>29</v>
      </c>
      <c r="T4" s="20">
        <v>39</v>
      </c>
      <c r="U4" s="20">
        <v>56</v>
      </c>
      <c r="V4" s="20">
        <v>229</v>
      </c>
      <c r="W4" s="20">
        <v>128</v>
      </c>
      <c r="X4" s="32">
        <v>90</v>
      </c>
      <c r="Y4" s="38">
        <v>0</v>
      </c>
      <c r="Z4" s="36" t="s">
        <v>63</v>
      </c>
      <c r="AA4" s="42" t="s">
        <v>64</v>
      </c>
      <c r="AB4" s="36" t="s">
        <v>65</v>
      </c>
    </row>
    <row r="5" spans="1:28" ht="15" x14ac:dyDescent="0.2">
      <c r="A5" s="21">
        <v>44230</v>
      </c>
      <c r="B5" s="63">
        <v>31.91</v>
      </c>
      <c r="C5" s="59">
        <v>2.8462079999999998</v>
      </c>
      <c r="D5" s="60">
        <v>3.6756479999999998</v>
      </c>
      <c r="E5" s="60">
        <v>4.0002560000000003</v>
      </c>
      <c r="F5" s="60">
        <v>1.595648</v>
      </c>
      <c r="G5" s="60">
        <v>3.0983679999999998</v>
      </c>
      <c r="H5" s="60">
        <v>2.3224320000000001</v>
      </c>
      <c r="I5" s="60">
        <v>1.2663040000000001</v>
      </c>
      <c r="J5" s="60">
        <v>1.307904</v>
      </c>
      <c r="K5" s="60">
        <v>3.3346559999999998</v>
      </c>
      <c r="L5" s="34">
        <v>6364</v>
      </c>
      <c r="M5" s="34">
        <v>4876</v>
      </c>
      <c r="N5" s="34">
        <v>4062</v>
      </c>
      <c r="O5" s="34">
        <v>9304</v>
      </c>
      <c r="P5" s="34">
        <v>0</v>
      </c>
      <c r="Q5" s="22">
        <f>1832+1293+1065+2653</f>
        <v>6843</v>
      </c>
      <c r="R5" s="22">
        <v>0.9</v>
      </c>
      <c r="S5" s="32">
        <v>28</v>
      </c>
      <c r="T5" s="20">
        <v>11</v>
      </c>
      <c r="U5" s="20">
        <v>63</v>
      </c>
      <c r="V5" s="20">
        <v>222</v>
      </c>
      <c r="W5" s="20">
        <v>107</v>
      </c>
      <c r="X5" s="20">
        <v>95</v>
      </c>
      <c r="Y5" s="38">
        <v>0</v>
      </c>
      <c r="Z5" s="37">
        <v>4.5</v>
      </c>
      <c r="AA5" s="40">
        <v>0</v>
      </c>
      <c r="AB5" s="37">
        <v>0</v>
      </c>
    </row>
    <row r="6" spans="1:28" ht="15" x14ac:dyDescent="0.2">
      <c r="A6" s="21">
        <v>44231</v>
      </c>
      <c r="B6" s="63">
        <v>33.33</v>
      </c>
      <c r="C6" s="59">
        <v>2.8513280000000001</v>
      </c>
      <c r="D6" s="60">
        <v>3.7734399999999999</v>
      </c>
      <c r="E6" s="60">
        <v>4.0652799999999996</v>
      </c>
      <c r="F6" s="60">
        <v>1.585664</v>
      </c>
      <c r="G6" s="60">
        <v>3.1316480000000002</v>
      </c>
      <c r="H6" s="60">
        <v>2.5656319999999999</v>
      </c>
      <c r="I6" s="60">
        <v>1.256448</v>
      </c>
      <c r="J6" s="60">
        <v>1.3424640000000001</v>
      </c>
      <c r="K6" s="60">
        <v>3.4234879999999999</v>
      </c>
      <c r="L6" s="34">
        <v>9511</v>
      </c>
      <c r="M6" s="34">
        <v>0</v>
      </c>
      <c r="N6" s="34">
        <v>14421</v>
      </c>
      <c r="O6" s="34">
        <v>0</v>
      </c>
      <c r="P6" s="34">
        <v>0</v>
      </c>
      <c r="Q6" s="22">
        <f>2534+3845</f>
        <v>6379</v>
      </c>
      <c r="R6" s="22">
        <v>0.9</v>
      </c>
      <c r="S6" s="32">
        <v>30</v>
      </c>
      <c r="T6" s="20">
        <v>33</v>
      </c>
      <c r="U6" s="20">
        <v>64</v>
      </c>
      <c r="V6" s="20">
        <v>145</v>
      </c>
      <c r="W6" s="20">
        <v>101</v>
      </c>
      <c r="X6" s="20">
        <v>102</v>
      </c>
      <c r="Y6" s="38">
        <v>0</v>
      </c>
      <c r="Z6" s="37">
        <v>9</v>
      </c>
      <c r="AA6" s="40">
        <v>0</v>
      </c>
      <c r="AB6" s="37">
        <v>0</v>
      </c>
    </row>
    <row r="7" spans="1:28" ht="15" x14ac:dyDescent="0.2">
      <c r="A7" s="21">
        <v>44232</v>
      </c>
      <c r="B7" s="63">
        <v>37.1</v>
      </c>
      <c r="C7" s="59">
        <v>3.2645119999999999</v>
      </c>
      <c r="D7" s="60">
        <v>3.9669759999999998</v>
      </c>
      <c r="E7" s="60">
        <v>3.9905279999999999</v>
      </c>
      <c r="F7" s="60">
        <v>1.740032</v>
      </c>
      <c r="G7" s="60">
        <v>3.424512</v>
      </c>
      <c r="H7" s="60">
        <v>2.6329600000000002</v>
      </c>
      <c r="I7" s="60">
        <v>1.172736</v>
      </c>
      <c r="J7" s="60">
        <v>1.3959680000000001</v>
      </c>
      <c r="K7" s="60">
        <v>3.3771520000000002</v>
      </c>
      <c r="L7" s="34">
        <v>8773</v>
      </c>
      <c r="M7" s="34">
        <v>5303</v>
      </c>
      <c r="N7" s="34">
        <v>7109</v>
      </c>
      <c r="O7" s="34">
        <v>4871</v>
      </c>
      <c r="P7" s="34">
        <v>0</v>
      </c>
      <c r="Q7" s="22">
        <f>2520+1462+1912+1372</f>
        <v>7266</v>
      </c>
      <c r="R7" s="22">
        <v>0.9</v>
      </c>
      <c r="S7" s="32">
        <v>30</v>
      </c>
      <c r="T7" s="20">
        <v>33</v>
      </c>
      <c r="U7" s="20">
        <v>73</v>
      </c>
      <c r="V7" s="20">
        <v>192</v>
      </c>
      <c r="W7" s="20">
        <v>0</v>
      </c>
      <c r="X7" s="58">
        <v>56</v>
      </c>
      <c r="Y7" s="38">
        <v>0</v>
      </c>
      <c r="Z7" s="37">
        <v>5</v>
      </c>
      <c r="AA7" s="40">
        <v>0</v>
      </c>
      <c r="AB7" s="37">
        <v>0</v>
      </c>
    </row>
    <row r="8" spans="1:28" ht="15" x14ac:dyDescent="0.2">
      <c r="A8" s="21">
        <v>44233</v>
      </c>
      <c r="B8" s="63">
        <v>32.89</v>
      </c>
      <c r="C8" s="59">
        <v>2.9478399999999998</v>
      </c>
      <c r="D8" s="60">
        <v>3.7657600000000002</v>
      </c>
      <c r="E8" s="60">
        <v>3.7662719999999998</v>
      </c>
      <c r="F8" s="60">
        <v>1.6166400000000001</v>
      </c>
      <c r="G8" s="60">
        <v>3.1431680000000002</v>
      </c>
      <c r="H8" s="60">
        <v>2.4819200000000001</v>
      </c>
      <c r="I8" s="60">
        <v>1.1701760000000001</v>
      </c>
      <c r="J8" s="60">
        <v>1.3890560000000001</v>
      </c>
      <c r="K8" s="60">
        <v>3.543552</v>
      </c>
      <c r="L8" s="34">
        <v>5987</v>
      </c>
      <c r="M8" s="34">
        <v>8035</v>
      </c>
      <c r="N8" s="34">
        <v>7968</v>
      </c>
      <c r="O8" s="34">
        <v>5029</v>
      </c>
      <c r="P8" s="34">
        <v>0</v>
      </c>
      <c r="Q8" s="22">
        <f>1508+2105+2128+1433</f>
        <v>7174</v>
      </c>
      <c r="R8" s="22">
        <v>0.9</v>
      </c>
      <c r="S8" s="58">
        <v>32</v>
      </c>
      <c r="T8" s="58">
        <v>19</v>
      </c>
      <c r="U8" s="58">
        <v>53</v>
      </c>
      <c r="V8" s="58">
        <v>195</v>
      </c>
      <c r="W8" s="58">
        <v>0</v>
      </c>
      <c r="X8" s="58">
        <v>0</v>
      </c>
      <c r="Y8" s="38">
        <v>0</v>
      </c>
      <c r="Z8" s="37">
        <v>20</v>
      </c>
      <c r="AA8" s="40">
        <v>2</v>
      </c>
      <c r="AB8" s="37">
        <v>48</v>
      </c>
    </row>
    <row r="9" spans="1:28" ht="15" customHeight="1" x14ac:dyDescent="0.2">
      <c r="A9" s="21">
        <v>44234</v>
      </c>
      <c r="B9" s="63">
        <v>37.090000000000003</v>
      </c>
      <c r="C9" s="59">
        <v>3.3354240000000002</v>
      </c>
      <c r="D9" s="60">
        <v>4.0442879999999999</v>
      </c>
      <c r="E9" s="60">
        <v>3.6648960000000002</v>
      </c>
      <c r="F9" s="60">
        <v>1.7907200000000001</v>
      </c>
      <c r="G9" s="60">
        <v>3.468032</v>
      </c>
      <c r="H9" s="60">
        <v>2.5589759999999999</v>
      </c>
      <c r="I9" s="60">
        <v>1.0154240000000001</v>
      </c>
      <c r="J9" s="60">
        <v>1.401856</v>
      </c>
      <c r="K9" s="60">
        <v>3.2990719999999998</v>
      </c>
      <c r="L9" s="34">
        <v>8011</v>
      </c>
      <c r="M9" s="34">
        <v>3023</v>
      </c>
      <c r="N9" s="34">
        <v>6505</v>
      </c>
      <c r="O9" s="34">
        <v>8703</v>
      </c>
      <c r="P9" s="34">
        <v>0</v>
      </c>
      <c r="Q9" s="22">
        <f>2118+820+1744+2445</f>
        <v>7127</v>
      </c>
      <c r="R9" s="22">
        <v>0.9</v>
      </c>
      <c r="S9" s="32">
        <v>34</v>
      </c>
      <c r="T9" s="20">
        <v>13</v>
      </c>
      <c r="U9" s="20">
        <v>72</v>
      </c>
      <c r="V9" s="20">
        <v>336</v>
      </c>
      <c r="W9" s="20">
        <v>82</v>
      </c>
      <c r="X9" s="32">
        <v>104</v>
      </c>
      <c r="Y9" s="38">
        <v>0</v>
      </c>
      <c r="Z9" s="53"/>
      <c r="AA9" s="41" t="s">
        <v>66</v>
      </c>
      <c r="AB9" s="37">
        <f>SUM(AB5:AB8)</f>
        <v>48</v>
      </c>
    </row>
    <row r="10" spans="1:28" ht="15.75" customHeight="1" x14ac:dyDescent="0.2">
      <c r="A10" s="21">
        <v>44235</v>
      </c>
      <c r="B10" s="63">
        <v>37.090000000000003</v>
      </c>
      <c r="C10" s="59">
        <v>3.539968</v>
      </c>
      <c r="D10" s="60">
        <v>4.1108479999999998</v>
      </c>
      <c r="E10" s="60">
        <v>4.0084479999999996</v>
      </c>
      <c r="F10" s="60">
        <v>1.8841600000000001</v>
      </c>
      <c r="G10" s="60">
        <v>3.4744320000000002</v>
      </c>
      <c r="H10" s="60">
        <v>2.6311680000000002</v>
      </c>
      <c r="I10" s="60">
        <v>1.2121599999999999</v>
      </c>
      <c r="J10" s="60">
        <v>1.4248959999999999</v>
      </c>
      <c r="K10" s="60">
        <v>3.778816</v>
      </c>
      <c r="L10" s="34">
        <v>3208</v>
      </c>
      <c r="M10" s="34">
        <v>4652</v>
      </c>
      <c r="N10" s="34">
        <v>10300</v>
      </c>
      <c r="O10" s="34">
        <v>9152</v>
      </c>
      <c r="P10" s="34">
        <v>0</v>
      </c>
      <c r="Q10" s="22">
        <f>932+1292+2757+2615</f>
        <v>7596</v>
      </c>
      <c r="R10" s="22">
        <v>0.9</v>
      </c>
      <c r="S10" s="32">
        <v>33</v>
      </c>
      <c r="T10" s="20">
        <v>36</v>
      </c>
      <c r="U10" s="20">
        <v>45</v>
      </c>
      <c r="V10" s="20">
        <v>221</v>
      </c>
      <c r="W10" s="20">
        <v>118</v>
      </c>
      <c r="X10" s="32">
        <v>103</v>
      </c>
      <c r="Y10" s="38">
        <v>0</v>
      </c>
      <c r="Z10" s="54"/>
      <c r="AA10" s="55"/>
      <c r="AB10" s="56"/>
    </row>
    <row r="11" spans="1:28" ht="15" customHeight="1" x14ac:dyDescent="0.2">
      <c r="A11" s="21">
        <v>44236</v>
      </c>
      <c r="B11" s="63">
        <v>39.340000000000003</v>
      </c>
      <c r="C11" s="59">
        <v>3.4887679999999999</v>
      </c>
      <c r="D11" s="65">
        <v>4.1441280000000003</v>
      </c>
      <c r="E11" s="65">
        <v>4.1338879999999998</v>
      </c>
      <c r="F11" s="65">
        <v>1.870592</v>
      </c>
      <c r="G11" s="65">
        <v>3.46496</v>
      </c>
      <c r="H11" s="65">
        <v>2.8999679999999999</v>
      </c>
      <c r="I11" s="65">
        <v>1.1859200000000001</v>
      </c>
      <c r="J11" s="65">
        <v>1.4999039999999999</v>
      </c>
      <c r="K11" s="65">
        <v>3.8753280000000001</v>
      </c>
      <c r="L11" s="34">
        <v>9151</v>
      </c>
      <c r="M11" s="34">
        <v>5206</v>
      </c>
      <c r="N11" s="34">
        <v>5024</v>
      </c>
      <c r="O11" s="34">
        <v>9316</v>
      </c>
      <c r="P11" s="34">
        <v>0</v>
      </c>
      <c r="Q11" s="22">
        <f>2421+1384+1375+2661</f>
        <v>7841</v>
      </c>
      <c r="R11" s="22">
        <v>0.9</v>
      </c>
      <c r="S11" s="32">
        <v>35</v>
      </c>
      <c r="T11" s="20">
        <v>39</v>
      </c>
      <c r="U11" s="20">
        <v>66</v>
      </c>
      <c r="V11" s="20">
        <v>243</v>
      </c>
      <c r="W11" s="20">
        <v>92</v>
      </c>
      <c r="X11" s="32">
        <v>106</v>
      </c>
      <c r="Y11" s="38">
        <v>0</v>
      </c>
      <c r="Z11" s="89" t="s">
        <v>67</v>
      </c>
      <c r="AA11" s="90"/>
      <c r="AB11" s="90"/>
    </row>
    <row r="12" spans="1:28" ht="15" customHeight="1" x14ac:dyDescent="0.2">
      <c r="A12" s="21">
        <v>44237</v>
      </c>
      <c r="B12" s="63">
        <v>37.700000000000003</v>
      </c>
      <c r="C12" s="59">
        <v>3.083008</v>
      </c>
      <c r="D12" s="60">
        <v>3.6244480000000001</v>
      </c>
      <c r="E12" s="60">
        <v>3.9429120000000002</v>
      </c>
      <c r="F12" s="60">
        <v>1.742848</v>
      </c>
      <c r="G12" s="60">
        <v>3.2025600000000001</v>
      </c>
      <c r="H12" s="60">
        <v>2.4522240000000002</v>
      </c>
      <c r="I12" s="60">
        <v>1.153024</v>
      </c>
      <c r="J12" s="60">
        <v>1.4648319999999999</v>
      </c>
      <c r="K12" s="60">
        <v>3.7240319999999998</v>
      </c>
      <c r="L12" s="34">
        <v>5889</v>
      </c>
      <c r="M12" s="34">
        <v>4110</v>
      </c>
      <c r="N12" s="34">
        <v>3450</v>
      </c>
      <c r="O12" s="34">
        <v>11026</v>
      </c>
      <c r="P12" s="34">
        <v>0</v>
      </c>
      <c r="Q12" s="22">
        <f>1586+1088+936+3157</f>
        <v>6767</v>
      </c>
      <c r="R12" s="22">
        <v>0.9</v>
      </c>
      <c r="S12" s="32">
        <v>35</v>
      </c>
      <c r="T12" s="20">
        <v>16</v>
      </c>
      <c r="U12" s="20">
        <v>54</v>
      </c>
      <c r="V12" s="20">
        <v>207</v>
      </c>
      <c r="W12" s="20">
        <v>186</v>
      </c>
      <c r="X12" s="32">
        <v>60</v>
      </c>
      <c r="Y12" s="38">
        <v>0</v>
      </c>
      <c r="Z12" s="76"/>
      <c r="AA12" s="91" t="s">
        <v>68</v>
      </c>
      <c r="AB12" s="92"/>
    </row>
    <row r="13" spans="1:28" ht="15" customHeight="1" x14ac:dyDescent="0.2">
      <c r="A13" s="21">
        <v>44238</v>
      </c>
      <c r="B13" s="63">
        <v>28.42</v>
      </c>
      <c r="C13" s="59">
        <v>3.053312</v>
      </c>
      <c r="D13" s="60">
        <v>3.4012159999999998</v>
      </c>
      <c r="E13" s="60">
        <v>3.6684800000000002</v>
      </c>
      <c r="F13" s="60">
        <v>1.6138239999999999</v>
      </c>
      <c r="G13" s="60">
        <v>2.9498880000000001</v>
      </c>
      <c r="H13" s="60">
        <v>2.3078400000000001</v>
      </c>
      <c r="I13" s="60">
        <v>1.1182080000000001</v>
      </c>
      <c r="J13" s="60">
        <v>1.3877759999999999</v>
      </c>
      <c r="K13" s="60">
        <v>3.4739200000000001</v>
      </c>
      <c r="L13" s="34">
        <v>6854</v>
      </c>
      <c r="M13" s="34">
        <v>4854</v>
      </c>
      <c r="N13" s="34">
        <v>8170</v>
      </c>
      <c r="O13" s="34">
        <v>4722</v>
      </c>
      <c r="P13" s="34">
        <v>0</v>
      </c>
      <c r="Q13" s="22">
        <f>1856+1293+2582+1320</f>
        <v>7051</v>
      </c>
      <c r="R13" s="22">
        <v>0.9</v>
      </c>
      <c r="S13" s="32">
        <v>33</v>
      </c>
      <c r="T13" s="20">
        <v>28</v>
      </c>
      <c r="U13" s="20">
        <v>36</v>
      </c>
      <c r="V13" s="20">
        <v>164</v>
      </c>
      <c r="W13" s="20">
        <v>90</v>
      </c>
      <c r="X13" s="20">
        <v>105</v>
      </c>
      <c r="Y13" s="38">
        <v>0</v>
      </c>
      <c r="Z13" s="52" t="s">
        <v>69</v>
      </c>
      <c r="AA13" s="79">
        <v>2600</v>
      </c>
      <c r="AB13" s="80"/>
    </row>
    <row r="14" spans="1:28" ht="15" customHeight="1" x14ac:dyDescent="0.2">
      <c r="A14" s="21">
        <v>44239</v>
      </c>
      <c r="B14" s="63">
        <v>27.37</v>
      </c>
      <c r="C14" s="59">
        <v>3.3310719999999998</v>
      </c>
      <c r="D14" s="60">
        <v>3.6280320000000001</v>
      </c>
      <c r="E14" s="60">
        <v>3.7969919999999999</v>
      </c>
      <c r="F14" s="60">
        <v>1.6286719999999999</v>
      </c>
      <c r="G14" s="60">
        <v>3.2225280000000001</v>
      </c>
      <c r="H14" s="60">
        <v>2.7036159999999998</v>
      </c>
      <c r="I14" s="60">
        <v>1.283072</v>
      </c>
      <c r="J14" s="60">
        <v>1.4056960000000001</v>
      </c>
      <c r="K14" s="60">
        <v>3.6334080000000002</v>
      </c>
      <c r="L14" s="64">
        <v>9972</v>
      </c>
      <c r="M14" s="62">
        <v>1240</v>
      </c>
      <c r="N14" s="62">
        <v>5699</v>
      </c>
      <c r="O14" s="62">
        <v>8794</v>
      </c>
      <c r="P14" s="62">
        <v>0</v>
      </c>
      <c r="Q14" s="62">
        <f>3649+336+1529+2467</f>
        <v>7981</v>
      </c>
      <c r="R14" s="22">
        <v>0.9</v>
      </c>
      <c r="S14" s="32">
        <v>36</v>
      </c>
      <c r="T14" s="20">
        <v>32</v>
      </c>
      <c r="U14" s="20">
        <v>38</v>
      </c>
      <c r="V14" s="20">
        <v>199</v>
      </c>
      <c r="W14" s="20">
        <v>98</v>
      </c>
      <c r="X14" s="20">
        <v>1</v>
      </c>
      <c r="Y14" s="38">
        <v>0</v>
      </c>
      <c r="Z14" s="52" t="s">
        <v>70</v>
      </c>
      <c r="AA14" s="79">
        <v>2200</v>
      </c>
      <c r="AB14" s="80"/>
    </row>
    <row r="15" spans="1:28" ht="15" x14ac:dyDescent="0.2">
      <c r="A15" s="21">
        <v>44240</v>
      </c>
      <c r="B15" s="63">
        <v>27.37</v>
      </c>
      <c r="C15" s="59">
        <v>3.451648</v>
      </c>
      <c r="D15" s="60">
        <v>3.8287360000000001</v>
      </c>
      <c r="E15" s="60">
        <v>4.0212479999999999</v>
      </c>
      <c r="F15" s="60">
        <v>1.8460160000000001</v>
      </c>
      <c r="G15" s="60">
        <v>3.4344960000000002</v>
      </c>
      <c r="H15" s="60">
        <v>3.002624</v>
      </c>
      <c r="I15" s="60">
        <v>1.1511039999999999</v>
      </c>
      <c r="J15" s="60">
        <v>1.4126080000000001</v>
      </c>
      <c r="K15" s="60">
        <v>3.305984</v>
      </c>
      <c r="L15" s="64">
        <v>9234</v>
      </c>
      <c r="M15" s="62">
        <v>743</v>
      </c>
      <c r="N15" s="62">
        <v>6414</v>
      </c>
      <c r="O15" s="62">
        <v>10021</v>
      </c>
      <c r="P15" s="62">
        <v>0</v>
      </c>
      <c r="Q15" s="62">
        <f>2527+172+1695+3545</f>
        <v>7939</v>
      </c>
      <c r="R15" s="22">
        <v>0.9</v>
      </c>
      <c r="S15" s="32">
        <v>33</v>
      </c>
      <c r="T15" s="32">
        <v>31</v>
      </c>
      <c r="U15" s="20">
        <v>65</v>
      </c>
      <c r="V15" s="20">
        <v>193</v>
      </c>
      <c r="W15" s="57">
        <v>91</v>
      </c>
      <c r="X15" s="20">
        <v>38</v>
      </c>
      <c r="Y15" s="38">
        <v>0</v>
      </c>
      <c r="Z15" s="77"/>
      <c r="AA15" s="41" t="s">
        <v>66</v>
      </c>
      <c r="AB15" s="37">
        <f>SUM(AA13:AB14)</f>
        <v>4800</v>
      </c>
    </row>
    <row r="16" spans="1:28" ht="15" customHeight="1" x14ac:dyDescent="0.2">
      <c r="A16" s="21">
        <v>44241</v>
      </c>
      <c r="B16" s="63">
        <v>28.42</v>
      </c>
      <c r="C16" s="59">
        <v>3.2893439999999998</v>
      </c>
      <c r="D16" s="60">
        <v>3.7585920000000002</v>
      </c>
      <c r="E16" s="60">
        <v>3.8384640000000001</v>
      </c>
      <c r="F16" s="60">
        <v>2.0062720000000001</v>
      </c>
      <c r="G16" s="60">
        <v>3.5486719999999998</v>
      </c>
      <c r="H16" s="60">
        <v>2.6222080000000001</v>
      </c>
      <c r="I16" s="60">
        <v>1.1870719999999999</v>
      </c>
      <c r="J16" s="60">
        <v>1.4161919999999999</v>
      </c>
      <c r="K16" s="60">
        <v>3.2916479999999999</v>
      </c>
      <c r="L16" s="64">
        <v>14544</v>
      </c>
      <c r="M16" s="62">
        <v>0</v>
      </c>
      <c r="N16" s="62">
        <v>10008</v>
      </c>
      <c r="O16" s="62">
        <v>2237</v>
      </c>
      <c r="P16" s="62">
        <v>0</v>
      </c>
      <c r="Q16" s="62">
        <f>3841+2685+565</f>
        <v>7091</v>
      </c>
      <c r="R16" s="22">
        <v>0.9</v>
      </c>
      <c r="S16" s="32">
        <v>33</v>
      </c>
      <c r="T16" s="32">
        <v>22</v>
      </c>
      <c r="U16" s="32">
        <v>50</v>
      </c>
      <c r="V16" s="32">
        <v>186</v>
      </c>
      <c r="W16" s="32">
        <v>98</v>
      </c>
      <c r="X16" s="32">
        <v>130</v>
      </c>
      <c r="Y16" s="38">
        <v>0</v>
      </c>
      <c r="Z16" s="81"/>
      <c r="AA16" s="82"/>
      <c r="AB16" s="83"/>
    </row>
    <row r="17" spans="1:29" ht="15" customHeight="1" x14ac:dyDescent="0.2">
      <c r="A17" s="21">
        <v>44242</v>
      </c>
      <c r="B17" s="63">
        <v>10.52</v>
      </c>
      <c r="C17" s="59">
        <v>3.2573439999999998</v>
      </c>
      <c r="D17" s="60">
        <v>3.8553600000000001</v>
      </c>
      <c r="E17" s="60">
        <v>3.9526400000000002</v>
      </c>
      <c r="F17" s="60">
        <v>2.0505599999999999</v>
      </c>
      <c r="G17" s="60">
        <v>3.6229119999999999</v>
      </c>
      <c r="H17" s="60">
        <v>2.6708479999999999</v>
      </c>
      <c r="I17" s="60">
        <v>1.2021759999999999</v>
      </c>
      <c r="J17" s="60">
        <v>1.3913599999999999</v>
      </c>
      <c r="K17" s="60">
        <v>3.4032640000000001</v>
      </c>
      <c r="L17" s="64">
        <v>0</v>
      </c>
      <c r="M17" s="62">
        <v>0</v>
      </c>
      <c r="N17" s="62">
        <v>11763</v>
      </c>
      <c r="O17" s="62">
        <v>15095</v>
      </c>
      <c r="P17" s="62">
        <v>0</v>
      </c>
      <c r="Q17" s="62">
        <f>3160+4281</f>
        <v>7441</v>
      </c>
      <c r="R17" s="22">
        <v>0.9</v>
      </c>
      <c r="S17" s="32">
        <v>34</v>
      </c>
      <c r="T17" s="32">
        <v>23</v>
      </c>
      <c r="U17" s="32">
        <v>51</v>
      </c>
      <c r="V17" s="32">
        <v>218</v>
      </c>
      <c r="W17" s="32">
        <v>110</v>
      </c>
      <c r="X17" s="32">
        <v>118</v>
      </c>
      <c r="Y17" s="38">
        <v>0</v>
      </c>
      <c r="Z17" s="81"/>
      <c r="AA17" s="82"/>
      <c r="AB17" s="83"/>
    </row>
    <row r="18" spans="1:29" ht="15" customHeight="1" x14ac:dyDescent="0.2">
      <c r="A18" s="21">
        <v>44243</v>
      </c>
      <c r="B18" s="63">
        <v>13.33</v>
      </c>
      <c r="C18" s="59">
        <v>3.3710079999999998</v>
      </c>
      <c r="D18" s="60">
        <v>3.894272</v>
      </c>
      <c r="E18" s="60">
        <v>4.0304640000000003</v>
      </c>
      <c r="F18" s="60">
        <v>2.010624</v>
      </c>
      <c r="G18" s="60">
        <v>3.69408</v>
      </c>
      <c r="H18" s="60">
        <v>2.9752320000000001</v>
      </c>
      <c r="I18" s="60">
        <v>1.321472</v>
      </c>
      <c r="J18" s="60">
        <v>1.4046719999999999</v>
      </c>
      <c r="K18" s="60">
        <v>3.468032</v>
      </c>
      <c r="L18" s="64">
        <v>0</v>
      </c>
      <c r="M18" s="62">
        <v>15161</v>
      </c>
      <c r="N18" s="62">
        <v>9215</v>
      </c>
      <c r="O18" s="62">
        <v>4498</v>
      </c>
      <c r="P18" s="62">
        <v>0</v>
      </c>
      <c r="Q18" s="62">
        <f>3832+2461+1279</f>
        <v>7572</v>
      </c>
      <c r="R18" s="22">
        <v>0.9</v>
      </c>
      <c r="S18" s="32">
        <v>31</v>
      </c>
      <c r="T18" s="32">
        <v>1</v>
      </c>
      <c r="U18" s="32">
        <v>87</v>
      </c>
      <c r="V18" s="32">
        <v>279</v>
      </c>
      <c r="W18" s="32">
        <v>105</v>
      </c>
      <c r="X18" s="32">
        <v>117</v>
      </c>
      <c r="Y18" s="38">
        <v>0</v>
      </c>
      <c r="Z18" s="81"/>
      <c r="AA18" s="82"/>
      <c r="AB18" s="83"/>
    </row>
    <row r="19" spans="1:29" ht="15" customHeight="1" x14ac:dyDescent="0.2">
      <c r="A19" s="21">
        <v>44244</v>
      </c>
      <c r="B19" s="63">
        <v>11.86</v>
      </c>
      <c r="C19" s="59">
        <v>3.0540799999999999</v>
      </c>
      <c r="D19" s="60">
        <v>3.55328</v>
      </c>
      <c r="E19" s="60">
        <v>4.0176639999999999</v>
      </c>
      <c r="F19" s="60">
        <v>1.955584</v>
      </c>
      <c r="G19" s="60">
        <v>3.5952639999999998</v>
      </c>
      <c r="H19" s="60">
        <v>3.058176</v>
      </c>
      <c r="I19" s="60">
        <v>1.2869120000000001</v>
      </c>
      <c r="J19" s="60">
        <v>1.397248</v>
      </c>
      <c r="K19" s="60">
        <v>3.436032</v>
      </c>
      <c r="L19" s="64">
        <v>0</v>
      </c>
      <c r="M19" s="62">
        <v>2254</v>
      </c>
      <c r="N19" s="62">
        <v>8425</v>
      </c>
      <c r="O19" s="62">
        <v>12398</v>
      </c>
      <c r="P19" s="62">
        <v>0</v>
      </c>
      <c r="Q19" s="62">
        <f>2645+2363+3788</f>
        <v>8796</v>
      </c>
      <c r="R19" s="22">
        <v>0.9</v>
      </c>
      <c r="S19" s="32">
        <v>35</v>
      </c>
      <c r="T19" s="32">
        <v>0</v>
      </c>
      <c r="U19" s="32">
        <v>83</v>
      </c>
      <c r="V19" s="32">
        <v>257</v>
      </c>
      <c r="W19" s="32">
        <v>76</v>
      </c>
      <c r="X19" s="32">
        <v>112</v>
      </c>
      <c r="Y19" s="38">
        <v>0</v>
      </c>
      <c r="Z19" s="81"/>
      <c r="AA19" s="82"/>
      <c r="AB19" s="83"/>
    </row>
    <row r="20" spans="1:29" ht="15" customHeight="1" x14ac:dyDescent="0.2">
      <c r="A20" s="21">
        <v>44245</v>
      </c>
      <c r="B20" s="63">
        <v>11.88</v>
      </c>
      <c r="C20" s="59">
        <v>3.075072</v>
      </c>
      <c r="D20" s="60">
        <v>3.600384</v>
      </c>
      <c r="E20" s="60">
        <v>4.0427520000000001</v>
      </c>
      <c r="F20" s="60">
        <v>1.942272</v>
      </c>
      <c r="G20" s="60">
        <v>3.6124160000000001</v>
      </c>
      <c r="H20" s="60">
        <v>3.2412160000000001</v>
      </c>
      <c r="I20" s="60">
        <v>1.2949759999999999</v>
      </c>
      <c r="J20" s="60">
        <v>1.4149119999999999</v>
      </c>
      <c r="K20" s="60">
        <v>3.3848319999999998</v>
      </c>
      <c r="L20" s="64">
        <v>0</v>
      </c>
      <c r="M20" s="62">
        <v>9268</v>
      </c>
      <c r="N20" s="62">
        <v>10633</v>
      </c>
      <c r="O20" s="62">
        <v>9961</v>
      </c>
      <c r="P20" s="62">
        <v>0</v>
      </c>
      <c r="Q20" s="62">
        <f>2508+2752+2603</f>
        <v>7863</v>
      </c>
      <c r="R20" s="22">
        <v>0.9</v>
      </c>
      <c r="S20" s="32">
        <v>31</v>
      </c>
      <c r="T20" s="32">
        <v>0</v>
      </c>
      <c r="U20" s="32">
        <v>116</v>
      </c>
      <c r="V20" s="32">
        <v>216</v>
      </c>
      <c r="W20" s="32">
        <v>97</v>
      </c>
      <c r="X20" s="32">
        <v>116</v>
      </c>
      <c r="Y20" s="38">
        <v>0</v>
      </c>
      <c r="Z20" s="81"/>
      <c r="AA20" s="82"/>
      <c r="AB20" s="83"/>
    </row>
    <row r="21" spans="1:29" ht="15" customHeight="1" x14ac:dyDescent="0.2">
      <c r="A21" s="21">
        <v>44246</v>
      </c>
      <c r="B21" s="63">
        <v>13.11</v>
      </c>
      <c r="C21" s="59">
        <v>2.690048</v>
      </c>
      <c r="D21" s="60">
        <v>3.278848</v>
      </c>
      <c r="E21" s="60">
        <v>3.8159360000000002</v>
      </c>
      <c r="F21" s="60">
        <v>1.7338880000000001</v>
      </c>
      <c r="G21" s="60">
        <v>3.2573439999999998</v>
      </c>
      <c r="H21" s="60">
        <v>2.9852159999999999</v>
      </c>
      <c r="I21" s="60">
        <v>1.3089280000000001</v>
      </c>
      <c r="J21" s="60">
        <v>1.3829119999999999</v>
      </c>
      <c r="K21" s="60">
        <v>3.463168</v>
      </c>
      <c r="L21" s="64">
        <v>3009</v>
      </c>
      <c r="M21" s="62">
        <v>0</v>
      </c>
      <c r="N21" s="62">
        <v>10815</v>
      </c>
      <c r="O21" s="62">
        <v>5123</v>
      </c>
      <c r="P21" s="62">
        <v>0</v>
      </c>
      <c r="Q21" s="62">
        <f>1238+3157+1496</f>
        <v>5891</v>
      </c>
      <c r="R21" s="22">
        <v>0.9</v>
      </c>
      <c r="S21" s="32">
        <v>36</v>
      </c>
      <c r="T21" s="32">
        <v>1</v>
      </c>
      <c r="U21" s="32">
        <v>80</v>
      </c>
      <c r="V21" s="32">
        <v>209</v>
      </c>
      <c r="W21" s="32">
        <v>75</v>
      </c>
      <c r="X21" s="32">
        <v>109</v>
      </c>
      <c r="Y21" s="38">
        <v>0</v>
      </c>
      <c r="Z21" s="81"/>
      <c r="AA21" s="82"/>
      <c r="AB21" s="83"/>
      <c r="AC21" s="23"/>
    </row>
    <row r="22" spans="1:29" ht="15" customHeight="1" x14ac:dyDescent="0.2">
      <c r="A22" s="21">
        <v>44247</v>
      </c>
      <c r="B22" s="63">
        <v>13.11</v>
      </c>
      <c r="C22" s="59">
        <v>3.05152</v>
      </c>
      <c r="D22" s="60">
        <v>3.3751039999999999</v>
      </c>
      <c r="E22" s="60">
        <v>3.7120000000000002</v>
      </c>
      <c r="F22" s="60">
        <v>1.8278399999999999</v>
      </c>
      <c r="G22" s="60">
        <v>3.459584</v>
      </c>
      <c r="H22" s="60">
        <v>3.262464</v>
      </c>
      <c r="I22" s="60">
        <v>0.83430400000000005</v>
      </c>
      <c r="J22" s="60">
        <v>1.3726719999999999</v>
      </c>
      <c r="K22" s="60">
        <v>2.7755519999999998</v>
      </c>
      <c r="L22" s="64">
        <v>8821</v>
      </c>
      <c r="M22" s="62">
        <v>3814</v>
      </c>
      <c r="N22" s="62">
        <v>6703</v>
      </c>
      <c r="O22" s="62">
        <v>10042</v>
      </c>
      <c r="P22" s="62">
        <v>0</v>
      </c>
      <c r="Q22" s="62">
        <f>2332+1047+1565+2798</f>
        <v>7742</v>
      </c>
      <c r="R22" s="22">
        <v>0.9</v>
      </c>
      <c r="S22" s="32">
        <v>32</v>
      </c>
      <c r="T22" s="32">
        <v>15</v>
      </c>
      <c r="U22" s="32">
        <v>57</v>
      </c>
      <c r="V22" s="32">
        <v>183</v>
      </c>
      <c r="W22" s="32">
        <v>78</v>
      </c>
      <c r="X22" s="32">
        <v>97</v>
      </c>
      <c r="Y22" s="38">
        <v>0</v>
      </c>
      <c r="Z22" s="81"/>
      <c r="AA22" s="82"/>
      <c r="AB22" s="83"/>
      <c r="AC22" s="23"/>
    </row>
    <row r="23" spans="1:29" ht="15" customHeight="1" x14ac:dyDescent="0.2">
      <c r="A23" s="21">
        <v>44248</v>
      </c>
      <c r="B23" s="63">
        <v>14.75</v>
      </c>
      <c r="C23" s="59">
        <v>2.9102079999999999</v>
      </c>
      <c r="D23" s="60">
        <v>3.3541120000000002</v>
      </c>
      <c r="E23" s="60">
        <v>3.4170880000000001</v>
      </c>
      <c r="F23" s="60">
        <v>2.016</v>
      </c>
      <c r="G23" s="60">
        <v>3.4014720000000001</v>
      </c>
      <c r="H23" s="60">
        <v>3.3397760000000001</v>
      </c>
      <c r="I23" s="60">
        <v>1.22176</v>
      </c>
      <c r="J23" s="60">
        <v>1.3911039999999999</v>
      </c>
      <c r="K23" s="60">
        <v>3.3395199999999998</v>
      </c>
      <c r="L23" s="64">
        <v>4611</v>
      </c>
      <c r="M23" s="62">
        <v>3104</v>
      </c>
      <c r="N23" s="62">
        <v>9498</v>
      </c>
      <c r="O23" s="62">
        <v>8722</v>
      </c>
      <c r="P23" s="62">
        <v>0</v>
      </c>
      <c r="Q23" s="62">
        <f>1276+896+2560+2493</f>
        <v>7225</v>
      </c>
      <c r="R23" s="22">
        <v>0.9</v>
      </c>
      <c r="S23" s="32">
        <v>30</v>
      </c>
      <c r="T23" s="32">
        <v>53</v>
      </c>
      <c r="U23" s="32">
        <v>63</v>
      </c>
      <c r="V23" s="32">
        <v>171</v>
      </c>
      <c r="W23" s="32">
        <v>83</v>
      </c>
      <c r="X23" s="32">
        <v>14</v>
      </c>
      <c r="Y23" s="38">
        <v>0</v>
      </c>
      <c r="Z23" s="81"/>
      <c r="AA23" s="82"/>
      <c r="AB23" s="83"/>
      <c r="AC23" s="23"/>
    </row>
    <row r="24" spans="1:29" ht="15" customHeight="1" x14ac:dyDescent="0.2">
      <c r="A24" s="21">
        <v>44249</v>
      </c>
      <c r="B24" s="63">
        <v>15</v>
      </c>
      <c r="C24" s="59">
        <v>3.0223360000000001</v>
      </c>
      <c r="D24" s="60">
        <v>3.516416</v>
      </c>
      <c r="E24" s="60">
        <v>3.6162559999999999</v>
      </c>
      <c r="F24" s="60">
        <v>2.0536319999999999</v>
      </c>
      <c r="G24" s="60">
        <v>3.4155519999999999</v>
      </c>
      <c r="H24" s="60">
        <v>3.327232</v>
      </c>
      <c r="I24" s="60">
        <v>1.2469760000000001</v>
      </c>
      <c r="J24" s="60">
        <v>1.376512</v>
      </c>
      <c r="K24" s="60">
        <v>3.4762240000000002</v>
      </c>
      <c r="L24" s="61">
        <v>0</v>
      </c>
      <c r="M24" s="32">
        <v>8429</v>
      </c>
      <c r="N24" s="22">
        <v>6264</v>
      </c>
      <c r="O24" s="32">
        <v>11763</v>
      </c>
      <c r="P24" s="22">
        <v>0</v>
      </c>
      <c r="Q24" s="22">
        <f>2208+1666+3323</f>
        <v>7197</v>
      </c>
      <c r="R24" s="22">
        <f>20.09/21</f>
        <v>0.95666666666666667</v>
      </c>
      <c r="S24" s="32">
        <v>36</v>
      </c>
      <c r="T24" s="32">
        <v>0</v>
      </c>
      <c r="U24" s="32">
        <v>71</v>
      </c>
      <c r="V24" s="32">
        <v>278</v>
      </c>
      <c r="W24" s="32">
        <v>137</v>
      </c>
      <c r="X24" s="32">
        <v>44</v>
      </c>
      <c r="Y24" s="38">
        <v>0</v>
      </c>
      <c r="Z24" s="81"/>
      <c r="AA24" s="82"/>
      <c r="AB24" s="83"/>
      <c r="AC24" s="23"/>
    </row>
    <row r="25" spans="1:29" ht="15" customHeight="1" x14ac:dyDescent="0.2">
      <c r="A25" s="21">
        <v>44250</v>
      </c>
      <c r="B25" s="63">
        <v>15</v>
      </c>
      <c r="C25" s="59">
        <v>3.1710720000000001</v>
      </c>
      <c r="D25" s="60">
        <v>3.6679680000000001</v>
      </c>
      <c r="E25" s="60">
        <v>3.9260160000000002</v>
      </c>
      <c r="F25" s="60">
        <v>1.872384</v>
      </c>
      <c r="G25" s="60">
        <v>3.7537280000000002</v>
      </c>
      <c r="H25" s="60">
        <v>3.6323840000000001</v>
      </c>
      <c r="I25" s="60">
        <v>1.2568319999999999</v>
      </c>
      <c r="J25" s="60">
        <v>1.374976</v>
      </c>
      <c r="K25" s="60">
        <v>3.4918399999999998</v>
      </c>
      <c r="L25" s="64">
        <v>0</v>
      </c>
      <c r="M25" s="62">
        <v>8933</v>
      </c>
      <c r="N25" s="62">
        <v>4968</v>
      </c>
      <c r="O25" s="62">
        <v>14338</v>
      </c>
      <c r="P25" s="62">
        <v>0</v>
      </c>
      <c r="Q25" s="62">
        <f>2343+1345+3956</f>
        <v>7644</v>
      </c>
      <c r="R25" s="22">
        <f t="shared" ref="R25:R30" si="0">20.09/21</f>
        <v>0.95666666666666667</v>
      </c>
      <c r="S25" s="32">
        <v>34</v>
      </c>
      <c r="T25" s="32">
        <v>41</v>
      </c>
      <c r="U25" s="20">
        <v>93</v>
      </c>
      <c r="V25" s="20">
        <v>278</v>
      </c>
      <c r="W25" s="20">
        <v>79</v>
      </c>
      <c r="X25" s="20">
        <v>123</v>
      </c>
      <c r="Y25" s="38">
        <v>0</v>
      </c>
      <c r="Z25" s="81"/>
      <c r="AA25" s="82"/>
      <c r="AB25" s="83"/>
      <c r="AC25" s="23"/>
    </row>
    <row r="26" spans="1:29" ht="15" customHeight="1" x14ac:dyDescent="0.2">
      <c r="A26" s="21">
        <v>44251</v>
      </c>
      <c r="B26" s="63">
        <v>16.95</v>
      </c>
      <c r="C26" s="59">
        <v>3.1646719999999999</v>
      </c>
      <c r="D26" s="60">
        <v>3.6623359999999998</v>
      </c>
      <c r="E26" s="60">
        <v>4.0770559999999998</v>
      </c>
      <c r="F26" s="60">
        <v>1.9251199999999999</v>
      </c>
      <c r="G26" s="60">
        <v>3.712256</v>
      </c>
      <c r="H26" s="60">
        <v>3.7670400000000002</v>
      </c>
      <c r="I26" s="60">
        <v>1.237376</v>
      </c>
      <c r="J26" s="60">
        <v>1.395456</v>
      </c>
      <c r="K26" s="60">
        <v>3.561728</v>
      </c>
      <c r="L26" s="64">
        <v>0</v>
      </c>
      <c r="M26" s="62">
        <v>14011</v>
      </c>
      <c r="N26" s="62">
        <v>8967</v>
      </c>
      <c r="O26" s="62">
        <v>4749</v>
      </c>
      <c r="P26" s="62">
        <v>0</v>
      </c>
      <c r="Q26" s="62">
        <f>3813+2380+1352</f>
        <v>7545</v>
      </c>
      <c r="R26" s="22">
        <f t="shared" si="0"/>
        <v>0.95666666666666667</v>
      </c>
      <c r="S26" s="32">
        <v>30</v>
      </c>
      <c r="T26" s="32">
        <v>40</v>
      </c>
      <c r="U26" s="20">
        <v>80</v>
      </c>
      <c r="V26" s="20">
        <v>278</v>
      </c>
      <c r="W26" s="20">
        <v>98</v>
      </c>
      <c r="X26" s="20">
        <v>117</v>
      </c>
      <c r="Y26" s="38">
        <v>0</v>
      </c>
      <c r="Z26" s="81"/>
      <c r="AA26" s="82"/>
      <c r="AB26" s="83"/>
      <c r="AC26" s="23"/>
    </row>
    <row r="27" spans="1:29" ht="15" customHeight="1" x14ac:dyDescent="0.2">
      <c r="A27" s="21">
        <v>44252</v>
      </c>
      <c r="B27" s="63">
        <v>11.32</v>
      </c>
      <c r="C27" s="59">
        <v>3.35616</v>
      </c>
      <c r="D27" s="60">
        <v>3.831296</v>
      </c>
      <c r="E27" s="60">
        <v>4.1727999999999996</v>
      </c>
      <c r="F27" s="60">
        <v>1.9717119999999999</v>
      </c>
      <c r="G27" s="60">
        <v>3.9272960000000001</v>
      </c>
      <c r="H27" s="60">
        <v>3.9828480000000002</v>
      </c>
      <c r="I27" s="60">
        <v>1.2592639999999999</v>
      </c>
      <c r="J27" s="60">
        <v>1.4046719999999999</v>
      </c>
      <c r="K27" s="60">
        <v>3.623424</v>
      </c>
      <c r="L27" s="64">
        <v>0</v>
      </c>
      <c r="M27" s="62">
        <v>8622</v>
      </c>
      <c r="N27" s="62">
        <v>9942</v>
      </c>
      <c r="O27" s="62">
        <v>9692</v>
      </c>
      <c r="P27" s="62">
        <v>0</v>
      </c>
      <c r="Q27" s="62">
        <f>2314+2838+2924</f>
        <v>8076</v>
      </c>
      <c r="R27" s="22">
        <f t="shared" si="0"/>
        <v>0.95666666666666667</v>
      </c>
      <c r="S27" s="32">
        <v>34</v>
      </c>
      <c r="T27" s="32">
        <v>29</v>
      </c>
      <c r="U27" s="20">
        <v>99</v>
      </c>
      <c r="V27" s="20">
        <v>318</v>
      </c>
      <c r="W27" s="20">
        <v>101</v>
      </c>
      <c r="X27" s="20">
        <v>113</v>
      </c>
      <c r="Y27" s="38">
        <v>0</v>
      </c>
      <c r="Z27" s="81"/>
      <c r="AA27" s="82"/>
      <c r="AB27" s="83"/>
      <c r="AC27" s="23"/>
    </row>
    <row r="28" spans="1:29" ht="15" customHeight="1" x14ac:dyDescent="0.2">
      <c r="A28" s="21">
        <v>44253</v>
      </c>
      <c r="B28" s="63">
        <v>12.06</v>
      </c>
      <c r="C28" s="59">
        <v>3.4137599999999999</v>
      </c>
      <c r="D28" s="60">
        <v>3.844608</v>
      </c>
      <c r="E28" s="60">
        <v>3.9592960000000001</v>
      </c>
      <c r="F28" s="60">
        <v>1.9136</v>
      </c>
      <c r="G28" s="60">
        <v>3.501312</v>
      </c>
      <c r="H28" s="60">
        <v>3.9802879999999998</v>
      </c>
      <c r="I28" s="60">
        <v>1.271296</v>
      </c>
      <c r="J28" s="60">
        <v>1.438464</v>
      </c>
      <c r="K28" s="60">
        <v>3.6341760000000001</v>
      </c>
      <c r="L28" s="64">
        <v>0</v>
      </c>
      <c r="M28" s="62">
        <v>8217</v>
      </c>
      <c r="N28" s="62">
        <v>10658</v>
      </c>
      <c r="O28" s="62">
        <v>9481</v>
      </c>
      <c r="P28" s="62">
        <v>0</v>
      </c>
      <c r="Q28" s="62">
        <f>2113+2419+2961</f>
        <v>7493</v>
      </c>
      <c r="R28" s="22">
        <f t="shared" si="0"/>
        <v>0.95666666666666667</v>
      </c>
      <c r="S28" s="32">
        <v>39</v>
      </c>
      <c r="T28" s="32">
        <v>26</v>
      </c>
      <c r="U28" s="20">
        <v>61</v>
      </c>
      <c r="V28" s="20">
        <v>228</v>
      </c>
      <c r="W28" s="20">
        <v>102</v>
      </c>
      <c r="X28" s="20">
        <v>114</v>
      </c>
      <c r="Y28" s="38">
        <v>0</v>
      </c>
      <c r="Z28" s="81"/>
      <c r="AA28" s="82"/>
      <c r="AB28" s="83"/>
      <c r="AC28" s="23"/>
    </row>
    <row r="29" spans="1:29" ht="15" customHeight="1" x14ac:dyDescent="0.2">
      <c r="A29" s="21">
        <v>44254</v>
      </c>
      <c r="B29" s="63">
        <v>10.17</v>
      </c>
      <c r="C29" s="59">
        <v>3.00928</v>
      </c>
      <c r="D29" s="60">
        <v>3.4877440000000002</v>
      </c>
      <c r="E29" s="60">
        <v>4.0171520000000003</v>
      </c>
      <c r="F29" s="60">
        <v>1.7018880000000001</v>
      </c>
      <c r="G29" s="60">
        <v>3.1347200000000002</v>
      </c>
      <c r="H29" s="60">
        <v>3.6357119999999998</v>
      </c>
      <c r="I29" s="60">
        <v>1.1837439999999999</v>
      </c>
      <c r="J29" s="60">
        <v>1.3660159999999999</v>
      </c>
      <c r="K29" s="60">
        <v>3.4588160000000001</v>
      </c>
      <c r="L29" s="64">
        <v>734</v>
      </c>
      <c r="M29" s="62">
        <v>8947</v>
      </c>
      <c r="N29" s="62">
        <v>5420</v>
      </c>
      <c r="O29" s="62">
        <v>9076</v>
      </c>
      <c r="P29" s="62">
        <v>0</v>
      </c>
      <c r="Q29" s="62">
        <f>208+2455+1677+2751</f>
        <v>7091</v>
      </c>
      <c r="R29" s="22">
        <f t="shared" si="0"/>
        <v>0.95666666666666667</v>
      </c>
      <c r="S29" s="32">
        <v>32</v>
      </c>
      <c r="T29" s="32">
        <v>41</v>
      </c>
      <c r="U29" s="20">
        <v>79</v>
      </c>
      <c r="V29" s="20">
        <v>240</v>
      </c>
      <c r="W29" s="20">
        <v>94</v>
      </c>
      <c r="X29" s="20">
        <v>76</v>
      </c>
      <c r="Y29" s="38">
        <v>0</v>
      </c>
      <c r="Z29" s="81"/>
      <c r="AA29" s="82"/>
      <c r="AB29" s="83"/>
      <c r="AC29" s="23"/>
    </row>
    <row r="30" spans="1:29" ht="15" customHeight="1" x14ac:dyDescent="0.2">
      <c r="A30" s="21">
        <v>44255</v>
      </c>
      <c r="B30" s="63">
        <v>10.17</v>
      </c>
      <c r="C30" s="59">
        <v>3.0753279999999998</v>
      </c>
      <c r="D30" s="60">
        <v>3.3853439999999999</v>
      </c>
      <c r="E30" s="60">
        <v>3.7893119999999998</v>
      </c>
      <c r="F30" s="60">
        <v>1.7894399999999999</v>
      </c>
      <c r="G30" s="60">
        <v>2.7363840000000001</v>
      </c>
      <c r="H30" s="60">
        <v>3.7227519999999998</v>
      </c>
      <c r="I30" s="60">
        <v>1.1959040000000001</v>
      </c>
      <c r="J30" s="60">
        <v>1.3744639999999999</v>
      </c>
      <c r="K30" s="60">
        <v>3.3182719999999999</v>
      </c>
      <c r="L30" s="64">
        <v>0</v>
      </c>
      <c r="M30" s="62">
        <v>11737</v>
      </c>
      <c r="N30" s="62">
        <v>9868</v>
      </c>
      <c r="O30" s="62">
        <v>4992</v>
      </c>
      <c r="P30" s="62">
        <v>0</v>
      </c>
      <c r="Q30" s="62">
        <f>3162+2499+1410</f>
        <v>7071</v>
      </c>
      <c r="R30" s="22">
        <f t="shared" si="0"/>
        <v>0.95666666666666667</v>
      </c>
      <c r="S30" s="32">
        <v>32</v>
      </c>
      <c r="T30" s="32">
        <v>30</v>
      </c>
      <c r="U30" s="20">
        <v>447</v>
      </c>
      <c r="V30" s="20">
        <v>236</v>
      </c>
      <c r="W30" s="20">
        <v>89</v>
      </c>
      <c r="X30" s="20">
        <v>0</v>
      </c>
      <c r="Y30" s="38">
        <v>0</v>
      </c>
      <c r="Z30" s="81"/>
      <c r="AA30" s="82"/>
      <c r="AB30" s="83"/>
      <c r="AC30" s="23"/>
    </row>
    <row r="31" spans="1:29" ht="15" customHeight="1" x14ac:dyDescent="0.2">
      <c r="A31" s="21"/>
      <c r="B31" s="63"/>
      <c r="C31" s="59"/>
      <c r="D31" s="60"/>
      <c r="E31" s="60"/>
      <c r="F31" s="60"/>
      <c r="G31" s="60"/>
      <c r="H31" s="60"/>
      <c r="I31" s="60"/>
      <c r="J31" s="60"/>
      <c r="K31" s="60"/>
      <c r="L31" s="66"/>
      <c r="M31" s="67"/>
      <c r="N31" s="67"/>
      <c r="O31" s="62"/>
      <c r="P31" s="62"/>
      <c r="Q31" s="62"/>
      <c r="R31" s="22"/>
      <c r="S31" s="32"/>
      <c r="T31" s="32"/>
      <c r="U31" s="32"/>
      <c r="V31" s="32"/>
      <c r="W31" s="32"/>
      <c r="X31" s="32"/>
      <c r="Y31" s="38"/>
      <c r="Z31" s="81"/>
      <c r="AA31" s="82"/>
      <c r="AB31" s="83"/>
      <c r="AC31" s="23"/>
    </row>
    <row r="32" spans="1:29" ht="15" customHeight="1" x14ac:dyDescent="0.2">
      <c r="A32" s="21"/>
      <c r="B32" s="63"/>
      <c r="C32" s="59"/>
      <c r="D32" s="60"/>
      <c r="E32" s="60"/>
      <c r="F32" s="60"/>
      <c r="G32" s="60"/>
      <c r="H32" s="60"/>
      <c r="I32" s="60"/>
      <c r="J32" s="60"/>
      <c r="K32" s="60"/>
      <c r="L32" s="68"/>
      <c r="M32" s="69"/>
      <c r="N32" s="69"/>
      <c r="O32" s="69"/>
      <c r="P32" s="69"/>
      <c r="Q32" s="62"/>
      <c r="R32" s="22"/>
      <c r="S32" s="32"/>
      <c r="T32" s="32"/>
      <c r="U32" s="32"/>
      <c r="V32" s="32"/>
      <c r="W32" s="32"/>
      <c r="X32" s="32"/>
      <c r="Y32" s="38"/>
      <c r="Z32" s="81"/>
      <c r="AA32" s="82"/>
      <c r="AB32" s="83"/>
      <c r="AC32" s="23"/>
    </row>
    <row r="33" spans="1:28" ht="12.75" customHeight="1" x14ac:dyDescent="0.2">
      <c r="A33" s="21"/>
      <c r="B33" s="63"/>
      <c r="C33" s="59"/>
      <c r="D33" s="60"/>
      <c r="E33" s="60"/>
      <c r="F33" s="60"/>
      <c r="G33" s="60"/>
      <c r="H33" s="60"/>
      <c r="I33" s="60"/>
      <c r="J33" s="60"/>
      <c r="K33" s="60"/>
      <c r="L33" s="68"/>
      <c r="M33" s="69"/>
      <c r="N33" s="69"/>
      <c r="O33" s="70"/>
      <c r="P33" s="71"/>
      <c r="Q33" s="72"/>
      <c r="R33" s="22"/>
      <c r="S33" s="73"/>
      <c r="T33" s="73"/>
      <c r="U33" s="73"/>
      <c r="V33" s="73"/>
      <c r="W33" s="73"/>
      <c r="X33" s="73"/>
      <c r="Y33" s="38"/>
      <c r="Z33" s="84"/>
      <c r="AA33" s="85"/>
      <c r="AB33" s="86"/>
    </row>
    <row r="39" spans="1:28" x14ac:dyDescent="0.2">
      <c r="Y39" s="44"/>
      <c r="Z39" s="78"/>
      <c r="AA39" s="78"/>
    </row>
    <row r="40" spans="1:28" x14ac:dyDescent="0.2">
      <c r="Y40" s="44"/>
      <c r="Z40" s="78"/>
      <c r="AA40" s="78"/>
    </row>
    <row r="41" spans="1:28" x14ac:dyDescent="0.2">
      <c r="Y41" s="44"/>
      <c r="Z41" s="78"/>
      <c r="AA41" s="78"/>
    </row>
    <row r="42" spans="1:28" x14ac:dyDescent="0.2">
      <c r="Y42" s="44"/>
      <c r="Z42" s="78"/>
      <c r="AA42" s="78"/>
    </row>
    <row r="43" spans="1:28" x14ac:dyDescent="0.2">
      <c r="Y43" s="44"/>
      <c r="Z43" s="78"/>
      <c r="AA43" s="78"/>
    </row>
    <row r="44" spans="1:28" x14ac:dyDescent="0.2">
      <c r="Y44" s="44"/>
      <c r="Z44" s="78"/>
      <c r="AA44" s="78"/>
    </row>
    <row r="45" spans="1:28" x14ac:dyDescent="0.2">
      <c r="Y45" s="44"/>
      <c r="Z45" s="78"/>
      <c r="AA45" s="78"/>
    </row>
    <row r="46" spans="1:28" x14ac:dyDescent="0.2">
      <c r="Y46" s="44"/>
      <c r="Z46" s="78"/>
      <c r="AA46" s="78"/>
    </row>
    <row r="47" spans="1:28" x14ac:dyDescent="0.2">
      <c r="Y47" s="44"/>
      <c r="Z47" s="78"/>
      <c r="AA47" s="78"/>
    </row>
    <row r="48" spans="1:28" x14ac:dyDescent="0.2">
      <c r="Y48" s="44"/>
      <c r="Z48" s="78"/>
      <c r="AA48" s="78"/>
    </row>
    <row r="49" spans="25:27" x14ac:dyDescent="0.2">
      <c r="Y49" s="44"/>
      <c r="Z49" s="78"/>
      <c r="AA49" s="78"/>
    </row>
    <row r="50" spans="25:27" x14ac:dyDescent="0.2">
      <c r="Y50" s="44"/>
      <c r="Z50" s="78"/>
      <c r="AA50" s="78"/>
    </row>
  </sheetData>
  <mergeCells count="8">
    <mergeCell ref="AA13:AB13"/>
    <mergeCell ref="AA14:AB14"/>
    <mergeCell ref="Z16:AB33"/>
    <mergeCell ref="C1:K1"/>
    <mergeCell ref="Z2:AB2"/>
    <mergeCell ref="Z3:AB3"/>
    <mergeCell ref="Z11:AB11"/>
    <mergeCell ref="AA12:AB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>
  <ds:schemaRefs>
    <ds:schemaRef ds:uri="8c44e1e5-30d2-450a-b924-ac87e029a220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c0bb2215-5bf3-43e0-9dce-b3effc6cb50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2021-03-02T07:47:56Z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