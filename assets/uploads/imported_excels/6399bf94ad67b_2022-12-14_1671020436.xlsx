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1. Nov\"/>
    </mc:Choice>
  </mc:AlternateContent>
  <xr:revisionPtr revIDLastSave="0" documentId="13_ncr:1_{A91A6440-B2BC-4595-9F84-025B002A3991}" xr6:coauthVersionLast="47" xr6:coauthVersionMax="47" xr10:uidLastSave="{00000000-0000-0000-0000-000000000000}"/>
  <bookViews>
    <workbookView xWindow="-120" yWindow="-120" windowWidth="29040" windowHeight="15840" tabRatio="901" firstSheet="1" activeTab="1" xr2:uid="{00000000-000D-0000-FFFF-FFFF00000000}"/>
  </bookViews>
  <sheets>
    <sheet name="TOTAL" sheetId="17" r:id="rId1"/>
    <sheet name="Submetering " sheetId="24" r:id="rId2"/>
    <sheet name="Maldives at LG Daily" sheetId="22" r:id="rId3"/>
    <sheet name="Rooms nights and Food Covers" sheetId="25" r:id="rId4"/>
    <sheet name="Finance Only" sheetId="1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definedNames>
    <definedName name="_xlnm.Print_Area" localSheetId="4">'Finance Only'!$A$1:$F$39</definedName>
    <definedName name="_xlnm.Print_Area" localSheetId="14">'Gas-2'!$A$1:$E$36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" i="24" l="1"/>
  <c r="BE4" i="24"/>
  <c r="BE5" i="24"/>
  <c r="BE6" i="24"/>
  <c r="BE7" i="24"/>
  <c r="BE8" i="24"/>
  <c r="BE9" i="24"/>
  <c r="BE10" i="24"/>
  <c r="BE11" i="24"/>
  <c r="BE12" i="24"/>
  <c r="BE13" i="24"/>
  <c r="BE14" i="24"/>
  <c r="BE15" i="24"/>
  <c r="BE16" i="24"/>
  <c r="BE17" i="24"/>
  <c r="BE18" i="24"/>
  <c r="BE19" i="24"/>
  <c r="BE20" i="24"/>
  <c r="BE21" i="24"/>
  <c r="BE22" i="24"/>
  <c r="BE23" i="24"/>
  <c r="BE24" i="24"/>
  <c r="BE25" i="24"/>
  <c r="BE26" i="24"/>
  <c r="BE27" i="24"/>
  <c r="BE28" i="24"/>
  <c r="BE29" i="24"/>
  <c r="BE30" i="24"/>
  <c r="BE31" i="24"/>
  <c r="AY3" i="24"/>
  <c r="AY4" i="24"/>
  <c r="AY5" i="24"/>
  <c r="AY6" i="24"/>
  <c r="AY7" i="24"/>
  <c r="AY8" i="24"/>
  <c r="AY9" i="24"/>
  <c r="AY10" i="24"/>
  <c r="AY11" i="24"/>
  <c r="AY12" i="24"/>
  <c r="AY13" i="24"/>
  <c r="AY14" i="24"/>
  <c r="AY15" i="24"/>
  <c r="AY16" i="24"/>
  <c r="AY17" i="24"/>
  <c r="AY18" i="24"/>
  <c r="AY19" i="24"/>
  <c r="AY20" i="24"/>
  <c r="AY21" i="24"/>
  <c r="AY22" i="24"/>
  <c r="AY23" i="24"/>
  <c r="AY24" i="24"/>
  <c r="AY25" i="24"/>
  <c r="AY26" i="24"/>
  <c r="AY27" i="24"/>
  <c r="AY28" i="24"/>
  <c r="AY29" i="24"/>
  <c r="AY30" i="24"/>
  <c r="AY31" i="24"/>
  <c r="AV3" i="24"/>
  <c r="AV4" i="24"/>
  <c r="AV5" i="24"/>
  <c r="AV6" i="24"/>
  <c r="AV7" i="24"/>
  <c r="AV8" i="24"/>
  <c r="AV9" i="24"/>
  <c r="AV10" i="24"/>
  <c r="AV11" i="24"/>
  <c r="AV12" i="24"/>
  <c r="AV13" i="24"/>
  <c r="AV14" i="24"/>
  <c r="AV15" i="24"/>
  <c r="AV16" i="24"/>
  <c r="AV17" i="24"/>
  <c r="AV18" i="24"/>
  <c r="AV19" i="24"/>
  <c r="AV20" i="24"/>
  <c r="AV21" i="24"/>
  <c r="AV22" i="24"/>
  <c r="AV23" i="24"/>
  <c r="AV24" i="24"/>
  <c r="AV25" i="24"/>
  <c r="AV26" i="24"/>
  <c r="AV27" i="24"/>
  <c r="AV28" i="24"/>
  <c r="AV29" i="24"/>
  <c r="AV30" i="24"/>
  <c r="AV31" i="24"/>
  <c r="AU3" i="24"/>
  <c r="AU4" i="24"/>
  <c r="AU5" i="24"/>
  <c r="AU6" i="24"/>
  <c r="AU7" i="24"/>
  <c r="AU8" i="24"/>
  <c r="AU9" i="24"/>
  <c r="AU10" i="24"/>
  <c r="AU11" i="24"/>
  <c r="AU12" i="24"/>
  <c r="AU13" i="24"/>
  <c r="AU14" i="24"/>
  <c r="AU15" i="24"/>
  <c r="AU16" i="24"/>
  <c r="AU17" i="24"/>
  <c r="AU18" i="24"/>
  <c r="AU19" i="24"/>
  <c r="AU20" i="24"/>
  <c r="AU21" i="24"/>
  <c r="AU22" i="24"/>
  <c r="AU23" i="24"/>
  <c r="AU24" i="24"/>
  <c r="AU25" i="24"/>
  <c r="AU26" i="24"/>
  <c r="AU27" i="24"/>
  <c r="AU28" i="24"/>
  <c r="AU29" i="24"/>
  <c r="AU30" i="24"/>
  <c r="AU31" i="24"/>
  <c r="AT3" i="24"/>
  <c r="AT4" i="24"/>
  <c r="AT5" i="24"/>
  <c r="AT6" i="24"/>
  <c r="AT7" i="24"/>
  <c r="AT8" i="24"/>
  <c r="AT9" i="24"/>
  <c r="AT10" i="24"/>
  <c r="AT11" i="24"/>
  <c r="AT12" i="24"/>
  <c r="AT13" i="24"/>
  <c r="AT14" i="24"/>
  <c r="AT15" i="24"/>
  <c r="AT16" i="24"/>
  <c r="AT17" i="24"/>
  <c r="AT18" i="24"/>
  <c r="AT19" i="24"/>
  <c r="AT20" i="24"/>
  <c r="AT21" i="24"/>
  <c r="AT22" i="24"/>
  <c r="AT23" i="24"/>
  <c r="AT24" i="24"/>
  <c r="AT25" i="24"/>
  <c r="AT26" i="24"/>
  <c r="AT27" i="24"/>
  <c r="AT28" i="24"/>
  <c r="AT29" i="24"/>
  <c r="AT30" i="24"/>
  <c r="AT31" i="24"/>
  <c r="AS3" i="24"/>
  <c r="AS4" i="24"/>
  <c r="AS5" i="24"/>
  <c r="AS6" i="24"/>
  <c r="AS7" i="24"/>
  <c r="AS8" i="24"/>
  <c r="AS9" i="24"/>
  <c r="AS10" i="24"/>
  <c r="AS11" i="24"/>
  <c r="AS12" i="24"/>
  <c r="AS13" i="24"/>
  <c r="AS14" i="24"/>
  <c r="AS15" i="24"/>
  <c r="AS16" i="24"/>
  <c r="AS17" i="24"/>
  <c r="AS18" i="24"/>
  <c r="AS19" i="24"/>
  <c r="AS20" i="24"/>
  <c r="AS21" i="24"/>
  <c r="AS22" i="24"/>
  <c r="AS23" i="24"/>
  <c r="AS24" i="24"/>
  <c r="AS25" i="24"/>
  <c r="AS26" i="24"/>
  <c r="AS27" i="24"/>
  <c r="AS28" i="24"/>
  <c r="AS29" i="24"/>
  <c r="AS30" i="24"/>
  <c r="AS31" i="24"/>
  <c r="AQ3" i="24"/>
  <c r="AQ4" i="24"/>
  <c r="AQ5" i="24"/>
  <c r="AQ6" i="24"/>
  <c r="AQ7" i="24"/>
  <c r="AQ8" i="24"/>
  <c r="AQ9" i="24"/>
  <c r="AQ10" i="24"/>
  <c r="AQ11" i="24"/>
  <c r="AQ12" i="24"/>
  <c r="AQ13" i="24"/>
  <c r="AQ14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P3" i="24"/>
  <c r="AP4" i="24"/>
  <c r="AP5" i="24"/>
  <c r="AP6" i="24"/>
  <c r="AP7" i="24"/>
  <c r="AP8" i="24"/>
  <c r="AP9" i="24"/>
  <c r="AP10" i="24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O3" i="24"/>
  <c r="AO4" i="24"/>
  <c r="AO5" i="24"/>
  <c r="AO6" i="24"/>
  <c r="AO7" i="24"/>
  <c r="AO8" i="24"/>
  <c r="AO9" i="24"/>
  <c r="AO10" i="24"/>
  <c r="AO11" i="24"/>
  <c r="AO12" i="24"/>
  <c r="AO13" i="24"/>
  <c r="AO14" i="24"/>
  <c r="AO15" i="24"/>
  <c r="AO16" i="24"/>
  <c r="AO17" i="24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N3" i="24"/>
  <c r="AN4" i="24"/>
  <c r="AN5" i="24"/>
  <c r="AN6" i="24"/>
  <c r="AN7" i="24"/>
  <c r="AN8" i="24"/>
  <c r="AN9" i="24"/>
  <c r="AN10" i="24"/>
  <c r="AN11" i="24"/>
  <c r="AN12" i="24"/>
  <c r="AN13" i="24"/>
  <c r="AN14" i="24"/>
  <c r="AN15" i="24"/>
  <c r="AN16" i="24"/>
  <c r="AN17" i="24"/>
  <c r="AN18" i="24"/>
  <c r="AN19" i="24"/>
  <c r="AN20" i="24"/>
  <c r="AN21" i="24"/>
  <c r="AN22" i="24"/>
  <c r="AN23" i="24"/>
  <c r="AN24" i="24"/>
  <c r="AN25" i="24"/>
  <c r="AN26" i="24"/>
  <c r="AN27" i="24"/>
  <c r="AN28" i="24"/>
  <c r="AN29" i="24"/>
  <c r="AN30" i="24"/>
  <c r="AN31" i="24"/>
  <c r="AM3" i="24"/>
  <c r="AM4" i="24"/>
  <c r="AM5" i="24"/>
  <c r="AM6" i="24"/>
  <c r="AM7" i="24"/>
  <c r="AM8" i="24"/>
  <c r="AM9" i="24"/>
  <c r="AM10" i="24"/>
  <c r="AM11" i="24"/>
  <c r="AM12" i="24"/>
  <c r="AM13" i="24"/>
  <c r="AM14" i="24"/>
  <c r="AM15" i="24"/>
  <c r="AM16" i="24"/>
  <c r="AM17" i="24"/>
  <c r="AM18" i="24"/>
  <c r="AM19" i="24"/>
  <c r="AM20" i="24"/>
  <c r="AM21" i="24"/>
  <c r="AM22" i="24"/>
  <c r="AM23" i="24"/>
  <c r="AM24" i="24"/>
  <c r="AM25" i="24"/>
  <c r="AM26" i="24"/>
  <c r="AM27" i="24"/>
  <c r="AM28" i="24"/>
  <c r="AM29" i="24"/>
  <c r="AM30" i="24"/>
  <c r="AM31" i="24"/>
  <c r="AL3" i="24"/>
  <c r="AL4" i="24"/>
  <c r="AL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K3" i="24"/>
  <c r="AK4" i="24"/>
  <c r="AK5" i="24"/>
  <c r="AK6" i="24"/>
  <c r="AK7" i="24"/>
  <c r="AK8" i="24"/>
  <c r="AK9" i="24"/>
  <c r="AK10" i="24"/>
  <c r="AK11" i="24"/>
  <c r="AK12" i="24"/>
  <c r="AK13" i="24"/>
  <c r="AK14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J3" i="24"/>
  <c r="AJ4" i="24"/>
  <c r="AJ5" i="24"/>
  <c r="AJ6" i="24"/>
  <c r="AJ7" i="24"/>
  <c r="AJ8" i="24"/>
  <c r="AJ9" i="24"/>
  <c r="AJ10" i="24"/>
  <c r="AJ11" i="24"/>
  <c r="AJ12" i="24"/>
  <c r="AJ13" i="24"/>
  <c r="AJ14" i="24"/>
  <c r="AJ15" i="24"/>
  <c r="AJ16" i="24"/>
  <c r="AJ17" i="24"/>
  <c r="AJ18" i="24"/>
  <c r="AJ19" i="24"/>
  <c r="AJ20" i="24"/>
  <c r="AJ21" i="24"/>
  <c r="AJ22" i="24"/>
  <c r="AJ23" i="24"/>
  <c r="AJ24" i="24"/>
  <c r="AJ25" i="24"/>
  <c r="AJ26" i="24"/>
  <c r="AJ27" i="24"/>
  <c r="AJ28" i="24"/>
  <c r="AJ29" i="24"/>
  <c r="AJ30" i="24"/>
  <c r="AJ31" i="24"/>
  <c r="AI3" i="24"/>
  <c r="AI4" i="24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29" i="24"/>
  <c r="AI30" i="24"/>
  <c r="AI31" i="24"/>
  <c r="AH3" i="24"/>
  <c r="AH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G3" i="24"/>
  <c r="AG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AG25" i="24"/>
  <c r="AG26" i="24"/>
  <c r="AG27" i="24"/>
  <c r="AG28" i="24"/>
  <c r="AG29" i="24"/>
  <c r="AG30" i="24"/>
  <c r="AG31" i="24"/>
  <c r="AF3" i="24"/>
  <c r="AF4" i="24"/>
  <c r="AF5" i="24"/>
  <c r="AF6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E3" i="24"/>
  <c r="AE4" i="24"/>
  <c r="AE5" i="24"/>
  <c r="AE6" i="24"/>
  <c r="AE7" i="24"/>
  <c r="AE8" i="24"/>
  <c r="AE9" i="24"/>
  <c r="AE10" i="24"/>
  <c r="AE11" i="24"/>
  <c r="AE12" i="24"/>
  <c r="AE13" i="24"/>
  <c r="AE14" i="24"/>
  <c r="AE15" i="24"/>
  <c r="AE16" i="24"/>
  <c r="AE17" i="24"/>
  <c r="AE18" i="24"/>
  <c r="AE19" i="24"/>
  <c r="AE20" i="24"/>
  <c r="AE21" i="24"/>
  <c r="AE22" i="24"/>
  <c r="AE23" i="24"/>
  <c r="AE24" i="24"/>
  <c r="AE25" i="24"/>
  <c r="AE26" i="24"/>
  <c r="AE27" i="24"/>
  <c r="AE28" i="24"/>
  <c r="AE29" i="24"/>
  <c r="AE30" i="24"/>
  <c r="AE31" i="24"/>
  <c r="AD3" i="24"/>
  <c r="AD4" i="24"/>
  <c r="AD5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C3" i="24"/>
  <c r="AC4" i="24"/>
  <c r="AC5" i="24"/>
  <c r="AC6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B3" i="24"/>
  <c r="AB4" i="24"/>
  <c r="AB5" i="24"/>
  <c r="AB6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Z3" i="24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X3" i="24"/>
  <c r="X4" i="24"/>
  <c r="X5" i="24"/>
  <c r="X6" i="24"/>
  <c r="X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W3" i="24"/>
  <c r="W4" i="24"/>
  <c r="W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V3" i="24"/>
  <c r="V4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T3" i="24"/>
  <c r="T4" i="24"/>
  <c r="T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BM3" i="24"/>
  <c r="BM4" i="24"/>
  <c r="BM5" i="24"/>
  <c r="BM6" i="24"/>
  <c r="BM7" i="24"/>
  <c r="BM8" i="24"/>
  <c r="BM9" i="24"/>
  <c r="BM10" i="24"/>
  <c r="BM11" i="24"/>
  <c r="BM12" i="24"/>
  <c r="BM13" i="24"/>
  <c r="BM14" i="24"/>
  <c r="BM15" i="24"/>
  <c r="BM16" i="24"/>
  <c r="BM17" i="24"/>
  <c r="BM18" i="24"/>
  <c r="BM19" i="24"/>
  <c r="BM20" i="24"/>
  <c r="BM21" i="24"/>
  <c r="BM22" i="24"/>
  <c r="BM23" i="24"/>
  <c r="BM24" i="24"/>
  <c r="BM25" i="24"/>
  <c r="BM26" i="24"/>
  <c r="BM27" i="24"/>
  <c r="BM28" i="24"/>
  <c r="BM29" i="24"/>
  <c r="BM30" i="24"/>
  <c r="BM31" i="24"/>
  <c r="BM2" i="24"/>
  <c r="BL3" i="24"/>
  <c r="BL4" i="24"/>
  <c r="BL5" i="24"/>
  <c r="BL6" i="24"/>
  <c r="BL7" i="24"/>
  <c r="BL8" i="24"/>
  <c r="BL9" i="24"/>
  <c r="BL10" i="24"/>
  <c r="BL11" i="24"/>
  <c r="BL12" i="24"/>
  <c r="BL13" i="24"/>
  <c r="BL14" i="24"/>
  <c r="BL15" i="24"/>
  <c r="BL16" i="24"/>
  <c r="BL17" i="24"/>
  <c r="BL18" i="24"/>
  <c r="BL19" i="24"/>
  <c r="BL20" i="24"/>
  <c r="BL21" i="24"/>
  <c r="BL22" i="24"/>
  <c r="BL23" i="24"/>
  <c r="BL24" i="24"/>
  <c r="BL25" i="24"/>
  <c r="BL26" i="24"/>
  <c r="BL27" i="24"/>
  <c r="BL28" i="24"/>
  <c r="BL29" i="24"/>
  <c r="BL30" i="24"/>
  <c r="BL31" i="24"/>
  <c r="BL2" i="24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0" i="19"/>
  <c r="CB21" i="19"/>
  <c r="CB22" i="19"/>
  <c r="CB23" i="19"/>
  <c r="CB24" i="19"/>
  <c r="CB25" i="19"/>
  <c r="CB26" i="19"/>
  <c r="CB27" i="19"/>
  <c r="CB28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D25" i="22" s="1"/>
  <c r="AZ22" i="24" s="1"/>
  <c r="BW27" i="19"/>
  <c r="BW28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0" i="19"/>
  <c r="BR21" i="19"/>
  <c r="BR22" i="19"/>
  <c r="BR23" i="19"/>
  <c r="BR24" i="19"/>
  <c r="BC23" i="22" s="1"/>
  <c r="BR25" i="19"/>
  <c r="BC24" i="22" s="1"/>
  <c r="BR26" i="19"/>
  <c r="BR27" i="19"/>
  <c r="BR28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0" i="19"/>
  <c r="BM21" i="19"/>
  <c r="BM22" i="19"/>
  <c r="BM23" i="19"/>
  <c r="BM24" i="19"/>
  <c r="BM25" i="19"/>
  <c r="BM26" i="19"/>
  <c r="BM27" i="19"/>
  <c r="BM28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A25" i="22" s="1"/>
  <c r="AW22" i="24" s="1"/>
  <c r="BH27" i="19"/>
  <c r="BH28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0" i="19"/>
  <c r="BC21" i="19"/>
  <c r="BC22" i="19"/>
  <c r="BC23" i="19"/>
  <c r="BC24" i="19"/>
  <c r="BC25" i="19"/>
  <c r="AZ24" i="22" s="1"/>
  <c r="BC26" i="19"/>
  <c r="BC27" i="19"/>
  <c r="BC28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0" i="19"/>
  <c r="AX21" i="19"/>
  <c r="AX22" i="19"/>
  <c r="AX23" i="19"/>
  <c r="AX24" i="19"/>
  <c r="AX25" i="19"/>
  <c r="AY24" i="22" s="1"/>
  <c r="AX26" i="19"/>
  <c r="AY25" i="22" s="1"/>
  <c r="AX27" i="19"/>
  <c r="AX28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X25" i="22" s="1"/>
  <c r="AS27" i="19"/>
  <c r="AS28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W25" i="22" s="1"/>
  <c r="AN27" i="19"/>
  <c r="AN28" i="19"/>
  <c r="AN29" i="19"/>
  <c r="AN30" i="19"/>
  <c r="AN31" i="19"/>
  <c r="AN32" i="19"/>
  <c r="AN33" i="19"/>
  <c r="AN34" i="19"/>
  <c r="AN35" i="19"/>
  <c r="AN36" i="19"/>
  <c r="AN6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V26" i="22" s="1"/>
  <c r="AR23" i="24" s="1"/>
  <c r="AI28" i="19"/>
  <c r="AI29" i="19"/>
  <c r="AI30" i="19"/>
  <c r="AI31" i="19"/>
  <c r="AI32" i="19"/>
  <c r="AI33" i="19"/>
  <c r="AI34" i="19"/>
  <c r="AI35" i="19"/>
  <c r="AI36" i="19"/>
  <c r="AI6" i="19"/>
  <c r="AI7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U25" i="22" s="1"/>
  <c r="AD27" i="19"/>
  <c r="AD28" i="19"/>
  <c r="AD29" i="19"/>
  <c r="AD30" i="19"/>
  <c r="AD31" i="19"/>
  <c r="AD32" i="19"/>
  <c r="AD33" i="19"/>
  <c r="AD34" i="19"/>
  <c r="AD35" i="19"/>
  <c r="AD36" i="19"/>
  <c r="AD6" i="19"/>
  <c r="BQ5" i="22"/>
  <c r="BQ6" i="22"/>
  <c r="BQ7" i="22"/>
  <c r="BQ8" i="22"/>
  <c r="BQ9" i="22"/>
  <c r="BQ10" i="22"/>
  <c r="BQ11" i="22"/>
  <c r="BQ12" i="22"/>
  <c r="BQ13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P5" i="22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4" i="22"/>
  <c r="BP4" i="22"/>
  <c r="A6" i="25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5" i="25"/>
  <c r="E39" i="1"/>
  <c r="AZ3" i="24"/>
  <c r="BB3" i="24"/>
  <c r="BC3" i="24"/>
  <c r="BD3" i="24"/>
  <c r="BF3" i="24"/>
  <c r="BG3" i="24"/>
  <c r="BH3" i="24"/>
  <c r="BI3" i="24"/>
  <c r="BJ3" i="24"/>
  <c r="BK3" i="24"/>
  <c r="BB4" i="24"/>
  <c r="BC4" i="24"/>
  <c r="BD4" i="24"/>
  <c r="BF4" i="24"/>
  <c r="BG4" i="24"/>
  <c r="BH4" i="24"/>
  <c r="BI4" i="24"/>
  <c r="BJ4" i="24"/>
  <c r="BK4" i="24"/>
  <c r="BB5" i="24"/>
  <c r="BC5" i="24"/>
  <c r="BD5" i="24"/>
  <c r="BF5" i="24"/>
  <c r="BG5" i="24"/>
  <c r="BH5" i="24"/>
  <c r="BI5" i="24"/>
  <c r="BJ5" i="24"/>
  <c r="BK5" i="24"/>
  <c r="BB6" i="24"/>
  <c r="BC6" i="24"/>
  <c r="BD6" i="24"/>
  <c r="BF6" i="24"/>
  <c r="BG6" i="24"/>
  <c r="BH6" i="24"/>
  <c r="BI6" i="24"/>
  <c r="BJ6" i="24"/>
  <c r="BK6" i="24"/>
  <c r="BB7" i="24"/>
  <c r="BC7" i="24"/>
  <c r="BD7" i="24"/>
  <c r="BF7" i="24"/>
  <c r="BG7" i="24"/>
  <c r="BH7" i="24"/>
  <c r="BI7" i="24"/>
  <c r="BJ7" i="24"/>
  <c r="BK7" i="24"/>
  <c r="BB8" i="24"/>
  <c r="BC8" i="24"/>
  <c r="BD8" i="24"/>
  <c r="BF8" i="24"/>
  <c r="BG8" i="24"/>
  <c r="BH8" i="24"/>
  <c r="BI8" i="24"/>
  <c r="BJ8" i="24"/>
  <c r="BK8" i="24"/>
  <c r="BB9" i="24"/>
  <c r="BC9" i="24"/>
  <c r="BD9" i="24"/>
  <c r="BF9" i="24"/>
  <c r="BG9" i="24"/>
  <c r="BH9" i="24"/>
  <c r="BI9" i="24"/>
  <c r="BJ9" i="24"/>
  <c r="BK9" i="24"/>
  <c r="BB10" i="24"/>
  <c r="BC10" i="24"/>
  <c r="BD10" i="24"/>
  <c r="BF10" i="24"/>
  <c r="BG10" i="24"/>
  <c r="BH10" i="24"/>
  <c r="BI10" i="24"/>
  <c r="BJ10" i="24"/>
  <c r="BK10" i="24"/>
  <c r="AW11" i="24"/>
  <c r="BB11" i="24"/>
  <c r="BC11" i="24"/>
  <c r="BD11" i="24"/>
  <c r="BF11" i="24"/>
  <c r="BG11" i="24"/>
  <c r="BH11" i="24"/>
  <c r="BI11" i="24"/>
  <c r="BJ11" i="24"/>
  <c r="BK11" i="24"/>
  <c r="BB12" i="24"/>
  <c r="BC12" i="24"/>
  <c r="BD12" i="24"/>
  <c r="BF12" i="24"/>
  <c r="BG12" i="24"/>
  <c r="BH12" i="24"/>
  <c r="BI12" i="24"/>
  <c r="BJ12" i="24"/>
  <c r="BK12" i="24"/>
  <c r="AX13" i="24"/>
  <c r="BB13" i="24"/>
  <c r="BC13" i="24"/>
  <c r="BD13" i="24"/>
  <c r="BF13" i="24"/>
  <c r="BG13" i="24"/>
  <c r="BH13" i="24"/>
  <c r="BI13" i="24"/>
  <c r="BJ13" i="24"/>
  <c r="BK13" i="24"/>
  <c r="BB14" i="24"/>
  <c r="BC14" i="24"/>
  <c r="BD14" i="24"/>
  <c r="BF14" i="24"/>
  <c r="BG14" i="24"/>
  <c r="BH14" i="24"/>
  <c r="BI14" i="24"/>
  <c r="BJ14" i="24"/>
  <c r="BK14" i="24"/>
  <c r="BB15" i="24"/>
  <c r="BC15" i="24"/>
  <c r="BD15" i="24"/>
  <c r="BF15" i="24"/>
  <c r="BG15" i="24"/>
  <c r="BH15" i="24"/>
  <c r="BI15" i="24"/>
  <c r="BJ15" i="24"/>
  <c r="BK15" i="24"/>
  <c r="BB16" i="24"/>
  <c r="BC16" i="24"/>
  <c r="BD16" i="24"/>
  <c r="BF16" i="24"/>
  <c r="BG16" i="24"/>
  <c r="BH16" i="24"/>
  <c r="BI16" i="24"/>
  <c r="BJ16" i="24"/>
  <c r="BK16" i="24"/>
  <c r="BB17" i="24"/>
  <c r="BC17" i="24"/>
  <c r="BD17" i="24"/>
  <c r="BF17" i="24"/>
  <c r="BG17" i="24"/>
  <c r="BH17" i="24"/>
  <c r="BI17" i="24"/>
  <c r="BJ17" i="24"/>
  <c r="BK17" i="24"/>
  <c r="BB18" i="24"/>
  <c r="BC18" i="24"/>
  <c r="BD18" i="24"/>
  <c r="BF18" i="24"/>
  <c r="BG18" i="24"/>
  <c r="BH18" i="24"/>
  <c r="BI18" i="24"/>
  <c r="BJ18" i="24"/>
  <c r="BK18" i="24"/>
  <c r="BB19" i="24"/>
  <c r="BC19" i="24"/>
  <c r="BD19" i="24"/>
  <c r="BF19" i="24"/>
  <c r="BG19" i="24"/>
  <c r="BH19" i="24"/>
  <c r="BI19" i="24"/>
  <c r="BJ19" i="24"/>
  <c r="BK19" i="24"/>
  <c r="BB20" i="24"/>
  <c r="BC20" i="24"/>
  <c r="BD20" i="24"/>
  <c r="BF20" i="24"/>
  <c r="BG20" i="24"/>
  <c r="BH20" i="24"/>
  <c r="BI20" i="24"/>
  <c r="BJ20" i="24"/>
  <c r="BK20" i="24"/>
  <c r="BB21" i="24"/>
  <c r="BC21" i="24"/>
  <c r="BD21" i="24"/>
  <c r="BF21" i="24"/>
  <c r="BG21" i="24"/>
  <c r="BH21" i="24"/>
  <c r="BI21" i="24"/>
  <c r="BJ21" i="24"/>
  <c r="BK21" i="24"/>
  <c r="BB22" i="24"/>
  <c r="BC22" i="24"/>
  <c r="BD22" i="24"/>
  <c r="BF22" i="24"/>
  <c r="BG22" i="24"/>
  <c r="BH22" i="24"/>
  <c r="BI22" i="24"/>
  <c r="BJ22" i="24"/>
  <c r="BK22" i="24"/>
  <c r="BB23" i="24"/>
  <c r="BC23" i="24"/>
  <c r="BD23" i="24"/>
  <c r="BF23" i="24"/>
  <c r="BG23" i="24"/>
  <c r="BH23" i="24"/>
  <c r="BI23" i="24"/>
  <c r="BJ23" i="24"/>
  <c r="BK23" i="24"/>
  <c r="BB24" i="24"/>
  <c r="BC24" i="24"/>
  <c r="BD24" i="24"/>
  <c r="BF24" i="24"/>
  <c r="BG24" i="24"/>
  <c r="BH24" i="24"/>
  <c r="BI24" i="24"/>
  <c r="BJ24" i="24"/>
  <c r="BK24" i="24"/>
  <c r="BB25" i="24"/>
  <c r="BC25" i="24"/>
  <c r="BD25" i="24"/>
  <c r="BF25" i="24"/>
  <c r="BG25" i="24"/>
  <c r="BH25" i="24"/>
  <c r="BI25" i="24"/>
  <c r="BJ25" i="24"/>
  <c r="BK25" i="24"/>
  <c r="BB26" i="24"/>
  <c r="BC26" i="24"/>
  <c r="BD26" i="24"/>
  <c r="BF26" i="24"/>
  <c r="BG26" i="24"/>
  <c r="BH26" i="24"/>
  <c r="BI26" i="24"/>
  <c r="BJ26" i="24"/>
  <c r="BK26" i="24"/>
  <c r="BB27" i="24"/>
  <c r="BC27" i="24"/>
  <c r="BD27" i="24"/>
  <c r="BF27" i="24"/>
  <c r="BG27" i="24"/>
  <c r="BH27" i="24"/>
  <c r="BI27" i="24"/>
  <c r="BJ27" i="24"/>
  <c r="BK27" i="24"/>
  <c r="BB28" i="24"/>
  <c r="BC28" i="24"/>
  <c r="BD28" i="24"/>
  <c r="BF28" i="24"/>
  <c r="BG28" i="24"/>
  <c r="BH28" i="24"/>
  <c r="BI28" i="24"/>
  <c r="BJ28" i="24"/>
  <c r="BK28" i="24"/>
  <c r="BA29" i="24"/>
  <c r="BB29" i="24"/>
  <c r="BC29" i="24"/>
  <c r="BD29" i="24"/>
  <c r="BF29" i="24"/>
  <c r="BG29" i="24"/>
  <c r="BH29" i="24"/>
  <c r="BI29" i="24"/>
  <c r="BJ29" i="24"/>
  <c r="BK29" i="24"/>
  <c r="BB30" i="24"/>
  <c r="BC30" i="24"/>
  <c r="BD30" i="24"/>
  <c r="BF30" i="24"/>
  <c r="BG30" i="24"/>
  <c r="BH30" i="24"/>
  <c r="BI30" i="24"/>
  <c r="BJ30" i="24"/>
  <c r="BK30" i="24"/>
  <c r="BB31" i="24"/>
  <c r="BC31" i="24"/>
  <c r="BD31" i="24"/>
  <c r="BF31" i="24"/>
  <c r="BG31" i="24"/>
  <c r="BH31" i="24"/>
  <c r="BI31" i="24"/>
  <c r="BJ31" i="24"/>
  <c r="BK31" i="24"/>
  <c r="AN2" i="24"/>
  <c r="AO2" i="24"/>
  <c r="AP2" i="24"/>
  <c r="AR2" i="24"/>
  <c r="AY2" i="24"/>
  <c r="BB2" i="24"/>
  <c r="BC2" i="24"/>
  <c r="BD2" i="24"/>
  <c r="BE2" i="24"/>
  <c r="BF2" i="24"/>
  <c r="BG2" i="24"/>
  <c r="BH2" i="24"/>
  <c r="BI2" i="24"/>
  <c r="BJ2" i="24"/>
  <c r="BK2" i="24"/>
  <c r="AM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F2" i="24"/>
  <c r="E2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5" i="22"/>
  <c r="DO31" i="19"/>
  <c r="DO32" i="19" s="1"/>
  <c r="DO33" i="19" s="1"/>
  <c r="DO34" i="19" s="1"/>
  <c r="DO35" i="19" s="1"/>
  <c r="DO18" i="19"/>
  <c r="DO19" i="19" s="1"/>
  <c r="DO20" i="19" s="1"/>
  <c r="DO21" i="19" s="1"/>
  <c r="DO22" i="19" s="1"/>
  <c r="DO23" i="19" s="1"/>
  <c r="DO24" i="19" s="1"/>
  <c r="DO25" i="19" s="1"/>
  <c r="DO26" i="19" s="1"/>
  <c r="DO27" i="19" s="1"/>
  <c r="DO28" i="19" s="1"/>
  <c r="DO29" i="19" s="1"/>
  <c r="DO30" i="19" s="1"/>
  <c r="DO17" i="19"/>
  <c r="BM6" i="22"/>
  <c r="BM7" i="22"/>
  <c r="BM8" i="22"/>
  <c r="BM9" i="22"/>
  <c r="BM10" i="22"/>
  <c r="BM11" i="22"/>
  <c r="BM12" i="22"/>
  <c r="BM13" i="22"/>
  <c r="BM14" i="22"/>
  <c r="BM1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5" i="22"/>
  <c r="CZ32" i="19"/>
  <c r="CZ33" i="19"/>
  <c r="CZ34" i="19"/>
  <c r="CZ31" i="19"/>
  <c r="CZ30" i="19"/>
  <c r="CZ29" i="19"/>
  <c r="CZ28" i="19"/>
  <c r="CZ27" i="19"/>
  <c r="CZ25" i="19"/>
  <c r="CZ24" i="19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5" i="22"/>
  <c r="BE6" i="22"/>
  <c r="BA3" i="24" s="1"/>
  <c r="BE7" i="22"/>
  <c r="BA4" i="24" s="1"/>
  <c r="BE8" i="22"/>
  <c r="BA5" i="24" s="1"/>
  <c r="BE9" i="22"/>
  <c r="BA6" i="24" s="1"/>
  <c r="BE10" i="22"/>
  <c r="BA7" i="24" s="1"/>
  <c r="BE11" i="22"/>
  <c r="BA8" i="24" s="1"/>
  <c r="BE12" i="22"/>
  <c r="BA9" i="24" s="1"/>
  <c r="BE13" i="22"/>
  <c r="BA10" i="24" s="1"/>
  <c r="BE14" i="22"/>
  <c r="BA11" i="24" s="1"/>
  <c r="BE15" i="22"/>
  <c r="BA12" i="24" s="1"/>
  <c r="BE16" i="22"/>
  <c r="BA13" i="24" s="1"/>
  <c r="BE17" i="22"/>
  <c r="BA14" i="24" s="1"/>
  <c r="BE18" i="22"/>
  <c r="BA15" i="24" s="1"/>
  <c r="BE19" i="22"/>
  <c r="BA16" i="24" s="1"/>
  <c r="BE20" i="22"/>
  <c r="BA17" i="24" s="1"/>
  <c r="BE21" i="22"/>
  <c r="BA18" i="24" s="1"/>
  <c r="BE22" i="22"/>
  <c r="BA19" i="24" s="1"/>
  <c r="BE23" i="22"/>
  <c r="BA20" i="24" s="1"/>
  <c r="BE24" i="22"/>
  <c r="BA21" i="24" s="1"/>
  <c r="BE25" i="22"/>
  <c r="BA22" i="24" s="1"/>
  <c r="BE26" i="22"/>
  <c r="BA23" i="24" s="1"/>
  <c r="BE27" i="22"/>
  <c r="BA24" i="24" s="1"/>
  <c r="BE28" i="22"/>
  <c r="BA25" i="24" s="1"/>
  <c r="BE29" i="22"/>
  <c r="BA26" i="24" s="1"/>
  <c r="BE30" i="22"/>
  <c r="BA27" i="24" s="1"/>
  <c r="BE31" i="22"/>
  <c r="BA28" i="24" s="1"/>
  <c r="BE32" i="22"/>
  <c r="BE33" i="22"/>
  <c r="BA30" i="24" s="1"/>
  <c r="BE34" i="22"/>
  <c r="BA31" i="24" s="1"/>
  <c r="BE5" i="22"/>
  <c r="BA2" i="24" s="1"/>
  <c r="BD6" i="22"/>
  <c r="BD7" i="22"/>
  <c r="AZ4" i="24" s="1"/>
  <c r="BD8" i="22"/>
  <c r="AZ5" i="24" s="1"/>
  <c r="BD9" i="22"/>
  <c r="AZ6" i="24" s="1"/>
  <c r="BD10" i="22"/>
  <c r="AZ7" i="24" s="1"/>
  <c r="BD11" i="22"/>
  <c r="AZ8" i="24" s="1"/>
  <c r="BD12" i="22"/>
  <c r="AZ9" i="24" s="1"/>
  <c r="BD13" i="22"/>
  <c r="AZ10" i="24" s="1"/>
  <c r="BD14" i="22"/>
  <c r="AZ11" i="24" s="1"/>
  <c r="BD15" i="22"/>
  <c r="AZ12" i="24" s="1"/>
  <c r="BD16" i="22"/>
  <c r="AZ13" i="24" s="1"/>
  <c r="BD17" i="22"/>
  <c r="AZ14" i="24" s="1"/>
  <c r="BD18" i="22"/>
  <c r="AZ15" i="24" s="1"/>
  <c r="BD19" i="22"/>
  <c r="AZ16" i="24" s="1"/>
  <c r="BD20" i="22"/>
  <c r="AZ17" i="24" s="1"/>
  <c r="BD21" i="22"/>
  <c r="AZ18" i="24" s="1"/>
  <c r="BD22" i="22"/>
  <c r="AZ19" i="24" s="1"/>
  <c r="BD23" i="22"/>
  <c r="AZ20" i="24" s="1"/>
  <c r="BD24" i="22"/>
  <c r="AZ21" i="24" s="1"/>
  <c r="BD26" i="22"/>
  <c r="AZ23" i="24" s="1"/>
  <c r="BD27" i="22"/>
  <c r="AZ24" i="24" s="1"/>
  <c r="BD28" i="22"/>
  <c r="AZ25" i="24" s="1"/>
  <c r="BD29" i="22"/>
  <c r="AZ26" i="24" s="1"/>
  <c r="BD30" i="22"/>
  <c r="AZ27" i="24" s="1"/>
  <c r="BD31" i="22"/>
  <c r="AZ28" i="24" s="1"/>
  <c r="BD32" i="22"/>
  <c r="AZ29" i="24" s="1"/>
  <c r="BD33" i="22"/>
  <c r="AZ30" i="24" s="1"/>
  <c r="BD34" i="22"/>
  <c r="AZ31" i="24" s="1"/>
  <c r="BD5" i="22"/>
  <c r="AZ2" i="24" s="1"/>
  <c r="BQ35" i="19"/>
  <c r="BQ34" i="19"/>
  <c r="BQ33" i="19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5" i="22"/>
  <c r="BC26" i="22"/>
  <c r="BC27" i="22"/>
  <c r="BC28" i="22"/>
  <c r="BC29" i="22"/>
  <c r="BC30" i="22"/>
  <c r="BC31" i="22"/>
  <c r="BC5" i="22"/>
  <c r="BB6" i="22"/>
  <c r="AX3" i="24" s="1"/>
  <c r="BB7" i="22"/>
  <c r="AX4" i="24" s="1"/>
  <c r="BB8" i="22"/>
  <c r="AX5" i="24" s="1"/>
  <c r="BB9" i="22"/>
  <c r="AX6" i="24" s="1"/>
  <c r="BB10" i="22"/>
  <c r="AX7" i="24" s="1"/>
  <c r="BB11" i="22"/>
  <c r="AX8" i="24" s="1"/>
  <c r="BB12" i="22"/>
  <c r="AX9" i="24" s="1"/>
  <c r="BB13" i="22"/>
  <c r="AX10" i="24" s="1"/>
  <c r="BB14" i="22"/>
  <c r="AX11" i="24" s="1"/>
  <c r="BB15" i="22"/>
  <c r="AX12" i="24" s="1"/>
  <c r="BB16" i="22"/>
  <c r="BB17" i="22"/>
  <c r="AX14" i="24" s="1"/>
  <c r="BB18" i="22"/>
  <c r="AX15" i="24" s="1"/>
  <c r="BB19" i="22"/>
  <c r="AX16" i="24" s="1"/>
  <c r="BB20" i="22"/>
  <c r="AX17" i="24" s="1"/>
  <c r="BB21" i="22"/>
  <c r="AX18" i="24" s="1"/>
  <c r="BB22" i="22"/>
  <c r="AX19" i="24" s="1"/>
  <c r="BB23" i="22"/>
  <c r="AX20" i="24" s="1"/>
  <c r="BB24" i="22"/>
  <c r="AX21" i="24" s="1"/>
  <c r="BB25" i="22"/>
  <c r="AX22" i="24" s="1"/>
  <c r="BB26" i="22"/>
  <c r="AX23" i="24" s="1"/>
  <c r="BB27" i="22"/>
  <c r="AX24" i="24" s="1"/>
  <c r="BB28" i="22"/>
  <c r="AX25" i="24" s="1"/>
  <c r="BB29" i="22"/>
  <c r="AX26" i="24" s="1"/>
  <c r="BB30" i="22"/>
  <c r="AX27" i="24" s="1"/>
  <c r="BB31" i="22"/>
  <c r="AX28" i="24" s="1"/>
  <c r="BB32" i="22"/>
  <c r="AX29" i="24" s="1"/>
  <c r="BB33" i="22"/>
  <c r="AX30" i="24" s="1"/>
  <c r="BB34" i="22"/>
  <c r="AX31" i="24" s="1"/>
  <c r="BB5" i="22"/>
  <c r="AX2" i="24" s="1"/>
  <c r="BA6" i="22"/>
  <c r="AW3" i="24" s="1"/>
  <c r="BA7" i="22"/>
  <c r="AW4" i="24" s="1"/>
  <c r="BA8" i="22"/>
  <c r="AW5" i="24" s="1"/>
  <c r="BA9" i="22"/>
  <c r="AW6" i="24" s="1"/>
  <c r="BA10" i="22"/>
  <c r="AW7" i="24" s="1"/>
  <c r="BA11" i="22"/>
  <c r="AW8" i="24" s="1"/>
  <c r="BA12" i="22"/>
  <c r="AW9" i="24" s="1"/>
  <c r="BA13" i="22"/>
  <c r="AW10" i="24" s="1"/>
  <c r="BA14" i="22"/>
  <c r="BA15" i="22"/>
  <c r="AW12" i="24" s="1"/>
  <c r="BA16" i="22"/>
  <c r="AW13" i="24" s="1"/>
  <c r="BA17" i="22"/>
  <c r="AW14" i="24" s="1"/>
  <c r="BA18" i="22"/>
  <c r="AW15" i="24" s="1"/>
  <c r="BA19" i="22"/>
  <c r="AW16" i="24" s="1"/>
  <c r="BA20" i="22"/>
  <c r="AW17" i="24" s="1"/>
  <c r="BA21" i="22"/>
  <c r="AW18" i="24" s="1"/>
  <c r="BA22" i="22"/>
  <c r="AW19" i="24" s="1"/>
  <c r="BA23" i="22"/>
  <c r="AW20" i="24" s="1"/>
  <c r="BA24" i="22"/>
  <c r="AW21" i="24" s="1"/>
  <c r="BA26" i="22"/>
  <c r="AW23" i="24" s="1"/>
  <c r="BA27" i="22"/>
  <c r="AW24" i="24" s="1"/>
  <c r="BA28" i="22"/>
  <c r="AW25" i="24" s="1"/>
  <c r="BA29" i="22"/>
  <c r="AW26" i="24" s="1"/>
  <c r="BA30" i="22"/>
  <c r="AW27" i="24" s="1"/>
  <c r="BA31" i="22"/>
  <c r="AW28" i="24" s="1"/>
  <c r="BA32" i="22"/>
  <c r="AW29" i="24" s="1"/>
  <c r="BA33" i="22"/>
  <c r="AW30" i="24" s="1"/>
  <c r="BA34" i="22"/>
  <c r="AW31" i="24" s="1"/>
  <c r="BA5" i="22"/>
  <c r="AW2" i="24" s="1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5" i="22"/>
  <c r="AZ26" i="22"/>
  <c r="AZ27" i="22"/>
  <c r="AZ28" i="22"/>
  <c r="AZ29" i="22"/>
  <c r="AZ30" i="22"/>
  <c r="AZ31" i="22"/>
  <c r="AZ32" i="22"/>
  <c r="AZ33" i="22"/>
  <c r="AZ34" i="22"/>
  <c r="AZ5" i="22"/>
  <c r="AV2" i="24" s="1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6" i="22"/>
  <c r="AY27" i="22"/>
  <c r="AY28" i="22"/>
  <c r="AY29" i="22"/>
  <c r="AY30" i="22"/>
  <c r="AY31" i="22"/>
  <c r="AY32" i="22"/>
  <c r="AY33" i="22"/>
  <c r="AY34" i="22"/>
  <c r="AY5" i="22"/>
  <c r="AU2" i="24" s="1"/>
  <c r="AR24" i="19"/>
  <c r="AR23" i="19"/>
  <c r="AR22" i="19"/>
  <c r="AR21" i="19"/>
  <c r="AR20" i="19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26" i="22"/>
  <c r="AX27" i="22"/>
  <c r="AX28" i="22"/>
  <c r="AX29" i="22"/>
  <c r="AX30" i="22"/>
  <c r="AX31" i="22"/>
  <c r="AX32" i="22"/>
  <c r="AX33" i="22"/>
  <c r="AX34" i="22"/>
  <c r="AX5" i="22"/>
  <c r="AT2" i="24" s="1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6" i="22"/>
  <c r="AW27" i="22"/>
  <c r="AW28" i="22"/>
  <c r="AW29" i="22"/>
  <c r="AW30" i="22"/>
  <c r="AW31" i="22"/>
  <c r="AW32" i="22"/>
  <c r="AW33" i="22"/>
  <c r="AW34" i="22"/>
  <c r="AW5" i="22"/>
  <c r="AS2" i="24" s="1"/>
  <c r="AH10" i="19"/>
  <c r="AV6" i="22"/>
  <c r="AR3" i="24" s="1"/>
  <c r="AV7" i="22"/>
  <c r="AR4" i="24" s="1"/>
  <c r="AV8" i="22"/>
  <c r="AR5" i="24" s="1"/>
  <c r="AV11" i="22"/>
  <c r="AR8" i="24" s="1"/>
  <c r="AV12" i="22"/>
  <c r="AR9" i="24" s="1"/>
  <c r="AV13" i="22"/>
  <c r="AR10" i="24" s="1"/>
  <c r="AV14" i="22"/>
  <c r="AR11" i="24" s="1"/>
  <c r="AV15" i="22"/>
  <c r="AR12" i="24" s="1"/>
  <c r="AV16" i="22"/>
  <c r="AR13" i="24" s="1"/>
  <c r="AV17" i="22"/>
  <c r="AR14" i="24" s="1"/>
  <c r="AV18" i="22"/>
  <c r="AR15" i="24" s="1"/>
  <c r="AV19" i="22"/>
  <c r="AR16" i="24" s="1"/>
  <c r="AV20" i="22"/>
  <c r="AR17" i="24" s="1"/>
  <c r="AV21" i="22"/>
  <c r="AR18" i="24" s="1"/>
  <c r="AV22" i="22"/>
  <c r="AR19" i="24" s="1"/>
  <c r="AV23" i="22"/>
  <c r="AR20" i="24" s="1"/>
  <c r="AV24" i="22"/>
  <c r="AR21" i="24" s="1"/>
  <c r="AV25" i="22"/>
  <c r="AR22" i="24" s="1"/>
  <c r="AV27" i="22"/>
  <c r="AR24" i="24" s="1"/>
  <c r="AV28" i="22"/>
  <c r="AR25" i="24" s="1"/>
  <c r="AV29" i="22"/>
  <c r="AR26" i="24" s="1"/>
  <c r="AV30" i="22"/>
  <c r="AR27" i="24" s="1"/>
  <c r="AV31" i="22"/>
  <c r="AR28" i="24" s="1"/>
  <c r="AV32" i="22"/>
  <c r="AR29" i="24" s="1"/>
  <c r="AV33" i="22"/>
  <c r="AR30" i="24" s="1"/>
  <c r="AV34" i="22"/>
  <c r="AR31" i="24" s="1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6" i="22"/>
  <c r="AU27" i="22"/>
  <c r="AU28" i="22"/>
  <c r="AU29" i="22"/>
  <c r="AU30" i="22"/>
  <c r="AU31" i="22"/>
  <c r="AU32" i="22"/>
  <c r="AU33" i="22"/>
  <c r="AU34" i="22"/>
  <c r="AU5" i="22"/>
  <c r="AQ2" i="24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N6" i="22" l="1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D39" i="1"/>
  <c r="C39" i="1"/>
  <c r="D41" i="3"/>
  <c r="R25" i="19"/>
  <c r="AO5" i="12"/>
  <c r="B3" i="21" a="1"/>
  <c r="B3" i="21" s="1"/>
  <c r="A1" i="12"/>
  <c r="B5" i="11"/>
  <c r="A2" i="9"/>
  <c r="A6" i="7"/>
  <c r="A6" i="6"/>
  <c r="A6" i="5"/>
  <c r="A6" i="4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W36" i="19"/>
  <c r="G38" i="1" s="1"/>
  <c r="C34" i="22"/>
  <c r="AO34" i="22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2" i="17"/>
  <c r="CP7" i="12" l="1"/>
  <c r="W7" i="19"/>
  <c r="F35" i="9" l="1"/>
  <c r="CC5" i="12" l="1"/>
  <c r="BX5" i="12"/>
  <c r="BI5" i="12" l="1"/>
  <c r="BD5" i="12"/>
  <c r="AY5" i="12"/>
  <c r="U5" i="22" s="1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A21" i="19"/>
  <c r="BA22" i="19"/>
  <c r="BA23" i="19"/>
  <c r="BA24" i="19"/>
  <c r="BA25" i="19"/>
  <c r="BA26" i="19"/>
  <c r="BA27" i="19"/>
  <c r="BA28" i="19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X19" i="22" s="1"/>
  <c r="AQ21" i="19"/>
  <c r="AQ22" i="19"/>
  <c r="AQ23" i="19"/>
  <c r="AQ24" i="19"/>
  <c r="AX23" i="22" s="1"/>
  <c r="AQ25" i="19"/>
  <c r="AX24" i="22" s="1"/>
  <c r="AQ26" i="19"/>
  <c r="AQ27" i="19"/>
  <c r="AQ28" i="19"/>
  <c r="AQ29" i="19"/>
  <c r="AQ30" i="19"/>
  <c r="AQ31" i="19"/>
  <c r="AQ32" i="19"/>
  <c r="AQ33" i="19"/>
  <c r="AQ34" i="19"/>
  <c r="AQ35" i="19"/>
  <c r="AQ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K15" i="19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BM17" i="22" s="1"/>
  <c r="DN19" i="19"/>
  <c r="DN20" i="19"/>
  <c r="DP20" i="19" s="1"/>
  <c r="BM19" i="22" s="1"/>
  <c r="DN21" i="19"/>
  <c r="DN22" i="19"/>
  <c r="DP22" i="19" s="1"/>
  <c r="BM21" i="22" s="1"/>
  <c r="DN23" i="19"/>
  <c r="DP23" i="19" s="1"/>
  <c r="BM22" i="22" s="1"/>
  <c r="DN24" i="19"/>
  <c r="DP24" i="19" s="1"/>
  <c r="BM23" i="22" s="1"/>
  <c r="DN25" i="19"/>
  <c r="DP25" i="19" s="1"/>
  <c r="BM24" i="22" s="1"/>
  <c r="DN26" i="19"/>
  <c r="DP26" i="19" s="1"/>
  <c r="BM25" i="22" s="1"/>
  <c r="DN27" i="19"/>
  <c r="DN28" i="19"/>
  <c r="DP28" i="19" s="1"/>
  <c r="BM27" i="22" s="1"/>
  <c r="DN29" i="19"/>
  <c r="DP29" i="19" s="1"/>
  <c r="BM28" i="22" s="1"/>
  <c r="DN30" i="19"/>
  <c r="DP30" i="19" s="1"/>
  <c r="BM29" i="22" s="1"/>
  <c r="DN31" i="19"/>
  <c r="DP31" i="19" s="1"/>
  <c r="BM30" i="22" s="1"/>
  <c r="DN32" i="19"/>
  <c r="DP32" i="19" s="1"/>
  <c r="BM31" i="22" s="1"/>
  <c r="DN33" i="19"/>
  <c r="DP33" i="19" s="1"/>
  <c r="BM32" i="22" s="1"/>
  <c r="DN34" i="19"/>
  <c r="DP34" i="19" s="1"/>
  <c r="BM33" i="22" s="1"/>
  <c r="DN35" i="19"/>
  <c r="DP35" i="19" s="1"/>
  <c r="BM34" i="22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K27" i="19" s="1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BJ23" i="22" s="1"/>
  <c r="CY25" i="19"/>
  <c r="DA25" i="19" s="1"/>
  <c r="BJ24" i="22" s="1"/>
  <c r="CY26" i="19"/>
  <c r="DA26" i="19" s="1"/>
  <c r="BJ25" i="22" s="1"/>
  <c r="CY27" i="19"/>
  <c r="DA27" i="19" s="1"/>
  <c r="BJ26" i="22" s="1"/>
  <c r="CY28" i="19"/>
  <c r="DA28" i="19" s="1"/>
  <c r="BJ27" i="22" s="1"/>
  <c r="CY29" i="19"/>
  <c r="CY30" i="19"/>
  <c r="CY31" i="19"/>
  <c r="DA31" i="19" s="1"/>
  <c r="BJ30" i="22" s="1"/>
  <c r="CY32" i="19"/>
  <c r="DA32" i="19" s="1"/>
  <c r="BJ31" i="22" s="1"/>
  <c r="CY33" i="19"/>
  <c r="DA33" i="19" s="1"/>
  <c r="BJ32" i="22" s="1"/>
  <c r="CY34" i="19"/>
  <c r="DA34" i="19" s="1"/>
  <c r="BJ33" i="22" s="1"/>
  <c r="CY35" i="19"/>
  <c r="DA35" i="19" s="1"/>
  <c r="BJ34" i="22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V19" i="19" s="1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U21" i="19"/>
  <c r="BU22" i="19"/>
  <c r="BU23" i="19"/>
  <c r="BU24" i="19"/>
  <c r="BU25" i="19"/>
  <c r="BU26" i="19"/>
  <c r="BU27" i="19"/>
  <c r="BU28" i="19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P21" i="19"/>
  <c r="BP22" i="19"/>
  <c r="BP23" i="19"/>
  <c r="BP24" i="19"/>
  <c r="BP25" i="19"/>
  <c r="BP26" i="19"/>
  <c r="BP27" i="19"/>
  <c r="BP28" i="19"/>
  <c r="BP29" i="19"/>
  <c r="BP30" i="19"/>
  <c r="BP31" i="19"/>
  <c r="BP32" i="19"/>
  <c r="BP33" i="19"/>
  <c r="BC32" i="22" s="1"/>
  <c r="BP34" i="19"/>
  <c r="BC33" i="22" s="1"/>
  <c r="BP35" i="19"/>
  <c r="BC34" i="22" s="1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F21" i="19"/>
  <c r="BF22" i="19"/>
  <c r="BF23" i="19"/>
  <c r="BF24" i="19"/>
  <c r="BF25" i="19"/>
  <c r="BF26" i="19"/>
  <c r="BF27" i="19"/>
  <c r="BF28" i="19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V9" i="22" s="1"/>
  <c r="AR6" i="24" s="1"/>
  <c r="AG11" i="19"/>
  <c r="AV10" i="22" s="1"/>
  <c r="AR7" i="24" s="1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D34" i="22" s="1"/>
  <c r="E31" i="17" s="1"/>
  <c r="C5" i="22"/>
  <c r="CG35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BM16" i="22" s="1"/>
  <c r="DP19" i="19"/>
  <c r="BM18" i="22" s="1"/>
  <c r="DP21" i="19"/>
  <c r="BM20" i="22" s="1"/>
  <c r="DP27" i="19"/>
  <c r="BM26" i="22" s="1"/>
  <c r="DU27" i="19"/>
  <c r="DK28" i="19"/>
  <c r="DU28" i="19"/>
  <c r="DU31" i="19"/>
  <c r="DP36" i="19"/>
  <c r="DU36" i="19"/>
  <c r="CG6" i="19"/>
  <c r="CL6" i="19"/>
  <c r="CQ6" i="19"/>
  <c r="CV6" i="19"/>
  <c r="DA6" i="19"/>
  <c r="DF6" i="19"/>
  <c r="DA7" i="19"/>
  <c r="DF7" i="19"/>
  <c r="CV8" i="19"/>
  <c r="CL11" i="19"/>
  <c r="CG12" i="19"/>
  <c r="CG13" i="19"/>
  <c r="DA13" i="19"/>
  <c r="CG14" i="19"/>
  <c r="DF16" i="19"/>
  <c r="CL17" i="19"/>
  <c r="DF17" i="19"/>
  <c r="CV18" i="19"/>
  <c r="DF19" i="19"/>
  <c r="CV20" i="19"/>
  <c r="AX20" i="22"/>
  <c r="CG21" i="19"/>
  <c r="CV21" i="19"/>
  <c r="AX21" i="22"/>
  <c r="CL22" i="19"/>
  <c r="AX22" i="22"/>
  <c r="CG23" i="19"/>
  <c r="CL23" i="19"/>
  <c r="CL24" i="19"/>
  <c r="CL25" i="19"/>
  <c r="CV27" i="19"/>
  <c r="DA29" i="19"/>
  <c r="BJ28" i="22" s="1"/>
  <c r="DA30" i="19"/>
  <c r="BJ29" i="22" s="1"/>
  <c r="CG32" i="19"/>
  <c r="CG34" i="19"/>
  <c r="DF36" i="19"/>
  <c r="AE7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AO33" i="22"/>
  <c r="AP34" i="22" s="1"/>
  <c r="I31" i="17" s="1"/>
  <c r="AO32" i="22"/>
  <c r="AO31" i="22"/>
  <c r="AO30" i="22"/>
  <c r="AO29" i="22"/>
  <c r="AO28" i="22"/>
  <c r="F29" i="21"/>
  <c r="G29" i="21" s="1"/>
  <c r="E28" i="22" s="1"/>
  <c r="G25" i="17" s="1"/>
  <c r="AO27" i="22"/>
  <c r="AO26" i="22"/>
  <c r="AO25" i="22"/>
  <c r="AO24" i="22"/>
  <c r="AO23" i="22"/>
  <c r="AO22" i="22"/>
  <c r="AO21" i="22"/>
  <c r="AO20" i="22"/>
  <c r="AO19" i="22"/>
  <c r="AO18" i="22"/>
  <c r="AO17" i="22"/>
  <c r="AO16" i="22"/>
  <c r="AO15" i="22"/>
  <c r="AO14" i="22"/>
  <c r="AO13" i="22"/>
  <c r="AO12" i="22"/>
  <c r="AO11" i="22"/>
  <c r="AO10" i="22"/>
  <c r="AO9" i="22"/>
  <c r="AO8" i="22"/>
  <c r="AO7" i="22"/>
  <c r="AO6" i="22"/>
  <c r="AO5" i="22"/>
  <c r="AO4" i="22"/>
  <c r="E4" i="22"/>
  <c r="F35" i="21"/>
  <c r="G35" i="21" s="1"/>
  <c r="E34" i="22" s="1"/>
  <c r="G31" i="17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G24" i="17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F36" i="21" l="1"/>
  <c r="D40" i="1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D31" i="22"/>
  <c r="E28" i="17" s="1"/>
  <c r="G30" i="15"/>
  <c r="GC29" i="12"/>
  <c r="G28" i="15"/>
  <c r="AU19" i="12"/>
  <c r="GC9" i="12"/>
  <c r="G6" i="21"/>
  <c r="G36" i="21" s="1"/>
  <c r="EA8" i="19"/>
  <c r="AT7" i="19"/>
  <c r="CQ16" i="19"/>
  <c r="CR16" i="19" s="1"/>
  <c r="CQ14" i="19"/>
  <c r="CR15" i="19" s="1"/>
  <c r="AP18" i="12"/>
  <c r="J35" i="12"/>
  <c r="G27" i="15"/>
  <c r="H34" i="21"/>
  <c r="G31" i="15"/>
  <c r="H22" i="21"/>
  <c r="H18" i="21"/>
  <c r="D17" i="22"/>
  <c r="E14" i="17" s="1"/>
  <c r="BO17" i="12"/>
  <c r="GC16" i="12"/>
  <c r="CW19" i="19"/>
  <c r="D15" i="22"/>
  <c r="E12" i="17" s="1"/>
  <c r="BD11" i="19"/>
  <c r="E35" i="12"/>
  <c r="G5" i="15"/>
  <c r="E5" i="15"/>
  <c r="D16" i="22"/>
  <c r="E13" i="17" s="1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5" i="12"/>
  <c r="AT35" i="12"/>
  <c r="AO35" i="12"/>
  <c r="AJ35" i="12"/>
  <c r="Y35" i="12"/>
  <c r="T35" i="12"/>
  <c r="O35" i="12"/>
  <c r="CC22" i="19"/>
  <c r="BD21" i="19"/>
  <c r="AT21" i="19"/>
  <c r="BN35" i="12"/>
  <c r="BI35" i="12"/>
  <c r="AY35" i="12"/>
  <c r="CD19" i="12"/>
  <c r="F19" i="12"/>
  <c r="D18" i="22"/>
  <c r="E15" i="17" s="1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E11" i="17" s="1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5" i="12"/>
  <c r="EZ35" i="12"/>
  <c r="GE8" i="12"/>
  <c r="EA35" i="12"/>
  <c r="DV35" i="12"/>
  <c r="DQ35" i="12"/>
  <c r="DL35" i="12"/>
  <c r="DG35" i="12"/>
  <c r="CN6" i="12"/>
  <c r="CM35" i="12"/>
  <c r="CC35" i="12"/>
  <c r="BY6" i="12"/>
  <c r="BX35" i="12"/>
  <c r="BS35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E16" i="17" s="1"/>
  <c r="H33" i="21"/>
  <c r="G26" i="2"/>
  <c r="G22" i="2"/>
  <c r="EF35" i="12"/>
  <c r="DB35" i="12"/>
  <c r="CX19" i="12"/>
  <c r="CW35" i="12"/>
  <c r="CS17" i="12"/>
  <c r="CR35" i="12"/>
  <c r="CS6" i="12"/>
  <c r="CI18" i="12"/>
  <c r="CI6" i="12"/>
  <c r="CH35" i="12"/>
  <c r="GK12" i="12"/>
  <c r="GK11" i="12"/>
  <c r="G37" i="2"/>
  <c r="GM33" i="12"/>
  <c r="DB35" i="19"/>
  <c r="BN35" i="19"/>
  <c r="BN36" i="19"/>
  <c r="AO36" i="19"/>
  <c r="AE35" i="19"/>
  <c r="AE36" i="19"/>
  <c r="AP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E26" i="17" s="1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E17" i="17" s="1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AP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AP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AP15" i="22"/>
  <c r="I12" i="17" s="1"/>
  <c r="AP14" i="22"/>
  <c r="I11" i="17" s="1"/>
  <c r="CM15" i="19"/>
  <c r="BN16" i="19"/>
  <c r="AJ15" i="19"/>
  <c r="AP13" i="22"/>
  <c r="I10" i="17" s="1"/>
  <c r="BI13" i="19"/>
  <c r="AP12" i="22"/>
  <c r="I9" i="17" s="1"/>
  <c r="D11" i="22"/>
  <c r="E8" i="17" s="1"/>
  <c r="DB13" i="19"/>
  <c r="CC12" i="19"/>
  <c r="AT11" i="19"/>
  <c r="AP11" i="22"/>
  <c r="I8" i="17" s="1"/>
  <c r="D10" i="22"/>
  <c r="E7" i="17" s="1"/>
  <c r="CR11" i="19"/>
  <c r="BD12" i="19"/>
  <c r="AY12" i="19"/>
  <c r="AP10" i="22"/>
  <c r="I7" i="17" s="1"/>
  <c r="BS10" i="19"/>
  <c r="DB10" i="19"/>
  <c r="DL9" i="19"/>
  <c r="EA9" i="19"/>
  <c r="DB9" i="19"/>
  <c r="CM10" i="19"/>
  <c r="AP8" i="22"/>
  <c r="I5" i="17" s="1"/>
  <c r="AP9" i="22"/>
  <c r="I6" i="17" s="1"/>
  <c r="DG8" i="19"/>
  <c r="CW8" i="19"/>
  <c r="BI9" i="19"/>
  <c r="AP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E27" i="17" s="1"/>
  <c r="D9" i="22"/>
  <c r="E6" i="17" s="1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31" i="1"/>
  <c r="E28" i="2"/>
  <c r="E27" i="1"/>
  <c r="E24" i="22"/>
  <c r="G21" i="17" s="1"/>
  <c r="E25" i="1"/>
  <c r="E22" i="22"/>
  <c r="G19" i="17" s="1"/>
  <c r="E21" i="22"/>
  <c r="G18" i="17" s="1"/>
  <c r="E25" i="2"/>
  <c r="E24" i="1"/>
  <c r="DL35" i="19"/>
  <c r="DL34" i="19"/>
  <c r="DB33" i="19"/>
  <c r="BS34" i="19"/>
  <c r="BD33" i="19"/>
  <c r="AJ34" i="19"/>
  <c r="AE34" i="19"/>
  <c r="AP32" i="22"/>
  <c r="I29" i="17" s="1"/>
  <c r="CM33" i="19"/>
  <c r="BI32" i="19"/>
  <c r="AO33" i="19"/>
  <c r="AP31" i="22"/>
  <c r="I28" i="17" s="1"/>
  <c r="EA32" i="19"/>
  <c r="DB31" i="19"/>
  <c r="DB32" i="19"/>
  <c r="BD32" i="19"/>
  <c r="AJ33" i="19"/>
  <c r="AJ32" i="19"/>
  <c r="AE31" i="19"/>
  <c r="AP30" i="22"/>
  <c r="I27" i="17" s="1"/>
  <c r="DQ30" i="19"/>
  <c r="DQ32" i="19"/>
  <c r="CM32" i="19"/>
  <c r="BD31" i="19"/>
  <c r="AT30" i="19"/>
  <c r="AO31" i="19"/>
  <c r="AP29" i="22"/>
  <c r="I26" i="17" s="1"/>
  <c r="DV29" i="19"/>
  <c r="DG29" i="19"/>
  <c r="DG30" i="19"/>
  <c r="DB30" i="19"/>
  <c r="CW30" i="19"/>
  <c r="CH29" i="19"/>
  <c r="AO30" i="19"/>
  <c r="AJ30" i="19"/>
  <c r="AE30" i="19"/>
  <c r="AP28" i="22"/>
  <c r="I25" i="17" s="1"/>
  <c r="DV28" i="19"/>
  <c r="CM30" i="19"/>
  <c r="CH30" i="19"/>
  <c r="CC28" i="19"/>
  <c r="CC29" i="19"/>
  <c r="AO29" i="19"/>
  <c r="AJ29" i="19"/>
  <c r="AE29" i="19"/>
  <c r="AP27" i="22"/>
  <c r="I24" i="17" s="1"/>
  <c r="DB28" i="19"/>
  <c r="CH28" i="19"/>
  <c r="CC27" i="19"/>
  <c r="BX28" i="19"/>
  <c r="BN29" i="19"/>
  <c r="BD29" i="19"/>
  <c r="AP26" i="22"/>
  <c r="I23" i="17" s="1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AP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E29" i="17" s="1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5" i="12"/>
  <c r="EV6" i="12"/>
  <c r="EU35" i="12"/>
  <c r="EV7" i="12"/>
  <c r="AU30" i="12"/>
  <c r="AU29" i="12"/>
  <c r="EQ26" i="12"/>
  <c r="EQ27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G16" i="17" s="1"/>
  <c r="E23" i="2"/>
  <c r="E22" i="1"/>
  <c r="E15" i="22"/>
  <c r="G12" i="17" s="1"/>
  <c r="E19" i="2"/>
  <c r="E18" i="1"/>
  <c r="E14" i="22"/>
  <c r="G11" i="17" s="1"/>
  <c r="E17" i="1"/>
  <c r="E12" i="22"/>
  <c r="G9" i="17" s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AP18" i="22"/>
  <c r="I15" i="17" s="1"/>
  <c r="AP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E10" i="17" s="1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G6" i="17" s="1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7" i="22"/>
  <c r="E10" i="2"/>
  <c r="E9" i="1"/>
  <c r="E6" i="22"/>
  <c r="G3" i="17" s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AP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AP25" i="22"/>
  <c r="I22" i="17" s="1"/>
  <c r="AP20" i="22"/>
  <c r="I17" i="17" s="1"/>
  <c r="V32" i="19"/>
  <c r="AE31" i="12" s="1"/>
  <c r="AP24" i="22"/>
  <c r="I21" i="17" s="1"/>
  <c r="V29" i="19"/>
  <c r="AE28" i="12" s="1"/>
  <c r="V9" i="19"/>
  <c r="V24" i="19"/>
  <c r="AE23" i="12" s="1"/>
  <c r="V22" i="19"/>
  <c r="AE21" i="12" s="1"/>
  <c r="V20" i="19"/>
  <c r="AP5" i="22"/>
  <c r="I2" i="17" s="1"/>
  <c r="V33" i="19"/>
  <c r="AE32" i="12" s="1"/>
  <c r="V18" i="19"/>
  <c r="V17" i="19"/>
  <c r="AP21" i="22"/>
  <c r="I18" i="17" s="1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AP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G13" i="17" s="1"/>
  <c r="E17" i="22"/>
  <c r="G14" i="17" s="1"/>
  <c r="E21" i="2"/>
  <c r="E20" i="1"/>
  <c r="E25" i="22"/>
  <c r="G22" i="17" s="1"/>
  <c r="E29" i="2"/>
  <c r="E28" i="1"/>
  <c r="E26" i="22"/>
  <c r="E30" i="2"/>
  <c r="E29" i="1"/>
  <c r="E22" i="2"/>
  <c r="E21" i="1"/>
  <c r="E18" i="22"/>
  <c r="G15" i="17" s="1"/>
  <c r="E14" i="2"/>
  <c r="E13" i="1"/>
  <c r="E10" i="22"/>
  <c r="G7" i="17" s="1"/>
  <c r="F28" i="22"/>
  <c r="E15" i="2"/>
  <c r="E11" i="22"/>
  <c r="G8" i="17" s="1"/>
  <c r="E14" i="1"/>
  <c r="E20" i="22"/>
  <c r="G17" i="17" s="1"/>
  <c r="E23" i="1"/>
  <c r="E24" i="2"/>
  <c r="E17" i="2"/>
  <c r="E16" i="1"/>
  <c r="E13" i="22"/>
  <c r="G10" i="17" s="1"/>
  <c r="E26" i="1"/>
  <c r="E23" i="22"/>
  <c r="G20" i="17" s="1"/>
  <c r="E27" i="2"/>
  <c r="E18" i="2"/>
  <c r="E30" i="1"/>
  <c r="E31" i="2"/>
  <c r="E12" i="2"/>
  <c r="E8" i="22"/>
  <c r="G5" i="17" s="1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D27" i="22"/>
  <c r="E24" i="17" s="1"/>
  <c r="D7" i="22"/>
  <c r="E4" i="17" s="1"/>
  <c r="B30" i="1"/>
  <c r="AV27" i="12" s="1"/>
  <c r="D22" i="22"/>
  <c r="E19" i="17" s="1"/>
  <c r="D33" i="22"/>
  <c r="E30" i="17" s="1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C11" i="15"/>
  <c r="B20" i="1"/>
  <c r="C17" i="15"/>
  <c r="D28" i="22"/>
  <c r="E25" i="17" s="1"/>
  <c r="D8" i="22"/>
  <c r="E5" i="17" s="1"/>
  <c r="C27" i="15"/>
  <c r="D5" i="22"/>
  <c r="E2" i="17" s="1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EG34" i="12"/>
  <c r="B39" i="2"/>
  <c r="EA36" i="19"/>
  <c r="DB36" i="19"/>
  <c r="E37" i="2"/>
  <c r="E36" i="1"/>
  <c r="E33" i="22"/>
  <c r="G30" i="17" s="1"/>
  <c r="E36" i="2"/>
  <c r="E35" i="1"/>
  <c r="E32" i="22"/>
  <c r="G29" i="17" s="1"/>
  <c r="FG34" i="12"/>
  <c r="GM34" i="12"/>
  <c r="FB34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GK34" i="12"/>
  <c r="BT34" i="12"/>
  <c r="BJ34" i="12"/>
  <c r="BE34" i="12"/>
  <c r="GI34" i="12"/>
  <c r="AU34" i="12"/>
  <c r="GG34" i="12"/>
  <c r="AK34" i="12"/>
  <c r="AF34" i="12"/>
  <c r="Z34" i="12"/>
  <c r="P34" i="12"/>
  <c r="K34" i="12"/>
  <c r="D37" i="1"/>
  <c r="D38" i="2"/>
  <c r="L34" i="9"/>
  <c r="M34" i="9" s="1"/>
  <c r="C38" i="2"/>
  <c r="C37" i="1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E31" i="22"/>
  <c r="G28" i="17" s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0" i="22"/>
  <c r="G27" i="17" s="1"/>
  <c r="E34" i="2"/>
  <c r="E33" i="1"/>
  <c r="E29" i="22"/>
  <c r="G26" i="17" s="1"/>
  <c r="E33" i="2"/>
  <c r="E32" i="1"/>
  <c r="F27" i="22" l="1"/>
  <c r="G23" i="17"/>
  <c r="F7" i="22"/>
  <c r="G4" i="17"/>
  <c r="B38" i="2"/>
  <c r="B32" i="1"/>
  <c r="CJ29" i="12" s="1"/>
  <c r="B25" i="2"/>
  <c r="H25" i="2" s="1"/>
  <c r="B24" i="1"/>
  <c r="AG21" i="12" s="1"/>
  <c r="B36" i="1"/>
  <c r="L33" i="12" s="1"/>
  <c r="B37" i="2"/>
  <c r="H37" i="2" s="1"/>
  <c r="B14" i="1"/>
  <c r="BF11" i="12" s="1"/>
  <c r="B15" i="1"/>
  <c r="DN12" i="12" s="1"/>
  <c r="B16" i="2"/>
  <c r="H16" i="2" s="1"/>
  <c r="B12" i="1"/>
  <c r="CJ9" i="12" s="1"/>
  <c r="B10" i="1"/>
  <c r="G7" i="12" s="1"/>
  <c r="B11" i="2"/>
  <c r="I11" i="2" s="1"/>
  <c r="E8" i="1"/>
  <c r="E40" i="1" s="1"/>
  <c r="B15" i="2"/>
  <c r="H15" i="2" s="1"/>
  <c r="G39" i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F34" i="22"/>
  <c r="F38" i="1"/>
  <c r="B33" i="1"/>
  <c r="DD30" i="12" s="1"/>
  <c r="Y25" i="19"/>
  <c r="AE24" i="12"/>
  <c r="AF7" i="12"/>
  <c r="AD35" i="12"/>
  <c r="B32" i="2"/>
  <c r="I32" i="2" s="1"/>
  <c r="H27" i="15"/>
  <c r="EF19" i="19"/>
  <c r="EH18" i="19"/>
  <c r="E5" i="22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5" i="12"/>
  <c r="EP35" i="12"/>
  <c r="H9" i="2"/>
  <c r="FB28" i="12"/>
  <c r="I21" i="2"/>
  <c r="EQ17" i="12"/>
  <c r="EL17" i="12"/>
  <c r="GE16" i="12"/>
  <c r="F15" i="22"/>
  <c r="FB9" i="12"/>
  <c r="FB7" i="12"/>
  <c r="F32" i="22"/>
  <c r="FB26" i="12"/>
  <c r="F16" i="22"/>
  <c r="F14" i="2"/>
  <c r="F16" i="2"/>
  <c r="F17" i="1"/>
  <c r="F22" i="22"/>
  <c r="F25" i="22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F13" i="22"/>
  <c r="F22" i="2"/>
  <c r="F21" i="2"/>
  <c r="F20" i="1"/>
  <c r="FB10" i="12"/>
  <c r="F10" i="22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6" i="21"/>
  <c r="F23" i="22"/>
  <c r="F24" i="22"/>
  <c r="F19" i="22"/>
  <c r="F18" i="22"/>
  <c r="F14" i="22"/>
  <c r="F26" i="22"/>
  <c r="F21" i="22"/>
  <c r="F17" i="22"/>
  <c r="F11" i="22"/>
  <c r="F12" i="22"/>
  <c r="F9" i="22"/>
  <c r="F8" i="2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V29" i="12"/>
  <c r="EM29" i="12"/>
  <c r="EH29" i="12"/>
  <c r="CT29" i="12"/>
  <c r="DN29" i="12"/>
  <c r="EW29" i="12"/>
  <c r="BK29" i="12"/>
  <c r="L29" i="12"/>
  <c r="Q29" i="12"/>
  <c r="AA29" i="12"/>
  <c r="BZ29" i="12"/>
  <c r="DS29" i="12"/>
  <c r="AQ29" i="12"/>
  <c r="ER29" i="12"/>
  <c r="CJ21" i="12"/>
  <c r="AV21" i="12"/>
  <c r="EC21" i="12"/>
  <c r="CT21" i="12"/>
  <c r="L21" i="12"/>
  <c r="EM21" i="12"/>
  <c r="AA21" i="12"/>
  <c r="Q11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H10" i="2"/>
  <c r="I10" i="2"/>
  <c r="BF18" i="12"/>
  <c r="H35" i="2"/>
  <c r="I35" i="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J36" i="9"/>
  <c r="H38" i="2"/>
  <c r="I38" i="2"/>
  <c r="F38" i="2"/>
  <c r="F31" i="22"/>
  <c r="C40" i="2"/>
  <c r="AG33" i="12"/>
  <c r="BU33" i="12"/>
  <c r="BK33" i="12"/>
  <c r="AQ33" i="12"/>
  <c r="CT33" i="12"/>
  <c r="CO33" i="12"/>
  <c r="CJ33" i="12"/>
  <c r="ER33" i="12"/>
  <c r="DD33" i="12"/>
  <c r="DI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F29" i="22"/>
  <c r="F30" i="22"/>
  <c r="I25" i="2" l="1"/>
  <c r="Q33" i="12"/>
  <c r="AA33" i="12"/>
  <c r="J36" i="1"/>
  <c r="BF33" i="12"/>
  <c r="DN33" i="12"/>
  <c r="DX33" i="12"/>
  <c r="EM33" i="12"/>
  <c r="DS33" i="12"/>
  <c r="BZ33" i="12"/>
  <c r="I16" i="2"/>
  <c r="AV12" i="12"/>
  <c r="V19" i="12"/>
  <c r="V12" i="12"/>
  <c r="DS12" i="12"/>
  <c r="BA12" i="12"/>
  <c r="ER18" i="12"/>
  <c r="CO18" i="12"/>
  <c r="DI9" i="12"/>
  <c r="BA9" i="12"/>
  <c r="AA7" i="12"/>
  <c r="DX9" i="12"/>
  <c r="G11" i="12"/>
  <c r="BZ7" i="12"/>
  <c r="CO7" i="12"/>
  <c r="BU9" i="12"/>
  <c r="CY9" i="12"/>
  <c r="G9" i="12"/>
  <c r="J13" i="1"/>
  <c r="AV9" i="12"/>
  <c r="DN11" i="12"/>
  <c r="EH11" i="12"/>
  <c r="F5" i="22"/>
  <c r="G2" i="17"/>
  <c r="EH12" i="12"/>
  <c r="CJ12" i="12"/>
  <c r="BU12" i="12"/>
  <c r="DD12" i="12"/>
  <c r="EW21" i="12"/>
  <c r="DD21" i="12"/>
  <c r="BK21" i="12"/>
  <c r="CY21" i="12"/>
  <c r="ER21" i="12"/>
  <c r="BU21" i="12"/>
  <c r="CO21" i="12"/>
  <c r="BP21" i="12"/>
  <c r="H11" i="2"/>
  <c r="CE12" i="12"/>
  <c r="CT12" i="12"/>
  <c r="EM12" i="12"/>
  <c r="Q12" i="12"/>
  <c r="CE21" i="12"/>
  <c r="EH21" i="12"/>
  <c r="Q21" i="12"/>
  <c r="AL21" i="12"/>
  <c r="DX21" i="12"/>
  <c r="DS21" i="12"/>
  <c r="BZ21" i="12"/>
  <c r="BA21" i="12"/>
  <c r="AL12" i="12"/>
  <c r="BF12" i="12"/>
  <c r="CO12" i="12"/>
  <c r="EW12" i="12"/>
  <c r="BF21" i="12"/>
  <c r="G21" i="12"/>
  <c r="V21" i="12"/>
  <c r="DI21" i="12"/>
  <c r="AQ21" i="12"/>
  <c r="DN21" i="12"/>
  <c r="J11" i="1"/>
  <c r="AG7" i="12"/>
  <c r="BU7" i="12"/>
  <c r="EW11" i="12"/>
  <c r="AG11" i="12"/>
  <c r="Q18" i="12"/>
  <c r="DD18" i="12"/>
  <c r="DS7" i="12"/>
  <c r="EM7" i="12"/>
  <c r="L7" i="12"/>
  <c r="BF7" i="12"/>
  <c r="EW9" i="12"/>
  <c r="AL9" i="12"/>
  <c r="CT9" i="12"/>
  <c r="CT11" i="12"/>
  <c r="BU11" i="12"/>
  <c r="AQ11" i="12"/>
  <c r="BA11" i="12"/>
  <c r="EC29" i="12"/>
  <c r="AV29" i="12"/>
  <c r="CO29" i="12"/>
  <c r="DX29" i="12"/>
  <c r="BP29" i="12"/>
  <c r="DI29" i="12"/>
  <c r="CY29" i="12"/>
  <c r="DX7" i="12"/>
  <c r="DI7" i="12"/>
  <c r="AV11" i="12"/>
  <c r="AA11" i="12"/>
  <c r="BU18" i="12"/>
  <c r="V18" i="12"/>
  <c r="CJ7" i="12"/>
  <c r="Q7" i="12"/>
  <c r="AQ7" i="12"/>
  <c r="CO9" i="12"/>
  <c r="DN9" i="12"/>
  <c r="BZ9" i="12"/>
  <c r="EM11" i="12"/>
  <c r="BP11" i="12"/>
  <c r="CY11" i="12"/>
  <c r="BK11" i="12"/>
  <c r="BU29" i="12"/>
  <c r="AL29" i="12"/>
  <c r="DD29" i="12"/>
  <c r="G29" i="12"/>
  <c r="BF29" i="12"/>
  <c r="AG29" i="12"/>
  <c r="B39" i="1"/>
  <c r="B40" i="1" s="1"/>
  <c r="F39" i="1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J20" i="1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J14" i="1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J15" i="1"/>
  <c r="L11" i="12"/>
  <c r="CE11" i="12"/>
  <c r="V9" i="12"/>
  <c r="AQ9" i="12"/>
  <c r="J12" i="1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J10" i="1"/>
  <c r="F40" i="1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H6" i="15"/>
  <c r="J34" i="1"/>
  <c r="H34" i="2"/>
  <c r="EF20" i="19"/>
  <c r="F6" i="22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EH19" i="19" l="1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<sst xmlns="http://schemas.openxmlformats.org/spreadsheetml/2006/main" count="847" uniqueCount="222">
  <si>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</si>
  <si>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</si>
  <si>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</si>
  <si>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</si>
  <si>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</si>
  <si>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</si>
  <si>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</si>
  <si>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</si>
  <si>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</si>
  <si>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</si>
  <si>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</si>
  <si>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</si>
  <si>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</si>
  <si>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</si>
  <si>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</si>
  <si>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</si>
  <si>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</si>
  <si>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</si>
  <si>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</si>
  <si>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</si>
  <si>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</si>
  <si>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</si>
  <si>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</si>
  <si>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</si>
  <si>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</si>
  <si>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</si>
  <si>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</si>
  <si>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</si>
  <si>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</si>
  <si>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</si>
  <si>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</si>
  <si>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</si>
  <si>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</si>
  <si>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</si>
  <si>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</si>
  <si>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</si>
  <si>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</si>
  <si>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</si>
  <si>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</si>
  <si>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</si>
  <si>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</si>
  <si>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</si>
  <si>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</si>
  <si>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</si>
  <si>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</si>
  <si>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</si>
  <si>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</si>
  <si>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</si>
  <si>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</si>
  <si>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</si>
  <si>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</si>
  <si>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</si>
  <si>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</si>
  <si>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</si>
  <si>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</si>
  <si>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</si>
  <si>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</si>
  <si>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</si>
  <si>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</si>
  <si>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</si>
  <si>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</si>
  <si>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</si>
  <si>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</si>
  <si>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</si>
  <si>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</si>
  <si>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</si>
  <si>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</si>
  <si>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</si>
  <si>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</si>
  <si>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</si>
  <si>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</si>
  <si>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</si>
  <si>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</si>
  <si>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</si>
  <si>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</si>
  <si>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</si>
  <si>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</si>
  <si>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</si>
  <si>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</si>
  <si>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</si>
  <si>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</si>
  <si>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</si>
  <si>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</si>
  <si>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</si>
  <si>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</si>
  <si>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</si>
  <si>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</si>
  <si>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</si>
  <si>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</si>
  <si>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</si>
  <si>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</si>
  <si>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</si>
  <si>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</si>
  <si>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</si>
  <si>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</si>
  <si>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</si>
  <si>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</si>
  <si>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</si>
  <si>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</si>
  <si>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</si>
  <si>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</si>
  <si>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</si>
  <si>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</si>
  <si>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</si>
  <si>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</si>
  <si>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</si>
  <si>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</si>
  <si>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</si>
  <si>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</si>
  <si>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</si>
  <si>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</si>
  <si>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</si>
  <si>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</si>
  <si>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</si>
  <si>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</si>
  <si>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</si>
  <si>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</si>
  <si>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</si>
  <si>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</si>
  <si>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</si>
  <si>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</si>
  <si>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</si>
  <si>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</si>
  <si>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</si>
  <si>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</si>
  <si>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</si>
  <si>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</si>
  <si>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</si>
  <si>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</si>
  <si>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</si>
  <si>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</si>
  <si>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</si>
  <si>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</si>
  <si>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</si>
  <si>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</si>
  <si>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</si>
  <si>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</si>
  <si>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</si>
  <si>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</si>
  <si>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</si>
  <si>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</si>
  <si>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</si>
  <si>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</si>
  <si>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</si>
  <si>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</si>
  <si>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</si>
  <si>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</si>
  <si>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</si>
  <si>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</si>
  <si>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</si>
  <si>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</si>
  <si>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</si>
  <si>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</si>
  <si>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</si>
  <si>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</si>
  <si>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</si>
  <si>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</si>
  <si>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</si>
  <si>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</si>
  <si>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</si>
  <si>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</si>
  <si>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</si>
  <si>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</si>
  <si>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</si>
  <si>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</si>
  <si>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</si>
  <si>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</si>
  <si>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</si>
  <si>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</si>
  <si>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</si>
  <si>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</si>
  <si>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</si>
  <si>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</si>
  <si>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</si>
  <si>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</si>
  <si>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</si>
  <si>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</si>
  <si>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</si>
  <si>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</si>
  <si>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</si>
  <si>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</si>
  <si>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</si>
  <si>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</si>
  <si>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</si>
  <si>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</si>
  <si>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</si>
  <si>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</si>
  <si>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</si>
  <si>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KWh</t>
  </si>
  <si>
    <t>Main BLU FEEDER PANEL 1</t>
  </si>
  <si>
    <t>Laundry</t>
  </si>
  <si>
    <t xml:space="preserve">Staff Block - E0 </t>
  </si>
  <si>
    <t>Staff Block - E1</t>
  </si>
  <si>
    <t xml:space="preserve">Staff Block - E1 </t>
  </si>
  <si>
    <t xml:space="preserve">Staff Block - E2 </t>
  </si>
  <si>
    <t>Staff Block - E3</t>
  </si>
  <si>
    <t xml:space="preserve">Staff Block - E3 </t>
  </si>
  <si>
    <t>Staff Block - E4</t>
  </si>
  <si>
    <t xml:space="preserve">Staff Block - E4 </t>
  </si>
  <si>
    <t>Staff Block - E5</t>
  </si>
  <si>
    <t xml:space="preserve">Staff Block - E5 </t>
  </si>
  <si>
    <t>Management Block</t>
  </si>
  <si>
    <t>PC Block</t>
  </si>
  <si>
    <t xml:space="preserve">PC Block </t>
  </si>
  <si>
    <t>GM Bungalow</t>
  </si>
  <si>
    <t xml:space="preserve">GM Bungalow </t>
  </si>
  <si>
    <t xml:space="preserve">Boat Dock </t>
  </si>
  <si>
    <t>Boat Dock</t>
  </si>
  <si>
    <t>Supply Jetty</t>
  </si>
  <si>
    <t xml:space="preserve">Supply Jetty </t>
  </si>
  <si>
    <t>Main Kitchen</t>
  </si>
  <si>
    <t>Day Facility</t>
  </si>
  <si>
    <t xml:space="preserve">Day Facility </t>
  </si>
  <si>
    <t xml:space="preserve">Reception </t>
  </si>
  <si>
    <t>Reception</t>
  </si>
  <si>
    <t>Dive Center</t>
  </si>
  <si>
    <t xml:space="preserve">Dive Center </t>
  </si>
  <si>
    <t>Albarakthu</t>
  </si>
  <si>
    <t>Blu Resturant</t>
  </si>
  <si>
    <t>Main Jetty</t>
  </si>
  <si>
    <r>
      <t>Main Jetty</t>
    </r>
    <r>
      <rPr>
        <b/>
        <sz val="10"/>
        <color rgb="FF00B050"/>
        <rFont val="Arial"/>
        <family val="2"/>
      </rPr>
      <t xml:space="preserve"> </t>
    </r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</si>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</sst>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2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3" fillId="0" borderId="0" xfId="1" applyFont="1"/>
    <xf numFmtId="0" fontId="5" fillId="9" borderId="17" xfId="9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44" fillId="0" borderId="11" xfId="0" applyNumberFormat="1" applyFont="1" applyBorder="1" applyAlignment="1">
      <alignment horizontal="center" vertical="center"/>
    </xf>
    <xf numFmtId="165" fontId="44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0" fillId="9" borderId="3" xfId="0" applyNumberFormat="1" applyFont="1" applyFill="1" applyBorder="1" applyAlignment="1">
      <alignment horizontal="center" vertical="center"/>
    </xf>
    <xf numFmtId="165" fontId="40" fillId="9" borderId="3" xfId="0" applyNumberFormat="1" applyFont="1" applyFill="1" applyBorder="1"/>
    <xf numFmtId="43" fontId="40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0" fontId="20" fillId="0" borderId="57" xfId="13" applyFont="1" applyBorder="1" applyAlignment="1">
      <alignment horizont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21" fillId="0" borderId="60" xfId="9" applyFont="1" applyBorder="1" applyAlignment="1">
      <alignment horizontal="center" vertical="center" wrapText="1"/>
    </xf>
    <xf numFmtId="0" fontId="26" fillId="0" borderId="60" xfId="9" applyFont="1" applyBorder="1" applyAlignment="1">
      <alignment horizontal="center" vertical="center" wrapText="1"/>
    </xf>
    <xf numFmtId="0" fontId="47" fillId="0" borderId="60" xfId="9" applyFont="1" applyBorder="1" applyAlignment="1">
      <alignment horizontal="center" vertical="center" wrapText="1"/>
    </xf>
    <xf numFmtId="2" fontId="47" fillId="0" borderId="60" xfId="9" applyNumberFormat="1" applyFont="1" applyBorder="1" applyAlignment="1">
      <alignment horizontal="center" vertical="center" wrapText="1"/>
    </xf>
    <xf numFmtId="0" fontId="4" fillId="0" borderId="60" xfId="9" applyFont="1" applyBorder="1" applyAlignment="1">
      <alignment horizontal="center" vertical="center" wrapText="1"/>
    </xf>
    <xf numFmtId="0" fontId="4" fillId="22" borderId="60" xfId="9" applyFont="1" applyFill="1" applyBorder="1" applyAlignment="1">
      <alignment horizontal="center" vertical="center" wrapText="1"/>
    </xf>
    <xf numFmtId="0" fontId="21" fillId="0" borderId="61" xfId="9" applyFont="1" applyBorder="1" applyAlignment="1">
      <alignment horizontal="center"/>
    </xf>
    <xf numFmtId="0" fontId="26" fillId="0" borderId="61" xfId="9" applyFont="1" applyBorder="1" applyAlignment="1">
      <alignment horizontal="center"/>
    </xf>
    <xf numFmtId="1" fontId="5" fillId="0" borderId="61" xfId="9" applyNumberFormat="1" applyBorder="1" applyAlignment="1">
      <alignment horizontal="center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  <xf numFmtId="1" fontId="5" fillId="0" borderId="61" xfId="9" applyNumberFormat="1" applyFont="1" applyBorder="1" applyAlignment="1">
      <alignment horizont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26816</c:v>
                </c:pt>
                <c:pt idx="12">
                  <c:v>26047</c:v>
                </c:pt>
                <c:pt idx="13">
                  <c:v>25401</c:v>
                </c:pt>
                <c:pt idx="14">
                  <c:v>25193</c:v>
                </c:pt>
                <c:pt idx="15">
                  <c:v>24884</c:v>
                </c:pt>
                <c:pt idx="16">
                  <c:v>23553</c:v>
                </c:pt>
                <c:pt idx="17">
                  <c:v>22974</c:v>
                </c:pt>
                <c:pt idx="18">
                  <c:v>23631</c:v>
                </c:pt>
                <c:pt idx="19">
                  <c:v>23020</c:v>
                </c:pt>
                <c:pt idx="20">
                  <c:v>23064</c:v>
                </c:pt>
                <c:pt idx="21">
                  <c:v>23114</c:v>
                </c:pt>
                <c:pt idx="22">
                  <c:v>24773</c:v>
                </c:pt>
                <c:pt idx="23">
                  <c:v>25497</c:v>
                </c:pt>
                <c:pt idx="24">
                  <c:v>25135</c:v>
                </c:pt>
                <c:pt idx="25">
                  <c:v>24819</c:v>
                </c:pt>
                <c:pt idx="26">
                  <c:v>24936</c:v>
                </c:pt>
                <c:pt idx="27">
                  <c:v>25219</c:v>
                </c:pt>
                <c:pt idx="28">
                  <c:v>25763</c:v>
                </c:pt>
                <c:pt idx="29">
                  <c:v>25963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30.1</c:v>
                </c:pt>
                <c:pt idx="11">
                  <c:v>36.9</c:v>
                </c:pt>
                <c:pt idx="12">
                  <c:v>39.799999999999997</c:v>
                </c:pt>
                <c:pt idx="13">
                  <c:v>35.9</c:v>
                </c:pt>
                <c:pt idx="14">
                  <c:v>46.6</c:v>
                </c:pt>
                <c:pt idx="15">
                  <c:v>49.5</c:v>
                </c:pt>
                <c:pt idx="16">
                  <c:v>41.7</c:v>
                </c:pt>
                <c:pt idx="17">
                  <c:v>31.1</c:v>
                </c:pt>
                <c:pt idx="18">
                  <c:v>33</c:v>
                </c:pt>
                <c:pt idx="19">
                  <c:v>35</c:v>
                </c:pt>
                <c:pt idx="20">
                  <c:v>35.9</c:v>
                </c:pt>
                <c:pt idx="21">
                  <c:v>29.1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39.799999999999997</c:v>
                </c:pt>
                <c:pt idx="25">
                  <c:v>38.799999999999997</c:v>
                </c:pt>
                <c:pt idx="26">
                  <c:v>35</c:v>
                </c:pt>
                <c:pt idx="27">
                  <c:v>32</c:v>
                </c:pt>
                <c:pt idx="28">
                  <c:v>38.799999999999997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1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30.1</c:v>
                </c:pt>
                <c:pt idx="11">
                  <c:v>36.9</c:v>
                </c:pt>
                <c:pt idx="12">
                  <c:v>39.799999999999997</c:v>
                </c:pt>
                <c:pt idx="13">
                  <c:v>35.9</c:v>
                </c:pt>
                <c:pt idx="14">
                  <c:v>46.6</c:v>
                </c:pt>
                <c:pt idx="15">
                  <c:v>49.5</c:v>
                </c:pt>
                <c:pt idx="16">
                  <c:v>41.7</c:v>
                </c:pt>
                <c:pt idx="17">
                  <c:v>31.1</c:v>
                </c:pt>
                <c:pt idx="18">
                  <c:v>33</c:v>
                </c:pt>
                <c:pt idx="19">
                  <c:v>35</c:v>
                </c:pt>
                <c:pt idx="20">
                  <c:v>35.9</c:v>
                </c:pt>
                <c:pt idx="21">
                  <c:v>29.1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39.799999999999997</c:v>
                </c:pt>
                <c:pt idx="25">
                  <c:v>38.799999999999997</c:v>
                </c:pt>
                <c:pt idx="26">
                  <c:v>35</c:v>
                </c:pt>
                <c:pt idx="27">
                  <c:v>32</c:v>
                </c:pt>
                <c:pt idx="28">
                  <c:v>38.799999999999997</c:v>
                </c:pt>
                <c:pt idx="29">
                  <c:v>18</c:v>
                </c:pt>
                <c:pt idx="30">
                  <c:v>35.159999999999997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3680</c:v>
                </c:pt>
                <c:pt idx="1">
                  <c:v>4018</c:v>
                </c:pt>
                <c:pt idx="2">
                  <c:v>3803</c:v>
                </c:pt>
                <c:pt idx="3">
                  <c:v>4186</c:v>
                </c:pt>
                <c:pt idx="4">
                  <c:v>4156</c:v>
                </c:pt>
                <c:pt idx="5">
                  <c:v>4442</c:v>
                </c:pt>
                <c:pt idx="6">
                  <c:v>4402</c:v>
                </c:pt>
                <c:pt idx="7">
                  <c:v>4404</c:v>
                </c:pt>
                <c:pt idx="8">
                  <c:v>4316</c:v>
                </c:pt>
                <c:pt idx="9">
                  <c:v>4316</c:v>
                </c:pt>
                <c:pt idx="10">
                  <c:v>3849</c:v>
                </c:pt>
                <c:pt idx="11">
                  <c:v>3978</c:v>
                </c:pt>
                <c:pt idx="12">
                  <c:v>3846</c:v>
                </c:pt>
                <c:pt idx="13">
                  <c:v>3723</c:v>
                </c:pt>
                <c:pt idx="14">
                  <c:v>3701</c:v>
                </c:pt>
                <c:pt idx="15">
                  <c:v>3615</c:v>
                </c:pt>
                <c:pt idx="16">
                  <c:v>3493</c:v>
                </c:pt>
                <c:pt idx="17">
                  <c:v>3400</c:v>
                </c:pt>
                <c:pt idx="18">
                  <c:v>3526</c:v>
                </c:pt>
                <c:pt idx="19">
                  <c:v>3077</c:v>
                </c:pt>
                <c:pt idx="20">
                  <c:v>3248</c:v>
                </c:pt>
                <c:pt idx="21">
                  <c:v>3394</c:v>
                </c:pt>
                <c:pt idx="22">
                  <c:v>3738</c:v>
                </c:pt>
                <c:pt idx="23">
                  <c:v>7857</c:v>
                </c:pt>
                <c:pt idx="24">
                  <c:v>0</c:v>
                </c:pt>
                <c:pt idx="25">
                  <c:v>3761</c:v>
                </c:pt>
                <c:pt idx="26">
                  <c:v>3787</c:v>
                </c:pt>
                <c:pt idx="27">
                  <c:v>4001</c:v>
                </c:pt>
                <c:pt idx="28">
                  <c:v>3865</c:v>
                </c:pt>
                <c:pt idx="29">
                  <c:v>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3861</c:v>
                </c:pt>
                <c:pt idx="1">
                  <c:v>3979</c:v>
                </c:pt>
                <c:pt idx="2">
                  <c:v>4138</c:v>
                </c:pt>
                <c:pt idx="3">
                  <c:v>4483</c:v>
                </c:pt>
                <c:pt idx="4">
                  <c:v>4344</c:v>
                </c:pt>
                <c:pt idx="5">
                  <c:v>4481</c:v>
                </c:pt>
                <c:pt idx="6">
                  <c:v>4141</c:v>
                </c:pt>
                <c:pt idx="7">
                  <c:v>4063</c:v>
                </c:pt>
                <c:pt idx="8">
                  <c:v>3767</c:v>
                </c:pt>
                <c:pt idx="9">
                  <c:v>3767</c:v>
                </c:pt>
                <c:pt idx="10">
                  <c:v>3771</c:v>
                </c:pt>
                <c:pt idx="11">
                  <c:v>4164</c:v>
                </c:pt>
                <c:pt idx="12">
                  <c:v>3948</c:v>
                </c:pt>
                <c:pt idx="13">
                  <c:v>3855</c:v>
                </c:pt>
                <c:pt idx="14">
                  <c:v>3807</c:v>
                </c:pt>
                <c:pt idx="15">
                  <c:v>3735</c:v>
                </c:pt>
                <c:pt idx="16">
                  <c:v>3606</c:v>
                </c:pt>
                <c:pt idx="17">
                  <c:v>3135</c:v>
                </c:pt>
                <c:pt idx="18">
                  <c:v>3794</c:v>
                </c:pt>
                <c:pt idx="19">
                  <c:v>3102</c:v>
                </c:pt>
                <c:pt idx="20">
                  <c:v>3071</c:v>
                </c:pt>
                <c:pt idx="21">
                  <c:v>3421</c:v>
                </c:pt>
                <c:pt idx="22">
                  <c:v>4232</c:v>
                </c:pt>
                <c:pt idx="23">
                  <c:v>4258</c:v>
                </c:pt>
                <c:pt idx="24">
                  <c:v>4137</c:v>
                </c:pt>
                <c:pt idx="25">
                  <c:v>4068</c:v>
                </c:pt>
                <c:pt idx="26">
                  <c:v>4039</c:v>
                </c:pt>
                <c:pt idx="27">
                  <c:v>4065</c:v>
                </c:pt>
                <c:pt idx="28">
                  <c:v>4210</c:v>
                </c:pt>
                <c:pt idx="29">
                  <c:v>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10978</c:v>
                </c:pt>
                <c:pt idx="1">
                  <c:v>11389</c:v>
                </c:pt>
                <c:pt idx="2">
                  <c:v>11452</c:v>
                </c:pt>
                <c:pt idx="3">
                  <c:v>11928</c:v>
                </c:pt>
                <c:pt idx="4">
                  <c:v>11380</c:v>
                </c:pt>
                <c:pt idx="5">
                  <c:v>12061</c:v>
                </c:pt>
                <c:pt idx="6">
                  <c:v>11776</c:v>
                </c:pt>
                <c:pt idx="7">
                  <c:v>11713</c:v>
                </c:pt>
                <c:pt idx="8">
                  <c:v>12008</c:v>
                </c:pt>
                <c:pt idx="9">
                  <c:v>12008</c:v>
                </c:pt>
                <c:pt idx="10">
                  <c:v>13626</c:v>
                </c:pt>
                <c:pt idx="11">
                  <c:v>12679</c:v>
                </c:pt>
                <c:pt idx="12">
                  <c:v>12211</c:v>
                </c:pt>
                <c:pt idx="13">
                  <c:v>11944</c:v>
                </c:pt>
                <c:pt idx="14">
                  <c:v>11753</c:v>
                </c:pt>
                <c:pt idx="15">
                  <c:v>11595</c:v>
                </c:pt>
                <c:pt idx="16">
                  <c:v>10734</c:v>
                </c:pt>
                <c:pt idx="17">
                  <c:v>10736</c:v>
                </c:pt>
                <c:pt idx="18">
                  <c:v>10534</c:v>
                </c:pt>
                <c:pt idx="19">
                  <c:v>11259</c:v>
                </c:pt>
                <c:pt idx="20">
                  <c:v>11096</c:v>
                </c:pt>
                <c:pt idx="21">
                  <c:v>9872</c:v>
                </c:pt>
                <c:pt idx="22">
                  <c:v>11636</c:v>
                </c:pt>
                <c:pt idx="23">
                  <c:v>11319</c:v>
                </c:pt>
                <c:pt idx="24">
                  <c:v>10951</c:v>
                </c:pt>
                <c:pt idx="25">
                  <c:v>11310</c:v>
                </c:pt>
                <c:pt idx="26">
                  <c:v>10911</c:v>
                </c:pt>
                <c:pt idx="27">
                  <c:v>11566</c:v>
                </c:pt>
                <c:pt idx="28">
                  <c:v>11694</c:v>
                </c:pt>
                <c:pt idx="29">
                  <c:v>11846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2600</c:v>
                </c:pt>
                <c:pt idx="2">
                  <c:v>2600</c:v>
                </c:pt>
                <c:pt idx="3">
                  <c:v>2500</c:v>
                </c:pt>
                <c:pt idx="4">
                  <c:v>2500</c:v>
                </c:pt>
                <c:pt idx="5">
                  <c:v>2700</c:v>
                </c:pt>
                <c:pt idx="6">
                  <c:v>2400</c:v>
                </c:pt>
                <c:pt idx="7">
                  <c:v>2400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2400</c:v>
                </c:pt>
                <c:pt idx="12">
                  <c:v>2400</c:v>
                </c:pt>
                <c:pt idx="13">
                  <c:v>2200</c:v>
                </c:pt>
                <c:pt idx="14">
                  <c:v>2300</c:v>
                </c:pt>
                <c:pt idx="15">
                  <c:v>2200</c:v>
                </c:pt>
                <c:pt idx="16">
                  <c:v>2100</c:v>
                </c:pt>
                <c:pt idx="17">
                  <c:v>2100</c:v>
                </c:pt>
                <c:pt idx="18">
                  <c:v>2300</c:v>
                </c:pt>
                <c:pt idx="19">
                  <c:v>2100</c:v>
                </c:pt>
                <c:pt idx="20">
                  <c:v>2300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2200</c:v>
                </c:pt>
                <c:pt idx="25">
                  <c:v>2400</c:v>
                </c:pt>
                <c:pt idx="26">
                  <c:v>2200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2791</c:v>
                </c:pt>
                <c:pt idx="1">
                  <c:v>2867</c:v>
                </c:pt>
                <c:pt idx="2">
                  <c:v>2789</c:v>
                </c:pt>
                <c:pt idx="3">
                  <c:v>2833</c:v>
                </c:pt>
                <c:pt idx="4">
                  <c:v>2773</c:v>
                </c:pt>
                <c:pt idx="5">
                  <c:v>2898</c:v>
                </c:pt>
                <c:pt idx="6">
                  <c:v>2811</c:v>
                </c:pt>
                <c:pt idx="7">
                  <c:v>2943</c:v>
                </c:pt>
                <c:pt idx="8">
                  <c:v>2909</c:v>
                </c:pt>
                <c:pt idx="9">
                  <c:v>2899</c:v>
                </c:pt>
                <c:pt idx="10">
                  <c:v>2843</c:v>
                </c:pt>
                <c:pt idx="11">
                  <c:v>2861</c:v>
                </c:pt>
                <c:pt idx="12">
                  <c:v>2855</c:v>
                </c:pt>
                <c:pt idx="13">
                  <c:v>2778</c:v>
                </c:pt>
                <c:pt idx="14">
                  <c:v>2881</c:v>
                </c:pt>
                <c:pt idx="15">
                  <c:v>2793</c:v>
                </c:pt>
                <c:pt idx="16">
                  <c:v>2736</c:v>
                </c:pt>
                <c:pt idx="17">
                  <c:v>2781</c:v>
                </c:pt>
                <c:pt idx="18">
                  <c:v>2889</c:v>
                </c:pt>
                <c:pt idx="19">
                  <c:v>2575</c:v>
                </c:pt>
                <c:pt idx="20">
                  <c:v>2776</c:v>
                </c:pt>
                <c:pt idx="21">
                  <c:v>2837</c:v>
                </c:pt>
                <c:pt idx="22">
                  <c:v>2935</c:v>
                </c:pt>
                <c:pt idx="23">
                  <c:v>2838</c:v>
                </c:pt>
                <c:pt idx="24">
                  <c:v>2855</c:v>
                </c:pt>
                <c:pt idx="25">
                  <c:v>2930</c:v>
                </c:pt>
                <c:pt idx="26">
                  <c:v>2797</c:v>
                </c:pt>
                <c:pt idx="27">
                  <c:v>2868</c:v>
                </c:pt>
                <c:pt idx="28">
                  <c:v>2833</c:v>
                </c:pt>
                <c:pt idx="29">
                  <c:v>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800</c:v>
                </c:pt>
                <c:pt idx="1">
                  <c:v>700</c:v>
                </c:pt>
                <c:pt idx="2">
                  <c:v>800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800</c:v>
                </c:pt>
                <c:pt idx="8">
                  <c:v>700</c:v>
                </c:pt>
                <c:pt idx="9">
                  <c:v>700</c:v>
                </c:pt>
                <c:pt idx="10">
                  <c:v>800</c:v>
                </c:pt>
                <c:pt idx="11">
                  <c:v>700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600</c:v>
                </c:pt>
                <c:pt idx="18">
                  <c:v>700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600</c:v>
                </c:pt>
                <c:pt idx="23">
                  <c:v>700</c:v>
                </c:pt>
                <c:pt idx="24">
                  <c:v>600</c:v>
                </c:pt>
                <c:pt idx="25">
                  <c:v>700</c:v>
                </c:pt>
                <c:pt idx="26">
                  <c:v>600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1300</c:v>
                </c:pt>
                <c:pt idx="7">
                  <c:v>1600</c:v>
                </c:pt>
                <c:pt idx="8">
                  <c:v>1800</c:v>
                </c:pt>
                <c:pt idx="9">
                  <c:v>1300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1500</c:v>
                </c:pt>
                <c:pt idx="14">
                  <c:v>1300</c:v>
                </c:pt>
                <c:pt idx="15">
                  <c:v>1600</c:v>
                </c:pt>
                <c:pt idx="16">
                  <c:v>1500</c:v>
                </c:pt>
                <c:pt idx="17">
                  <c:v>1600</c:v>
                </c:pt>
                <c:pt idx="18">
                  <c:v>1300</c:v>
                </c:pt>
                <c:pt idx="19">
                  <c:v>1600</c:v>
                </c:pt>
                <c:pt idx="20">
                  <c:v>1600</c:v>
                </c:pt>
                <c:pt idx="21">
                  <c:v>1300</c:v>
                </c:pt>
                <c:pt idx="22">
                  <c:v>1200</c:v>
                </c:pt>
                <c:pt idx="23">
                  <c:v>1600</c:v>
                </c:pt>
                <c:pt idx="24">
                  <c:v>1300</c:v>
                </c:pt>
                <c:pt idx="25">
                  <c:v>1400</c:v>
                </c:pt>
                <c:pt idx="26">
                  <c:v>1600</c:v>
                </c:pt>
                <c:pt idx="27">
                  <c:v>1300</c:v>
                </c:pt>
                <c:pt idx="28">
                  <c:v>1500</c:v>
                </c:pt>
                <c:pt idx="29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1081400</c:v>
                </c:pt>
                <c:pt idx="1">
                  <c:v>1081600</c:v>
                </c:pt>
                <c:pt idx="2">
                  <c:v>1081900</c:v>
                </c:pt>
                <c:pt idx="3">
                  <c:v>1082200</c:v>
                </c:pt>
                <c:pt idx="4">
                  <c:v>1082500</c:v>
                </c:pt>
                <c:pt idx="5">
                  <c:v>1082800</c:v>
                </c:pt>
                <c:pt idx="6">
                  <c:v>1083000</c:v>
                </c:pt>
                <c:pt idx="7">
                  <c:v>1083300</c:v>
                </c:pt>
                <c:pt idx="8">
                  <c:v>1083600</c:v>
                </c:pt>
                <c:pt idx="9">
                  <c:v>1083900</c:v>
                </c:pt>
                <c:pt idx="10">
                  <c:v>1084100</c:v>
                </c:pt>
                <c:pt idx="11">
                  <c:v>1084400</c:v>
                </c:pt>
                <c:pt idx="12">
                  <c:v>1084700</c:v>
                </c:pt>
                <c:pt idx="13">
                  <c:v>1084900</c:v>
                </c:pt>
                <c:pt idx="14">
                  <c:v>1085200</c:v>
                </c:pt>
                <c:pt idx="15">
                  <c:v>1085500</c:v>
                </c:pt>
                <c:pt idx="16">
                  <c:v>1085800</c:v>
                </c:pt>
                <c:pt idx="17">
                  <c:v>1086000</c:v>
                </c:pt>
                <c:pt idx="18">
                  <c:v>1086300</c:v>
                </c:pt>
                <c:pt idx="19">
                  <c:v>1086500</c:v>
                </c:pt>
                <c:pt idx="20">
                  <c:v>1086800</c:v>
                </c:pt>
                <c:pt idx="21">
                  <c:v>1087000</c:v>
                </c:pt>
                <c:pt idx="22">
                  <c:v>1087200</c:v>
                </c:pt>
                <c:pt idx="23">
                  <c:v>1087500</c:v>
                </c:pt>
                <c:pt idx="24">
                  <c:v>1087800</c:v>
                </c:pt>
                <c:pt idx="25">
                  <c:v>1088000</c:v>
                </c:pt>
                <c:pt idx="26">
                  <c:v>1088300</c:v>
                </c:pt>
                <c:pt idx="27">
                  <c:v>1088600</c:v>
                </c:pt>
                <c:pt idx="28">
                  <c:v>1088900</c:v>
                </c:pt>
                <c:pt idx="29">
                  <c:v>1089200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26816</c:v>
                </c:pt>
                <c:pt idx="12">
                  <c:v>26047</c:v>
                </c:pt>
                <c:pt idx="13">
                  <c:v>25401</c:v>
                </c:pt>
                <c:pt idx="14">
                  <c:v>25193</c:v>
                </c:pt>
                <c:pt idx="15">
                  <c:v>24884</c:v>
                </c:pt>
                <c:pt idx="16">
                  <c:v>23553</c:v>
                </c:pt>
                <c:pt idx="17">
                  <c:v>22974</c:v>
                </c:pt>
                <c:pt idx="18">
                  <c:v>23631</c:v>
                </c:pt>
                <c:pt idx="19">
                  <c:v>23020</c:v>
                </c:pt>
                <c:pt idx="20">
                  <c:v>23064</c:v>
                </c:pt>
                <c:pt idx="21">
                  <c:v>23114</c:v>
                </c:pt>
                <c:pt idx="22">
                  <c:v>24773</c:v>
                </c:pt>
                <c:pt idx="23">
                  <c:v>25497</c:v>
                </c:pt>
                <c:pt idx="24">
                  <c:v>25135</c:v>
                </c:pt>
                <c:pt idx="25">
                  <c:v>24819</c:v>
                </c:pt>
                <c:pt idx="26">
                  <c:v>24936</c:v>
                </c:pt>
                <c:pt idx="27">
                  <c:v>25219</c:v>
                </c:pt>
                <c:pt idx="28">
                  <c:v>25763</c:v>
                </c:pt>
                <c:pt idx="29">
                  <c:v>25963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39</xdr:row>
      <xdr:rowOff>134471</xdr:rowOff>
    </xdr:from>
    <xdr:to>
      <xdr:col>7</xdr:col>
      <xdr:colOff>694765</xdr:colOff>
      <xdr:row>52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40</xdr:row>
      <xdr:rowOff>11206</xdr:rowOff>
    </xdr:from>
    <xdr:to>
      <xdr:col>17</xdr:col>
      <xdr:colOff>78442</xdr:colOff>
      <xdr:row>51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41</xdr:row>
      <xdr:rowOff>136071</xdr:rowOff>
    </xdr:from>
    <xdr:to>
      <xdr:col>40</xdr:col>
      <xdr:colOff>204107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1"/>
  <sheetViews>
    <sheetView workbookViewId="0">
      <selection activeCell="S15" sqref="S15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11</v>
      </c>
      <c r="D2" s="121">
        <v>2022</v>
      </c>
      <c r="E2" s="123">
        <f>'Maldives at LG Daily'!D5</f>
        <v>24170</v>
      </c>
      <c r="F2" s="124">
        <v>0.27</v>
      </c>
      <c r="G2" s="123">
        <f>'Maldives at LG Daily'!E5</f>
        <v>90</v>
      </c>
      <c r="H2" s="124">
        <v>1.24</v>
      </c>
      <c r="I2" s="123">
        <f>'Maldives at LG Daily'!AP5</f>
        <v>382</v>
      </c>
      <c r="J2" s="124">
        <v>0</v>
      </c>
      <c r="K2" s="123">
        <f>'Maldives at LG Daily'!BP5</f>
        <v>30.1</v>
      </c>
      <c r="L2" s="123">
        <f>'Maldives at LG Daily'!BQ5</f>
        <v>244</v>
      </c>
    </row>
    <row r="3" spans="1:12" ht="15" x14ac:dyDescent="0.25">
      <c r="A3" s="121" t="s">
        <v>106</v>
      </c>
      <c r="B3" s="121">
        <v>2</v>
      </c>
      <c r="C3" s="122">
        <v>11</v>
      </c>
      <c r="D3" s="121">
        <v>2022</v>
      </c>
      <c r="E3" s="123">
        <f>'Maldives at LG Daily'!D6</f>
        <v>25024</v>
      </c>
      <c r="F3" s="124">
        <v>0.27</v>
      </c>
      <c r="G3" s="123">
        <f>'Maldives at LG Daily'!E6</f>
        <v>270</v>
      </c>
      <c r="H3" s="124">
        <v>1.24</v>
      </c>
      <c r="I3" s="123">
        <f>'Maldives at LG Daily'!AP6</f>
        <v>352</v>
      </c>
      <c r="J3" s="124">
        <v>0</v>
      </c>
      <c r="K3" s="123">
        <f>'Maldives at LG Daily'!BP6</f>
        <v>34</v>
      </c>
      <c r="L3" s="123">
        <f>'Maldives at LG Daily'!BQ6</f>
        <v>237</v>
      </c>
    </row>
    <row r="4" spans="1:12" ht="15" x14ac:dyDescent="0.25">
      <c r="A4" s="121" t="s">
        <v>106</v>
      </c>
      <c r="B4" s="121">
        <v>3</v>
      </c>
      <c r="C4" s="122">
        <v>11</v>
      </c>
      <c r="D4" s="121">
        <v>2022</v>
      </c>
      <c r="E4" s="123">
        <f>'Maldives at LG Daily'!D7</f>
        <v>25240</v>
      </c>
      <c r="F4" s="124">
        <v>0.27</v>
      </c>
      <c r="G4" s="123">
        <f>'Maldives at LG Daily'!E7</f>
        <v>225</v>
      </c>
      <c r="H4" s="124">
        <v>1.24</v>
      </c>
      <c r="I4" s="123">
        <f>'Maldives at LG Daily'!AP7</f>
        <v>385</v>
      </c>
      <c r="J4" s="124">
        <v>0</v>
      </c>
      <c r="K4" s="123">
        <f>'Maldives at LG Daily'!BP7</f>
        <v>34</v>
      </c>
      <c r="L4" s="123">
        <f>'Maldives at LG Daily'!BQ7</f>
        <v>307</v>
      </c>
    </row>
    <row r="5" spans="1:12" ht="15" x14ac:dyDescent="0.25">
      <c r="A5" s="121" t="s">
        <v>106</v>
      </c>
      <c r="B5" s="121">
        <v>4</v>
      </c>
      <c r="C5" s="122">
        <v>11</v>
      </c>
      <c r="D5" s="121">
        <v>2022</v>
      </c>
      <c r="E5" s="123">
        <f>'Maldives at LG Daily'!D8</f>
        <v>26491</v>
      </c>
      <c r="F5" s="124">
        <v>0.27</v>
      </c>
      <c r="G5" s="123">
        <f>'Maldives at LG Daily'!E8</f>
        <v>270</v>
      </c>
      <c r="H5" s="124">
        <v>1.24</v>
      </c>
      <c r="I5" s="123">
        <f>'Maldives at LG Daily'!AP8</f>
        <v>375</v>
      </c>
      <c r="J5" s="124">
        <v>0</v>
      </c>
      <c r="K5" s="123">
        <f>'Maldives at LG Daily'!BP8</f>
        <v>40.799999999999997</v>
      </c>
      <c r="L5" s="123">
        <f>'Maldives at LG Daily'!BQ8</f>
        <v>306</v>
      </c>
    </row>
    <row r="6" spans="1:12" ht="15" x14ac:dyDescent="0.25">
      <c r="A6" s="121" t="s">
        <v>106</v>
      </c>
      <c r="B6" s="121">
        <v>5</v>
      </c>
      <c r="C6" s="122">
        <v>11</v>
      </c>
      <c r="D6" s="121">
        <v>2022</v>
      </c>
      <c r="E6" s="123">
        <f>'Maldives at LG Daily'!D9</f>
        <v>26146</v>
      </c>
      <c r="F6" s="124">
        <v>0.27</v>
      </c>
      <c r="G6" s="123">
        <f>'Maldives at LG Daily'!E9</f>
        <v>225</v>
      </c>
      <c r="H6" s="124">
        <v>1.24</v>
      </c>
      <c r="I6" s="123">
        <f>'Maldives at LG Daily'!AP9</f>
        <v>371</v>
      </c>
      <c r="J6" s="124">
        <v>0</v>
      </c>
      <c r="K6" s="123">
        <f>'Maldives at LG Daily'!BP9</f>
        <v>38.799999999999997</v>
      </c>
      <c r="L6" s="123">
        <f>'Maldives at LG Daily'!BQ9</f>
        <v>298</v>
      </c>
    </row>
    <row r="7" spans="1:12" ht="15" x14ac:dyDescent="0.25">
      <c r="A7" s="121" t="s">
        <v>106</v>
      </c>
      <c r="B7" s="121">
        <v>6</v>
      </c>
      <c r="C7" s="122">
        <v>11</v>
      </c>
      <c r="D7" s="121">
        <v>2022</v>
      </c>
      <c r="E7" s="123">
        <f>'Maldives at LG Daily'!D10</f>
        <v>26840</v>
      </c>
      <c r="F7" s="124">
        <v>0.27</v>
      </c>
      <c r="G7" s="123">
        <f>'Maldives at LG Daily'!E10</f>
        <v>270</v>
      </c>
      <c r="H7" s="124">
        <v>1.24</v>
      </c>
      <c r="I7" s="123">
        <f>'Maldives at LG Daily'!AP10</f>
        <v>385</v>
      </c>
      <c r="J7" s="124">
        <v>0</v>
      </c>
      <c r="K7" s="123">
        <f>'Maldives at LG Daily'!BP10</f>
        <v>31.1</v>
      </c>
      <c r="L7" s="123">
        <f>'Maldives at LG Daily'!BQ10</f>
        <v>299</v>
      </c>
    </row>
    <row r="8" spans="1:12" ht="15" x14ac:dyDescent="0.25">
      <c r="A8" s="121" t="s">
        <v>106</v>
      </c>
      <c r="B8" s="121">
        <v>7</v>
      </c>
      <c r="C8" s="122">
        <v>11</v>
      </c>
      <c r="D8" s="121">
        <v>2022</v>
      </c>
      <c r="E8" s="123">
        <f>'Maldives at LG Daily'!D11</f>
        <v>26304</v>
      </c>
      <c r="F8" s="124">
        <v>0.27</v>
      </c>
      <c r="G8" s="123">
        <f>'Maldives at LG Daily'!E11</f>
        <v>270</v>
      </c>
      <c r="H8" s="124">
        <v>1.24</v>
      </c>
      <c r="I8" s="123">
        <f>'Maldives at LG Daily'!AP11</f>
        <v>373</v>
      </c>
      <c r="J8" s="124">
        <v>0</v>
      </c>
      <c r="K8" s="123">
        <f>'Maldives at LG Daily'!BP11</f>
        <v>29.1</v>
      </c>
      <c r="L8" s="123">
        <f>'Maldives at LG Daily'!BQ11</f>
        <v>247</v>
      </c>
    </row>
    <row r="9" spans="1:12" ht="15" x14ac:dyDescent="0.25">
      <c r="A9" s="121" t="s">
        <v>106</v>
      </c>
      <c r="B9" s="121">
        <v>8</v>
      </c>
      <c r="C9" s="122">
        <v>11</v>
      </c>
      <c r="D9" s="121">
        <v>2022</v>
      </c>
      <c r="E9" s="123">
        <f>'Maldives at LG Daily'!D12</f>
        <v>26622</v>
      </c>
      <c r="F9" s="124">
        <v>0.27</v>
      </c>
      <c r="G9" s="123">
        <f>'Maldives at LG Daily'!E12</f>
        <v>270</v>
      </c>
      <c r="H9" s="124">
        <v>1.24</v>
      </c>
      <c r="I9" s="123">
        <f>'Maldives at LG Daily'!AP12</f>
        <v>404</v>
      </c>
      <c r="J9" s="124">
        <v>0</v>
      </c>
      <c r="K9" s="123">
        <f>'Maldives at LG Daily'!BP12</f>
        <v>34</v>
      </c>
      <c r="L9" s="123">
        <f>'Maldives at LG Daily'!BQ12</f>
        <v>274</v>
      </c>
    </row>
    <row r="10" spans="1:12" ht="15" x14ac:dyDescent="0.25">
      <c r="A10" s="121" t="s">
        <v>106</v>
      </c>
      <c r="B10" s="121">
        <v>9</v>
      </c>
      <c r="C10" s="122">
        <v>11</v>
      </c>
      <c r="D10" s="121">
        <v>2022</v>
      </c>
      <c r="E10" s="123">
        <f>'Maldives at LG Daily'!D13</f>
        <v>26674</v>
      </c>
      <c r="F10" s="124">
        <v>0.27</v>
      </c>
      <c r="G10" s="123">
        <f>'Maldives at LG Daily'!E13</f>
        <v>270</v>
      </c>
      <c r="H10" s="124">
        <v>1.24</v>
      </c>
      <c r="I10" s="123">
        <f>'Maldives at LG Daily'!AP13</f>
        <v>356</v>
      </c>
      <c r="J10" s="124">
        <v>0</v>
      </c>
      <c r="K10" s="123">
        <f>'Maldives at LG Daily'!BP13</f>
        <v>29.1</v>
      </c>
      <c r="L10" s="123">
        <f>'Maldives at LG Daily'!BQ13</f>
        <v>222</v>
      </c>
    </row>
    <row r="11" spans="1:12" ht="15" x14ac:dyDescent="0.25">
      <c r="A11" s="121" t="s">
        <v>106</v>
      </c>
      <c r="B11" s="121">
        <v>10</v>
      </c>
      <c r="C11" s="122">
        <v>11</v>
      </c>
      <c r="D11" s="121">
        <v>2022</v>
      </c>
      <c r="E11" s="123">
        <f>'Maldives at LG Daily'!D14</f>
        <v>26265</v>
      </c>
      <c r="F11" s="124">
        <v>0.27</v>
      </c>
      <c r="G11" s="123">
        <f>'Maldives at LG Daily'!E14</f>
        <v>90</v>
      </c>
      <c r="H11" s="124">
        <v>1.24</v>
      </c>
      <c r="I11" s="123">
        <f>'Maldives at LG Daily'!AP14</f>
        <v>448</v>
      </c>
      <c r="J11" s="124">
        <v>0</v>
      </c>
      <c r="K11" s="123">
        <f>'Maldives at LG Daily'!BP14</f>
        <v>27.2</v>
      </c>
      <c r="L11" s="123">
        <f>'Maldives at LG Daily'!BQ14</f>
        <v>209</v>
      </c>
    </row>
    <row r="12" spans="1:12" ht="15" x14ac:dyDescent="0.25">
      <c r="A12" s="121" t="s">
        <v>106</v>
      </c>
      <c r="B12" s="121">
        <v>11</v>
      </c>
      <c r="C12" s="122">
        <v>11</v>
      </c>
      <c r="D12" s="121">
        <v>2022</v>
      </c>
      <c r="E12" s="123">
        <f>'Maldives at LG Daily'!D15</f>
        <v>26961</v>
      </c>
      <c r="F12" s="124">
        <v>0.27</v>
      </c>
      <c r="G12" s="123">
        <f>'Maldives at LG Daily'!E15</f>
        <v>90</v>
      </c>
      <c r="H12" s="124">
        <v>1.24</v>
      </c>
      <c r="I12" s="123">
        <f>'Maldives at LG Daily'!AP15</f>
        <v>429</v>
      </c>
      <c r="J12" s="124">
        <v>0</v>
      </c>
      <c r="K12" s="123">
        <f>'Maldives at LG Daily'!BP15</f>
        <v>30.1</v>
      </c>
      <c r="L12" s="123">
        <f>'Maldives at LG Daily'!BQ15</f>
        <v>226</v>
      </c>
    </row>
    <row r="13" spans="1:12" ht="15" x14ac:dyDescent="0.25">
      <c r="A13" s="121" t="s">
        <v>106</v>
      </c>
      <c r="B13" s="121">
        <v>12</v>
      </c>
      <c r="C13" s="122">
        <v>11</v>
      </c>
      <c r="D13" s="121">
        <v>2022</v>
      </c>
      <c r="E13" s="123">
        <f>'Maldives at LG Daily'!D16</f>
        <v>26816</v>
      </c>
      <c r="F13" s="124">
        <v>0.27</v>
      </c>
      <c r="G13" s="123">
        <f>'Maldives at LG Daily'!E16</f>
        <v>450</v>
      </c>
      <c r="H13" s="124">
        <v>1.24</v>
      </c>
      <c r="I13" s="123">
        <f>'Maldives at LG Daily'!AP16</f>
        <v>519</v>
      </c>
      <c r="J13" s="124">
        <v>0</v>
      </c>
      <c r="K13" s="123">
        <f>'Maldives at LG Daily'!BP16</f>
        <v>36.9</v>
      </c>
      <c r="L13" s="123">
        <f>'Maldives at LG Daily'!BQ16</f>
        <v>237</v>
      </c>
    </row>
    <row r="14" spans="1:12" ht="15" x14ac:dyDescent="0.25">
      <c r="A14" s="121" t="s">
        <v>106</v>
      </c>
      <c r="B14" s="121">
        <v>13</v>
      </c>
      <c r="C14" s="122">
        <v>11</v>
      </c>
      <c r="D14" s="121">
        <v>2022</v>
      </c>
      <c r="E14" s="123">
        <f>'Maldives at LG Daily'!D17</f>
        <v>26047</v>
      </c>
      <c r="F14" s="124">
        <v>0.27</v>
      </c>
      <c r="G14" s="123">
        <f>'Maldives at LG Daily'!E17</f>
        <v>135</v>
      </c>
      <c r="H14" s="124">
        <v>1.24</v>
      </c>
      <c r="I14" s="123">
        <f>'Maldives at LG Daily'!AP17</f>
        <v>486</v>
      </c>
      <c r="J14" s="124">
        <v>0</v>
      </c>
      <c r="K14" s="123">
        <f>'Maldives at LG Daily'!BP17</f>
        <v>39.799999999999997</v>
      </c>
      <c r="L14" s="123">
        <f>'Maldives at LG Daily'!BQ17</f>
        <v>261</v>
      </c>
    </row>
    <row r="15" spans="1:12" ht="15" x14ac:dyDescent="0.25">
      <c r="A15" s="121" t="s">
        <v>106</v>
      </c>
      <c r="B15" s="121">
        <v>14</v>
      </c>
      <c r="C15" s="122">
        <v>11</v>
      </c>
      <c r="D15" s="121">
        <v>2022</v>
      </c>
      <c r="E15" s="123">
        <f>'Maldives at LG Daily'!D18</f>
        <v>25401</v>
      </c>
      <c r="F15" s="124">
        <v>0.27</v>
      </c>
      <c r="G15" s="123">
        <f>'Maldives at LG Daily'!E18</f>
        <v>270</v>
      </c>
      <c r="H15" s="124">
        <v>1.24</v>
      </c>
      <c r="I15" s="123">
        <f>'Maldives at LG Daily'!AP18</f>
        <v>390</v>
      </c>
      <c r="J15" s="124">
        <v>0</v>
      </c>
      <c r="K15" s="123">
        <f>'Maldives at LG Daily'!BP18</f>
        <v>35.9</v>
      </c>
      <c r="L15" s="123">
        <f>'Maldives at LG Daily'!BQ18</f>
        <v>249</v>
      </c>
    </row>
    <row r="16" spans="1:12" ht="15" x14ac:dyDescent="0.25">
      <c r="A16" s="121" t="s">
        <v>106</v>
      </c>
      <c r="B16" s="121">
        <v>15</v>
      </c>
      <c r="C16" s="122">
        <v>11</v>
      </c>
      <c r="D16" s="121">
        <v>2022</v>
      </c>
      <c r="E16" s="123">
        <f>'Maldives at LG Daily'!D19</f>
        <v>25193</v>
      </c>
      <c r="F16" s="124">
        <v>0.27</v>
      </c>
      <c r="G16" s="123">
        <f>'Maldives at LG Daily'!E19</f>
        <v>225</v>
      </c>
      <c r="H16" s="124">
        <v>1.24</v>
      </c>
      <c r="I16" s="123">
        <f>'Maldives at LG Daily'!AP19</f>
        <v>332</v>
      </c>
      <c r="J16" s="124">
        <v>0</v>
      </c>
      <c r="K16" s="123">
        <f>'Maldives at LG Daily'!BP19</f>
        <v>46.6</v>
      </c>
      <c r="L16" s="123">
        <f>'Maldives at LG Daily'!BQ19</f>
        <v>281</v>
      </c>
    </row>
    <row r="17" spans="1:12" ht="15" x14ac:dyDescent="0.25">
      <c r="A17" s="121" t="s">
        <v>106</v>
      </c>
      <c r="B17" s="121">
        <v>16</v>
      </c>
      <c r="C17" s="122">
        <v>11</v>
      </c>
      <c r="D17" s="121">
        <v>2022</v>
      </c>
      <c r="E17" s="123">
        <f>'Maldives at LG Daily'!D20</f>
        <v>24884</v>
      </c>
      <c r="F17" s="124">
        <v>0.27</v>
      </c>
      <c r="G17" s="123">
        <f>'Maldives at LG Daily'!E20</f>
        <v>225</v>
      </c>
      <c r="H17" s="124">
        <v>1.24</v>
      </c>
      <c r="I17" s="123">
        <f>'Maldives at LG Daily'!AP20</f>
        <v>326</v>
      </c>
      <c r="J17" s="124">
        <v>0</v>
      </c>
      <c r="K17" s="123">
        <f>'Maldives at LG Daily'!BP20</f>
        <v>49.5</v>
      </c>
      <c r="L17" s="123">
        <f>'Maldives at LG Daily'!BQ20</f>
        <v>276</v>
      </c>
    </row>
    <row r="18" spans="1:12" ht="15" x14ac:dyDescent="0.25">
      <c r="A18" s="121" t="s">
        <v>106</v>
      </c>
      <c r="B18" s="121">
        <v>17</v>
      </c>
      <c r="C18" s="122">
        <v>11</v>
      </c>
      <c r="D18" s="121">
        <v>2022</v>
      </c>
      <c r="E18" s="123">
        <f>'Maldives at LG Daily'!D21</f>
        <v>23553</v>
      </c>
      <c r="F18" s="124">
        <v>0.27</v>
      </c>
      <c r="G18" s="123">
        <f>'Maldives at LG Daily'!E21</f>
        <v>180</v>
      </c>
      <c r="H18" s="124">
        <v>1.24</v>
      </c>
      <c r="I18" s="123">
        <f>'Maldives at LG Daily'!AP21</f>
        <v>312</v>
      </c>
      <c r="J18" s="124">
        <v>0</v>
      </c>
      <c r="K18" s="123">
        <f>'Maldives at LG Daily'!BP21</f>
        <v>41.7</v>
      </c>
      <c r="L18" s="123">
        <f>'Maldives at LG Daily'!BQ21</f>
        <v>255</v>
      </c>
    </row>
    <row r="19" spans="1:12" ht="15" x14ac:dyDescent="0.25">
      <c r="A19" s="121" t="s">
        <v>106</v>
      </c>
      <c r="B19" s="121">
        <v>18</v>
      </c>
      <c r="C19" s="122">
        <v>11</v>
      </c>
      <c r="D19" s="121">
        <v>2022</v>
      </c>
      <c r="E19" s="123">
        <f>'Maldives at LG Daily'!D22</f>
        <v>22974</v>
      </c>
      <c r="F19" s="124">
        <v>0.27</v>
      </c>
      <c r="G19" s="123">
        <f>'Maldives at LG Daily'!E22</f>
        <v>180</v>
      </c>
      <c r="H19" s="124">
        <v>1.24</v>
      </c>
      <c r="I19" s="123">
        <f>'Maldives at LG Daily'!AP22</f>
        <v>282</v>
      </c>
      <c r="J19" s="124">
        <v>0</v>
      </c>
      <c r="K19" s="123">
        <f>'Maldives at LG Daily'!BP22</f>
        <v>31.1</v>
      </c>
      <c r="L19" s="123">
        <f>'Maldives at LG Daily'!BQ22</f>
        <v>221</v>
      </c>
    </row>
    <row r="20" spans="1:12" ht="15" x14ac:dyDescent="0.25">
      <c r="A20" s="121" t="s">
        <v>106</v>
      </c>
      <c r="B20" s="121">
        <v>19</v>
      </c>
      <c r="C20" s="122">
        <v>11</v>
      </c>
      <c r="D20" s="121">
        <v>2022</v>
      </c>
      <c r="E20" s="123">
        <f>'Maldives at LG Daily'!D23</f>
        <v>23631</v>
      </c>
      <c r="F20" s="124">
        <v>0.27</v>
      </c>
      <c r="G20" s="123">
        <f>'Maldives at LG Daily'!E23</f>
        <v>225</v>
      </c>
      <c r="H20" s="124">
        <v>1.24</v>
      </c>
      <c r="I20" s="123">
        <f>'Maldives at LG Daily'!AP23</f>
        <v>233</v>
      </c>
      <c r="J20" s="124">
        <v>0</v>
      </c>
      <c r="K20" s="123">
        <f>'Maldives at LG Daily'!BP23</f>
        <v>33</v>
      </c>
      <c r="L20" s="123">
        <f>'Maldives at LG Daily'!BQ23</f>
        <v>241</v>
      </c>
    </row>
    <row r="21" spans="1:12" ht="15" x14ac:dyDescent="0.25">
      <c r="A21" s="121" t="s">
        <v>106</v>
      </c>
      <c r="B21" s="121">
        <v>20</v>
      </c>
      <c r="C21" s="122">
        <v>11</v>
      </c>
      <c r="D21" s="121">
        <v>2022</v>
      </c>
      <c r="E21" s="123">
        <f>'Maldives at LG Daily'!D24</f>
        <v>23020</v>
      </c>
      <c r="F21" s="124">
        <v>0.27</v>
      </c>
      <c r="G21" s="123">
        <f>'Maldives at LG Daily'!E24</f>
        <v>180</v>
      </c>
      <c r="H21" s="124">
        <v>1.24</v>
      </c>
      <c r="I21" s="123">
        <f>'Maldives at LG Daily'!AP24</f>
        <v>298</v>
      </c>
      <c r="J21" s="124">
        <v>0</v>
      </c>
      <c r="K21" s="123">
        <f>'Maldives at LG Daily'!BP24</f>
        <v>35</v>
      </c>
      <c r="L21" s="123">
        <f>'Maldives at LG Daily'!BQ24</f>
        <v>236</v>
      </c>
    </row>
    <row r="22" spans="1:12" ht="15" x14ac:dyDescent="0.25">
      <c r="A22" s="121" t="s">
        <v>106</v>
      </c>
      <c r="B22" s="121">
        <v>21</v>
      </c>
      <c r="C22" s="122">
        <v>11</v>
      </c>
      <c r="D22" s="121">
        <v>2022</v>
      </c>
      <c r="E22" s="123">
        <f>'Maldives at LG Daily'!D25</f>
        <v>23064</v>
      </c>
      <c r="F22" s="124">
        <v>0.27</v>
      </c>
      <c r="G22" s="123">
        <f>'Maldives at LG Daily'!E25</f>
        <v>270</v>
      </c>
      <c r="H22" s="124">
        <v>1.24</v>
      </c>
      <c r="I22" s="123">
        <f>'Maldives at LG Daily'!AP25</f>
        <v>260</v>
      </c>
      <c r="J22" s="124">
        <v>0</v>
      </c>
      <c r="K22" s="123">
        <f>'Maldives at LG Daily'!BP25</f>
        <v>35.9</v>
      </c>
      <c r="L22" s="123">
        <f>'Maldives at LG Daily'!BQ25</f>
        <v>238</v>
      </c>
    </row>
    <row r="23" spans="1:12" ht="15" x14ac:dyDescent="0.25">
      <c r="A23" s="121" t="s">
        <v>106</v>
      </c>
      <c r="B23" s="121">
        <v>22</v>
      </c>
      <c r="C23" s="122">
        <v>11</v>
      </c>
      <c r="D23" s="121">
        <v>2022</v>
      </c>
      <c r="E23" s="123">
        <f>'Maldives at LG Daily'!D26</f>
        <v>23114</v>
      </c>
      <c r="F23" s="124">
        <v>0.27</v>
      </c>
      <c r="G23" s="123">
        <f>'Maldives at LG Daily'!E26</f>
        <v>180</v>
      </c>
      <c r="H23" s="124">
        <v>1.24</v>
      </c>
      <c r="I23" s="123">
        <f>'Maldives at LG Daily'!AP26</f>
        <v>305</v>
      </c>
      <c r="J23" s="124">
        <v>0</v>
      </c>
      <c r="K23" s="123">
        <f>'Maldives at LG Daily'!BP26</f>
        <v>29.1</v>
      </c>
      <c r="L23" s="123">
        <f>'Maldives at LG Daily'!BQ26</f>
        <v>191</v>
      </c>
    </row>
    <row r="24" spans="1:12" ht="15" x14ac:dyDescent="0.25">
      <c r="A24" s="121" t="s">
        <v>106</v>
      </c>
      <c r="B24" s="121">
        <v>23</v>
      </c>
      <c r="C24" s="122">
        <v>11</v>
      </c>
      <c r="D24" s="121">
        <v>2022</v>
      </c>
      <c r="E24" s="123">
        <f>'Maldives at LG Daily'!D27</f>
        <v>24773</v>
      </c>
      <c r="F24" s="124">
        <v>0.27</v>
      </c>
      <c r="G24" s="123">
        <f>'Maldives at LG Daily'!E27</f>
        <v>270</v>
      </c>
      <c r="H24" s="124">
        <v>1.24</v>
      </c>
      <c r="I24" s="123">
        <f>'Maldives at LG Daily'!AP27</f>
        <v>299</v>
      </c>
      <c r="J24" s="124">
        <v>0</v>
      </c>
      <c r="K24" s="123">
        <f>'Maldives at LG Daily'!BP27</f>
        <v>40.799999999999997</v>
      </c>
      <c r="L24" s="123">
        <f>'Maldives at LG Daily'!BQ27</f>
        <v>304</v>
      </c>
    </row>
    <row r="25" spans="1:12" ht="15" x14ac:dyDescent="0.25">
      <c r="A25" s="121" t="s">
        <v>106</v>
      </c>
      <c r="B25" s="121">
        <v>24</v>
      </c>
      <c r="C25" s="122">
        <v>11</v>
      </c>
      <c r="D25" s="121">
        <v>2022</v>
      </c>
      <c r="E25" s="123">
        <f>'Maldives at LG Daily'!D28</f>
        <v>25497</v>
      </c>
      <c r="F25" s="124">
        <v>0.27</v>
      </c>
      <c r="G25" s="123">
        <f>'Maldives at LG Daily'!E28</f>
        <v>225</v>
      </c>
      <c r="H25" s="124">
        <v>1.24</v>
      </c>
      <c r="I25" s="123">
        <f>'Maldives at LG Daily'!AP28</f>
        <v>314</v>
      </c>
      <c r="J25" s="124">
        <v>0</v>
      </c>
      <c r="K25" s="123">
        <f>'Maldives at LG Daily'!BP28</f>
        <v>38.799999999999997</v>
      </c>
      <c r="L25" s="123">
        <f>'Maldives at LG Daily'!BQ28</f>
        <v>269</v>
      </c>
    </row>
    <row r="26" spans="1:12" ht="15" x14ac:dyDescent="0.25">
      <c r="A26" s="121" t="s">
        <v>106</v>
      </c>
      <c r="B26" s="121">
        <v>25</v>
      </c>
      <c r="C26" s="122">
        <v>11</v>
      </c>
      <c r="D26" s="121">
        <v>2022</v>
      </c>
      <c r="E26" s="123">
        <f>'Maldives at LG Daily'!D29</f>
        <v>25135</v>
      </c>
      <c r="F26" s="124">
        <v>0.27</v>
      </c>
      <c r="G26" s="123">
        <f>'Maldives at LG Daily'!E29</f>
        <v>225</v>
      </c>
      <c r="H26" s="124">
        <v>1.24</v>
      </c>
      <c r="I26" s="123">
        <f>'Maldives at LG Daily'!AP29</f>
        <v>348</v>
      </c>
      <c r="J26" s="124">
        <v>0</v>
      </c>
      <c r="K26" s="123">
        <f>'Maldives at LG Daily'!BP29</f>
        <v>39.799999999999997</v>
      </c>
      <c r="L26" s="123">
        <f>'Maldives at LG Daily'!BQ29</f>
        <v>302</v>
      </c>
    </row>
    <row r="27" spans="1:12" ht="15" x14ac:dyDescent="0.25">
      <c r="A27" s="121" t="s">
        <v>106</v>
      </c>
      <c r="B27" s="121">
        <v>26</v>
      </c>
      <c r="C27" s="122">
        <v>11</v>
      </c>
      <c r="D27" s="121">
        <v>2022</v>
      </c>
      <c r="E27" s="123">
        <f>'Maldives at LG Daily'!D30</f>
        <v>24819</v>
      </c>
      <c r="F27" s="124">
        <v>0.27</v>
      </c>
      <c r="G27" s="123">
        <f>'Maldives at LG Daily'!E30</f>
        <v>225</v>
      </c>
      <c r="H27" s="124">
        <v>1.24</v>
      </c>
      <c r="I27" s="123">
        <f>'Maldives at LG Daily'!AP30</f>
        <v>331</v>
      </c>
      <c r="J27" s="124">
        <v>0</v>
      </c>
      <c r="K27" s="123">
        <f>'Maldives at LG Daily'!BP30</f>
        <v>38.799999999999997</v>
      </c>
      <c r="L27" s="123">
        <f>'Maldives at LG Daily'!BQ30</f>
        <v>261</v>
      </c>
    </row>
    <row r="28" spans="1:12" ht="15" x14ac:dyDescent="0.25">
      <c r="A28" s="121" t="s">
        <v>106</v>
      </c>
      <c r="B28" s="121">
        <v>27</v>
      </c>
      <c r="C28" s="122">
        <v>11</v>
      </c>
      <c r="D28" s="121">
        <v>2022</v>
      </c>
      <c r="E28" s="123">
        <f>'Maldives at LG Daily'!D31</f>
        <v>24936</v>
      </c>
      <c r="F28" s="124">
        <v>0.27</v>
      </c>
      <c r="G28" s="123">
        <f>'Maldives at LG Daily'!E31</f>
        <v>270</v>
      </c>
      <c r="H28" s="124">
        <v>1.24</v>
      </c>
      <c r="I28" s="123">
        <f>'Maldives at LG Daily'!AP31</f>
        <v>347</v>
      </c>
      <c r="J28" s="124">
        <v>0</v>
      </c>
      <c r="K28" s="123">
        <f>'Maldives at LG Daily'!BP31</f>
        <v>35</v>
      </c>
      <c r="L28" s="123">
        <f>'Maldives at LG Daily'!BQ31</f>
        <v>249</v>
      </c>
    </row>
    <row r="29" spans="1:12" ht="15" x14ac:dyDescent="0.25">
      <c r="A29" s="121" t="s">
        <v>106</v>
      </c>
      <c r="B29" s="121">
        <v>28</v>
      </c>
      <c r="C29" s="122">
        <v>11</v>
      </c>
      <c r="D29" s="121">
        <v>2022</v>
      </c>
      <c r="E29" s="123">
        <f>'Maldives at LG Daily'!D32</f>
        <v>25219</v>
      </c>
      <c r="F29" s="124">
        <v>0.27</v>
      </c>
      <c r="G29" s="123">
        <f>'Maldives at LG Daily'!E32</f>
        <v>270</v>
      </c>
      <c r="H29" s="124">
        <v>1.24</v>
      </c>
      <c r="I29" s="123">
        <f>'Maldives at LG Daily'!AP32</f>
        <v>328</v>
      </c>
      <c r="J29" s="124">
        <v>0</v>
      </c>
      <c r="K29" s="123">
        <f>'Maldives at LG Daily'!BP32</f>
        <v>32</v>
      </c>
      <c r="L29" s="123">
        <f>'Maldives at LG Daily'!BQ32</f>
        <v>231</v>
      </c>
    </row>
    <row r="30" spans="1:12" ht="15" x14ac:dyDescent="0.25">
      <c r="A30" s="121" t="s">
        <v>106</v>
      </c>
      <c r="B30" s="121">
        <v>29</v>
      </c>
      <c r="C30" s="122">
        <v>11</v>
      </c>
      <c r="D30" s="121">
        <v>2022</v>
      </c>
      <c r="E30" s="123">
        <f>'Maldives at LG Daily'!D33</f>
        <v>25763</v>
      </c>
      <c r="F30" s="124">
        <v>0.27</v>
      </c>
      <c r="G30" s="123">
        <f>'Maldives at LG Daily'!E33</f>
        <v>180</v>
      </c>
      <c r="H30" s="124">
        <v>1.24</v>
      </c>
      <c r="I30" s="123">
        <f>'Maldives at LG Daily'!AP33</f>
        <v>340</v>
      </c>
      <c r="J30" s="124">
        <v>0</v>
      </c>
      <c r="K30" s="123">
        <f>'Maldives at LG Daily'!BP33</f>
        <v>38.799999999999997</v>
      </c>
      <c r="L30" s="123">
        <f>'Maldives at LG Daily'!BQ33</f>
        <v>296</v>
      </c>
    </row>
    <row r="31" spans="1:12" ht="15" x14ac:dyDescent="0.25">
      <c r="A31" s="121" t="s">
        <v>106</v>
      </c>
      <c r="B31" s="121">
        <v>30</v>
      </c>
      <c r="C31" s="122">
        <v>11</v>
      </c>
      <c r="D31" s="121">
        <v>2022</v>
      </c>
      <c r="E31" s="123">
        <f>'Maldives at LG Daily'!D34</f>
        <v>25963</v>
      </c>
      <c r="F31" s="124">
        <v>0.27</v>
      </c>
      <c r="G31" s="123">
        <f>'Maldives at LG Daily'!E34</f>
        <v>270</v>
      </c>
      <c r="H31" s="124">
        <v>2.2400000000000002</v>
      </c>
      <c r="I31" s="123">
        <f>'Maldives at LG Daily'!AP34</f>
        <v>353</v>
      </c>
      <c r="J31" s="124">
        <v>1</v>
      </c>
      <c r="K31" s="123">
        <f>'Maldives at LG Daily'!BP34</f>
        <v>35.9</v>
      </c>
      <c r="L31" s="123">
        <f>'Maldives at LG Daily'!BQ34</f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F90D-1D0D-4E74-8CD4-826DD259ADA3}">
  <dimension ref="A1:BM31"/>
  <sheetViews>
    <sheetView tabSelected="1" topLeftCell="AP1" workbookViewId="0">
      <selection activeCell="BM4" sqref="BM4"/>
    </sheetView>
  </sheetViews>
  <sheetFormatPr defaultRowHeight="12.75" x14ac:dyDescent="0.2"/>
  <cols>
    <col min="1" max="1" width="27.42578125" style="125" bestFit="1" customWidth="1"/>
    <col min="2" max="4" width="9.140625" style="125"/>
    <col min="5" max="5" width="10.7109375" style="125" customWidth="1"/>
    <col min="6" max="6" width="12.140625" style="125" customWidth="1"/>
    <col min="7" max="8" width="9.140625" style="125"/>
    <col min="9" max="9" width="10.85546875" style="125" customWidth="1"/>
    <col min="10" max="10" width="11.28515625" style="125" customWidth="1"/>
    <col min="11" max="16384" width="9.140625" style="125"/>
  </cols>
  <sheetData>
    <row r="1" spans="1:65" ht="90.75" thickBot="1" x14ac:dyDescent="0.25">
      <c r="A1" s="359" t="s">
        <v>97</v>
      </c>
      <c r="B1" s="359" t="s">
        <v>42</v>
      </c>
      <c r="C1" s="360" t="s">
        <v>3</v>
      </c>
      <c r="D1" s="359" t="s">
        <v>4</v>
      </c>
      <c r="E1" s="361" t="s">
        <v>18</v>
      </c>
      <c r="F1" s="362" t="s">
        <v>25</v>
      </c>
      <c r="G1" s="361" t="s">
        <v>28</v>
      </c>
      <c r="H1" s="362" t="s">
        <v>32</v>
      </c>
      <c r="I1" s="361" t="s">
        <v>34</v>
      </c>
      <c r="J1" s="361" t="s">
        <v>189</v>
      </c>
      <c r="K1" s="359" t="s">
        <v>150</v>
      </c>
      <c r="L1" s="359" t="s">
        <v>156</v>
      </c>
      <c r="M1" s="363" t="s">
        <v>45</v>
      </c>
      <c r="N1" s="363" t="s">
        <v>46</v>
      </c>
      <c r="O1" s="363" t="s">
        <v>47</v>
      </c>
      <c r="P1" s="363" t="s">
        <v>48</v>
      </c>
      <c r="Q1" s="363" t="s">
        <v>174</v>
      </c>
      <c r="R1" s="363" t="s">
        <v>173</v>
      </c>
      <c r="S1" s="363" t="s">
        <v>68</v>
      </c>
      <c r="T1" s="363" t="s">
        <v>66</v>
      </c>
      <c r="U1" s="363" t="s">
        <v>67</v>
      </c>
      <c r="V1" s="363" t="s">
        <v>151</v>
      </c>
      <c r="W1" s="363" t="s">
        <v>152</v>
      </c>
      <c r="X1" s="363" t="s">
        <v>133</v>
      </c>
      <c r="Y1" s="363" t="s">
        <v>153</v>
      </c>
      <c r="Z1" s="363" t="s">
        <v>154</v>
      </c>
      <c r="AA1" s="363" t="s">
        <v>63</v>
      </c>
      <c r="AB1" s="363" t="s">
        <v>54</v>
      </c>
      <c r="AC1" s="363" t="s">
        <v>55</v>
      </c>
      <c r="AD1" s="363" t="s">
        <v>56</v>
      </c>
      <c r="AE1" s="363" t="s">
        <v>57</v>
      </c>
      <c r="AF1" s="363" t="s">
        <v>65</v>
      </c>
      <c r="AG1" s="363" t="s">
        <v>76</v>
      </c>
      <c r="AH1" s="363" t="s">
        <v>77</v>
      </c>
      <c r="AI1" s="363" t="s">
        <v>78</v>
      </c>
      <c r="AJ1" s="363" t="s">
        <v>79</v>
      </c>
      <c r="AK1" s="363" t="s">
        <v>80</v>
      </c>
      <c r="AL1" s="363" t="s">
        <v>81</v>
      </c>
      <c r="AM1" s="364" t="s">
        <v>108</v>
      </c>
      <c r="AN1" s="364" t="s">
        <v>109</v>
      </c>
      <c r="AO1" s="364" t="s">
        <v>110</v>
      </c>
      <c r="AP1" s="364" t="s">
        <v>111</v>
      </c>
      <c r="AQ1" s="364" t="s">
        <v>190</v>
      </c>
      <c r="AR1" s="364" t="s">
        <v>191</v>
      </c>
      <c r="AS1" s="364" t="s">
        <v>192</v>
      </c>
      <c r="AT1" s="364" t="s">
        <v>194</v>
      </c>
      <c r="AU1" s="364" t="s">
        <v>195</v>
      </c>
      <c r="AV1" s="364" t="s">
        <v>197</v>
      </c>
      <c r="AW1" s="364" t="s">
        <v>199</v>
      </c>
      <c r="AX1" s="364" t="s">
        <v>201</v>
      </c>
      <c r="AY1" s="364" t="s">
        <v>202</v>
      </c>
      <c r="AZ1" s="364" t="s">
        <v>204</v>
      </c>
      <c r="BA1" s="364" t="s">
        <v>207</v>
      </c>
      <c r="BB1" s="364" t="s">
        <v>208</v>
      </c>
      <c r="BC1" s="364" t="s">
        <v>210</v>
      </c>
      <c r="BD1" s="364" t="s">
        <v>211</v>
      </c>
      <c r="BE1" s="364" t="s">
        <v>214</v>
      </c>
      <c r="BF1" s="364" t="s">
        <v>187</v>
      </c>
      <c r="BG1" s="364" t="s">
        <v>215</v>
      </c>
      <c r="BH1" s="364" t="s">
        <v>217</v>
      </c>
      <c r="BI1" s="364" t="s">
        <v>218</v>
      </c>
      <c r="BJ1" s="364" t="s">
        <v>219</v>
      </c>
      <c r="BK1" s="364" t="s">
        <v>221</v>
      </c>
      <c r="BL1" s="364" t="s">
        <v>96</v>
      </c>
      <c r="BM1" s="364" t="s">
        <v>164</v>
      </c>
    </row>
    <row r="2" spans="1:65" ht="16.5" thickTop="1" thickBot="1" x14ac:dyDescent="0.3">
      <c r="A2" s="365" t="s">
        <v>106</v>
      </c>
      <c r="B2" s="365">
        <v>1</v>
      </c>
      <c r="C2" s="366">
        <v>11</v>
      </c>
      <c r="D2" s="365">
        <v>2022</v>
      </c>
      <c r="E2" s="367">
        <f>'Maldives at LG Daily'!G5</f>
        <v>1746</v>
      </c>
      <c r="F2" s="367">
        <f>'Maldives at LG Daily'!H5</f>
        <v>9811</v>
      </c>
      <c r="G2" s="367">
        <f>'Maldives at LG Daily'!I5</f>
        <v>7417</v>
      </c>
      <c r="H2" s="367">
        <f>'Maldives at LG Daily'!J5</f>
        <v>0</v>
      </c>
      <c r="I2" s="367">
        <f>'Maldives at LG Daily'!K5</f>
        <v>5196</v>
      </c>
      <c r="J2" s="367">
        <f>'Maldives at LG Daily'!L5</f>
        <v>3680</v>
      </c>
      <c r="K2" s="367">
        <f>'Maldives at LG Daily'!M5</f>
        <v>3861</v>
      </c>
      <c r="L2" s="367">
        <f>'Maldives at LG Daily'!N5</f>
        <v>10978</v>
      </c>
      <c r="M2" s="367">
        <f>'Maldives at LG Daily'!O5</f>
        <v>2400</v>
      </c>
      <c r="N2" s="367">
        <f>'Maldives at LG Daily'!P5</f>
        <v>2791</v>
      </c>
      <c r="O2" s="367">
        <f>'Maldives at LG Daily'!Q5</f>
        <v>1800</v>
      </c>
      <c r="P2" s="367">
        <f>'Maldives at LG Daily'!R5</f>
        <v>465</v>
      </c>
      <c r="Q2" s="367">
        <f>'Maldives at LG Daily'!S5</f>
        <v>800</v>
      </c>
      <c r="R2" s="367">
        <f>'Maldives at LG Daily'!T5</f>
        <v>1200</v>
      </c>
      <c r="S2" s="367">
        <f>'Maldives at LG Daily'!U5</f>
        <v>4020</v>
      </c>
      <c r="T2" s="367">
        <f>'Maldives at LG Daily'!V5</f>
        <v>200</v>
      </c>
      <c r="U2" s="367">
        <f>'Maldives at LG Daily'!W5</f>
        <v>200</v>
      </c>
      <c r="V2" s="367">
        <f>'Maldives at LG Daily'!X5</f>
        <v>1100</v>
      </c>
      <c r="W2" s="367">
        <f>'Maldives at LG Daily'!Y5</f>
        <v>140</v>
      </c>
      <c r="X2" s="367">
        <f>'Maldives at LG Daily'!Z5</f>
        <v>420</v>
      </c>
      <c r="Y2" s="367">
        <f>'Maldives at LG Daily'!AA5</f>
        <v>1100</v>
      </c>
      <c r="Z2" s="367">
        <f>'Maldives at LG Daily'!AB5</f>
        <v>410</v>
      </c>
      <c r="AA2" s="367">
        <f>'Maldives at LG Daily'!AC5</f>
        <v>700</v>
      </c>
      <c r="AB2" s="367">
        <f>'Maldives at LG Daily'!AD5</f>
        <v>700</v>
      </c>
      <c r="AC2" s="367">
        <f>'Maldives at LG Daily'!AE5</f>
        <v>910</v>
      </c>
      <c r="AD2" s="367">
        <f>'Maldives at LG Daily'!AF5</f>
        <v>910</v>
      </c>
      <c r="AE2" s="367">
        <f>'Maldives at LG Daily'!AG5</f>
        <v>750</v>
      </c>
      <c r="AF2" s="367">
        <f>'Maldives at LG Daily'!AH5</f>
        <v>620</v>
      </c>
      <c r="AG2" s="367">
        <f>'Maldives at LG Daily'!AI5</f>
        <v>270</v>
      </c>
      <c r="AH2" s="367">
        <f>'Maldives at LG Daily'!AJ5</f>
        <v>140</v>
      </c>
      <c r="AI2" s="367">
        <f>'Maldives at LG Daily'!AK5</f>
        <v>890</v>
      </c>
      <c r="AJ2" s="367">
        <f>'Maldives at LG Daily'!AL5</f>
        <v>270</v>
      </c>
      <c r="AK2" s="367">
        <f>'Maldives at LG Daily'!AM5</f>
        <v>330</v>
      </c>
      <c r="AL2" s="367">
        <f>'Maldives at LG Daily'!AN5</f>
        <v>430</v>
      </c>
      <c r="AM2" s="367">
        <f>'Maldives at LG Daily'!AQ5</f>
        <v>222</v>
      </c>
      <c r="AN2" s="367">
        <f>'Maldives at LG Daily'!AR5</f>
        <v>0</v>
      </c>
      <c r="AO2" s="367">
        <f>'Maldives at LG Daily'!AS5</f>
        <v>50</v>
      </c>
      <c r="AP2" s="367">
        <f>'Maldives at LG Daily'!AT5</f>
        <v>110</v>
      </c>
      <c r="AQ2" s="367">
        <f>'Maldives at LG Daily'!AU5</f>
        <v>19</v>
      </c>
      <c r="AR2" s="367">
        <f>'Maldives at LG Daily'!AV5</f>
        <v>5</v>
      </c>
      <c r="AS2" s="367">
        <f>'Maldives at LG Daily'!AW5</f>
        <v>8</v>
      </c>
      <c r="AT2" s="367">
        <f>'Maldives at LG Daily'!AX5</f>
        <v>12</v>
      </c>
      <c r="AU2" s="367">
        <f>'Maldives at LG Daily'!AY5</f>
        <v>9</v>
      </c>
      <c r="AV2" s="367">
        <f>'Maldives at LG Daily'!AZ5</f>
        <v>6</v>
      </c>
      <c r="AW2" s="367">
        <f>'Maldives at LG Daily'!BA5</f>
        <v>18</v>
      </c>
      <c r="AX2" s="367">
        <f>'Maldives at LG Daily'!BB5</f>
        <v>8</v>
      </c>
      <c r="AY2" s="367">
        <f>'Maldives at LG Daily'!BC5</f>
        <v>2</v>
      </c>
      <c r="AZ2" s="367">
        <f>'Maldives at LG Daily'!BD5</f>
        <v>0</v>
      </c>
      <c r="BA2" s="367">
        <f>'Maldives at LG Daily'!BE5</f>
        <v>2</v>
      </c>
      <c r="BB2" s="367">
        <f>'Maldives at LG Daily'!BF5</f>
        <v>3</v>
      </c>
      <c r="BC2" s="367">
        <f>'Maldives at LG Daily'!BG5</f>
        <v>50</v>
      </c>
      <c r="BD2" s="367">
        <f>'Maldives at LG Daily'!BH5</f>
        <v>8</v>
      </c>
      <c r="BE2" s="367">
        <f>'Maldives at LG Daily'!BI5</f>
        <v>1</v>
      </c>
      <c r="BF2" s="367">
        <f>'Maldives at LG Daily'!BJ5</f>
        <v>1</v>
      </c>
      <c r="BG2" s="367">
        <f>'Maldives at LG Daily'!BK5</f>
        <v>6</v>
      </c>
      <c r="BH2" s="367">
        <f>'Maldives at LG Daily'!BL5</f>
        <v>3</v>
      </c>
      <c r="BI2" s="367">
        <f>'Maldives at LG Daily'!BM5</f>
        <v>40</v>
      </c>
      <c r="BJ2" s="367">
        <f>'Maldives at LG Daily'!BN5</f>
        <v>2</v>
      </c>
      <c r="BK2" s="451">
        <f>'Maldives at LG Daily'!BO5</f>
        <v>2</v>
      </c>
      <c r="BL2" s="451">
        <f>'Rooms nights and Food Covers'!B5</f>
        <v>30.1</v>
      </c>
      <c r="BM2" s="451">
        <f>'Rooms nights and Food Covers'!C5</f>
        <v>244</v>
      </c>
    </row>
    <row r="3" spans="1:65" ht="15.75" thickBot="1" x14ac:dyDescent="0.3">
      <c r="A3" s="368" t="s">
        <v>106</v>
      </c>
      <c r="B3" s="368">
        <v>2</v>
      </c>
      <c r="C3" s="369">
        <v>11</v>
      </c>
      <c r="D3" s="368">
        <v>2022</v>
      </c>
      <c r="E3" s="367">
        <f>'Maldives at LG Daily'!G6</f>
        <v>5831</v>
      </c>
      <c r="F3" s="367">
        <f>'Maldives at LG Daily'!H6</f>
        <v>9777</v>
      </c>
      <c r="G3" s="367">
        <f>'Maldives at LG Daily'!I6</f>
        <v>7500</v>
      </c>
      <c r="H3" s="367">
        <f>'Maldives at LG Daily'!J6</f>
        <v>0</v>
      </c>
      <c r="I3" s="367">
        <f>'Maldives at LG Daily'!K6</f>
        <v>1916</v>
      </c>
      <c r="J3" s="367">
        <f>'Maldives at LG Daily'!L6</f>
        <v>4018</v>
      </c>
      <c r="K3" s="367">
        <f>'Maldives at LG Daily'!M6</f>
        <v>3979</v>
      </c>
      <c r="L3" s="367">
        <f>'Maldives at LG Daily'!N6</f>
        <v>11389</v>
      </c>
      <c r="M3" s="367">
        <f>'Maldives at LG Daily'!O6</f>
        <v>2600</v>
      </c>
      <c r="N3" s="367">
        <f>'Maldives at LG Daily'!P6</f>
        <v>2867</v>
      </c>
      <c r="O3" s="367">
        <f>'Maldives at LG Daily'!Q6</f>
        <v>1700</v>
      </c>
      <c r="P3" s="367">
        <f>'Maldives at LG Daily'!R6</f>
        <v>520</v>
      </c>
      <c r="Q3" s="367">
        <f>'Maldives at LG Daily'!S6</f>
        <v>700</v>
      </c>
      <c r="R3" s="367">
        <f>'Maldives at LG Daily'!T6</f>
        <v>1300</v>
      </c>
      <c r="S3" s="367">
        <f>'Maldives at LG Daily'!U6</f>
        <v>4310</v>
      </c>
      <c r="T3" s="367">
        <f>'Maldives at LG Daily'!V6</f>
        <v>300</v>
      </c>
      <c r="U3" s="367">
        <f>'Maldives at LG Daily'!W6</f>
        <v>300</v>
      </c>
      <c r="V3" s="367">
        <f>'Maldives at LG Daily'!X6</f>
        <v>500</v>
      </c>
      <c r="W3" s="367">
        <f>'Maldives at LG Daily'!Y6</f>
        <v>170</v>
      </c>
      <c r="X3" s="367">
        <f>'Maldives at LG Daily'!Z6</f>
        <v>370</v>
      </c>
      <c r="Y3" s="367">
        <f>'Maldives at LG Daily'!AA6</f>
        <v>1200</v>
      </c>
      <c r="Z3" s="367">
        <f>'Maldives at LG Daily'!AB6</f>
        <v>420</v>
      </c>
      <c r="AA3" s="367">
        <f>'Maldives at LG Daily'!AC6</f>
        <v>840</v>
      </c>
      <c r="AB3" s="367">
        <f>'Maldives at LG Daily'!AD6</f>
        <v>760</v>
      </c>
      <c r="AC3" s="367">
        <f>'Maldives at LG Daily'!AE6</f>
        <v>980</v>
      </c>
      <c r="AD3" s="367">
        <f>'Maldives at LG Daily'!AF6</f>
        <v>980</v>
      </c>
      <c r="AE3" s="367">
        <f>'Maldives at LG Daily'!AG6</f>
        <v>700</v>
      </c>
      <c r="AF3" s="367">
        <f>'Maldives at LG Daily'!AH6</f>
        <v>670</v>
      </c>
      <c r="AG3" s="367">
        <f>'Maldives at LG Daily'!AI6</f>
        <v>310</v>
      </c>
      <c r="AH3" s="367">
        <f>'Maldives at LG Daily'!AJ6</f>
        <v>130</v>
      </c>
      <c r="AI3" s="367">
        <f>'Maldives at LG Daily'!AK6</f>
        <v>1000</v>
      </c>
      <c r="AJ3" s="367">
        <f>'Maldives at LG Daily'!AL6</f>
        <v>290</v>
      </c>
      <c r="AK3" s="367">
        <f>'Maldives at LG Daily'!AM6</f>
        <v>350</v>
      </c>
      <c r="AL3" s="367">
        <f>'Maldives at LG Daily'!AN6</f>
        <v>500</v>
      </c>
      <c r="AM3" s="367">
        <f>'Maldives at LG Daily'!AQ6</f>
        <v>205</v>
      </c>
      <c r="AN3" s="367">
        <f>'Maldives at LG Daily'!AR6</f>
        <v>0</v>
      </c>
      <c r="AO3" s="367">
        <f>'Maldives at LG Daily'!AS6</f>
        <v>34</v>
      </c>
      <c r="AP3" s="367">
        <f>'Maldives at LG Daily'!AT6</f>
        <v>113</v>
      </c>
      <c r="AQ3" s="367">
        <f>'Maldives at LG Daily'!AU6</f>
        <v>21</v>
      </c>
      <c r="AR3" s="367">
        <f>'Maldives at LG Daily'!AV6</f>
        <v>6</v>
      </c>
      <c r="AS3" s="367">
        <f>'Maldives at LG Daily'!AW6</f>
        <v>10</v>
      </c>
      <c r="AT3" s="367">
        <f>'Maldives at LG Daily'!AX6</f>
        <v>12</v>
      </c>
      <c r="AU3" s="367">
        <f>'Maldives at LG Daily'!AY6</f>
        <v>9</v>
      </c>
      <c r="AV3" s="367">
        <f>'Maldives at LG Daily'!AZ6</f>
        <v>7</v>
      </c>
      <c r="AW3" s="367">
        <f>'Maldives at LG Daily'!BA6</f>
        <v>10</v>
      </c>
      <c r="AX3" s="367">
        <f>'Maldives at LG Daily'!BB6</f>
        <v>8</v>
      </c>
      <c r="AY3" s="367">
        <f>'Maldives at LG Daily'!BC6</f>
        <v>1</v>
      </c>
      <c r="AZ3" s="367">
        <f>'Maldives at LG Daily'!BD6</f>
        <v>3</v>
      </c>
      <c r="BA3" s="367">
        <f>'Maldives at LG Daily'!BE6</f>
        <v>2</v>
      </c>
      <c r="BB3" s="367">
        <f>'Maldives at LG Daily'!BF6</f>
        <v>1</v>
      </c>
      <c r="BC3" s="367">
        <f>'Maldives at LG Daily'!BG6</f>
        <v>26</v>
      </c>
      <c r="BD3" s="367">
        <f>'Maldives at LG Daily'!BH6</f>
        <v>9</v>
      </c>
      <c r="BE3" s="367">
        <f>'Maldives at LG Daily'!BI6</f>
        <v>0</v>
      </c>
      <c r="BF3" s="367">
        <f>'Maldives at LG Daily'!BJ6</f>
        <v>1</v>
      </c>
      <c r="BG3" s="367">
        <f>'Maldives at LG Daily'!BK6</f>
        <v>2</v>
      </c>
      <c r="BH3" s="367">
        <f>'Maldives at LG Daily'!BL6</f>
        <v>2</v>
      </c>
      <c r="BI3" s="367">
        <f>'Maldives at LG Daily'!BM6</f>
        <v>30</v>
      </c>
      <c r="BJ3" s="367">
        <f>'Maldives at LG Daily'!BN6</f>
        <v>6</v>
      </c>
      <c r="BK3" s="367">
        <f>'Maldives at LG Daily'!BO6</f>
        <v>0</v>
      </c>
      <c r="BL3" s="451">
        <f>'Rooms nights and Food Covers'!B6</f>
        <v>34</v>
      </c>
      <c r="BM3" s="451">
        <f>'Rooms nights and Food Covers'!C6</f>
        <v>237</v>
      </c>
    </row>
    <row r="4" spans="1:65" ht="15.75" thickBot="1" x14ac:dyDescent="0.3">
      <c r="A4" s="368" t="s">
        <v>106</v>
      </c>
      <c r="B4" s="368">
        <v>3</v>
      </c>
      <c r="C4" s="369">
        <v>11</v>
      </c>
      <c r="D4" s="368">
        <v>2022</v>
      </c>
      <c r="E4" s="367">
        <f>'Maldives at LG Daily'!G7</f>
        <v>7475</v>
      </c>
      <c r="F4" s="367">
        <f>'Maldives at LG Daily'!H7</f>
        <v>6525</v>
      </c>
      <c r="G4" s="367">
        <f>'Maldives at LG Daily'!I7</f>
        <v>4471</v>
      </c>
      <c r="H4" s="367">
        <f>'Maldives at LG Daily'!J7</f>
        <v>0</v>
      </c>
      <c r="I4" s="367">
        <f>'Maldives at LG Daily'!K7</f>
        <v>6769</v>
      </c>
      <c r="J4" s="367">
        <f>'Maldives at LG Daily'!L7</f>
        <v>3803</v>
      </c>
      <c r="K4" s="367">
        <f>'Maldives at LG Daily'!M7</f>
        <v>4138</v>
      </c>
      <c r="L4" s="367">
        <f>'Maldives at LG Daily'!N7</f>
        <v>11452</v>
      </c>
      <c r="M4" s="367">
        <f>'Maldives at LG Daily'!O7</f>
        <v>2600</v>
      </c>
      <c r="N4" s="367">
        <f>'Maldives at LG Daily'!P7</f>
        <v>2789</v>
      </c>
      <c r="O4" s="367">
        <f>'Maldives at LG Daily'!Q7</f>
        <v>1700</v>
      </c>
      <c r="P4" s="367">
        <f>'Maldives at LG Daily'!R7</f>
        <v>498</v>
      </c>
      <c r="Q4" s="367">
        <f>'Maldives at LG Daily'!S7</f>
        <v>800</v>
      </c>
      <c r="R4" s="367">
        <f>'Maldives at LG Daily'!T7</f>
        <v>1300</v>
      </c>
      <c r="S4" s="367">
        <f>'Maldives at LG Daily'!U7</f>
        <v>4080</v>
      </c>
      <c r="T4" s="367">
        <f>'Maldives at LG Daily'!V7</f>
        <v>300</v>
      </c>
      <c r="U4" s="367">
        <f>'Maldives at LG Daily'!W7</f>
        <v>300</v>
      </c>
      <c r="V4" s="367">
        <f>'Maldives at LG Daily'!X7</f>
        <v>600</v>
      </c>
      <c r="W4" s="367">
        <f>'Maldives at LG Daily'!Y7</f>
        <v>160</v>
      </c>
      <c r="X4" s="367">
        <f>'Maldives at LG Daily'!Z7</f>
        <v>440</v>
      </c>
      <c r="Y4" s="367">
        <f>'Maldives at LG Daily'!AA7</f>
        <v>1100</v>
      </c>
      <c r="Z4" s="367">
        <f>'Maldives at LG Daily'!AB7</f>
        <v>510</v>
      </c>
      <c r="AA4" s="367">
        <f>'Maldives at LG Daily'!AC7</f>
        <v>960</v>
      </c>
      <c r="AB4" s="367">
        <f>'Maldives at LG Daily'!AD7</f>
        <v>760</v>
      </c>
      <c r="AC4" s="367">
        <f>'Maldives at LG Daily'!AE7</f>
        <v>1100</v>
      </c>
      <c r="AD4" s="367">
        <f>'Maldives at LG Daily'!AF7</f>
        <v>1100</v>
      </c>
      <c r="AE4" s="367">
        <f>'Maldives at LG Daily'!AG7</f>
        <v>710</v>
      </c>
      <c r="AF4" s="367">
        <f>'Maldives at LG Daily'!AH7</f>
        <v>670</v>
      </c>
      <c r="AG4" s="367">
        <f>'Maldives at LG Daily'!AI7</f>
        <v>300</v>
      </c>
      <c r="AH4" s="367">
        <f>'Maldives at LG Daily'!AJ7</f>
        <v>130</v>
      </c>
      <c r="AI4" s="367">
        <f>'Maldives at LG Daily'!AK7</f>
        <v>890</v>
      </c>
      <c r="AJ4" s="367">
        <f>'Maldives at LG Daily'!AL7</f>
        <v>270</v>
      </c>
      <c r="AK4" s="367">
        <f>'Maldives at LG Daily'!AM7</f>
        <v>350</v>
      </c>
      <c r="AL4" s="367">
        <f>'Maldives at LG Daily'!AN7</f>
        <v>460</v>
      </c>
      <c r="AM4" s="367">
        <f>'Maldives at LG Daily'!AQ7</f>
        <v>239</v>
      </c>
      <c r="AN4" s="367">
        <f>'Maldives at LG Daily'!AR7</f>
        <v>0</v>
      </c>
      <c r="AO4" s="367">
        <f>'Maldives at LG Daily'!AS7</f>
        <v>24</v>
      </c>
      <c r="AP4" s="367">
        <f>'Maldives at LG Daily'!AT7</f>
        <v>122</v>
      </c>
      <c r="AQ4" s="367">
        <f>'Maldives at LG Daily'!AU7</f>
        <v>20</v>
      </c>
      <c r="AR4" s="367">
        <f>'Maldives at LG Daily'!AV7</f>
        <v>8</v>
      </c>
      <c r="AS4" s="367">
        <f>'Maldives at LG Daily'!AW7</f>
        <v>9</v>
      </c>
      <c r="AT4" s="367">
        <f>'Maldives at LG Daily'!AX7</f>
        <v>12</v>
      </c>
      <c r="AU4" s="367">
        <f>'Maldives at LG Daily'!AY7</f>
        <v>8</v>
      </c>
      <c r="AV4" s="367">
        <f>'Maldives at LG Daily'!AZ7</f>
        <v>7</v>
      </c>
      <c r="AW4" s="367">
        <f>'Maldives at LG Daily'!BA7</f>
        <v>9</v>
      </c>
      <c r="AX4" s="367">
        <f>'Maldives at LG Daily'!BB7</f>
        <v>8</v>
      </c>
      <c r="AY4" s="367">
        <f>'Maldives at LG Daily'!BC7</f>
        <v>1</v>
      </c>
      <c r="AZ4" s="367">
        <f>'Maldives at LG Daily'!BD7</f>
        <v>0</v>
      </c>
      <c r="BA4" s="367">
        <f>'Maldives at LG Daily'!BE7</f>
        <v>6</v>
      </c>
      <c r="BB4" s="367">
        <f>'Maldives at LG Daily'!BF7</f>
        <v>2</v>
      </c>
      <c r="BC4" s="367">
        <f>'Maldives at LG Daily'!BG7</f>
        <v>24</v>
      </c>
      <c r="BD4" s="367">
        <f>'Maldives at LG Daily'!BH7</f>
        <v>7</v>
      </c>
      <c r="BE4" s="367">
        <f>'Maldives at LG Daily'!BI7</f>
        <v>2</v>
      </c>
      <c r="BF4" s="367">
        <f>'Maldives at LG Daily'!BJ7</f>
        <v>6</v>
      </c>
      <c r="BG4" s="367">
        <f>'Maldives at LG Daily'!BK7</f>
        <v>2</v>
      </c>
      <c r="BH4" s="367">
        <f>'Maldives at LG Daily'!BL7</f>
        <v>2</v>
      </c>
      <c r="BI4" s="367">
        <f>'Maldives at LG Daily'!BM7</f>
        <v>20</v>
      </c>
      <c r="BJ4" s="367">
        <f>'Maldives at LG Daily'!BN7</f>
        <v>0</v>
      </c>
      <c r="BK4" s="367">
        <f>'Maldives at LG Daily'!BO7</f>
        <v>0</v>
      </c>
      <c r="BL4" s="451">
        <f>'Rooms nights and Food Covers'!B7</f>
        <v>34</v>
      </c>
      <c r="BM4" s="451">
        <f>'Rooms nights and Food Covers'!C7</f>
        <v>307</v>
      </c>
    </row>
    <row r="5" spans="1:65" ht="15.75" thickBot="1" x14ac:dyDescent="0.3">
      <c r="A5" s="368" t="s">
        <v>106</v>
      </c>
      <c r="B5" s="368">
        <v>4</v>
      </c>
      <c r="C5" s="369">
        <v>11</v>
      </c>
      <c r="D5" s="368">
        <v>2022</v>
      </c>
      <c r="E5" s="367">
        <f>'Maldives at LG Daily'!G8</f>
        <v>9100</v>
      </c>
      <c r="F5" s="367">
        <f>'Maldives at LG Daily'!H8</f>
        <v>2952</v>
      </c>
      <c r="G5" s="367">
        <f>'Maldives at LG Daily'!I8</f>
        <v>9160</v>
      </c>
      <c r="H5" s="367">
        <f>'Maldives at LG Daily'!J8</f>
        <v>0</v>
      </c>
      <c r="I5" s="367">
        <f>'Maldives at LG Daily'!K8</f>
        <v>5279</v>
      </c>
      <c r="J5" s="367">
        <f>'Maldives at LG Daily'!L8</f>
        <v>4186</v>
      </c>
      <c r="K5" s="367">
        <f>'Maldives at LG Daily'!M8</f>
        <v>4483</v>
      </c>
      <c r="L5" s="367">
        <f>'Maldives at LG Daily'!N8</f>
        <v>11928</v>
      </c>
      <c r="M5" s="367">
        <f>'Maldives at LG Daily'!O8</f>
        <v>2500</v>
      </c>
      <c r="N5" s="367">
        <f>'Maldives at LG Daily'!P8</f>
        <v>2833</v>
      </c>
      <c r="O5" s="367">
        <f>'Maldives at LG Daily'!Q8</f>
        <v>2000</v>
      </c>
      <c r="P5" s="367">
        <f>'Maldives at LG Daily'!R8</f>
        <v>481</v>
      </c>
      <c r="Q5" s="367">
        <f>'Maldives at LG Daily'!S8</f>
        <v>800</v>
      </c>
      <c r="R5" s="367">
        <f>'Maldives at LG Daily'!T8</f>
        <v>1300</v>
      </c>
      <c r="S5" s="367">
        <f>'Maldives at LG Daily'!U8</f>
        <v>4080</v>
      </c>
      <c r="T5" s="367">
        <f>'Maldives at LG Daily'!V8</f>
        <v>300</v>
      </c>
      <c r="U5" s="367">
        <f>'Maldives at LG Daily'!W8</f>
        <v>300</v>
      </c>
      <c r="V5" s="367">
        <f>'Maldives at LG Daily'!X8</f>
        <v>0</v>
      </c>
      <c r="W5" s="367">
        <f>'Maldives at LG Daily'!Y8</f>
        <v>160</v>
      </c>
      <c r="X5" s="367">
        <f>'Maldives at LG Daily'!Z8</f>
        <v>420</v>
      </c>
      <c r="Y5" s="367">
        <f>'Maldives at LG Daily'!AA8</f>
        <v>1100</v>
      </c>
      <c r="Z5" s="367">
        <f>'Maldives at LG Daily'!AB8</f>
        <v>450</v>
      </c>
      <c r="AA5" s="367">
        <f>'Maldives at LG Daily'!AC8</f>
        <v>980</v>
      </c>
      <c r="AB5" s="367">
        <f>'Maldives at LG Daily'!AD8</f>
        <v>850</v>
      </c>
      <c r="AC5" s="367">
        <f>'Maldives at LG Daily'!AE8</f>
        <v>1250</v>
      </c>
      <c r="AD5" s="367">
        <f>'Maldives at LG Daily'!AF8</f>
        <v>1250</v>
      </c>
      <c r="AE5" s="367">
        <f>'Maldives at LG Daily'!AG8</f>
        <v>790</v>
      </c>
      <c r="AF5" s="367">
        <f>'Maldives at LG Daily'!AH8</f>
        <v>640</v>
      </c>
      <c r="AG5" s="367">
        <f>'Maldives at LG Daily'!AI8</f>
        <v>290</v>
      </c>
      <c r="AH5" s="367">
        <f>'Maldives at LG Daily'!AJ8</f>
        <v>170</v>
      </c>
      <c r="AI5" s="367">
        <f>'Maldives at LG Daily'!AK8</f>
        <v>960</v>
      </c>
      <c r="AJ5" s="367">
        <f>'Maldives at LG Daily'!AL8</f>
        <v>250</v>
      </c>
      <c r="AK5" s="367">
        <f>'Maldives at LG Daily'!AM8</f>
        <v>0</v>
      </c>
      <c r="AL5" s="367">
        <f>'Maldives at LG Daily'!AN8</f>
        <v>0</v>
      </c>
      <c r="AM5" s="367">
        <f>'Maldives at LG Daily'!AQ8</f>
        <v>230</v>
      </c>
      <c r="AN5" s="367">
        <f>'Maldives at LG Daily'!AR8</f>
        <v>0</v>
      </c>
      <c r="AO5" s="367">
        <f>'Maldives at LG Daily'!AS8</f>
        <v>1</v>
      </c>
      <c r="AP5" s="367">
        <f>'Maldives at LG Daily'!AT8</f>
        <v>144</v>
      </c>
      <c r="AQ5" s="367">
        <f>'Maldives at LG Daily'!AU8</f>
        <v>21</v>
      </c>
      <c r="AR5" s="367">
        <f>'Maldives at LG Daily'!AV8</f>
        <v>4</v>
      </c>
      <c r="AS5" s="367">
        <f>'Maldives at LG Daily'!AW8</f>
        <v>9</v>
      </c>
      <c r="AT5" s="367">
        <f>'Maldives at LG Daily'!AX8</f>
        <v>13</v>
      </c>
      <c r="AU5" s="367">
        <f>'Maldives at LG Daily'!AY8</f>
        <v>8</v>
      </c>
      <c r="AV5" s="367">
        <f>'Maldives at LG Daily'!AZ8</f>
        <v>6</v>
      </c>
      <c r="AW5" s="367">
        <f>'Maldives at LG Daily'!BA8</f>
        <v>9</v>
      </c>
      <c r="AX5" s="367">
        <f>'Maldives at LG Daily'!BB8</f>
        <v>8</v>
      </c>
      <c r="AY5" s="367">
        <f>'Maldives at LG Daily'!BC8</f>
        <v>0</v>
      </c>
      <c r="AZ5" s="367">
        <f>'Maldives at LG Daily'!BD8</f>
        <v>0</v>
      </c>
      <c r="BA5" s="367">
        <f>'Maldives at LG Daily'!BE8</f>
        <v>3</v>
      </c>
      <c r="BB5" s="367">
        <f>'Maldives at LG Daily'!BF8</f>
        <v>0</v>
      </c>
      <c r="BC5" s="367">
        <f>'Maldives at LG Daily'!BG8</f>
        <v>0</v>
      </c>
      <c r="BD5" s="367">
        <f>'Maldives at LG Daily'!BH8</f>
        <v>0</v>
      </c>
      <c r="BE5" s="367">
        <f>'Maldives at LG Daily'!BI8</f>
        <v>0</v>
      </c>
      <c r="BF5" s="367">
        <f>'Maldives at LG Daily'!BJ8</f>
        <v>2</v>
      </c>
      <c r="BG5" s="367">
        <f>'Maldives at LG Daily'!BK8</f>
        <v>2</v>
      </c>
      <c r="BH5" s="367">
        <f>'Maldives at LG Daily'!BL8</f>
        <v>2</v>
      </c>
      <c r="BI5" s="367">
        <f>'Maldives at LG Daily'!BM8</f>
        <v>0</v>
      </c>
      <c r="BJ5" s="367">
        <f>'Maldives at LG Daily'!BN8</f>
        <v>0</v>
      </c>
      <c r="BK5" s="367">
        <f>'Maldives at LG Daily'!BO8</f>
        <v>0</v>
      </c>
      <c r="BL5" s="451">
        <f>'Rooms nights and Food Covers'!B8</f>
        <v>40.799999999999997</v>
      </c>
      <c r="BM5" s="451">
        <f>'Rooms nights and Food Covers'!C8</f>
        <v>306</v>
      </c>
    </row>
    <row r="6" spans="1:65" ht="15.75" thickBot="1" x14ac:dyDescent="0.3">
      <c r="A6" s="368" t="s">
        <v>106</v>
      </c>
      <c r="B6" s="368">
        <v>5</v>
      </c>
      <c r="C6" s="369">
        <v>11</v>
      </c>
      <c r="D6" s="368">
        <v>2022</v>
      </c>
      <c r="E6" s="367">
        <f>'Maldives at LG Daily'!G9</f>
        <v>9784</v>
      </c>
      <c r="F6" s="367">
        <f>'Maldives at LG Daily'!H9</f>
        <v>834</v>
      </c>
      <c r="G6" s="367">
        <f>'Maldives at LG Daily'!I9</f>
        <v>5744</v>
      </c>
      <c r="H6" s="367">
        <f>'Maldives at LG Daily'!J9</f>
        <v>0</v>
      </c>
      <c r="I6" s="367">
        <f>'Maldives at LG Daily'!K9</f>
        <v>9784</v>
      </c>
      <c r="J6" s="367">
        <f>'Maldives at LG Daily'!L9</f>
        <v>4156</v>
      </c>
      <c r="K6" s="367">
        <f>'Maldives at LG Daily'!M9</f>
        <v>4344</v>
      </c>
      <c r="L6" s="367">
        <f>'Maldives at LG Daily'!N9</f>
        <v>11380</v>
      </c>
      <c r="M6" s="367">
        <f>'Maldives at LG Daily'!O9</f>
        <v>2500</v>
      </c>
      <c r="N6" s="367">
        <f>'Maldives at LG Daily'!P9</f>
        <v>2773</v>
      </c>
      <c r="O6" s="367">
        <f>'Maldives at LG Daily'!Q9</f>
        <v>1700</v>
      </c>
      <c r="P6" s="367">
        <f>'Maldives at LG Daily'!R9</f>
        <v>494</v>
      </c>
      <c r="Q6" s="367">
        <f>'Maldives at LG Daily'!S9</f>
        <v>700</v>
      </c>
      <c r="R6" s="367">
        <f>'Maldives at LG Daily'!T9</f>
        <v>1400</v>
      </c>
      <c r="S6" s="367">
        <f>'Maldives at LG Daily'!U9</f>
        <v>3790</v>
      </c>
      <c r="T6" s="367">
        <f>'Maldives at LG Daily'!V9</f>
        <v>300</v>
      </c>
      <c r="U6" s="367">
        <f>'Maldives at LG Daily'!W9</f>
        <v>300</v>
      </c>
      <c r="V6" s="367">
        <f>'Maldives at LG Daily'!X9</f>
        <v>500</v>
      </c>
      <c r="W6" s="367">
        <f>'Maldives at LG Daily'!Y9</f>
        <v>160</v>
      </c>
      <c r="X6" s="367">
        <f>'Maldives at LG Daily'!Z9</f>
        <v>400</v>
      </c>
      <c r="Y6" s="367">
        <f>'Maldives at LG Daily'!AA9</f>
        <v>1200</v>
      </c>
      <c r="Z6" s="367">
        <f>'Maldives at LG Daily'!AB9</f>
        <v>430</v>
      </c>
      <c r="AA6" s="367">
        <f>'Maldives at LG Daily'!AC9</f>
        <v>870</v>
      </c>
      <c r="AB6" s="367">
        <f>'Maldives at LG Daily'!AD9</f>
        <v>870</v>
      </c>
      <c r="AC6" s="367">
        <f>'Maldives at LG Daily'!AE9</f>
        <v>1130</v>
      </c>
      <c r="AD6" s="367">
        <f>'Maldives at LG Daily'!AF9</f>
        <v>1130</v>
      </c>
      <c r="AE6" s="367">
        <f>'Maldives at LG Daily'!AG9</f>
        <v>750</v>
      </c>
      <c r="AF6" s="367">
        <f>'Maldives at LG Daily'!AH9</f>
        <v>640</v>
      </c>
      <c r="AG6" s="367">
        <f>'Maldives at LG Daily'!AI9</f>
        <v>270</v>
      </c>
      <c r="AH6" s="367">
        <f>'Maldives at LG Daily'!AJ9</f>
        <v>150</v>
      </c>
      <c r="AI6" s="367">
        <f>'Maldives at LG Daily'!AK9</f>
        <v>930</v>
      </c>
      <c r="AJ6" s="367">
        <f>'Maldives at LG Daily'!AL9</f>
        <v>250</v>
      </c>
      <c r="AK6" s="367">
        <f>'Maldives at LG Daily'!AM9</f>
        <v>580</v>
      </c>
      <c r="AL6" s="367">
        <f>'Maldives at LG Daily'!AN9</f>
        <v>920</v>
      </c>
      <c r="AM6" s="367">
        <f>'Maldives at LG Daily'!AQ9</f>
        <v>213</v>
      </c>
      <c r="AN6" s="367">
        <f>'Maldives at LG Daily'!AR9</f>
        <v>0</v>
      </c>
      <c r="AO6" s="367">
        <f>'Maldives at LG Daily'!AS9</f>
        <v>29</v>
      </c>
      <c r="AP6" s="367">
        <f>'Maldives at LG Daily'!AT9</f>
        <v>129</v>
      </c>
      <c r="AQ6" s="367">
        <f>'Maldives at LG Daily'!AU9</f>
        <v>21</v>
      </c>
      <c r="AR6" s="367">
        <f>'Maldives at LG Daily'!AV9</f>
        <v>6</v>
      </c>
      <c r="AS6" s="367">
        <f>'Maldives at LG Daily'!AW9</f>
        <v>10</v>
      </c>
      <c r="AT6" s="367">
        <f>'Maldives at LG Daily'!AX9</f>
        <v>13</v>
      </c>
      <c r="AU6" s="367">
        <f>'Maldives at LG Daily'!AY9</f>
        <v>9</v>
      </c>
      <c r="AV6" s="367">
        <f>'Maldives at LG Daily'!AZ9</f>
        <v>6</v>
      </c>
      <c r="AW6" s="367">
        <f>'Maldives at LG Daily'!BA9</f>
        <v>9</v>
      </c>
      <c r="AX6" s="367">
        <f>'Maldives at LG Daily'!BB9</f>
        <v>8</v>
      </c>
      <c r="AY6" s="367">
        <f>'Maldives at LG Daily'!BC9</f>
        <v>3</v>
      </c>
      <c r="AZ6" s="367">
        <f>'Maldives at LG Daily'!BD9</f>
        <v>0</v>
      </c>
      <c r="BA6" s="367">
        <f>'Maldives at LG Daily'!BE9</f>
        <v>3</v>
      </c>
      <c r="BB6" s="367">
        <f>'Maldives at LG Daily'!BF9</f>
        <v>4</v>
      </c>
      <c r="BC6" s="367">
        <f>'Maldives at LG Daily'!BG9</f>
        <v>50</v>
      </c>
      <c r="BD6" s="367">
        <f>'Maldives at LG Daily'!BH9</f>
        <v>18</v>
      </c>
      <c r="BE6" s="367">
        <f>'Maldives at LG Daily'!BI9</f>
        <v>1</v>
      </c>
      <c r="BF6" s="367">
        <f>'Maldives at LG Daily'!BJ9</f>
        <v>4</v>
      </c>
      <c r="BG6" s="367">
        <f>'Maldives at LG Daily'!BK9</f>
        <v>2</v>
      </c>
      <c r="BH6" s="367">
        <f>'Maldives at LG Daily'!BL9</f>
        <v>0</v>
      </c>
      <c r="BI6" s="367">
        <f>'Maldives at LG Daily'!BM9</f>
        <v>0</v>
      </c>
      <c r="BJ6" s="367">
        <f>'Maldives at LG Daily'!BN9</f>
        <v>1</v>
      </c>
      <c r="BK6" s="367">
        <f>'Maldives at LG Daily'!BO9</f>
        <v>6</v>
      </c>
      <c r="BL6" s="451">
        <f>'Rooms nights and Food Covers'!B9</f>
        <v>38.799999999999997</v>
      </c>
      <c r="BM6" s="451">
        <f>'Rooms nights and Food Covers'!C9</f>
        <v>298</v>
      </c>
    </row>
    <row r="7" spans="1:65" ht="15.75" thickBot="1" x14ac:dyDescent="0.3">
      <c r="A7" s="368" t="s">
        <v>106</v>
      </c>
      <c r="B7" s="368">
        <v>6</v>
      </c>
      <c r="C7" s="369">
        <v>11</v>
      </c>
      <c r="D7" s="368">
        <v>2022</v>
      </c>
      <c r="E7" s="367">
        <f>'Maldives at LG Daily'!G10</f>
        <v>3169</v>
      </c>
      <c r="F7" s="367">
        <f>'Maldives at LG Daily'!H10</f>
        <v>11280</v>
      </c>
      <c r="G7" s="367">
        <f>'Maldives at LG Daily'!I10</f>
        <v>8335</v>
      </c>
      <c r="H7" s="367">
        <f>'Maldives at LG Daily'!J10</f>
        <v>0</v>
      </c>
      <c r="I7" s="367">
        <f>'Maldives at LG Daily'!K10</f>
        <v>4056</v>
      </c>
      <c r="J7" s="367">
        <f>'Maldives at LG Daily'!L10</f>
        <v>4442</v>
      </c>
      <c r="K7" s="367">
        <f>'Maldives at LG Daily'!M10</f>
        <v>4481</v>
      </c>
      <c r="L7" s="367">
        <f>'Maldives at LG Daily'!N10</f>
        <v>12061</v>
      </c>
      <c r="M7" s="367">
        <f>'Maldives at LG Daily'!O10</f>
        <v>2700</v>
      </c>
      <c r="N7" s="367">
        <f>'Maldives at LG Daily'!P10</f>
        <v>2898</v>
      </c>
      <c r="O7" s="367">
        <f>'Maldives at LG Daily'!Q10</f>
        <v>1900</v>
      </c>
      <c r="P7" s="367">
        <f>'Maldives at LG Daily'!R10</f>
        <v>502</v>
      </c>
      <c r="Q7" s="367">
        <f>'Maldives at LG Daily'!S10</f>
        <v>700</v>
      </c>
      <c r="R7" s="367">
        <f>'Maldives at LG Daily'!T10</f>
        <v>1500</v>
      </c>
      <c r="S7" s="367">
        <f>'Maldives at LG Daily'!U10</f>
        <v>4150</v>
      </c>
      <c r="T7" s="367">
        <f>'Maldives at LG Daily'!V10</f>
        <v>200</v>
      </c>
      <c r="U7" s="367">
        <f>'Maldives at LG Daily'!W10</f>
        <v>200</v>
      </c>
      <c r="V7" s="367">
        <f>'Maldives at LG Daily'!X10</f>
        <v>600</v>
      </c>
      <c r="W7" s="367">
        <f>'Maldives at LG Daily'!Y10</f>
        <v>150</v>
      </c>
      <c r="X7" s="367">
        <f>'Maldives at LG Daily'!Z10</f>
        <v>400</v>
      </c>
      <c r="Y7" s="367">
        <f>'Maldives at LG Daily'!AA10</f>
        <v>1200</v>
      </c>
      <c r="Z7" s="367">
        <f>'Maldives at LG Daily'!AB10</f>
        <v>490</v>
      </c>
      <c r="AA7" s="367">
        <f>'Maldives at LG Daily'!AC10</f>
        <v>910</v>
      </c>
      <c r="AB7" s="367">
        <f>'Maldives at LG Daily'!AD10</f>
        <v>860</v>
      </c>
      <c r="AC7" s="367">
        <f>'Maldives at LG Daily'!AE10</f>
        <v>1250</v>
      </c>
      <c r="AD7" s="367">
        <f>'Maldives at LG Daily'!AF10</f>
        <v>1250</v>
      </c>
      <c r="AE7" s="367">
        <f>'Maldives at LG Daily'!AG10</f>
        <v>870</v>
      </c>
      <c r="AF7" s="367">
        <f>'Maldives at LG Daily'!AH10</f>
        <v>680</v>
      </c>
      <c r="AG7" s="367">
        <f>'Maldives at LG Daily'!AI10</f>
        <v>240</v>
      </c>
      <c r="AH7" s="367">
        <f>'Maldives at LG Daily'!AJ10</f>
        <v>120</v>
      </c>
      <c r="AI7" s="367">
        <f>'Maldives at LG Daily'!AK10</f>
        <v>1020</v>
      </c>
      <c r="AJ7" s="367">
        <f>'Maldives at LG Daily'!AL10</f>
        <v>300</v>
      </c>
      <c r="AK7" s="367">
        <f>'Maldives at LG Daily'!AM10</f>
        <v>360</v>
      </c>
      <c r="AL7" s="367">
        <f>'Maldives at LG Daily'!AN10</f>
        <v>540</v>
      </c>
      <c r="AM7" s="367">
        <f>'Maldives at LG Daily'!AQ10</f>
        <v>245</v>
      </c>
      <c r="AN7" s="367">
        <f>'Maldives at LG Daily'!AR10</f>
        <v>0</v>
      </c>
      <c r="AO7" s="367">
        <f>'Maldives at LG Daily'!AS10</f>
        <v>0</v>
      </c>
      <c r="AP7" s="367">
        <f>'Maldives at LG Daily'!AT10</f>
        <v>140</v>
      </c>
      <c r="AQ7" s="367">
        <f>'Maldives at LG Daily'!AU10</f>
        <v>22</v>
      </c>
      <c r="AR7" s="367">
        <f>'Maldives at LG Daily'!AV10</f>
        <v>6</v>
      </c>
      <c r="AS7" s="367">
        <f>'Maldives at LG Daily'!AW10</f>
        <v>10</v>
      </c>
      <c r="AT7" s="367">
        <f>'Maldives at LG Daily'!AX10</f>
        <v>11</v>
      </c>
      <c r="AU7" s="367">
        <f>'Maldives at LG Daily'!AY10</f>
        <v>8</v>
      </c>
      <c r="AV7" s="367">
        <f>'Maldives at LG Daily'!AZ10</f>
        <v>7</v>
      </c>
      <c r="AW7" s="367">
        <f>'Maldives at LG Daily'!BA10</f>
        <v>11</v>
      </c>
      <c r="AX7" s="367">
        <f>'Maldives at LG Daily'!BB10</f>
        <v>9</v>
      </c>
      <c r="AY7" s="367">
        <f>'Maldives at LG Daily'!BC10</f>
        <v>2</v>
      </c>
      <c r="AZ7" s="367">
        <f>'Maldives at LG Daily'!BD10</f>
        <v>0</v>
      </c>
      <c r="BA7" s="367">
        <f>'Maldives at LG Daily'!BE10</f>
        <v>2</v>
      </c>
      <c r="BB7" s="367">
        <f>'Maldives at LG Daily'!BF10</f>
        <v>1</v>
      </c>
      <c r="BC7" s="367">
        <f>'Maldives at LG Daily'!BG10</f>
        <v>28</v>
      </c>
      <c r="BD7" s="367">
        <f>'Maldives at LG Daily'!BH10</f>
        <v>8</v>
      </c>
      <c r="BE7" s="367">
        <f>'Maldives at LG Daily'!BI10</f>
        <v>1</v>
      </c>
      <c r="BF7" s="367">
        <f>'Maldives at LG Daily'!BJ10</f>
        <v>2</v>
      </c>
      <c r="BG7" s="367">
        <f>'Maldives at LG Daily'!BK10</f>
        <v>2</v>
      </c>
      <c r="BH7" s="367">
        <f>'Maldives at LG Daily'!BL10</f>
        <v>4</v>
      </c>
      <c r="BI7" s="367">
        <f>'Maldives at LG Daily'!BM10</f>
        <v>27</v>
      </c>
      <c r="BJ7" s="367">
        <f>'Maldives at LG Daily'!BN10</f>
        <v>5</v>
      </c>
      <c r="BK7" s="367">
        <f>'Maldives at LG Daily'!BO10</f>
        <v>2</v>
      </c>
      <c r="BL7" s="451">
        <f>'Rooms nights and Food Covers'!B10</f>
        <v>31.1</v>
      </c>
      <c r="BM7" s="451">
        <f>'Rooms nights and Food Covers'!C10</f>
        <v>299</v>
      </c>
    </row>
    <row r="8" spans="1:65" ht="15.75" thickBot="1" x14ac:dyDescent="0.3">
      <c r="A8" s="368" t="s">
        <v>106</v>
      </c>
      <c r="B8" s="368">
        <v>7</v>
      </c>
      <c r="C8" s="369">
        <v>11</v>
      </c>
      <c r="D8" s="368">
        <v>2022</v>
      </c>
      <c r="E8" s="367">
        <f>'Maldives at LG Daily'!G11</f>
        <v>7349</v>
      </c>
      <c r="F8" s="367">
        <f>'Maldives at LG Daily'!H11</f>
        <v>9634</v>
      </c>
      <c r="G8" s="367">
        <f>'Maldives at LG Daily'!I11</f>
        <v>4237</v>
      </c>
      <c r="H8" s="367">
        <f>'Maldives at LG Daily'!J11</f>
        <v>0</v>
      </c>
      <c r="I8" s="367">
        <f>'Maldives at LG Daily'!K11</f>
        <v>5084</v>
      </c>
      <c r="J8" s="367">
        <f>'Maldives at LG Daily'!L11</f>
        <v>4402</v>
      </c>
      <c r="K8" s="367">
        <f>'Maldives at LG Daily'!M11</f>
        <v>4141</v>
      </c>
      <c r="L8" s="367">
        <f>'Maldives at LG Daily'!N11</f>
        <v>11776</v>
      </c>
      <c r="M8" s="367">
        <f>'Maldives at LG Daily'!O11</f>
        <v>2400</v>
      </c>
      <c r="N8" s="367">
        <f>'Maldives at LG Daily'!P11</f>
        <v>2811</v>
      </c>
      <c r="O8" s="367">
        <f>'Maldives at LG Daily'!Q11</f>
        <v>1900</v>
      </c>
      <c r="P8" s="367">
        <f>'Maldives at LG Daily'!R11</f>
        <v>458</v>
      </c>
      <c r="Q8" s="367">
        <f>'Maldives at LG Daily'!S11</f>
        <v>700</v>
      </c>
      <c r="R8" s="367">
        <f>'Maldives at LG Daily'!T11</f>
        <v>1300</v>
      </c>
      <c r="S8" s="367">
        <f>'Maldives at LG Daily'!U11</f>
        <v>3910</v>
      </c>
      <c r="T8" s="367">
        <f>'Maldives at LG Daily'!V11</f>
        <v>300</v>
      </c>
      <c r="U8" s="367">
        <f>'Maldives at LG Daily'!W11</f>
        <v>300</v>
      </c>
      <c r="V8" s="367">
        <f>'Maldives at LG Daily'!X11</f>
        <v>500</v>
      </c>
      <c r="W8" s="367">
        <f>'Maldives at LG Daily'!Y11</f>
        <v>160</v>
      </c>
      <c r="X8" s="367">
        <f>'Maldives at LG Daily'!Z11</f>
        <v>450</v>
      </c>
      <c r="Y8" s="367">
        <f>'Maldives at LG Daily'!AA11</f>
        <v>1100</v>
      </c>
      <c r="Z8" s="367">
        <f>'Maldives at LG Daily'!AB11</f>
        <v>460</v>
      </c>
      <c r="AA8" s="367">
        <f>'Maldives at LG Daily'!AC11</f>
        <v>810</v>
      </c>
      <c r="AB8" s="367">
        <f>'Maldives at LG Daily'!AD11</f>
        <v>910</v>
      </c>
      <c r="AC8" s="367">
        <f>'Maldives at LG Daily'!AE11</f>
        <v>1050</v>
      </c>
      <c r="AD8" s="367">
        <f>'Maldives at LG Daily'!AF11</f>
        <v>1050</v>
      </c>
      <c r="AE8" s="367">
        <f>'Maldives at LG Daily'!AG11</f>
        <v>740</v>
      </c>
      <c r="AF8" s="367">
        <f>'Maldives at LG Daily'!AH11</f>
        <v>610</v>
      </c>
      <c r="AG8" s="367">
        <f>'Maldives at LG Daily'!AI11</f>
        <v>350</v>
      </c>
      <c r="AH8" s="367">
        <f>'Maldives at LG Daily'!AJ11</f>
        <v>120</v>
      </c>
      <c r="AI8" s="367">
        <f>'Maldives at LG Daily'!AK11</f>
        <v>1000</v>
      </c>
      <c r="AJ8" s="367">
        <f>'Maldives at LG Daily'!AL11</f>
        <v>250</v>
      </c>
      <c r="AK8" s="367">
        <f>'Maldives at LG Daily'!AM11</f>
        <v>330</v>
      </c>
      <c r="AL8" s="367">
        <f>'Maldives at LG Daily'!AN11</f>
        <v>510</v>
      </c>
      <c r="AM8" s="367">
        <f>'Maldives at LG Daily'!AQ11</f>
        <v>229</v>
      </c>
      <c r="AN8" s="367">
        <f>'Maldives at LG Daily'!AR11</f>
        <v>0</v>
      </c>
      <c r="AO8" s="367">
        <f>'Maldives at LG Daily'!AS11</f>
        <v>0</v>
      </c>
      <c r="AP8" s="367">
        <f>'Maldives at LG Daily'!AT11</f>
        <v>144</v>
      </c>
      <c r="AQ8" s="367">
        <f>'Maldives at LG Daily'!AU11</f>
        <v>25</v>
      </c>
      <c r="AR8" s="367">
        <f>'Maldives at LG Daily'!AV11</f>
        <v>6</v>
      </c>
      <c r="AS8" s="367">
        <f>'Maldives at LG Daily'!AW11</f>
        <v>9</v>
      </c>
      <c r="AT8" s="367">
        <f>'Maldives at LG Daily'!AX11</f>
        <v>11</v>
      </c>
      <c r="AU8" s="367">
        <f>'Maldives at LG Daily'!AY11</f>
        <v>9</v>
      </c>
      <c r="AV8" s="367">
        <f>'Maldives at LG Daily'!AZ11</f>
        <v>7</v>
      </c>
      <c r="AW8" s="367">
        <f>'Maldives at LG Daily'!BA11</f>
        <v>8</v>
      </c>
      <c r="AX8" s="367">
        <f>'Maldives at LG Daily'!BB11</f>
        <v>7</v>
      </c>
      <c r="AY8" s="367">
        <f>'Maldives at LG Daily'!BC11</f>
        <v>2</v>
      </c>
      <c r="AZ8" s="367">
        <f>'Maldives at LG Daily'!BD11</f>
        <v>2</v>
      </c>
      <c r="BA8" s="367">
        <f>'Maldives at LG Daily'!BE11</f>
        <v>3</v>
      </c>
      <c r="BB8" s="367">
        <f>'Maldives at LG Daily'!BF11</f>
        <v>1</v>
      </c>
      <c r="BC8" s="367">
        <f>'Maldives at LG Daily'!BG11</f>
        <v>27</v>
      </c>
      <c r="BD8" s="367">
        <f>'Maldives at LG Daily'!BH11</f>
        <v>8</v>
      </c>
      <c r="BE8" s="367">
        <f>'Maldives at LG Daily'!BI11</f>
        <v>1</v>
      </c>
      <c r="BF8" s="367">
        <f>'Maldives at LG Daily'!BJ11</f>
        <v>3</v>
      </c>
      <c r="BG8" s="367">
        <f>'Maldives at LG Daily'!BK11</f>
        <v>13</v>
      </c>
      <c r="BH8" s="367">
        <f>'Maldives at LG Daily'!BL11</f>
        <v>3</v>
      </c>
      <c r="BI8" s="367">
        <f>'Maldives at LG Daily'!BM11</f>
        <v>0</v>
      </c>
      <c r="BJ8" s="367">
        <f>'Maldives at LG Daily'!BN11</f>
        <v>3</v>
      </c>
      <c r="BK8" s="367">
        <f>'Maldives at LG Daily'!BO11</f>
        <v>2</v>
      </c>
      <c r="BL8" s="451">
        <f>'Rooms nights and Food Covers'!B11</f>
        <v>29.1</v>
      </c>
      <c r="BM8" s="451">
        <f>'Rooms nights and Food Covers'!C11</f>
        <v>247</v>
      </c>
    </row>
    <row r="9" spans="1:65" ht="15.75" thickBot="1" x14ac:dyDescent="0.3">
      <c r="A9" s="368" t="s">
        <v>106</v>
      </c>
      <c r="B9" s="368">
        <v>8</v>
      </c>
      <c r="C9" s="369">
        <v>11</v>
      </c>
      <c r="D9" s="368">
        <v>2022</v>
      </c>
      <c r="E9" s="367">
        <f>'Maldives at LG Daily'!G12</f>
        <v>2387</v>
      </c>
      <c r="F9" s="367">
        <f>'Maldives at LG Daily'!H12</f>
        <v>13482</v>
      </c>
      <c r="G9" s="367">
        <f>'Maldives at LG Daily'!I12</f>
        <v>4128</v>
      </c>
      <c r="H9" s="367">
        <f>'Maldives at LG Daily'!J12</f>
        <v>0</v>
      </c>
      <c r="I9" s="367">
        <f>'Maldives at LG Daily'!K12</f>
        <v>6625</v>
      </c>
      <c r="J9" s="367">
        <f>'Maldives at LG Daily'!L12</f>
        <v>4404</v>
      </c>
      <c r="K9" s="367">
        <f>'Maldives at LG Daily'!M12</f>
        <v>4063</v>
      </c>
      <c r="L9" s="367">
        <f>'Maldives at LG Daily'!N12</f>
        <v>11713</v>
      </c>
      <c r="M9" s="367">
        <f>'Maldives at LG Daily'!O12</f>
        <v>2400</v>
      </c>
      <c r="N9" s="367">
        <f>'Maldives at LG Daily'!P12</f>
        <v>2943</v>
      </c>
      <c r="O9" s="367">
        <f>'Maldives at LG Daily'!Q12</f>
        <v>1900</v>
      </c>
      <c r="P9" s="367">
        <f>'Maldives at LG Daily'!R12</f>
        <v>500</v>
      </c>
      <c r="Q9" s="367">
        <f>'Maldives at LG Daily'!S12</f>
        <v>800</v>
      </c>
      <c r="R9" s="367">
        <f>'Maldives at LG Daily'!T12</f>
        <v>1600</v>
      </c>
      <c r="S9" s="367">
        <f>'Maldives at LG Daily'!U12</f>
        <v>4020</v>
      </c>
      <c r="T9" s="367">
        <f>'Maldives at LG Daily'!V12</f>
        <v>300</v>
      </c>
      <c r="U9" s="367">
        <f>'Maldives at LG Daily'!W12</f>
        <v>300</v>
      </c>
      <c r="V9" s="367">
        <f>'Maldives at LG Daily'!X12</f>
        <v>600</v>
      </c>
      <c r="W9" s="367">
        <f>'Maldives at LG Daily'!Y12</f>
        <v>150</v>
      </c>
      <c r="X9" s="367">
        <f>'Maldives at LG Daily'!Z12</f>
        <v>450</v>
      </c>
      <c r="Y9" s="367">
        <f>'Maldives at LG Daily'!AA12</f>
        <v>1200</v>
      </c>
      <c r="Z9" s="367">
        <f>'Maldives at LG Daily'!AB12</f>
        <v>430</v>
      </c>
      <c r="AA9" s="367">
        <f>'Maldives at LG Daily'!AC12</f>
        <v>1040</v>
      </c>
      <c r="AB9" s="367">
        <f>'Maldives at LG Daily'!AD12</f>
        <v>960</v>
      </c>
      <c r="AC9" s="367">
        <f>'Maldives at LG Daily'!AE12</f>
        <v>1070</v>
      </c>
      <c r="AD9" s="367">
        <f>'Maldives at LG Daily'!AF12</f>
        <v>1070</v>
      </c>
      <c r="AE9" s="367">
        <f>'Maldives at LG Daily'!AG12</f>
        <v>780</v>
      </c>
      <c r="AF9" s="367">
        <f>'Maldives at LG Daily'!AH12</f>
        <v>640</v>
      </c>
      <c r="AG9" s="367">
        <f>'Maldives at LG Daily'!AI12</f>
        <v>290</v>
      </c>
      <c r="AH9" s="367">
        <f>'Maldives at LG Daily'!AJ12</f>
        <v>150</v>
      </c>
      <c r="AI9" s="367">
        <f>'Maldives at LG Daily'!AK12</f>
        <v>1110</v>
      </c>
      <c r="AJ9" s="367">
        <f>'Maldives at LG Daily'!AL12</f>
        <v>220</v>
      </c>
      <c r="AK9" s="367">
        <f>'Maldives at LG Daily'!AM12</f>
        <v>370</v>
      </c>
      <c r="AL9" s="367">
        <f>'Maldives at LG Daily'!AN12</f>
        <v>460</v>
      </c>
      <c r="AM9" s="367">
        <f>'Maldives at LG Daily'!AQ12</f>
        <v>254</v>
      </c>
      <c r="AN9" s="367">
        <f>'Maldives at LG Daily'!AR12</f>
        <v>0</v>
      </c>
      <c r="AO9" s="367">
        <f>'Maldives at LG Daily'!AS12</f>
        <v>1</v>
      </c>
      <c r="AP9" s="367">
        <f>'Maldives at LG Daily'!AT12</f>
        <v>149</v>
      </c>
      <c r="AQ9" s="367">
        <f>'Maldives at LG Daily'!AU12</f>
        <v>20</v>
      </c>
      <c r="AR9" s="367">
        <f>'Maldives at LG Daily'!AV12</f>
        <v>7</v>
      </c>
      <c r="AS9" s="367">
        <f>'Maldives at LG Daily'!AW12</f>
        <v>9</v>
      </c>
      <c r="AT9" s="367">
        <f>'Maldives at LG Daily'!AX12</f>
        <v>10</v>
      </c>
      <c r="AU9" s="367">
        <f>'Maldives at LG Daily'!AY12</f>
        <v>8</v>
      </c>
      <c r="AV9" s="367">
        <f>'Maldives at LG Daily'!AZ12</f>
        <v>6</v>
      </c>
      <c r="AW9" s="367">
        <f>'Maldives at LG Daily'!BA12</f>
        <v>8</v>
      </c>
      <c r="AX9" s="367">
        <f>'Maldives at LG Daily'!BB12</f>
        <v>8</v>
      </c>
      <c r="AY9" s="367">
        <f>'Maldives at LG Daily'!BC12</f>
        <v>2</v>
      </c>
      <c r="AZ9" s="367">
        <f>'Maldives at LG Daily'!BD12</f>
        <v>0</v>
      </c>
      <c r="BA9" s="367">
        <f>'Maldives at LG Daily'!BE12</f>
        <v>5</v>
      </c>
      <c r="BB9" s="367">
        <f>'Maldives at LG Daily'!BF12</f>
        <v>5</v>
      </c>
      <c r="BC9" s="367">
        <f>'Maldives at LG Daily'!BG12</f>
        <v>32</v>
      </c>
      <c r="BD9" s="367">
        <f>'Maldives at LG Daily'!BH12</f>
        <v>8</v>
      </c>
      <c r="BE9" s="367">
        <f>'Maldives at LG Daily'!BI12</f>
        <v>1</v>
      </c>
      <c r="BF9" s="367">
        <f>'Maldives at LG Daily'!BJ12</f>
        <v>6</v>
      </c>
      <c r="BG9" s="367">
        <f>'Maldives at LG Daily'!BK12</f>
        <v>4</v>
      </c>
      <c r="BH9" s="367">
        <f>'Maldives at LG Daily'!BL12</f>
        <v>5</v>
      </c>
      <c r="BI9" s="367">
        <f>'Maldives at LG Daily'!BM12</f>
        <v>33</v>
      </c>
      <c r="BJ9" s="367">
        <f>'Maldives at LG Daily'!BN12</f>
        <v>2</v>
      </c>
      <c r="BK9" s="367">
        <f>'Maldives at LG Daily'!BO12</f>
        <v>1</v>
      </c>
      <c r="BL9" s="451">
        <f>'Rooms nights and Food Covers'!B12</f>
        <v>34</v>
      </c>
      <c r="BM9" s="451">
        <f>'Rooms nights and Food Covers'!C12</f>
        <v>274</v>
      </c>
    </row>
    <row r="10" spans="1:65" ht="15.75" thickBot="1" x14ac:dyDescent="0.3">
      <c r="A10" s="368" t="s">
        <v>106</v>
      </c>
      <c r="B10" s="368">
        <v>9</v>
      </c>
      <c r="C10" s="369">
        <v>11</v>
      </c>
      <c r="D10" s="368">
        <v>2022</v>
      </c>
      <c r="E10" s="367">
        <f>'Maldives at LG Daily'!G13</f>
        <v>6611</v>
      </c>
      <c r="F10" s="367">
        <f>'Maldives at LG Daily'!H13</f>
        <v>9452</v>
      </c>
      <c r="G10" s="367">
        <f>'Maldives at LG Daily'!I13</f>
        <v>7873</v>
      </c>
      <c r="H10" s="367">
        <f>'Maldives at LG Daily'!J13</f>
        <v>0</v>
      </c>
      <c r="I10" s="367">
        <f>'Maldives at LG Daily'!K13</f>
        <v>2738</v>
      </c>
      <c r="J10" s="367">
        <f>'Maldives at LG Daily'!L13</f>
        <v>4316</v>
      </c>
      <c r="K10" s="367">
        <f>'Maldives at LG Daily'!M13</f>
        <v>3767</v>
      </c>
      <c r="L10" s="367">
        <f>'Maldives at LG Daily'!N13</f>
        <v>12008</v>
      </c>
      <c r="M10" s="367">
        <f>'Maldives at LG Daily'!O13</f>
        <v>2500</v>
      </c>
      <c r="N10" s="367">
        <f>'Maldives at LG Daily'!P13</f>
        <v>2909</v>
      </c>
      <c r="O10" s="367">
        <f>'Maldives at LG Daily'!Q13</f>
        <v>1800</v>
      </c>
      <c r="P10" s="367">
        <f>'Maldives at LG Daily'!R13</f>
        <v>506</v>
      </c>
      <c r="Q10" s="367">
        <f>'Maldives at LG Daily'!S13</f>
        <v>700</v>
      </c>
      <c r="R10" s="367">
        <f>'Maldives at LG Daily'!T13</f>
        <v>1800</v>
      </c>
      <c r="S10" s="367">
        <f>'Maldives at LG Daily'!U13</f>
        <v>3950</v>
      </c>
      <c r="T10" s="367">
        <f>'Maldives at LG Daily'!V13</f>
        <v>300</v>
      </c>
      <c r="U10" s="367">
        <f>'Maldives at LG Daily'!W13</f>
        <v>300</v>
      </c>
      <c r="V10" s="367">
        <f>'Maldives at LG Daily'!X13</f>
        <v>600</v>
      </c>
      <c r="W10" s="367">
        <f>'Maldives at LG Daily'!Y13</f>
        <v>180</v>
      </c>
      <c r="X10" s="367">
        <f>'Maldives at LG Daily'!Z13</f>
        <v>410</v>
      </c>
      <c r="Y10" s="367">
        <f>'Maldives at LG Daily'!AA13</f>
        <v>1200</v>
      </c>
      <c r="Z10" s="367">
        <f>'Maldives at LG Daily'!AB13</f>
        <v>380</v>
      </c>
      <c r="AA10" s="367">
        <f>'Maldives at LG Daily'!AC13</f>
        <v>820</v>
      </c>
      <c r="AB10" s="367">
        <f>'Maldives at LG Daily'!AD13</f>
        <v>730</v>
      </c>
      <c r="AC10" s="367">
        <f>'Maldives at LG Daily'!AE13</f>
        <v>0</v>
      </c>
      <c r="AD10" s="367">
        <f>'Maldives at LG Daily'!AF13</f>
        <v>0</v>
      </c>
      <c r="AE10" s="367">
        <f>'Maldives at LG Daily'!AG13</f>
        <v>690</v>
      </c>
      <c r="AF10" s="367">
        <f>'Maldives at LG Daily'!AH13</f>
        <v>540</v>
      </c>
      <c r="AG10" s="367">
        <f>'Maldives at LG Daily'!AI13</f>
        <v>260</v>
      </c>
      <c r="AH10" s="367">
        <f>'Maldives at LG Daily'!AJ13</f>
        <v>110</v>
      </c>
      <c r="AI10" s="367">
        <f>'Maldives at LG Daily'!AK13</f>
        <v>870</v>
      </c>
      <c r="AJ10" s="367">
        <f>'Maldives at LG Daily'!AL13</f>
        <v>200</v>
      </c>
      <c r="AK10" s="367">
        <f>'Maldives at LG Daily'!AM13</f>
        <v>430</v>
      </c>
      <c r="AL10" s="367">
        <f>'Maldives at LG Daily'!AN13</f>
        <v>520</v>
      </c>
      <c r="AM10" s="367">
        <f>'Maldives at LG Daily'!AQ13</f>
        <v>224</v>
      </c>
      <c r="AN10" s="367">
        <f>'Maldives at LG Daily'!AR13</f>
        <v>0</v>
      </c>
      <c r="AO10" s="367">
        <f>'Maldives at LG Daily'!AS13</f>
        <v>0</v>
      </c>
      <c r="AP10" s="367">
        <f>'Maldives at LG Daily'!AT13</f>
        <v>132</v>
      </c>
      <c r="AQ10" s="367">
        <f>'Maldives at LG Daily'!AU13</f>
        <v>24</v>
      </c>
      <c r="AR10" s="367">
        <f>'Maldives at LG Daily'!AV13</f>
        <v>6</v>
      </c>
      <c r="AS10" s="367">
        <f>'Maldives at LG Daily'!AW13</f>
        <v>9</v>
      </c>
      <c r="AT10" s="367">
        <f>'Maldives at LG Daily'!AX13</f>
        <v>10</v>
      </c>
      <c r="AU10" s="367">
        <f>'Maldives at LG Daily'!AY13</f>
        <v>8</v>
      </c>
      <c r="AV10" s="367">
        <f>'Maldives at LG Daily'!AZ13</f>
        <v>6</v>
      </c>
      <c r="AW10" s="367">
        <f>'Maldives at LG Daily'!BA13</f>
        <v>9</v>
      </c>
      <c r="AX10" s="367">
        <f>'Maldives at LG Daily'!BB13</f>
        <v>7</v>
      </c>
      <c r="AY10" s="367">
        <f>'Maldives at LG Daily'!BC13</f>
        <v>2</v>
      </c>
      <c r="AZ10" s="367">
        <f>'Maldives at LG Daily'!BD13</f>
        <v>0</v>
      </c>
      <c r="BA10" s="367">
        <f>'Maldives at LG Daily'!BE13</f>
        <v>4</v>
      </c>
      <c r="BB10" s="367">
        <f>'Maldives at LG Daily'!BF13</f>
        <v>2</v>
      </c>
      <c r="BC10" s="367">
        <f>'Maldives at LG Daily'!BG13</f>
        <v>32</v>
      </c>
      <c r="BD10" s="367">
        <f>'Maldives at LG Daily'!BH13</f>
        <v>7</v>
      </c>
      <c r="BE10" s="367">
        <f>'Maldives at LG Daily'!BI13</f>
        <v>1</v>
      </c>
      <c r="BF10" s="367">
        <f>'Maldives at LG Daily'!BJ13</f>
        <v>9</v>
      </c>
      <c r="BG10" s="367">
        <f>'Maldives at LG Daily'!BK13</f>
        <v>3</v>
      </c>
      <c r="BH10" s="367">
        <f>'Maldives at LG Daily'!BL13</f>
        <v>2</v>
      </c>
      <c r="BI10" s="367">
        <f>'Maldives at LG Daily'!BM13</f>
        <v>19</v>
      </c>
      <c r="BJ10" s="367">
        <f>'Maldives at LG Daily'!BN13</f>
        <v>1</v>
      </c>
      <c r="BK10" s="367">
        <f>'Maldives at LG Daily'!BO13</f>
        <v>1</v>
      </c>
      <c r="BL10" s="451">
        <f>'Rooms nights and Food Covers'!B13</f>
        <v>29.1</v>
      </c>
      <c r="BM10" s="451">
        <f>'Rooms nights and Food Covers'!C13</f>
        <v>222</v>
      </c>
    </row>
    <row r="11" spans="1:65" ht="15.75" thickBot="1" x14ac:dyDescent="0.3">
      <c r="A11" s="368" t="s">
        <v>106</v>
      </c>
      <c r="B11" s="368">
        <v>10</v>
      </c>
      <c r="C11" s="369">
        <v>11</v>
      </c>
      <c r="D11" s="368">
        <v>2022</v>
      </c>
      <c r="E11" s="367">
        <f>'Maldives at LG Daily'!G14</f>
        <v>1193</v>
      </c>
      <c r="F11" s="367">
        <f>'Maldives at LG Daily'!H14</f>
        <v>11688</v>
      </c>
      <c r="G11" s="367">
        <f>'Maldives at LG Daily'!I14</f>
        <v>9219</v>
      </c>
      <c r="H11" s="367">
        <f>'Maldives at LG Daily'!J14</f>
        <v>0</v>
      </c>
      <c r="I11" s="367">
        <f>'Maldives at LG Daily'!K14</f>
        <v>4165</v>
      </c>
      <c r="J11" s="367">
        <f>'Maldives at LG Daily'!L14</f>
        <v>4316</v>
      </c>
      <c r="K11" s="367">
        <f>'Maldives at LG Daily'!M14</f>
        <v>3767</v>
      </c>
      <c r="L11" s="367">
        <f>'Maldives at LG Daily'!N14</f>
        <v>12008</v>
      </c>
      <c r="M11" s="367">
        <f>'Maldives at LG Daily'!O14</f>
        <v>2500</v>
      </c>
      <c r="N11" s="367">
        <f>'Maldives at LG Daily'!P14</f>
        <v>2899</v>
      </c>
      <c r="O11" s="367">
        <f>'Maldives at LG Daily'!Q14</f>
        <v>2200</v>
      </c>
      <c r="P11" s="367">
        <f>'Maldives at LG Daily'!R14</f>
        <v>499</v>
      </c>
      <c r="Q11" s="367">
        <f>'Maldives at LG Daily'!S14</f>
        <v>700</v>
      </c>
      <c r="R11" s="367">
        <f>'Maldives at LG Daily'!T14</f>
        <v>1300</v>
      </c>
      <c r="S11" s="367">
        <f>'Maldives at LG Daily'!U14</f>
        <v>3860</v>
      </c>
      <c r="T11" s="367">
        <f>'Maldives at LG Daily'!V14</f>
        <v>200</v>
      </c>
      <c r="U11" s="367">
        <f>'Maldives at LG Daily'!W14</f>
        <v>200</v>
      </c>
      <c r="V11" s="367">
        <f>'Maldives at LG Daily'!X14</f>
        <v>500</v>
      </c>
      <c r="W11" s="367">
        <f>'Maldives at LG Daily'!Y14</f>
        <v>210</v>
      </c>
      <c r="X11" s="367">
        <f>'Maldives at LG Daily'!Z14</f>
        <v>470</v>
      </c>
      <c r="Y11" s="367">
        <f>'Maldives at LG Daily'!AA14</f>
        <v>1100</v>
      </c>
      <c r="Z11" s="367">
        <f>'Maldives at LG Daily'!AB14</f>
        <v>510</v>
      </c>
      <c r="AA11" s="367">
        <f>'Maldives at LG Daily'!AC14</f>
        <v>830</v>
      </c>
      <c r="AB11" s="367">
        <f>'Maldives at LG Daily'!AD14</f>
        <v>790</v>
      </c>
      <c r="AC11" s="367">
        <f>'Maldives at LG Daily'!AE14</f>
        <v>850</v>
      </c>
      <c r="AD11" s="367">
        <f>'Maldives at LG Daily'!AF14</f>
        <v>850</v>
      </c>
      <c r="AE11" s="367">
        <f>'Maldives at LG Daily'!AG14</f>
        <v>670</v>
      </c>
      <c r="AF11" s="367">
        <f>'Maldives at LG Daily'!AH14</f>
        <v>560</v>
      </c>
      <c r="AG11" s="367">
        <f>'Maldives at LG Daily'!AI14</f>
        <v>250</v>
      </c>
      <c r="AH11" s="367">
        <f>'Maldives at LG Daily'!AJ14</f>
        <v>140</v>
      </c>
      <c r="AI11" s="367">
        <f>'Maldives at LG Daily'!AK14</f>
        <v>970</v>
      </c>
      <c r="AJ11" s="367">
        <f>'Maldives at LG Daily'!AL14</f>
        <v>240</v>
      </c>
      <c r="AK11" s="367">
        <f>'Maldives at LG Daily'!AM14</f>
        <v>350</v>
      </c>
      <c r="AL11" s="367">
        <f>'Maldives at LG Daily'!AN14</f>
        <v>530</v>
      </c>
      <c r="AM11" s="367">
        <f>'Maldives at LG Daily'!AQ14</f>
        <v>249</v>
      </c>
      <c r="AN11" s="367">
        <f>'Maldives at LG Daily'!AR14</f>
        <v>0</v>
      </c>
      <c r="AO11" s="367">
        <f>'Maldives at LG Daily'!AS14</f>
        <v>48</v>
      </c>
      <c r="AP11" s="367">
        <f>'Maldives at LG Daily'!AT14</f>
        <v>151</v>
      </c>
      <c r="AQ11" s="367">
        <f>'Maldives at LG Daily'!AU14</f>
        <v>22</v>
      </c>
      <c r="AR11" s="367">
        <f>'Maldives at LG Daily'!AV14</f>
        <v>6</v>
      </c>
      <c r="AS11" s="367">
        <f>'Maldives at LG Daily'!AW14</f>
        <v>11</v>
      </c>
      <c r="AT11" s="367">
        <f>'Maldives at LG Daily'!AX14</f>
        <v>10</v>
      </c>
      <c r="AU11" s="367">
        <f>'Maldives at LG Daily'!AY14</f>
        <v>9</v>
      </c>
      <c r="AV11" s="367">
        <f>'Maldives at LG Daily'!AZ14</f>
        <v>7</v>
      </c>
      <c r="AW11" s="367">
        <f>'Maldives at LG Daily'!BA14</f>
        <v>8</v>
      </c>
      <c r="AX11" s="367">
        <f>'Maldives at LG Daily'!BB14</f>
        <v>8</v>
      </c>
      <c r="AY11" s="367">
        <f>'Maldives at LG Daily'!BC14</f>
        <v>1</v>
      </c>
      <c r="AZ11" s="367">
        <f>'Maldives at LG Daily'!BD14</f>
        <v>0</v>
      </c>
      <c r="BA11" s="367">
        <f>'Maldives at LG Daily'!BE14</f>
        <v>2</v>
      </c>
      <c r="BB11" s="367">
        <f>'Maldives at LG Daily'!BF14</f>
        <v>0</v>
      </c>
      <c r="BC11" s="367">
        <f>'Maldives at LG Daily'!BG14</f>
        <v>27</v>
      </c>
      <c r="BD11" s="367">
        <f>'Maldives at LG Daily'!BH14</f>
        <v>11</v>
      </c>
      <c r="BE11" s="367">
        <f>'Maldives at LG Daily'!BI14</f>
        <v>1</v>
      </c>
      <c r="BF11" s="367">
        <f>'Maldives at LG Daily'!BJ14</f>
        <v>5</v>
      </c>
      <c r="BG11" s="367">
        <f>'Maldives at LG Daily'!BK14</f>
        <v>2</v>
      </c>
      <c r="BH11" s="367">
        <f>'Maldives at LG Daily'!BL14</f>
        <v>6</v>
      </c>
      <c r="BI11" s="367">
        <f>'Maldives at LG Daily'!BM14</f>
        <v>14</v>
      </c>
      <c r="BJ11" s="367">
        <f>'Maldives at LG Daily'!BN14</f>
        <v>3</v>
      </c>
      <c r="BK11" s="367">
        <f>'Maldives at LG Daily'!BO14</f>
        <v>3</v>
      </c>
      <c r="BL11" s="451">
        <f>'Rooms nights and Food Covers'!B14</f>
        <v>27.2</v>
      </c>
      <c r="BM11" s="451">
        <f>'Rooms nights and Food Covers'!C14</f>
        <v>209</v>
      </c>
    </row>
    <row r="12" spans="1:65" ht="15.75" thickBot="1" x14ac:dyDescent="0.3">
      <c r="A12" s="368" t="s">
        <v>106</v>
      </c>
      <c r="B12" s="368">
        <v>11</v>
      </c>
      <c r="C12" s="369">
        <v>11</v>
      </c>
      <c r="D12" s="368">
        <v>2022</v>
      </c>
      <c r="E12" s="367">
        <f>'Maldives at LG Daily'!G15</f>
        <v>7249</v>
      </c>
      <c r="F12" s="367">
        <f>'Maldives at LG Daily'!H15</f>
        <v>8458</v>
      </c>
      <c r="G12" s="367">
        <f>'Maldives at LG Daily'!I15</f>
        <v>5845</v>
      </c>
      <c r="H12" s="367">
        <f>'Maldives at LG Daily'!J15</f>
        <v>0</v>
      </c>
      <c r="I12" s="367">
        <f>'Maldives at LG Daily'!K15</f>
        <v>5409</v>
      </c>
      <c r="J12" s="367">
        <f>'Maldives at LG Daily'!L15</f>
        <v>3849</v>
      </c>
      <c r="K12" s="367">
        <f>'Maldives at LG Daily'!M15</f>
        <v>3771</v>
      </c>
      <c r="L12" s="367">
        <f>'Maldives at LG Daily'!N15</f>
        <v>13626</v>
      </c>
      <c r="M12" s="367">
        <f>'Maldives at LG Daily'!O15</f>
        <v>2500</v>
      </c>
      <c r="N12" s="367">
        <f>'Maldives at LG Daily'!P15</f>
        <v>2843</v>
      </c>
      <c r="O12" s="367">
        <f>'Maldives at LG Daily'!Q15</f>
        <v>2500</v>
      </c>
      <c r="P12" s="367">
        <f>'Maldives at LG Daily'!R15</f>
        <v>490</v>
      </c>
      <c r="Q12" s="367">
        <f>'Maldives at LG Daily'!S15</f>
        <v>800</v>
      </c>
      <c r="R12" s="367">
        <f>'Maldives at LG Daily'!T15</f>
        <v>1400</v>
      </c>
      <c r="S12" s="367">
        <f>'Maldives at LG Daily'!U15</f>
        <v>4000</v>
      </c>
      <c r="T12" s="367">
        <f>'Maldives at LG Daily'!V15</f>
        <v>300</v>
      </c>
      <c r="U12" s="367">
        <f>'Maldives at LG Daily'!W15</f>
        <v>300</v>
      </c>
      <c r="V12" s="367">
        <f>'Maldives at LG Daily'!X15</f>
        <v>600</v>
      </c>
      <c r="W12" s="367">
        <f>'Maldives at LG Daily'!Y15</f>
        <v>190</v>
      </c>
      <c r="X12" s="367">
        <f>'Maldives at LG Daily'!Z15</f>
        <v>410</v>
      </c>
      <c r="Y12" s="367">
        <f>'Maldives at LG Daily'!AA15</f>
        <v>1200</v>
      </c>
      <c r="Z12" s="367">
        <f>'Maldives at LG Daily'!AB15</f>
        <v>440</v>
      </c>
      <c r="AA12" s="367">
        <f>'Maldives at LG Daily'!AC15</f>
        <v>830</v>
      </c>
      <c r="AB12" s="367">
        <f>'Maldives at LG Daily'!AD15</f>
        <v>670</v>
      </c>
      <c r="AC12" s="367">
        <f>'Maldives at LG Daily'!AE15</f>
        <v>820</v>
      </c>
      <c r="AD12" s="367">
        <f>'Maldives at LG Daily'!AF15</f>
        <v>820</v>
      </c>
      <c r="AE12" s="367">
        <f>'Maldives at LG Daily'!AG15</f>
        <v>820</v>
      </c>
      <c r="AF12" s="367">
        <f>'Maldives at LG Daily'!AH15</f>
        <v>660</v>
      </c>
      <c r="AG12" s="367">
        <f>'Maldives at LG Daily'!AI15</f>
        <v>250</v>
      </c>
      <c r="AH12" s="367">
        <f>'Maldives at LG Daily'!AJ15</f>
        <v>140</v>
      </c>
      <c r="AI12" s="367">
        <f>'Maldives at LG Daily'!AK15</f>
        <v>910</v>
      </c>
      <c r="AJ12" s="367">
        <f>'Maldives at LG Daily'!AL15</f>
        <v>270</v>
      </c>
      <c r="AK12" s="367">
        <f>'Maldives at LG Daily'!AM15</f>
        <v>250</v>
      </c>
      <c r="AL12" s="367">
        <f>'Maldives at LG Daily'!AN15</f>
        <v>530</v>
      </c>
      <c r="AM12" s="367">
        <f>'Maldives at LG Daily'!AQ15</f>
        <v>247</v>
      </c>
      <c r="AN12" s="367">
        <f>'Maldives at LG Daily'!AR15</f>
        <v>21</v>
      </c>
      <c r="AO12" s="367">
        <f>'Maldives at LG Daily'!AS15</f>
        <v>22</v>
      </c>
      <c r="AP12" s="367">
        <f>'Maldives at LG Daily'!AT15</f>
        <v>139</v>
      </c>
      <c r="AQ12" s="367">
        <f>'Maldives at LG Daily'!AU15</f>
        <v>20</v>
      </c>
      <c r="AR12" s="367">
        <f>'Maldives at LG Daily'!AV15</f>
        <v>6</v>
      </c>
      <c r="AS12" s="367">
        <f>'Maldives at LG Daily'!AW15</f>
        <v>9</v>
      </c>
      <c r="AT12" s="367">
        <f>'Maldives at LG Daily'!AX15</f>
        <v>10</v>
      </c>
      <c r="AU12" s="367">
        <f>'Maldives at LG Daily'!AY15</f>
        <v>8</v>
      </c>
      <c r="AV12" s="367">
        <f>'Maldives at LG Daily'!AZ15</f>
        <v>6</v>
      </c>
      <c r="AW12" s="367">
        <f>'Maldives at LG Daily'!BA15</f>
        <v>8</v>
      </c>
      <c r="AX12" s="367">
        <f>'Maldives at LG Daily'!BB15</f>
        <v>7</v>
      </c>
      <c r="AY12" s="367">
        <f>'Maldives at LG Daily'!BC15</f>
        <v>2</v>
      </c>
      <c r="AZ12" s="367">
        <f>'Maldives at LG Daily'!BD15</f>
        <v>0</v>
      </c>
      <c r="BA12" s="367">
        <f>'Maldives at LG Daily'!BE15</f>
        <v>4</v>
      </c>
      <c r="BB12" s="367">
        <f>'Maldives at LG Daily'!BF15</f>
        <v>3</v>
      </c>
      <c r="BC12" s="367">
        <f>'Maldives at LG Daily'!BG15</f>
        <v>25</v>
      </c>
      <c r="BD12" s="367">
        <f>'Maldives at LG Daily'!BH15</f>
        <v>10</v>
      </c>
      <c r="BE12" s="367">
        <f>'Maldives at LG Daily'!BI15</f>
        <v>1</v>
      </c>
      <c r="BF12" s="367">
        <f>'Maldives at LG Daily'!BJ15</f>
        <v>2</v>
      </c>
      <c r="BG12" s="367">
        <f>'Maldives at LG Daily'!BK15</f>
        <v>3</v>
      </c>
      <c r="BH12" s="367">
        <f>'Maldives at LG Daily'!BL15</f>
        <v>3</v>
      </c>
      <c r="BI12" s="367">
        <f>'Maldives at LG Daily'!BM15</f>
        <v>16</v>
      </c>
      <c r="BJ12" s="367">
        <f>'Maldives at LG Daily'!BN15</f>
        <v>1</v>
      </c>
      <c r="BK12" s="367">
        <f>'Maldives at LG Daily'!BO15</f>
        <v>1</v>
      </c>
      <c r="BL12" s="451">
        <f>'Rooms nights and Food Covers'!B15</f>
        <v>30.1</v>
      </c>
      <c r="BM12" s="451">
        <f>'Rooms nights and Food Covers'!C15</f>
        <v>226</v>
      </c>
    </row>
    <row r="13" spans="1:65" ht="15.75" thickBot="1" x14ac:dyDescent="0.3">
      <c r="A13" s="368" t="s">
        <v>106</v>
      </c>
      <c r="B13" s="368">
        <v>12</v>
      </c>
      <c r="C13" s="369">
        <v>11</v>
      </c>
      <c r="D13" s="368">
        <v>2022</v>
      </c>
      <c r="E13" s="367">
        <f>'Maldives at LG Daily'!G16</f>
        <v>4553</v>
      </c>
      <c r="F13" s="367">
        <f>'Maldives at LG Daily'!H16</f>
        <v>12675</v>
      </c>
      <c r="G13" s="367">
        <f>'Maldives at LG Daily'!I16</f>
        <v>9545</v>
      </c>
      <c r="H13" s="367">
        <f>'Maldives at LG Daily'!J16</f>
        <v>0</v>
      </c>
      <c r="I13" s="367">
        <f>'Maldives at LG Daily'!K16</f>
        <v>43</v>
      </c>
      <c r="J13" s="367">
        <f>'Maldives at LG Daily'!L16</f>
        <v>3978</v>
      </c>
      <c r="K13" s="367">
        <f>'Maldives at LG Daily'!M16</f>
        <v>4164</v>
      </c>
      <c r="L13" s="367">
        <f>'Maldives at LG Daily'!N16</f>
        <v>12679</v>
      </c>
      <c r="M13" s="367">
        <f>'Maldives at LG Daily'!O16</f>
        <v>2400</v>
      </c>
      <c r="N13" s="367">
        <f>'Maldives at LG Daily'!P16</f>
        <v>2861</v>
      </c>
      <c r="O13" s="367">
        <f>'Maldives at LG Daily'!Q16</f>
        <v>2700</v>
      </c>
      <c r="P13" s="367">
        <f>'Maldives at LG Daily'!R16</f>
        <v>509</v>
      </c>
      <c r="Q13" s="367">
        <f>'Maldives at LG Daily'!S16</f>
        <v>700</v>
      </c>
      <c r="R13" s="367">
        <f>'Maldives at LG Daily'!T16</f>
        <v>1400</v>
      </c>
      <c r="S13" s="367">
        <f>'Maldives at LG Daily'!U16</f>
        <v>3710</v>
      </c>
      <c r="T13" s="367">
        <f>'Maldives at LG Daily'!V16</f>
        <v>300</v>
      </c>
      <c r="U13" s="367">
        <f>'Maldives at LG Daily'!W16</f>
        <v>300</v>
      </c>
      <c r="V13" s="367">
        <f>'Maldives at LG Daily'!X16</f>
        <v>500</v>
      </c>
      <c r="W13" s="367">
        <f>'Maldives at LG Daily'!Y16</f>
        <v>140</v>
      </c>
      <c r="X13" s="367">
        <f>'Maldives at LG Daily'!Z16</f>
        <v>370</v>
      </c>
      <c r="Y13" s="367">
        <f>'Maldives at LG Daily'!AA16</f>
        <v>1100</v>
      </c>
      <c r="Z13" s="367">
        <f>'Maldives at LG Daily'!AB16</f>
        <v>460</v>
      </c>
      <c r="AA13" s="367">
        <f>'Maldives at LG Daily'!AC16</f>
        <v>850</v>
      </c>
      <c r="AB13" s="367">
        <f>'Maldives at LG Daily'!AD16</f>
        <v>710</v>
      </c>
      <c r="AC13" s="367">
        <f>'Maldives at LG Daily'!AE16</f>
        <v>1020</v>
      </c>
      <c r="AD13" s="367">
        <f>'Maldives at LG Daily'!AF16</f>
        <v>1020</v>
      </c>
      <c r="AE13" s="367">
        <f>'Maldives at LG Daily'!AG16</f>
        <v>820</v>
      </c>
      <c r="AF13" s="367">
        <f>'Maldives at LG Daily'!AH16</f>
        <v>760</v>
      </c>
      <c r="AG13" s="367">
        <f>'Maldives at LG Daily'!AI16</f>
        <v>260</v>
      </c>
      <c r="AH13" s="367">
        <f>'Maldives at LG Daily'!AJ16</f>
        <v>110</v>
      </c>
      <c r="AI13" s="367">
        <f>'Maldives at LG Daily'!AK16</f>
        <v>900</v>
      </c>
      <c r="AJ13" s="367">
        <f>'Maldives at LG Daily'!AL16</f>
        <v>250</v>
      </c>
      <c r="AK13" s="367">
        <f>'Maldives at LG Daily'!AM16</f>
        <v>340</v>
      </c>
      <c r="AL13" s="367">
        <f>'Maldives at LG Daily'!AN16</f>
        <v>540</v>
      </c>
      <c r="AM13" s="367">
        <f>'Maldives at LG Daily'!AQ16</f>
        <v>244</v>
      </c>
      <c r="AN13" s="367">
        <f>'Maldives at LG Daily'!AR16</f>
        <v>119</v>
      </c>
      <c r="AO13" s="367">
        <f>'Maldives at LG Daily'!AS16</f>
        <v>22</v>
      </c>
      <c r="AP13" s="367">
        <f>'Maldives at LG Daily'!AT16</f>
        <v>134</v>
      </c>
      <c r="AQ13" s="367">
        <f>'Maldives at LG Daily'!AU16</f>
        <v>23</v>
      </c>
      <c r="AR13" s="367">
        <f>'Maldives at LG Daily'!AV16</f>
        <v>7</v>
      </c>
      <c r="AS13" s="367">
        <f>'Maldives at LG Daily'!AW16</f>
        <v>9</v>
      </c>
      <c r="AT13" s="367">
        <f>'Maldives at LG Daily'!AX16</f>
        <v>10</v>
      </c>
      <c r="AU13" s="367">
        <f>'Maldives at LG Daily'!AY16</f>
        <v>10</v>
      </c>
      <c r="AV13" s="367">
        <f>'Maldives at LG Daily'!AZ16</f>
        <v>7</v>
      </c>
      <c r="AW13" s="367">
        <f>'Maldives at LG Daily'!BA16</f>
        <v>8</v>
      </c>
      <c r="AX13" s="367">
        <f>'Maldives at LG Daily'!BB16</f>
        <v>8</v>
      </c>
      <c r="AY13" s="367">
        <f>'Maldives at LG Daily'!BC16</f>
        <v>2</v>
      </c>
      <c r="AZ13" s="367">
        <f>'Maldives at LG Daily'!BD16</f>
        <v>1</v>
      </c>
      <c r="BA13" s="367">
        <f>'Maldives at LG Daily'!BE16</f>
        <v>1</v>
      </c>
      <c r="BB13" s="367">
        <f>'Maldives at LG Daily'!BF16</f>
        <v>2</v>
      </c>
      <c r="BC13" s="367">
        <f>'Maldives at LG Daily'!BG16</f>
        <v>38</v>
      </c>
      <c r="BD13" s="367">
        <f>'Maldives at LG Daily'!BH16</f>
        <v>9</v>
      </c>
      <c r="BE13" s="367">
        <f>'Maldives at LG Daily'!BI16</f>
        <v>1</v>
      </c>
      <c r="BF13" s="367">
        <f>'Maldives at LG Daily'!BJ16</f>
        <v>4</v>
      </c>
      <c r="BG13" s="367">
        <f>'Maldives at LG Daily'!BK16</f>
        <v>3</v>
      </c>
      <c r="BH13" s="367">
        <f>'Maldives at LG Daily'!BL16</f>
        <v>1</v>
      </c>
      <c r="BI13" s="367">
        <f>'Maldives at LG Daily'!BM16</f>
        <v>15</v>
      </c>
      <c r="BJ13" s="367">
        <f>'Maldives at LG Daily'!BN16</f>
        <v>3</v>
      </c>
      <c r="BK13" s="367">
        <f>'Maldives at LG Daily'!BO16</f>
        <v>7</v>
      </c>
      <c r="BL13" s="451">
        <f>'Rooms nights and Food Covers'!B16</f>
        <v>36.9</v>
      </c>
      <c r="BM13" s="451">
        <f>'Rooms nights and Food Covers'!C16</f>
        <v>237</v>
      </c>
    </row>
    <row r="14" spans="1:65" ht="15.75" thickBot="1" x14ac:dyDescent="0.3">
      <c r="A14" s="368" t="s">
        <v>106</v>
      </c>
      <c r="B14" s="368">
        <v>13</v>
      </c>
      <c r="C14" s="369">
        <v>11</v>
      </c>
      <c r="D14" s="368">
        <v>2022</v>
      </c>
      <c r="E14" s="367">
        <f>'Maldives at LG Daily'!G17</f>
        <v>9928</v>
      </c>
      <c r="F14" s="367">
        <f>'Maldives at LG Daily'!H17</f>
        <v>4985</v>
      </c>
      <c r="G14" s="367">
        <f>'Maldives at LG Daily'!I17</f>
        <v>7011</v>
      </c>
      <c r="H14" s="367">
        <f>'Maldives at LG Daily'!J17</f>
        <v>0</v>
      </c>
      <c r="I14" s="367">
        <f>'Maldives at LG Daily'!K17</f>
        <v>4123</v>
      </c>
      <c r="J14" s="367">
        <f>'Maldives at LG Daily'!L17</f>
        <v>3846</v>
      </c>
      <c r="K14" s="367">
        <f>'Maldives at LG Daily'!M17</f>
        <v>3948</v>
      </c>
      <c r="L14" s="367">
        <f>'Maldives at LG Daily'!N17</f>
        <v>12211</v>
      </c>
      <c r="M14" s="367">
        <f>'Maldives at LG Daily'!O17</f>
        <v>2400</v>
      </c>
      <c r="N14" s="367">
        <f>'Maldives at LG Daily'!P17</f>
        <v>2855</v>
      </c>
      <c r="O14" s="367">
        <f>'Maldives at LG Daily'!Q17</f>
        <v>2300</v>
      </c>
      <c r="P14" s="367">
        <f>'Maldives at LG Daily'!R17</f>
        <v>482</v>
      </c>
      <c r="Q14" s="367">
        <f>'Maldives at LG Daily'!S17</f>
        <v>700</v>
      </c>
      <c r="R14" s="367">
        <f>'Maldives at LG Daily'!T17</f>
        <v>1400</v>
      </c>
      <c r="S14" s="367">
        <f>'Maldives at LG Daily'!U17</f>
        <v>3940</v>
      </c>
      <c r="T14" s="367">
        <f>'Maldives at LG Daily'!V17</f>
        <v>200</v>
      </c>
      <c r="U14" s="367">
        <f>'Maldives at LG Daily'!W17</f>
        <v>200</v>
      </c>
      <c r="V14" s="367">
        <f>'Maldives at LG Daily'!X17</f>
        <v>500</v>
      </c>
      <c r="W14" s="367">
        <f>'Maldives at LG Daily'!Y17</f>
        <v>170</v>
      </c>
      <c r="X14" s="367">
        <f>'Maldives at LG Daily'!Z17</f>
        <v>410</v>
      </c>
      <c r="Y14" s="367">
        <f>'Maldives at LG Daily'!AA17</f>
        <v>1100</v>
      </c>
      <c r="Z14" s="367">
        <f>'Maldives at LG Daily'!AB17</f>
        <v>480</v>
      </c>
      <c r="AA14" s="367">
        <f>'Maldives at LG Daily'!AC17</f>
        <v>920</v>
      </c>
      <c r="AB14" s="367">
        <f>'Maldives at LG Daily'!AD17</f>
        <v>700</v>
      </c>
      <c r="AC14" s="367">
        <f>'Maldives at LG Daily'!AE17</f>
        <v>1170</v>
      </c>
      <c r="AD14" s="367">
        <f>'Maldives at LG Daily'!AF17</f>
        <v>1170</v>
      </c>
      <c r="AE14" s="367">
        <f>'Maldives at LG Daily'!AG17</f>
        <v>770</v>
      </c>
      <c r="AF14" s="367">
        <f>'Maldives at LG Daily'!AH17</f>
        <v>610</v>
      </c>
      <c r="AG14" s="367">
        <f>'Maldives at LG Daily'!AI17</f>
        <v>270</v>
      </c>
      <c r="AH14" s="367">
        <f>'Maldives at LG Daily'!AJ17</f>
        <v>110</v>
      </c>
      <c r="AI14" s="367">
        <f>'Maldives at LG Daily'!AK17</f>
        <v>920</v>
      </c>
      <c r="AJ14" s="367">
        <f>'Maldives at LG Daily'!AL17</f>
        <v>270</v>
      </c>
      <c r="AK14" s="367">
        <f>'Maldives at LG Daily'!AM17</f>
        <v>370</v>
      </c>
      <c r="AL14" s="367">
        <f>'Maldives at LG Daily'!AN17</f>
        <v>510</v>
      </c>
      <c r="AM14" s="367">
        <f>'Maldives at LG Daily'!AQ17</f>
        <v>232</v>
      </c>
      <c r="AN14" s="367">
        <f>'Maldives at LG Daily'!AR17</f>
        <v>119</v>
      </c>
      <c r="AO14" s="367">
        <f>'Maldives at LG Daily'!AS17</f>
        <v>6</v>
      </c>
      <c r="AP14" s="367">
        <f>'Maldives at LG Daily'!AT17</f>
        <v>129</v>
      </c>
      <c r="AQ14" s="367">
        <f>'Maldives at LG Daily'!AU17</f>
        <v>21</v>
      </c>
      <c r="AR14" s="367">
        <f>'Maldives at LG Daily'!AV17</f>
        <v>6</v>
      </c>
      <c r="AS14" s="367">
        <f>'Maldives at LG Daily'!AW17</f>
        <v>10</v>
      </c>
      <c r="AT14" s="367">
        <f>'Maldives at LG Daily'!AX17</f>
        <v>10</v>
      </c>
      <c r="AU14" s="367">
        <f>'Maldives at LG Daily'!AY17</f>
        <v>8</v>
      </c>
      <c r="AV14" s="367">
        <f>'Maldives at LG Daily'!AZ17</f>
        <v>6</v>
      </c>
      <c r="AW14" s="367">
        <f>'Maldives at LG Daily'!BA17</f>
        <v>10</v>
      </c>
      <c r="AX14" s="367">
        <f>'Maldives at LG Daily'!BB17</f>
        <v>7</v>
      </c>
      <c r="AY14" s="367">
        <f>'Maldives at LG Daily'!BC17</f>
        <v>1</v>
      </c>
      <c r="AZ14" s="367">
        <f>'Maldives at LG Daily'!BD17</f>
        <v>0</v>
      </c>
      <c r="BA14" s="367">
        <f>'Maldives at LG Daily'!BE17</f>
        <v>4</v>
      </c>
      <c r="BB14" s="367">
        <f>'Maldives at LG Daily'!BF17</f>
        <v>0</v>
      </c>
      <c r="BC14" s="367">
        <f>'Maldives at LG Daily'!BG17</f>
        <v>24</v>
      </c>
      <c r="BD14" s="367">
        <f>'Maldives at LG Daily'!BH17</f>
        <v>8</v>
      </c>
      <c r="BE14" s="367">
        <f>'Maldives at LG Daily'!BI17</f>
        <v>1</v>
      </c>
      <c r="BF14" s="367">
        <f>'Maldives at LG Daily'!BJ17</f>
        <v>3</v>
      </c>
      <c r="BG14" s="367">
        <f>'Maldives at LG Daily'!BK17</f>
        <v>3</v>
      </c>
      <c r="BH14" s="367">
        <f>'Maldives at LG Daily'!BL17</f>
        <v>6</v>
      </c>
      <c r="BI14" s="367">
        <f>'Maldives at LG Daily'!BM17</f>
        <v>15</v>
      </c>
      <c r="BJ14" s="367">
        <f>'Maldives at LG Daily'!BN17</f>
        <v>2</v>
      </c>
      <c r="BK14" s="367">
        <f>'Maldives at LG Daily'!BO17</f>
        <v>3</v>
      </c>
      <c r="BL14" s="451">
        <f>'Rooms nights and Food Covers'!B17</f>
        <v>39.799999999999997</v>
      </c>
      <c r="BM14" s="451">
        <f>'Rooms nights and Food Covers'!C17</f>
        <v>261</v>
      </c>
    </row>
    <row r="15" spans="1:65" ht="15.75" thickBot="1" x14ac:dyDescent="0.3">
      <c r="A15" s="368" t="s">
        <v>106</v>
      </c>
      <c r="B15" s="368">
        <v>14</v>
      </c>
      <c r="C15" s="369">
        <v>11</v>
      </c>
      <c r="D15" s="368">
        <v>2022</v>
      </c>
      <c r="E15" s="367">
        <f>'Maldives at LG Daily'!G18</f>
        <v>0</v>
      </c>
      <c r="F15" s="367">
        <f>'Maldives at LG Daily'!H18</f>
        <v>11347</v>
      </c>
      <c r="G15" s="367">
        <f>'Maldives at LG Daily'!I18</f>
        <v>9981</v>
      </c>
      <c r="H15" s="367">
        <f>'Maldives at LG Daily'!J18</f>
        <v>0</v>
      </c>
      <c r="I15" s="367">
        <f>'Maldives at LG Daily'!K18</f>
        <v>4073</v>
      </c>
      <c r="J15" s="367">
        <f>'Maldives at LG Daily'!L18</f>
        <v>3723</v>
      </c>
      <c r="K15" s="367">
        <f>'Maldives at LG Daily'!M18</f>
        <v>3855</v>
      </c>
      <c r="L15" s="367">
        <f>'Maldives at LG Daily'!N18</f>
        <v>11944</v>
      </c>
      <c r="M15" s="367">
        <f>'Maldives at LG Daily'!O18</f>
        <v>2200</v>
      </c>
      <c r="N15" s="367">
        <f>'Maldives at LG Daily'!P18</f>
        <v>2778</v>
      </c>
      <c r="O15" s="367">
        <f>'Maldives at LG Daily'!Q18</f>
        <v>2000</v>
      </c>
      <c r="P15" s="367">
        <f>'Maldives at LG Daily'!R18</f>
        <v>538</v>
      </c>
      <c r="Q15" s="367">
        <f>'Maldives at LG Daily'!S18</f>
        <v>600</v>
      </c>
      <c r="R15" s="367">
        <f>'Maldives at LG Daily'!T18</f>
        <v>1500</v>
      </c>
      <c r="S15" s="367">
        <f>'Maldives at LG Daily'!U18</f>
        <v>3670</v>
      </c>
      <c r="T15" s="367">
        <f>'Maldives at LG Daily'!V18</f>
        <v>300</v>
      </c>
      <c r="U15" s="367">
        <f>'Maldives at LG Daily'!W18</f>
        <v>300</v>
      </c>
      <c r="V15" s="367">
        <f>'Maldives at LG Daily'!X18</f>
        <v>600</v>
      </c>
      <c r="W15" s="367">
        <f>'Maldives at LG Daily'!Y18</f>
        <v>150</v>
      </c>
      <c r="X15" s="367">
        <f>'Maldives at LG Daily'!Z18</f>
        <v>480</v>
      </c>
      <c r="Y15" s="367">
        <f>'Maldives at LG Daily'!AA18</f>
        <v>1100</v>
      </c>
      <c r="Z15" s="367">
        <f>'Maldives at LG Daily'!AB18</f>
        <v>360</v>
      </c>
      <c r="AA15" s="367">
        <f>'Maldives at LG Daily'!AC18</f>
        <v>900</v>
      </c>
      <c r="AB15" s="367">
        <f>'Maldives at LG Daily'!AD18</f>
        <v>650</v>
      </c>
      <c r="AC15" s="367">
        <f>'Maldives at LG Daily'!AE18</f>
        <v>930</v>
      </c>
      <c r="AD15" s="367">
        <f>'Maldives at LG Daily'!AF18</f>
        <v>930</v>
      </c>
      <c r="AE15" s="367">
        <f>'Maldives at LG Daily'!AG18</f>
        <v>1600</v>
      </c>
      <c r="AF15" s="367">
        <f>'Maldives at LG Daily'!AH18</f>
        <v>640</v>
      </c>
      <c r="AG15" s="367">
        <f>'Maldives at LG Daily'!AI18</f>
        <v>270</v>
      </c>
      <c r="AH15" s="367">
        <f>'Maldives at LG Daily'!AJ18</f>
        <v>150</v>
      </c>
      <c r="AI15" s="367">
        <f>'Maldives at LG Daily'!AK18</f>
        <v>50</v>
      </c>
      <c r="AJ15" s="367">
        <f>'Maldives at LG Daily'!AL18</f>
        <v>270</v>
      </c>
      <c r="AK15" s="367">
        <f>'Maldives at LG Daily'!AM18</f>
        <v>340</v>
      </c>
      <c r="AL15" s="367">
        <f>'Maldives at LG Daily'!AN18</f>
        <v>530</v>
      </c>
      <c r="AM15" s="367">
        <f>'Maldives at LG Daily'!AQ18</f>
        <v>163</v>
      </c>
      <c r="AN15" s="367">
        <f>'Maldives at LG Daily'!AR18</f>
        <v>107</v>
      </c>
      <c r="AO15" s="367">
        <f>'Maldives at LG Daily'!AS18</f>
        <v>0</v>
      </c>
      <c r="AP15" s="367">
        <f>'Maldives at LG Daily'!AT18</f>
        <v>120</v>
      </c>
      <c r="AQ15" s="367">
        <f>'Maldives at LG Daily'!AU18</f>
        <v>22</v>
      </c>
      <c r="AR15" s="367">
        <f>'Maldives at LG Daily'!AV18</f>
        <v>6</v>
      </c>
      <c r="AS15" s="367">
        <f>'Maldives at LG Daily'!AW18</f>
        <v>9</v>
      </c>
      <c r="AT15" s="367">
        <f>'Maldives at LG Daily'!AX18</f>
        <v>11</v>
      </c>
      <c r="AU15" s="367">
        <f>'Maldives at LG Daily'!AY18</f>
        <v>9</v>
      </c>
      <c r="AV15" s="367">
        <f>'Maldives at LG Daily'!AZ18</f>
        <v>6</v>
      </c>
      <c r="AW15" s="367">
        <f>'Maldives at LG Daily'!BA18</f>
        <v>6</v>
      </c>
      <c r="AX15" s="367">
        <f>'Maldives at LG Daily'!BB18</f>
        <v>8</v>
      </c>
      <c r="AY15" s="367">
        <f>'Maldives at LG Daily'!BC18</f>
        <v>1</v>
      </c>
      <c r="AZ15" s="367">
        <f>'Maldives at LG Daily'!BD18</f>
        <v>1</v>
      </c>
      <c r="BA15" s="367">
        <f>'Maldives at LG Daily'!BE18</f>
        <v>2</v>
      </c>
      <c r="BB15" s="367">
        <f>'Maldives at LG Daily'!BF18</f>
        <v>1</v>
      </c>
      <c r="BC15" s="367">
        <f>'Maldives at LG Daily'!BG18</f>
        <v>27</v>
      </c>
      <c r="BD15" s="367">
        <f>'Maldives at LG Daily'!BH18</f>
        <v>11</v>
      </c>
      <c r="BE15" s="367">
        <f>'Maldives at LG Daily'!BI18</f>
        <v>0</v>
      </c>
      <c r="BF15" s="367">
        <f>'Maldives at LG Daily'!BJ18</f>
        <v>15</v>
      </c>
      <c r="BG15" s="367">
        <f>'Maldives at LG Daily'!BK18</f>
        <v>3</v>
      </c>
      <c r="BH15" s="367">
        <f>'Maldives at LG Daily'!BL18</f>
        <v>5</v>
      </c>
      <c r="BI15" s="367">
        <f>'Maldives at LG Daily'!BM18</f>
        <v>15</v>
      </c>
      <c r="BJ15" s="367">
        <f>'Maldives at LG Daily'!BN18</f>
        <v>4</v>
      </c>
      <c r="BK15" s="367">
        <f>'Maldives at LG Daily'!BO18</f>
        <v>5</v>
      </c>
      <c r="BL15" s="451">
        <f>'Rooms nights and Food Covers'!B18</f>
        <v>35.9</v>
      </c>
      <c r="BM15" s="451">
        <f>'Rooms nights and Food Covers'!C18</f>
        <v>249</v>
      </c>
    </row>
    <row r="16" spans="1:65" ht="15.75" thickBot="1" x14ac:dyDescent="0.3">
      <c r="A16" s="368" t="s">
        <v>106</v>
      </c>
      <c r="B16" s="368">
        <v>15</v>
      </c>
      <c r="C16" s="369">
        <v>11</v>
      </c>
      <c r="D16" s="368">
        <v>2022</v>
      </c>
      <c r="E16" s="367">
        <f>'Maldives at LG Daily'!G19</f>
        <v>4034</v>
      </c>
      <c r="F16" s="367">
        <f>'Maldives at LG Daily'!H19</f>
        <v>11006</v>
      </c>
      <c r="G16" s="367">
        <f>'Maldives at LG Daily'!I19</f>
        <v>6190</v>
      </c>
      <c r="H16" s="367">
        <f>'Maldives at LG Daily'!J19</f>
        <v>0</v>
      </c>
      <c r="I16" s="367">
        <f>'Maldives at LG Daily'!K19</f>
        <v>3963</v>
      </c>
      <c r="J16" s="367">
        <f>'Maldives at LG Daily'!L19</f>
        <v>3701</v>
      </c>
      <c r="K16" s="367">
        <f>'Maldives at LG Daily'!M19</f>
        <v>3807</v>
      </c>
      <c r="L16" s="367">
        <f>'Maldives at LG Daily'!N19</f>
        <v>11753</v>
      </c>
      <c r="M16" s="367">
        <f>'Maldives at LG Daily'!O19</f>
        <v>2300</v>
      </c>
      <c r="N16" s="367">
        <f>'Maldives at LG Daily'!P19</f>
        <v>2881</v>
      </c>
      <c r="O16" s="367">
        <f>'Maldives at LG Daily'!Q19</f>
        <v>1700</v>
      </c>
      <c r="P16" s="367">
        <f>'Maldives at LG Daily'!R19</f>
        <v>503</v>
      </c>
      <c r="Q16" s="367">
        <f>'Maldives at LG Daily'!S19</f>
        <v>700</v>
      </c>
      <c r="R16" s="367">
        <f>'Maldives at LG Daily'!T19</f>
        <v>1300</v>
      </c>
      <c r="S16" s="367">
        <f>'Maldives at LG Daily'!U19</f>
        <v>3720</v>
      </c>
      <c r="T16" s="367">
        <f>'Maldives at LG Daily'!V19</f>
        <v>300</v>
      </c>
      <c r="U16" s="367">
        <f>'Maldives at LG Daily'!W19</f>
        <v>300</v>
      </c>
      <c r="V16" s="367">
        <f>'Maldives at LG Daily'!X19</f>
        <v>500</v>
      </c>
      <c r="W16" s="367">
        <f>'Maldives at LG Daily'!Y19</f>
        <v>160</v>
      </c>
      <c r="X16" s="367">
        <f>'Maldives at LG Daily'!Z19</f>
        <v>430</v>
      </c>
      <c r="Y16" s="367">
        <f>'Maldives at LG Daily'!AA19</f>
        <v>1100</v>
      </c>
      <c r="Z16" s="367">
        <f>'Maldives at LG Daily'!AB19</f>
        <v>390</v>
      </c>
      <c r="AA16" s="367">
        <f>'Maldives at LG Daily'!AC19</f>
        <v>760</v>
      </c>
      <c r="AB16" s="367">
        <f>'Maldives at LG Daily'!AD19</f>
        <v>610</v>
      </c>
      <c r="AC16" s="367">
        <f>'Maldives at LG Daily'!AE19</f>
        <v>1060</v>
      </c>
      <c r="AD16" s="367">
        <f>'Maldives at LG Daily'!AF19</f>
        <v>1060</v>
      </c>
      <c r="AE16" s="367">
        <f>'Maldives at LG Daily'!AG19</f>
        <v>0</v>
      </c>
      <c r="AF16" s="367">
        <f>'Maldives at LG Daily'!AH19</f>
        <v>620</v>
      </c>
      <c r="AG16" s="367">
        <f>'Maldives at LG Daily'!AI19</f>
        <v>290</v>
      </c>
      <c r="AH16" s="367">
        <f>'Maldives at LG Daily'!AJ19</f>
        <v>130</v>
      </c>
      <c r="AI16" s="367">
        <f>'Maldives at LG Daily'!AK19</f>
        <v>1800</v>
      </c>
      <c r="AJ16" s="367">
        <f>'Maldives at LG Daily'!AL19</f>
        <v>270</v>
      </c>
      <c r="AK16" s="367">
        <f>'Maldives at LG Daily'!AM19</f>
        <v>350</v>
      </c>
      <c r="AL16" s="367">
        <f>'Maldives at LG Daily'!AN19</f>
        <v>510</v>
      </c>
      <c r="AM16" s="367">
        <f>'Maldives at LG Daily'!AQ19</f>
        <v>148</v>
      </c>
      <c r="AN16" s="367">
        <f>'Maldives at LG Daily'!AR19</f>
        <v>57</v>
      </c>
      <c r="AO16" s="367">
        <f>'Maldives at LG Daily'!AS19</f>
        <v>0</v>
      </c>
      <c r="AP16" s="367">
        <f>'Maldives at LG Daily'!AT19</f>
        <v>127</v>
      </c>
      <c r="AQ16" s="367">
        <f>'Maldives at LG Daily'!AU19</f>
        <v>24</v>
      </c>
      <c r="AR16" s="367">
        <f>'Maldives at LG Daily'!AV19</f>
        <v>7</v>
      </c>
      <c r="AS16" s="367">
        <f>'Maldives at LG Daily'!AW19</f>
        <v>10</v>
      </c>
      <c r="AT16" s="367">
        <f>'Maldives at LG Daily'!AX19</f>
        <v>10</v>
      </c>
      <c r="AU16" s="367">
        <f>'Maldives at LG Daily'!AY19</f>
        <v>8</v>
      </c>
      <c r="AV16" s="367">
        <f>'Maldives at LG Daily'!AZ19</f>
        <v>7</v>
      </c>
      <c r="AW16" s="367">
        <f>'Maldives at LG Daily'!BA19</f>
        <v>7</v>
      </c>
      <c r="AX16" s="367">
        <f>'Maldives at LG Daily'!BB19</f>
        <v>6</v>
      </c>
      <c r="AY16" s="367">
        <f>'Maldives at LG Daily'!BC19</f>
        <v>2</v>
      </c>
      <c r="AZ16" s="367">
        <f>'Maldives at LG Daily'!BD19</f>
        <v>0</v>
      </c>
      <c r="BA16" s="367">
        <f>'Maldives at LG Daily'!BE19</f>
        <v>5</v>
      </c>
      <c r="BB16" s="367">
        <f>'Maldives at LG Daily'!BF19</f>
        <v>5</v>
      </c>
      <c r="BC16" s="367">
        <f>'Maldives at LG Daily'!BG19</f>
        <v>25</v>
      </c>
      <c r="BD16" s="367">
        <f>'Maldives at LG Daily'!BH19</f>
        <v>11</v>
      </c>
      <c r="BE16" s="367">
        <f>'Maldives at LG Daily'!BI19</f>
        <v>1</v>
      </c>
      <c r="BF16" s="367">
        <f>'Maldives at LG Daily'!BJ19</f>
        <v>4</v>
      </c>
      <c r="BG16" s="367">
        <f>'Maldives at LG Daily'!BK19</f>
        <v>3</v>
      </c>
      <c r="BH16" s="367">
        <f>'Maldives at LG Daily'!BL19</f>
        <v>3</v>
      </c>
      <c r="BI16" s="367">
        <f>'Maldives at LG Daily'!BM19</f>
        <v>15</v>
      </c>
      <c r="BJ16" s="367">
        <f>'Maldives at LG Daily'!BN19</f>
        <v>2</v>
      </c>
      <c r="BK16" s="367">
        <f>'Maldives at LG Daily'!BO19</f>
        <v>2</v>
      </c>
      <c r="BL16" s="451">
        <f>'Rooms nights and Food Covers'!B19</f>
        <v>46.6</v>
      </c>
      <c r="BM16" s="451">
        <f>'Rooms nights and Food Covers'!C19</f>
        <v>281</v>
      </c>
    </row>
    <row r="17" spans="1:65" ht="15.75" thickBot="1" x14ac:dyDescent="0.3">
      <c r="A17" s="368" t="s">
        <v>106</v>
      </c>
      <c r="B17" s="368">
        <v>16</v>
      </c>
      <c r="C17" s="369">
        <v>11</v>
      </c>
      <c r="D17" s="368">
        <v>2022</v>
      </c>
      <c r="E17" s="367">
        <f>'Maldives at LG Daily'!G20</f>
        <v>4805</v>
      </c>
      <c r="F17" s="367">
        <f>'Maldives at LG Daily'!H20</f>
        <v>9820</v>
      </c>
      <c r="G17" s="367">
        <f>'Maldives at LG Daily'!I20</f>
        <v>5517</v>
      </c>
      <c r="H17" s="367">
        <f>'Maldives at LG Daily'!J20</f>
        <v>0</v>
      </c>
      <c r="I17" s="367">
        <f>'Maldives at LG Daily'!K20</f>
        <v>4742</v>
      </c>
      <c r="J17" s="367">
        <f>'Maldives at LG Daily'!L20</f>
        <v>3615</v>
      </c>
      <c r="K17" s="367">
        <f>'Maldives at LG Daily'!M20</f>
        <v>3735</v>
      </c>
      <c r="L17" s="367">
        <f>'Maldives at LG Daily'!N20</f>
        <v>11595</v>
      </c>
      <c r="M17" s="367">
        <f>'Maldives at LG Daily'!O20</f>
        <v>2200</v>
      </c>
      <c r="N17" s="367">
        <f>'Maldives at LG Daily'!P20</f>
        <v>2793</v>
      </c>
      <c r="O17" s="367">
        <f>'Maldives at LG Daily'!Q20</f>
        <v>1700</v>
      </c>
      <c r="P17" s="367">
        <f>'Maldives at LG Daily'!R20</f>
        <v>492</v>
      </c>
      <c r="Q17" s="367">
        <f>'Maldives at LG Daily'!S20</f>
        <v>700</v>
      </c>
      <c r="R17" s="367">
        <f>'Maldives at LG Daily'!T20</f>
        <v>1600</v>
      </c>
      <c r="S17" s="367">
        <f>'Maldives at LG Daily'!U20</f>
        <v>3640</v>
      </c>
      <c r="T17" s="367">
        <f>'Maldives at LG Daily'!V20</f>
        <v>300</v>
      </c>
      <c r="U17" s="367">
        <f>'Maldives at LG Daily'!W20</f>
        <v>300</v>
      </c>
      <c r="V17" s="367">
        <f>'Maldives at LG Daily'!X20</f>
        <v>500</v>
      </c>
      <c r="W17" s="367">
        <f>'Maldives at LG Daily'!Y20</f>
        <v>340</v>
      </c>
      <c r="X17" s="367">
        <f>'Maldives at LG Daily'!Z20</f>
        <v>410</v>
      </c>
      <c r="Y17" s="367">
        <f>'Maldives at LG Daily'!AA20</f>
        <v>1200</v>
      </c>
      <c r="Z17" s="367">
        <f>'Maldives at LG Daily'!AB20</f>
        <v>410</v>
      </c>
      <c r="AA17" s="367">
        <f>'Maldives at LG Daily'!AC20</f>
        <v>790</v>
      </c>
      <c r="AB17" s="367">
        <f>'Maldives at LG Daily'!AD20</f>
        <v>720</v>
      </c>
      <c r="AC17" s="367">
        <f>'Maldives at LG Daily'!AE20</f>
        <v>1010</v>
      </c>
      <c r="AD17" s="367">
        <f>'Maldives at LG Daily'!AF20</f>
        <v>1010</v>
      </c>
      <c r="AE17" s="367">
        <f>'Maldives at LG Daily'!AG20</f>
        <v>780</v>
      </c>
      <c r="AF17" s="367">
        <f>'Maldives at LG Daily'!AH20</f>
        <v>540</v>
      </c>
      <c r="AG17" s="367">
        <f>'Maldives at LG Daily'!AI20</f>
        <v>0</v>
      </c>
      <c r="AH17" s="367">
        <f>'Maldives at LG Daily'!AJ20</f>
        <v>150</v>
      </c>
      <c r="AI17" s="367">
        <f>'Maldives at LG Daily'!AK20</f>
        <v>980</v>
      </c>
      <c r="AJ17" s="367">
        <f>'Maldives at LG Daily'!AL20</f>
        <v>280</v>
      </c>
      <c r="AK17" s="367">
        <f>'Maldives at LG Daily'!AM20</f>
        <v>350</v>
      </c>
      <c r="AL17" s="367">
        <f>'Maldives at LG Daily'!AN20</f>
        <v>480</v>
      </c>
      <c r="AM17" s="367">
        <f>'Maldives at LG Daily'!AQ20</f>
        <v>172</v>
      </c>
      <c r="AN17" s="367">
        <f>'Maldives at LG Daily'!AR20</f>
        <v>67</v>
      </c>
      <c r="AO17" s="367">
        <f>'Maldives at LG Daily'!AS20</f>
        <v>0</v>
      </c>
      <c r="AP17" s="367">
        <f>'Maldives at LG Daily'!AT20</f>
        <v>87</v>
      </c>
      <c r="AQ17" s="367">
        <f>'Maldives at LG Daily'!AU20</f>
        <v>25</v>
      </c>
      <c r="AR17" s="367">
        <f>'Maldives at LG Daily'!AV20</f>
        <v>4</v>
      </c>
      <c r="AS17" s="367">
        <f>'Maldives at LG Daily'!AW20</f>
        <v>10</v>
      </c>
      <c r="AT17" s="367">
        <f>'Maldives at LG Daily'!AX20</f>
        <v>10</v>
      </c>
      <c r="AU17" s="367">
        <f>'Maldives at LG Daily'!AY20</f>
        <v>8</v>
      </c>
      <c r="AV17" s="367">
        <f>'Maldives at LG Daily'!AZ20</f>
        <v>7</v>
      </c>
      <c r="AW17" s="367">
        <f>'Maldives at LG Daily'!BA20</f>
        <v>8</v>
      </c>
      <c r="AX17" s="367">
        <f>'Maldives at LG Daily'!BB20</f>
        <v>7</v>
      </c>
      <c r="AY17" s="367">
        <f>'Maldives at LG Daily'!BC20</f>
        <v>1</v>
      </c>
      <c r="AZ17" s="367">
        <f>'Maldives at LG Daily'!BD20</f>
        <v>0</v>
      </c>
      <c r="BA17" s="367">
        <f>'Maldives at LG Daily'!BE20</f>
        <v>4</v>
      </c>
      <c r="BB17" s="367">
        <f>'Maldives at LG Daily'!BF20</f>
        <v>3</v>
      </c>
      <c r="BC17" s="367">
        <f>'Maldives at LG Daily'!BG20</f>
        <v>26</v>
      </c>
      <c r="BD17" s="367">
        <f>'Maldives at LG Daily'!BH20</f>
        <v>7</v>
      </c>
      <c r="BE17" s="367">
        <f>'Maldives at LG Daily'!BI20</f>
        <v>1</v>
      </c>
      <c r="BF17" s="367">
        <f>'Maldives at LG Daily'!BJ20</f>
        <v>3</v>
      </c>
      <c r="BG17" s="367">
        <f>'Maldives at LG Daily'!BK20</f>
        <v>3</v>
      </c>
      <c r="BH17" s="367">
        <f>'Maldives at LG Daily'!BL20</f>
        <v>3</v>
      </c>
      <c r="BI17" s="367">
        <f>'Maldives at LG Daily'!BM20</f>
        <v>15</v>
      </c>
      <c r="BJ17" s="367">
        <f>'Maldives at LG Daily'!BN20</f>
        <v>2</v>
      </c>
      <c r="BK17" s="367">
        <f>'Maldives at LG Daily'!BO20</f>
        <v>1</v>
      </c>
      <c r="BL17" s="451">
        <f>'Rooms nights and Food Covers'!B20</f>
        <v>49.5</v>
      </c>
      <c r="BM17" s="451">
        <f>'Rooms nights and Food Covers'!C20</f>
        <v>276</v>
      </c>
    </row>
    <row r="18" spans="1:65" ht="15.75" thickBot="1" x14ac:dyDescent="0.3">
      <c r="A18" s="368" t="s">
        <v>106</v>
      </c>
      <c r="B18" s="368">
        <v>17</v>
      </c>
      <c r="C18" s="369">
        <v>11</v>
      </c>
      <c r="D18" s="368">
        <v>2022</v>
      </c>
      <c r="E18" s="367">
        <f>'Maldives at LG Daily'!G21</f>
        <v>5186</v>
      </c>
      <c r="F18" s="367">
        <f>'Maldives at LG Daily'!H21</f>
        <v>8501</v>
      </c>
      <c r="G18" s="367">
        <f>'Maldives at LG Daily'!I21</f>
        <v>4797</v>
      </c>
      <c r="H18" s="367">
        <f>'Maldives at LG Daily'!J21</f>
        <v>0</v>
      </c>
      <c r="I18" s="367">
        <f>'Maldives at LG Daily'!K21</f>
        <v>5069</v>
      </c>
      <c r="J18" s="367">
        <f>'Maldives at LG Daily'!L21</f>
        <v>3493</v>
      </c>
      <c r="K18" s="367">
        <f>'Maldives at LG Daily'!M21</f>
        <v>3606</v>
      </c>
      <c r="L18" s="367">
        <f>'Maldives at LG Daily'!N21</f>
        <v>10734</v>
      </c>
      <c r="M18" s="367">
        <f>'Maldives at LG Daily'!O21</f>
        <v>2100</v>
      </c>
      <c r="N18" s="367">
        <f>'Maldives at LG Daily'!P21</f>
        <v>2736</v>
      </c>
      <c r="O18" s="367">
        <f>'Maldives at LG Daily'!Q21</f>
        <v>1400</v>
      </c>
      <c r="P18" s="367">
        <f>'Maldives at LG Daily'!R21</f>
        <v>499</v>
      </c>
      <c r="Q18" s="367">
        <f>'Maldives at LG Daily'!S21</f>
        <v>700</v>
      </c>
      <c r="R18" s="367">
        <f>'Maldives at LG Daily'!T21</f>
        <v>1500</v>
      </c>
      <c r="S18" s="367">
        <f>'Maldives at LG Daily'!U21</f>
        <v>3370</v>
      </c>
      <c r="T18" s="367">
        <f>'Maldives at LG Daily'!V21</f>
        <v>200</v>
      </c>
      <c r="U18" s="367">
        <f>'Maldives at LG Daily'!W21</f>
        <v>200</v>
      </c>
      <c r="V18" s="367">
        <f>'Maldives at LG Daily'!X21</f>
        <v>500</v>
      </c>
      <c r="W18" s="367">
        <f>'Maldives at LG Daily'!Y21</f>
        <v>0</v>
      </c>
      <c r="X18" s="367">
        <f>'Maldives at LG Daily'!Z21</f>
        <v>430</v>
      </c>
      <c r="Y18" s="367">
        <f>'Maldives at LG Daily'!AA21</f>
        <v>1100</v>
      </c>
      <c r="Z18" s="367">
        <f>'Maldives at LG Daily'!AB21</f>
        <v>440</v>
      </c>
      <c r="AA18" s="367">
        <f>'Maldives at LG Daily'!AC21</f>
        <v>750</v>
      </c>
      <c r="AB18" s="367">
        <f>'Maldives at LG Daily'!AD21</f>
        <v>550</v>
      </c>
      <c r="AC18" s="367">
        <f>'Maldives at LG Daily'!AE21</f>
        <v>1040</v>
      </c>
      <c r="AD18" s="367">
        <f>'Maldives at LG Daily'!AF21</f>
        <v>1040</v>
      </c>
      <c r="AE18" s="367">
        <f>'Maldives at LG Daily'!AG21</f>
        <v>590</v>
      </c>
      <c r="AF18" s="367">
        <f>'Maldives at LG Daily'!AH21</f>
        <v>580</v>
      </c>
      <c r="AG18" s="367">
        <f>'Maldives at LG Daily'!AI21</f>
        <v>270</v>
      </c>
      <c r="AH18" s="367">
        <f>'Maldives at LG Daily'!AJ21</f>
        <v>130</v>
      </c>
      <c r="AI18" s="367">
        <f>'Maldives at LG Daily'!AK21</f>
        <v>890</v>
      </c>
      <c r="AJ18" s="367">
        <f>'Maldives at LG Daily'!AL21</f>
        <v>250</v>
      </c>
      <c r="AK18" s="367">
        <f>'Maldives at LG Daily'!AM21</f>
        <v>320</v>
      </c>
      <c r="AL18" s="367">
        <f>'Maldives at LG Daily'!AN21</f>
        <v>0</v>
      </c>
      <c r="AM18" s="367">
        <f>'Maldives at LG Daily'!AQ21</f>
        <v>184</v>
      </c>
      <c r="AN18" s="367">
        <f>'Maldives at LG Daily'!AR21</f>
        <v>89</v>
      </c>
      <c r="AO18" s="367">
        <f>'Maldives at LG Daily'!AS21</f>
        <v>39</v>
      </c>
      <c r="AP18" s="367">
        <f>'Maldives at LG Daily'!AT21</f>
        <v>0</v>
      </c>
      <c r="AQ18" s="367">
        <f>'Maldives at LG Daily'!AU21</f>
        <v>22</v>
      </c>
      <c r="AR18" s="367">
        <f>'Maldives at LG Daily'!AV21</f>
        <v>0</v>
      </c>
      <c r="AS18" s="367">
        <f>'Maldives at LG Daily'!AW21</f>
        <v>8</v>
      </c>
      <c r="AT18" s="367">
        <f>'Maldives at LG Daily'!AX21</f>
        <v>11</v>
      </c>
      <c r="AU18" s="367">
        <f>'Maldives at LG Daily'!AY21</f>
        <v>8</v>
      </c>
      <c r="AV18" s="367">
        <f>'Maldives at LG Daily'!AZ21</f>
        <v>6</v>
      </c>
      <c r="AW18" s="367">
        <f>'Maldives at LG Daily'!BA21</f>
        <v>8</v>
      </c>
      <c r="AX18" s="367">
        <f>'Maldives at LG Daily'!BB21</f>
        <v>9</v>
      </c>
      <c r="AY18" s="367">
        <f>'Maldives at LG Daily'!BC21</f>
        <v>2</v>
      </c>
      <c r="AZ18" s="367">
        <f>'Maldives at LG Daily'!BD21</f>
        <v>0</v>
      </c>
      <c r="BA18" s="367">
        <f>'Maldives at LG Daily'!BE21</f>
        <v>1</v>
      </c>
      <c r="BB18" s="367">
        <f>'Maldives at LG Daily'!BF21</f>
        <v>0</v>
      </c>
      <c r="BC18" s="367">
        <f>'Maldives at LG Daily'!BG21</f>
        <v>26</v>
      </c>
      <c r="BD18" s="367">
        <f>'Maldives at LG Daily'!BH21</f>
        <v>12</v>
      </c>
      <c r="BE18" s="367">
        <f>'Maldives at LG Daily'!BI21</f>
        <v>0</v>
      </c>
      <c r="BF18" s="367">
        <f>'Maldives at LG Daily'!BJ21</f>
        <v>1</v>
      </c>
      <c r="BG18" s="367">
        <f>'Maldives at LG Daily'!BK21</f>
        <v>2</v>
      </c>
      <c r="BH18" s="367">
        <f>'Maldives at LG Daily'!BL21</f>
        <v>2</v>
      </c>
      <c r="BI18" s="367">
        <f>'Maldives at LG Daily'!BM21</f>
        <v>15</v>
      </c>
      <c r="BJ18" s="367">
        <f>'Maldives at LG Daily'!BN21</f>
        <v>2</v>
      </c>
      <c r="BK18" s="367">
        <f>'Maldives at LG Daily'!BO21</f>
        <v>2</v>
      </c>
      <c r="BL18" s="451">
        <f>'Rooms nights and Food Covers'!B21</f>
        <v>41.7</v>
      </c>
      <c r="BM18" s="451">
        <f>'Rooms nights and Food Covers'!C21</f>
        <v>255</v>
      </c>
    </row>
    <row r="19" spans="1:65" ht="15.75" thickBot="1" x14ac:dyDescent="0.3">
      <c r="A19" s="368" t="s">
        <v>106</v>
      </c>
      <c r="B19" s="368">
        <v>18</v>
      </c>
      <c r="C19" s="369">
        <v>11</v>
      </c>
      <c r="D19" s="368">
        <v>2022</v>
      </c>
      <c r="E19" s="367">
        <f>'Maldives at LG Daily'!G22</f>
        <v>4412</v>
      </c>
      <c r="F19" s="367">
        <f>'Maldives at LG Daily'!H22</f>
        <v>9174</v>
      </c>
      <c r="G19" s="367">
        <f>'Maldives at LG Daily'!I22</f>
        <v>4951</v>
      </c>
      <c r="H19" s="367">
        <f>'Maldives at LG Daily'!J22</f>
        <v>0</v>
      </c>
      <c r="I19" s="367">
        <f>'Maldives at LG Daily'!K22</f>
        <v>4437</v>
      </c>
      <c r="J19" s="367">
        <f>'Maldives at LG Daily'!L22</f>
        <v>3400</v>
      </c>
      <c r="K19" s="367">
        <f>'Maldives at LG Daily'!M22</f>
        <v>3135</v>
      </c>
      <c r="L19" s="367">
        <f>'Maldives at LG Daily'!N22</f>
        <v>10736</v>
      </c>
      <c r="M19" s="367">
        <f>'Maldives at LG Daily'!O22</f>
        <v>2100</v>
      </c>
      <c r="N19" s="367">
        <f>'Maldives at LG Daily'!P22</f>
        <v>2781</v>
      </c>
      <c r="O19" s="367">
        <f>'Maldives at LG Daily'!Q22</f>
        <v>1200</v>
      </c>
      <c r="P19" s="367">
        <f>'Maldives at LG Daily'!R22</f>
        <v>506</v>
      </c>
      <c r="Q19" s="367">
        <f>'Maldives at LG Daily'!S22</f>
        <v>600</v>
      </c>
      <c r="R19" s="367">
        <f>'Maldives at LG Daily'!T22</f>
        <v>1600</v>
      </c>
      <c r="S19" s="367">
        <f>'Maldives at LG Daily'!U22</f>
        <v>3220</v>
      </c>
      <c r="T19" s="367">
        <f>'Maldives at LG Daily'!V22</f>
        <v>300</v>
      </c>
      <c r="U19" s="367">
        <f>'Maldives at LG Daily'!W22</f>
        <v>300</v>
      </c>
      <c r="V19" s="367">
        <f>'Maldives at LG Daily'!X22</f>
        <v>500</v>
      </c>
      <c r="W19" s="367">
        <f>'Maldives at LG Daily'!Y22</f>
        <v>120</v>
      </c>
      <c r="X19" s="367">
        <f>'Maldives at LG Daily'!Z22</f>
        <v>450</v>
      </c>
      <c r="Y19" s="367">
        <f>'Maldives at LG Daily'!AA22</f>
        <v>1100</v>
      </c>
      <c r="Z19" s="367">
        <f>'Maldives at LG Daily'!AB22</f>
        <v>330</v>
      </c>
      <c r="AA19" s="367">
        <f>'Maldives at LG Daily'!AC22</f>
        <v>670</v>
      </c>
      <c r="AB19" s="367">
        <f>'Maldives at LG Daily'!AD22</f>
        <v>410</v>
      </c>
      <c r="AC19" s="367">
        <f>'Maldives at LG Daily'!AE22</f>
        <v>1730</v>
      </c>
      <c r="AD19" s="367">
        <f>'Maldives at LG Daily'!AF22</f>
        <v>1730</v>
      </c>
      <c r="AE19" s="367">
        <f>'Maldives at LG Daily'!AG22</f>
        <v>640</v>
      </c>
      <c r="AF19" s="367">
        <f>'Maldives at LG Daily'!AH22</f>
        <v>540</v>
      </c>
      <c r="AG19" s="367">
        <f>'Maldives at LG Daily'!AI22</f>
        <v>560</v>
      </c>
      <c r="AH19" s="367">
        <f>'Maldives at LG Daily'!AJ22</f>
        <v>170</v>
      </c>
      <c r="AI19" s="367">
        <f>'Maldives at LG Daily'!AK22</f>
        <v>940</v>
      </c>
      <c r="AJ19" s="367">
        <f>'Maldives at LG Daily'!AL22</f>
        <v>290</v>
      </c>
      <c r="AK19" s="367">
        <f>'Maldives at LG Daily'!AM22</f>
        <v>260</v>
      </c>
      <c r="AL19" s="367">
        <f>'Maldives at LG Daily'!AN22</f>
        <v>1010</v>
      </c>
      <c r="AM19" s="367">
        <f>'Maldives at LG Daily'!AQ22</f>
        <v>194</v>
      </c>
      <c r="AN19" s="367">
        <f>'Maldives at LG Daily'!AR22</f>
        <v>33</v>
      </c>
      <c r="AO19" s="367">
        <f>'Maldives at LG Daily'!AS22</f>
        <v>28</v>
      </c>
      <c r="AP19" s="367">
        <f>'Maldives at LG Daily'!AT22</f>
        <v>27</v>
      </c>
      <c r="AQ19" s="367">
        <f>'Maldives at LG Daily'!AU22</f>
        <v>24</v>
      </c>
      <c r="AR19" s="367">
        <f>'Maldives at LG Daily'!AV22</f>
        <v>0</v>
      </c>
      <c r="AS19" s="367">
        <f>'Maldives at LG Daily'!AW22</f>
        <v>8</v>
      </c>
      <c r="AT19" s="367">
        <f>'Maldives at LG Daily'!AX22</f>
        <v>10</v>
      </c>
      <c r="AU19" s="367">
        <f>'Maldives at LG Daily'!AY22</f>
        <v>8</v>
      </c>
      <c r="AV19" s="367">
        <f>'Maldives at LG Daily'!AZ22</f>
        <v>13</v>
      </c>
      <c r="AW19" s="367">
        <f>'Maldives at LG Daily'!BA22</f>
        <v>7</v>
      </c>
      <c r="AX19" s="367">
        <f>'Maldives at LG Daily'!BB22</f>
        <v>8</v>
      </c>
      <c r="AY19" s="367">
        <f>'Maldives at LG Daily'!BC22</f>
        <v>2</v>
      </c>
      <c r="AZ19" s="367">
        <f>'Maldives at LG Daily'!BD22</f>
        <v>1</v>
      </c>
      <c r="BA19" s="367">
        <f>'Maldives at LG Daily'!BE22</f>
        <v>5</v>
      </c>
      <c r="BB19" s="367">
        <f>'Maldives at LG Daily'!BF22</f>
        <v>3</v>
      </c>
      <c r="BC19" s="367">
        <f>'Maldives at LG Daily'!BG22</f>
        <v>25</v>
      </c>
      <c r="BD19" s="367">
        <f>'Maldives at LG Daily'!BH22</f>
        <v>10</v>
      </c>
      <c r="BE19" s="367">
        <f>'Maldives at LG Daily'!BI22</f>
        <v>1</v>
      </c>
      <c r="BF19" s="367">
        <f>'Maldives at LG Daily'!BJ22</f>
        <v>4</v>
      </c>
      <c r="BG19" s="367">
        <f>'Maldives at LG Daily'!BK22</f>
        <v>2</v>
      </c>
      <c r="BH19" s="367">
        <f>'Maldives at LG Daily'!BL22</f>
        <v>3</v>
      </c>
      <c r="BI19" s="367">
        <f>'Maldives at LG Daily'!BM22</f>
        <v>15</v>
      </c>
      <c r="BJ19" s="367">
        <f>'Maldives at LG Daily'!BN22</f>
        <v>2</v>
      </c>
      <c r="BK19" s="367">
        <f>'Maldives at LG Daily'!BO22</f>
        <v>1</v>
      </c>
      <c r="BL19" s="451">
        <f>'Rooms nights and Food Covers'!B22</f>
        <v>31.1</v>
      </c>
      <c r="BM19" s="451">
        <f>'Rooms nights and Food Covers'!C22</f>
        <v>221</v>
      </c>
    </row>
    <row r="20" spans="1:65" ht="15.75" thickBot="1" x14ac:dyDescent="0.3">
      <c r="A20" s="368" t="s">
        <v>106</v>
      </c>
      <c r="B20" s="368">
        <v>19</v>
      </c>
      <c r="C20" s="369">
        <v>11</v>
      </c>
      <c r="D20" s="368">
        <v>2022</v>
      </c>
      <c r="E20" s="367">
        <f>'Maldives at LG Daily'!G23</f>
        <v>2976</v>
      </c>
      <c r="F20" s="367">
        <f>'Maldives at LG Daily'!H23</f>
        <v>13302</v>
      </c>
      <c r="G20" s="367">
        <f>'Maldives at LG Daily'!I23</f>
        <v>4409</v>
      </c>
      <c r="H20" s="367">
        <f>'Maldives at LG Daily'!J23</f>
        <v>0</v>
      </c>
      <c r="I20" s="367">
        <f>'Maldives at LG Daily'!K23</f>
        <v>2944</v>
      </c>
      <c r="J20" s="367">
        <f>'Maldives at LG Daily'!L23</f>
        <v>3526</v>
      </c>
      <c r="K20" s="367">
        <f>'Maldives at LG Daily'!M23</f>
        <v>3794</v>
      </c>
      <c r="L20" s="367">
        <f>'Maldives at LG Daily'!N23</f>
        <v>10534</v>
      </c>
      <c r="M20" s="367">
        <f>'Maldives at LG Daily'!O23</f>
        <v>2300</v>
      </c>
      <c r="N20" s="367">
        <f>'Maldives at LG Daily'!P23</f>
        <v>2889</v>
      </c>
      <c r="O20" s="367">
        <f>'Maldives at LG Daily'!Q23</f>
        <v>1500</v>
      </c>
      <c r="P20" s="367">
        <f>'Maldives at LG Daily'!R23</f>
        <v>453</v>
      </c>
      <c r="Q20" s="367">
        <f>'Maldives at LG Daily'!S23</f>
        <v>700</v>
      </c>
      <c r="R20" s="367">
        <f>'Maldives at LG Daily'!T23</f>
        <v>1300</v>
      </c>
      <c r="S20" s="367">
        <f>'Maldives at LG Daily'!U23</f>
        <v>3360</v>
      </c>
      <c r="T20" s="367">
        <f>'Maldives at LG Daily'!V23</f>
        <v>200</v>
      </c>
      <c r="U20" s="367">
        <f>'Maldives at LG Daily'!W23</f>
        <v>200</v>
      </c>
      <c r="V20" s="367">
        <f>'Maldives at LG Daily'!X23</f>
        <v>500</v>
      </c>
      <c r="W20" s="367">
        <f>'Maldives at LG Daily'!Y23</f>
        <v>130</v>
      </c>
      <c r="X20" s="367">
        <f>'Maldives at LG Daily'!Z23</f>
        <v>420</v>
      </c>
      <c r="Y20" s="367">
        <f>'Maldives at LG Daily'!AA23</f>
        <v>1200</v>
      </c>
      <c r="Z20" s="367">
        <f>'Maldives at LG Daily'!AB23</f>
        <v>400</v>
      </c>
      <c r="AA20" s="367">
        <f>'Maldives at LG Daily'!AC23</f>
        <v>850</v>
      </c>
      <c r="AB20" s="367">
        <f>'Maldives at LG Daily'!AD23</f>
        <v>580</v>
      </c>
      <c r="AC20" s="367">
        <f>'Maldives at LG Daily'!AE23</f>
        <v>1010</v>
      </c>
      <c r="AD20" s="367">
        <f>'Maldives at LG Daily'!AF23</f>
        <v>1010</v>
      </c>
      <c r="AE20" s="367">
        <f>'Maldives at LG Daily'!AG23</f>
        <v>730</v>
      </c>
      <c r="AF20" s="367">
        <f>'Maldives at LG Daily'!AH23</f>
        <v>690</v>
      </c>
      <c r="AG20" s="367">
        <f>'Maldives at LG Daily'!AI23</f>
        <v>280</v>
      </c>
      <c r="AH20" s="367">
        <f>'Maldives at LG Daily'!AJ23</f>
        <v>140</v>
      </c>
      <c r="AI20" s="367">
        <f>'Maldives at LG Daily'!AK23</f>
        <v>960</v>
      </c>
      <c r="AJ20" s="367">
        <f>'Maldives at LG Daily'!AL23</f>
        <v>290</v>
      </c>
      <c r="AK20" s="367">
        <f>'Maldives at LG Daily'!AM23</f>
        <v>330</v>
      </c>
      <c r="AL20" s="367">
        <f>'Maldives at LG Daily'!AN23</f>
        <v>540</v>
      </c>
      <c r="AM20" s="367">
        <f>'Maldives at LG Daily'!AQ23</f>
        <v>103</v>
      </c>
      <c r="AN20" s="367">
        <f>'Maldives at LG Daily'!AR23</f>
        <v>0</v>
      </c>
      <c r="AO20" s="367">
        <f>'Maldives at LG Daily'!AS23</f>
        <v>0</v>
      </c>
      <c r="AP20" s="367">
        <f>'Maldives at LG Daily'!AT23</f>
        <v>130</v>
      </c>
      <c r="AQ20" s="367">
        <f>'Maldives at LG Daily'!AU23</f>
        <v>30</v>
      </c>
      <c r="AR20" s="367">
        <f>'Maldives at LG Daily'!AV23</f>
        <v>20</v>
      </c>
      <c r="AS20" s="367">
        <f>'Maldives at LG Daily'!AW23</f>
        <v>8</v>
      </c>
      <c r="AT20" s="367">
        <f>'Maldives at LG Daily'!AX23</f>
        <v>5</v>
      </c>
      <c r="AU20" s="367">
        <f>'Maldives at LG Daily'!AY23</f>
        <v>11</v>
      </c>
      <c r="AV20" s="367">
        <f>'Maldives at LG Daily'!AZ23</f>
        <v>0</v>
      </c>
      <c r="AW20" s="367">
        <f>'Maldives at LG Daily'!BA23</f>
        <v>6</v>
      </c>
      <c r="AX20" s="367">
        <f>'Maldives at LG Daily'!BB23</f>
        <v>6</v>
      </c>
      <c r="AY20" s="367">
        <f>'Maldives at LG Daily'!BC23</f>
        <v>2</v>
      </c>
      <c r="AZ20" s="367">
        <f>'Maldives at LG Daily'!BD23</f>
        <v>0</v>
      </c>
      <c r="BA20" s="367">
        <f>'Maldives at LG Daily'!BE23</f>
        <v>1</v>
      </c>
      <c r="BB20" s="367">
        <f>'Maldives at LG Daily'!BF23</f>
        <v>2</v>
      </c>
      <c r="BC20" s="367">
        <f>'Maldives at LG Daily'!BG23</f>
        <v>23</v>
      </c>
      <c r="BD20" s="367">
        <f>'Maldives at LG Daily'!BH23</f>
        <v>9</v>
      </c>
      <c r="BE20" s="367">
        <f>'Maldives at LG Daily'!BI23</f>
        <v>1</v>
      </c>
      <c r="BF20" s="367">
        <f>'Maldives at LG Daily'!BJ23</f>
        <v>1</v>
      </c>
      <c r="BG20" s="367">
        <f>'Maldives at LG Daily'!BK23</f>
        <v>3</v>
      </c>
      <c r="BH20" s="367">
        <f>'Maldives at LG Daily'!BL23</f>
        <v>0</v>
      </c>
      <c r="BI20" s="367">
        <f>'Maldives at LG Daily'!BM23</f>
        <v>15</v>
      </c>
      <c r="BJ20" s="367">
        <f>'Maldives at LG Daily'!BN23</f>
        <v>1</v>
      </c>
      <c r="BK20" s="367">
        <f>'Maldives at LG Daily'!BO23</f>
        <v>1</v>
      </c>
      <c r="BL20" s="451">
        <f>'Rooms nights and Food Covers'!B23</f>
        <v>33</v>
      </c>
      <c r="BM20" s="451">
        <f>'Rooms nights and Food Covers'!C23</f>
        <v>241</v>
      </c>
    </row>
    <row r="21" spans="1:65" ht="15.75" thickBot="1" x14ac:dyDescent="0.3">
      <c r="A21" s="368" t="s">
        <v>106</v>
      </c>
      <c r="B21" s="368">
        <v>20</v>
      </c>
      <c r="C21" s="369">
        <v>11</v>
      </c>
      <c r="D21" s="368">
        <v>2022</v>
      </c>
      <c r="E21" s="367">
        <f>'Maldives at LG Daily'!G24</f>
        <v>4815</v>
      </c>
      <c r="F21" s="367">
        <f>'Maldives at LG Daily'!H24</f>
        <v>10176</v>
      </c>
      <c r="G21" s="367">
        <f>'Maldives at LG Daily'!I24</f>
        <v>3219</v>
      </c>
      <c r="H21" s="367">
        <f>'Maldives at LG Daily'!J24</f>
        <v>0</v>
      </c>
      <c r="I21" s="367">
        <f>'Maldives at LG Daily'!K24</f>
        <v>4810</v>
      </c>
      <c r="J21" s="367">
        <f>'Maldives at LG Daily'!L24</f>
        <v>3077</v>
      </c>
      <c r="K21" s="367">
        <f>'Maldives at LG Daily'!M24</f>
        <v>3102</v>
      </c>
      <c r="L21" s="367">
        <f>'Maldives at LG Daily'!N24</f>
        <v>11259</v>
      </c>
      <c r="M21" s="367">
        <f>'Maldives at LG Daily'!O24</f>
        <v>2100</v>
      </c>
      <c r="N21" s="367">
        <f>'Maldives at LG Daily'!P24</f>
        <v>2575</v>
      </c>
      <c r="O21" s="367">
        <f>'Maldives at LG Daily'!Q24</f>
        <v>1500</v>
      </c>
      <c r="P21" s="367">
        <f>'Maldives at LG Daily'!R24</f>
        <v>487</v>
      </c>
      <c r="Q21" s="367">
        <f>'Maldives at LG Daily'!S24</f>
        <v>700</v>
      </c>
      <c r="R21" s="367">
        <f>'Maldives at LG Daily'!T24</f>
        <v>1600</v>
      </c>
      <c r="S21" s="367">
        <f>'Maldives at LG Daily'!U24</f>
        <v>3200</v>
      </c>
      <c r="T21" s="367">
        <f>'Maldives at LG Daily'!V24</f>
        <v>300</v>
      </c>
      <c r="U21" s="367">
        <f>'Maldives at LG Daily'!W24</f>
        <v>300</v>
      </c>
      <c r="V21" s="367">
        <f>'Maldives at LG Daily'!X24</f>
        <v>500</v>
      </c>
      <c r="W21" s="367">
        <f>'Maldives at LG Daily'!Y24</f>
        <v>140</v>
      </c>
      <c r="X21" s="367">
        <f>'Maldives at LG Daily'!Z24</f>
        <v>470</v>
      </c>
      <c r="Y21" s="367">
        <f>'Maldives at LG Daily'!AA24</f>
        <v>1000</v>
      </c>
      <c r="Z21" s="367">
        <f>'Maldives at LG Daily'!AB24</f>
        <v>390</v>
      </c>
      <c r="AA21" s="367">
        <f>'Maldives at LG Daily'!AC24</f>
        <v>630</v>
      </c>
      <c r="AB21" s="367">
        <f>'Maldives at LG Daily'!AD24</f>
        <v>460</v>
      </c>
      <c r="AC21" s="367">
        <f>'Maldives at LG Daily'!AE24</f>
        <v>790</v>
      </c>
      <c r="AD21" s="367">
        <f>'Maldives at LG Daily'!AF24</f>
        <v>790</v>
      </c>
      <c r="AE21" s="367">
        <f>'Maldives at LG Daily'!AG24</f>
        <v>580</v>
      </c>
      <c r="AF21" s="367">
        <f>'Maldives at LG Daily'!AH24</f>
        <v>470</v>
      </c>
      <c r="AG21" s="367">
        <f>'Maldives at LG Daily'!AI24</f>
        <v>330</v>
      </c>
      <c r="AH21" s="367">
        <f>'Maldives at LG Daily'!AJ24</f>
        <v>120</v>
      </c>
      <c r="AI21" s="367">
        <f>'Maldives at LG Daily'!AK24</f>
        <v>910</v>
      </c>
      <c r="AJ21" s="367">
        <f>'Maldives at LG Daily'!AL24</f>
        <v>270</v>
      </c>
      <c r="AK21" s="367">
        <f>'Maldives at LG Daily'!AM24</f>
        <v>330</v>
      </c>
      <c r="AL21" s="367">
        <f>'Maldives at LG Daily'!AN24</f>
        <v>0</v>
      </c>
      <c r="AM21" s="367">
        <f>'Maldives at LG Daily'!AQ24</f>
        <v>220</v>
      </c>
      <c r="AN21" s="367">
        <f>'Maldives at LG Daily'!AR24</f>
        <v>61</v>
      </c>
      <c r="AO21" s="367">
        <f>'Maldives at LG Daily'!AS24</f>
        <v>0</v>
      </c>
      <c r="AP21" s="367">
        <f>'Maldives at LG Daily'!AT24</f>
        <v>17</v>
      </c>
      <c r="AQ21" s="367">
        <f>'Maldives at LG Daily'!AU24</f>
        <v>25</v>
      </c>
      <c r="AR21" s="367">
        <f>'Maldives at LG Daily'!AV24</f>
        <v>5</v>
      </c>
      <c r="AS21" s="367">
        <f>'Maldives at LG Daily'!AW24</f>
        <v>8</v>
      </c>
      <c r="AT21" s="367">
        <f>'Maldives at LG Daily'!AX24</f>
        <v>24</v>
      </c>
      <c r="AU21" s="367">
        <f>'Maldives at LG Daily'!AY24</f>
        <v>8</v>
      </c>
      <c r="AV21" s="367">
        <f>'Maldives at LG Daily'!AZ24</f>
        <v>6</v>
      </c>
      <c r="AW21" s="367">
        <f>'Maldives at LG Daily'!BA24</f>
        <v>1</v>
      </c>
      <c r="AX21" s="367">
        <f>'Maldives at LG Daily'!BB24</f>
        <v>6</v>
      </c>
      <c r="AY21" s="367">
        <f>'Maldives at LG Daily'!BC24</f>
        <v>2</v>
      </c>
      <c r="AZ21" s="367">
        <f>'Maldives at LG Daily'!BD24</f>
        <v>0</v>
      </c>
      <c r="BA21" s="367">
        <f>'Maldives at LG Daily'!BE24</f>
        <v>3</v>
      </c>
      <c r="BB21" s="367">
        <f>'Maldives at LG Daily'!BF24</f>
        <v>1</v>
      </c>
      <c r="BC21" s="367">
        <f>'Maldives at LG Daily'!BG24</f>
        <v>25</v>
      </c>
      <c r="BD21" s="367">
        <f>'Maldives at LG Daily'!BH24</f>
        <v>7</v>
      </c>
      <c r="BE21" s="367">
        <f>'Maldives at LG Daily'!BI24</f>
        <v>1</v>
      </c>
      <c r="BF21" s="367">
        <f>'Maldives at LG Daily'!BJ24</f>
        <v>5</v>
      </c>
      <c r="BG21" s="367">
        <f>'Maldives at LG Daily'!BK24</f>
        <v>3</v>
      </c>
      <c r="BH21" s="367">
        <f>'Maldives at LG Daily'!BL24</f>
        <v>4</v>
      </c>
      <c r="BI21" s="367">
        <f>'Maldives at LG Daily'!BM24</f>
        <v>15</v>
      </c>
      <c r="BJ21" s="367">
        <f>'Maldives at LG Daily'!BN24</f>
        <v>1</v>
      </c>
      <c r="BK21" s="367">
        <f>'Maldives at LG Daily'!BO24</f>
        <v>1</v>
      </c>
      <c r="BL21" s="451">
        <f>'Rooms nights and Food Covers'!B24</f>
        <v>35</v>
      </c>
      <c r="BM21" s="451">
        <f>'Rooms nights and Food Covers'!C24</f>
        <v>236</v>
      </c>
    </row>
    <row r="22" spans="1:65" ht="15.75" thickBot="1" x14ac:dyDescent="0.3">
      <c r="A22" s="368" t="s">
        <v>106</v>
      </c>
      <c r="B22" s="368">
        <v>21</v>
      </c>
      <c r="C22" s="369">
        <v>11</v>
      </c>
      <c r="D22" s="368">
        <v>2022</v>
      </c>
      <c r="E22" s="367">
        <f>'Maldives at LG Daily'!G25</f>
        <v>4741</v>
      </c>
      <c r="F22" s="367">
        <f>'Maldives at LG Daily'!H25</f>
        <v>10557</v>
      </c>
      <c r="G22" s="367">
        <f>'Maldives at LG Daily'!I25</f>
        <v>3061</v>
      </c>
      <c r="H22" s="367">
        <f>'Maldives at LG Daily'!J25</f>
        <v>0</v>
      </c>
      <c r="I22" s="367">
        <f>'Maldives at LG Daily'!K25</f>
        <v>4705</v>
      </c>
      <c r="J22" s="367">
        <f>'Maldives at LG Daily'!L25</f>
        <v>3248</v>
      </c>
      <c r="K22" s="367">
        <f>'Maldives at LG Daily'!M25</f>
        <v>3071</v>
      </c>
      <c r="L22" s="367">
        <f>'Maldives at LG Daily'!N25</f>
        <v>11096</v>
      </c>
      <c r="M22" s="367">
        <f>'Maldives at LG Daily'!O25</f>
        <v>2300</v>
      </c>
      <c r="N22" s="367">
        <f>'Maldives at LG Daily'!P25</f>
        <v>2776</v>
      </c>
      <c r="O22" s="367">
        <f>'Maldives at LG Daily'!Q25</f>
        <v>1400</v>
      </c>
      <c r="P22" s="367">
        <f>'Maldives at LG Daily'!R25</f>
        <v>464</v>
      </c>
      <c r="Q22" s="367">
        <f>'Maldives at LG Daily'!S25</f>
        <v>600</v>
      </c>
      <c r="R22" s="367">
        <f>'Maldives at LG Daily'!T25</f>
        <v>1600</v>
      </c>
      <c r="S22" s="367">
        <f>'Maldives at LG Daily'!U25</f>
        <v>3190</v>
      </c>
      <c r="T22" s="367">
        <f>'Maldives at LG Daily'!V25</f>
        <v>200</v>
      </c>
      <c r="U22" s="367">
        <f>'Maldives at LG Daily'!W25</f>
        <v>200</v>
      </c>
      <c r="V22" s="367">
        <f>'Maldives at LG Daily'!X25</f>
        <v>500</v>
      </c>
      <c r="W22" s="367">
        <f>'Maldives at LG Daily'!Y25</f>
        <v>120</v>
      </c>
      <c r="X22" s="367">
        <f>'Maldives at LG Daily'!Z25</f>
        <v>510</v>
      </c>
      <c r="Y22" s="367">
        <f>'Maldives at LG Daily'!AA25</f>
        <v>1200</v>
      </c>
      <c r="Z22" s="367">
        <f>'Maldives at LG Daily'!AB25</f>
        <v>380</v>
      </c>
      <c r="AA22" s="367">
        <f>'Maldives at LG Daily'!AC25</f>
        <v>650</v>
      </c>
      <c r="AB22" s="367">
        <f>'Maldives at LG Daily'!AD25</f>
        <v>490</v>
      </c>
      <c r="AC22" s="367">
        <f>'Maldives at LG Daily'!AE25</f>
        <v>1000</v>
      </c>
      <c r="AD22" s="367">
        <f>'Maldives at LG Daily'!AF25</f>
        <v>1000</v>
      </c>
      <c r="AE22" s="367">
        <f>'Maldives at LG Daily'!AG25</f>
        <v>630</v>
      </c>
      <c r="AF22" s="367">
        <f>'Maldives at LG Daily'!AH25</f>
        <v>0</v>
      </c>
      <c r="AG22" s="367">
        <f>'Maldives at LG Daily'!AI25</f>
        <v>300</v>
      </c>
      <c r="AH22" s="367">
        <f>'Maldives at LG Daily'!AJ25</f>
        <v>170</v>
      </c>
      <c r="AI22" s="367">
        <f>'Maldives at LG Daily'!AK25</f>
        <v>880</v>
      </c>
      <c r="AJ22" s="367">
        <f>'Maldives at LG Daily'!AL25</f>
        <v>280</v>
      </c>
      <c r="AK22" s="367">
        <f>'Maldives at LG Daily'!AM25</f>
        <v>340</v>
      </c>
      <c r="AL22" s="367">
        <f>'Maldives at LG Daily'!AN25</f>
        <v>1050</v>
      </c>
      <c r="AM22" s="367">
        <f>'Maldives at LG Daily'!AQ25</f>
        <v>174</v>
      </c>
      <c r="AN22" s="367">
        <f>'Maldives at LG Daily'!AR25</f>
        <v>0</v>
      </c>
      <c r="AO22" s="367">
        <f>'Maldives at LG Daily'!AS25</f>
        <v>0</v>
      </c>
      <c r="AP22" s="367">
        <f>'Maldives at LG Daily'!AT25</f>
        <v>86</v>
      </c>
      <c r="AQ22" s="367">
        <f>'Maldives at LG Daily'!AU25</f>
        <v>23</v>
      </c>
      <c r="AR22" s="367">
        <f>'Maldives at LG Daily'!AV25</f>
        <v>5</v>
      </c>
      <c r="AS22" s="367">
        <f>'Maldives at LG Daily'!AW25</f>
        <v>0</v>
      </c>
      <c r="AT22" s="367">
        <f>'Maldives at LG Daily'!AX25</f>
        <v>11</v>
      </c>
      <c r="AU22" s="367">
        <f>'Maldives at LG Daily'!AY25</f>
        <v>9</v>
      </c>
      <c r="AV22" s="367">
        <f>'Maldives at LG Daily'!AZ25</f>
        <v>7</v>
      </c>
      <c r="AW22" s="367">
        <f>'Maldives at LG Daily'!BA25</f>
        <v>0</v>
      </c>
      <c r="AX22" s="367">
        <f>'Maldives at LG Daily'!BB25</f>
        <v>7</v>
      </c>
      <c r="AY22" s="367">
        <f>'Maldives at LG Daily'!BC25</f>
        <v>2</v>
      </c>
      <c r="AZ22" s="367">
        <f>'Maldives at LG Daily'!BD25</f>
        <v>0</v>
      </c>
      <c r="BA22" s="367">
        <f>'Maldives at LG Daily'!BE25</f>
        <v>2</v>
      </c>
      <c r="BB22" s="367">
        <f>'Maldives at LG Daily'!BF25</f>
        <v>1</v>
      </c>
      <c r="BC22" s="367">
        <f>'Maldives at LG Daily'!BG25</f>
        <v>29</v>
      </c>
      <c r="BD22" s="367">
        <f>'Maldives at LG Daily'!BH25</f>
        <v>11</v>
      </c>
      <c r="BE22" s="367">
        <f>'Maldives at LG Daily'!BI25</f>
        <v>0</v>
      </c>
      <c r="BF22" s="367">
        <f>'Maldives at LG Daily'!BJ25</f>
        <v>13</v>
      </c>
      <c r="BG22" s="367">
        <f>'Maldives at LG Daily'!BK25</f>
        <v>3</v>
      </c>
      <c r="BH22" s="367">
        <f>'Maldives at LG Daily'!BL25</f>
        <v>3</v>
      </c>
      <c r="BI22" s="367">
        <f>'Maldives at LG Daily'!BM25</f>
        <v>15</v>
      </c>
      <c r="BJ22" s="367">
        <f>'Maldives at LG Daily'!BN25</f>
        <v>1</v>
      </c>
      <c r="BK22" s="367">
        <f>'Maldives at LG Daily'!BO25</f>
        <v>0</v>
      </c>
      <c r="BL22" s="451">
        <f>'Rooms nights and Food Covers'!B25</f>
        <v>35.9</v>
      </c>
      <c r="BM22" s="451">
        <f>'Rooms nights and Food Covers'!C25</f>
        <v>238</v>
      </c>
    </row>
    <row r="23" spans="1:65" ht="15.75" thickBot="1" x14ac:dyDescent="0.3">
      <c r="A23" s="368" t="s">
        <v>106</v>
      </c>
      <c r="B23" s="368">
        <v>22</v>
      </c>
      <c r="C23" s="369">
        <v>11</v>
      </c>
      <c r="D23" s="368">
        <v>2022</v>
      </c>
      <c r="E23" s="367">
        <f>'Maldives at LG Daily'!G26</f>
        <v>5523</v>
      </c>
      <c r="F23" s="367">
        <f>'Maldives at LG Daily'!H26</f>
        <v>9797</v>
      </c>
      <c r="G23" s="367">
        <f>'Maldives at LG Daily'!I26</f>
        <v>2394</v>
      </c>
      <c r="H23" s="367">
        <f>'Maldives at LG Daily'!J26</f>
        <v>0</v>
      </c>
      <c r="I23" s="367">
        <f>'Maldives at LG Daily'!K26</f>
        <v>5400</v>
      </c>
      <c r="J23" s="367">
        <f>'Maldives at LG Daily'!L26</f>
        <v>3394</v>
      </c>
      <c r="K23" s="367">
        <f>'Maldives at LG Daily'!M26</f>
        <v>3421</v>
      </c>
      <c r="L23" s="367">
        <f>'Maldives at LG Daily'!N26</f>
        <v>9872</v>
      </c>
      <c r="M23" s="367">
        <f>'Maldives at LG Daily'!O26</f>
        <v>2200</v>
      </c>
      <c r="N23" s="367">
        <f>'Maldives at LG Daily'!P26</f>
        <v>2837</v>
      </c>
      <c r="O23" s="367">
        <f>'Maldives at LG Daily'!Q26</f>
        <v>1300</v>
      </c>
      <c r="P23" s="367">
        <f>'Maldives at LG Daily'!R26</f>
        <v>414</v>
      </c>
      <c r="Q23" s="367">
        <f>'Maldives at LG Daily'!S26</f>
        <v>700</v>
      </c>
      <c r="R23" s="367">
        <f>'Maldives at LG Daily'!T26</f>
        <v>1300</v>
      </c>
      <c r="S23" s="367">
        <f>'Maldives at LG Daily'!U26</f>
        <v>3130</v>
      </c>
      <c r="T23" s="367">
        <f>'Maldives at LG Daily'!V26</f>
        <v>200</v>
      </c>
      <c r="U23" s="367">
        <f>'Maldives at LG Daily'!W26</f>
        <v>200</v>
      </c>
      <c r="V23" s="367">
        <f>'Maldives at LG Daily'!X26</f>
        <v>400</v>
      </c>
      <c r="W23" s="367">
        <f>'Maldives at LG Daily'!Y26</f>
        <v>120</v>
      </c>
      <c r="X23" s="367">
        <f>'Maldives at LG Daily'!Z26</f>
        <v>390</v>
      </c>
      <c r="Y23" s="367">
        <f>'Maldives at LG Daily'!AA26</f>
        <v>1200</v>
      </c>
      <c r="Z23" s="367">
        <f>'Maldives at LG Daily'!AB26</f>
        <v>420</v>
      </c>
      <c r="AA23" s="367">
        <f>'Maldives at LG Daily'!AC26</f>
        <v>870</v>
      </c>
      <c r="AB23" s="367">
        <f>'Maldives at LG Daily'!AD26</f>
        <v>610</v>
      </c>
      <c r="AC23" s="367">
        <f>'Maldives at LG Daily'!AE26</f>
        <v>500</v>
      </c>
      <c r="AD23" s="367">
        <f>'Maldives at LG Daily'!AF26</f>
        <v>500</v>
      </c>
      <c r="AE23" s="367">
        <f>'Maldives at LG Daily'!AG26</f>
        <v>730</v>
      </c>
      <c r="AF23" s="367">
        <f>'Maldives at LG Daily'!AH26</f>
        <v>1020</v>
      </c>
      <c r="AG23" s="367">
        <f>'Maldives at LG Daily'!AI26</f>
        <v>300</v>
      </c>
      <c r="AH23" s="367">
        <f>'Maldives at LG Daily'!AJ26</f>
        <v>160</v>
      </c>
      <c r="AI23" s="367">
        <f>'Maldives at LG Daily'!AK26</f>
        <v>960</v>
      </c>
      <c r="AJ23" s="367">
        <f>'Maldives at LG Daily'!AL26</f>
        <v>270</v>
      </c>
      <c r="AK23" s="367">
        <f>'Maldives at LG Daily'!AM26</f>
        <v>340</v>
      </c>
      <c r="AL23" s="367">
        <f>'Maldives at LG Daily'!AN26</f>
        <v>500</v>
      </c>
      <c r="AM23" s="367">
        <f>'Maldives at LG Daily'!AQ26</f>
        <v>219</v>
      </c>
      <c r="AN23" s="367">
        <f>'Maldives at LG Daily'!AR26</f>
        <v>86</v>
      </c>
      <c r="AO23" s="367">
        <f>'Maldives at LG Daily'!AS26</f>
        <v>0</v>
      </c>
      <c r="AP23" s="367">
        <f>'Maldives at LG Daily'!AT26</f>
        <v>0</v>
      </c>
      <c r="AQ23" s="367">
        <f>'Maldives at LG Daily'!AU26</f>
        <v>21</v>
      </c>
      <c r="AR23" s="367">
        <f>'Maldives at LG Daily'!AV26</f>
        <v>6</v>
      </c>
      <c r="AS23" s="367">
        <f>'Maldives at LG Daily'!AW26</f>
        <v>18</v>
      </c>
      <c r="AT23" s="367">
        <f>'Maldives at LG Daily'!AX26</f>
        <v>12</v>
      </c>
      <c r="AU23" s="367">
        <f>'Maldives at LG Daily'!AY26</f>
        <v>8</v>
      </c>
      <c r="AV23" s="367">
        <f>'Maldives at LG Daily'!AZ26</f>
        <v>7</v>
      </c>
      <c r="AW23" s="367">
        <f>'Maldives at LG Daily'!BA26</f>
        <v>9</v>
      </c>
      <c r="AX23" s="367">
        <f>'Maldives at LG Daily'!BB26</f>
        <v>6</v>
      </c>
      <c r="AY23" s="367">
        <f>'Maldives at LG Daily'!BC26</f>
        <v>3</v>
      </c>
      <c r="AZ23" s="367">
        <f>'Maldives at LG Daily'!BD26</f>
        <v>0</v>
      </c>
      <c r="BA23" s="367">
        <f>'Maldives at LG Daily'!BE26</f>
        <v>3</v>
      </c>
      <c r="BB23" s="367">
        <f>'Maldives at LG Daily'!BF26</f>
        <v>3</v>
      </c>
      <c r="BC23" s="367">
        <f>'Maldives at LG Daily'!BG26</f>
        <v>29</v>
      </c>
      <c r="BD23" s="367">
        <f>'Maldives at LG Daily'!BH26</f>
        <v>3</v>
      </c>
      <c r="BE23" s="367">
        <f>'Maldives at LG Daily'!BI26</f>
        <v>1</v>
      </c>
      <c r="BF23" s="367">
        <f>'Maldives at LG Daily'!BJ26</f>
        <v>5</v>
      </c>
      <c r="BG23" s="367">
        <f>'Maldives at LG Daily'!BK26</f>
        <v>1</v>
      </c>
      <c r="BH23" s="367">
        <f>'Maldives at LG Daily'!BL26</f>
        <v>3</v>
      </c>
      <c r="BI23" s="367">
        <f>'Maldives at LG Daily'!BM26</f>
        <v>15</v>
      </c>
      <c r="BJ23" s="367">
        <f>'Maldives at LG Daily'!BN26</f>
        <v>2</v>
      </c>
      <c r="BK23" s="367">
        <f>'Maldives at LG Daily'!BO26</f>
        <v>0</v>
      </c>
      <c r="BL23" s="451">
        <f>'Rooms nights and Food Covers'!B26</f>
        <v>29.1</v>
      </c>
      <c r="BM23" s="451">
        <f>'Rooms nights and Food Covers'!C26</f>
        <v>191</v>
      </c>
    </row>
    <row r="24" spans="1:65" ht="15.75" thickBot="1" x14ac:dyDescent="0.3">
      <c r="A24" s="368" t="s">
        <v>106</v>
      </c>
      <c r="B24" s="368">
        <v>23</v>
      </c>
      <c r="C24" s="369">
        <v>11</v>
      </c>
      <c r="D24" s="368">
        <v>2022</v>
      </c>
      <c r="E24" s="367">
        <f>'Maldives at LG Daily'!G27</f>
        <v>4375</v>
      </c>
      <c r="F24" s="367">
        <f>'Maldives at LG Daily'!H27</f>
        <v>10656</v>
      </c>
      <c r="G24" s="367">
        <f>'Maldives at LG Daily'!I27</f>
        <v>5167</v>
      </c>
      <c r="H24" s="367">
        <f>'Maldives at LG Daily'!J27</f>
        <v>0</v>
      </c>
      <c r="I24" s="367">
        <f>'Maldives at LG Daily'!K27</f>
        <v>4575</v>
      </c>
      <c r="J24" s="367">
        <f>'Maldives at LG Daily'!L27</f>
        <v>3738</v>
      </c>
      <c r="K24" s="367">
        <f>'Maldives at LG Daily'!M27</f>
        <v>4232</v>
      </c>
      <c r="L24" s="367">
        <f>'Maldives at LG Daily'!N27</f>
        <v>11636</v>
      </c>
      <c r="M24" s="367">
        <f>'Maldives at LG Daily'!O27</f>
        <v>2300</v>
      </c>
      <c r="N24" s="367">
        <f>'Maldives at LG Daily'!P27</f>
        <v>2935</v>
      </c>
      <c r="O24" s="367">
        <f>'Maldives at LG Daily'!Q27</f>
        <v>1900</v>
      </c>
      <c r="P24" s="367">
        <f>'Maldives at LG Daily'!R27</f>
        <v>487</v>
      </c>
      <c r="Q24" s="367">
        <f>'Maldives at LG Daily'!S27</f>
        <v>600</v>
      </c>
      <c r="R24" s="367">
        <f>'Maldives at LG Daily'!T27</f>
        <v>1200</v>
      </c>
      <c r="S24" s="367">
        <f>'Maldives at LG Daily'!U27</f>
        <v>3620</v>
      </c>
      <c r="T24" s="367">
        <f>'Maldives at LG Daily'!V27</f>
        <v>300</v>
      </c>
      <c r="U24" s="367">
        <f>'Maldives at LG Daily'!W27</f>
        <v>300</v>
      </c>
      <c r="V24" s="367">
        <f>'Maldives at LG Daily'!X27</f>
        <v>500</v>
      </c>
      <c r="W24" s="367">
        <f>'Maldives at LG Daily'!Y27</f>
        <v>170</v>
      </c>
      <c r="X24" s="367">
        <f>'Maldives at LG Daily'!Z27</f>
        <v>330</v>
      </c>
      <c r="Y24" s="367">
        <f>'Maldives at LG Daily'!AA27</f>
        <v>1200</v>
      </c>
      <c r="Z24" s="367">
        <f>'Maldives at LG Daily'!AB27</f>
        <v>0</v>
      </c>
      <c r="AA24" s="367">
        <f>'Maldives at LG Daily'!AC27</f>
        <v>930</v>
      </c>
      <c r="AB24" s="367">
        <f>'Maldives at LG Daily'!AD27</f>
        <v>760</v>
      </c>
      <c r="AC24" s="367">
        <f>'Maldives at LG Daily'!AE27</f>
        <v>1000</v>
      </c>
      <c r="AD24" s="367">
        <f>'Maldives at LG Daily'!AF27</f>
        <v>1000</v>
      </c>
      <c r="AE24" s="367">
        <f>'Maldives at LG Daily'!AG27</f>
        <v>840</v>
      </c>
      <c r="AF24" s="367">
        <f>'Maldives at LG Daily'!AH27</f>
        <v>680</v>
      </c>
      <c r="AG24" s="367">
        <f>'Maldives at LG Daily'!AI27</f>
        <v>340</v>
      </c>
      <c r="AH24" s="367">
        <f>'Maldives at LG Daily'!AJ27</f>
        <v>180</v>
      </c>
      <c r="AI24" s="367">
        <f>'Maldives at LG Daily'!AK27</f>
        <v>920</v>
      </c>
      <c r="AJ24" s="367">
        <f>'Maldives at LG Daily'!AL27</f>
        <v>290</v>
      </c>
      <c r="AK24" s="367">
        <f>'Maldives at LG Daily'!AM27</f>
        <v>650</v>
      </c>
      <c r="AL24" s="367">
        <f>'Maldives at LG Daily'!AN27</f>
        <v>520</v>
      </c>
      <c r="AM24" s="367">
        <f>'Maldives at LG Daily'!AQ27</f>
        <v>196</v>
      </c>
      <c r="AN24" s="367">
        <f>'Maldives at LG Daily'!AR27</f>
        <v>0</v>
      </c>
      <c r="AO24" s="367">
        <f>'Maldives at LG Daily'!AS27</f>
        <v>1</v>
      </c>
      <c r="AP24" s="367">
        <f>'Maldives at LG Daily'!AT27</f>
        <v>102</v>
      </c>
      <c r="AQ24" s="367">
        <f>'Maldives at LG Daily'!AU27</f>
        <v>21</v>
      </c>
      <c r="AR24" s="367">
        <f>'Maldives at LG Daily'!AV27</f>
        <v>6</v>
      </c>
      <c r="AS24" s="367">
        <f>'Maldives at LG Daily'!AW27</f>
        <v>10</v>
      </c>
      <c r="AT24" s="367">
        <f>'Maldives at LG Daily'!AX27</f>
        <v>12</v>
      </c>
      <c r="AU24" s="367">
        <f>'Maldives at LG Daily'!AY27</f>
        <v>9</v>
      </c>
      <c r="AV24" s="367">
        <f>'Maldives at LG Daily'!AZ27</f>
        <v>6</v>
      </c>
      <c r="AW24" s="367">
        <f>'Maldives at LG Daily'!BA27</f>
        <v>6</v>
      </c>
      <c r="AX24" s="367">
        <f>'Maldives at LG Daily'!BB27</f>
        <v>7</v>
      </c>
      <c r="AY24" s="367">
        <f>'Maldives at LG Daily'!BC27</f>
        <v>0</v>
      </c>
      <c r="AZ24" s="367">
        <f>'Maldives at LG Daily'!BD27</f>
        <v>0</v>
      </c>
      <c r="BA24" s="367">
        <f>'Maldives at LG Daily'!BE27</f>
        <v>4</v>
      </c>
      <c r="BB24" s="367">
        <f>'Maldives at LG Daily'!BF27</f>
        <v>1</v>
      </c>
      <c r="BC24" s="367">
        <f>'Maldives at LG Daily'!BG27</f>
        <v>30</v>
      </c>
      <c r="BD24" s="367">
        <f>'Maldives at LG Daily'!BH27</f>
        <v>15</v>
      </c>
      <c r="BE24" s="367">
        <f>'Maldives at LG Daily'!BI27</f>
        <v>1</v>
      </c>
      <c r="BF24" s="367">
        <f>'Maldives at LG Daily'!BJ27</f>
        <v>5</v>
      </c>
      <c r="BG24" s="367">
        <f>'Maldives at LG Daily'!BK27</f>
        <v>5</v>
      </c>
      <c r="BH24" s="367">
        <f>'Maldives at LG Daily'!BL27</f>
        <v>3</v>
      </c>
      <c r="BI24" s="367">
        <f>'Maldives at LG Daily'!BM27</f>
        <v>15</v>
      </c>
      <c r="BJ24" s="367">
        <f>'Maldives at LG Daily'!BN27</f>
        <v>1</v>
      </c>
      <c r="BK24" s="367">
        <f>'Maldives at LG Daily'!BO27</f>
        <v>2</v>
      </c>
      <c r="BL24" s="451">
        <f>'Rooms nights and Food Covers'!B27</f>
        <v>40.799999999999997</v>
      </c>
      <c r="BM24" s="451">
        <f>'Rooms nights and Food Covers'!C27</f>
        <v>304</v>
      </c>
    </row>
    <row r="25" spans="1:65" ht="15.75" thickBot="1" x14ac:dyDescent="0.3">
      <c r="A25" s="368" t="s">
        <v>106</v>
      </c>
      <c r="B25" s="368">
        <v>24</v>
      </c>
      <c r="C25" s="369">
        <v>11</v>
      </c>
      <c r="D25" s="368">
        <v>2022</v>
      </c>
      <c r="E25" s="367">
        <f>'Maldives at LG Daily'!G28</f>
        <v>4238</v>
      </c>
      <c r="F25" s="367">
        <f>'Maldives at LG Daily'!H28</f>
        <v>11874</v>
      </c>
      <c r="G25" s="367">
        <f>'Maldives at LG Daily'!I28</f>
        <v>5149</v>
      </c>
      <c r="H25" s="367">
        <f>'Maldives at LG Daily'!J28</f>
        <v>0</v>
      </c>
      <c r="I25" s="367">
        <f>'Maldives at LG Daily'!K28</f>
        <v>4236</v>
      </c>
      <c r="J25" s="367">
        <f>'Maldives at LG Daily'!L28</f>
        <v>7857</v>
      </c>
      <c r="K25" s="367">
        <f>'Maldives at LG Daily'!M28</f>
        <v>4258</v>
      </c>
      <c r="L25" s="367">
        <f>'Maldives at LG Daily'!N28</f>
        <v>11319</v>
      </c>
      <c r="M25" s="367">
        <f>'Maldives at LG Daily'!O28</f>
        <v>2400</v>
      </c>
      <c r="N25" s="367">
        <f>'Maldives at LG Daily'!P28</f>
        <v>2838</v>
      </c>
      <c r="O25" s="367">
        <f>'Maldives at LG Daily'!Q28</f>
        <v>1800</v>
      </c>
      <c r="P25" s="367">
        <f>'Maldives at LG Daily'!R28</f>
        <v>468</v>
      </c>
      <c r="Q25" s="367">
        <f>'Maldives at LG Daily'!S28</f>
        <v>700</v>
      </c>
      <c r="R25" s="367">
        <f>'Maldives at LG Daily'!T28</f>
        <v>1600</v>
      </c>
      <c r="S25" s="367">
        <f>'Maldives at LG Daily'!U28</f>
        <v>3550</v>
      </c>
      <c r="T25" s="367">
        <f>'Maldives at LG Daily'!V28</f>
        <v>300</v>
      </c>
      <c r="U25" s="367">
        <f>'Maldives at LG Daily'!W28</f>
        <v>300</v>
      </c>
      <c r="V25" s="367">
        <f>'Maldives at LG Daily'!X28</f>
        <v>600</v>
      </c>
      <c r="W25" s="367">
        <f>'Maldives at LG Daily'!Y28</f>
        <v>170</v>
      </c>
      <c r="X25" s="367">
        <f>'Maldives at LG Daily'!Z28</f>
        <v>360</v>
      </c>
      <c r="Y25" s="367">
        <f>'Maldives at LG Daily'!AA28</f>
        <v>1200</v>
      </c>
      <c r="Z25" s="367">
        <f>'Maldives at LG Daily'!AB28</f>
        <v>410</v>
      </c>
      <c r="AA25" s="367">
        <f>'Maldives at LG Daily'!AC28</f>
        <v>870</v>
      </c>
      <c r="AB25" s="367">
        <f>'Maldives at LG Daily'!AD28</f>
        <v>810</v>
      </c>
      <c r="AC25" s="367">
        <f>'Maldives at LG Daily'!AE28</f>
        <v>1000</v>
      </c>
      <c r="AD25" s="367">
        <f>'Maldives at LG Daily'!AF28</f>
        <v>1000</v>
      </c>
      <c r="AE25" s="367">
        <f>'Maldives at LG Daily'!AG28</f>
        <v>820</v>
      </c>
      <c r="AF25" s="367">
        <f>'Maldives at LG Daily'!AH28</f>
        <v>730</v>
      </c>
      <c r="AG25" s="367">
        <f>'Maldives at LG Daily'!AI28</f>
        <v>370</v>
      </c>
      <c r="AH25" s="367">
        <f>'Maldives at LG Daily'!AJ28</f>
        <v>170</v>
      </c>
      <c r="AI25" s="367">
        <f>'Maldives at LG Daily'!AK28</f>
        <v>950</v>
      </c>
      <c r="AJ25" s="367">
        <f>'Maldives at LG Daily'!AL28</f>
        <v>280</v>
      </c>
      <c r="AK25" s="367">
        <f>'Maldives at LG Daily'!AM28</f>
        <v>60</v>
      </c>
      <c r="AL25" s="367">
        <f>'Maldives at LG Daily'!AN28</f>
        <v>530</v>
      </c>
      <c r="AM25" s="367">
        <f>'Maldives at LG Daily'!AQ28</f>
        <v>160</v>
      </c>
      <c r="AN25" s="367">
        <f>'Maldives at LG Daily'!AR28</f>
        <v>77</v>
      </c>
      <c r="AO25" s="367">
        <f>'Maldives at LG Daily'!AS28</f>
        <v>0</v>
      </c>
      <c r="AP25" s="367">
        <f>'Maldives at LG Daily'!AT28</f>
        <v>77</v>
      </c>
      <c r="AQ25" s="367">
        <f>'Maldives at LG Daily'!AU28</f>
        <v>19</v>
      </c>
      <c r="AR25" s="367">
        <f>'Maldives at LG Daily'!AV28</f>
        <v>4</v>
      </c>
      <c r="AS25" s="367">
        <f>'Maldives at LG Daily'!AW28</f>
        <v>9</v>
      </c>
      <c r="AT25" s="367">
        <f>'Maldives at LG Daily'!AX28</f>
        <v>12</v>
      </c>
      <c r="AU25" s="367">
        <f>'Maldives at LG Daily'!AY28</f>
        <v>8</v>
      </c>
      <c r="AV25" s="367">
        <f>'Maldives at LG Daily'!AZ28</f>
        <v>6</v>
      </c>
      <c r="AW25" s="367">
        <f>'Maldives at LG Daily'!BA28</f>
        <v>5</v>
      </c>
      <c r="AX25" s="367">
        <f>'Maldives at LG Daily'!BB28</f>
        <v>6</v>
      </c>
      <c r="AY25" s="367">
        <f>'Maldives at LG Daily'!BC28</f>
        <v>8</v>
      </c>
      <c r="AZ25" s="367">
        <f>'Maldives at LG Daily'!BD28</f>
        <v>1</v>
      </c>
      <c r="BA25" s="367">
        <f>'Maldives at LG Daily'!BE28</f>
        <v>2</v>
      </c>
      <c r="BB25" s="367">
        <f>'Maldives at LG Daily'!BF28</f>
        <v>2</v>
      </c>
      <c r="BC25" s="367">
        <f>'Maldives at LG Daily'!BG28</f>
        <v>27</v>
      </c>
      <c r="BD25" s="367">
        <f>'Maldives at LG Daily'!BH28</f>
        <v>10</v>
      </c>
      <c r="BE25" s="367">
        <f>'Maldives at LG Daily'!BI28</f>
        <v>1</v>
      </c>
      <c r="BF25" s="367">
        <f>'Maldives at LG Daily'!BJ28</f>
        <v>5</v>
      </c>
      <c r="BG25" s="367">
        <f>'Maldives at LG Daily'!BK28</f>
        <v>2</v>
      </c>
      <c r="BH25" s="367">
        <f>'Maldives at LG Daily'!BL28</f>
        <v>3</v>
      </c>
      <c r="BI25" s="367">
        <f>'Maldives at LG Daily'!BM28</f>
        <v>15</v>
      </c>
      <c r="BJ25" s="367">
        <f>'Maldives at LG Daily'!BN28</f>
        <v>1</v>
      </c>
      <c r="BK25" s="367">
        <f>'Maldives at LG Daily'!BO28</f>
        <v>1</v>
      </c>
      <c r="BL25" s="451">
        <f>'Rooms nights and Food Covers'!B28</f>
        <v>38.799999999999997</v>
      </c>
      <c r="BM25" s="451">
        <f>'Rooms nights and Food Covers'!C28</f>
        <v>269</v>
      </c>
    </row>
    <row r="26" spans="1:65" ht="15.75" thickBot="1" x14ac:dyDescent="0.3">
      <c r="A26" s="368" t="s">
        <v>106</v>
      </c>
      <c r="B26" s="368">
        <v>25</v>
      </c>
      <c r="C26" s="369">
        <v>11</v>
      </c>
      <c r="D26" s="368">
        <v>2022</v>
      </c>
      <c r="E26" s="367">
        <f>'Maldives at LG Daily'!G29</f>
        <v>4705</v>
      </c>
      <c r="F26" s="367">
        <f>'Maldives at LG Daily'!H29</f>
        <v>11506</v>
      </c>
      <c r="G26" s="367">
        <f>'Maldives at LG Daily'!I29</f>
        <v>4229</v>
      </c>
      <c r="H26" s="367">
        <f>'Maldives at LG Daily'!J29</f>
        <v>0</v>
      </c>
      <c r="I26" s="367">
        <f>'Maldives at LG Daily'!K29</f>
        <v>4695</v>
      </c>
      <c r="J26" s="367">
        <f>'Maldives at LG Daily'!L29</f>
        <v>0</v>
      </c>
      <c r="K26" s="367">
        <f>'Maldives at LG Daily'!M29</f>
        <v>4137</v>
      </c>
      <c r="L26" s="367">
        <f>'Maldives at LG Daily'!N29</f>
        <v>10951</v>
      </c>
      <c r="M26" s="367">
        <f>'Maldives at LG Daily'!O29</f>
        <v>2200</v>
      </c>
      <c r="N26" s="367">
        <f>'Maldives at LG Daily'!P29</f>
        <v>2855</v>
      </c>
      <c r="O26" s="367">
        <f>'Maldives at LG Daily'!Q29</f>
        <v>1600</v>
      </c>
      <c r="P26" s="367">
        <f>'Maldives at LG Daily'!R29</f>
        <v>493</v>
      </c>
      <c r="Q26" s="367">
        <f>'Maldives at LG Daily'!S29</f>
        <v>600</v>
      </c>
      <c r="R26" s="367">
        <f>'Maldives at LG Daily'!T29</f>
        <v>1300</v>
      </c>
      <c r="S26" s="367">
        <f>'Maldives at LG Daily'!U29</f>
        <v>3560</v>
      </c>
      <c r="T26" s="367">
        <f>'Maldives at LG Daily'!V29</f>
        <v>200</v>
      </c>
      <c r="U26" s="367">
        <f>'Maldives at LG Daily'!W29</f>
        <v>200</v>
      </c>
      <c r="V26" s="367">
        <f>'Maldives at LG Daily'!X29</f>
        <v>500</v>
      </c>
      <c r="W26" s="367">
        <f>'Maldives at LG Daily'!Y29</f>
        <v>160</v>
      </c>
      <c r="X26" s="367">
        <f>'Maldives at LG Daily'!Z29</f>
        <v>410</v>
      </c>
      <c r="Y26" s="367">
        <f>'Maldives at LG Daily'!AA29</f>
        <v>1200</v>
      </c>
      <c r="Z26" s="367">
        <f>'Maldives at LG Daily'!AB29</f>
        <v>420</v>
      </c>
      <c r="AA26" s="367">
        <f>'Maldives at LG Daily'!AC29</f>
        <v>850</v>
      </c>
      <c r="AB26" s="367">
        <f>'Maldives at LG Daily'!AD29</f>
        <v>750</v>
      </c>
      <c r="AC26" s="367">
        <f>'Maldives at LG Daily'!AE29</f>
        <v>1000</v>
      </c>
      <c r="AD26" s="367">
        <f>'Maldives at LG Daily'!AF29</f>
        <v>1000</v>
      </c>
      <c r="AE26" s="367">
        <f>'Maldives at LG Daily'!AG29</f>
        <v>850</v>
      </c>
      <c r="AF26" s="367">
        <f>'Maldives at LG Daily'!AH29</f>
        <v>630</v>
      </c>
      <c r="AG26" s="367">
        <f>'Maldives at LG Daily'!AI29</f>
        <v>340</v>
      </c>
      <c r="AH26" s="367">
        <f>'Maldives at LG Daily'!AJ29</f>
        <v>170</v>
      </c>
      <c r="AI26" s="367">
        <f>'Maldives at LG Daily'!AK29</f>
        <v>970</v>
      </c>
      <c r="AJ26" s="367">
        <f>'Maldives at LG Daily'!AL29</f>
        <v>270</v>
      </c>
      <c r="AK26" s="367">
        <f>'Maldives at LG Daily'!AM29</f>
        <v>290</v>
      </c>
      <c r="AL26" s="367">
        <f>'Maldives at LG Daily'!AN29</f>
        <v>0</v>
      </c>
      <c r="AM26" s="367">
        <f>'Maldives at LG Daily'!AQ29</f>
        <v>194</v>
      </c>
      <c r="AN26" s="367">
        <f>'Maldives at LG Daily'!AR29</f>
        <v>89</v>
      </c>
      <c r="AO26" s="367">
        <f>'Maldives at LG Daily'!AS29</f>
        <v>1</v>
      </c>
      <c r="AP26" s="367">
        <f>'Maldives at LG Daily'!AT29</f>
        <v>64</v>
      </c>
      <c r="AQ26" s="367">
        <f>'Maldives at LG Daily'!AU29</f>
        <v>21</v>
      </c>
      <c r="AR26" s="367">
        <f>'Maldives at LG Daily'!AV29</f>
        <v>6</v>
      </c>
      <c r="AS26" s="367">
        <f>'Maldives at LG Daily'!AW29</f>
        <v>9</v>
      </c>
      <c r="AT26" s="367">
        <f>'Maldives at LG Daily'!AX29</f>
        <v>13</v>
      </c>
      <c r="AU26" s="367">
        <f>'Maldives at LG Daily'!AY29</f>
        <v>8</v>
      </c>
      <c r="AV26" s="367">
        <f>'Maldives at LG Daily'!AZ29</f>
        <v>8</v>
      </c>
      <c r="AW26" s="367">
        <f>'Maldives at LG Daily'!BA29</f>
        <v>5</v>
      </c>
      <c r="AX26" s="367">
        <f>'Maldives at LG Daily'!BB29</f>
        <v>8</v>
      </c>
      <c r="AY26" s="367">
        <f>'Maldives at LG Daily'!BC29</f>
        <v>3</v>
      </c>
      <c r="AZ26" s="367">
        <f>'Maldives at LG Daily'!BD29</f>
        <v>0</v>
      </c>
      <c r="BA26" s="367">
        <f>'Maldives at LG Daily'!BE29</f>
        <v>1</v>
      </c>
      <c r="BB26" s="367">
        <f>'Maldives at LG Daily'!BF29</f>
        <v>4</v>
      </c>
      <c r="BC26" s="367">
        <f>'Maldives at LG Daily'!BG29</f>
        <v>27</v>
      </c>
      <c r="BD26" s="367">
        <f>'Maldives at LG Daily'!BH29</f>
        <v>10</v>
      </c>
      <c r="BE26" s="367">
        <f>'Maldives at LG Daily'!BI29</f>
        <v>1</v>
      </c>
      <c r="BF26" s="367">
        <f>'Maldives at LG Daily'!BJ29</f>
        <v>3</v>
      </c>
      <c r="BG26" s="367">
        <f>'Maldives at LG Daily'!BK29</f>
        <v>5</v>
      </c>
      <c r="BH26" s="367">
        <f>'Maldives at LG Daily'!BL29</f>
        <v>2</v>
      </c>
      <c r="BI26" s="367">
        <f>'Maldives at LG Daily'!BM29</f>
        <v>15</v>
      </c>
      <c r="BJ26" s="367">
        <f>'Maldives at LG Daily'!BN29</f>
        <v>2</v>
      </c>
      <c r="BK26" s="367">
        <f>'Maldives at LG Daily'!BO29</f>
        <v>0</v>
      </c>
      <c r="BL26" s="451">
        <f>'Rooms nights and Food Covers'!B29</f>
        <v>39.799999999999997</v>
      </c>
      <c r="BM26" s="451">
        <f>'Rooms nights and Food Covers'!C29</f>
        <v>302</v>
      </c>
    </row>
    <row r="27" spans="1:65" ht="15.75" thickBot="1" x14ac:dyDescent="0.3">
      <c r="A27" s="368" t="s">
        <v>106</v>
      </c>
      <c r="B27" s="368">
        <v>26</v>
      </c>
      <c r="C27" s="369">
        <v>11</v>
      </c>
      <c r="D27" s="368">
        <v>2022</v>
      </c>
      <c r="E27" s="367">
        <f>'Maldives at LG Daily'!G30</f>
        <v>6270</v>
      </c>
      <c r="F27" s="367">
        <f>'Maldives at LG Daily'!H30</f>
        <v>8225</v>
      </c>
      <c r="G27" s="367">
        <f>'Maldives at LG Daily'!I30</f>
        <v>4101</v>
      </c>
      <c r="H27" s="367">
        <f>'Maldives at LG Daily'!J30</f>
        <v>0</v>
      </c>
      <c r="I27" s="367">
        <f>'Maldives at LG Daily'!K30</f>
        <v>6223</v>
      </c>
      <c r="J27" s="367">
        <f>'Maldives at LG Daily'!L30</f>
        <v>3761</v>
      </c>
      <c r="K27" s="367">
        <f>'Maldives at LG Daily'!M30</f>
        <v>4068</v>
      </c>
      <c r="L27" s="367">
        <f>'Maldives at LG Daily'!N30</f>
        <v>11310</v>
      </c>
      <c r="M27" s="367">
        <f>'Maldives at LG Daily'!O30</f>
        <v>2400</v>
      </c>
      <c r="N27" s="367">
        <f>'Maldives at LG Daily'!P30</f>
        <v>2930</v>
      </c>
      <c r="O27" s="367">
        <f>'Maldives at LG Daily'!Q30</f>
        <v>1800</v>
      </c>
      <c r="P27" s="367">
        <f>'Maldives at LG Daily'!R30</f>
        <v>465</v>
      </c>
      <c r="Q27" s="367">
        <f>'Maldives at LG Daily'!S30</f>
        <v>700</v>
      </c>
      <c r="R27" s="367">
        <f>'Maldives at LG Daily'!T30</f>
        <v>1400</v>
      </c>
      <c r="S27" s="367">
        <f>'Maldives at LG Daily'!U30</f>
        <v>3850</v>
      </c>
      <c r="T27" s="367">
        <f>'Maldives at LG Daily'!V30</f>
        <v>300</v>
      </c>
      <c r="U27" s="367">
        <f>'Maldives at LG Daily'!W30</f>
        <v>300</v>
      </c>
      <c r="V27" s="367">
        <f>'Maldives at LG Daily'!X30</f>
        <v>500</v>
      </c>
      <c r="W27" s="367">
        <f>'Maldives at LG Daily'!Y30</f>
        <v>140</v>
      </c>
      <c r="X27" s="367">
        <f>'Maldives at LG Daily'!Z30</f>
        <v>450</v>
      </c>
      <c r="Y27" s="367">
        <f>'Maldives at LG Daily'!AA30</f>
        <v>1200</v>
      </c>
      <c r="Z27" s="367">
        <f>'Maldives at LG Daily'!AB30</f>
        <v>480</v>
      </c>
      <c r="AA27" s="367">
        <f>'Maldives at LG Daily'!AC30</f>
        <v>900</v>
      </c>
      <c r="AB27" s="367">
        <f>'Maldives at LG Daily'!AD30</f>
        <v>760</v>
      </c>
      <c r="AC27" s="367">
        <f>'Maldives at LG Daily'!AE30</f>
        <v>1000</v>
      </c>
      <c r="AD27" s="367">
        <f>'Maldives at LG Daily'!AF30</f>
        <v>1000</v>
      </c>
      <c r="AE27" s="367">
        <f>'Maldives at LG Daily'!AG30</f>
        <v>850</v>
      </c>
      <c r="AF27" s="367">
        <f>'Maldives at LG Daily'!AH30</f>
        <v>660</v>
      </c>
      <c r="AG27" s="367">
        <f>'Maldives at LG Daily'!AI30</f>
        <v>320</v>
      </c>
      <c r="AH27" s="367">
        <f>'Maldives at LG Daily'!AJ30</f>
        <v>190</v>
      </c>
      <c r="AI27" s="367">
        <f>'Maldives at LG Daily'!AK30</f>
        <v>930</v>
      </c>
      <c r="AJ27" s="367">
        <f>'Maldives at LG Daily'!AL30</f>
        <v>280</v>
      </c>
      <c r="AK27" s="367">
        <f>'Maldives at LG Daily'!AM30</f>
        <v>370</v>
      </c>
      <c r="AL27" s="367">
        <f>'Maldives at LG Daily'!AN30</f>
        <v>1020</v>
      </c>
      <c r="AM27" s="367">
        <f>'Maldives at LG Daily'!AQ30</f>
        <v>197</v>
      </c>
      <c r="AN27" s="367">
        <f>'Maldives at LG Daily'!AR30</f>
        <v>30</v>
      </c>
      <c r="AO27" s="367">
        <f>'Maldives at LG Daily'!AS30</f>
        <v>0</v>
      </c>
      <c r="AP27" s="367">
        <f>'Maldives at LG Daily'!AT30</f>
        <v>104</v>
      </c>
      <c r="AQ27" s="367">
        <f>'Maldives at LG Daily'!AU30</f>
        <v>16</v>
      </c>
      <c r="AR27" s="367">
        <f>'Maldives at LG Daily'!AV30</f>
        <v>7</v>
      </c>
      <c r="AS27" s="367">
        <f>'Maldives at LG Daily'!AW30</f>
        <v>9</v>
      </c>
      <c r="AT27" s="367">
        <f>'Maldives at LG Daily'!AX30</f>
        <v>11</v>
      </c>
      <c r="AU27" s="367">
        <f>'Maldives at LG Daily'!AY30</f>
        <v>8</v>
      </c>
      <c r="AV27" s="367">
        <f>'Maldives at LG Daily'!AZ30</f>
        <v>6</v>
      </c>
      <c r="AW27" s="367">
        <f>'Maldives at LG Daily'!BA30</f>
        <v>5</v>
      </c>
      <c r="AX27" s="367">
        <f>'Maldives at LG Daily'!BB30</f>
        <v>7</v>
      </c>
      <c r="AY27" s="367">
        <f>'Maldives at LG Daily'!BC30</f>
        <v>1</v>
      </c>
      <c r="AZ27" s="367">
        <f>'Maldives at LG Daily'!BD30</f>
        <v>0</v>
      </c>
      <c r="BA27" s="367">
        <f>'Maldives at LG Daily'!BE30</f>
        <v>4</v>
      </c>
      <c r="BB27" s="367">
        <f>'Maldives at LG Daily'!BF30</f>
        <v>2</v>
      </c>
      <c r="BC27" s="367">
        <f>'Maldives at LG Daily'!BG30</f>
        <v>25</v>
      </c>
      <c r="BD27" s="367">
        <f>'Maldives at LG Daily'!BH30</f>
        <v>0</v>
      </c>
      <c r="BE27" s="367">
        <f>'Maldives at LG Daily'!BI30</f>
        <v>0</v>
      </c>
      <c r="BF27" s="367">
        <f>'Maldives at LG Daily'!BJ30</f>
        <v>3</v>
      </c>
      <c r="BG27" s="367">
        <f>'Maldives at LG Daily'!BK30</f>
        <v>2</v>
      </c>
      <c r="BH27" s="367">
        <f>'Maldives at LG Daily'!BL30</f>
        <v>1</v>
      </c>
      <c r="BI27" s="367">
        <f>'Maldives at LG Daily'!BM30</f>
        <v>15</v>
      </c>
      <c r="BJ27" s="367">
        <f>'Maldives at LG Daily'!BN30</f>
        <v>1</v>
      </c>
      <c r="BK27" s="367">
        <f>'Maldives at LG Daily'!BO30</f>
        <v>2</v>
      </c>
      <c r="BL27" s="451">
        <f>'Rooms nights and Food Covers'!B30</f>
        <v>38.799999999999997</v>
      </c>
      <c r="BM27" s="451">
        <f>'Rooms nights and Food Covers'!C30</f>
        <v>261</v>
      </c>
    </row>
    <row r="28" spans="1:65" ht="15.75" thickBot="1" x14ac:dyDescent="0.3">
      <c r="A28" s="368" t="s">
        <v>106</v>
      </c>
      <c r="B28" s="368">
        <v>27</v>
      </c>
      <c r="C28" s="369">
        <v>11</v>
      </c>
      <c r="D28" s="368">
        <v>2022</v>
      </c>
      <c r="E28" s="367">
        <f>'Maldives at LG Daily'!G31</f>
        <v>4155</v>
      </c>
      <c r="F28" s="367">
        <f>'Maldives at LG Daily'!H31</f>
        <v>12249</v>
      </c>
      <c r="G28" s="367">
        <f>'Maldives at LG Daily'!I31</f>
        <v>4401</v>
      </c>
      <c r="H28" s="367">
        <f>'Maldives at LG Daily'!J31</f>
        <v>0</v>
      </c>
      <c r="I28" s="367">
        <f>'Maldives at LG Daily'!K31</f>
        <v>4131</v>
      </c>
      <c r="J28" s="367">
        <f>'Maldives at LG Daily'!L31</f>
        <v>3787</v>
      </c>
      <c r="K28" s="367">
        <f>'Maldives at LG Daily'!M31</f>
        <v>4039</v>
      </c>
      <c r="L28" s="367">
        <f>'Maldives at LG Daily'!N31</f>
        <v>10911</v>
      </c>
      <c r="M28" s="367">
        <f>'Maldives at LG Daily'!O31</f>
        <v>2200</v>
      </c>
      <c r="N28" s="367">
        <f>'Maldives at LG Daily'!P31</f>
        <v>2797</v>
      </c>
      <c r="O28" s="367">
        <f>'Maldives at LG Daily'!Q31</f>
        <v>1900</v>
      </c>
      <c r="P28" s="367">
        <f>'Maldives at LG Daily'!R31</f>
        <v>430</v>
      </c>
      <c r="Q28" s="367">
        <f>'Maldives at LG Daily'!S31</f>
        <v>600</v>
      </c>
      <c r="R28" s="367">
        <f>'Maldives at LG Daily'!T31</f>
        <v>1600</v>
      </c>
      <c r="S28" s="367">
        <f>'Maldives at LG Daily'!U31</f>
        <v>3620</v>
      </c>
      <c r="T28" s="367">
        <f>'Maldives at LG Daily'!V31</f>
        <v>300</v>
      </c>
      <c r="U28" s="367">
        <f>'Maldives at LG Daily'!W31</f>
        <v>300</v>
      </c>
      <c r="V28" s="367">
        <f>'Maldives at LG Daily'!X31</f>
        <v>400</v>
      </c>
      <c r="W28" s="367">
        <f>'Maldives at LG Daily'!Y31</f>
        <v>160</v>
      </c>
      <c r="X28" s="367">
        <f>'Maldives at LG Daily'!Z31</f>
        <v>420</v>
      </c>
      <c r="Y28" s="367">
        <f>'Maldives at LG Daily'!AA31</f>
        <v>1100</v>
      </c>
      <c r="Z28" s="367">
        <f>'Maldives at LG Daily'!AB31</f>
        <v>390</v>
      </c>
      <c r="AA28" s="367">
        <f>'Maldives at LG Daily'!AC31</f>
        <v>990</v>
      </c>
      <c r="AB28" s="367">
        <f>'Maldives at LG Daily'!AD31</f>
        <v>780</v>
      </c>
      <c r="AC28" s="367">
        <f>'Maldives at LG Daily'!AE31</f>
        <v>2100</v>
      </c>
      <c r="AD28" s="367">
        <f>'Maldives at LG Daily'!AF31</f>
        <v>2100</v>
      </c>
      <c r="AE28" s="367">
        <f>'Maldives at LG Daily'!AG31</f>
        <v>820</v>
      </c>
      <c r="AF28" s="367">
        <f>'Maldives at LG Daily'!AH31</f>
        <v>620</v>
      </c>
      <c r="AG28" s="367">
        <f>'Maldives at LG Daily'!AI31</f>
        <v>320</v>
      </c>
      <c r="AH28" s="367">
        <f>'Maldives at LG Daily'!AJ31</f>
        <v>130</v>
      </c>
      <c r="AI28" s="367">
        <f>'Maldives at LG Daily'!AK31</f>
        <v>1040</v>
      </c>
      <c r="AJ28" s="367">
        <f>'Maldives at LG Daily'!AL31</f>
        <v>300</v>
      </c>
      <c r="AK28" s="367">
        <f>'Maldives at LG Daily'!AM31</f>
        <v>370</v>
      </c>
      <c r="AL28" s="367">
        <f>'Maldives at LG Daily'!AN31</f>
        <v>1070</v>
      </c>
      <c r="AM28" s="367">
        <f>'Maldives at LG Daily'!AQ31</f>
        <v>181</v>
      </c>
      <c r="AN28" s="367">
        <f>'Maldives at LG Daily'!AR31</f>
        <v>55</v>
      </c>
      <c r="AO28" s="367">
        <f>'Maldives at LG Daily'!AS31</f>
        <v>0</v>
      </c>
      <c r="AP28" s="367">
        <f>'Maldives at LG Daily'!AT31</f>
        <v>111</v>
      </c>
      <c r="AQ28" s="367">
        <f>'Maldives at LG Daily'!AU31</f>
        <v>23</v>
      </c>
      <c r="AR28" s="367">
        <f>'Maldives at LG Daily'!AV31</f>
        <v>3</v>
      </c>
      <c r="AS28" s="367">
        <f>'Maldives at LG Daily'!AW31</f>
        <v>9</v>
      </c>
      <c r="AT28" s="367">
        <f>'Maldives at LG Daily'!AX31</f>
        <v>11</v>
      </c>
      <c r="AU28" s="367">
        <f>'Maldives at LG Daily'!AY31</f>
        <v>8</v>
      </c>
      <c r="AV28" s="367">
        <f>'Maldives at LG Daily'!AZ31</f>
        <v>6</v>
      </c>
      <c r="AW28" s="367">
        <f>'Maldives at LG Daily'!BA31</f>
        <v>6</v>
      </c>
      <c r="AX28" s="367">
        <f>'Maldives at LG Daily'!BB31</f>
        <v>6</v>
      </c>
      <c r="AY28" s="367">
        <f>'Maldives at LG Daily'!BC31</f>
        <v>0</v>
      </c>
      <c r="AZ28" s="367">
        <f>'Maldives at LG Daily'!BD31</f>
        <v>0</v>
      </c>
      <c r="BA28" s="367">
        <f>'Maldives at LG Daily'!BE31</f>
        <v>3</v>
      </c>
      <c r="BB28" s="367">
        <f>'Maldives at LG Daily'!BF31</f>
        <v>1</v>
      </c>
      <c r="BC28" s="367">
        <f>'Maldives at LG Daily'!BG31</f>
        <v>27</v>
      </c>
      <c r="BD28" s="367">
        <f>'Maldives at LG Daily'!BH31</f>
        <v>21</v>
      </c>
      <c r="BE28" s="367">
        <f>'Maldives at LG Daily'!BI31</f>
        <v>1</v>
      </c>
      <c r="BF28" s="367">
        <f>'Maldives at LG Daily'!BJ31</f>
        <v>3</v>
      </c>
      <c r="BG28" s="367">
        <f>'Maldives at LG Daily'!BK31</f>
        <v>3</v>
      </c>
      <c r="BH28" s="367">
        <f>'Maldives at LG Daily'!BL31</f>
        <v>3</v>
      </c>
      <c r="BI28" s="367">
        <f>'Maldives at LG Daily'!BM31</f>
        <v>15</v>
      </c>
      <c r="BJ28" s="367">
        <f>'Maldives at LG Daily'!BN31</f>
        <v>1</v>
      </c>
      <c r="BK28" s="367">
        <f>'Maldives at LG Daily'!BO31</f>
        <v>0</v>
      </c>
      <c r="BL28" s="451">
        <f>'Rooms nights and Food Covers'!B31</f>
        <v>35</v>
      </c>
      <c r="BM28" s="451">
        <f>'Rooms nights and Food Covers'!C31</f>
        <v>249</v>
      </c>
    </row>
    <row r="29" spans="1:65" ht="15.75" thickBot="1" x14ac:dyDescent="0.3">
      <c r="A29" s="370" t="s">
        <v>106</v>
      </c>
      <c r="B29" s="370">
        <v>28</v>
      </c>
      <c r="C29" s="369">
        <v>11</v>
      </c>
      <c r="D29" s="370">
        <v>2022</v>
      </c>
      <c r="E29" s="367">
        <f>'Maldives at LG Daily'!G32</f>
        <v>5553</v>
      </c>
      <c r="F29" s="367">
        <f>'Maldives at LG Daily'!H32</f>
        <v>9746</v>
      </c>
      <c r="G29" s="367">
        <f>'Maldives at LG Daily'!I32</f>
        <v>4304</v>
      </c>
      <c r="H29" s="367">
        <f>'Maldives at LG Daily'!J32</f>
        <v>0</v>
      </c>
      <c r="I29" s="367">
        <f>'Maldives at LG Daily'!K32</f>
        <v>5616</v>
      </c>
      <c r="J29" s="367">
        <f>'Maldives at LG Daily'!L32</f>
        <v>4001</v>
      </c>
      <c r="K29" s="367">
        <f>'Maldives at LG Daily'!M32</f>
        <v>4065</v>
      </c>
      <c r="L29" s="367">
        <f>'Maldives at LG Daily'!N32</f>
        <v>11566</v>
      </c>
      <c r="M29" s="367">
        <f>'Maldives at LG Daily'!O32</f>
        <v>2400</v>
      </c>
      <c r="N29" s="367">
        <f>'Maldives at LG Daily'!P32</f>
        <v>2868</v>
      </c>
      <c r="O29" s="367">
        <f>'Maldives at LG Daily'!Q32</f>
        <v>0</v>
      </c>
      <c r="P29" s="367">
        <f>'Maldives at LG Daily'!R32</f>
        <v>493</v>
      </c>
      <c r="Q29" s="367">
        <f>'Maldives at LG Daily'!S32</f>
        <v>700</v>
      </c>
      <c r="R29" s="367">
        <f>'Maldives at LG Daily'!T32</f>
        <v>1300</v>
      </c>
      <c r="S29" s="367">
        <f>'Maldives at LG Daily'!U32</f>
        <v>3560</v>
      </c>
      <c r="T29" s="367">
        <f>'Maldives at LG Daily'!V32</f>
        <v>300</v>
      </c>
      <c r="U29" s="367">
        <f>'Maldives at LG Daily'!W32</f>
        <v>300</v>
      </c>
      <c r="V29" s="367">
        <f>'Maldives at LG Daily'!X32</f>
        <v>600</v>
      </c>
      <c r="W29" s="367">
        <f>'Maldives at LG Daily'!Y32</f>
        <v>160</v>
      </c>
      <c r="X29" s="367">
        <f>'Maldives at LG Daily'!Z32</f>
        <v>510</v>
      </c>
      <c r="Y29" s="367">
        <f>'Maldives at LG Daily'!AA32</f>
        <v>1200</v>
      </c>
      <c r="Z29" s="367">
        <f>'Maldives at LG Daily'!AB32</f>
        <v>380</v>
      </c>
      <c r="AA29" s="367">
        <f>'Maldives at LG Daily'!AC32</f>
        <v>840</v>
      </c>
      <c r="AB29" s="367">
        <f>'Maldives at LG Daily'!AD32</f>
        <v>0</v>
      </c>
      <c r="AC29" s="367">
        <f>'Maldives at LG Daily'!AE32</f>
        <v>1000</v>
      </c>
      <c r="AD29" s="367">
        <f>'Maldives at LG Daily'!AF32</f>
        <v>1000</v>
      </c>
      <c r="AE29" s="367">
        <f>'Maldives at LG Daily'!AG32</f>
        <v>810</v>
      </c>
      <c r="AF29" s="367">
        <f>'Maldives at LG Daily'!AH32</f>
        <v>530</v>
      </c>
      <c r="AG29" s="367">
        <f>'Maldives at LG Daily'!AI32</f>
        <v>300</v>
      </c>
      <c r="AH29" s="367">
        <f>'Maldives at LG Daily'!AJ32</f>
        <v>140</v>
      </c>
      <c r="AI29" s="367">
        <f>'Maldives at LG Daily'!AK32</f>
        <v>940</v>
      </c>
      <c r="AJ29" s="367">
        <f>'Maldives at LG Daily'!AL32</f>
        <v>280</v>
      </c>
      <c r="AK29" s="367">
        <f>'Maldives at LG Daily'!AM32</f>
        <v>350</v>
      </c>
      <c r="AL29" s="367">
        <f>'Maldives at LG Daily'!AN32</f>
        <v>530</v>
      </c>
      <c r="AM29" s="367">
        <f>'Maldives at LG Daily'!AQ32</f>
        <v>155</v>
      </c>
      <c r="AN29" s="367">
        <f>'Maldives at LG Daily'!AR32</f>
        <v>84</v>
      </c>
      <c r="AO29" s="367">
        <f>'Maldives at LG Daily'!AS32</f>
        <v>54</v>
      </c>
      <c r="AP29" s="367">
        <f>'Maldives at LG Daily'!AT32</f>
        <v>35</v>
      </c>
      <c r="AQ29" s="367">
        <f>'Maldives at LG Daily'!AU32</f>
        <v>23</v>
      </c>
      <c r="AR29" s="367">
        <f>'Maldives at LG Daily'!AV32</f>
        <v>6</v>
      </c>
      <c r="AS29" s="367">
        <f>'Maldives at LG Daily'!AW32</f>
        <v>9</v>
      </c>
      <c r="AT29" s="367">
        <f>'Maldives at LG Daily'!AX32</f>
        <v>12</v>
      </c>
      <c r="AU29" s="367">
        <f>'Maldives at LG Daily'!AY32</f>
        <v>8</v>
      </c>
      <c r="AV29" s="367">
        <f>'Maldives at LG Daily'!AZ32</f>
        <v>7</v>
      </c>
      <c r="AW29" s="367">
        <f>'Maldives at LG Daily'!BA32</f>
        <v>5</v>
      </c>
      <c r="AX29" s="367">
        <f>'Maldives at LG Daily'!BB32</f>
        <v>7</v>
      </c>
      <c r="AY29" s="367">
        <f>'Maldives at LG Daily'!BC32</f>
        <v>1</v>
      </c>
      <c r="AZ29" s="367">
        <f>'Maldives at LG Daily'!BD32</f>
        <v>1</v>
      </c>
      <c r="BA29" s="367">
        <f>'Maldives at LG Daily'!BE32</f>
        <v>3</v>
      </c>
      <c r="BB29" s="367">
        <f>'Maldives at LG Daily'!BF32</f>
        <v>1</v>
      </c>
      <c r="BC29" s="367">
        <f>'Maldives at LG Daily'!BG32</f>
        <v>26</v>
      </c>
      <c r="BD29" s="367">
        <f>'Maldives at LG Daily'!BH32</f>
        <v>4</v>
      </c>
      <c r="BE29" s="367">
        <f>'Maldives at LG Daily'!BI32</f>
        <v>1</v>
      </c>
      <c r="BF29" s="367">
        <f>'Maldives at LG Daily'!BJ32</f>
        <v>3</v>
      </c>
      <c r="BG29" s="367">
        <f>'Maldives at LG Daily'!BK32</f>
        <v>3</v>
      </c>
      <c r="BH29" s="367">
        <f>'Maldives at LG Daily'!BL32</f>
        <v>2</v>
      </c>
      <c r="BI29" s="367">
        <f>'Maldives at LG Daily'!BM32</f>
        <v>15</v>
      </c>
      <c r="BJ29" s="367">
        <f>'Maldives at LG Daily'!BN32</f>
        <v>1</v>
      </c>
      <c r="BK29" s="367">
        <f>'Maldives at LG Daily'!BO32</f>
        <v>6</v>
      </c>
      <c r="BL29" s="451">
        <f>'Rooms nights and Food Covers'!B32</f>
        <v>32</v>
      </c>
      <c r="BM29" s="451">
        <f>'Rooms nights and Food Covers'!C32</f>
        <v>231</v>
      </c>
    </row>
    <row r="30" spans="1:65" ht="15.75" thickBot="1" x14ac:dyDescent="0.3">
      <c r="A30" s="370" t="s">
        <v>106</v>
      </c>
      <c r="B30" s="370">
        <v>29</v>
      </c>
      <c r="C30" s="369">
        <v>11</v>
      </c>
      <c r="D30" s="370">
        <v>2022</v>
      </c>
      <c r="E30" s="367">
        <f>'Maldives at LG Daily'!G33</f>
        <v>2781</v>
      </c>
      <c r="F30" s="367">
        <f>'Maldives at LG Daily'!H33</f>
        <v>14401</v>
      </c>
      <c r="G30" s="367">
        <f>'Maldives at LG Daily'!I33</f>
        <v>685</v>
      </c>
      <c r="H30" s="367">
        <f>'Maldives at LG Daily'!J33</f>
        <v>0</v>
      </c>
      <c r="I30" s="367">
        <f>'Maldives at LG Daily'!K33</f>
        <v>7896</v>
      </c>
      <c r="J30" s="367">
        <f>'Maldives at LG Daily'!L33</f>
        <v>3865</v>
      </c>
      <c r="K30" s="367">
        <f>'Maldives at LG Daily'!M33</f>
        <v>4210</v>
      </c>
      <c r="L30" s="367">
        <f>'Maldives at LG Daily'!N33</f>
        <v>11694</v>
      </c>
      <c r="M30" s="367">
        <f>'Maldives at LG Daily'!O33</f>
        <v>2400</v>
      </c>
      <c r="N30" s="367">
        <f>'Maldives at LG Daily'!P33</f>
        <v>2833</v>
      </c>
      <c r="O30" s="367">
        <f>'Maldives at LG Daily'!Q33</f>
        <v>1500</v>
      </c>
      <c r="P30" s="367">
        <f>'Maldives at LG Daily'!R33</f>
        <v>454</v>
      </c>
      <c r="Q30" s="367">
        <f>'Maldives at LG Daily'!S33</f>
        <v>700</v>
      </c>
      <c r="R30" s="367">
        <f>'Maldives at LG Daily'!T33</f>
        <v>1500</v>
      </c>
      <c r="S30" s="367">
        <f>'Maldives at LG Daily'!U33</f>
        <v>3830</v>
      </c>
      <c r="T30" s="367">
        <f>'Maldives at LG Daily'!V33</f>
        <v>300</v>
      </c>
      <c r="U30" s="367">
        <f>'Maldives at LG Daily'!W33</f>
        <v>300</v>
      </c>
      <c r="V30" s="367">
        <f>'Maldives at LG Daily'!X33</f>
        <v>500</v>
      </c>
      <c r="W30" s="367">
        <f>'Maldives at LG Daily'!Y33</f>
        <v>170</v>
      </c>
      <c r="X30" s="367">
        <f>'Maldives at LG Daily'!Z33</f>
        <v>440</v>
      </c>
      <c r="Y30" s="367">
        <f>'Maldives at LG Daily'!AA33</f>
        <v>1200</v>
      </c>
      <c r="Z30" s="367">
        <f>'Maldives at LG Daily'!AB33</f>
        <v>400</v>
      </c>
      <c r="AA30" s="367">
        <f>'Maldives at LG Daily'!AC33</f>
        <v>920</v>
      </c>
      <c r="AB30" s="367">
        <f>'Maldives at LG Daily'!AD33</f>
        <v>750</v>
      </c>
      <c r="AC30" s="367">
        <f>'Maldives at LG Daily'!AE33</f>
        <v>0</v>
      </c>
      <c r="AD30" s="367">
        <f>'Maldives at LG Daily'!AF33</f>
        <v>0</v>
      </c>
      <c r="AE30" s="367">
        <f>'Maldives at LG Daily'!AG33</f>
        <v>820</v>
      </c>
      <c r="AF30" s="367">
        <f>'Maldives at LG Daily'!AH33</f>
        <v>630</v>
      </c>
      <c r="AG30" s="367">
        <f>'Maldives at LG Daily'!AI33</f>
        <v>300</v>
      </c>
      <c r="AH30" s="367">
        <f>'Maldives at LG Daily'!AJ33</f>
        <v>260</v>
      </c>
      <c r="AI30" s="367">
        <f>'Maldives at LG Daily'!AK33</f>
        <v>980</v>
      </c>
      <c r="AJ30" s="367">
        <f>'Maldives at LG Daily'!AL33</f>
        <v>290</v>
      </c>
      <c r="AK30" s="367">
        <f>'Maldives at LG Daily'!AM33</f>
        <v>0</v>
      </c>
      <c r="AL30" s="367">
        <f>'Maldives at LG Daily'!AN33</f>
        <v>0</v>
      </c>
      <c r="AM30" s="367">
        <f>'Maldives at LG Daily'!AQ33</f>
        <v>227</v>
      </c>
      <c r="AN30" s="367">
        <f>'Maldives at LG Daily'!AR33</f>
        <v>0</v>
      </c>
      <c r="AO30" s="367">
        <f>'Maldives at LG Daily'!AS33</f>
        <v>1</v>
      </c>
      <c r="AP30" s="367">
        <f>'Maldives at LG Daily'!AT33</f>
        <v>112</v>
      </c>
      <c r="AQ30" s="367">
        <f>'Maldives at LG Daily'!AU33</f>
        <v>20</v>
      </c>
      <c r="AR30" s="367">
        <f>'Maldives at LG Daily'!AV33</f>
        <v>4</v>
      </c>
      <c r="AS30" s="367">
        <f>'Maldives at LG Daily'!AW33</f>
        <v>8</v>
      </c>
      <c r="AT30" s="367">
        <f>'Maldives at LG Daily'!AX33</f>
        <v>12</v>
      </c>
      <c r="AU30" s="367">
        <f>'Maldives at LG Daily'!AY33</f>
        <v>8</v>
      </c>
      <c r="AV30" s="367">
        <f>'Maldives at LG Daily'!AZ33</f>
        <v>6</v>
      </c>
      <c r="AW30" s="367">
        <f>'Maldives at LG Daily'!BA33</f>
        <v>6</v>
      </c>
      <c r="AX30" s="367">
        <f>'Maldives at LG Daily'!BB33</f>
        <v>6</v>
      </c>
      <c r="AY30" s="367">
        <f>'Maldives at LG Daily'!BC33</f>
        <v>1</v>
      </c>
      <c r="AZ30" s="367">
        <f>'Maldives at LG Daily'!BD33</f>
        <v>0</v>
      </c>
      <c r="BA30" s="367">
        <f>'Maldives at LG Daily'!BE33</f>
        <v>4</v>
      </c>
      <c r="BB30" s="367">
        <f>'Maldives at LG Daily'!BF33</f>
        <v>3</v>
      </c>
      <c r="BC30" s="367">
        <f>'Maldives at LG Daily'!BG33</f>
        <v>23</v>
      </c>
      <c r="BD30" s="367">
        <f>'Maldives at LG Daily'!BH33</f>
        <v>15</v>
      </c>
      <c r="BE30" s="367">
        <f>'Maldives at LG Daily'!BI33</f>
        <v>1</v>
      </c>
      <c r="BF30" s="367">
        <f>'Maldives at LG Daily'!BJ33</f>
        <v>3</v>
      </c>
      <c r="BG30" s="367">
        <f>'Maldives at LG Daily'!BK33</f>
        <v>1</v>
      </c>
      <c r="BH30" s="367">
        <f>'Maldives at LG Daily'!BL33</f>
        <v>2</v>
      </c>
      <c r="BI30" s="367">
        <f>'Maldives at LG Daily'!BM33</f>
        <v>15</v>
      </c>
      <c r="BJ30" s="367">
        <f>'Maldives at LG Daily'!BN33</f>
        <v>1</v>
      </c>
      <c r="BK30" s="367">
        <f>'Maldives at LG Daily'!BO33</f>
        <v>1</v>
      </c>
      <c r="BL30" s="451">
        <f>'Rooms nights and Food Covers'!B33</f>
        <v>38.799999999999997</v>
      </c>
      <c r="BM30" s="451">
        <f>'Rooms nights and Food Covers'!C33</f>
        <v>296</v>
      </c>
    </row>
    <row r="31" spans="1:65" ht="15.75" thickBot="1" x14ac:dyDescent="0.3">
      <c r="A31" s="370" t="s">
        <v>106</v>
      </c>
      <c r="B31" s="370">
        <v>30</v>
      </c>
      <c r="C31" s="369">
        <v>11</v>
      </c>
      <c r="D31" s="370">
        <v>2022</v>
      </c>
      <c r="E31" s="367">
        <f>'Maldives at LG Daily'!G34</f>
        <v>7081</v>
      </c>
      <c r="F31" s="367">
        <f>'Maldives at LG Daily'!H34</f>
        <v>7070</v>
      </c>
      <c r="G31" s="367">
        <f>'Maldives at LG Daily'!I34</f>
        <v>3789</v>
      </c>
      <c r="H31" s="367">
        <f>'Maldives at LG Daily'!J34</f>
        <v>0</v>
      </c>
      <c r="I31" s="367">
        <f>'Maldives at LG Daily'!K34</f>
        <v>8023</v>
      </c>
      <c r="J31" s="367">
        <f>'Maldives at LG Daily'!L34</f>
        <v>3797</v>
      </c>
      <c r="K31" s="367">
        <f>'Maldives at LG Daily'!M34</f>
        <v>4393</v>
      </c>
      <c r="L31" s="367">
        <f>'Maldives at LG Daily'!N34</f>
        <v>11846</v>
      </c>
      <c r="M31" s="367">
        <f>'Maldives at LG Daily'!O34</f>
        <v>2400</v>
      </c>
      <c r="N31" s="367">
        <f>'Maldives at LG Daily'!P34</f>
        <v>2808</v>
      </c>
      <c r="O31" s="367">
        <f>'Maldives at LG Daily'!Q34</f>
        <v>3900</v>
      </c>
      <c r="P31" s="367">
        <f>'Maldives at LG Daily'!R34</f>
        <v>407</v>
      </c>
      <c r="Q31" s="367">
        <f>'Maldives at LG Daily'!S34</f>
        <v>700</v>
      </c>
      <c r="R31" s="367">
        <f>'Maldives at LG Daily'!T34</f>
        <v>1300</v>
      </c>
      <c r="S31" s="367">
        <f>'Maldives at LG Daily'!U34</f>
        <v>3930</v>
      </c>
      <c r="T31" s="367">
        <f>'Maldives at LG Daily'!V34</f>
        <v>300</v>
      </c>
      <c r="U31" s="367">
        <f>'Maldives at LG Daily'!W34</f>
        <v>300</v>
      </c>
      <c r="V31" s="367">
        <f>'Maldives at LG Daily'!X34</f>
        <v>500</v>
      </c>
      <c r="W31" s="367">
        <f>'Maldives at LG Daily'!Y34</f>
        <v>170</v>
      </c>
      <c r="X31" s="367">
        <f>'Maldives at LG Daily'!Z34</f>
        <v>440</v>
      </c>
      <c r="Y31" s="367">
        <f>'Maldives at LG Daily'!AA34</f>
        <v>1300</v>
      </c>
      <c r="Z31" s="367">
        <f>'Maldives at LG Daily'!AB34</f>
        <v>740</v>
      </c>
      <c r="AA31" s="367">
        <f>'Maldives at LG Daily'!AC34</f>
        <v>840</v>
      </c>
      <c r="AB31" s="367">
        <f>'Maldives at LG Daily'!AD34</f>
        <v>1770</v>
      </c>
      <c r="AC31" s="367">
        <f>'Maldives at LG Daily'!AE34</f>
        <v>1000</v>
      </c>
      <c r="AD31" s="367">
        <f>'Maldives at LG Daily'!AF34</f>
        <v>1000</v>
      </c>
      <c r="AE31" s="367">
        <f>'Maldives at LG Daily'!AG34</f>
        <v>840</v>
      </c>
      <c r="AF31" s="367">
        <f>'Maldives at LG Daily'!AH34</f>
        <v>630</v>
      </c>
      <c r="AG31" s="367">
        <f>'Maldives at LG Daily'!AI34</f>
        <v>0</v>
      </c>
      <c r="AH31" s="367">
        <f>'Maldives at LG Daily'!AJ34</f>
        <v>0</v>
      </c>
      <c r="AI31" s="367">
        <f>'Maldives at LG Daily'!AK34</f>
        <v>930</v>
      </c>
      <c r="AJ31" s="367">
        <f>'Maldives at LG Daily'!AL34</f>
        <v>260</v>
      </c>
      <c r="AK31" s="367">
        <f>'Maldives at LG Daily'!AM34</f>
        <v>770</v>
      </c>
      <c r="AL31" s="367">
        <f>'Maldives at LG Daily'!AN34</f>
        <v>490</v>
      </c>
      <c r="AM31" s="367">
        <f>'Maldives at LG Daily'!AQ34</f>
        <v>204</v>
      </c>
      <c r="AN31" s="367">
        <f>'Maldives at LG Daily'!AR34</f>
        <v>101</v>
      </c>
      <c r="AO31" s="367">
        <f>'Maldives at LG Daily'!AS34</f>
        <v>0</v>
      </c>
      <c r="AP31" s="367">
        <f>'Maldives at LG Daily'!AT34</f>
        <v>48</v>
      </c>
      <c r="AQ31" s="367">
        <f>'Maldives at LG Daily'!AU34</f>
        <v>20</v>
      </c>
      <c r="AR31" s="367">
        <f>'Maldives at LG Daily'!AV34</f>
        <v>6</v>
      </c>
      <c r="AS31" s="367">
        <f>'Maldives at LG Daily'!AW34</f>
        <v>9</v>
      </c>
      <c r="AT31" s="367">
        <f>'Maldives at LG Daily'!AX34</f>
        <v>10</v>
      </c>
      <c r="AU31" s="367">
        <f>'Maldives at LG Daily'!AY34</f>
        <v>7</v>
      </c>
      <c r="AV31" s="367">
        <f>'Maldives at LG Daily'!AZ34</f>
        <v>6</v>
      </c>
      <c r="AW31" s="367">
        <f>'Maldives at LG Daily'!BA34</f>
        <v>4</v>
      </c>
      <c r="AX31" s="367">
        <f>'Maldives at LG Daily'!BB34</f>
        <v>7</v>
      </c>
      <c r="AY31" s="367">
        <f>'Maldives at LG Daily'!BC34</f>
        <v>1</v>
      </c>
      <c r="AZ31" s="367">
        <f>'Maldives at LG Daily'!BD34</f>
        <v>1</v>
      </c>
      <c r="BA31" s="367">
        <f>'Maldives at LG Daily'!BE34</f>
        <v>2</v>
      </c>
      <c r="BB31" s="367">
        <f>'Maldives at LG Daily'!BF34</f>
        <v>1</v>
      </c>
      <c r="BC31" s="367">
        <f>'Maldives at LG Daily'!BG34</f>
        <v>26</v>
      </c>
      <c r="BD31" s="367">
        <f>'Maldives at LG Daily'!BH34</f>
        <v>11</v>
      </c>
      <c r="BE31" s="367">
        <f>'Maldives at LG Daily'!BI34</f>
        <v>1</v>
      </c>
      <c r="BF31" s="367">
        <f>'Maldives at LG Daily'!BJ34</f>
        <v>-29</v>
      </c>
      <c r="BG31" s="367">
        <f>'Maldives at LG Daily'!BK34</f>
        <v>3</v>
      </c>
      <c r="BH31" s="367">
        <f>'Maldives at LG Daily'!BL34</f>
        <v>2</v>
      </c>
      <c r="BI31" s="367">
        <f>'Maldives at LG Daily'!BM34</f>
        <v>15</v>
      </c>
      <c r="BJ31" s="367">
        <f>'Maldives at LG Daily'!BN34</f>
        <v>1</v>
      </c>
      <c r="BK31" s="367">
        <f>'Maldives at LG Daily'!BO34</f>
        <v>2</v>
      </c>
      <c r="BL31" s="451">
        <f>'Rooms nights and Food Covers'!B34</f>
        <v>35.9</v>
      </c>
      <c r="BM31" s="451">
        <f>'Rooms nights and Food Covers'!C34</f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AI1" activePane="topRight" state="frozen"/>
      <selection pane="topRight" activeCell="AO6" sqref="AO6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1" customWidth="1"/>
    <col min="4" max="4" width="13.5703125" style="182" customWidth="1"/>
    <col min="5" max="5" width="14.85546875" style="167" customWidth="1"/>
    <col min="6" max="11" width="14.85546875" style="181" customWidth="1"/>
    <col min="12" max="12" width="16.140625" style="181" customWidth="1"/>
    <col min="13" max="40" width="14.85546875" style="181" customWidth="1"/>
    <col min="41" max="41" width="8.85546875" style="167" customWidth="1"/>
    <col min="42" max="67" width="12.5703125" style="167" customWidth="1"/>
    <col min="68" max="69" width="13" style="184" customWidth="1"/>
    <col min="70" max="75" width="9.140625" style="167"/>
    <col min="76" max="76" width="13.140625" style="167" bestFit="1" customWidth="1"/>
    <col min="77" max="313" width="9.140625" style="167"/>
    <col min="314" max="314" width="14" style="167" customWidth="1"/>
    <col min="315" max="315" width="2" style="167" customWidth="1"/>
    <col min="316" max="316" width="11.85546875" style="167" customWidth="1"/>
    <col min="317" max="317" width="13.5703125" style="167" customWidth="1"/>
    <col min="318" max="319" width="13.85546875" style="167" customWidth="1"/>
    <col min="320" max="321" width="14.85546875" style="167" customWidth="1"/>
    <col min="322" max="322" width="8.85546875" style="167" customWidth="1"/>
    <col min="323" max="323" width="12.5703125" style="167" customWidth="1"/>
    <col min="324" max="325" width="13" style="167" customWidth="1"/>
    <col min="326" max="569" width="9.140625" style="167"/>
    <col min="570" max="570" width="14" style="167" customWidth="1"/>
    <col min="571" max="571" width="2" style="167" customWidth="1"/>
    <col min="572" max="572" width="11.85546875" style="167" customWidth="1"/>
    <col min="573" max="573" width="13.5703125" style="167" customWidth="1"/>
    <col min="574" max="575" width="13.85546875" style="167" customWidth="1"/>
    <col min="576" max="577" width="14.85546875" style="167" customWidth="1"/>
    <col min="578" max="578" width="8.85546875" style="167" customWidth="1"/>
    <col min="579" max="579" width="12.5703125" style="167" customWidth="1"/>
    <col min="580" max="581" width="13" style="167" customWidth="1"/>
    <col min="582" max="825" width="9.140625" style="167"/>
    <col min="826" max="826" width="14" style="167" customWidth="1"/>
    <col min="827" max="827" width="2" style="167" customWidth="1"/>
    <col min="828" max="828" width="11.85546875" style="167" customWidth="1"/>
    <col min="829" max="829" width="13.5703125" style="167" customWidth="1"/>
    <col min="830" max="831" width="13.85546875" style="167" customWidth="1"/>
    <col min="832" max="833" width="14.85546875" style="167" customWidth="1"/>
    <col min="834" max="834" width="8.85546875" style="167" customWidth="1"/>
    <col min="835" max="835" width="12.5703125" style="167" customWidth="1"/>
    <col min="836" max="837" width="13" style="167" customWidth="1"/>
    <col min="838" max="1081" width="9.140625" style="167"/>
    <col min="1082" max="1082" width="14" style="167" customWidth="1"/>
    <col min="1083" max="1083" width="2" style="167" customWidth="1"/>
    <col min="1084" max="1084" width="11.85546875" style="167" customWidth="1"/>
    <col min="1085" max="1085" width="13.5703125" style="167" customWidth="1"/>
    <col min="1086" max="1087" width="13.85546875" style="167" customWidth="1"/>
    <col min="1088" max="1089" width="14.85546875" style="167" customWidth="1"/>
    <col min="1090" max="1090" width="8.85546875" style="167" customWidth="1"/>
    <col min="1091" max="1091" width="12.5703125" style="167" customWidth="1"/>
    <col min="1092" max="1093" width="13" style="167" customWidth="1"/>
    <col min="1094" max="1337" width="9.140625" style="167"/>
    <col min="1338" max="1338" width="14" style="167" customWidth="1"/>
    <col min="1339" max="1339" width="2" style="167" customWidth="1"/>
    <col min="1340" max="1340" width="11.85546875" style="167" customWidth="1"/>
    <col min="1341" max="1341" width="13.5703125" style="167" customWidth="1"/>
    <col min="1342" max="1343" width="13.85546875" style="167" customWidth="1"/>
    <col min="1344" max="1345" width="14.85546875" style="167" customWidth="1"/>
    <col min="1346" max="1346" width="8.85546875" style="167" customWidth="1"/>
    <col min="1347" max="1347" width="12.5703125" style="167" customWidth="1"/>
    <col min="1348" max="1349" width="13" style="167" customWidth="1"/>
    <col min="1350" max="1593" width="9.140625" style="167"/>
    <col min="1594" max="1594" width="14" style="167" customWidth="1"/>
    <col min="1595" max="1595" width="2" style="167" customWidth="1"/>
    <col min="1596" max="1596" width="11.85546875" style="167" customWidth="1"/>
    <col min="1597" max="1597" width="13.5703125" style="167" customWidth="1"/>
    <col min="1598" max="1599" width="13.85546875" style="167" customWidth="1"/>
    <col min="1600" max="1601" width="14.85546875" style="167" customWidth="1"/>
    <col min="1602" max="1602" width="8.85546875" style="167" customWidth="1"/>
    <col min="1603" max="1603" width="12.5703125" style="167" customWidth="1"/>
    <col min="1604" max="1605" width="13" style="167" customWidth="1"/>
    <col min="1606" max="1849" width="9.140625" style="167"/>
    <col min="1850" max="1850" width="14" style="167" customWidth="1"/>
    <col min="1851" max="1851" width="2" style="167" customWidth="1"/>
    <col min="1852" max="1852" width="11.85546875" style="167" customWidth="1"/>
    <col min="1853" max="1853" width="13.5703125" style="167" customWidth="1"/>
    <col min="1854" max="1855" width="13.85546875" style="167" customWidth="1"/>
    <col min="1856" max="1857" width="14.85546875" style="167" customWidth="1"/>
    <col min="1858" max="1858" width="8.85546875" style="167" customWidth="1"/>
    <col min="1859" max="1859" width="12.5703125" style="167" customWidth="1"/>
    <col min="1860" max="1861" width="13" style="167" customWidth="1"/>
    <col min="1862" max="2105" width="9.140625" style="167"/>
    <col min="2106" max="2106" width="14" style="167" customWidth="1"/>
    <col min="2107" max="2107" width="2" style="167" customWidth="1"/>
    <col min="2108" max="2108" width="11.85546875" style="167" customWidth="1"/>
    <col min="2109" max="2109" width="13.5703125" style="167" customWidth="1"/>
    <col min="2110" max="2111" width="13.85546875" style="167" customWidth="1"/>
    <col min="2112" max="2113" width="14.85546875" style="167" customWidth="1"/>
    <col min="2114" max="2114" width="8.85546875" style="167" customWidth="1"/>
    <col min="2115" max="2115" width="12.5703125" style="167" customWidth="1"/>
    <col min="2116" max="2117" width="13" style="167" customWidth="1"/>
    <col min="2118" max="2361" width="9.140625" style="167"/>
    <col min="2362" max="2362" width="14" style="167" customWidth="1"/>
    <col min="2363" max="2363" width="2" style="167" customWidth="1"/>
    <col min="2364" max="2364" width="11.85546875" style="167" customWidth="1"/>
    <col min="2365" max="2365" width="13.5703125" style="167" customWidth="1"/>
    <col min="2366" max="2367" width="13.85546875" style="167" customWidth="1"/>
    <col min="2368" max="2369" width="14.85546875" style="167" customWidth="1"/>
    <col min="2370" max="2370" width="8.85546875" style="167" customWidth="1"/>
    <col min="2371" max="2371" width="12.5703125" style="167" customWidth="1"/>
    <col min="2372" max="2373" width="13" style="167" customWidth="1"/>
    <col min="2374" max="2617" width="9.140625" style="167"/>
    <col min="2618" max="2618" width="14" style="167" customWidth="1"/>
    <col min="2619" max="2619" width="2" style="167" customWidth="1"/>
    <col min="2620" max="2620" width="11.85546875" style="167" customWidth="1"/>
    <col min="2621" max="2621" width="13.5703125" style="167" customWidth="1"/>
    <col min="2622" max="2623" width="13.85546875" style="167" customWidth="1"/>
    <col min="2624" max="2625" width="14.85546875" style="167" customWidth="1"/>
    <col min="2626" max="2626" width="8.85546875" style="167" customWidth="1"/>
    <col min="2627" max="2627" width="12.5703125" style="167" customWidth="1"/>
    <col min="2628" max="2629" width="13" style="167" customWidth="1"/>
    <col min="2630" max="2873" width="9.140625" style="167"/>
    <col min="2874" max="2874" width="14" style="167" customWidth="1"/>
    <col min="2875" max="2875" width="2" style="167" customWidth="1"/>
    <col min="2876" max="2876" width="11.85546875" style="167" customWidth="1"/>
    <col min="2877" max="2877" width="13.5703125" style="167" customWidth="1"/>
    <col min="2878" max="2879" width="13.85546875" style="167" customWidth="1"/>
    <col min="2880" max="2881" width="14.85546875" style="167" customWidth="1"/>
    <col min="2882" max="2882" width="8.85546875" style="167" customWidth="1"/>
    <col min="2883" max="2883" width="12.5703125" style="167" customWidth="1"/>
    <col min="2884" max="2885" width="13" style="167" customWidth="1"/>
    <col min="2886" max="3129" width="9.140625" style="167"/>
    <col min="3130" max="3130" width="14" style="167" customWidth="1"/>
    <col min="3131" max="3131" width="2" style="167" customWidth="1"/>
    <col min="3132" max="3132" width="11.85546875" style="167" customWidth="1"/>
    <col min="3133" max="3133" width="13.5703125" style="167" customWidth="1"/>
    <col min="3134" max="3135" width="13.85546875" style="167" customWidth="1"/>
    <col min="3136" max="3137" width="14.85546875" style="167" customWidth="1"/>
    <col min="3138" max="3138" width="8.85546875" style="167" customWidth="1"/>
    <col min="3139" max="3139" width="12.5703125" style="167" customWidth="1"/>
    <col min="3140" max="3141" width="13" style="167" customWidth="1"/>
    <col min="3142" max="3385" width="9.140625" style="167"/>
    <col min="3386" max="3386" width="14" style="167" customWidth="1"/>
    <col min="3387" max="3387" width="2" style="167" customWidth="1"/>
    <col min="3388" max="3388" width="11.85546875" style="167" customWidth="1"/>
    <col min="3389" max="3389" width="13.5703125" style="167" customWidth="1"/>
    <col min="3390" max="3391" width="13.85546875" style="167" customWidth="1"/>
    <col min="3392" max="3393" width="14.85546875" style="167" customWidth="1"/>
    <col min="3394" max="3394" width="8.85546875" style="167" customWidth="1"/>
    <col min="3395" max="3395" width="12.5703125" style="167" customWidth="1"/>
    <col min="3396" max="3397" width="13" style="167" customWidth="1"/>
    <col min="3398" max="3641" width="9.140625" style="167"/>
    <col min="3642" max="3642" width="14" style="167" customWidth="1"/>
    <col min="3643" max="3643" width="2" style="167" customWidth="1"/>
    <col min="3644" max="3644" width="11.85546875" style="167" customWidth="1"/>
    <col min="3645" max="3645" width="13.5703125" style="167" customWidth="1"/>
    <col min="3646" max="3647" width="13.85546875" style="167" customWidth="1"/>
    <col min="3648" max="3649" width="14.85546875" style="167" customWidth="1"/>
    <col min="3650" max="3650" width="8.85546875" style="167" customWidth="1"/>
    <col min="3651" max="3651" width="12.5703125" style="167" customWidth="1"/>
    <col min="3652" max="3653" width="13" style="167" customWidth="1"/>
    <col min="3654" max="3897" width="9.140625" style="167"/>
    <col min="3898" max="3898" width="14" style="167" customWidth="1"/>
    <col min="3899" max="3899" width="2" style="167" customWidth="1"/>
    <col min="3900" max="3900" width="11.85546875" style="167" customWidth="1"/>
    <col min="3901" max="3901" width="13.5703125" style="167" customWidth="1"/>
    <col min="3902" max="3903" width="13.85546875" style="167" customWidth="1"/>
    <col min="3904" max="3905" width="14.85546875" style="167" customWidth="1"/>
    <col min="3906" max="3906" width="8.85546875" style="167" customWidth="1"/>
    <col min="3907" max="3907" width="12.5703125" style="167" customWidth="1"/>
    <col min="3908" max="3909" width="13" style="167" customWidth="1"/>
    <col min="3910" max="4153" width="9.140625" style="167"/>
    <col min="4154" max="4154" width="14" style="167" customWidth="1"/>
    <col min="4155" max="4155" width="2" style="167" customWidth="1"/>
    <col min="4156" max="4156" width="11.85546875" style="167" customWidth="1"/>
    <col min="4157" max="4157" width="13.5703125" style="167" customWidth="1"/>
    <col min="4158" max="4159" width="13.85546875" style="167" customWidth="1"/>
    <col min="4160" max="4161" width="14.85546875" style="167" customWidth="1"/>
    <col min="4162" max="4162" width="8.85546875" style="167" customWidth="1"/>
    <col min="4163" max="4163" width="12.5703125" style="167" customWidth="1"/>
    <col min="4164" max="4165" width="13" style="167" customWidth="1"/>
    <col min="4166" max="4409" width="9.140625" style="167"/>
    <col min="4410" max="4410" width="14" style="167" customWidth="1"/>
    <col min="4411" max="4411" width="2" style="167" customWidth="1"/>
    <col min="4412" max="4412" width="11.85546875" style="167" customWidth="1"/>
    <col min="4413" max="4413" width="13.5703125" style="167" customWidth="1"/>
    <col min="4414" max="4415" width="13.85546875" style="167" customWidth="1"/>
    <col min="4416" max="4417" width="14.85546875" style="167" customWidth="1"/>
    <col min="4418" max="4418" width="8.85546875" style="167" customWidth="1"/>
    <col min="4419" max="4419" width="12.5703125" style="167" customWidth="1"/>
    <col min="4420" max="4421" width="13" style="167" customWidth="1"/>
    <col min="4422" max="4665" width="9.140625" style="167"/>
    <col min="4666" max="4666" width="14" style="167" customWidth="1"/>
    <col min="4667" max="4667" width="2" style="167" customWidth="1"/>
    <col min="4668" max="4668" width="11.85546875" style="167" customWidth="1"/>
    <col min="4669" max="4669" width="13.5703125" style="167" customWidth="1"/>
    <col min="4670" max="4671" width="13.85546875" style="167" customWidth="1"/>
    <col min="4672" max="4673" width="14.85546875" style="167" customWidth="1"/>
    <col min="4674" max="4674" width="8.85546875" style="167" customWidth="1"/>
    <col min="4675" max="4675" width="12.5703125" style="167" customWidth="1"/>
    <col min="4676" max="4677" width="13" style="167" customWidth="1"/>
    <col min="4678" max="4921" width="9.140625" style="167"/>
    <col min="4922" max="4922" width="14" style="167" customWidth="1"/>
    <col min="4923" max="4923" width="2" style="167" customWidth="1"/>
    <col min="4924" max="4924" width="11.85546875" style="167" customWidth="1"/>
    <col min="4925" max="4925" width="13.5703125" style="167" customWidth="1"/>
    <col min="4926" max="4927" width="13.85546875" style="167" customWidth="1"/>
    <col min="4928" max="4929" width="14.85546875" style="167" customWidth="1"/>
    <col min="4930" max="4930" width="8.85546875" style="167" customWidth="1"/>
    <col min="4931" max="4931" width="12.5703125" style="167" customWidth="1"/>
    <col min="4932" max="4933" width="13" style="167" customWidth="1"/>
    <col min="4934" max="5177" width="9.140625" style="167"/>
    <col min="5178" max="5178" width="14" style="167" customWidth="1"/>
    <col min="5179" max="5179" width="2" style="167" customWidth="1"/>
    <col min="5180" max="5180" width="11.85546875" style="167" customWidth="1"/>
    <col min="5181" max="5181" width="13.5703125" style="167" customWidth="1"/>
    <col min="5182" max="5183" width="13.85546875" style="167" customWidth="1"/>
    <col min="5184" max="5185" width="14.85546875" style="167" customWidth="1"/>
    <col min="5186" max="5186" width="8.85546875" style="167" customWidth="1"/>
    <col min="5187" max="5187" width="12.5703125" style="167" customWidth="1"/>
    <col min="5188" max="5189" width="13" style="167" customWidth="1"/>
    <col min="5190" max="5433" width="9.140625" style="167"/>
    <col min="5434" max="5434" width="14" style="167" customWidth="1"/>
    <col min="5435" max="5435" width="2" style="167" customWidth="1"/>
    <col min="5436" max="5436" width="11.85546875" style="167" customWidth="1"/>
    <col min="5437" max="5437" width="13.5703125" style="167" customWidth="1"/>
    <col min="5438" max="5439" width="13.85546875" style="167" customWidth="1"/>
    <col min="5440" max="5441" width="14.85546875" style="167" customWidth="1"/>
    <col min="5442" max="5442" width="8.85546875" style="167" customWidth="1"/>
    <col min="5443" max="5443" width="12.5703125" style="167" customWidth="1"/>
    <col min="5444" max="5445" width="13" style="167" customWidth="1"/>
    <col min="5446" max="5689" width="9.140625" style="167"/>
    <col min="5690" max="5690" width="14" style="167" customWidth="1"/>
    <col min="5691" max="5691" width="2" style="167" customWidth="1"/>
    <col min="5692" max="5692" width="11.85546875" style="167" customWidth="1"/>
    <col min="5693" max="5693" width="13.5703125" style="167" customWidth="1"/>
    <col min="5694" max="5695" width="13.85546875" style="167" customWidth="1"/>
    <col min="5696" max="5697" width="14.85546875" style="167" customWidth="1"/>
    <col min="5698" max="5698" width="8.85546875" style="167" customWidth="1"/>
    <col min="5699" max="5699" width="12.5703125" style="167" customWidth="1"/>
    <col min="5700" max="5701" width="13" style="167" customWidth="1"/>
    <col min="5702" max="5945" width="9.140625" style="167"/>
    <col min="5946" max="5946" width="14" style="167" customWidth="1"/>
    <col min="5947" max="5947" width="2" style="167" customWidth="1"/>
    <col min="5948" max="5948" width="11.85546875" style="167" customWidth="1"/>
    <col min="5949" max="5949" width="13.5703125" style="167" customWidth="1"/>
    <col min="5950" max="5951" width="13.85546875" style="167" customWidth="1"/>
    <col min="5952" max="5953" width="14.85546875" style="167" customWidth="1"/>
    <col min="5954" max="5954" width="8.85546875" style="167" customWidth="1"/>
    <col min="5955" max="5955" width="12.5703125" style="167" customWidth="1"/>
    <col min="5956" max="5957" width="13" style="167" customWidth="1"/>
    <col min="5958" max="6201" width="9.140625" style="167"/>
    <col min="6202" max="6202" width="14" style="167" customWidth="1"/>
    <col min="6203" max="6203" width="2" style="167" customWidth="1"/>
    <col min="6204" max="6204" width="11.85546875" style="167" customWidth="1"/>
    <col min="6205" max="6205" width="13.5703125" style="167" customWidth="1"/>
    <col min="6206" max="6207" width="13.85546875" style="167" customWidth="1"/>
    <col min="6208" max="6209" width="14.85546875" style="167" customWidth="1"/>
    <col min="6210" max="6210" width="8.85546875" style="167" customWidth="1"/>
    <col min="6211" max="6211" width="12.5703125" style="167" customWidth="1"/>
    <col min="6212" max="6213" width="13" style="167" customWidth="1"/>
    <col min="6214" max="6457" width="9.140625" style="167"/>
    <col min="6458" max="6458" width="14" style="167" customWidth="1"/>
    <col min="6459" max="6459" width="2" style="167" customWidth="1"/>
    <col min="6460" max="6460" width="11.85546875" style="167" customWidth="1"/>
    <col min="6461" max="6461" width="13.5703125" style="167" customWidth="1"/>
    <col min="6462" max="6463" width="13.85546875" style="167" customWidth="1"/>
    <col min="6464" max="6465" width="14.85546875" style="167" customWidth="1"/>
    <col min="6466" max="6466" width="8.85546875" style="167" customWidth="1"/>
    <col min="6467" max="6467" width="12.5703125" style="167" customWidth="1"/>
    <col min="6468" max="6469" width="13" style="167" customWidth="1"/>
    <col min="6470" max="6713" width="9.140625" style="167"/>
    <col min="6714" max="6714" width="14" style="167" customWidth="1"/>
    <col min="6715" max="6715" width="2" style="167" customWidth="1"/>
    <col min="6716" max="6716" width="11.85546875" style="167" customWidth="1"/>
    <col min="6717" max="6717" width="13.5703125" style="167" customWidth="1"/>
    <col min="6718" max="6719" width="13.85546875" style="167" customWidth="1"/>
    <col min="6720" max="6721" width="14.85546875" style="167" customWidth="1"/>
    <col min="6722" max="6722" width="8.85546875" style="167" customWidth="1"/>
    <col min="6723" max="6723" width="12.5703125" style="167" customWidth="1"/>
    <col min="6724" max="6725" width="13" style="167" customWidth="1"/>
    <col min="6726" max="6969" width="9.140625" style="167"/>
    <col min="6970" max="6970" width="14" style="167" customWidth="1"/>
    <col min="6971" max="6971" width="2" style="167" customWidth="1"/>
    <col min="6972" max="6972" width="11.85546875" style="167" customWidth="1"/>
    <col min="6973" max="6973" width="13.5703125" style="167" customWidth="1"/>
    <col min="6974" max="6975" width="13.85546875" style="167" customWidth="1"/>
    <col min="6976" max="6977" width="14.85546875" style="167" customWidth="1"/>
    <col min="6978" max="6978" width="8.85546875" style="167" customWidth="1"/>
    <col min="6979" max="6979" width="12.5703125" style="167" customWidth="1"/>
    <col min="6980" max="6981" width="13" style="167" customWidth="1"/>
    <col min="6982" max="7225" width="9.140625" style="167"/>
    <col min="7226" max="7226" width="14" style="167" customWidth="1"/>
    <col min="7227" max="7227" width="2" style="167" customWidth="1"/>
    <col min="7228" max="7228" width="11.85546875" style="167" customWidth="1"/>
    <col min="7229" max="7229" width="13.5703125" style="167" customWidth="1"/>
    <col min="7230" max="7231" width="13.85546875" style="167" customWidth="1"/>
    <col min="7232" max="7233" width="14.85546875" style="167" customWidth="1"/>
    <col min="7234" max="7234" width="8.85546875" style="167" customWidth="1"/>
    <col min="7235" max="7235" width="12.5703125" style="167" customWidth="1"/>
    <col min="7236" max="7237" width="13" style="167" customWidth="1"/>
    <col min="7238" max="7481" width="9.140625" style="167"/>
    <col min="7482" max="7482" width="14" style="167" customWidth="1"/>
    <col min="7483" max="7483" width="2" style="167" customWidth="1"/>
    <col min="7484" max="7484" width="11.85546875" style="167" customWidth="1"/>
    <col min="7485" max="7485" width="13.5703125" style="167" customWidth="1"/>
    <col min="7486" max="7487" width="13.85546875" style="167" customWidth="1"/>
    <col min="7488" max="7489" width="14.85546875" style="167" customWidth="1"/>
    <col min="7490" max="7490" width="8.85546875" style="167" customWidth="1"/>
    <col min="7491" max="7491" width="12.5703125" style="167" customWidth="1"/>
    <col min="7492" max="7493" width="13" style="167" customWidth="1"/>
    <col min="7494" max="7737" width="9.140625" style="167"/>
    <col min="7738" max="7738" width="14" style="167" customWidth="1"/>
    <col min="7739" max="7739" width="2" style="167" customWidth="1"/>
    <col min="7740" max="7740" width="11.85546875" style="167" customWidth="1"/>
    <col min="7741" max="7741" width="13.5703125" style="167" customWidth="1"/>
    <col min="7742" max="7743" width="13.85546875" style="167" customWidth="1"/>
    <col min="7744" max="7745" width="14.85546875" style="167" customWidth="1"/>
    <col min="7746" max="7746" width="8.85546875" style="167" customWidth="1"/>
    <col min="7747" max="7747" width="12.5703125" style="167" customWidth="1"/>
    <col min="7748" max="7749" width="13" style="167" customWidth="1"/>
    <col min="7750" max="7993" width="9.140625" style="167"/>
    <col min="7994" max="7994" width="14" style="167" customWidth="1"/>
    <col min="7995" max="7995" width="2" style="167" customWidth="1"/>
    <col min="7996" max="7996" width="11.85546875" style="167" customWidth="1"/>
    <col min="7997" max="7997" width="13.5703125" style="167" customWidth="1"/>
    <col min="7998" max="7999" width="13.85546875" style="167" customWidth="1"/>
    <col min="8000" max="8001" width="14.85546875" style="167" customWidth="1"/>
    <col min="8002" max="8002" width="8.85546875" style="167" customWidth="1"/>
    <col min="8003" max="8003" width="12.5703125" style="167" customWidth="1"/>
    <col min="8004" max="8005" width="13" style="167" customWidth="1"/>
    <col min="8006" max="8249" width="9.140625" style="167"/>
    <col min="8250" max="8250" width="14" style="167" customWidth="1"/>
    <col min="8251" max="8251" width="2" style="167" customWidth="1"/>
    <col min="8252" max="8252" width="11.85546875" style="167" customWidth="1"/>
    <col min="8253" max="8253" width="13.5703125" style="167" customWidth="1"/>
    <col min="8254" max="8255" width="13.85546875" style="167" customWidth="1"/>
    <col min="8256" max="8257" width="14.85546875" style="167" customWidth="1"/>
    <col min="8258" max="8258" width="8.85546875" style="167" customWidth="1"/>
    <col min="8259" max="8259" width="12.5703125" style="167" customWidth="1"/>
    <col min="8260" max="8261" width="13" style="167" customWidth="1"/>
    <col min="8262" max="8505" width="9.140625" style="167"/>
    <col min="8506" max="8506" width="14" style="167" customWidth="1"/>
    <col min="8507" max="8507" width="2" style="167" customWidth="1"/>
    <col min="8508" max="8508" width="11.85546875" style="167" customWidth="1"/>
    <col min="8509" max="8509" width="13.5703125" style="167" customWidth="1"/>
    <col min="8510" max="8511" width="13.85546875" style="167" customWidth="1"/>
    <col min="8512" max="8513" width="14.85546875" style="167" customWidth="1"/>
    <col min="8514" max="8514" width="8.85546875" style="167" customWidth="1"/>
    <col min="8515" max="8515" width="12.5703125" style="167" customWidth="1"/>
    <col min="8516" max="8517" width="13" style="167" customWidth="1"/>
    <col min="8518" max="8761" width="9.140625" style="167"/>
    <col min="8762" max="8762" width="14" style="167" customWidth="1"/>
    <col min="8763" max="8763" width="2" style="167" customWidth="1"/>
    <col min="8764" max="8764" width="11.85546875" style="167" customWidth="1"/>
    <col min="8765" max="8765" width="13.5703125" style="167" customWidth="1"/>
    <col min="8766" max="8767" width="13.85546875" style="167" customWidth="1"/>
    <col min="8768" max="8769" width="14.85546875" style="167" customWidth="1"/>
    <col min="8770" max="8770" width="8.85546875" style="167" customWidth="1"/>
    <col min="8771" max="8771" width="12.5703125" style="167" customWidth="1"/>
    <col min="8772" max="8773" width="13" style="167" customWidth="1"/>
    <col min="8774" max="9017" width="9.140625" style="167"/>
    <col min="9018" max="9018" width="14" style="167" customWidth="1"/>
    <col min="9019" max="9019" width="2" style="167" customWidth="1"/>
    <col min="9020" max="9020" width="11.85546875" style="167" customWidth="1"/>
    <col min="9021" max="9021" width="13.5703125" style="167" customWidth="1"/>
    <col min="9022" max="9023" width="13.85546875" style="167" customWidth="1"/>
    <col min="9024" max="9025" width="14.85546875" style="167" customWidth="1"/>
    <col min="9026" max="9026" width="8.85546875" style="167" customWidth="1"/>
    <col min="9027" max="9027" width="12.5703125" style="167" customWidth="1"/>
    <col min="9028" max="9029" width="13" style="167" customWidth="1"/>
    <col min="9030" max="9273" width="9.140625" style="167"/>
    <col min="9274" max="9274" width="14" style="167" customWidth="1"/>
    <col min="9275" max="9275" width="2" style="167" customWidth="1"/>
    <col min="9276" max="9276" width="11.85546875" style="167" customWidth="1"/>
    <col min="9277" max="9277" width="13.5703125" style="167" customWidth="1"/>
    <col min="9278" max="9279" width="13.85546875" style="167" customWidth="1"/>
    <col min="9280" max="9281" width="14.85546875" style="167" customWidth="1"/>
    <col min="9282" max="9282" width="8.85546875" style="167" customWidth="1"/>
    <col min="9283" max="9283" width="12.5703125" style="167" customWidth="1"/>
    <col min="9284" max="9285" width="13" style="167" customWidth="1"/>
    <col min="9286" max="9529" width="9.140625" style="167"/>
    <col min="9530" max="9530" width="14" style="167" customWidth="1"/>
    <col min="9531" max="9531" width="2" style="167" customWidth="1"/>
    <col min="9532" max="9532" width="11.85546875" style="167" customWidth="1"/>
    <col min="9533" max="9533" width="13.5703125" style="167" customWidth="1"/>
    <col min="9534" max="9535" width="13.85546875" style="167" customWidth="1"/>
    <col min="9536" max="9537" width="14.85546875" style="167" customWidth="1"/>
    <col min="9538" max="9538" width="8.85546875" style="167" customWidth="1"/>
    <col min="9539" max="9539" width="12.5703125" style="167" customWidth="1"/>
    <col min="9540" max="9541" width="13" style="167" customWidth="1"/>
    <col min="9542" max="9785" width="9.140625" style="167"/>
    <col min="9786" max="9786" width="14" style="167" customWidth="1"/>
    <col min="9787" max="9787" width="2" style="167" customWidth="1"/>
    <col min="9788" max="9788" width="11.85546875" style="167" customWidth="1"/>
    <col min="9789" max="9789" width="13.5703125" style="167" customWidth="1"/>
    <col min="9790" max="9791" width="13.85546875" style="167" customWidth="1"/>
    <col min="9792" max="9793" width="14.85546875" style="167" customWidth="1"/>
    <col min="9794" max="9794" width="8.85546875" style="167" customWidth="1"/>
    <col min="9795" max="9795" width="12.5703125" style="167" customWidth="1"/>
    <col min="9796" max="9797" width="13" style="167" customWidth="1"/>
    <col min="9798" max="10041" width="9.140625" style="167"/>
    <col min="10042" max="10042" width="14" style="167" customWidth="1"/>
    <col min="10043" max="10043" width="2" style="167" customWidth="1"/>
    <col min="10044" max="10044" width="11.85546875" style="167" customWidth="1"/>
    <col min="10045" max="10045" width="13.5703125" style="167" customWidth="1"/>
    <col min="10046" max="10047" width="13.85546875" style="167" customWidth="1"/>
    <col min="10048" max="10049" width="14.85546875" style="167" customWidth="1"/>
    <col min="10050" max="10050" width="8.85546875" style="167" customWidth="1"/>
    <col min="10051" max="10051" width="12.5703125" style="167" customWidth="1"/>
    <col min="10052" max="10053" width="13" style="167" customWidth="1"/>
    <col min="10054" max="10297" width="9.140625" style="167"/>
    <col min="10298" max="10298" width="14" style="167" customWidth="1"/>
    <col min="10299" max="10299" width="2" style="167" customWidth="1"/>
    <col min="10300" max="10300" width="11.85546875" style="167" customWidth="1"/>
    <col min="10301" max="10301" width="13.5703125" style="167" customWidth="1"/>
    <col min="10302" max="10303" width="13.85546875" style="167" customWidth="1"/>
    <col min="10304" max="10305" width="14.85546875" style="167" customWidth="1"/>
    <col min="10306" max="10306" width="8.85546875" style="167" customWidth="1"/>
    <col min="10307" max="10307" width="12.5703125" style="167" customWidth="1"/>
    <col min="10308" max="10309" width="13" style="167" customWidth="1"/>
    <col min="10310" max="10553" width="9.140625" style="167"/>
    <col min="10554" max="10554" width="14" style="167" customWidth="1"/>
    <col min="10555" max="10555" width="2" style="167" customWidth="1"/>
    <col min="10556" max="10556" width="11.85546875" style="167" customWidth="1"/>
    <col min="10557" max="10557" width="13.5703125" style="167" customWidth="1"/>
    <col min="10558" max="10559" width="13.85546875" style="167" customWidth="1"/>
    <col min="10560" max="10561" width="14.85546875" style="167" customWidth="1"/>
    <col min="10562" max="10562" width="8.85546875" style="167" customWidth="1"/>
    <col min="10563" max="10563" width="12.5703125" style="167" customWidth="1"/>
    <col min="10564" max="10565" width="13" style="167" customWidth="1"/>
    <col min="10566" max="10809" width="9.140625" style="167"/>
    <col min="10810" max="10810" width="14" style="167" customWidth="1"/>
    <col min="10811" max="10811" width="2" style="167" customWidth="1"/>
    <col min="10812" max="10812" width="11.85546875" style="167" customWidth="1"/>
    <col min="10813" max="10813" width="13.5703125" style="167" customWidth="1"/>
    <col min="10814" max="10815" width="13.85546875" style="167" customWidth="1"/>
    <col min="10816" max="10817" width="14.85546875" style="167" customWidth="1"/>
    <col min="10818" max="10818" width="8.85546875" style="167" customWidth="1"/>
    <col min="10819" max="10819" width="12.5703125" style="167" customWidth="1"/>
    <col min="10820" max="10821" width="13" style="167" customWidth="1"/>
    <col min="10822" max="11065" width="9.140625" style="167"/>
    <col min="11066" max="11066" width="14" style="167" customWidth="1"/>
    <col min="11067" max="11067" width="2" style="167" customWidth="1"/>
    <col min="11068" max="11068" width="11.85546875" style="167" customWidth="1"/>
    <col min="11069" max="11069" width="13.5703125" style="167" customWidth="1"/>
    <col min="11070" max="11071" width="13.85546875" style="167" customWidth="1"/>
    <col min="11072" max="11073" width="14.85546875" style="167" customWidth="1"/>
    <col min="11074" max="11074" width="8.85546875" style="167" customWidth="1"/>
    <col min="11075" max="11075" width="12.5703125" style="167" customWidth="1"/>
    <col min="11076" max="11077" width="13" style="167" customWidth="1"/>
    <col min="11078" max="11321" width="9.140625" style="167"/>
    <col min="11322" max="11322" width="14" style="167" customWidth="1"/>
    <col min="11323" max="11323" width="2" style="167" customWidth="1"/>
    <col min="11324" max="11324" width="11.85546875" style="167" customWidth="1"/>
    <col min="11325" max="11325" width="13.5703125" style="167" customWidth="1"/>
    <col min="11326" max="11327" width="13.85546875" style="167" customWidth="1"/>
    <col min="11328" max="11329" width="14.85546875" style="167" customWidth="1"/>
    <col min="11330" max="11330" width="8.85546875" style="167" customWidth="1"/>
    <col min="11331" max="11331" width="12.5703125" style="167" customWidth="1"/>
    <col min="11332" max="11333" width="13" style="167" customWidth="1"/>
    <col min="11334" max="11577" width="9.140625" style="167"/>
    <col min="11578" max="11578" width="14" style="167" customWidth="1"/>
    <col min="11579" max="11579" width="2" style="167" customWidth="1"/>
    <col min="11580" max="11580" width="11.85546875" style="167" customWidth="1"/>
    <col min="11581" max="11581" width="13.5703125" style="167" customWidth="1"/>
    <col min="11582" max="11583" width="13.85546875" style="167" customWidth="1"/>
    <col min="11584" max="11585" width="14.85546875" style="167" customWidth="1"/>
    <col min="11586" max="11586" width="8.85546875" style="167" customWidth="1"/>
    <col min="11587" max="11587" width="12.5703125" style="167" customWidth="1"/>
    <col min="11588" max="11589" width="13" style="167" customWidth="1"/>
    <col min="11590" max="11833" width="9.140625" style="167"/>
    <col min="11834" max="11834" width="14" style="167" customWidth="1"/>
    <col min="11835" max="11835" width="2" style="167" customWidth="1"/>
    <col min="11836" max="11836" width="11.85546875" style="167" customWidth="1"/>
    <col min="11837" max="11837" width="13.5703125" style="167" customWidth="1"/>
    <col min="11838" max="11839" width="13.85546875" style="167" customWidth="1"/>
    <col min="11840" max="11841" width="14.85546875" style="167" customWidth="1"/>
    <col min="11842" max="11842" width="8.85546875" style="167" customWidth="1"/>
    <col min="11843" max="11843" width="12.5703125" style="167" customWidth="1"/>
    <col min="11844" max="11845" width="13" style="167" customWidth="1"/>
    <col min="11846" max="12089" width="9.140625" style="167"/>
    <col min="12090" max="12090" width="14" style="167" customWidth="1"/>
    <col min="12091" max="12091" width="2" style="167" customWidth="1"/>
    <col min="12092" max="12092" width="11.85546875" style="167" customWidth="1"/>
    <col min="12093" max="12093" width="13.5703125" style="167" customWidth="1"/>
    <col min="12094" max="12095" width="13.85546875" style="167" customWidth="1"/>
    <col min="12096" max="12097" width="14.85546875" style="167" customWidth="1"/>
    <col min="12098" max="12098" width="8.85546875" style="167" customWidth="1"/>
    <col min="12099" max="12099" width="12.5703125" style="167" customWidth="1"/>
    <col min="12100" max="12101" width="13" style="167" customWidth="1"/>
    <col min="12102" max="12345" width="9.140625" style="167"/>
    <col min="12346" max="12346" width="14" style="167" customWidth="1"/>
    <col min="12347" max="12347" width="2" style="167" customWidth="1"/>
    <col min="12348" max="12348" width="11.85546875" style="167" customWidth="1"/>
    <col min="12349" max="12349" width="13.5703125" style="167" customWidth="1"/>
    <col min="12350" max="12351" width="13.85546875" style="167" customWidth="1"/>
    <col min="12352" max="12353" width="14.85546875" style="167" customWidth="1"/>
    <col min="12354" max="12354" width="8.85546875" style="167" customWidth="1"/>
    <col min="12355" max="12355" width="12.5703125" style="167" customWidth="1"/>
    <col min="12356" max="12357" width="13" style="167" customWidth="1"/>
    <col min="12358" max="12601" width="9.140625" style="167"/>
    <col min="12602" max="12602" width="14" style="167" customWidth="1"/>
    <col min="12603" max="12603" width="2" style="167" customWidth="1"/>
    <col min="12604" max="12604" width="11.85546875" style="167" customWidth="1"/>
    <col min="12605" max="12605" width="13.5703125" style="167" customWidth="1"/>
    <col min="12606" max="12607" width="13.85546875" style="167" customWidth="1"/>
    <col min="12608" max="12609" width="14.85546875" style="167" customWidth="1"/>
    <col min="12610" max="12610" width="8.85546875" style="167" customWidth="1"/>
    <col min="12611" max="12611" width="12.5703125" style="167" customWidth="1"/>
    <col min="12612" max="12613" width="13" style="167" customWidth="1"/>
    <col min="12614" max="12857" width="9.140625" style="167"/>
    <col min="12858" max="12858" width="14" style="167" customWidth="1"/>
    <col min="12859" max="12859" width="2" style="167" customWidth="1"/>
    <col min="12860" max="12860" width="11.85546875" style="167" customWidth="1"/>
    <col min="12861" max="12861" width="13.5703125" style="167" customWidth="1"/>
    <col min="12862" max="12863" width="13.85546875" style="167" customWidth="1"/>
    <col min="12864" max="12865" width="14.85546875" style="167" customWidth="1"/>
    <col min="12866" max="12866" width="8.85546875" style="167" customWidth="1"/>
    <col min="12867" max="12867" width="12.5703125" style="167" customWidth="1"/>
    <col min="12868" max="12869" width="13" style="167" customWidth="1"/>
    <col min="12870" max="13113" width="9.140625" style="167"/>
    <col min="13114" max="13114" width="14" style="167" customWidth="1"/>
    <col min="13115" max="13115" width="2" style="167" customWidth="1"/>
    <col min="13116" max="13116" width="11.85546875" style="167" customWidth="1"/>
    <col min="13117" max="13117" width="13.5703125" style="167" customWidth="1"/>
    <col min="13118" max="13119" width="13.85546875" style="167" customWidth="1"/>
    <col min="13120" max="13121" width="14.85546875" style="167" customWidth="1"/>
    <col min="13122" max="13122" width="8.85546875" style="167" customWidth="1"/>
    <col min="13123" max="13123" width="12.5703125" style="167" customWidth="1"/>
    <col min="13124" max="13125" width="13" style="167" customWidth="1"/>
    <col min="13126" max="13369" width="9.140625" style="167"/>
    <col min="13370" max="13370" width="14" style="167" customWidth="1"/>
    <col min="13371" max="13371" width="2" style="167" customWidth="1"/>
    <col min="13372" max="13372" width="11.85546875" style="167" customWidth="1"/>
    <col min="13373" max="13373" width="13.5703125" style="167" customWidth="1"/>
    <col min="13374" max="13375" width="13.85546875" style="167" customWidth="1"/>
    <col min="13376" max="13377" width="14.85546875" style="167" customWidth="1"/>
    <col min="13378" max="13378" width="8.85546875" style="167" customWidth="1"/>
    <col min="13379" max="13379" width="12.5703125" style="167" customWidth="1"/>
    <col min="13380" max="13381" width="13" style="167" customWidth="1"/>
    <col min="13382" max="13625" width="9.140625" style="167"/>
    <col min="13626" max="13626" width="14" style="167" customWidth="1"/>
    <col min="13627" max="13627" width="2" style="167" customWidth="1"/>
    <col min="13628" max="13628" width="11.85546875" style="167" customWidth="1"/>
    <col min="13629" max="13629" width="13.5703125" style="167" customWidth="1"/>
    <col min="13630" max="13631" width="13.85546875" style="167" customWidth="1"/>
    <col min="13632" max="13633" width="14.85546875" style="167" customWidth="1"/>
    <col min="13634" max="13634" width="8.85546875" style="167" customWidth="1"/>
    <col min="13635" max="13635" width="12.5703125" style="167" customWidth="1"/>
    <col min="13636" max="13637" width="13" style="167" customWidth="1"/>
    <col min="13638" max="13881" width="9.140625" style="167"/>
    <col min="13882" max="13882" width="14" style="167" customWidth="1"/>
    <col min="13883" max="13883" width="2" style="167" customWidth="1"/>
    <col min="13884" max="13884" width="11.85546875" style="167" customWidth="1"/>
    <col min="13885" max="13885" width="13.5703125" style="167" customWidth="1"/>
    <col min="13886" max="13887" width="13.85546875" style="167" customWidth="1"/>
    <col min="13888" max="13889" width="14.85546875" style="167" customWidth="1"/>
    <col min="13890" max="13890" width="8.85546875" style="167" customWidth="1"/>
    <col min="13891" max="13891" width="12.5703125" style="167" customWidth="1"/>
    <col min="13892" max="13893" width="13" style="167" customWidth="1"/>
    <col min="13894" max="14137" width="9.140625" style="167"/>
    <col min="14138" max="14138" width="14" style="167" customWidth="1"/>
    <col min="14139" max="14139" width="2" style="167" customWidth="1"/>
    <col min="14140" max="14140" width="11.85546875" style="167" customWidth="1"/>
    <col min="14141" max="14141" width="13.5703125" style="167" customWidth="1"/>
    <col min="14142" max="14143" width="13.85546875" style="167" customWidth="1"/>
    <col min="14144" max="14145" width="14.85546875" style="167" customWidth="1"/>
    <col min="14146" max="14146" width="8.85546875" style="167" customWidth="1"/>
    <col min="14147" max="14147" width="12.5703125" style="167" customWidth="1"/>
    <col min="14148" max="14149" width="13" style="167" customWidth="1"/>
    <col min="14150" max="14393" width="9.140625" style="167"/>
    <col min="14394" max="14394" width="14" style="167" customWidth="1"/>
    <col min="14395" max="14395" width="2" style="167" customWidth="1"/>
    <col min="14396" max="14396" width="11.85546875" style="167" customWidth="1"/>
    <col min="14397" max="14397" width="13.5703125" style="167" customWidth="1"/>
    <col min="14398" max="14399" width="13.85546875" style="167" customWidth="1"/>
    <col min="14400" max="14401" width="14.85546875" style="167" customWidth="1"/>
    <col min="14402" max="14402" width="8.85546875" style="167" customWidth="1"/>
    <col min="14403" max="14403" width="12.5703125" style="167" customWidth="1"/>
    <col min="14404" max="14405" width="13" style="167" customWidth="1"/>
    <col min="14406" max="14649" width="9.140625" style="167"/>
    <col min="14650" max="14650" width="14" style="167" customWidth="1"/>
    <col min="14651" max="14651" width="2" style="167" customWidth="1"/>
    <col min="14652" max="14652" width="11.85546875" style="167" customWidth="1"/>
    <col min="14653" max="14653" width="13.5703125" style="167" customWidth="1"/>
    <col min="14654" max="14655" width="13.85546875" style="167" customWidth="1"/>
    <col min="14656" max="14657" width="14.85546875" style="167" customWidth="1"/>
    <col min="14658" max="14658" width="8.85546875" style="167" customWidth="1"/>
    <col min="14659" max="14659" width="12.5703125" style="167" customWidth="1"/>
    <col min="14660" max="14661" width="13" style="167" customWidth="1"/>
    <col min="14662" max="14905" width="9.140625" style="167"/>
    <col min="14906" max="14906" width="14" style="167" customWidth="1"/>
    <col min="14907" max="14907" width="2" style="167" customWidth="1"/>
    <col min="14908" max="14908" width="11.85546875" style="167" customWidth="1"/>
    <col min="14909" max="14909" width="13.5703125" style="167" customWidth="1"/>
    <col min="14910" max="14911" width="13.85546875" style="167" customWidth="1"/>
    <col min="14912" max="14913" width="14.85546875" style="167" customWidth="1"/>
    <col min="14914" max="14914" width="8.85546875" style="167" customWidth="1"/>
    <col min="14915" max="14915" width="12.5703125" style="167" customWidth="1"/>
    <col min="14916" max="14917" width="13" style="167" customWidth="1"/>
    <col min="14918" max="15161" width="9.140625" style="167"/>
    <col min="15162" max="15162" width="14" style="167" customWidth="1"/>
    <col min="15163" max="15163" width="2" style="167" customWidth="1"/>
    <col min="15164" max="15164" width="11.85546875" style="167" customWidth="1"/>
    <col min="15165" max="15165" width="13.5703125" style="167" customWidth="1"/>
    <col min="15166" max="15167" width="13.85546875" style="167" customWidth="1"/>
    <col min="15168" max="15169" width="14.85546875" style="167" customWidth="1"/>
    <col min="15170" max="15170" width="8.85546875" style="167" customWidth="1"/>
    <col min="15171" max="15171" width="12.5703125" style="167" customWidth="1"/>
    <col min="15172" max="15173" width="13" style="167" customWidth="1"/>
    <col min="15174" max="15417" width="9.140625" style="167"/>
    <col min="15418" max="15418" width="14" style="167" customWidth="1"/>
    <col min="15419" max="15419" width="2" style="167" customWidth="1"/>
    <col min="15420" max="15420" width="11.85546875" style="167" customWidth="1"/>
    <col min="15421" max="15421" width="13.5703125" style="167" customWidth="1"/>
    <col min="15422" max="15423" width="13.85546875" style="167" customWidth="1"/>
    <col min="15424" max="15425" width="14.85546875" style="167" customWidth="1"/>
    <col min="15426" max="15426" width="8.85546875" style="167" customWidth="1"/>
    <col min="15427" max="15427" width="12.5703125" style="167" customWidth="1"/>
    <col min="15428" max="15429" width="13" style="167" customWidth="1"/>
    <col min="15430" max="15673" width="9.140625" style="167"/>
    <col min="15674" max="15674" width="14" style="167" customWidth="1"/>
    <col min="15675" max="15675" width="2" style="167" customWidth="1"/>
    <col min="15676" max="15676" width="11.85546875" style="167" customWidth="1"/>
    <col min="15677" max="15677" width="13.5703125" style="167" customWidth="1"/>
    <col min="15678" max="15679" width="13.85546875" style="167" customWidth="1"/>
    <col min="15680" max="15681" width="14.85546875" style="167" customWidth="1"/>
    <col min="15682" max="15682" width="8.85546875" style="167" customWidth="1"/>
    <col min="15683" max="15683" width="12.5703125" style="167" customWidth="1"/>
    <col min="15684" max="15685" width="13" style="167" customWidth="1"/>
    <col min="15686" max="15929" width="9.140625" style="167"/>
    <col min="15930" max="15930" width="14" style="167" customWidth="1"/>
    <col min="15931" max="15931" width="2" style="167" customWidth="1"/>
    <col min="15932" max="15932" width="11.85546875" style="167" customWidth="1"/>
    <col min="15933" max="15933" width="13.5703125" style="167" customWidth="1"/>
    <col min="15934" max="15935" width="13.85546875" style="167" customWidth="1"/>
    <col min="15936" max="15937" width="14.85546875" style="167" customWidth="1"/>
    <col min="15938" max="15938" width="8.85546875" style="167" customWidth="1"/>
    <col min="15939" max="15939" width="12.5703125" style="167" customWidth="1"/>
    <col min="15940" max="15941" width="13" style="167" customWidth="1"/>
    <col min="15942" max="16185" width="9.140625" style="167"/>
    <col min="16186" max="16186" width="14" style="167" customWidth="1"/>
    <col min="16187" max="16187" width="2" style="167" customWidth="1"/>
    <col min="16188" max="16188" width="11.85546875" style="167" customWidth="1"/>
    <col min="16189" max="16189" width="13.5703125" style="167" customWidth="1"/>
    <col min="16190" max="16191" width="13.85546875" style="167" customWidth="1"/>
    <col min="16192" max="16193" width="14.85546875" style="167" customWidth="1"/>
    <col min="16194" max="16194" width="8.85546875" style="167" customWidth="1"/>
    <col min="16195" max="16195" width="12.5703125" style="167" customWidth="1"/>
    <col min="16196" max="16197" width="13" style="167" customWidth="1"/>
    <col min="16198" max="16384" width="9.140625" style="167"/>
  </cols>
  <sheetData>
    <row r="1" spans="1:69" ht="10.5" customHeight="1" thickBot="1" x14ac:dyDescent="0.45">
      <c r="A1" s="165"/>
      <c r="B1" s="371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72"/>
      <c r="AP1" s="372"/>
      <c r="AQ1" s="340"/>
      <c r="AR1" s="340"/>
      <c r="AS1" s="340"/>
      <c r="AT1" s="340"/>
      <c r="AU1" s="340"/>
      <c r="AV1" s="340"/>
      <c r="AW1" s="340"/>
      <c r="AX1" s="340"/>
      <c r="AY1" s="340"/>
      <c r="AZ1" s="340"/>
      <c r="BA1" s="340"/>
      <c r="BB1" s="340"/>
      <c r="BC1" s="340"/>
      <c r="BD1" s="340"/>
      <c r="BE1" s="340"/>
      <c r="BF1" s="340"/>
      <c r="BG1" s="340"/>
      <c r="BH1" s="340"/>
      <c r="BI1" s="340"/>
      <c r="BJ1" s="340"/>
      <c r="BK1" s="340"/>
      <c r="BL1" s="340"/>
      <c r="BM1" s="340"/>
      <c r="BN1" s="340"/>
      <c r="BO1" s="340"/>
      <c r="BP1" s="180"/>
      <c r="BQ1" s="180"/>
    </row>
    <row r="2" spans="1:69" s="343" customFormat="1" ht="61.5" customHeight="1" thickBot="1" x14ac:dyDescent="0.3">
      <c r="A2" s="341" t="s">
        <v>86</v>
      </c>
      <c r="B2" s="371"/>
      <c r="C2" s="373" t="s">
        <v>87</v>
      </c>
      <c r="D2" s="374"/>
      <c r="E2" s="375" t="s">
        <v>88</v>
      </c>
      <c r="F2" s="375"/>
      <c r="G2" s="342" t="s">
        <v>18</v>
      </c>
      <c r="H2" s="342" t="s">
        <v>25</v>
      </c>
      <c r="I2" s="342" t="s">
        <v>28</v>
      </c>
      <c r="J2" s="342" t="s">
        <v>32</v>
      </c>
      <c r="K2" s="342" t="s">
        <v>34</v>
      </c>
      <c r="L2" s="342" t="s">
        <v>189</v>
      </c>
      <c r="M2" s="342" t="s">
        <v>150</v>
      </c>
      <c r="N2" s="342" t="s">
        <v>156</v>
      </c>
      <c r="O2" s="342" t="s">
        <v>45</v>
      </c>
      <c r="P2" s="342" t="s">
        <v>46</v>
      </c>
      <c r="Q2" s="342" t="s">
        <v>47</v>
      </c>
      <c r="R2" s="342" t="s">
        <v>48</v>
      </c>
      <c r="S2" s="342" t="s">
        <v>174</v>
      </c>
      <c r="T2" s="342" t="s">
        <v>173</v>
      </c>
      <c r="U2" s="342" t="s">
        <v>68</v>
      </c>
      <c r="V2" s="342" t="s">
        <v>66</v>
      </c>
      <c r="W2" s="342" t="s">
        <v>67</v>
      </c>
      <c r="X2" s="342" t="s">
        <v>151</v>
      </c>
      <c r="Y2" s="342" t="s">
        <v>152</v>
      </c>
      <c r="Z2" s="342" t="s">
        <v>133</v>
      </c>
      <c r="AA2" s="342" t="s">
        <v>153</v>
      </c>
      <c r="AB2" s="342" t="s">
        <v>154</v>
      </c>
      <c r="AC2" s="342" t="s">
        <v>63</v>
      </c>
      <c r="AD2" s="342" t="s">
        <v>54</v>
      </c>
      <c r="AE2" s="342" t="s">
        <v>55</v>
      </c>
      <c r="AF2" s="342" t="s">
        <v>56</v>
      </c>
      <c r="AG2" s="342" t="s">
        <v>57</v>
      </c>
      <c r="AH2" s="342" t="s">
        <v>65</v>
      </c>
      <c r="AI2" s="342" t="s">
        <v>76</v>
      </c>
      <c r="AJ2" s="342" t="s">
        <v>77</v>
      </c>
      <c r="AK2" s="342" t="s">
        <v>78</v>
      </c>
      <c r="AL2" s="342" t="s">
        <v>79</v>
      </c>
      <c r="AM2" s="342" t="s">
        <v>80</v>
      </c>
      <c r="AN2" s="342" t="s">
        <v>81</v>
      </c>
      <c r="AO2" s="376" t="s">
        <v>89</v>
      </c>
      <c r="AP2" s="377"/>
      <c r="AQ2" s="356" t="s">
        <v>108</v>
      </c>
      <c r="AR2" s="356" t="s">
        <v>109</v>
      </c>
      <c r="AS2" s="356" t="s">
        <v>110</v>
      </c>
      <c r="AT2" s="356" t="s">
        <v>111</v>
      </c>
      <c r="AU2" s="356" t="s">
        <v>190</v>
      </c>
      <c r="AV2" s="356" t="s">
        <v>191</v>
      </c>
      <c r="AW2" s="356" t="s">
        <v>192</v>
      </c>
      <c r="AX2" s="356" t="s">
        <v>194</v>
      </c>
      <c r="AY2" s="356" t="s">
        <v>195</v>
      </c>
      <c r="AZ2" s="356" t="s">
        <v>197</v>
      </c>
      <c r="BA2" s="356" t="s">
        <v>199</v>
      </c>
      <c r="BB2" s="356" t="s">
        <v>201</v>
      </c>
      <c r="BC2" s="356" t="s">
        <v>202</v>
      </c>
      <c r="BD2" s="356" t="s">
        <v>204</v>
      </c>
      <c r="BE2" s="356" t="s">
        <v>207</v>
      </c>
      <c r="BF2" s="356" t="s">
        <v>208</v>
      </c>
      <c r="BG2" s="356" t="s">
        <v>210</v>
      </c>
      <c r="BH2" s="356" t="s">
        <v>211</v>
      </c>
      <c r="BI2" s="356" t="s">
        <v>214</v>
      </c>
      <c r="BJ2" s="356" t="s">
        <v>187</v>
      </c>
      <c r="BK2" s="356" t="s">
        <v>215</v>
      </c>
      <c r="BL2" s="356" t="s">
        <v>217</v>
      </c>
      <c r="BM2" s="356" t="s">
        <v>218</v>
      </c>
      <c r="BN2" s="356" t="s">
        <v>219</v>
      </c>
      <c r="BO2" s="356" t="s">
        <v>221</v>
      </c>
      <c r="BP2" s="183"/>
      <c r="BQ2" s="183"/>
    </row>
    <row r="3" spans="1:69" ht="44.25" customHeight="1" x14ac:dyDescent="0.25">
      <c r="A3" s="168" t="s">
        <v>39</v>
      </c>
      <c r="B3" s="371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188</v>
      </c>
      <c r="H3" s="171" t="s">
        <v>188</v>
      </c>
      <c r="I3" s="171" t="s">
        <v>188</v>
      </c>
      <c r="J3" s="171" t="s">
        <v>188</v>
      </c>
      <c r="K3" s="171" t="s">
        <v>188</v>
      </c>
      <c r="L3" s="171" t="s">
        <v>188</v>
      </c>
      <c r="M3" s="171" t="s">
        <v>188</v>
      </c>
      <c r="N3" s="171" t="s">
        <v>188</v>
      </c>
      <c r="O3" s="171" t="s">
        <v>188</v>
      </c>
      <c r="P3" s="171" t="s">
        <v>188</v>
      </c>
      <c r="Q3" s="171" t="s">
        <v>188</v>
      </c>
      <c r="R3" s="171" t="s">
        <v>188</v>
      </c>
      <c r="S3" s="171" t="s">
        <v>188</v>
      </c>
      <c r="T3" s="171" t="s">
        <v>188</v>
      </c>
      <c r="U3" s="171" t="s">
        <v>188</v>
      </c>
      <c r="V3" s="171" t="s">
        <v>188</v>
      </c>
      <c r="W3" s="171" t="s">
        <v>188</v>
      </c>
      <c r="X3" s="171" t="s">
        <v>188</v>
      </c>
      <c r="Y3" s="171" t="s">
        <v>188</v>
      </c>
      <c r="Z3" s="171" t="s">
        <v>188</v>
      </c>
      <c r="AA3" s="171" t="s">
        <v>188</v>
      </c>
      <c r="AB3" s="171" t="s">
        <v>188</v>
      </c>
      <c r="AC3" s="171" t="s">
        <v>188</v>
      </c>
      <c r="AD3" s="171" t="s">
        <v>188</v>
      </c>
      <c r="AE3" s="171" t="s">
        <v>188</v>
      </c>
      <c r="AF3" s="171" t="s">
        <v>188</v>
      </c>
      <c r="AG3" s="171" t="s">
        <v>188</v>
      </c>
      <c r="AH3" s="171" t="s">
        <v>188</v>
      </c>
      <c r="AI3" s="171" t="s">
        <v>188</v>
      </c>
      <c r="AJ3" s="171" t="s">
        <v>188</v>
      </c>
      <c r="AK3" s="171" t="s">
        <v>188</v>
      </c>
      <c r="AL3" s="171" t="s">
        <v>188</v>
      </c>
      <c r="AM3" s="171" t="s">
        <v>188</v>
      </c>
      <c r="AN3" s="171" t="s">
        <v>188</v>
      </c>
      <c r="AO3" s="357" t="s">
        <v>94</v>
      </c>
      <c r="AP3" s="358" t="s">
        <v>95</v>
      </c>
      <c r="AQ3" s="358" t="s">
        <v>95</v>
      </c>
      <c r="AR3" s="358" t="s">
        <v>95</v>
      </c>
      <c r="AS3" s="358" t="s">
        <v>95</v>
      </c>
      <c r="AT3" s="358" t="s">
        <v>95</v>
      </c>
      <c r="AU3" s="358" t="s">
        <v>95</v>
      </c>
      <c r="AV3" s="358" t="s">
        <v>95</v>
      </c>
      <c r="AW3" s="358" t="s">
        <v>95</v>
      </c>
      <c r="AX3" s="358" t="s">
        <v>95</v>
      </c>
      <c r="AY3" s="358" t="s">
        <v>95</v>
      </c>
      <c r="AZ3" s="358" t="s">
        <v>95</v>
      </c>
      <c r="BA3" s="358" t="s">
        <v>95</v>
      </c>
      <c r="BB3" s="358" t="s">
        <v>95</v>
      </c>
      <c r="BC3" s="358" t="s">
        <v>95</v>
      </c>
      <c r="BD3" s="358" t="s">
        <v>95</v>
      </c>
      <c r="BE3" s="358" t="s">
        <v>95</v>
      </c>
      <c r="BF3" s="358" t="s">
        <v>95</v>
      </c>
      <c r="BG3" s="358" t="s">
        <v>95</v>
      </c>
      <c r="BH3" s="358" t="s">
        <v>95</v>
      </c>
      <c r="BI3" s="358" t="s">
        <v>95</v>
      </c>
      <c r="BJ3" s="358" t="s">
        <v>95</v>
      </c>
      <c r="BK3" s="358" t="s">
        <v>95</v>
      </c>
      <c r="BL3" s="358" t="s">
        <v>95</v>
      </c>
      <c r="BM3" s="358" t="s">
        <v>95</v>
      </c>
      <c r="BN3" s="358" t="s">
        <v>95</v>
      </c>
      <c r="BO3" s="358" t="s">
        <v>95</v>
      </c>
      <c r="BP3" s="183" t="s">
        <v>96</v>
      </c>
      <c r="BQ3" s="183" t="s">
        <v>164</v>
      </c>
    </row>
    <row r="4" spans="1:69" s="176" customFormat="1" ht="35.25" customHeight="1" x14ac:dyDescent="0.25">
      <c r="A4" s="172">
        <v>44865</v>
      </c>
      <c r="B4" s="371"/>
      <c r="C4" s="348">
        <v>103941271</v>
      </c>
      <c r="D4" s="349">
        <v>31701</v>
      </c>
      <c r="E4" s="174">
        <f>'Gas-2'!G5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45"/>
      <c r="AO4" s="352">
        <f>SUM(WATER!G6,WATER!L6,WATER!Q6,WATER!B6)</f>
        <v>1132736</v>
      </c>
      <c r="AP4" s="353">
        <v>318</v>
      </c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177">
        <f>'Rooms nights and Food Covers'!B4</f>
        <v>32</v>
      </c>
      <c r="BQ4" s="177">
        <f>'Rooms nights and Food Covers'!C4</f>
        <v>195</v>
      </c>
    </row>
    <row r="5" spans="1:69" ht="33" customHeight="1" x14ac:dyDescent="0.25">
      <c r="A5" s="178">
        <f>A4+1</f>
        <v>44866</v>
      </c>
      <c r="B5" s="371"/>
      <c r="C5" s="348">
        <f>SUM('GENSET #1'!C10+'GENSET #2'!C10+'GENSET #3'!C10+'GENSET #4'!C10+'GENSET #5'!C10)</f>
        <v>103965441</v>
      </c>
      <c r="D5" s="350">
        <f>IF((C5-C4&lt;0), "0",C5-C4)</f>
        <v>24170</v>
      </c>
      <c r="E5" s="348">
        <f>'Gas-2'!G6</f>
        <v>90</v>
      </c>
      <c r="F5" s="350">
        <f>IF((E5-E4&lt;0), "0",E5-E4)</f>
        <v>90</v>
      </c>
      <c r="G5" s="350">
        <f>'GENSET #1'!D10</f>
        <v>1746</v>
      </c>
      <c r="H5" s="350">
        <f>'GENSET #2'!D10</f>
        <v>9811</v>
      </c>
      <c r="I5" s="350">
        <f>'GENSET #3'!D10</f>
        <v>7417</v>
      </c>
      <c r="J5" s="350">
        <f>'GENSET #4'!D10</f>
        <v>0</v>
      </c>
      <c r="K5" s="350">
        <f>'GENSET #5'!D10</f>
        <v>5196</v>
      </c>
      <c r="L5" s="350">
        <f>'FEEDER Consumption '!E5</f>
        <v>3680</v>
      </c>
      <c r="M5" s="350">
        <f>'FEEDER Consumption '!J5</f>
        <v>3861</v>
      </c>
      <c r="N5" s="350">
        <f>'FEEDER Consumption '!O5</f>
        <v>10978</v>
      </c>
      <c r="O5" s="350">
        <f>'FEEDER Consumption '!T5</f>
        <v>2400</v>
      </c>
      <c r="P5" s="350">
        <f>'FEEDER Consumption '!Y5</f>
        <v>2791</v>
      </c>
      <c r="Q5" s="350">
        <f>'FEEDER Consumption '!AD5</f>
        <v>1800</v>
      </c>
      <c r="R5" s="350">
        <f>'FEEDER Consumption '!AJ5</f>
        <v>465</v>
      </c>
      <c r="S5" s="350">
        <f>'FEEDER Consumption '!AO5</f>
        <v>800</v>
      </c>
      <c r="T5" s="350">
        <f>'FEEDER Consumption '!AT5</f>
        <v>1200</v>
      </c>
      <c r="U5" s="350">
        <f>'FEEDER Consumption '!AY5</f>
        <v>4020</v>
      </c>
      <c r="V5" s="350">
        <f>'FEEDER Consumption '!BI5</f>
        <v>200</v>
      </c>
      <c r="W5" s="350">
        <f>'FEEDER Consumption '!BI5</f>
        <v>200</v>
      </c>
      <c r="X5" s="350">
        <f>'FEEDER Consumption '!BN5</f>
        <v>1100</v>
      </c>
      <c r="Y5" s="350">
        <f>'FEEDER Consumption '!BS5</f>
        <v>140</v>
      </c>
      <c r="Z5" s="350">
        <f>'FEEDER Consumption '!BX5</f>
        <v>420</v>
      </c>
      <c r="AA5" s="350">
        <f>'FEEDER Consumption '!CC5</f>
        <v>1100</v>
      </c>
      <c r="AB5" s="350">
        <f>'FEEDER Consumption '!CH5</f>
        <v>410</v>
      </c>
      <c r="AC5" s="350">
        <f>'FEEDER Consumption '!CM5</f>
        <v>700</v>
      </c>
      <c r="AD5" s="350">
        <f>'FEEDER Consumption '!CR5</f>
        <v>700</v>
      </c>
      <c r="AE5" s="350">
        <f>'FEEDER Consumption '!DB5</f>
        <v>910</v>
      </c>
      <c r="AF5" s="350">
        <f>'FEEDER Consumption '!DB5</f>
        <v>910</v>
      </c>
      <c r="AG5" s="350">
        <f>'FEEDER Consumption '!DG5</f>
        <v>750</v>
      </c>
      <c r="AH5" s="350">
        <f>'FEEDER Consumption '!DL5</f>
        <v>620</v>
      </c>
      <c r="AI5" s="350">
        <f>'FEEDER Consumption '!DQ5</f>
        <v>270</v>
      </c>
      <c r="AJ5" s="350">
        <f>'FEEDER Consumption '!DV5</f>
        <v>140</v>
      </c>
      <c r="AK5" s="350">
        <f>'FEEDER Consumption '!EA5</f>
        <v>890</v>
      </c>
      <c r="AL5" s="350">
        <f>'FEEDER Consumption '!EF5</f>
        <v>270</v>
      </c>
      <c r="AM5" s="350">
        <f>'FEEDER Consumption '!EK5</f>
        <v>330</v>
      </c>
      <c r="AN5" s="351">
        <f>'FEEDER Consumption '!EP5</f>
        <v>430</v>
      </c>
      <c r="AO5" s="354">
        <f>SUM(WATER!C6,WATER!H6,WATER!M6,WATER!R6)</f>
        <v>1133118</v>
      </c>
      <c r="AP5" s="355">
        <f>IF((AO5-AO4&lt;0), "0",AO5-AO4)</f>
        <v>382</v>
      </c>
      <c r="AQ5" s="355">
        <f>WATER!D6</f>
        <v>222</v>
      </c>
      <c r="AR5" s="355">
        <f>WATER!I6</f>
        <v>0</v>
      </c>
      <c r="AS5" s="355">
        <f>WATER!N6</f>
        <v>50</v>
      </c>
      <c r="AT5" s="355">
        <f>WATER!S6</f>
        <v>110</v>
      </c>
      <c r="AU5" s="355">
        <f>WATER!AD6</f>
        <v>19</v>
      </c>
      <c r="AV5" s="355">
        <f>WATER!AI6</f>
        <v>5</v>
      </c>
      <c r="AW5" s="355">
        <f>WATER!AN6</f>
        <v>8</v>
      </c>
      <c r="AX5" s="355">
        <f>WATER!AS6</f>
        <v>12</v>
      </c>
      <c r="AY5" s="355">
        <f>WATER!AX6</f>
        <v>9</v>
      </c>
      <c r="AZ5" s="355">
        <f>WATER!BC6</f>
        <v>6</v>
      </c>
      <c r="BA5" s="355">
        <f>WATER!BH6</f>
        <v>18</v>
      </c>
      <c r="BB5" s="355">
        <f>WATER!BM6</f>
        <v>8</v>
      </c>
      <c r="BC5" s="355">
        <f>WATER!BR6</f>
        <v>2</v>
      </c>
      <c r="BD5" s="355">
        <f>WATER!BW6</f>
        <v>0</v>
      </c>
      <c r="BE5" s="355">
        <f>WATER!CB6</f>
        <v>2</v>
      </c>
      <c r="BF5" s="355">
        <f>WATER!CG6</f>
        <v>3</v>
      </c>
      <c r="BG5" s="355">
        <f>WATER!CL6</f>
        <v>50</v>
      </c>
      <c r="BH5" s="355">
        <f>WATER!CQ6</f>
        <v>8</v>
      </c>
      <c r="BI5" s="355">
        <f>WATER!CV6</f>
        <v>1</v>
      </c>
      <c r="BJ5" s="355">
        <f>WATER!DA6</f>
        <v>1</v>
      </c>
      <c r="BK5" s="355">
        <f>WATER!DF6</f>
        <v>6</v>
      </c>
      <c r="BL5" s="355">
        <f>WATER!DK6</f>
        <v>3</v>
      </c>
      <c r="BM5" s="355">
        <f>WATER!DP6</f>
        <v>40</v>
      </c>
      <c r="BN5" s="355">
        <f>WATER!DU6</f>
        <v>2</v>
      </c>
      <c r="BO5" s="355">
        <f>WATER!DZ6</f>
        <v>2</v>
      </c>
      <c r="BP5" s="177">
        <f>'Rooms nights and Food Covers'!B5</f>
        <v>30.1</v>
      </c>
      <c r="BQ5" s="177">
        <f>'Rooms nights and Food Covers'!C5</f>
        <v>244</v>
      </c>
    </row>
    <row r="6" spans="1:69" ht="45" customHeight="1" x14ac:dyDescent="0.25">
      <c r="A6" s="178">
        <f t="shared" ref="A6:A34" si="0">A5+1</f>
        <v>44867</v>
      </c>
      <c r="B6" s="371"/>
      <c r="C6" s="348">
        <f>SUM('GENSET #1'!C11+'GENSET #2'!C11+'GENSET #3'!C11+'GENSET #4'!C11+'GENSET #5'!C11)</f>
        <v>103990465</v>
      </c>
      <c r="D6" s="350">
        <f>IF((C6-C5&lt;0), "0",C6-C5)</f>
        <v>25024</v>
      </c>
      <c r="E6" s="348">
        <f>'Gas-2'!G7</f>
        <v>270</v>
      </c>
      <c r="F6" s="350">
        <f>IF((E6-E5&lt;0), "0",E6-E5)</f>
        <v>180</v>
      </c>
      <c r="G6" s="350">
        <f>'GENSET #1'!D11</f>
        <v>5831</v>
      </c>
      <c r="H6" s="350">
        <f>'GENSET #2'!D11</f>
        <v>9777</v>
      </c>
      <c r="I6" s="350">
        <f>'GENSET #3'!D11</f>
        <v>7500</v>
      </c>
      <c r="J6" s="350">
        <f>'GENSET #4'!D11</f>
        <v>0</v>
      </c>
      <c r="K6" s="350">
        <f>'GENSET #5'!D11</f>
        <v>1916</v>
      </c>
      <c r="L6" s="350">
        <f>'FEEDER Consumption '!E6</f>
        <v>4018</v>
      </c>
      <c r="M6" s="350">
        <f>'FEEDER Consumption '!J6</f>
        <v>3979</v>
      </c>
      <c r="N6" s="350">
        <f>'FEEDER Consumption '!O6</f>
        <v>11389</v>
      </c>
      <c r="O6" s="350">
        <f>'FEEDER Consumption '!T6</f>
        <v>2600</v>
      </c>
      <c r="P6" s="350">
        <f>'FEEDER Consumption '!Y6</f>
        <v>2867</v>
      </c>
      <c r="Q6" s="350">
        <f>'FEEDER Consumption '!AD6</f>
        <v>1700</v>
      </c>
      <c r="R6" s="350">
        <f>'FEEDER Consumption '!AJ6</f>
        <v>520</v>
      </c>
      <c r="S6" s="350">
        <f>'FEEDER Consumption '!AO6</f>
        <v>700</v>
      </c>
      <c r="T6" s="350">
        <f>'FEEDER Consumption '!AT6</f>
        <v>1300</v>
      </c>
      <c r="U6" s="350">
        <f>'FEEDER Consumption '!AY6</f>
        <v>4310</v>
      </c>
      <c r="V6" s="350">
        <f>'FEEDER Consumption '!BI6</f>
        <v>300</v>
      </c>
      <c r="W6" s="350">
        <f>'FEEDER Consumption '!BI6</f>
        <v>300</v>
      </c>
      <c r="X6" s="350">
        <f>'FEEDER Consumption '!BN6</f>
        <v>500</v>
      </c>
      <c r="Y6" s="350">
        <f>'FEEDER Consumption '!BS6</f>
        <v>170</v>
      </c>
      <c r="Z6" s="350">
        <f>'FEEDER Consumption '!BX6</f>
        <v>370</v>
      </c>
      <c r="AA6" s="350">
        <f>'FEEDER Consumption '!CC6</f>
        <v>1200</v>
      </c>
      <c r="AB6" s="350">
        <f>'FEEDER Consumption '!CH6</f>
        <v>420</v>
      </c>
      <c r="AC6" s="350">
        <f>'FEEDER Consumption '!CM6</f>
        <v>840</v>
      </c>
      <c r="AD6" s="350">
        <f>'FEEDER Consumption '!CR6</f>
        <v>760</v>
      </c>
      <c r="AE6" s="350">
        <f>'FEEDER Consumption '!DB6</f>
        <v>980</v>
      </c>
      <c r="AF6" s="350">
        <f>'FEEDER Consumption '!DB6</f>
        <v>980</v>
      </c>
      <c r="AG6" s="350">
        <f>'FEEDER Consumption '!DG6</f>
        <v>700</v>
      </c>
      <c r="AH6" s="350">
        <f>'FEEDER Consumption '!DL6</f>
        <v>670</v>
      </c>
      <c r="AI6" s="350">
        <f>'FEEDER Consumption '!DQ6</f>
        <v>310</v>
      </c>
      <c r="AJ6" s="350">
        <f>'FEEDER Consumption '!DV6</f>
        <v>130</v>
      </c>
      <c r="AK6" s="350">
        <f>'FEEDER Consumption '!EA6</f>
        <v>1000</v>
      </c>
      <c r="AL6" s="350">
        <f>'FEEDER Consumption '!EF6</f>
        <v>290</v>
      </c>
      <c r="AM6" s="350">
        <f>'FEEDER Consumption '!EK6</f>
        <v>350</v>
      </c>
      <c r="AN6" s="351">
        <f>'FEEDER Consumption '!EP6</f>
        <v>500</v>
      </c>
      <c r="AO6" s="354">
        <f>SUM(WATER!C7,WATER!H7,WATER!M7,WATER!R7)</f>
        <v>1133470</v>
      </c>
      <c r="AP6" s="355">
        <f>IF((AO6-AO5&lt;0), "0",AO6-AO5)</f>
        <v>352</v>
      </c>
      <c r="AQ6" s="355">
        <f>WATER!D7</f>
        <v>205</v>
      </c>
      <c r="AR6" s="355">
        <f>WATER!I7</f>
        <v>0</v>
      </c>
      <c r="AS6" s="355">
        <f>WATER!N7</f>
        <v>34</v>
      </c>
      <c r="AT6" s="355">
        <f>WATER!S7</f>
        <v>113</v>
      </c>
      <c r="AU6" s="355">
        <f>WATER!AD7</f>
        <v>21</v>
      </c>
      <c r="AV6" s="355">
        <f>WATER!AI7</f>
        <v>6</v>
      </c>
      <c r="AW6" s="355">
        <f>WATER!AN7</f>
        <v>10</v>
      </c>
      <c r="AX6" s="355">
        <f>WATER!AS7</f>
        <v>12</v>
      </c>
      <c r="AY6" s="355">
        <f>WATER!AX7</f>
        <v>9</v>
      </c>
      <c r="AZ6" s="355">
        <f>WATER!BC7</f>
        <v>7</v>
      </c>
      <c r="BA6" s="355">
        <f>WATER!BH7</f>
        <v>10</v>
      </c>
      <c r="BB6" s="355">
        <f>WATER!BM7</f>
        <v>8</v>
      </c>
      <c r="BC6" s="355">
        <f>WATER!BR7</f>
        <v>1</v>
      </c>
      <c r="BD6" s="355">
        <f>WATER!BW7</f>
        <v>3</v>
      </c>
      <c r="BE6" s="355">
        <f>WATER!CB7</f>
        <v>2</v>
      </c>
      <c r="BF6" s="355">
        <f>WATER!CG7</f>
        <v>1</v>
      </c>
      <c r="BG6" s="355">
        <f>WATER!CL7</f>
        <v>26</v>
      </c>
      <c r="BH6" s="355">
        <f>WATER!CQ7</f>
        <v>9</v>
      </c>
      <c r="BI6" s="355">
        <f>WATER!CV7</f>
        <v>0</v>
      </c>
      <c r="BJ6" s="355">
        <f>WATER!DA7</f>
        <v>1</v>
      </c>
      <c r="BK6" s="355">
        <f>WATER!DF7</f>
        <v>2</v>
      </c>
      <c r="BL6" s="355">
        <f>WATER!DK7</f>
        <v>2</v>
      </c>
      <c r="BM6" s="355">
        <f>WATER!DP7</f>
        <v>30</v>
      </c>
      <c r="BN6" s="355">
        <f>WATER!DU7</f>
        <v>6</v>
      </c>
      <c r="BO6" s="355">
        <f>WATER!DZ7</f>
        <v>0</v>
      </c>
      <c r="BP6" s="177">
        <f>'Rooms nights and Food Covers'!B6</f>
        <v>34</v>
      </c>
      <c r="BQ6" s="177">
        <f>'Rooms nights and Food Covers'!C6</f>
        <v>237</v>
      </c>
    </row>
    <row r="7" spans="1:69" ht="45" customHeight="1" x14ac:dyDescent="0.25">
      <c r="A7" s="178">
        <f t="shared" si="0"/>
        <v>44868</v>
      </c>
      <c r="B7" s="371"/>
      <c r="C7" s="348">
        <f>SUM('GENSET #1'!C12+'GENSET #2'!C12+'GENSET #3'!C12+'GENSET #4'!C12+'GENSET #5'!C12)</f>
        <v>104015705</v>
      </c>
      <c r="D7" s="350">
        <f t="shared" ref="D7:D22" si="1">IF((C7-C6&lt;0), "0",C7-C6)</f>
        <v>25240</v>
      </c>
      <c r="E7" s="348">
        <f>'Gas-2'!G8</f>
        <v>225</v>
      </c>
      <c r="F7" s="350" t="str">
        <f>IF((E7-E6&lt;0), "0",E7-E6)</f>
        <v>0</v>
      </c>
      <c r="G7" s="350">
        <f>'GENSET #1'!D12</f>
        <v>7475</v>
      </c>
      <c r="H7" s="350">
        <f>'GENSET #2'!D12</f>
        <v>6525</v>
      </c>
      <c r="I7" s="350">
        <f>'GENSET #3'!D12</f>
        <v>4471</v>
      </c>
      <c r="J7" s="350">
        <f>'GENSET #4'!D12</f>
        <v>0</v>
      </c>
      <c r="K7" s="350">
        <f>'GENSET #5'!D12</f>
        <v>6769</v>
      </c>
      <c r="L7" s="350">
        <f>'FEEDER Consumption '!E7</f>
        <v>3803</v>
      </c>
      <c r="M7" s="350">
        <f>'FEEDER Consumption '!J7</f>
        <v>4138</v>
      </c>
      <c r="N7" s="350">
        <f>'FEEDER Consumption '!O7</f>
        <v>11452</v>
      </c>
      <c r="O7" s="350">
        <f>'FEEDER Consumption '!T7</f>
        <v>2600</v>
      </c>
      <c r="P7" s="350">
        <f>'FEEDER Consumption '!Y7</f>
        <v>2789</v>
      </c>
      <c r="Q7" s="350">
        <f>'FEEDER Consumption '!AD7</f>
        <v>1700</v>
      </c>
      <c r="R7" s="350">
        <f>'FEEDER Consumption '!AJ7</f>
        <v>498</v>
      </c>
      <c r="S7" s="350">
        <f>'FEEDER Consumption '!AO7</f>
        <v>800</v>
      </c>
      <c r="T7" s="350">
        <f>'FEEDER Consumption '!AT7</f>
        <v>1300</v>
      </c>
      <c r="U7" s="350">
        <f>'FEEDER Consumption '!AY7</f>
        <v>4080</v>
      </c>
      <c r="V7" s="350">
        <f>'FEEDER Consumption '!BI7</f>
        <v>300</v>
      </c>
      <c r="W7" s="350">
        <f>'FEEDER Consumption '!BI7</f>
        <v>300</v>
      </c>
      <c r="X7" s="350">
        <f>'FEEDER Consumption '!BN7</f>
        <v>600</v>
      </c>
      <c r="Y7" s="350">
        <f>'FEEDER Consumption '!BS7</f>
        <v>160</v>
      </c>
      <c r="Z7" s="350">
        <f>'FEEDER Consumption '!BX7</f>
        <v>440</v>
      </c>
      <c r="AA7" s="350">
        <f>'FEEDER Consumption '!CC7</f>
        <v>1100</v>
      </c>
      <c r="AB7" s="350">
        <f>'FEEDER Consumption '!CH7</f>
        <v>510</v>
      </c>
      <c r="AC7" s="350">
        <f>'FEEDER Consumption '!CM7</f>
        <v>960</v>
      </c>
      <c r="AD7" s="350">
        <f>'FEEDER Consumption '!CR7</f>
        <v>760</v>
      </c>
      <c r="AE7" s="350">
        <f>'FEEDER Consumption '!DB7</f>
        <v>1100</v>
      </c>
      <c r="AF7" s="350">
        <f>'FEEDER Consumption '!DB7</f>
        <v>1100</v>
      </c>
      <c r="AG7" s="350">
        <f>'FEEDER Consumption '!DG7</f>
        <v>710</v>
      </c>
      <c r="AH7" s="350">
        <f>'FEEDER Consumption '!DL7</f>
        <v>670</v>
      </c>
      <c r="AI7" s="350">
        <f>'FEEDER Consumption '!DQ7</f>
        <v>300</v>
      </c>
      <c r="AJ7" s="350">
        <f>'FEEDER Consumption '!DV7</f>
        <v>130</v>
      </c>
      <c r="AK7" s="350">
        <f>'FEEDER Consumption '!EA7</f>
        <v>890</v>
      </c>
      <c r="AL7" s="350">
        <f>'FEEDER Consumption '!EF7</f>
        <v>270</v>
      </c>
      <c r="AM7" s="350">
        <f>'FEEDER Consumption '!EK7</f>
        <v>350</v>
      </c>
      <c r="AN7" s="351">
        <f>'FEEDER Consumption '!EP7</f>
        <v>460</v>
      </c>
      <c r="AO7" s="354">
        <f>SUM(WATER!C8,WATER!H8,WATER!M8,WATER!R8)</f>
        <v>1133855</v>
      </c>
      <c r="AP7" s="355">
        <f t="shared" ref="AP7:AP33" si="2">IF((AO7-AO6&lt;0), "0",AO7-AO6)</f>
        <v>385</v>
      </c>
      <c r="AQ7" s="355">
        <f>WATER!D8</f>
        <v>239</v>
      </c>
      <c r="AR7" s="355">
        <f>WATER!I8</f>
        <v>0</v>
      </c>
      <c r="AS7" s="355">
        <f>WATER!N8</f>
        <v>24</v>
      </c>
      <c r="AT7" s="355">
        <f>WATER!S8</f>
        <v>122</v>
      </c>
      <c r="AU7" s="355">
        <f>WATER!AD8</f>
        <v>20</v>
      </c>
      <c r="AV7" s="355">
        <f>WATER!AI8</f>
        <v>8</v>
      </c>
      <c r="AW7" s="355">
        <f>WATER!AN8</f>
        <v>9</v>
      </c>
      <c r="AX7" s="355">
        <f>WATER!AS8</f>
        <v>12</v>
      </c>
      <c r="AY7" s="355">
        <f>WATER!AX8</f>
        <v>8</v>
      </c>
      <c r="AZ7" s="355">
        <f>WATER!BC8</f>
        <v>7</v>
      </c>
      <c r="BA7" s="355">
        <f>WATER!BH8</f>
        <v>9</v>
      </c>
      <c r="BB7" s="355">
        <f>WATER!BM8</f>
        <v>8</v>
      </c>
      <c r="BC7" s="355">
        <f>WATER!BR8</f>
        <v>1</v>
      </c>
      <c r="BD7" s="355">
        <f>WATER!BW8</f>
        <v>0</v>
      </c>
      <c r="BE7" s="355">
        <f>WATER!CB8</f>
        <v>6</v>
      </c>
      <c r="BF7" s="355">
        <f>WATER!CG8</f>
        <v>2</v>
      </c>
      <c r="BG7" s="355">
        <f>WATER!CL8</f>
        <v>24</v>
      </c>
      <c r="BH7" s="355">
        <f>WATER!CQ8</f>
        <v>7</v>
      </c>
      <c r="BI7" s="355">
        <f>WATER!CV8</f>
        <v>2</v>
      </c>
      <c r="BJ7" s="355">
        <f>WATER!DA8</f>
        <v>6</v>
      </c>
      <c r="BK7" s="355">
        <f>WATER!DF8</f>
        <v>2</v>
      </c>
      <c r="BL7" s="355">
        <f>WATER!DK8</f>
        <v>2</v>
      </c>
      <c r="BM7" s="355">
        <f>WATER!DP8</f>
        <v>20</v>
      </c>
      <c r="BN7" s="355">
        <f>WATER!DU8</f>
        <v>0</v>
      </c>
      <c r="BO7" s="355">
        <f>WATER!DZ8</f>
        <v>0</v>
      </c>
      <c r="BP7" s="177">
        <f>'Rooms nights and Food Covers'!B7</f>
        <v>34</v>
      </c>
      <c r="BQ7" s="177">
        <f>'Rooms nights and Food Covers'!C7</f>
        <v>307</v>
      </c>
    </row>
    <row r="8" spans="1:69" ht="45" customHeight="1" x14ac:dyDescent="0.25">
      <c r="A8" s="178">
        <f t="shared" si="0"/>
        <v>44869</v>
      </c>
      <c r="B8" s="371"/>
      <c r="C8" s="348">
        <f>SUM('GENSET #1'!C13+'GENSET #2'!C13+'GENSET #3'!C13+'GENSET #4'!C13+'GENSET #5'!C13)</f>
        <v>104042196</v>
      </c>
      <c r="D8" s="350">
        <f t="shared" si="1"/>
        <v>26491</v>
      </c>
      <c r="E8" s="348">
        <f>'Gas-2'!G9</f>
        <v>270</v>
      </c>
      <c r="F8" s="350">
        <f t="shared" ref="F8:F33" si="3">IF((E8-E7&lt;0), "0",E8-E7)</f>
        <v>45</v>
      </c>
      <c r="G8" s="350">
        <f>'GENSET #1'!D13</f>
        <v>9100</v>
      </c>
      <c r="H8" s="350">
        <f>'GENSET #2'!D13</f>
        <v>2952</v>
      </c>
      <c r="I8" s="350">
        <f>'GENSET #3'!D13</f>
        <v>9160</v>
      </c>
      <c r="J8" s="350">
        <f>'GENSET #4'!D13</f>
        <v>0</v>
      </c>
      <c r="K8" s="350">
        <f>'GENSET #5'!D13</f>
        <v>5279</v>
      </c>
      <c r="L8" s="350">
        <f>'FEEDER Consumption '!E8</f>
        <v>4186</v>
      </c>
      <c r="M8" s="350">
        <f>'FEEDER Consumption '!J8</f>
        <v>4483</v>
      </c>
      <c r="N8" s="350">
        <f>'FEEDER Consumption '!O8</f>
        <v>11928</v>
      </c>
      <c r="O8" s="350">
        <f>'FEEDER Consumption '!T8</f>
        <v>2500</v>
      </c>
      <c r="P8" s="350">
        <f>'FEEDER Consumption '!Y8</f>
        <v>2833</v>
      </c>
      <c r="Q8" s="350">
        <f>'FEEDER Consumption '!AD8</f>
        <v>2000</v>
      </c>
      <c r="R8" s="350">
        <f>'FEEDER Consumption '!AJ8</f>
        <v>481</v>
      </c>
      <c r="S8" s="350">
        <f>'FEEDER Consumption '!AO8</f>
        <v>800</v>
      </c>
      <c r="T8" s="350">
        <f>'FEEDER Consumption '!AT8</f>
        <v>1300</v>
      </c>
      <c r="U8" s="350">
        <f>'FEEDER Consumption '!AY8</f>
        <v>4080</v>
      </c>
      <c r="V8" s="350">
        <f>'FEEDER Consumption '!BI8</f>
        <v>300</v>
      </c>
      <c r="W8" s="350">
        <f>'FEEDER Consumption '!BI8</f>
        <v>300</v>
      </c>
      <c r="X8" s="350">
        <f>'FEEDER Consumption '!BN8</f>
        <v>0</v>
      </c>
      <c r="Y8" s="350">
        <f>'FEEDER Consumption '!BS8</f>
        <v>160</v>
      </c>
      <c r="Z8" s="350">
        <f>'FEEDER Consumption '!BX8</f>
        <v>420</v>
      </c>
      <c r="AA8" s="350">
        <f>'FEEDER Consumption '!CC8</f>
        <v>1100</v>
      </c>
      <c r="AB8" s="350">
        <f>'FEEDER Consumption '!CH8</f>
        <v>450</v>
      </c>
      <c r="AC8" s="350">
        <f>'FEEDER Consumption '!CM8</f>
        <v>980</v>
      </c>
      <c r="AD8" s="350">
        <f>'FEEDER Consumption '!CR8</f>
        <v>850</v>
      </c>
      <c r="AE8" s="350">
        <f>'FEEDER Consumption '!DB8</f>
        <v>1250</v>
      </c>
      <c r="AF8" s="350">
        <f>'FEEDER Consumption '!DB8</f>
        <v>1250</v>
      </c>
      <c r="AG8" s="350">
        <f>'FEEDER Consumption '!DG8</f>
        <v>790</v>
      </c>
      <c r="AH8" s="350">
        <f>'FEEDER Consumption '!DL8</f>
        <v>640</v>
      </c>
      <c r="AI8" s="350">
        <f>'FEEDER Consumption '!DQ8</f>
        <v>290</v>
      </c>
      <c r="AJ8" s="350">
        <f>'FEEDER Consumption '!DV8</f>
        <v>170</v>
      </c>
      <c r="AK8" s="350">
        <f>'FEEDER Consumption '!EA8</f>
        <v>960</v>
      </c>
      <c r="AL8" s="350">
        <f>'FEEDER Consumption '!EF8</f>
        <v>250</v>
      </c>
      <c r="AM8" s="350">
        <f>'FEEDER Consumption '!EK8</f>
        <v>0</v>
      </c>
      <c r="AN8" s="351">
        <f>'FEEDER Consumption '!EP8</f>
        <v>0</v>
      </c>
      <c r="AO8" s="354">
        <f>SUM(WATER!C9,WATER!H9,WATER!M9,WATER!R9)</f>
        <v>1134230</v>
      </c>
      <c r="AP8" s="355">
        <f t="shared" si="2"/>
        <v>375</v>
      </c>
      <c r="AQ8" s="355">
        <f>WATER!D9</f>
        <v>230</v>
      </c>
      <c r="AR8" s="355">
        <f>WATER!I9</f>
        <v>0</v>
      </c>
      <c r="AS8" s="355">
        <f>WATER!N9</f>
        <v>1</v>
      </c>
      <c r="AT8" s="355">
        <f>WATER!S9</f>
        <v>144</v>
      </c>
      <c r="AU8" s="355">
        <f>WATER!AD9</f>
        <v>21</v>
      </c>
      <c r="AV8" s="355">
        <f>WATER!AI9</f>
        <v>4</v>
      </c>
      <c r="AW8" s="355">
        <f>WATER!AN9</f>
        <v>9</v>
      </c>
      <c r="AX8" s="355">
        <f>WATER!AS9</f>
        <v>13</v>
      </c>
      <c r="AY8" s="355">
        <f>WATER!AX9</f>
        <v>8</v>
      </c>
      <c r="AZ8" s="355">
        <f>WATER!BC9</f>
        <v>6</v>
      </c>
      <c r="BA8" s="355">
        <f>WATER!BH9</f>
        <v>9</v>
      </c>
      <c r="BB8" s="355">
        <f>WATER!BM9</f>
        <v>8</v>
      </c>
      <c r="BC8" s="355">
        <f>WATER!BR9</f>
        <v>0</v>
      </c>
      <c r="BD8" s="355">
        <f>WATER!BW9</f>
        <v>0</v>
      </c>
      <c r="BE8" s="355">
        <f>WATER!CB9</f>
        <v>3</v>
      </c>
      <c r="BF8" s="355">
        <f>WATER!CG9</f>
        <v>0</v>
      </c>
      <c r="BG8" s="355">
        <f>WATER!CL9</f>
        <v>0</v>
      </c>
      <c r="BH8" s="355">
        <f>WATER!CQ9</f>
        <v>0</v>
      </c>
      <c r="BI8" s="355">
        <f>WATER!CV9</f>
        <v>0</v>
      </c>
      <c r="BJ8" s="355">
        <f>WATER!DA9</f>
        <v>2</v>
      </c>
      <c r="BK8" s="355">
        <f>WATER!DF9</f>
        <v>2</v>
      </c>
      <c r="BL8" s="355">
        <f>WATER!DK9</f>
        <v>2</v>
      </c>
      <c r="BM8" s="355">
        <f>WATER!DP9</f>
        <v>0</v>
      </c>
      <c r="BN8" s="355">
        <f>WATER!DU9</f>
        <v>0</v>
      </c>
      <c r="BO8" s="355">
        <f>WATER!DZ9</f>
        <v>0</v>
      </c>
      <c r="BP8" s="177">
        <f>'Rooms nights and Food Covers'!B8</f>
        <v>40.799999999999997</v>
      </c>
      <c r="BQ8" s="177">
        <f>'Rooms nights and Food Covers'!C8</f>
        <v>306</v>
      </c>
    </row>
    <row r="9" spans="1:69" ht="45" customHeight="1" x14ac:dyDescent="0.25">
      <c r="A9" s="178">
        <f t="shared" si="0"/>
        <v>44870</v>
      </c>
      <c r="B9" s="371"/>
      <c r="C9" s="348">
        <f>SUM('GENSET #1'!C14+'GENSET #2'!C14+'GENSET #3'!C14+'GENSET #4'!C14+'GENSET #5'!C14)</f>
        <v>104068342</v>
      </c>
      <c r="D9" s="350">
        <f t="shared" si="1"/>
        <v>26146</v>
      </c>
      <c r="E9" s="348">
        <f>'Gas-2'!G10</f>
        <v>225</v>
      </c>
      <c r="F9" s="350" t="str">
        <f t="shared" si="3"/>
        <v>0</v>
      </c>
      <c r="G9" s="350">
        <f>'GENSET #1'!D14</f>
        <v>9784</v>
      </c>
      <c r="H9" s="350">
        <f>'GENSET #2'!D14</f>
        <v>834</v>
      </c>
      <c r="I9" s="350">
        <f>'GENSET #3'!D14</f>
        <v>5744</v>
      </c>
      <c r="J9" s="350">
        <f>'GENSET #4'!D14</f>
        <v>0</v>
      </c>
      <c r="K9" s="350">
        <f>'GENSET #5'!D14</f>
        <v>9784</v>
      </c>
      <c r="L9" s="350">
        <f>'FEEDER Consumption '!E9</f>
        <v>4156</v>
      </c>
      <c r="M9" s="350">
        <f>'FEEDER Consumption '!J9</f>
        <v>4344</v>
      </c>
      <c r="N9" s="350">
        <f>'FEEDER Consumption '!O9</f>
        <v>11380</v>
      </c>
      <c r="O9" s="350">
        <f>'FEEDER Consumption '!T9</f>
        <v>2500</v>
      </c>
      <c r="P9" s="350">
        <f>'FEEDER Consumption '!Y9</f>
        <v>2773</v>
      </c>
      <c r="Q9" s="350">
        <f>'FEEDER Consumption '!AD9</f>
        <v>1700</v>
      </c>
      <c r="R9" s="350">
        <f>'FEEDER Consumption '!AJ9</f>
        <v>494</v>
      </c>
      <c r="S9" s="350">
        <f>'FEEDER Consumption '!AO9</f>
        <v>700</v>
      </c>
      <c r="T9" s="350">
        <f>'FEEDER Consumption '!AT9</f>
        <v>1400</v>
      </c>
      <c r="U9" s="350">
        <f>'FEEDER Consumption '!AY9</f>
        <v>3790</v>
      </c>
      <c r="V9" s="350">
        <f>'FEEDER Consumption '!BI9</f>
        <v>300</v>
      </c>
      <c r="W9" s="350">
        <f>'FEEDER Consumption '!BI9</f>
        <v>300</v>
      </c>
      <c r="X9" s="350">
        <f>'FEEDER Consumption '!BN9</f>
        <v>500</v>
      </c>
      <c r="Y9" s="350">
        <f>'FEEDER Consumption '!BS9</f>
        <v>160</v>
      </c>
      <c r="Z9" s="350">
        <f>'FEEDER Consumption '!BX9</f>
        <v>400</v>
      </c>
      <c r="AA9" s="350">
        <f>'FEEDER Consumption '!CC9</f>
        <v>1200</v>
      </c>
      <c r="AB9" s="350">
        <f>'FEEDER Consumption '!CH9</f>
        <v>430</v>
      </c>
      <c r="AC9" s="350">
        <f>'FEEDER Consumption '!CM9</f>
        <v>870</v>
      </c>
      <c r="AD9" s="350">
        <f>'FEEDER Consumption '!CR9</f>
        <v>870</v>
      </c>
      <c r="AE9" s="350">
        <f>'FEEDER Consumption '!DB9</f>
        <v>1130</v>
      </c>
      <c r="AF9" s="350">
        <f>'FEEDER Consumption '!DB9</f>
        <v>1130</v>
      </c>
      <c r="AG9" s="350">
        <f>'FEEDER Consumption '!DG9</f>
        <v>750</v>
      </c>
      <c r="AH9" s="350">
        <f>'FEEDER Consumption '!DL9</f>
        <v>640</v>
      </c>
      <c r="AI9" s="350">
        <f>'FEEDER Consumption '!DQ9</f>
        <v>270</v>
      </c>
      <c r="AJ9" s="350">
        <f>'FEEDER Consumption '!DV9</f>
        <v>150</v>
      </c>
      <c r="AK9" s="350">
        <f>'FEEDER Consumption '!EA9</f>
        <v>930</v>
      </c>
      <c r="AL9" s="350">
        <f>'FEEDER Consumption '!EF9</f>
        <v>250</v>
      </c>
      <c r="AM9" s="350">
        <f>'FEEDER Consumption '!EK9</f>
        <v>580</v>
      </c>
      <c r="AN9" s="351">
        <f>'FEEDER Consumption '!EP9</f>
        <v>920</v>
      </c>
      <c r="AO9" s="354">
        <f>SUM(WATER!C10,WATER!H10,WATER!M10,WATER!R10)</f>
        <v>1134601</v>
      </c>
      <c r="AP9" s="355">
        <f t="shared" si="2"/>
        <v>371</v>
      </c>
      <c r="AQ9" s="355">
        <f>WATER!D10</f>
        <v>213</v>
      </c>
      <c r="AR9" s="355">
        <f>WATER!I10</f>
        <v>0</v>
      </c>
      <c r="AS9" s="355">
        <f>WATER!N10</f>
        <v>29</v>
      </c>
      <c r="AT9" s="355">
        <f>WATER!S10</f>
        <v>129</v>
      </c>
      <c r="AU9" s="355">
        <f>WATER!AD10</f>
        <v>21</v>
      </c>
      <c r="AV9" s="355">
        <f>WATER!AI10</f>
        <v>6</v>
      </c>
      <c r="AW9" s="355">
        <f>WATER!AN10</f>
        <v>10</v>
      </c>
      <c r="AX9" s="355">
        <f>WATER!AS10</f>
        <v>13</v>
      </c>
      <c r="AY9" s="355">
        <f>WATER!AX10</f>
        <v>9</v>
      </c>
      <c r="AZ9" s="355">
        <f>WATER!BC10</f>
        <v>6</v>
      </c>
      <c r="BA9" s="355">
        <f>WATER!BH10</f>
        <v>9</v>
      </c>
      <c r="BB9" s="355">
        <f>WATER!BM10</f>
        <v>8</v>
      </c>
      <c r="BC9" s="355">
        <f>WATER!BR10</f>
        <v>3</v>
      </c>
      <c r="BD9" s="355">
        <f>WATER!BW10</f>
        <v>0</v>
      </c>
      <c r="BE9" s="355">
        <f>WATER!CB10</f>
        <v>3</v>
      </c>
      <c r="BF9" s="355">
        <f>WATER!CG10</f>
        <v>4</v>
      </c>
      <c r="BG9" s="355">
        <f>WATER!CL10</f>
        <v>50</v>
      </c>
      <c r="BH9" s="355">
        <f>WATER!CQ10</f>
        <v>18</v>
      </c>
      <c r="BI9" s="355">
        <f>WATER!CV10</f>
        <v>1</v>
      </c>
      <c r="BJ9" s="355">
        <f>WATER!DA10</f>
        <v>4</v>
      </c>
      <c r="BK9" s="355">
        <f>WATER!DF10</f>
        <v>2</v>
      </c>
      <c r="BL9" s="355">
        <f>WATER!DK10</f>
        <v>0</v>
      </c>
      <c r="BM9" s="355">
        <f>WATER!DP10</f>
        <v>0</v>
      </c>
      <c r="BN9" s="355">
        <f>WATER!DU10</f>
        <v>1</v>
      </c>
      <c r="BO9" s="355">
        <f>WATER!DZ10</f>
        <v>6</v>
      </c>
      <c r="BP9" s="177">
        <f>'Rooms nights and Food Covers'!B9</f>
        <v>38.799999999999997</v>
      </c>
      <c r="BQ9" s="177">
        <f>'Rooms nights and Food Covers'!C9</f>
        <v>298</v>
      </c>
    </row>
    <row r="10" spans="1:69" ht="45" customHeight="1" x14ac:dyDescent="0.25">
      <c r="A10" s="178">
        <f t="shared" si="0"/>
        <v>44871</v>
      </c>
      <c r="B10" s="371"/>
      <c r="C10" s="348">
        <f>SUM('GENSET #1'!C15+'GENSET #2'!C15+'GENSET #3'!C15+'GENSET #4'!C15+'GENSET #5'!C15)</f>
        <v>104095182</v>
      </c>
      <c r="D10" s="350">
        <f t="shared" si="1"/>
        <v>26840</v>
      </c>
      <c r="E10" s="348">
        <f>'Gas-2'!G11</f>
        <v>270</v>
      </c>
      <c r="F10" s="350">
        <f t="shared" si="3"/>
        <v>45</v>
      </c>
      <c r="G10" s="350">
        <f>'GENSET #1'!D15</f>
        <v>3169</v>
      </c>
      <c r="H10" s="350">
        <f>'GENSET #2'!D15</f>
        <v>11280</v>
      </c>
      <c r="I10" s="350">
        <f>'GENSET #3'!D15</f>
        <v>8335</v>
      </c>
      <c r="J10" s="350">
        <f>'GENSET #4'!D15</f>
        <v>0</v>
      </c>
      <c r="K10" s="350">
        <f>'GENSET #5'!D15</f>
        <v>4056</v>
      </c>
      <c r="L10" s="350">
        <f>'FEEDER Consumption '!E10</f>
        <v>4442</v>
      </c>
      <c r="M10" s="350">
        <f>'FEEDER Consumption '!J10</f>
        <v>4481</v>
      </c>
      <c r="N10" s="350">
        <f>'FEEDER Consumption '!O10</f>
        <v>12061</v>
      </c>
      <c r="O10" s="350">
        <f>'FEEDER Consumption '!T10</f>
        <v>2700</v>
      </c>
      <c r="P10" s="350">
        <f>'FEEDER Consumption '!Y10</f>
        <v>2898</v>
      </c>
      <c r="Q10" s="350">
        <f>'FEEDER Consumption '!AD10</f>
        <v>1900</v>
      </c>
      <c r="R10" s="350">
        <f>'FEEDER Consumption '!AJ10</f>
        <v>502</v>
      </c>
      <c r="S10" s="350">
        <f>'FEEDER Consumption '!AO10</f>
        <v>700</v>
      </c>
      <c r="T10" s="350">
        <f>'FEEDER Consumption '!AT10</f>
        <v>1500</v>
      </c>
      <c r="U10" s="350">
        <f>'FEEDER Consumption '!AY10</f>
        <v>4150</v>
      </c>
      <c r="V10" s="350">
        <f>'FEEDER Consumption '!BI10</f>
        <v>200</v>
      </c>
      <c r="W10" s="350">
        <f>'FEEDER Consumption '!BI10</f>
        <v>200</v>
      </c>
      <c r="X10" s="350">
        <f>'FEEDER Consumption '!BN10</f>
        <v>600</v>
      </c>
      <c r="Y10" s="350">
        <f>'FEEDER Consumption '!BS10</f>
        <v>150</v>
      </c>
      <c r="Z10" s="350">
        <f>'FEEDER Consumption '!BX10</f>
        <v>400</v>
      </c>
      <c r="AA10" s="350">
        <f>'FEEDER Consumption '!CC10</f>
        <v>1200</v>
      </c>
      <c r="AB10" s="350">
        <f>'FEEDER Consumption '!CH10</f>
        <v>490</v>
      </c>
      <c r="AC10" s="350">
        <f>'FEEDER Consumption '!CM10</f>
        <v>910</v>
      </c>
      <c r="AD10" s="350">
        <f>'FEEDER Consumption '!CR10</f>
        <v>860</v>
      </c>
      <c r="AE10" s="350">
        <f>'FEEDER Consumption '!DB10</f>
        <v>1250</v>
      </c>
      <c r="AF10" s="350">
        <f>'FEEDER Consumption '!DB10</f>
        <v>1250</v>
      </c>
      <c r="AG10" s="350">
        <f>'FEEDER Consumption '!DG10</f>
        <v>870</v>
      </c>
      <c r="AH10" s="350">
        <f>'FEEDER Consumption '!DL10</f>
        <v>680</v>
      </c>
      <c r="AI10" s="350">
        <f>'FEEDER Consumption '!DQ10</f>
        <v>240</v>
      </c>
      <c r="AJ10" s="350">
        <f>'FEEDER Consumption '!DV10</f>
        <v>120</v>
      </c>
      <c r="AK10" s="350">
        <f>'FEEDER Consumption '!EA10</f>
        <v>1020</v>
      </c>
      <c r="AL10" s="350">
        <f>'FEEDER Consumption '!EF10</f>
        <v>300</v>
      </c>
      <c r="AM10" s="350">
        <f>'FEEDER Consumption '!EK10</f>
        <v>360</v>
      </c>
      <c r="AN10" s="351">
        <f>'FEEDER Consumption '!EP10</f>
        <v>540</v>
      </c>
      <c r="AO10" s="354">
        <f>SUM(WATER!C11,WATER!H11,WATER!M11,WATER!R11)</f>
        <v>1134986</v>
      </c>
      <c r="AP10" s="355">
        <f t="shared" si="2"/>
        <v>385</v>
      </c>
      <c r="AQ10" s="355">
        <f>WATER!D11</f>
        <v>245</v>
      </c>
      <c r="AR10" s="355">
        <f>WATER!I11</f>
        <v>0</v>
      </c>
      <c r="AS10" s="355">
        <f>WATER!N11</f>
        <v>0</v>
      </c>
      <c r="AT10" s="355">
        <f>WATER!S11</f>
        <v>140</v>
      </c>
      <c r="AU10" s="355">
        <f>WATER!AD11</f>
        <v>22</v>
      </c>
      <c r="AV10" s="355">
        <f>WATER!AI11</f>
        <v>6</v>
      </c>
      <c r="AW10" s="355">
        <f>WATER!AN11</f>
        <v>10</v>
      </c>
      <c r="AX10" s="355">
        <f>WATER!AS11</f>
        <v>11</v>
      </c>
      <c r="AY10" s="355">
        <f>WATER!AX11</f>
        <v>8</v>
      </c>
      <c r="AZ10" s="355">
        <f>WATER!BC11</f>
        <v>7</v>
      </c>
      <c r="BA10" s="355">
        <f>WATER!BH11</f>
        <v>11</v>
      </c>
      <c r="BB10" s="355">
        <f>WATER!BM11</f>
        <v>9</v>
      </c>
      <c r="BC10" s="355">
        <f>WATER!BR11</f>
        <v>2</v>
      </c>
      <c r="BD10" s="355">
        <f>WATER!BW11</f>
        <v>0</v>
      </c>
      <c r="BE10" s="355">
        <f>WATER!CB11</f>
        <v>2</v>
      </c>
      <c r="BF10" s="355">
        <f>WATER!CG11</f>
        <v>1</v>
      </c>
      <c r="BG10" s="355">
        <f>WATER!CL11</f>
        <v>28</v>
      </c>
      <c r="BH10" s="355">
        <f>WATER!CQ11</f>
        <v>8</v>
      </c>
      <c r="BI10" s="355">
        <f>WATER!CV11</f>
        <v>1</v>
      </c>
      <c r="BJ10" s="355">
        <f>WATER!DA11</f>
        <v>2</v>
      </c>
      <c r="BK10" s="355">
        <f>WATER!DF11</f>
        <v>2</v>
      </c>
      <c r="BL10" s="355">
        <f>WATER!DK11</f>
        <v>4</v>
      </c>
      <c r="BM10" s="355">
        <f>WATER!DP11</f>
        <v>27</v>
      </c>
      <c r="BN10" s="355">
        <f>WATER!DU11</f>
        <v>5</v>
      </c>
      <c r="BO10" s="355">
        <f>WATER!DZ11</f>
        <v>2</v>
      </c>
      <c r="BP10" s="177">
        <f>'Rooms nights and Food Covers'!B10</f>
        <v>31.1</v>
      </c>
      <c r="BQ10" s="177">
        <f>'Rooms nights and Food Covers'!C10</f>
        <v>299</v>
      </c>
    </row>
    <row r="11" spans="1:69" ht="45" customHeight="1" x14ac:dyDescent="0.25">
      <c r="A11" s="178">
        <f t="shared" si="0"/>
        <v>44872</v>
      </c>
      <c r="B11" s="371"/>
      <c r="C11" s="348">
        <f>SUM('GENSET #1'!C16+'GENSET #2'!C16+'GENSET #3'!C16+'GENSET #4'!C16+'GENSET #5'!C16)</f>
        <v>104121486</v>
      </c>
      <c r="D11" s="350">
        <f t="shared" si="1"/>
        <v>26304</v>
      </c>
      <c r="E11" s="348">
        <f>'Gas-2'!G12</f>
        <v>270</v>
      </c>
      <c r="F11" s="350">
        <f t="shared" si="3"/>
        <v>0</v>
      </c>
      <c r="G11" s="350">
        <f>'GENSET #1'!D16</f>
        <v>7349</v>
      </c>
      <c r="H11" s="350">
        <f>'GENSET #2'!D16</f>
        <v>9634</v>
      </c>
      <c r="I11" s="350">
        <f>'GENSET #3'!D16</f>
        <v>4237</v>
      </c>
      <c r="J11" s="350">
        <f>'GENSET #4'!D16</f>
        <v>0</v>
      </c>
      <c r="K11" s="350">
        <f>'GENSET #5'!D16</f>
        <v>5084</v>
      </c>
      <c r="L11" s="350">
        <f>'FEEDER Consumption '!E11</f>
        <v>4402</v>
      </c>
      <c r="M11" s="350">
        <f>'FEEDER Consumption '!J11</f>
        <v>4141</v>
      </c>
      <c r="N11" s="350">
        <f>'FEEDER Consumption '!O11</f>
        <v>11776</v>
      </c>
      <c r="O11" s="350">
        <f>'FEEDER Consumption '!T11</f>
        <v>2400</v>
      </c>
      <c r="P11" s="350">
        <f>'FEEDER Consumption '!Y11</f>
        <v>2811</v>
      </c>
      <c r="Q11" s="350">
        <f>'FEEDER Consumption '!AD11</f>
        <v>1900</v>
      </c>
      <c r="R11" s="350">
        <f>'FEEDER Consumption '!AJ11</f>
        <v>458</v>
      </c>
      <c r="S11" s="350">
        <f>'FEEDER Consumption '!AO11</f>
        <v>700</v>
      </c>
      <c r="T11" s="350">
        <f>'FEEDER Consumption '!AT11</f>
        <v>1300</v>
      </c>
      <c r="U11" s="350">
        <f>'FEEDER Consumption '!AY11</f>
        <v>3910</v>
      </c>
      <c r="V11" s="350">
        <f>'FEEDER Consumption '!BI11</f>
        <v>300</v>
      </c>
      <c r="W11" s="350">
        <f>'FEEDER Consumption '!BI11</f>
        <v>300</v>
      </c>
      <c r="X11" s="350">
        <f>'FEEDER Consumption '!BN11</f>
        <v>500</v>
      </c>
      <c r="Y11" s="350">
        <f>'FEEDER Consumption '!BS11</f>
        <v>160</v>
      </c>
      <c r="Z11" s="350">
        <f>'FEEDER Consumption '!BX11</f>
        <v>450</v>
      </c>
      <c r="AA11" s="350">
        <f>'FEEDER Consumption '!CC11</f>
        <v>1100</v>
      </c>
      <c r="AB11" s="350">
        <f>'FEEDER Consumption '!CH11</f>
        <v>460</v>
      </c>
      <c r="AC11" s="350">
        <f>'FEEDER Consumption '!CM11</f>
        <v>810</v>
      </c>
      <c r="AD11" s="350">
        <f>'FEEDER Consumption '!CR11</f>
        <v>910</v>
      </c>
      <c r="AE11" s="350">
        <f>'FEEDER Consumption '!DB11</f>
        <v>1050</v>
      </c>
      <c r="AF11" s="350">
        <f>'FEEDER Consumption '!DB11</f>
        <v>1050</v>
      </c>
      <c r="AG11" s="350">
        <f>'FEEDER Consumption '!DG11</f>
        <v>740</v>
      </c>
      <c r="AH11" s="350">
        <f>'FEEDER Consumption '!DL11</f>
        <v>610</v>
      </c>
      <c r="AI11" s="350">
        <f>'FEEDER Consumption '!DQ11</f>
        <v>350</v>
      </c>
      <c r="AJ11" s="350">
        <f>'FEEDER Consumption '!DV11</f>
        <v>120</v>
      </c>
      <c r="AK11" s="350">
        <f>'FEEDER Consumption '!EA11</f>
        <v>1000</v>
      </c>
      <c r="AL11" s="350">
        <f>'FEEDER Consumption '!EF11</f>
        <v>250</v>
      </c>
      <c r="AM11" s="350">
        <f>'FEEDER Consumption '!EK11</f>
        <v>330</v>
      </c>
      <c r="AN11" s="351">
        <f>'FEEDER Consumption '!EP11</f>
        <v>510</v>
      </c>
      <c r="AO11" s="354">
        <f>SUM(WATER!C12,WATER!H12,WATER!M12,WATER!R12)</f>
        <v>1135359</v>
      </c>
      <c r="AP11" s="355">
        <f t="shared" si="2"/>
        <v>373</v>
      </c>
      <c r="AQ11" s="355">
        <f>WATER!D12</f>
        <v>229</v>
      </c>
      <c r="AR11" s="355">
        <f>WATER!I12</f>
        <v>0</v>
      </c>
      <c r="AS11" s="355">
        <f>WATER!N12</f>
        <v>0</v>
      </c>
      <c r="AT11" s="355">
        <f>WATER!S12</f>
        <v>144</v>
      </c>
      <c r="AU11" s="355">
        <f>WATER!AD12</f>
        <v>25</v>
      </c>
      <c r="AV11" s="355">
        <f>WATER!AI12</f>
        <v>6</v>
      </c>
      <c r="AW11" s="355">
        <f>WATER!AN12</f>
        <v>9</v>
      </c>
      <c r="AX11" s="355">
        <f>WATER!AS12</f>
        <v>11</v>
      </c>
      <c r="AY11" s="355">
        <f>WATER!AX12</f>
        <v>9</v>
      </c>
      <c r="AZ11" s="355">
        <f>WATER!BC12</f>
        <v>7</v>
      </c>
      <c r="BA11" s="355">
        <f>WATER!BH12</f>
        <v>8</v>
      </c>
      <c r="BB11" s="355">
        <f>WATER!BM12</f>
        <v>7</v>
      </c>
      <c r="BC11" s="355">
        <f>WATER!BR12</f>
        <v>2</v>
      </c>
      <c r="BD11" s="355">
        <f>WATER!BW12</f>
        <v>2</v>
      </c>
      <c r="BE11" s="355">
        <f>WATER!CB12</f>
        <v>3</v>
      </c>
      <c r="BF11" s="355">
        <f>WATER!CG12</f>
        <v>1</v>
      </c>
      <c r="BG11" s="355">
        <f>WATER!CL12</f>
        <v>27</v>
      </c>
      <c r="BH11" s="355">
        <f>WATER!CQ12</f>
        <v>8</v>
      </c>
      <c r="BI11" s="355">
        <f>WATER!CV12</f>
        <v>1</v>
      </c>
      <c r="BJ11" s="355">
        <f>WATER!DA12</f>
        <v>3</v>
      </c>
      <c r="BK11" s="355">
        <f>WATER!DF12</f>
        <v>13</v>
      </c>
      <c r="BL11" s="355">
        <f>WATER!DK12</f>
        <v>3</v>
      </c>
      <c r="BM11" s="355">
        <f>WATER!DP12</f>
        <v>0</v>
      </c>
      <c r="BN11" s="355">
        <f>WATER!DU12</f>
        <v>3</v>
      </c>
      <c r="BO11" s="355">
        <f>WATER!DZ12</f>
        <v>2</v>
      </c>
      <c r="BP11" s="177">
        <f>'Rooms nights and Food Covers'!B11</f>
        <v>29.1</v>
      </c>
      <c r="BQ11" s="177">
        <f>'Rooms nights and Food Covers'!C11</f>
        <v>247</v>
      </c>
    </row>
    <row r="12" spans="1:69" ht="45" customHeight="1" x14ac:dyDescent="0.25">
      <c r="A12" s="178">
        <f t="shared" si="0"/>
        <v>44873</v>
      </c>
      <c r="B12" s="371"/>
      <c r="C12" s="348">
        <f>SUM('GENSET #1'!C17+'GENSET #2'!C17+'GENSET #3'!C17+'GENSET #4'!C17+'GENSET #5'!C17)</f>
        <v>104148108</v>
      </c>
      <c r="D12" s="350">
        <f t="shared" si="1"/>
        <v>26622</v>
      </c>
      <c r="E12" s="348">
        <f>'Gas-2'!G13</f>
        <v>270</v>
      </c>
      <c r="F12" s="350">
        <f t="shared" si="3"/>
        <v>0</v>
      </c>
      <c r="G12" s="350">
        <f>'GENSET #1'!D17</f>
        <v>2387</v>
      </c>
      <c r="H12" s="350">
        <f>'GENSET #2'!D17</f>
        <v>13482</v>
      </c>
      <c r="I12" s="350">
        <f>'GENSET #3'!D17</f>
        <v>4128</v>
      </c>
      <c r="J12" s="350">
        <f>'GENSET #4'!D17</f>
        <v>0</v>
      </c>
      <c r="K12" s="350">
        <f>'GENSET #5'!D17</f>
        <v>6625</v>
      </c>
      <c r="L12" s="350">
        <f>'FEEDER Consumption '!E12</f>
        <v>4404</v>
      </c>
      <c r="M12" s="350">
        <f>'FEEDER Consumption '!J12</f>
        <v>4063</v>
      </c>
      <c r="N12" s="350">
        <f>'FEEDER Consumption '!O12</f>
        <v>11713</v>
      </c>
      <c r="O12" s="350">
        <f>'FEEDER Consumption '!T12</f>
        <v>2400</v>
      </c>
      <c r="P12" s="350">
        <f>'FEEDER Consumption '!Y12</f>
        <v>2943</v>
      </c>
      <c r="Q12" s="350">
        <f>'FEEDER Consumption '!AD12</f>
        <v>1900</v>
      </c>
      <c r="R12" s="350">
        <f>'FEEDER Consumption '!AJ12</f>
        <v>500</v>
      </c>
      <c r="S12" s="350">
        <f>'FEEDER Consumption '!AO12</f>
        <v>800</v>
      </c>
      <c r="T12" s="350">
        <f>'FEEDER Consumption '!AT12</f>
        <v>1600</v>
      </c>
      <c r="U12" s="350">
        <f>'FEEDER Consumption '!AY12</f>
        <v>4020</v>
      </c>
      <c r="V12" s="350">
        <f>'FEEDER Consumption '!BI12</f>
        <v>300</v>
      </c>
      <c r="W12" s="350">
        <f>'FEEDER Consumption '!BI12</f>
        <v>300</v>
      </c>
      <c r="X12" s="350">
        <f>'FEEDER Consumption '!BN12</f>
        <v>600</v>
      </c>
      <c r="Y12" s="350">
        <f>'FEEDER Consumption '!BS12</f>
        <v>150</v>
      </c>
      <c r="Z12" s="350">
        <f>'FEEDER Consumption '!BX12</f>
        <v>450</v>
      </c>
      <c r="AA12" s="350">
        <f>'FEEDER Consumption '!CC12</f>
        <v>1200</v>
      </c>
      <c r="AB12" s="350">
        <f>'FEEDER Consumption '!CH12</f>
        <v>430</v>
      </c>
      <c r="AC12" s="350">
        <f>'FEEDER Consumption '!CM12</f>
        <v>1040</v>
      </c>
      <c r="AD12" s="350">
        <f>'FEEDER Consumption '!CR12</f>
        <v>960</v>
      </c>
      <c r="AE12" s="350">
        <f>'FEEDER Consumption '!DB12</f>
        <v>1070</v>
      </c>
      <c r="AF12" s="350">
        <f>'FEEDER Consumption '!DB12</f>
        <v>1070</v>
      </c>
      <c r="AG12" s="350">
        <f>'FEEDER Consumption '!DG12</f>
        <v>780</v>
      </c>
      <c r="AH12" s="350">
        <f>'FEEDER Consumption '!DL12</f>
        <v>640</v>
      </c>
      <c r="AI12" s="350">
        <f>'FEEDER Consumption '!DQ12</f>
        <v>290</v>
      </c>
      <c r="AJ12" s="350">
        <f>'FEEDER Consumption '!DV12</f>
        <v>150</v>
      </c>
      <c r="AK12" s="350">
        <f>'FEEDER Consumption '!EA12</f>
        <v>1110</v>
      </c>
      <c r="AL12" s="350">
        <f>'FEEDER Consumption '!EF12</f>
        <v>220</v>
      </c>
      <c r="AM12" s="350">
        <f>'FEEDER Consumption '!EK12</f>
        <v>370</v>
      </c>
      <c r="AN12" s="351">
        <f>'FEEDER Consumption '!EP12</f>
        <v>460</v>
      </c>
      <c r="AO12" s="354">
        <f>SUM(WATER!C13,WATER!H13,WATER!M13,WATER!R13)</f>
        <v>1135763</v>
      </c>
      <c r="AP12" s="355">
        <f t="shared" si="2"/>
        <v>404</v>
      </c>
      <c r="AQ12" s="355">
        <f>WATER!D13</f>
        <v>254</v>
      </c>
      <c r="AR12" s="355">
        <f>WATER!I13</f>
        <v>0</v>
      </c>
      <c r="AS12" s="355">
        <f>WATER!N13</f>
        <v>1</v>
      </c>
      <c r="AT12" s="355">
        <f>WATER!S13</f>
        <v>149</v>
      </c>
      <c r="AU12" s="355">
        <f>WATER!AD13</f>
        <v>20</v>
      </c>
      <c r="AV12" s="355">
        <f>WATER!AI13</f>
        <v>7</v>
      </c>
      <c r="AW12" s="355">
        <f>WATER!AN13</f>
        <v>9</v>
      </c>
      <c r="AX12" s="355">
        <f>WATER!AS13</f>
        <v>10</v>
      </c>
      <c r="AY12" s="355">
        <f>WATER!AX13</f>
        <v>8</v>
      </c>
      <c r="AZ12" s="355">
        <f>WATER!BC13</f>
        <v>6</v>
      </c>
      <c r="BA12" s="355">
        <f>WATER!BH13</f>
        <v>8</v>
      </c>
      <c r="BB12" s="355">
        <f>WATER!BM13</f>
        <v>8</v>
      </c>
      <c r="BC12" s="355">
        <f>WATER!BR13</f>
        <v>2</v>
      </c>
      <c r="BD12" s="355">
        <f>WATER!BW13</f>
        <v>0</v>
      </c>
      <c r="BE12" s="355">
        <f>WATER!CB13</f>
        <v>5</v>
      </c>
      <c r="BF12" s="355">
        <f>WATER!CG13</f>
        <v>5</v>
      </c>
      <c r="BG12" s="355">
        <f>WATER!CL13</f>
        <v>32</v>
      </c>
      <c r="BH12" s="355">
        <f>WATER!CQ13</f>
        <v>8</v>
      </c>
      <c r="BI12" s="355">
        <f>WATER!CV13</f>
        <v>1</v>
      </c>
      <c r="BJ12" s="355">
        <f>WATER!DA13</f>
        <v>6</v>
      </c>
      <c r="BK12" s="355">
        <f>WATER!DF13</f>
        <v>4</v>
      </c>
      <c r="BL12" s="355">
        <f>WATER!DK13</f>
        <v>5</v>
      </c>
      <c r="BM12" s="355">
        <f>WATER!DP13</f>
        <v>33</v>
      </c>
      <c r="BN12" s="355">
        <f>WATER!DU13</f>
        <v>2</v>
      </c>
      <c r="BO12" s="355">
        <f>WATER!DZ13</f>
        <v>1</v>
      </c>
      <c r="BP12" s="177">
        <f>'Rooms nights and Food Covers'!B12</f>
        <v>34</v>
      </c>
      <c r="BQ12" s="177">
        <f>'Rooms nights and Food Covers'!C12</f>
        <v>274</v>
      </c>
    </row>
    <row r="13" spans="1:69" ht="45" customHeight="1" x14ac:dyDescent="0.25">
      <c r="A13" s="178">
        <f t="shared" si="0"/>
        <v>44874</v>
      </c>
      <c r="B13" s="371"/>
      <c r="C13" s="348">
        <f>SUM('GENSET #1'!C18+'GENSET #2'!C18+'GENSET #3'!C18+'GENSET #4'!C18+'GENSET #5'!C18)</f>
        <v>104174782</v>
      </c>
      <c r="D13" s="350">
        <f t="shared" si="1"/>
        <v>26674</v>
      </c>
      <c r="E13" s="348">
        <f>'Gas-2'!G14</f>
        <v>270</v>
      </c>
      <c r="F13" s="350">
        <f t="shared" si="3"/>
        <v>0</v>
      </c>
      <c r="G13" s="350">
        <f>'GENSET #1'!D18</f>
        <v>6611</v>
      </c>
      <c r="H13" s="350">
        <f>'GENSET #2'!D18</f>
        <v>9452</v>
      </c>
      <c r="I13" s="350">
        <f>'GENSET #3'!D18</f>
        <v>7873</v>
      </c>
      <c r="J13" s="350">
        <f>'GENSET #4'!D18</f>
        <v>0</v>
      </c>
      <c r="K13" s="350">
        <f>'GENSET #5'!D18</f>
        <v>2738</v>
      </c>
      <c r="L13" s="350">
        <f>'FEEDER Consumption '!E13</f>
        <v>4316</v>
      </c>
      <c r="M13" s="350">
        <f>'FEEDER Consumption '!J13</f>
        <v>3767</v>
      </c>
      <c r="N13" s="350">
        <f>'FEEDER Consumption '!O13</f>
        <v>12008</v>
      </c>
      <c r="O13" s="350">
        <f>'FEEDER Consumption '!T13</f>
        <v>2500</v>
      </c>
      <c r="P13" s="350">
        <f>'FEEDER Consumption '!Y13</f>
        <v>2909</v>
      </c>
      <c r="Q13" s="350">
        <f>'FEEDER Consumption '!AD13</f>
        <v>1800</v>
      </c>
      <c r="R13" s="350">
        <f>'FEEDER Consumption '!AJ13</f>
        <v>506</v>
      </c>
      <c r="S13" s="350">
        <f>'FEEDER Consumption '!AO13</f>
        <v>700</v>
      </c>
      <c r="T13" s="350">
        <f>'FEEDER Consumption '!AT13</f>
        <v>1800</v>
      </c>
      <c r="U13" s="350">
        <f>'FEEDER Consumption '!AY13</f>
        <v>3950</v>
      </c>
      <c r="V13" s="350">
        <f>'FEEDER Consumption '!BI13</f>
        <v>300</v>
      </c>
      <c r="W13" s="350">
        <f>'FEEDER Consumption '!BI13</f>
        <v>300</v>
      </c>
      <c r="X13" s="350">
        <f>'FEEDER Consumption '!BN13</f>
        <v>600</v>
      </c>
      <c r="Y13" s="350">
        <f>'FEEDER Consumption '!BS13</f>
        <v>180</v>
      </c>
      <c r="Z13" s="350">
        <f>'FEEDER Consumption '!BX13</f>
        <v>410</v>
      </c>
      <c r="AA13" s="350">
        <f>'FEEDER Consumption '!CC13</f>
        <v>1200</v>
      </c>
      <c r="AB13" s="350">
        <f>'FEEDER Consumption '!CH13</f>
        <v>380</v>
      </c>
      <c r="AC13" s="350">
        <f>'FEEDER Consumption '!CM13</f>
        <v>820</v>
      </c>
      <c r="AD13" s="350">
        <f>'FEEDER Consumption '!CR13</f>
        <v>730</v>
      </c>
      <c r="AE13" s="350">
        <f>'FEEDER Consumption '!DB13</f>
        <v>0</v>
      </c>
      <c r="AF13" s="350">
        <f>'FEEDER Consumption '!DB13</f>
        <v>0</v>
      </c>
      <c r="AG13" s="350">
        <f>'FEEDER Consumption '!DG13</f>
        <v>690</v>
      </c>
      <c r="AH13" s="350">
        <f>'FEEDER Consumption '!DL13</f>
        <v>540</v>
      </c>
      <c r="AI13" s="350">
        <f>'FEEDER Consumption '!DQ13</f>
        <v>260</v>
      </c>
      <c r="AJ13" s="350">
        <f>'FEEDER Consumption '!DV13</f>
        <v>110</v>
      </c>
      <c r="AK13" s="350">
        <f>'FEEDER Consumption '!EA13</f>
        <v>870</v>
      </c>
      <c r="AL13" s="350">
        <f>'FEEDER Consumption '!EF13</f>
        <v>200</v>
      </c>
      <c r="AM13" s="350">
        <f>'FEEDER Consumption '!EK13</f>
        <v>430</v>
      </c>
      <c r="AN13" s="351">
        <f>'FEEDER Consumption '!EP13</f>
        <v>520</v>
      </c>
      <c r="AO13" s="354">
        <f>SUM(WATER!C14,WATER!H14,WATER!M14,WATER!R14)</f>
        <v>1136119</v>
      </c>
      <c r="AP13" s="355">
        <f t="shared" si="2"/>
        <v>356</v>
      </c>
      <c r="AQ13" s="355">
        <f>WATER!D14</f>
        <v>224</v>
      </c>
      <c r="AR13" s="355">
        <f>WATER!I14</f>
        <v>0</v>
      </c>
      <c r="AS13" s="355">
        <f>WATER!N14</f>
        <v>0</v>
      </c>
      <c r="AT13" s="355">
        <f>WATER!S14</f>
        <v>132</v>
      </c>
      <c r="AU13" s="355">
        <f>WATER!AD14</f>
        <v>24</v>
      </c>
      <c r="AV13" s="355">
        <f>WATER!AI14</f>
        <v>6</v>
      </c>
      <c r="AW13" s="355">
        <f>WATER!AN14</f>
        <v>9</v>
      </c>
      <c r="AX13" s="355">
        <f>WATER!AS14</f>
        <v>10</v>
      </c>
      <c r="AY13" s="355">
        <f>WATER!AX14</f>
        <v>8</v>
      </c>
      <c r="AZ13" s="355">
        <f>WATER!BC14</f>
        <v>6</v>
      </c>
      <c r="BA13" s="355">
        <f>WATER!BH14</f>
        <v>9</v>
      </c>
      <c r="BB13" s="355">
        <f>WATER!BM14</f>
        <v>7</v>
      </c>
      <c r="BC13" s="355">
        <f>WATER!BR14</f>
        <v>2</v>
      </c>
      <c r="BD13" s="355">
        <f>WATER!BW14</f>
        <v>0</v>
      </c>
      <c r="BE13" s="355">
        <f>WATER!CB14</f>
        <v>4</v>
      </c>
      <c r="BF13" s="355">
        <f>WATER!CG14</f>
        <v>2</v>
      </c>
      <c r="BG13" s="355">
        <f>WATER!CL14</f>
        <v>32</v>
      </c>
      <c r="BH13" s="355">
        <f>WATER!CQ14</f>
        <v>7</v>
      </c>
      <c r="BI13" s="355">
        <f>WATER!CV14</f>
        <v>1</v>
      </c>
      <c r="BJ13" s="355">
        <f>WATER!DA14</f>
        <v>9</v>
      </c>
      <c r="BK13" s="355">
        <f>WATER!DF14</f>
        <v>3</v>
      </c>
      <c r="BL13" s="355">
        <f>WATER!DK14</f>
        <v>2</v>
      </c>
      <c r="BM13" s="355">
        <f>WATER!DP14</f>
        <v>19</v>
      </c>
      <c r="BN13" s="355">
        <f>WATER!DU14</f>
        <v>1</v>
      </c>
      <c r="BO13" s="355">
        <f>WATER!DZ14</f>
        <v>1</v>
      </c>
      <c r="BP13" s="177">
        <f>'Rooms nights and Food Covers'!B13</f>
        <v>29.1</v>
      </c>
      <c r="BQ13" s="177">
        <f>'Rooms nights and Food Covers'!C13</f>
        <v>222</v>
      </c>
    </row>
    <row r="14" spans="1:69" ht="45" customHeight="1" x14ac:dyDescent="0.25">
      <c r="A14" s="178">
        <f t="shared" si="0"/>
        <v>44875</v>
      </c>
      <c r="B14" s="371"/>
      <c r="C14" s="348">
        <f>SUM('GENSET #1'!C19+'GENSET #2'!C19+'GENSET #3'!C19+'GENSET #4'!C19+'GENSET #5'!C19)</f>
        <v>104201047</v>
      </c>
      <c r="D14" s="350">
        <f t="shared" si="1"/>
        <v>26265</v>
      </c>
      <c r="E14" s="348">
        <f>'Gas-2'!G15</f>
        <v>90</v>
      </c>
      <c r="F14" s="350" t="str">
        <f t="shared" si="3"/>
        <v>0</v>
      </c>
      <c r="G14" s="350">
        <f>'GENSET #1'!D19</f>
        <v>1193</v>
      </c>
      <c r="H14" s="350">
        <f>'GENSET #2'!D19</f>
        <v>11688</v>
      </c>
      <c r="I14" s="350">
        <f>'GENSET #3'!D19</f>
        <v>9219</v>
      </c>
      <c r="J14" s="350">
        <f>'GENSET #4'!D19</f>
        <v>0</v>
      </c>
      <c r="K14" s="350">
        <f>'GENSET #5'!D19</f>
        <v>4165</v>
      </c>
      <c r="L14" s="350">
        <f>'FEEDER Consumption '!E14</f>
        <v>4316</v>
      </c>
      <c r="M14" s="350">
        <f>'FEEDER Consumption '!J14</f>
        <v>3767</v>
      </c>
      <c r="N14" s="350">
        <f>'FEEDER Consumption '!O14</f>
        <v>12008</v>
      </c>
      <c r="O14" s="350">
        <f>'FEEDER Consumption '!T14</f>
        <v>2500</v>
      </c>
      <c r="P14" s="350">
        <f>'FEEDER Consumption '!Y14</f>
        <v>2899</v>
      </c>
      <c r="Q14" s="350">
        <f>'FEEDER Consumption '!AD14</f>
        <v>2200</v>
      </c>
      <c r="R14" s="350">
        <f>'FEEDER Consumption '!AJ14</f>
        <v>499</v>
      </c>
      <c r="S14" s="350">
        <f>'FEEDER Consumption '!AO14</f>
        <v>700</v>
      </c>
      <c r="T14" s="350">
        <f>'FEEDER Consumption '!AT14</f>
        <v>1300</v>
      </c>
      <c r="U14" s="350">
        <f>'FEEDER Consumption '!AY14</f>
        <v>3860</v>
      </c>
      <c r="V14" s="350">
        <f>'FEEDER Consumption '!BI14</f>
        <v>200</v>
      </c>
      <c r="W14" s="350">
        <f>'FEEDER Consumption '!BI14</f>
        <v>200</v>
      </c>
      <c r="X14" s="350">
        <f>'FEEDER Consumption '!BN14</f>
        <v>500</v>
      </c>
      <c r="Y14" s="350">
        <f>'FEEDER Consumption '!BS14</f>
        <v>210</v>
      </c>
      <c r="Z14" s="350">
        <f>'FEEDER Consumption '!BX14</f>
        <v>470</v>
      </c>
      <c r="AA14" s="350">
        <f>'FEEDER Consumption '!CC14</f>
        <v>1100</v>
      </c>
      <c r="AB14" s="350">
        <f>'FEEDER Consumption '!CH14</f>
        <v>510</v>
      </c>
      <c r="AC14" s="350">
        <f>'FEEDER Consumption '!CM14</f>
        <v>830</v>
      </c>
      <c r="AD14" s="350">
        <f>'FEEDER Consumption '!CR14</f>
        <v>790</v>
      </c>
      <c r="AE14" s="350">
        <f>'FEEDER Consumption '!DB14</f>
        <v>850</v>
      </c>
      <c r="AF14" s="350">
        <f>'FEEDER Consumption '!DB14</f>
        <v>850</v>
      </c>
      <c r="AG14" s="350">
        <f>'FEEDER Consumption '!DG14</f>
        <v>670</v>
      </c>
      <c r="AH14" s="350">
        <f>'FEEDER Consumption '!DL14</f>
        <v>560</v>
      </c>
      <c r="AI14" s="350">
        <f>'FEEDER Consumption '!DQ14</f>
        <v>250</v>
      </c>
      <c r="AJ14" s="350">
        <f>'FEEDER Consumption '!DV14</f>
        <v>140</v>
      </c>
      <c r="AK14" s="350">
        <f>'FEEDER Consumption '!EA14</f>
        <v>970</v>
      </c>
      <c r="AL14" s="350">
        <f>'FEEDER Consumption '!EF14</f>
        <v>240</v>
      </c>
      <c r="AM14" s="350">
        <f>'FEEDER Consumption '!EK14</f>
        <v>350</v>
      </c>
      <c r="AN14" s="351">
        <f>'FEEDER Consumption '!EP14</f>
        <v>530</v>
      </c>
      <c r="AO14" s="354">
        <f>SUM(WATER!C15,WATER!H15,WATER!M15,WATER!R15)</f>
        <v>1136567</v>
      </c>
      <c r="AP14" s="355">
        <f t="shared" si="2"/>
        <v>448</v>
      </c>
      <c r="AQ14" s="355">
        <f>WATER!D15</f>
        <v>249</v>
      </c>
      <c r="AR14" s="355">
        <f>WATER!I15</f>
        <v>0</v>
      </c>
      <c r="AS14" s="355">
        <f>WATER!N15</f>
        <v>48</v>
      </c>
      <c r="AT14" s="355">
        <f>WATER!S15</f>
        <v>151</v>
      </c>
      <c r="AU14" s="355">
        <f>WATER!AD15</f>
        <v>22</v>
      </c>
      <c r="AV14" s="355">
        <f>WATER!AI15</f>
        <v>6</v>
      </c>
      <c r="AW14" s="355">
        <f>WATER!AN15</f>
        <v>11</v>
      </c>
      <c r="AX14" s="355">
        <f>WATER!AS15</f>
        <v>10</v>
      </c>
      <c r="AY14" s="355">
        <f>WATER!AX15</f>
        <v>9</v>
      </c>
      <c r="AZ14" s="355">
        <f>WATER!BC15</f>
        <v>7</v>
      </c>
      <c r="BA14" s="355">
        <f>WATER!BH15</f>
        <v>8</v>
      </c>
      <c r="BB14" s="355">
        <f>WATER!BM15</f>
        <v>8</v>
      </c>
      <c r="BC14" s="355">
        <f>WATER!BR15</f>
        <v>1</v>
      </c>
      <c r="BD14" s="355">
        <f>WATER!BW15</f>
        <v>0</v>
      </c>
      <c r="BE14" s="355">
        <f>WATER!CB15</f>
        <v>2</v>
      </c>
      <c r="BF14" s="355">
        <f>WATER!CG15</f>
        <v>0</v>
      </c>
      <c r="BG14" s="355">
        <f>WATER!CL15</f>
        <v>27</v>
      </c>
      <c r="BH14" s="355">
        <f>WATER!CQ15</f>
        <v>11</v>
      </c>
      <c r="BI14" s="355">
        <f>WATER!CV15</f>
        <v>1</v>
      </c>
      <c r="BJ14" s="355">
        <f>WATER!DA15</f>
        <v>5</v>
      </c>
      <c r="BK14" s="355">
        <f>WATER!DF15</f>
        <v>2</v>
      </c>
      <c r="BL14" s="355">
        <f>WATER!DK15</f>
        <v>6</v>
      </c>
      <c r="BM14" s="355">
        <f>WATER!DP15</f>
        <v>14</v>
      </c>
      <c r="BN14" s="355">
        <f>WATER!DU15</f>
        <v>3</v>
      </c>
      <c r="BO14" s="355">
        <f>WATER!DZ15</f>
        <v>3</v>
      </c>
      <c r="BP14" s="177">
        <f>'Rooms nights and Food Covers'!B14</f>
        <v>27.2</v>
      </c>
      <c r="BQ14" s="177">
        <f>'Rooms nights and Food Covers'!C14</f>
        <v>209</v>
      </c>
    </row>
    <row r="15" spans="1:69" ht="45" customHeight="1" x14ac:dyDescent="0.25">
      <c r="A15" s="178">
        <f t="shared" si="0"/>
        <v>44876</v>
      </c>
      <c r="B15" s="371"/>
      <c r="C15" s="348">
        <f>SUM('GENSET #1'!C20+'GENSET #2'!C20+'GENSET #3'!C20+'GENSET #4'!C20+'GENSET #5'!C20)</f>
        <v>104228008</v>
      </c>
      <c r="D15" s="350">
        <f t="shared" si="1"/>
        <v>26961</v>
      </c>
      <c r="E15" s="348">
        <f>'Gas-2'!G16</f>
        <v>90</v>
      </c>
      <c r="F15" s="350">
        <f t="shared" si="3"/>
        <v>0</v>
      </c>
      <c r="G15" s="350">
        <f>'GENSET #1'!D20</f>
        <v>7249</v>
      </c>
      <c r="H15" s="350">
        <f>'GENSET #2'!D20</f>
        <v>8458</v>
      </c>
      <c r="I15" s="350">
        <f>'GENSET #3'!D20</f>
        <v>5845</v>
      </c>
      <c r="J15" s="350">
        <f>'GENSET #4'!D20</f>
        <v>0</v>
      </c>
      <c r="K15" s="350">
        <f>'GENSET #5'!D20</f>
        <v>5409</v>
      </c>
      <c r="L15" s="350">
        <f>'FEEDER Consumption '!E15</f>
        <v>3849</v>
      </c>
      <c r="M15" s="350">
        <f>'FEEDER Consumption '!J15</f>
        <v>3771</v>
      </c>
      <c r="N15" s="350">
        <f>'FEEDER Consumption '!O15</f>
        <v>13626</v>
      </c>
      <c r="O15" s="350">
        <f>'FEEDER Consumption '!T15</f>
        <v>2500</v>
      </c>
      <c r="P15" s="350">
        <f>'FEEDER Consumption '!Y15</f>
        <v>2843</v>
      </c>
      <c r="Q15" s="350">
        <f>'FEEDER Consumption '!AD15</f>
        <v>2500</v>
      </c>
      <c r="R15" s="350">
        <f>'FEEDER Consumption '!AJ15</f>
        <v>490</v>
      </c>
      <c r="S15" s="350">
        <f>'FEEDER Consumption '!AO15</f>
        <v>800</v>
      </c>
      <c r="T15" s="350">
        <f>'FEEDER Consumption '!AT15</f>
        <v>1400</v>
      </c>
      <c r="U15" s="350">
        <f>'FEEDER Consumption '!AY15</f>
        <v>4000</v>
      </c>
      <c r="V15" s="350">
        <f>'FEEDER Consumption '!BI15</f>
        <v>300</v>
      </c>
      <c r="W15" s="350">
        <f>'FEEDER Consumption '!BI15</f>
        <v>300</v>
      </c>
      <c r="X15" s="350">
        <f>'FEEDER Consumption '!BN15</f>
        <v>600</v>
      </c>
      <c r="Y15" s="350">
        <f>'FEEDER Consumption '!BS15</f>
        <v>190</v>
      </c>
      <c r="Z15" s="350">
        <f>'FEEDER Consumption '!BX15</f>
        <v>410</v>
      </c>
      <c r="AA15" s="350">
        <f>'FEEDER Consumption '!CC15</f>
        <v>1200</v>
      </c>
      <c r="AB15" s="350">
        <f>'FEEDER Consumption '!CH15</f>
        <v>440</v>
      </c>
      <c r="AC15" s="350">
        <f>'FEEDER Consumption '!CM15</f>
        <v>830</v>
      </c>
      <c r="AD15" s="350">
        <f>'FEEDER Consumption '!CR15</f>
        <v>670</v>
      </c>
      <c r="AE15" s="350">
        <f>'FEEDER Consumption '!DB15</f>
        <v>820</v>
      </c>
      <c r="AF15" s="350">
        <f>'FEEDER Consumption '!DB15</f>
        <v>820</v>
      </c>
      <c r="AG15" s="350">
        <f>'FEEDER Consumption '!DG15</f>
        <v>820</v>
      </c>
      <c r="AH15" s="350">
        <f>'FEEDER Consumption '!DL15</f>
        <v>660</v>
      </c>
      <c r="AI15" s="350">
        <f>'FEEDER Consumption '!DQ15</f>
        <v>250</v>
      </c>
      <c r="AJ15" s="350">
        <f>'FEEDER Consumption '!DV15</f>
        <v>140</v>
      </c>
      <c r="AK15" s="350">
        <f>'FEEDER Consumption '!EA15</f>
        <v>910</v>
      </c>
      <c r="AL15" s="350">
        <f>'FEEDER Consumption '!EF15</f>
        <v>270</v>
      </c>
      <c r="AM15" s="350">
        <f>'FEEDER Consumption '!EK15</f>
        <v>250</v>
      </c>
      <c r="AN15" s="351">
        <f>'FEEDER Consumption '!EP15</f>
        <v>530</v>
      </c>
      <c r="AO15" s="354">
        <f>SUM(WATER!C16,WATER!H16,WATER!M16,WATER!R16)</f>
        <v>1136996</v>
      </c>
      <c r="AP15" s="355">
        <f t="shared" si="2"/>
        <v>429</v>
      </c>
      <c r="AQ15" s="355">
        <f>WATER!D16</f>
        <v>247</v>
      </c>
      <c r="AR15" s="355">
        <f>WATER!I16</f>
        <v>21</v>
      </c>
      <c r="AS15" s="355">
        <f>WATER!N16</f>
        <v>22</v>
      </c>
      <c r="AT15" s="355">
        <f>WATER!S16</f>
        <v>139</v>
      </c>
      <c r="AU15" s="355">
        <f>WATER!AD16</f>
        <v>20</v>
      </c>
      <c r="AV15" s="355">
        <f>WATER!AI16</f>
        <v>6</v>
      </c>
      <c r="AW15" s="355">
        <f>WATER!AN16</f>
        <v>9</v>
      </c>
      <c r="AX15" s="355">
        <f>WATER!AS16</f>
        <v>10</v>
      </c>
      <c r="AY15" s="355">
        <f>WATER!AX16</f>
        <v>8</v>
      </c>
      <c r="AZ15" s="355">
        <f>WATER!BC16</f>
        <v>6</v>
      </c>
      <c r="BA15" s="355">
        <f>WATER!BH16</f>
        <v>8</v>
      </c>
      <c r="BB15" s="355">
        <f>WATER!BM16</f>
        <v>7</v>
      </c>
      <c r="BC15" s="355">
        <f>WATER!BR16</f>
        <v>2</v>
      </c>
      <c r="BD15" s="355">
        <f>WATER!BW16</f>
        <v>0</v>
      </c>
      <c r="BE15" s="355">
        <f>WATER!CB16</f>
        <v>4</v>
      </c>
      <c r="BF15" s="355">
        <f>WATER!CG16</f>
        <v>3</v>
      </c>
      <c r="BG15" s="355">
        <f>WATER!CL16</f>
        <v>25</v>
      </c>
      <c r="BH15" s="355">
        <f>WATER!CQ16</f>
        <v>10</v>
      </c>
      <c r="BI15" s="355">
        <f>WATER!CV16</f>
        <v>1</v>
      </c>
      <c r="BJ15" s="355">
        <f>WATER!DA16</f>
        <v>2</v>
      </c>
      <c r="BK15" s="355">
        <f>WATER!DF16</f>
        <v>3</v>
      </c>
      <c r="BL15" s="355">
        <f>WATER!DK16</f>
        <v>3</v>
      </c>
      <c r="BM15" s="355">
        <f>WATER!DP16</f>
        <v>16</v>
      </c>
      <c r="BN15" s="355">
        <f>WATER!DU16</f>
        <v>1</v>
      </c>
      <c r="BO15" s="355">
        <f>WATER!DZ16</f>
        <v>1</v>
      </c>
      <c r="BP15" s="177">
        <f>'Rooms nights and Food Covers'!B15</f>
        <v>30.1</v>
      </c>
      <c r="BQ15" s="177">
        <f>'Rooms nights and Food Covers'!C15</f>
        <v>226</v>
      </c>
    </row>
    <row r="16" spans="1:69" ht="45" customHeight="1" x14ac:dyDescent="0.25">
      <c r="A16" s="178">
        <f t="shared" si="0"/>
        <v>44877</v>
      </c>
      <c r="B16" s="371"/>
      <c r="C16" s="348">
        <f>SUM('GENSET #1'!C21+'GENSET #2'!C21+'GENSET #3'!C21+'GENSET #4'!C21+'GENSET #5'!C21)</f>
        <v>104254824</v>
      </c>
      <c r="D16" s="350">
        <f t="shared" si="1"/>
        <v>26816</v>
      </c>
      <c r="E16" s="348">
        <f>'Gas-2'!G17</f>
        <v>450</v>
      </c>
      <c r="F16" s="350">
        <f t="shared" si="3"/>
        <v>360</v>
      </c>
      <c r="G16" s="350">
        <f>'GENSET #1'!D21</f>
        <v>4553</v>
      </c>
      <c r="H16" s="350">
        <f>'GENSET #2'!D21</f>
        <v>12675</v>
      </c>
      <c r="I16" s="350">
        <f>'GENSET #3'!D21</f>
        <v>9545</v>
      </c>
      <c r="J16" s="350">
        <f>'GENSET #4'!D21</f>
        <v>0</v>
      </c>
      <c r="K16" s="350">
        <f>'GENSET #5'!D21</f>
        <v>43</v>
      </c>
      <c r="L16" s="350">
        <f>'FEEDER Consumption '!E16</f>
        <v>3978</v>
      </c>
      <c r="M16" s="350">
        <f>'FEEDER Consumption '!J16</f>
        <v>4164</v>
      </c>
      <c r="N16" s="350">
        <f>'FEEDER Consumption '!O16</f>
        <v>12679</v>
      </c>
      <c r="O16" s="350">
        <f>'FEEDER Consumption '!T16</f>
        <v>2400</v>
      </c>
      <c r="P16" s="350">
        <f>'FEEDER Consumption '!Y16</f>
        <v>2861</v>
      </c>
      <c r="Q16" s="350">
        <f>'FEEDER Consumption '!AD16</f>
        <v>2700</v>
      </c>
      <c r="R16" s="350">
        <f>'FEEDER Consumption '!AJ16</f>
        <v>509</v>
      </c>
      <c r="S16" s="350">
        <f>'FEEDER Consumption '!AO16</f>
        <v>700</v>
      </c>
      <c r="T16" s="350">
        <f>'FEEDER Consumption '!AT16</f>
        <v>1400</v>
      </c>
      <c r="U16" s="350">
        <f>'FEEDER Consumption '!AY16</f>
        <v>3710</v>
      </c>
      <c r="V16" s="350">
        <f>'FEEDER Consumption '!BI16</f>
        <v>300</v>
      </c>
      <c r="W16" s="350">
        <f>'FEEDER Consumption '!BI16</f>
        <v>300</v>
      </c>
      <c r="X16" s="350">
        <f>'FEEDER Consumption '!BN16</f>
        <v>500</v>
      </c>
      <c r="Y16" s="350">
        <f>'FEEDER Consumption '!BS16</f>
        <v>140</v>
      </c>
      <c r="Z16" s="350">
        <f>'FEEDER Consumption '!BX16</f>
        <v>370</v>
      </c>
      <c r="AA16" s="350">
        <f>'FEEDER Consumption '!CC16</f>
        <v>1100</v>
      </c>
      <c r="AB16" s="350">
        <f>'FEEDER Consumption '!CH16</f>
        <v>460</v>
      </c>
      <c r="AC16" s="350">
        <f>'FEEDER Consumption '!CM16</f>
        <v>850</v>
      </c>
      <c r="AD16" s="350">
        <f>'FEEDER Consumption '!CR16</f>
        <v>710</v>
      </c>
      <c r="AE16" s="350">
        <f>'FEEDER Consumption '!DB16</f>
        <v>1020</v>
      </c>
      <c r="AF16" s="350">
        <f>'FEEDER Consumption '!DB16</f>
        <v>1020</v>
      </c>
      <c r="AG16" s="350">
        <f>'FEEDER Consumption '!DG16</f>
        <v>820</v>
      </c>
      <c r="AH16" s="350">
        <f>'FEEDER Consumption '!DL16</f>
        <v>760</v>
      </c>
      <c r="AI16" s="350">
        <f>'FEEDER Consumption '!DQ16</f>
        <v>260</v>
      </c>
      <c r="AJ16" s="350">
        <f>'FEEDER Consumption '!DV16</f>
        <v>110</v>
      </c>
      <c r="AK16" s="350">
        <f>'FEEDER Consumption '!EA16</f>
        <v>900</v>
      </c>
      <c r="AL16" s="350">
        <f>'FEEDER Consumption '!EF16</f>
        <v>250</v>
      </c>
      <c r="AM16" s="350">
        <f>'FEEDER Consumption '!EK16</f>
        <v>340</v>
      </c>
      <c r="AN16" s="351">
        <f>'FEEDER Consumption '!EP16</f>
        <v>540</v>
      </c>
      <c r="AO16" s="354">
        <f>SUM(WATER!C17,WATER!H17,WATER!M17,WATER!R17)</f>
        <v>1137515</v>
      </c>
      <c r="AP16" s="355">
        <f t="shared" si="2"/>
        <v>519</v>
      </c>
      <c r="AQ16" s="355">
        <f>WATER!D17</f>
        <v>244</v>
      </c>
      <c r="AR16" s="355">
        <f>WATER!I17</f>
        <v>119</v>
      </c>
      <c r="AS16" s="355">
        <f>WATER!N17</f>
        <v>22</v>
      </c>
      <c r="AT16" s="355">
        <f>WATER!S17</f>
        <v>134</v>
      </c>
      <c r="AU16" s="355">
        <f>WATER!AD17</f>
        <v>23</v>
      </c>
      <c r="AV16" s="355">
        <f>WATER!AI17</f>
        <v>7</v>
      </c>
      <c r="AW16" s="355">
        <f>WATER!AN17</f>
        <v>9</v>
      </c>
      <c r="AX16" s="355">
        <f>WATER!AS17</f>
        <v>10</v>
      </c>
      <c r="AY16" s="355">
        <f>WATER!AX17</f>
        <v>10</v>
      </c>
      <c r="AZ16" s="355">
        <f>WATER!BC17</f>
        <v>7</v>
      </c>
      <c r="BA16" s="355">
        <f>WATER!BH17</f>
        <v>8</v>
      </c>
      <c r="BB16" s="355">
        <f>WATER!BM17</f>
        <v>8</v>
      </c>
      <c r="BC16" s="355">
        <f>WATER!BR17</f>
        <v>2</v>
      </c>
      <c r="BD16" s="355">
        <f>WATER!BW17</f>
        <v>1</v>
      </c>
      <c r="BE16" s="355">
        <f>WATER!CB17</f>
        <v>1</v>
      </c>
      <c r="BF16" s="355">
        <f>WATER!CG17</f>
        <v>2</v>
      </c>
      <c r="BG16" s="355">
        <f>WATER!CL17</f>
        <v>38</v>
      </c>
      <c r="BH16" s="355">
        <f>WATER!CQ17</f>
        <v>9</v>
      </c>
      <c r="BI16" s="355">
        <f>WATER!CV17</f>
        <v>1</v>
      </c>
      <c r="BJ16" s="355">
        <f>WATER!DA17</f>
        <v>4</v>
      </c>
      <c r="BK16" s="355">
        <f>WATER!DF17</f>
        <v>3</v>
      </c>
      <c r="BL16" s="355">
        <f>WATER!DK17</f>
        <v>1</v>
      </c>
      <c r="BM16" s="355">
        <f>WATER!DP17</f>
        <v>15</v>
      </c>
      <c r="BN16" s="355">
        <f>WATER!DU17</f>
        <v>3</v>
      </c>
      <c r="BO16" s="355">
        <f>WATER!DZ17</f>
        <v>7</v>
      </c>
      <c r="BP16" s="177">
        <f>'Rooms nights and Food Covers'!B16</f>
        <v>36.9</v>
      </c>
      <c r="BQ16" s="177">
        <f>'Rooms nights and Food Covers'!C16</f>
        <v>237</v>
      </c>
    </row>
    <row r="17" spans="1:76" ht="45" customHeight="1" x14ac:dyDescent="0.25">
      <c r="A17" s="178">
        <f t="shared" si="0"/>
        <v>44878</v>
      </c>
      <c r="B17" s="371"/>
      <c r="C17" s="348">
        <f>SUM('GENSET #1'!C22+'GENSET #2'!C22+'GENSET #3'!C22+'GENSET #4'!C22+'GENSET #5'!C22)</f>
        <v>104280871</v>
      </c>
      <c r="D17" s="350">
        <f t="shared" si="1"/>
        <v>26047</v>
      </c>
      <c r="E17" s="348">
        <f>'Gas-2'!G18</f>
        <v>135</v>
      </c>
      <c r="F17" s="350" t="str">
        <f t="shared" si="3"/>
        <v>0</v>
      </c>
      <c r="G17" s="350">
        <f>'GENSET #1'!D22</f>
        <v>9928</v>
      </c>
      <c r="H17" s="350">
        <f>'GENSET #2'!D22</f>
        <v>4985</v>
      </c>
      <c r="I17" s="350">
        <f>'GENSET #3'!D22</f>
        <v>7011</v>
      </c>
      <c r="J17" s="350">
        <f>'GENSET #4'!D22</f>
        <v>0</v>
      </c>
      <c r="K17" s="350">
        <f>'GENSET #5'!D22</f>
        <v>4123</v>
      </c>
      <c r="L17" s="350">
        <f>'FEEDER Consumption '!E17</f>
        <v>3846</v>
      </c>
      <c r="M17" s="350">
        <f>'FEEDER Consumption '!J17</f>
        <v>3948</v>
      </c>
      <c r="N17" s="350">
        <f>'FEEDER Consumption '!O17</f>
        <v>12211</v>
      </c>
      <c r="O17" s="350">
        <f>'FEEDER Consumption '!T17</f>
        <v>2400</v>
      </c>
      <c r="P17" s="350">
        <f>'FEEDER Consumption '!Y17</f>
        <v>2855</v>
      </c>
      <c r="Q17" s="350">
        <f>'FEEDER Consumption '!AD17</f>
        <v>2300</v>
      </c>
      <c r="R17" s="350">
        <f>'FEEDER Consumption '!AJ17</f>
        <v>482</v>
      </c>
      <c r="S17" s="350">
        <f>'FEEDER Consumption '!AO17</f>
        <v>700</v>
      </c>
      <c r="T17" s="350">
        <f>'FEEDER Consumption '!AT17</f>
        <v>1400</v>
      </c>
      <c r="U17" s="350">
        <f>'FEEDER Consumption '!AY17</f>
        <v>3940</v>
      </c>
      <c r="V17" s="350">
        <f>'FEEDER Consumption '!BI17</f>
        <v>200</v>
      </c>
      <c r="W17" s="350">
        <f>'FEEDER Consumption '!BI17</f>
        <v>200</v>
      </c>
      <c r="X17" s="350">
        <f>'FEEDER Consumption '!BN17</f>
        <v>500</v>
      </c>
      <c r="Y17" s="350">
        <f>'FEEDER Consumption '!BS17</f>
        <v>170</v>
      </c>
      <c r="Z17" s="350">
        <f>'FEEDER Consumption '!BX17</f>
        <v>410</v>
      </c>
      <c r="AA17" s="350">
        <f>'FEEDER Consumption '!CC17</f>
        <v>1100</v>
      </c>
      <c r="AB17" s="350">
        <f>'FEEDER Consumption '!CH17</f>
        <v>480</v>
      </c>
      <c r="AC17" s="350">
        <f>'FEEDER Consumption '!CM17</f>
        <v>920</v>
      </c>
      <c r="AD17" s="350">
        <f>'FEEDER Consumption '!CR17</f>
        <v>700</v>
      </c>
      <c r="AE17" s="350">
        <f>'FEEDER Consumption '!DB17</f>
        <v>1170</v>
      </c>
      <c r="AF17" s="350">
        <f>'FEEDER Consumption '!DB17</f>
        <v>1170</v>
      </c>
      <c r="AG17" s="350">
        <f>'FEEDER Consumption '!DG17</f>
        <v>770</v>
      </c>
      <c r="AH17" s="350">
        <f>'FEEDER Consumption '!DL17</f>
        <v>610</v>
      </c>
      <c r="AI17" s="350">
        <f>'FEEDER Consumption '!DQ17</f>
        <v>270</v>
      </c>
      <c r="AJ17" s="350">
        <f>'FEEDER Consumption '!DV17</f>
        <v>110</v>
      </c>
      <c r="AK17" s="350">
        <f>'FEEDER Consumption '!EA17</f>
        <v>920</v>
      </c>
      <c r="AL17" s="350">
        <f>'FEEDER Consumption '!EF17</f>
        <v>270</v>
      </c>
      <c r="AM17" s="350">
        <f>'FEEDER Consumption '!EK17</f>
        <v>370</v>
      </c>
      <c r="AN17" s="351">
        <f>'FEEDER Consumption '!EP17</f>
        <v>510</v>
      </c>
      <c r="AO17" s="354">
        <f>SUM(WATER!C18,WATER!H18,WATER!M18,WATER!R18)</f>
        <v>1138001</v>
      </c>
      <c r="AP17" s="355">
        <f t="shared" si="2"/>
        <v>486</v>
      </c>
      <c r="AQ17" s="355">
        <f>WATER!D18</f>
        <v>232</v>
      </c>
      <c r="AR17" s="355">
        <f>WATER!I18</f>
        <v>119</v>
      </c>
      <c r="AS17" s="355">
        <f>WATER!N18</f>
        <v>6</v>
      </c>
      <c r="AT17" s="355">
        <f>WATER!S18</f>
        <v>129</v>
      </c>
      <c r="AU17" s="355">
        <f>WATER!AD18</f>
        <v>21</v>
      </c>
      <c r="AV17" s="355">
        <f>WATER!AI18</f>
        <v>6</v>
      </c>
      <c r="AW17" s="355">
        <f>WATER!AN18</f>
        <v>10</v>
      </c>
      <c r="AX17" s="355">
        <f>WATER!AS18</f>
        <v>10</v>
      </c>
      <c r="AY17" s="355">
        <f>WATER!AX18</f>
        <v>8</v>
      </c>
      <c r="AZ17" s="355">
        <f>WATER!BC18</f>
        <v>6</v>
      </c>
      <c r="BA17" s="355">
        <f>WATER!BH18</f>
        <v>10</v>
      </c>
      <c r="BB17" s="355">
        <f>WATER!BM18</f>
        <v>7</v>
      </c>
      <c r="BC17" s="355">
        <f>WATER!BR18</f>
        <v>1</v>
      </c>
      <c r="BD17" s="355">
        <f>WATER!BW18</f>
        <v>0</v>
      </c>
      <c r="BE17" s="355">
        <f>WATER!CB18</f>
        <v>4</v>
      </c>
      <c r="BF17" s="355">
        <f>WATER!CG18</f>
        <v>0</v>
      </c>
      <c r="BG17" s="355">
        <f>WATER!CL18</f>
        <v>24</v>
      </c>
      <c r="BH17" s="355">
        <f>WATER!CQ18</f>
        <v>8</v>
      </c>
      <c r="BI17" s="355">
        <f>WATER!CV18</f>
        <v>1</v>
      </c>
      <c r="BJ17" s="355">
        <f>WATER!DA18</f>
        <v>3</v>
      </c>
      <c r="BK17" s="355">
        <f>WATER!DF18</f>
        <v>3</v>
      </c>
      <c r="BL17" s="355">
        <f>WATER!DK18</f>
        <v>6</v>
      </c>
      <c r="BM17" s="355">
        <f>WATER!DP18</f>
        <v>15</v>
      </c>
      <c r="BN17" s="355">
        <f>WATER!DU18</f>
        <v>2</v>
      </c>
      <c r="BO17" s="355">
        <f>WATER!DZ18</f>
        <v>3</v>
      </c>
      <c r="BP17" s="177">
        <f>'Rooms nights and Food Covers'!B17</f>
        <v>39.799999999999997</v>
      </c>
      <c r="BQ17" s="177">
        <f>'Rooms nights and Food Covers'!C17</f>
        <v>261</v>
      </c>
    </row>
    <row r="18" spans="1:76" ht="45" customHeight="1" x14ac:dyDescent="0.25">
      <c r="A18" s="178">
        <f t="shared" si="0"/>
        <v>44879</v>
      </c>
      <c r="B18" s="371"/>
      <c r="C18" s="348">
        <f>SUM('GENSET #1'!C23+'GENSET #2'!C23+'GENSET #3'!C23+'GENSET #4'!C23+'GENSET #5'!C23)</f>
        <v>104306272</v>
      </c>
      <c r="D18" s="350">
        <f t="shared" si="1"/>
        <v>25401</v>
      </c>
      <c r="E18" s="348">
        <f>'Gas-2'!G19</f>
        <v>270</v>
      </c>
      <c r="F18" s="350">
        <f t="shared" si="3"/>
        <v>135</v>
      </c>
      <c r="G18" s="350">
        <f>'GENSET #1'!D23</f>
        <v>0</v>
      </c>
      <c r="H18" s="350">
        <f>'GENSET #2'!D23</f>
        <v>11347</v>
      </c>
      <c r="I18" s="350">
        <f>'GENSET #3'!D23</f>
        <v>9981</v>
      </c>
      <c r="J18" s="350">
        <f>'GENSET #4'!D23</f>
        <v>0</v>
      </c>
      <c r="K18" s="350">
        <f>'GENSET #5'!D23</f>
        <v>4073</v>
      </c>
      <c r="L18" s="350">
        <f>'FEEDER Consumption '!E18</f>
        <v>3723</v>
      </c>
      <c r="M18" s="350">
        <f>'FEEDER Consumption '!J18</f>
        <v>3855</v>
      </c>
      <c r="N18" s="350">
        <f>'FEEDER Consumption '!O18</f>
        <v>11944</v>
      </c>
      <c r="O18" s="350">
        <f>'FEEDER Consumption '!T18</f>
        <v>2200</v>
      </c>
      <c r="P18" s="350">
        <f>'FEEDER Consumption '!Y18</f>
        <v>2778</v>
      </c>
      <c r="Q18" s="350">
        <f>'FEEDER Consumption '!AD18</f>
        <v>2000</v>
      </c>
      <c r="R18" s="350">
        <f>'FEEDER Consumption '!AJ18</f>
        <v>538</v>
      </c>
      <c r="S18" s="350">
        <f>'FEEDER Consumption '!AO18</f>
        <v>600</v>
      </c>
      <c r="T18" s="350">
        <f>'FEEDER Consumption '!AT18</f>
        <v>1500</v>
      </c>
      <c r="U18" s="350">
        <f>'FEEDER Consumption '!AY18</f>
        <v>3670</v>
      </c>
      <c r="V18" s="350">
        <f>'FEEDER Consumption '!BI18</f>
        <v>300</v>
      </c>
      <c r="W18" s="350">
        <f>'FEEDER Consumption '!BI18</f>
        <v>300</v>
      </c>
      <c r="X18" s="350">
        <f>'FEEDER Consumption '!BN18</f>
        <v>600</v>
      </c>
      <c r="Y18" s="350">
        <f>'FEEDER Consumption '!BS18</f>
        <v>150</v>
      </c>
      <c r="Z18" s="350">
        <f>'FEEDER Consumption '!BX18</f>
        <v>480</v>
      </c>
      <c r="AA18" s="350">
        <f>'FEEDER Consumption '!CC18</f>
        <v>1100</v>
      </c>
      <c r="AB18" s="350">
        <f>'FEEDER Consumption '!CH18</f>
        <v>360</v>
      </c>
      <c r="AC18" s="350">
        <f>'FEEDER Consumption '!CM18</f>
        <v>900</v>
      </c>
      <c r="AD18" s="350">
        <f>'FEEDER Consumption '!CR18</f>
        <v>650</v>
      </c>
      <c r="AE18" s="350">
        <f>'FEEDER Consumption '!DB18</f>
        <v>930</v>
      </c>
      <c r="AF18" s="350">
        <f>'FEEDER Consumption '!DB18</f>
        <v>930</v>
      </c>
      <c r="AG18" s="350">
        <f>'FEEDER Consumption '!DG18</f>
        <v>1600</v>
      </c>
      <c r="AH18" s="350">
        <f>'FEEDER Consumption '!DL18</f>
        <v>640</v>
      </c>
      <c r="AI18" s="350">
        <f>'FEEDER Consumption '!DQ18</f>
        <v>270</v>
      </c>
      <c r="AJ18" s="350">
        <f>'FEEDER Consumption '!DV18</f>
        <v>150</v>
      </c>
      <c r="AK18" s="350">
        <f>'FEEDER Consumption '!EA18</f>
        <v>50</v>
      </c>
      <c r="AL18" s="350">
        <f>'FEEDER Consumption '!EF18</f>
        <v>270</v>
      </c>
      <c r="AM18" s="350">
        <f>'FEEDER Consumption '!EK18</f>
        <v>340</v>
      </c>
      <c r="AN18" s="351">
        <f>'FEEDER Consumption '!EP18</f>
        <v>530</v>
      </c>
      <c r="AO18" s="354">
        <f>SUM(WATER!C19,WATER!H19,WATER!M19,WATER!R19)</f>
        <v>1138391</v>
      </c>
      <c r="AP18" s="355">
        <f t="shared" si="2"/>
        <v>390</v>
      </c>
      <c r="AQ18" s="355">
        <f>WATER!D19</f>
        <v>163</v>
      </c>
      <c r="AR18" s="355">
        <f>WATER!I19</f>
        <v>107</v>
      </c>
      <c r="AS18" s="355">
        <f>WATER!N19</f>
        <v>0</v>
      </c>
      <c r="AT18" s="355">
        <f>WATER!S19</f>
        <v>120</v>
      </c>
      <c r="AU18" s="355">
        <f>WATER!AD19</f>
        <v>22</v>
      </c>
      <c r="AV18" s="355">
        <f>WATER!AI19</f>
        <v>6</v>
      </c>
      <c r="AW18" s="355">
        <f>WATER!AN19</f>
        <v>9</v>
      </c>
      <c r="AX18" s="355">
        <f>WATER!AS19</f>
        <v>11</v>
      </c>
      <c r="AY18" s="355">
        <f>WATER!AX19</f>
        <v>9</v>
      </c>
      <c r="AZ18" s="355">
        <f>WATER!BC19</f>
        <v>6</v>
      </c>
      <c r="BA18" s="355">
        <f>WATER!BH19</f>
        <v>6</v>
      </c>
      <c r="BB18" s="355">
        <f>WATER!BM19</f>
        <v>8</v>
      </c>
      <c r="BC18" s="355">
        <f>WATER!BR19</f>
        <v>1</v>
      </c>
      <c r="BD18" s="355">
        <f>WATER!BW19</f>
        <v>1</v>
      </c>
      <c r="BE18" s="355">
        <f>WATER!CB19</f>
        <v>2</v>
      </c>
      <c r="BF18" s="355">
        <f>WATER!CG19</f>
        <v>1</v>
      </c>
      <c r="BG18" s="355">
        <f>WATER!CL19</f>
        <v>27</v>
      </c>
      <c r="BH18" s="355">
        <f>WATER!CQ19</f>
        <v>11</v>
      </c>
      <c r="BI18" s="355">
        <f>WATER!CV19</f>
        <v>0</v>
      </c>
      <c r="BJ18" s="355">
        <f>WATER!DA19</f>
        <v>15</v>
      </c>
      <c r="BK18" s="355">
        <f>WATER!DF19</f>
        <v>3</v>
      </c>
      <c r="BL18" s="355">
        <f>WATER!DK19</f>
        <v>5</v>
      </c>
      <c r="BM18" s="355">
        <f>WATER!DP19</f>
        <v>15</v>
      </c>
      <c r="BN18" s="355">
        <f>WATER!DU19</f>
        <v>4</v>
      </c>
      <c r="BO18" s="355">
        <f>WATER!DZ19</f>
        <v>5</v>
      </c>
      <c r="BP18" s="177">
        <f>'Rooms nights and Food Covers'!B18</f>
        <v>35.9</v>
      </c>
      <c r="BQ18" s="177">
        <f>'Rooms nights and Food Covers'!C18</f>
        <v>249</v>
      </c>
    </row>
    <row r="19" spans="1:76" ht="45" customHeight="1" x14ac:dyDescent="0.25">
      <c r="A19" s="178">
        <f t="shared" si="0"/>
        <v>44880</v>
      </c>
      <c r="B19" s="371"/>
      <c r="C19" s="348">
        <f>SUM('GENSET #1'!C24+'GENSET #2'!C24+'GENSET #3'!C24+'GENSET #4'!C24+'GENSET #5'!C24)</f>
        <v>104331465</v>
      </c>
      <c r="D19" s="350">
        <f t="shared" si="1"/>
        <v>25193</v>
      </c>
      <c r="E19" s="348">
        <f>'Gas-2'!G20</f>
        <v>225</v>
      </c>
      <c r="F19" s="350" t="str">
        <f t="shared" si="3"/>
        <v>0</v>
      </c>
      <c r="G19" s="350">
        <f>'GENSET #1'!D24</f>
        <v>4034</v>
      </c>
      <c r="H19" s="350">
        <f>'GENSET #2'!D24</f>
        <v>11006</v>
      </c>
      <c r="I19" s="350">
        <f>'GENSET #3'!D24</f>
        <v>6190</v>
      </c>
      <c r="J19" s="350">
        <f>'GENSET #4'!D24</f>
        <v>0</v>
      </c>
      <c r="K19" s="350">
        <f>'GENSET #5'!D24</f>
        <v>3963</v>
      </c>
      <c r="L19" s="350">
        <f>'FEEDER Consumption '!E19</f>
        <v>3701</v>
      </c>
      <c r="M19" s="350">
        <f>'FEEDER Consumption '!J19</f>
        <v>3807</v>
      </c>
      <c r="N19" s="350">
        <f>'FEEDER Consumption '!O19</f>
        <v>11753</v>
      </c>
      <c r="O19" s="350">
        <f>'FEEDER Consumption '!T19</f>
        <v>2300</v>
      </c>
      <c r="P19" s="350">
        <f>'FEEDER Consumption '!Y19</f>
        <v>2881</v>
      </c>
      <c r="Q19" s="350">
        <f>'FEEDER Consumption '!AD19</f>
        <v>1700</v>
      </c>
      <c r="R19" s="350">
        <f>'FEEDER Consumption '!AJ19</f>
        <v>503</v>
      </c>
      <c r="S19" s="350">
        <f>'FEEDER Consumption '!AO19</f>
        <v>700</v>
      </c>
      <c r="T19" s="350">
        <f>'FEEDER Consumption '!AT19</f>
        <v>1300</v>
      </c>
      <c r="U19" s="350">
        <f>'FEEDER Consumption '!AY19</f>
        <v>3720</v>
      </c>
      <c r="V19" s="350">
        <f>'FEEDER Consumption '!BI19</f>
        <v>300</v>
      </c>
      <c r="W19" s="350">
        <f>'FEEDER Consumption '!BI19</f>
        <v>300</v>
      </c>
      <c r="X19" s="350">
        <f>'FEEDER Consumption '!BN19</f>
        <v>500</v>
      </c>
      <c r="Y19" s="350">
        <f>'FEEDER Consumption '!BS19</f>
        <v>160</v>
      </c>
      <c r="Z19" s="350">
        <f>'FEEDER Consumption '!BX19</f>
        <v>430</v>
      </c>
      <c r="AA19" s="350">
        <f>'FEEDER Consumption '!CC19</f>
        <v>1100</v>
      </c>
      <c r="AB19" s="350">
        <f>'FEEDER Consumption '!CH19</f>
        <v>390</v>
      </c>
      <c r="AC19" s="350">
        <f>'FEEDER Consumption '!CM19</f>
        <v>760</v>
      </c>
      <c r="AD19" s="350">
        <f>'FEEDER Consumption '!CR19</f>
        <v>610</v>
      </c>
      <c r="AE19" s="350">
        <f>'FEEDER Consumption '!DB19</f>
        <v>1060</v>
      </c>
      <c r="AF19" s="350">
        <f>'FEEDER Consumption '!DB19</f>
        <v>1060</v>
      </c>
      <c r="AG19" s="350">
        <f>'FEEDER Consumption '!DG19</f>
        <v>0</v>
      </c>
      <c r="AH19" s="350">
        <f>'FEEDER Consumption '!DL19</f>
        <v>620</v>
      </c>
      <c r="AI19" s="350">
        <f>'FEEDER Consumption '!DQ19</f>
        <v>290</v>
      </c>
      <c r="AJ19" s="350">
        <f>'FEEDER Consumption '!DV19</f>
        <v>130</v>
      </c>
      <c r="AK19" s="350">
        <f>'FEEDER Consumption '!EA19</f>
        <v>1800</v>
      </c>
      <c r="AL19" s="350">
        <f>'FEEDER Consumption '!EF19</f>
        <v>270</v>
      </c>
      <c r="AM19" s="350">
        <f>'FEEDER Consumption '!EK19</f>
        <v>350</v>
      </c>
      <c r="AN19" s="351">
        <f>'FEEDER Consumption '!EP19</f>
        <v>510</v>
      </c>
      <c r="AO19" s="354">
        <f>SUM(WATER!C20,WATER!H20,WATER!M20,WATER!R20)</f>
        <v>1138723</v>
      </c>
      <c r="AP19" s="355">
        <f t="shared" si="2"/>
        <v>332</v>
      </c>
      <c r="AQ19" s="355">
        <f>WATER!D20</f>
        <v>148</v>
      </c>
      <c r="AR19" s="355">
        <f>WATER!I20</f>
        <v>57</v>
      </c>
      <c r="AS19" s="355">
        <f>WATER!N20</f>
        <v>0</v>
      </c>
      <c r="AT19" s="355">
        <f>WATER!S20</f>
        <v>127</v>
      </c>
      <c r="AU19" s="355">
        <f>WATER!AD20</f>
        <v>24</v>
      </c>
      <c r="AV19" s="355">
        <f>WATER!AI20</f>
        <v>7</v>
      </c>
      <c r="AW19" s="355">
        <f>WATER!AN20</f>
        <v>10</v>
      </c>
      <c r="AX19" s="355">
        <f>WATER!AS20</f>
        <v>10</v>
      </c>
      <c r="AY19" s="355">
        <f>WATER!AX20</f>
        <v>8</v>
      </c>
      <c r="AZ19" s="355">
        <f>WATER!BC20</f>
        <v>7</v>
      </c>
      <c r="BA19" s="355">
        <f>WATER!BH20</f>
        <v>7</v>
      </c>
      <c r="BB19" s="355">
        <f>WATER!BM20</f>
        <v>6</v>
      </c>
      <c r="BC19" s="355">
        <f>WATER!BR20</f>
        <v>2</v>
      </c>
      <c r="BD19" s="355">
        <f>WATER!BW20</f>
        <v>0</v>
      </c>
      <c r="BE19" s="355">
        <f>WATER!CB20</f>
        <v>5</v>
      </c>
      <c r="BF19" s="355">
        <f>WATER!CG20</f>
        <v>5</v>
      </c>
      <c r="BG19" s="355">
        <f>WATER!CL20</f>
        <v>25</v>
      </c>
      <c r="BH19" s="355">
        <f>WATER!CQ20</f>
        <v>11</v>
      </c>
      <c r="BI19" s="355">
        <f>WATER!CV20</f>
        <v>1</v>
      </c>
      <c r="BJ19" s="355">
        <f>WATER!DA20</f>
        <v>4</v>
      </c>
      <c r="BK19" s="355">
        <f>WATER!DF20</f>
        <v>3</v>
      </c>
      <c r="BL19" s="355">
        <f>WATER!DK20</f>
        <v>3</v>
      </c>
      <c r="BM19" s="355">
        <f>WATER!DP20</f>
        <v>15</v>
      </c>
      <c r="BN19" s="355">
        <f>WATER!DU20</f>
        <v>2</v>
      </c>
      <c r="BO19" s="355">
        <f>WATER!DZ20</f>
        <v>2</v>
      </c>
      <c r="BP19" s="177">
        <f>'Rooms nights and Food Covers'!B19</f>
        <v>46.6</v>
      </c>
      <c r="BQ19" s="177">
        <f>'Rooms nights and Food Covers'!C19</f>
        <v>281</v>
      </c>
    </row>
    <row r="20" spans="1:76" ht="45" customHeight="1" x14ac:dyDescent="0.25">
      <c r="A20" s="178">
        <f t="shared" si="0"/>
        <v>44881</v>
      </c>
      <c r="B20" s="371"/>
      <c r="C20" s="348">
        <f>SUM('GENSET #1'!C25+'GENSET #2'!C25+'GENSET #3'!C25+'GENSET #4'!C25+'GENSET #5'!C25)</f>
        <v>104356349</v>
      </c>
      <c r="D20" s="350">
        <f t="shared" si="1"/>
        <v>24884</v>
      </c>
      <c r="E20" s="348">
        <f>'Gas-2'!G21</f>
        <v>225</v>
      </c>
      <c r="F20" s="350">
        <f t="shared" si="3"/>
        <v>0</v>
      </c>
      <c r="G20" s="350">
        <f>'GENSET #1'!D25</f>
        <v>4805</v>
      </c>
      <c r="H20" s="350">
        <f>'GENSET #2'!D25</f>
        <v>9820</v>
      </c>
      <c r="I20" s="350">
        <f>'GENSET #3'!D25</f>
        <v>5517</v>
      </c>
      <c r="J20" s="350">
        <f>'GENSET #4'!D25</f>
        <v>0</v>
      </c>
      <c r="K20" s="350">
        <f>'GENSET #5'!D25</f>
        <v>4742</v>
      </c>
      <c r="L20" s="350">
        <f>'FEEDER Consumption '!E20</f>
        <v>3615</v>
      </c>
      <c r="M20" s="350">
        <f>'FEEDER Consumption '!J20</f>
        <v>3735</v>
      </c>
      <c r="N20" s="350">
        <f>'FEEDER Consumption '!O20</f>
        <v>11595</v>
      </c>
      <c r="O20" s="350">
        <f>'FEEDER Consumption '!T20</f>
        <v>2200</v>
      </c>
      <c r="P20" s="350">
        <f>'FEEDER Consumption '!Y20</f>
        <v>2793</v>
      </c>
      <c r="Q20" s="350">
        <f>'FEEDER Consumption '!AD20</f>
        <v>1700</v>
      </c>
      <c r="R20" s="350">
        <f>'FEEDER Consumption '!AJ20</f>
        <v>492</v>
      </c>
      <c r="S20" s="350">
        <f>'FEEDER Consumption '!AO20</f>
        <v>700</v>
      </c>
      <c r="T20" s="350">
        <f>'FEEDER Consumption '!AT20</f>
        <v>1600</v>
      </c>
      <c r="U20" s="350">
        <f>'FEEDER Consumption '!AY20</f>
        <v>3640</v>
      </c>
      <c r="V20" s="350">
        <f>'FEEDER Consumption '!BI20</f>
        <v>300</v>
      </c>
      <c r="W20" s="350">
        <f>'FEEDER Consumption '!BI20</f>
        <v>300</v>
      </c>
      <c r="X20" s="350">
        <f>'FEEDER Consumption '!BN20</f>
        <v>500</v>
      </c>
      <c r="Y20" s="350">
        <f>'FEEDER Consumption '!BS20</f>
        <v>340</v>
      </c>
      <c r="Z20" s="350">
        <f>'FEEDER Consumption '!BX20</f>
        <v>410</v>
      </c>
      <c r="AA20" s="350">
        <f>'FEEDER Consumption '!CC20</f>
        <v>1200</v>
      </c>
      <c r="AB20" s="350">
        <f>'FEEDER Consumption '!CH20</f>
        <v>410</v>
      </c>
      <c r="AC20" s="350">
        <f>'FEEDER Consumption '!CM20</f>
        <v>790</v>
      </c>
      <c r="AD20" s="350">
        <f>'FEEDER Consumption '!CR20</f>
        <v>720</v>
      </c>
      <c r="AE20" s="350">
        <f>'FEEDER Consumption '!DB20</f>
        <v>1010</v>
      </c>
      <c r="AF20" s="350">
        <f>'FEEDER Consumption '!DB20</f>
        <v>1010</v>
      </c>
      <c r="AG20" s="350">
        <f>'FEEDER Consumption '!DG20</f>
        <v>780</v>
      </c>
      <c r="AH20" s="350">
        <f>'FEEDER Consumption '!DL20</f>
        <v>540</v>
      </c>
      <c r="AI20" s="350">
        <f>'FEEDER Consumption '!DQ20</f>
        <v>0</v>
      </c>
      <c r="AJ20" s="350">
        <f>'FEEDER Consumption '!DV20</f>
        <v>150</v>
      </c>
      <c r="AK20" s="350">
        <f>'FEEDER Consumption '!EA20</f>
        <v>980</v>
      </c>
      <c r="AL20" s="350">
        <f>'FEEDER Consumption '!EF20</f>
        <v>280</v>
      </c>
      <c r="AM20" s="350">
        <f>'FEEDER Consumption '!EK20</f>
        <v>350</v>
      </c>
      <c r="AN20" s="351">
        <f>'FEEDER Consumption '!EP20</f>
        <v>480</v>
      </c>
      <c r="AO20" s="354">
        <f>SUM(WATER!C21,WATER!H21,WATER!M21,WATER!R21)</f>
        <v>1139049</v>
      </c>
      <c r="AP20" s="355">
        <f t="shared" si="2"/>
        <v>326</v>
      </c>
      <c r="AQ20" s="355">
        <f>WATER!D21</f>
        <v>172</v>
      </c>
      <c r="AR20" s="355">
        <f>WATER!I21</f>
        <v>67</v>
      </c>
      <c r="AS20" s="355">
        <f>WATER!N21</f>
        <v>0</v>
      </c>
      <c r="AT20" s="355">
        <f>WATER!S21</f>
        <v>87</v>
      </c>
      <c r="AU20" s="355">
        <f>WATER!AD21</f>
        <v>25</v>
      </c>
      <c r="AV20" s="355">
        <f>WATER!AI21</f>
        <v>4</v>
      </c>
      <c r="AW20" s="355">
        <f>WATER!AN21</f>
        <v>10</v>
      </c>
      <c r="AX20" s="355">
        <f>WATER!AS21</f>
        <v>10</v>
      </c>
      <c r="AY20" s="355">
        <f>WATER!AX21</f>
        <v>8</v>
      </c>
      <c r="AZ20" s="355">
        <f>WATER!BC21</f>
        <v>7</v>
      </c>
      <c r="BA20" s="355">
        <f>WATER!BH21</f>
        <v>8</v>
      </c>
      <c r="BB20" s="355">
        <f>WATER!BM21</f>
        <v>7</v>
      </c>
      <c r="BC20" s="355">
        <f>WATER!BR21</f>
        <v>1</v>
      </c>
      <c r="BD20" s="355">
        <f>WATER!BW21</f>
        <v>0</v>
      </c>
      <c r="BE20" s="355">
        <f>WATER!CB21</f>
        <v>4</v>
      </c>
      <c r="BF20" s="355">
        <f>WATER!CG21</f>
        <v>3</v>
      </c>
      <c r="BG20" s="355">
        <f>WATER!CL21</f>
        <v>26</v>
      </c>
      <c r="BH20" s="355">
        <f>WATER!CQ21</f>
        <v>7</v>
      </c>
      <c r="BI20" s="355">
        <f>WATER!CV21</f>
        <v>1</v>
      </c>
      <c r="BJ20" s="355">
        <f>WATER!DA21</f>
        <v>3</v>
      </c>
      <c r="BK20" s="355">
        <f>WATER!DF21</f>
        <v>3</v>
      </c>
      <c r="BL20" s="355">
        <f>WATER!DK21</f>
        <v>3</v>
      </c>
      <c r="BM20" s="355">
        <f>WATER!DP21</f>
        <v>15</v>
      </c>
      <c r="BN20" s="355">
        <f>WATER!DU21</f>
        <v>2</v>
      </c>
      <c r="BO20" s="355">
        <f>WATER!DZ21</f>
        <v>1</v>
      </c>
      <c r="BP20" s="177">
        <f>'Rooms nights and Food Covers'!B20</f>
        <v>49.5</v>
      </c>
      <c r="BQ20" s="177">
        <f>'Rooms nights and Food Covers'!C20</f>
        <v>276</v>
      </c>
    </row>
    <row r="21" spans="1:76" ht="45" customHeight="1" x14ac:dyDescent="0.25">
      <c r="A21" s="178">
        <f t="shared" si="0"/>
        <v>44882</v>
      </c>
      <c r="B21" s="371"/>
      <c r="C21" s="348">
        <f>SUM('GENSET #1'!C26+'GENSET #2'!C26+'GENSET #3'!C26+'GENSET #4'!C26+'GENSET #5'!C26)</f>
        <v>104379902</v>
      </c>
      <c r="D21" s="350">
        <f t="shared" si="1"/>
        <v>23553</v>
      </c>
      <c r="E21" s="348">
        <f>'Gas-2'!G22</f>
        <v>180</v>
      </c>
      <c r="F21" s="350" t="str">
        <f t="shared" si="3"/>
        <v>0</v>
      </c>
      <c r="G21" s="350">
        <f>'GENSET #1'!D26</f>
        <v>5186</v>
      </c>
      <c r="H21" s="350">
        <f>'GENSET #2'!D26</f>
        <v>8501</v>
      </c>
      <c r="I21" s="350">
        <f>'GENSET #3'!D26</f>
        <v>4797</v>
      </c>
      <c r="J21" s="350">
        <f>'GENSET #4'!D26</f>
        <v>0</v>
      </c>
      <c r="K21" s="350">
        <f>'GENSET #5'!D26</f>
        <v>5069</v>
      </c>
      <c r="L21" s="350">
        <f>'FEEDER Consumption '!E21</f>
        <v>3493</v>
      </c>
      <c r="M21" s="350">
        <f>'FEEDER Consumption '!J21</f>
        <v>3606</v>
      </c>
      <c r="N21" s="350">
        <f>'FEEDER Consumption '!O21</f>
        <v>10734</v>
      </c>
      <c r="O21" s="350">
        <f>'FEEDER Consumption '!T21</f>
        <v>2100</v>
      </c>
      <c r="P21" s="350">
        <f>'FEEDER Consumption '!Y21</f>
        <v>2736</v>
      </c>
      <c r="Q21" s="350">
        <f>'FEEDER Consumption '!AD21</f>
        <v>1400</v>
      </c>
      <c r="R21" s="350">
        <f>'FEEDER Consumption '!AJ21</f>
        <v>499</v>
      </c>
      <c r="S21" s="350">
        <f>'FEEDER Consumption '!AO21</f>
        <v>700</v>
      </c>
      <c r="T21" s="350">
        <f>'FEEDER Consumption '!AT21</f>
        <v>1500</v>
      </c>
      <c r="U21" s="350">
        <f>'FEEDER Consumption '!AY21</f>
        <v>3370</v>
      </c>
      <c r="V21" s="350">
        <f>'FEEDER Consumption '!BI21</f>
        <v>200</v>
      </c>
      <c r="W21" s="350">
        <f>'FEEDER Consumption '!BI21</f>
        <v>200</v>
      </c>
      <c r="X21" s="350">
        <f>'FEEDER Consumption '!BN21</f>
        <v>500</v>
      </c>
      <c r="Y21" s="350">
        <f>'FEEDER Consumption '!BS21</f>
        <v>0</v>
      </c>
      <c r="Z21" s="350">
        <f>'FEEDER Consumption '!BX21</f>
        <v>430</v>
      </c>
      <c r="AA21" s="350">
        <f>'FEEDER Consumption '!CC21</f>
        <v>1100</v>
      </c>
      <c r="AB21" s="350">
        <f>'FEEDER Consumption '!CH21</f>
        <v>440</v>
      </c>
      <c r="AC21" s="350">
        <f>'FEEDER Consumption '!CM21</f>
        <v>750</v>
      </c>
      <c r="AD21" s="350">
        <f>'FEEDER Consumption '!CR21</f>
        <v>550</v>
      </c>
      <c r="AE21" s="350">
        <f>'FEEDER Consumption '!DB21</f>
        <v>1040</v>
      </c>
      <c r="AF21" s="350">
        <f>'FEEDER Consumption '!DB21</f>
        <v>1040</v>
      </c>
      <c r="AG21" s="350">
        <f>'FEEDER Consumption '!DG21</f>
        <v>590</v>
      </c>
      <c r="AH21" s="350">
        <f>'FEEDER Consumption '!DL21</f>
        <v>580</v>
      </c>
      <c r="AI21" s="350">
        <f>'FEEDER Consumption '!DQ21</f>
        <v>270</v>
      </c>
      <c r="AJ21" s="350">
        <f>'FEEDER Consumption '!DV21</f>
        <v>130</v>
      </c>
      <c r="AK21" s="350">
        <f>'FEEDER Consumption '!EA21</f>
        <v>890</v>
      </c>
      <c r="AL21" s="350">
        <f>'FEEDER Consumption '!EF21</f>
        <v>250</v>
      </c>
      <c r="AM21" s="350">
        <f>'FEEDER Consumption '!EK21</f>
        <v>320</v>
      </c>
      <c r="AN21" s="351">
        <f>'FEEDER Consumption '!EP21</f>
        <v>0</v>
      </c>
      <c r="AO21" s="354">
        <f>SUM(WATER!C22,WATER!H22,WATER!M22,WATER!R22)</f>
        <v>1139361</v>
      </c>
      <c r="AP21" s="355">
        <f t="shared" si="2"/>
        <v>312</v>
      </c>
      <c r="AQ21" s="355">
        <f>WATER!D22</f>
        <v>184</v>
      </c>
      <c r="AR21" s="355">
        <f>WATER!I22</f>
        <v>89</v>
      </c>
      <c r="AS21" s="355">
        <f>WATER!N22</f>
        <v>39</v>
      </c>
      <c r="AT21" s="355">
        <f>WATER!S22</f>
        <v>0</v>
      </c>
      <c r="AU21" s="355">
        <f>WATER!AD22</f>
        <v>22</v>
      </c>
      <c r="AV21" s="355">
        <f>WATER!AI22</f>
        <v>0</v>
      </c>
      <c r="AW21" s="355">
        <f>WATER!AN22</f>
        <v>8</v>
      </c>
      <c r="AX21" s="355">
        <f>WATER!AS22</f>
        <v>11</v>
      </c>
      <c r="AY21" s="355">
        <f>WATER!AX22</f>
        <v>8</v>
      </c>
      <c r="AZ21" s="355">
        <f>WATER!BC22</f>
        <v>6</v>
      </c>
      <c r="BA21" s="355">
        <f>WATER!BH22</f>
        <v>8</v>
      </c>
      <c r="BB21" s="355">
        <f>WATER!BM22</f>
        <v>9</v>
      </c>
      <c r="BC21" s="355">
        <f>WATER!BR22</f>
        <v>2</v>
      </c>
      <c r="BD21" s="355">
        <f>WATER!BW22</f>
        <v>0</v>
      </c>
      <c r="BE21" s="355">
        <f>WATER!CB22</f>
        <v>1</v>
      </c>
      <c r="BF21" s="355">
        <f>WATER!CG22</f>
        <v>0</v>
      </c>
      <c r="BG21" s="355">
        <f>WATER!CL22</f>
        <v>26</v>
      </c>
      <c r="BH21" s="355">
        <f>WATER!CQ22</f>
        <v>12</v>
      </c>
      <c r="BI21" s="355">
        <f>WATER!CV22</f>
        <v>0</v>
      </c>
      <c r="BJ21" s="355">
        <f>WATER!DA22</f>
        <v>1</v>
      </c>
      <c r="BK21" s="355">
        <f>WATER!DF22</f>
        <v>2</v>
      </c>
      <c r="BL21" s="355">
        <f>WATER!DK22</f>
        <v>2</v>
      </c>
      <c r="BM21" s="355">
        <f>WATER!DP22</f>
        <v>15</v>
      </c>
      <c r="BN21" s="355">
        <f>WATER!DU22</f>
        <v>2</v>
      </c>
      <c r="BO21" s="355">
        <f>WATER!DZ22</f>
        <v>2</v>
      </c>
      <c r="BP21" s="177">
        <f>'Rooms nights and Food Covers'!B21</f>
        <v>41.7</v>
      </c>
      <c r="BQ21" s="177">
        <f>'Rooms nights and Food Covers'!C21</f>
        <v>255</v>
      </c>
    </row>
    <row r="22" spans="1:76" ht="45" customHeight="1" x14ac:dyDescent="0.25">
      <c r="A22" s="178">
        <f t="shared" si="0"/>
        <v>44883</v>
      </c>
      <c r="B22" s="371"/>
      <c r="C22" s="348">
        <f>SUM('GENSET #1'!C27+'GENSET #2'!C27+'GENSET #3'!C27+'GENSET #4'!C27+'GENSET #5'!C27)</f>
        <v>104402876</v>
      </c>
      <c r="D22" s="350">
        <f t="shared" si="1"/>
        <v>22974</v>
      </c>
      <c r="E22" s="348">
        <f>'Gas-2'!G23</f>
        <v>180</v>
      </c>
      <c r="F22" s="350">
        <f t="shared" si="3"/>
        <v>0</v>
      </c>
      <c r="G22" s="350">
        <f>'GENSET #1'!D27</f>
        <v>4412</v>
      </c>
      <c r="H22" s="350">
        <f>'GENSET #2'!D27</f>
        <v>9174</v>
      </c>
      <c r="I22" s="350">
        <f>'GENSET #3'!D27</f>
        <v>4951</v>
      </c>
      <c r="J22" s="350">
        <f>'GENSET #4'!D27</f>
        <v>0</v>
      </c>
      <c r="K22" s="350">
        <f>'GENSET #5'!D27</f>
        <v>4437</v>
      </c>
      <c r="L22" s="350">
        <f>'FEEDER Consumption '!E22</f>
        <v>3400</v>
      </c>
      <c r="M22" s="350">
        <f>'FEEDER Consumption '!J22</f>
        <v>3135</v>
      </c>
      <c r="N22" s="350">
        <f>'FEEDER Consumption '!O22</f>
        <v>10736</v>
      </c>
      <c r="O22" s="350">
        <f>'FEEDER Consumption '!T22</f>
        <v>2100</v>
      </c>
      <c r="P22" s="350">
        <f>'FEEDER Consumption '!Y22</f>
        <v>2781</v>
      </c>
      <c r="Q22" s="350">
        <f>'FEEDER Consumption '!AD22</f>
        <v>1200</v>
      </c>
      <c r="R22" s="350">
        <f>'FEEDER Consumption '!AJ22</f>
        <v>506</v>
      </c>
      <c r="S22" s="350">
        <f>'FEEDER Consumption '!AO22</f>
        <v>600</v>
      </c>
      <c r="T22" s="350">
        <f>'FEEDER Consumption '!AT22</f>
        <v>1600</v>
      </c>
      <c r="U22" s="350">
        <f>'FEEDER Consumption '!AY22</f>
        <v>3220</v>
      </c>
      <c r="V22" s="350">
        <f>'FEEDER Consumption '!BI22</f>
        <v>300</v>
      </c>
      <c r="W22" s="350">
        <f>'FEEDER Consumption '!BI22</f>
        <v>300</v>
      </c>
      <c r="X22" s="350">
        <f>'FEEDER Consumption '!BN22</f>
        <v>500</v>
      </c>
      <c r="Y22" s="350">
        <f>'FEEDER Consumption '!BS22</f>
        <v>120</v>
      </c>
      <c r="Z22" s="350">
        <f>'FEEDER Consumption '!BX22</f>
        <v>450</v>
      </c>
      <c r="AA22" s="350">
        <f>'FEEDER Consumption '!CC22</f>
        <v>1100</v>
      </c>
      <c r="AB22" s="350">
        <f>'FEEDER Consumption '!CH22</f>
        <v>330</v>
      </c>
      <c r="AC22" s="350">
        <f>'FEEDER Consumption '!CM22</f>
        <v>670</v>
      </c>
      <c r="AD22" s="350">
        <f>'FEEDER Consumption '!CR22</f>
        <v>410</v>
      </c>
      <c r="AE22" s="350">
        <f>'FEEDER Consumption '!DB22</f>
        <v>1730</v>
      </c>
      <c r="AF22" s="350">
        <f>'FEEDER Consumption '!DB22</f>
        <v>1730</v>
      </c>
      <c r="AG22" s="350">
        <f>'FEEDER Consumption '!DG22</f>
        <v>640</v>
      </c>
      <c r="AH22" s="350">
        <f>'FEEDER Consumption '!DL22</f>
        <v>540</v>
      </c>
      <c r="AI22" s="350">
        <f>'FEEDER Consumption '!DQ22</f>
        <v>560</v>
      </c>
      <c r="AJ22" s="350">
        <f>'FEEDER Consumption '!DV22</f>
        <v>170</v>
      </c>
      <c r="AK22" s="350">
        <f>'FEEDER Consumption '!EA22</f>
        <v>940</v>
      </c>
      <c r="AL22" s="350">
        <f>'FEEDER Consumption '!EF22</f>
        <v>290</v>
      </c>
      <c r="AM22" s="350">
        <f>'FEEDER Consumption '!EK22</f>
        <v>260</v>
      </c>
      <c r="AN22" s="351">
        <f>'FEEDER Consumption '!EP22</f>
        <v>1010</v>
      </c>
      <c r="AO22" s="354">
        <f>SUM(WATER!C23,WATER!H23,WATER!M23,WATER!R23)</f>
        <v>1139643</v>
      </c>
      <c r="AP22" s="355">
        <f t="shared" si="2"/>
        <v>282</v>
      </c>
      <c r="AQ22" s="355">
        <f>WATER!D23</f>
        <v>194</v>
      </c>
      <c r="AR22" s="355">
        <f>WATER!I23</f>
        <v>33</v>
      </c>
      <c r="AS22" s="355">
        <f>WATER!N23</f>
        <v>28</v>
      </c>
      <c r="AT22" s="355">
        <f>WATER!S23</f>
        <v>27</v>
      </c>
      <c r="AU22" s="355">
        <f>WATER!AD23</f>
        <v>24</v>
      </c>
      <c r="AV22" s="355">
        <f>WATER!AI23</f>
        <v>0</v>
      </c>
      <c r="AW22" s="355">
        <f>WATER!AN23</f>
        <v>8</v>
      </c>
      <c r="AX22" s="355">
        <f>WATER!AS23</f>
        <v>10</v>
      </c>
      <c r="AY22" s="355">
        <f>WATER!AX23</f>
        <v>8</v>
      </c>
      <c r="AZ22" s="355">
        <f>WATER!BC23</f>
        <v>13</v>
      </c>
      <c r="BA22" s="355">
        <f>WATER!BH23</f>
        <v>7</v>
      </c>
      <c r="BB22" s="355">
        <f>WATER!BM23</f>
        <v>8</v>
      </c>
      <c r="BC22" s="355">
        <f>WATER!BR23</f>
        <v>2</v>
      </c>
      <c r="BD22" s="355">
        <f>WATER!BW23</f>
        <v>1</v>
      </c>
      <c r="BE22" s="355">
        <f>WATER!CB23</f>
        <v>5</v>
      </c>
      <c r="BF22" s="355">
        <f>WATER!CG23</f>
        <v>3</v>
      </c>
      <c r="BG22" s="355">
        <f>WATER!CL23</f>
        <v>25</v>
      </c>
      <c r="BH22" s="355">
        <f>WATER!CQ23</f>
        <v>10</v>
      </c>
      <c r="BI22" s="355">
        <f>WATER!CV23</f>
        <v>1</v>
      </c>
      <c r="BJ22" s="355">
        <f>WATER!DA23</f>
        <v>4</v>
      </c>
      <c r="BK22" s="355">
        <f>WATER!DF23</f>
        <v>2</v>
      </c>
      <c r="BL22" s="355">
        <f>WATER!DK23</f>
        <v>3</v>
      </c>
      <c r="BM22" s="355">
        <f>WATER!DP23</f>
        <v>15</v>
      </c>
      <c r="BN22" s="355">
        <f>WATER!DU23</f>
        <v>2</v>
      </c>
      <c r="BO22" s="355">
        <f>WATER!DZ23</f>
        <v>1</v>
      </c>
      <c r="BP22" s="177">
        <f>'Rooms nights and Food Covers'!B22</f>
        <v>31.1</v>
      </c>
      <c r="BQ22" s="177">
        <f>'Rooms nights and Food Covers'!C22</f>
        <v>221</v>
      </c>
    </row>
    <row r="23" spans="1:76" ht="45" customHeight="1" x14ac:dyDescent="0.25">
      <c r="A23" s="178">
        <f t="shared" si="0"/>
        <v>44884</v>
      </c>
      <c r="B23" s="371"/>
      <c r="C23" s="348">
        <f>SUM('GENSET #1'!C28+'GENSET #2'!C28+'GENSET #3'!C28+'GENSET #4'!C28+'GENSET #5'!C28)</f>
        <v>104426507</v>
      </c>
      <c r="D23" s="350">
        <f>IF((C23-C22&lt;0), "0",C23-C22)</f>
        <v>23631</v>
      </c>
      <c r="E23" s="348">
        <f>'Gas-2'!G24</f>
        <v>225</v>
      </c>
      <c r="F23" s="350">
        <f t="shared" si="3"/>
        <v>45</v>
      </c>
      <c r="G23" s="350">
        <f>'GENSET #1'!D28</f>
        <v>2976</v>
      </c>
      <c r="H23" s="350">
        <f>'GENSET #2'!D28</f>
        <v>13302</v>
      </c>
      <c r="I23" s="350">
        <f>'GENSET #3'!D28</f>
        <v>4409</v>
      </c>
      <c r="J23" s="350">
        <f>'GENSET #4'!D28</f>
        <v>0</v>
      </c>
      <c r="K23" s="350">
        <f>'GENSET #5'!D28</f>
        <v>2944</v>
      </c>
      <c r="L23" s="350">
        <f>'FEEDER Consumption '!E23</f>
        <v>3526</v>
      </c>
      <c r="M23" s="350">
        <f>'FEEDER Consumption '!J23</f>
        <v>3794</v>
      </c>
      <c r="N23" s="350">
        <f>'FEEDER Consumption '!O23</f>
        <v>10534</v>
      </c>
      <c r="O23" s="350">
        <f>'FEEDER Consumption '!T23</f>
        <v>2300</v>
      </c>
      <c r="P23" s="350">
        <f>'FEEDER Consumption '!Y23</f>
        <v>2889</v>
      </c>
      <c r="Q23" s="350">
        <f>'FEEDER Consumption '!AD23</f>
        <v>1500</v>
      </c>
      <c r="R23" s="350">
        <f>'FEEDER Consumption '!AJ23</f>
        <v>453</v>
      </c>
      <c r="S23" s="350">
        <f>'FEEDER Consumption '!AO23</f>
        <v>700</v>
      </c>
      <c r="T23" s="350">
        <f>'FEEDER Consumption '!AT23</f>
        <v>1300</v>
      </c>
      <c r="U23" s="350">
        <f>'FEEDER Consumption '!AY23</f>
        <v>3360</v>
      </c>
      <c r="V23" s="350">
        <f>'FEEDER Consumption '!BI23</f>
        <v>200</v>
      </c>
      <c r="W23" s="350">
        <f>'FEEDER Consumption '!BI23</f>
        <v>200</v>
      </c>
      <c r="X23" s="350">
        <f>'FEEDER Consumption '!BN23</f>
        <v>500</v>
      </c>
      <c r="Y23" s="350">
        <f>'FEEDER Consumption '!BS23</f>
        <v>130</v>
      </c>
      <c r="Z23" s="350">
        <f>'FEEDER Consumption '!BX23</f>
        <v>420</v>
      </c>
      <c r="AA23" s="350">
        <f>'FEEDER Consumption '!CC23</f>
        <v>1200</v>
      </c>
      <c r="AB23" s="350">
        <f>'FEEDER Consumption '!CH23</f>
        <v>400</v>
      </c>
      <c r="AC23" s="350">
        <f>'FEEDER Consumption '!CM23</f>
        <v>850</v>
      </c>
      <c r="AD23" s="350">
        <f>'FEEDER Consumption '!CR23</f>
        <v>580</v>
      </c>
      <c r="AE23" s="350">
        <f>'FEEDER Consumption '!DB23</f>
        <v>1010</v>
      </c>
      <c r="AF23" s="350">
        <f>'FEEDER Consumption '!DB23</f>
        <v>1010</v>
      </c>
      <c r="AG23" s="350">
        <f>'FEEDER Consumption '!DG23</f>
        <v>730</v>
      </c>
      <c r="AH23" s="350">
        <f>'FEEDER Consumption '!DL23</f>
        <v>690</v>
      </c>
      <c r="AI23" s="350">
        <f>'FEEDER Consumption '!DQ23</f>
        <v>280</v>
      </c>
      <c r="AJ23" s="350">
        <f>'FEEDER Consumption '!DV23</f>
        <v>140</v>
      </c>
      <c r="AK23" s="350">
        <f>'FEEDER Consumption '!EA23</f>
        <v>960</v>
      </c>
      <c r="AL23" s="350">
        <f>'FEEDER Consumption '!EF23</f>
        <v>290</v>
      </c>
      <c r="AM23" s="350">
        <f>'FEEDER Consumption '!EK23</f>
        <v>330</v>
      </c>
      <c r="AN23" s="351">
        <f>'FEEDER Consumption '!EP23</f>
        <v>540</v>
      </c>
      <c r="AO23" s="354">
        <f>SUM(WATER!C24,WATER!H24,WATER!M24,WATER!R24)</f>
        <v>1139876</v>
      </c>
      <c r="AP23" s="355">
        <f t="shared" si="2"/>
        <v>233</v>
      </c>
      <c r="AQ23" s="355">
        <f>WATER!D24</f>
        <v>103</v>
      </c>
      <c r="AR23" s="355">
        <f>WATER!I24</f>
        <v>0</v>
      </c>
      <c r="AS23" s="355">
        <f>WATER!N24</f>
        <v>0</v>
      </c>
      <c r="AT23" s="355">
        <f>WATER!S24</f>
        <v>130</v>
      </c>
      <c r="AU23" s="355">
        <f>WATER!AD24</f>
        <v>30</v>
      </c>
      <c r="AV23" s="355">
        <f>WATER!AI24</f>
        <v>20</v>
      </c>
      <c r="AW23" s="355">
        <f>WATER!AN24</f>
        <v>8</v>
      </c>
      <c r="AX23" s="355">
        <f>WATER!AS24</f>
        <v>5</v>
      </c>
      <c r="AY23" s="355">
        <f>WATER!AX24</f>
        <v>11</v>
      </c>
      <c r="AZ23" s="355">
        <f>WATER!BC24</f>
        <v>0</v>
      </c>
      <c r="BA23" s="355">
        <f>WATER!BH24</f>
        <v>6</v>
      </c>
      <c r="BB23" s="355">
        <f>WATER!BM24</f>
        <v>6</v>
      </c>
      <c r="BC23" s="355">
        <f>WATER!BR24</f>
        <v>2</v>
      </c>
      <c r="BD23" s="355">
        <f>WATER!BW24</f>
        <v>0</v>
      </c>
      <c r="BE23" s="355">
        <f>WATER!CB24</f>
        <v>1</v>
      </c>
      <c r="BF23" s="355">
        <f>WATER!CG24</f>
        <v>2</v>
      </c>
      <c r="BG23" s="355">
        <f>WATER!CL24</f>
        <v>23</v>
      </c>
      <c r="BH23" s="355">
        <f>WATER!CQ24</f>
        <v>9</v>
      </c>
      <c r="BI23" s="355">
        <f>WATER!CV24</f>
        <v>1</v>
      </c>
      <c r="BJ23" s="355">
        <f>WATER!DA24</f>
        <v>1</v>
      </c>
      <c r="BK23" s="355">
        <f>WATER!DF24</f>
        <v>3</v>
      </c>
      <c r="BL23" s="355">
        <f>WATER!DK24</f>
        <v>0</v>
      </c>
      <c r="BM23" s="355">
        <f>WATER!DP24</f>
        <v>15</v>
      </c>
      <c r="BN23" s="355">
        <f>WATER!DU24</f>
        <v>1</v>
      </c>
      <c r="BO23" s="355">
        <f>WATER!DZ24</f>
        <v>1</v>
      </c>
      <c r="BP23" s="177">
        <f>'Rooms nights and Food Covers'!B23</f>
        <v>33</v>
      </c>
      <c r="BQ23" s="177">
        <f>'Rooms nights and Food Covers'!C23</f>
        <v>241</v>
      </c>
    </row>
    <row r="24" spans="1:76" ht="45" customHeight="1" x14ac:dyDescent="0.25">
      <c r="A24" s="178">
        <f t="shared" si="0"/>
        <v>44885</v>
      </c>
      <c r="B24" s="371"/>
      <c r="C24" s="348">
        <f>SUM('GENSET #1'!C29+'GENSET #2'!C29+'GENSET #3'!C29+'GENSET #4'!C29+'GENSET #5'!C29)</f>
        <v>104449527</v>
      </c>
      <c r="D24" s="350">
        <f t="shared" ref="D24:D33" si="4">IF((C24-C23&lt;0), "0",C24-C23)</f>
        <v>23020</v>
      </c>
      <c r="E24" s="348">
        <f>'Gas-2'!G25</f>
        <v>180</v>
      </c>
      <c r="F24" s="350" t="str">
        <f t="shared" si="3"/>
        <v>0</v>
      </c>
      <c r="G24" s="350">
        <f>'GENSET #1'!D29</f>
        <v>4815</v>
      </c>
      <c r="H24" s="350">
        <f>'GENSET #2'!D29</f>
        <v>10176</v>
      </c>
      <c r="I24" s="350">
        <f>'GENSET #3'!D29</f>
        <v>3219</v>
      </c>
      <c r="J24" s="350">
        <f>'GENSET #4'!D29</f>
        <v>0</v>
      </c>
      <c r="K24" s="350">
        <f>'GENSET #5'!D29</f>
        <v>4810</v>
      </c>
      <c r="L24" s="350">
        <f>'FEEDER Consumption '!E24</f>
        <v>3077</v>
      </c>
      <c r="M24" s="350">
        <f>'FEEDER Consumption '!J24</f>
        <v>3102</v>
      </c>
      <c r="N24" s="350">
        <f>'FEEDER Consumption '!O24</f>
        <v>11259</v>
      </c>
      <c r="O24" s="350">
        <f>'FEEDER Consumption '!T24</f>
        <v>2100</v>
      </c>
      <c r="P24" s="350">
        <f>'FEEDER Consumption '!Y24</f>
        <v>2575</v>
      </c>
      <c r="Q24" s="350">
        <f>'FEEDER Consumption '!AD24</f>
        <v>1500</v>
      </c>
      <c r="R24" s="350">
        <f>'FEEDER Consumption '!AJ24</f>
        <v>487</v>
      </c>
      <c r="S24" s="350">
        <f>'FEEDER Consumption '!AO24</f>
        <v>700</v>
      </c>
      <c r="T24" s="350">
        <f>'FEEDER Consumption '!AT24</f>
        <v>1600</v>
      </c>
      <c r="U24" s="350">
        <f>'FEEDER Consumption '!AY24</f>
        <v>3200</v>
      </c>
      <c r="V24" s="350">
        <f>'FEEDER Consumption '!BI24</f>
        <v>300</v>
      </c>
      <c r="W24" s="350">
        <f>'FEEDER Consumption '!BI24</f>
        <v>300</v>
      </c>
      <c r="X24" s="350">
        <f>'FEEDER Consumption '!BN24</f>
        <v>500</v>
      </c>
      <c r="Y24" s="350">
        <f>'FEEDER Consumption '!BS24</f>
        <v>140</v>
      </c>
      <c r="Z24" s="350">
        <f>'FEEDER Consumption '!BX24</f>
        <v>470</v>
      </c>
      <c r="AA24" s="350">
        <f>'FEEDER Consumption '!CC24</f>
        <v>1000</v>
      </c>
      <c r="AB24" s="350">
        <f>'FEEDER Consumption '!CH24</f>
        <v>390</v>
      </c>
      <c r="AC24" s="350">
        <f>'FEEDER Consumption '!CM24</f>
        <v>630</v>
      </c>
      <c r="AD24" s="350">
        <f>'FEEDER Consumption '!CR24</f>
        <v>460</v>
      </c>
      <c r="AE24" s="350">
        <f>'FEEDER Consumption '!DB24</f>
        <v>790</v>
      </c>
      <c r="AF24" s="350">
        <f>'FEEDER Consumption '!DB24</f>
        <v>790</v>
      </c>
      <c r="AG24" s="350">
        <f>'FEEDER Consumption '!DG24</f>
        <v>580</v>
      </c>
      <c r="AH24" s="350">
        <f>'FEEDER Consumption '!DL24</f>
        <v>470</v>
      </c>
      <c r="AI24" s="350">
        <f>'FEEDER Consumption '!DQ24</f>
        <v>330</v>
      </c>
      <c r="AJ24" s="350">
        <f>'FEEDER Consumption '!DV24</f>
        <v>120</v>
      </c>
      <c r="AK24" s="350">
        <f>'FEEDER Consumption '!EA24</f>
        <v>910</v>
      </c>
      <c r="AL24" s="350">
        <f>'FEEDER Consumption '!EF24</f>
        <v>270</v>
      </c>
      <c r="AM24" s="350">
        <f>'FEEDER Consumption '!EK24</f>
        <v>330</v>
      </c>
      <c r="AN24" s="351">
        <f>'FEEDER Consumption '!EP24</f>
        <v>0</v>
      </c>
      <c r="AO24" s="354">
        <f>SUM(WATER!C25,WATER!H25,WATER!M25,WATER!R25)</f>
        <v>1140174</v>
      </c>
      <c r="AP24" s="355">
        <f t="shared" si="2"/>
        <v>298</v>
      </c>
      <c r="AQ24" s="355">
        <f>WATER!D25</f>
        <v>220</v>
      </c>
      <c r="AR24" s="355">
        <f>WATER!I25</f>
        <v>61</v>
      </c>
      <c r="AS24" s="355">
        <f>WATER!N25</f>
        <v>0</v>
      </c>
      <c r="AT24" s="355">
        <f>WATER!S25</f>
        <v>17</v>
      </c>
      <c r="AU24" s="355">
        <f>WATER!AD25</f>
        <v>25</v>
      </c>
      <c r="AV24" s="355">
        <f>WATER!AI25</f>
        <v>5</v>
      </c>
      <c r="AW24" s="355">
        <f>WATER!AN25</f>
        <v>8</v>
      </c>
      <c r="AX24" s="355">
        <f>WATER!AS25</f>
        <v>24</v>
      </c>
      <c r="AY24" s="355">
        <f>WATER!AX25</f>
        <v>8</v>
      </c>
      <c r="AZ24" s="355">
        <f>WATER!BC25</f>
        <v>6</v>
      </c>
      <c r="BA24" s="355">
        <f>WATER!BH25</f>
        <v>1</v>
      </c>
      <c r="BB24" s="355">
        <f>WATER!BM25</f>
        <v>6</v>
      </c>
      <c r="BC24" s="355">
        <f>WATER!BR25</f>
        <v>2</v>
      </c>
      <c r="BD24" s="355">
        <f>WATER!BW25</f>
        <v>0</v>
      </c>
      <c r="BE24" s="355">
        <f>WATER!CB25</f>
        <v>3</v>
      </c>
      <c r="BF24" s="355">
        <f>WATER!CG25</f>
        <v>1</v>
      </c>
      <c r="BG24" s="355">
        <f>WATER!CL25</f>
        <v>25</v>
      </c>
      <c r="BH24" s="355">
        <f>WATER!CQ25</f>
        <v>7</v>
      </c>
      <c r="BI24" s="355">
        <f>WATER!CV25</f>
        <v>1</v>
      </c>
      <c r="BJ24" s="355">
        <f>WATER!DA25</f>
        <v>5</v>
      </c>
      <c r="BK24" s="355">
        <f>WATER!DF25</f>
        <v>3</v>
      </c>
      <c r="BL24" s="355">
        <f>WATER!DK25</f>
        <v>4</v>
      </c>
      <c r="BM24" s="355">
        <f>WATER!DP25</f>
        <v>15</v>
      </c>
      <c r="BN24" s="355">
        <f>WATER!DU25</f>
        <v>1</v>
      </c>
      <c r="BO24" s="355">
        <f>WATER!DZ25</f>
        <v>1</v>
      </c>
      <c r="BP24" s="177">
        <f>'Rooms nights and Food Covers'!B24</f>
        <v>35</v>
      </c>
      <c r="BQ24" s="177">
        <f>'Rooms nights and Food Covers'!C24</f>
        <v>236</v>
      </c>
      <c r="BX24" s="331"/>
    </row>
    <row r="25" spans="1:76" ht="45" customHeight="1" x14ac:dyDescent="0.25">
      <c r="A25" s="178">
        <f t="shared" si="0"/>
        <v>44886</v>
      </c>
      <c r="B25" s="371"/>
      <c r="C25" s="348">
        <f>SUM('GENSET #1'!C30+'GENSET #2'!C30+'GENSET #3'!C30+'GENSET #4'!C30+'GENSET #5'!C30)</f>
        <v>104472591</v>
      </c>
      <c r="D25" s="350">
        <f t="shared" si="4"/>
        <v>23064</v>
      </c>
      <c r="E25" s="348">
        <f>'Gas-2'!G26</f>
        <v>270</v>
      </c>
      <c r="F25" s="350">
        <f t="shared" si="3"/>
        <v>90</v>
      </c>
      <c r="G25" s="350">
        <f>'GENSET #1'!D30</f>
        <v>4741</v>
      </c>
      <c r="H25" s="350">
        <f>'GENSET #2'!D30</f>
        <v>10557</v>
      </c>
      <c r="I25" s="350">
        <f>'GENSET #3'!D30</f>
        <v>3061</v>
      </c>
      <c r="J25" s="350">
        <f>'GENSET #4'!D30</f>
        <v>0</v>
      </c>
      <c r="K25" s="350">
        <f>'GENSET #5'!D30</f>
        <v>4705</v>
      </c>
      <c r="L25" s="350">
        <f>'FEEDER Consumption '!E25</f>
        <v>3248</v>
      </c>
      <c r="M25" s="350">
        <f>'FEEDER Consumption '!J25</f>
        <v>3071</v>
      </c>
      <c r="N25" s="350">
        <f>'FEEDER Consumption '!O25</f>
        <v>11096</v>
      </c>
      <c r="O25" s="350">
        <f>'FEEDER Consumption '!T25</f>
        <v>2300</v>
      </c>
      <c r="P25" s="350">
        <f>'FEEDER Consumption '!Y25</f>
        <v>2776</v>
      </c>
      <c r="Q25" s="350">
        <f>'FEEDER Consumption '!AD25</f>
        <v>1400</v>
      </c>
      <c r="R25" s="350">
        <f>'FEEDER Consumption '!AJ25</f>
        <v>464</v>
      </c>
      <c r="S25" s="350">
        <f>'FEEDER Consumption '!AO25</f>
        <v>600</v>
      </c>
      <c r="T25" s="350">
        <f>'FEEDER Consumption '!AT25</f>
        <v>1600</v>
      </c>
      <c r="U25" s="350">
        <f>'FEEDER Consumption '!AY25</f>
        <v>3190</v>
      </c>
      <c r="V25" s="350">
        <f>'FEEDER Consumption '!BI25</f>
        <v>200</v>
      </c>
      <c r="W25" s="350">
        <f>'FEEDER Consumption '!BI25</f>
        <v>200</v>
      </c>
      <c r="X25" s="350">
        <f>'FEEDER Consumption '!BN25</f>
        <v>500</v>
      </c>
      <c r="Y25" s="350">
        <f>'FEEDER Consumption '!BS25</f>
        <v>120</v>
      </c>
      <c r="Z25" s="350">
        <f>'FEEDER Consumption '!BX25</f>
        <v>510</v>
      </c>
      <c r="AA25" s="350">
        <f>'FEEDER Consumption '!CC25</f>
        <v>1200</v>
      </c>
      <c r="AB25" s="350">
        <f>'FEEDER Consumption '!CH25</f>
        <v>380</v>
      </c>
      <c r="AC25" s="350">
        <f>'FEEDER Consumption '!CM25</f>
        <v>650</v>
      </c>
      <c r="AD25" s="350">
        <f>'FEEDER Consumption '!CR25</f>
        <v>490</v>
      </c>
      <c r="AE25" s="350">
        <f>'FEEDER Consumption '!DB25</f>
        <v>1000</v>
      </c>
      <c r="AF25" s="350">
        <f>'FEEDER Consumption '!DB25</f>
        <v>1000</v>
      </c>
      <c r="AG25" s="350">
        <f>'FEEDER Consumption '!DG25</f>
        <v>630</v>
      </c>
      <c r="AH25" s="350">
        <f>'FEEDER Consumption '!DL25</f>
        <v>0</v>
      </c>
      <c r="AI25" s="350">
        <f>'FEEDER Consumption '!DQ25</f>
        <v>300</v>
      </c>
      <c r="AJ25" s="350">
        <f>'FEEDER Consumption '!DV25</f>
        <v>170</v>
      </c>
      <c r="AK25" s="350">
        <f>'FEEDER Consumption '!EA25</f>
        <v>880</v>
      </c>
      <c r="AL25" s="350">
        <f>'FEEDER Consumption '!EF25</f>
        <v>280</v>
      </c>
      <c r="AM25" s="350">
        <f>'FEEDER Consumption '!EK25</f>
        <v>340</v>
      </c>
      <c r="AN25" s="351">
        <f>'FEEDER Consumption '!EP25</f>
        <v>1050</v>
      </c>
      <c r="AO25" s="354">
        <f>SUM(WATER!C26,WATER!H26,WATER!M26,WATER!R26)</f>
        <v>1140434</v>
      </c>
      <c r="AP25" s="355">
        <f t="shared" si="2"/>
        <v>260</v>
      </c>
      <c r="AQ25" s="355">
        <f>WATER!D26</f>
        <v>174</v>
      </c>
      <c r="AR25" s="355">
        <f>WATER!I26</f>
        <v>0</v>
      </c>
      <c r="AS25" s="355">
        <f>WATER!N26</f>
        <v>0</v>
      </c>
      <c r="AT25" s="355">
        <f>WATER!S26</f>
        <v>86</v>
      </c>
      <c r="AU25" s="355">
        <f>WATER!AD26</f>
        <v>23</v>
      </c>
      <c r="AV25" s="355">
        <f>WATER!AI26</f>
        <v>5</v>
      </c>
      <c r="AW25" s="355">
        <f>WATER!AN26</f>
        <v>0</v>
      </c>
      <c r="AX25" s="355">
        <f>WATER!AS26</f>
        <v>11</v>
      </c>
      <c r="AY25" s="355">
        <f>WATER!AX26</f>
        <v>9</v>
      </c>
      <c r="AZ25" s="355">
        <f>WATER!BC26</f>
        <v>7</v>
      </c>
      <c r="BA25" s="355">
        <f>WATER!BH26</f>
        <v>0</v>
      </c>
      <c r="BB25" s="355">
        <f>WATER!BM26</f>
        <v>7</v>
      </c>
      <c r="BC25" s="355">
        <f>WATER!BR26</f>
        <v>2</v>
      </c>
      <c r="BD25" s="355">
        <f>WATER!BW26</f>
        <v>0</v>
      </c>
      <c r="BE25" s="355">
        <f>WATER!CB26</f>
        <v>2</v>
      </c>
      <c r="BF25" s="355">
        <f>WATER!CG26</f>
        <v>1</v>
      </c>
      <c r="BG25" s="355">
        <f>WATER!CL26</f>
        <v>29</v>
      </c>
      <c r="BH25" s="355">
        <f>WATER!CQ26</f>
        <v>11</v>
      </c>
      <c r="BI25" s="355">
        <f>WATER!CV26</f>
        <v>0</v>
      </c>
      <c r="BJ25" s="355">
        <f>WATER!DA26</f>
        <v>13</v>
      </c>
      <c r="BK25" s="355">
        <f>WATER!DF26</f>
        <v>3</v>
      </c>
      <c r="BL25" s="355">
        <f>WATER!DK26</f>
        <v>3</v>
      </c>
      <c r="BM25" s="355">
        <f>WATER!DP26</f>
        <v>15</v>
      </c>
      <c r="BN25" s="355">
        <f>WATER!DU26</f>
        <v>1</v>
      </c>
      <c r="BO25" s="355">
        <f>WATER!DZ26</f>
        <v>0</v>
      </c>
      <c r="BP25" s="177">
        <f>'Rooms nights and Food Covers'!B25</f>
        <v>35.9</v>
      </c>
      <c r="BQ25" s="177">
        <f>'Rooms nights and Food Covers'!C25</f>
        <v>238</v>
      </c>
    </row>
    <row r="26" spans="1:76" ht="45" customHeight="1" x14ac:dyDescent="0.25">
      <c r="A26" s="178">
        <f t="shared" si="0"/>
        <v>44887</v>
      </c>
      <c r="B26" s="371"/>
      <c r="C26" s="348">
        <f>SUM('GENSET #1'!C31+'GENSET #2'!C31+'GENSET #3'!C31+'GENSET #4'!C31+'GENSET #5'!C31)</f>
        <v>104495705</v>
      </c>
      <c r="D26" s="350">
        <f t="shared" si="4"/>
        <v>23114</v>
      </c>
      <c r="E26" s="348">
        <f>'Gas-2'!G27</f>
        <v>180</v>
      </c>
      <c r="F26" s="350" t="str">
        <f t="shared" si="3"/>
        <v>0</v>
      </c>
      <c r="G26" s="350">
        <f>'GENSET #1'!D31</f>
        <v>5523</v>
      </c>
      <c r="H26" s="350">
        <f>'GENSET #2'!D31</f>
        <v>9797</v>
      </c>
      <c r="I26" s="350">
        <f>'GENSET #3'!D31</f>
        <v>2394</v>
      </c>
      <c r="J26" s="350">
        <f>'GENSET #4'!D31</f>
        <v>0</v>
      </c>
      <c r="K26" s="350">
        <f>'GENSET #5'!D31</f>
        <v>5400</v>
      </c>
      <c r="L26" s="350">
        <f>'FEEDER Consumption '!E26</f>
        <v>3394</v>
      </c>
      <c r="M26" s="350">
        <f>'FEEDER Consumption '!J26</f>
        <v>3421</v>
      </c>
      <c r="N26" s="350">
        <f>'FEEDER Consumption '!O26</f>
        <v>9872</v>
      </c>
      <c r="O26" s="350">
        <f>'FEEDER Consumption '!T26</f>
        <v>2200</v>
      </c>
      <c r="P26" s="350">
        <f>'FEEDER Consumption '!Y26</f>
        <v>2837</v>
      </c>
      <c r="Q26" s="350">
        <f>'FEEDER Consumption '!AD26</f>
        <v>1300</v>
      </c>
      <c r="R26" s="350">
        <f>'FEEDER Consumption '!AJ26</f>
        <v>414</v>
      </c>
      <c r="S26" s="350">
        <f>'FEEDER Consumption '!AO26</f>
        <v>700</v>
      </c>
      <c r="T26" s="350">
        <f>'FEEDER Consumption '!AT26</f>
        <v>1300</v>
      </c>
      <c r="U26" s="350">
        <f>'FEEDER Consumption '!AY26</f>
        <v>3130</v>
      </c>
      <c r="V26" s="350">
        <f>'FEEDER Consumption '!BI26</f>
        <v>200</v>
      </c>
      <c r="W26" s="350">
        <f>'FEEDER Consumption '!BI26</f>
        <v>200</v>
      </c>
      <c r="X26" s="350">
        <f>'FEEDER Consumption '!BN26</f>
        <v>400</v>
      </c>
      <c r="Y26" s="350">
        <f>'FEEDER Consumption '!BS26</f>
        <v>120</v>
      </c>
      <c r="Z26" s="350">
        <f>'FEEDER Consumption '!BX26</f>
        <v>390</v>
      </c>
      <c r="AA26" s="350">
        <f>'FEEDER Consumption '!CC26</f>
        <v>1200</v>
      </c>
      <c r="AB26" s="350">
        <f>'FEEDER Consumption '!CH26</f>
        <v>420</v>
      </c>
      <c r="AC26" s="350">
        <f>'FEEDER Consumption '!CM26</f>
        <v>870</v>
      </c>
      <c r="AD26" s="350">
        <f>'FEEDER Consumption '!CR26</f>
        <v>610</v>
      </c>
      <c r="AE26" s="350">
        <f>'FEEDER Consumption '!DB26</f>
        <v>500</v>
      </c>
      <c r="AF26" s="350">
        <f>'FEEDER Consumption '!DB26</f>
        <v>500</v>
      </c>
      <c r="AG26" s="350">
        <f>'FEEDER Consumption '!DG26</f>
        <v>730</v>
      </c>
      <c r="AH26" s="350">
        <f>'FEEDER Consumption '!DL26</f>
        <v>1020</v>
      </c>
      <c r="AI26" s="350">
        <f>'FEEDER Consumption '!DQ26</f>
        <v>300</v>
      </c>
      <c r="AJ26" s="350">
        <f>'FEEDER Consumption '!DV26</f>
        <v>160</v>
      </c>
      <c r="AK26" s="350">
        <f>'FEEDER Consumption '!EA26</f>
        <v>960</v>
      </c>
      <c r="AL26" s="350">
        <f>'FEEDER Consumption '!EF26</f>
        <v>270</v>
      </c>
      <c r="AM26" s="350">
        <f>'FEEDER Consumption '!EK26</f>
        <v>340</v>
      </c>
      <c r="AN26" s="351">
        <f>'FEEDER Consumption '!EP26</f>
        <v>500</v>
      </c>
      <c r="AO26" s="354">
        <f>SUM(WATER!C27,WATER!H27,WATER!M27,WATER!R27)</f>
        <v>1140739</v>
      </c>
      <c r="AP26" s="355">
        <f t="shared" si="2"/>
        <v>305</v>
      </c>
      <c r="AQ26" s="355">
        <f>WATER!D27</f>
        <v>219</v>
      </c>
      <c r="AR26" s="355">
        <f>WATER!I27</f>
        <v>86</v>
      </c>
      <c r="AS26" s="355">
        <f>WATER!N27</f>
        <v>0</v>
      </c>
      <c r="AT26" s="355">
        <f>WATER!S27</f>
        <v>0</v>
      </c>
      <c r="AU26" s="355">
        <f>WATER!AD27</f>
        <v>21</v>
      </c>
      <c r="AV26" s="355">
        <f>WATER!AI27</f>
        <v>6</v>
      </c>
      <c r="AW26" s="355">
        <f>WATER!AN27</f>
        <v>18</v>
      </c>
      <c r="AX26" s="355">
        <f>WATER!AS27</f>
        <v>12</v>
      </c>
      <c r="AY26" s="355">
        <f>WATER!AX27</f>
        <v>8</v>
      </c>
      <c r="AZ26" s="355">
        <f>WATER!BC27</f>
        <v>7</v>
      </c>
      <c r="BA26" s="355">
        <f>WATER!BH27</f>
        <v>9</v>
      </c>
      <c r="BB26" s="355">
        <f>WATER!BM27</f>
        <v>6</v>
      </c>
      <c r="BC26" s="355">
        <f>WATER!BR27</f>
        <v>3</v>
      </c>
      <c r="BD26" s="355">
        <f>WATER!BW27</f>
        <v>0</v>
      </c>
      <c r="BE26" s="355">
        <f>WATER!CB27</f>
        <v>3</v>
      </c>
      <c r="BF26" s="355">
        <f>WATER!CG27</f>
        <v>3</v>
      </c>
      <c r="BG26" s="355">
        <f>WATER!CL27</f>
        <v>29</v>
      </c>
      <c r="BH26" s="355">
        <f>WATER!CQ27</f>
        <v>3</v>
      </c>
      <c r="BI26" s="355">
        <f>WATER!CV27</f>
        <v>1</v>
      </c>
      <c r="BJ26" s="355">
        <f>WATER!DA27</f>
        <v>5</v>
      </c>
      <c r="BK26" s="355">
        <f>WATER!DF27</f>
        <v>1</v>
      </c>
      <c r="BL26" s="355">
        <f>WATER!DK27</f>
        <v>3</v>
      </c>
      <c r="BM26" s="355">
        <f>WATER!DP27</f>
        <v>15</v>
      </c>
      <c r="BN26" s="355">
        <f>WATER!DU27</f>
        <v>2</v>
      </c>
      <c r="BO26" s="355">
        <f>WATER!DZ27</f>
        <v>0</v>
      </c>
      <c r="BP26" s="177">
        <f>'Rooms nights and Food Covers'!B26</f>
        <v>29.1</v>
      </c>
      <c r="BQ26" s="177">
        <f>'Rooms nights and Food Covers'!C26</f>
        <v>191</v>
      </c>
    </row>
    <row r="27" spans="1:76" ht="45" customHeight="1" x14ac:dyDescent="0.25">
      <c r="A27" s="178">
        <f t="shared" si="0"/>
        <v>44888</v>
      </c>
      <c r="B27" s="371"/>
      <c r="C27" s="348">
        <f>SUM('GENSET #1'!C32+'GENSET #2'!C32+'GENSET #3'!C32+'GENSET #4'!C32+'GENSET #5'!C32)</f>
        <v>104520478</v>
      </c>
      <c r="D27" s="350">
        <f t="shared" si="4"/>
        <v>24773</v>
      </c>
      <c r="E27" s="348">
        <f>'Gas-2'!G28</f>
        <v>270</v>
      </c>
      <c r="F27" s="350">
        <f t="shared" si="3"/>
        <v>90</v>
      </c>
      <c r="G27" s="350">
        <f>'GENSET #1'!D32</f>
        <v>4375</v>
      </c>
      <c r="H27" s="350">
        <f>'GENSET #2'!D32</f>
        <v>10656</v>
      </c>
      <c r="I27" s="350">
        <f>'GENSET #3'!D32</f>
        <v>5167</v>
      </c>
      <c r="J27" s="350">
        <f>'GENSET #4'!D32</f>
        <v>0</v>
      </c>
      <c r="K27" s="350">
        <f>'GENSET #5'!D32</f>
        <v>4575</v>
      </c>
      <c r="L27" s="350">
        <f>'FEEDER Consumption '!E27</f>
        <v>3738</v>
      </c>
      <c r="M27" s="350">
        <f>'FEEDER Consumption '!J27</f>
        <v>4232</v>
      </c>
      <c r="N27" s="350">
        <f>'FEEDER Consumption '!O27</f>
        <v>11636</v>
      </c>
      <c r="O27" s="350">
        <f>'FEEDER Consumption '!T27</f>
        <v>2300</v>
      </c>
      <c r="P27" s="350">
        <f>'FEEDER Consumption '!Y27</f>
        <v>2935</v>
      </c>
      <c r="Q27" s="350">
        <f>'FEEDER Consumption '!AD27</f>
        <v>1900</v>
      </c>
      <c r="R27" s="350">
        <f>'FEEDER Consumption '!AJ27</f>
        <v>487</v>
      </c>
      <c r="S27" s="350">
        <f>'FEEDER Consumption '!AO27</f>
        <v>600</v>
      </c>
      <c r="T27" s="350">
        <f>'FEEDER Consumption '!AT27</f>
        <v>1200</v>
      </c>
      <c r="U27" s="350">
        <f>'FEEDER Consumption '!AY27</f>
        <v>3620</v>
      </c>
      <c r="V27" s="350">
        <f>'FEEDER Consumption '!BI27</f>
        <v>300</v>
      </c>
      <c r="W27" s="350">
        <f>'FEEDER Consumption '!BI27</f>
        <v>300</v>
      </c>
      <c r="X27" s="350">
        <f>'FEEDER Consumption '!BN27</f>
        <v>500</v>
      </c>
      <c r="Y27" s="350">
        <f>'FEEDER Consumption '!BS27</f>
        <v>170</v>
      </c>
      <c r="Z27" s="350">
        <f>'FEEDER Consumption '!BX27</f>
        <v>330</v>
      </c>
      <c r="AA27" s="350">
        <f>'FEEDER Consumption '!CC27</f>
        <v>1200</v>
      </c>
      <c r="AB27" s="350">
        <f>'FEEDER Consumption '!CH27</f>
        <v>0</v>
      </c>
      <c r="AC27" s="350">
        <f>'FEEDER Consumption '!CM27</f>
        <v>930</v>
      </c>
      <c r="AD27" s="350">
        <f>'FEEDER Consumption '!CR27</f>
        <v>760</v>
      </c>
      <c r="AE27" s="350">
        <f>'FEEDER Consumption '!DB27</f>
        <v>1000</v>
      </c>
      <c r="AF27" s="350">
        <f>'FEEDER Consumption '!DB27</f>
        <v>1000</v>
      </c>
      <c r="AG27" s="350">
        <f>'FEEDER Consumption '!DG27</f>
        <v>840</v>
      </c>
      <c r="AH27" s="350">
        <f>'FEEDER Consumption '!DL27</f>
        <v>680</v>
      </c>
      <c r="AI27" s="350">
        <f>'FEEDER Consumption '!DQ27</f>
        <v>340</v>
      </c>
      <c r="AJ27" s="350">
        <f>'FEEDER Consumption '!DV27</f>
        <v>180</v>
      </c>
      <c r="AK27" s="350">
        <f>'FEEDER Consumption '!EA27</f>
        <v>920</v>
      </c>
      <c r="AL27" s="350">
        <f>'FEEDER Consumption '!EF27</f>
        <v>290</v>
      </c>
      <c r="AM27" s="350">
        <f>'FEEDER Consumption '!EK27</f>
        <v>650</v>
      </c>
      <c r="AN27" s="351">
        <f>'FEEDER Consumption '!EP27</f>
        <v>520</v>
      </c>
      <c r="AO27" s="354">
        <f>SUM(WATER!C28,WATER!H28,WATER!M28,WATER!R28)</f>
        <v>1141038</v>
      </c>
      <c r="AP27" s="355">
        <f t="shared" si="2"/>
        <v>299</v>
      </c>
      <c r="AQ27" s="355">
        <f>WATER!D28</f>
        <v>196</v>
      </c>
      <c r="AR27" s="355">
        <f>WATER!I28</f>
        <v>0</v>
      </c>
      <c r="AS27" s="355">
        <f>WATER!N28</f>
        <v>1</v>
      </c>
      <c r="AT27" s="355">
        <f>WATER!S28</f>
        <v>102</v>
      </c>
      <c r="AU27" s="355">
        <f>WATER!AD28</f>
        <v>21</v>
      </c>
      <c r="AV27" s="355">
        <f>WATER!AI28</f>
        <v>6</v>
      </c>
      <c r="AW27" s="355">
        <f>WATER!AN28</f>
        <v>10</v>
      </c>
      <c r="AX27" s="355">
        <f>WATER!AS28</f>
        <v>12</v>
      </c>
      <c r="AY27" s="355">
        <f>WATER!AX28</f>
        <v>9</v>
      </c>
      <c r="AZ27" s="355">
        <f>WATER!BC28</f>
        <v>6</v>
      </c>
      <c r="BA27" s="355">
        <f>WATER!BH28</f>
        <v>6</v>
      </c>
      <c r="BB27" s="355">
        <f>WATER!BM28</f>
        <v>7</v>
      </c>
      <c r="BC27" s="355">
        <f>WATER!BR28</f>
        <v>0</v>
      </c>
      <c r="BD27" s="355">
        <f>WATER!BW28</f>
        <v>0</v>
      </c>
      <c r="BE27" s="355">
        <f>WATER!CB28</f>
        <v>4</v>
      </c>
      <c r="BF27" s="355">
        <f>WATER!CG28</f>
        <v>1</v>
      </c>
      <c r="BG27" s="355">
        <f>WATER!CL28</f>
        <v>30</v>
      </c>
      <c r="BH27" s="355">
        <f>WATER!CQ28</f>
        <v>15</v>
      </c>
      <c r="BI27" s="355">
        <f>WATER!CV28</f>
        <v>1</v>
      </c>
      <c r="BJ27" s="355">
        <f>WATER!DA28</f>
        <v>5</v>
      </c>
      <c r="BK27" s="355">
        <f>WATER!DF28</f>
        <v>5</v>
      </c>
      <c r="BL27" s="355">
        <f>WATER!DK28</f>
        <v>3</v>
      </c>
      <c r="BM27" s="355">
        <f>WATER!DP28</f>
        <v>15</v>
      </c>
      <c r="BN27" s="355">
        <f>WATER!DU28</f>
        <v>1</v>
      </c>
      <c r="BO27" s="355">
        <f>WATER!DZ28</f>
        <v>2</v>
      </c>
      <c r="BP27" s="177">
        <f>'Rooms nights and Food Covers'!B27</f>
        <v>40.799999999999997</v>
      </c>
      <c r="BQ27" s="177">
        <f>'Rooms nights and Food Covers'!C27</f>
        <v>304</v>
      </c>
    </row>
    <row r="28" spans="1:76" ht="45" customHeight="1" x14ac:dyDescent="0.25">
      <c r="A28" s="178">
        <f t="shared" si="0"/>
        <v>44889</v>
      </c>
      <c r="B28" s="371"/>
      <c r="C28" s="348">
        <f>SUM('GENSET #1'!C33+'GENSET #2'!C33+'GENSET #3'!C33+'GENSET #4'!C33+'GENSET #5'!C33)</f>
        <v>104545975</v>
      </c>
      <c r="D28" s="350">
        <f t="shared" si="4"/>
        <v>25497</v>
      </c>
      <c r="E28" s="348">
        <f>'Gas-2'!G29</f>
        <v>225</v>
      </c>
      <c r="F28" s="350" t="str">
        <f t="shared" si="3"/>
        <v>0</v>
      </c>
      <c r="G28" s="350">
        <f>'GENSET #1'!D33</f>
        <v>4238</v>
      </c>
      <c r="H28" s="350">
        <f>'GENSET #2'!D33</f>
        <v>11874</v>
      </c>
      <c r="I28" s="350">
        <f>'GENSET #3'!D33</f>
        <v>5149</v>
      </c>
      <c r="J28" s="350">
        <f>'GENSET #4'!D33</f>
        <v>0</v>
      </c>
      <c r="K28" s="350">
        <f>'GENSET #5'!D33</f>
        <v>4236</v>
      </c>
      <c r="L28" s="350">
        <f>'FEEDER Consumption '!E28</f>
        <v>7857</v>
      </c>
      <c r="M28" s="350">
        <f>'FEEDER Consumption '!J28</f>
        <v>4258</v>
      </c>
      <c r="N28" s="350">
        <f>'FEEDER Consumption '!O28</f>
        <v>11319</v>
      </c>
      <c r="O28" s="350">
        <f>'FEEDER Consumption '!T28</f>
        <v>2400</v>
      </c>
      <c r="P28" s="350">
        <f>'FEEDER Consumption '!Y28</f>
        <v>2838</v>
      </c>
      <c r="Q28" s="350">
        <f>'FEEDER Consumption '!AD28</f>
        <v>1800</v>
      </c>
      <c r="R28" s="350">
        <f>'FEEDER Consumption '!AJ28</f>
        <v>468</v>
      </c>
      <c r="S28" s="350">
        <f>'FEEDER Consumption '!AO28</f>
        <v>700</v>
      </c>
      <c r="T28" s="350">
        <f>'FEEDER Consumption '!AT28</f>
        <v>1600</v>
      </c>
      <c r="U28" s="350">
        <f>'FEEDER Consumption '!AY28</f>
        <v>3550</v>
      </c>
      <c r="V28" s="350">
        <f>'FEEDER Consumption '!BI28</f>
        <v>300</v>
      </c>
      <c r="W28" s="350">
        <f>'FEEDER Consumption '!BI28</f>
        <v>300</v>
      </c>
      <c r="X28" s="350">
        <f>'FEEDER Consumption '!BN28</f>
        <v>600</v>
      </c>
      <c r="Y28" s="350">
        <f>'FEEDER Consumption '!BS28</f>
        <v>170</v>
      </c>
      <c r="Z28" s="350">
        <f>'FEEDER Consumption '!BX28</f>
        <v>360</v>
      </c>
      <c r="AA28" s="350">
        <f>'FEEDER Consumption '!CC28</f>
        <v>1200</v>
      </c>
      <c r="AB28" s="350">
        <f>'FEEDER Consumption '!CH28</f>
        <v>410</v>
      </c>
      <c r="AC28" s="350">
        <f>'FEEDER Consumption '!CM28</f>
        <v>870</v>
      </c>
      <c r="AD28" s="350">
        <f>'FEEDER Consumption '!CR28</f>
        <v>810</v>
      </c>
      <c r="AE28" s="350">
        <f>'FEEDER Consumption '!DB28</f>
        <v>1000</v>
      </c>
      <c r="AF28" s="350">
        <f>'FEEDER Consumption '!DB28</f>
        <v>1000</v>
      </c>
      <c r="AG28" s="350">
        <f>'FEEDER Consumption '!DG28</f>
        <v>820</v>
      </c>
      <c r="AH28" s="350">
        <f>'FEEDER Consumption '!DL28</f>
        <v>730</v>
      </c>
      <c r="AI28" s="350">
        <f>'FEEDER Consumption '!DQ28</f>
        <v>370</v>
      </c>
      <c r="AJ28" s="350">
        <f>'FEEDER Consumption '!DV28</f>
        <v>170</v>
      </c>
      <c r="AK28" s="350">
        <f>'FEEDER Consumption '!EA28</f>
        <v>950</v>
      </c>
      <c r="AL28" s="350">
        <f>'FEEDER Consumption '!EF28</f>
        <v>280</v>
      </c>
      <c r="AM28" s="350">
        <f>'FEEDER Consumption '!EK28</f>
        <v>60</v>
      </c>
      <c r="AN28" s="351">
        <f>'FEEDER Consumption '!EP28</f>
        <v>530</v>
      </c>
      <c r="AO28" s="354">
        <f>SUM(WATER!C29,WATER!H29,WATER!M29,WATER!R29)</f>
        <v>1141352</v>
      </c>
      <c r="AP28" s="355">
        <f t="shared" si="2"/>
        <v>314</v>
      </c>
      <c r="AQ28" s="355">
        <f>WATER!D29</f>
        <v>160</v>
      </c>
      <c r="AR28" s="355">
        <f>WATER!I29</f>
        <v>77</v>
      </c>
      <c r="AS28" s="355">
        <f>WATER!N29</f>
        <v>0</v>
      </c>
      <c r="AT28" s="355">
        <f>WATER!S29</f>
        <v>77</v>
      </c>
      <c r="AU28" s="355">
        <f>WATER!AD29</f>
        <v>19</v>
      </c>
      <c r="AV28" s="355">
        <f>WATER!AI29</f>
        <v>4</v>
      </c>
      <c r="AW28" s="355">
        <f>WATER!AN29</f>
        <v>9</v>
      </c>
      <c r="AX28" s="355">
        <f>WATER!AS29</f>
        <v>12</v>
      </c>
      <c r="AY28" s="355">
        <f>WATER!AX29</f>
        <v>8</v>
      </c>
      <c r="AZ28" s="355">
        <f>WATER!BC29</f>
        <v>6</v>
      </c>
      <c r="BA28" s="355">
        <f>WATER!BH29</f>
        <v>5</v>
      </c>
      <c r="BB28" s="355">
        <f>WATER!BM29</f>
        <v>6</v>
      </c>
      <c r="BC28" s="355">
        <f>WATER!BR29</f>
        <v>8</v>
      </c>
      <c r="BD28" s="355">
        <f>WATER!BW29</f>
        <v>1</v>
      </c>
      <c r="BE28" s="355">
        <f>WATER!CB29</f>
        <v>2</v>
      </c>
      <c r="BF28" s="355">
        <f>WATER!CG29</f>
        <v>2</v>
      </c>
      <c r="BG28" s="355">
        <f>WATER!CL29</f>
        <v>27</v>
      </c>
      <c r="BH28" s="355">
        <f>WATER!CQ29</f>
        <v>10</v>
      </c>
      <c r="BI28" s="355">
        <f>WATER!CV29</f>
        <v>1</v>
      </c>
      <c r="BJ28" s="355">
        <f>WATER!DA29</f>
        <v>5</v>
      </c>
      <c r="BK28" s="355">
        <f>WATER!DF29</f>
        <v>2</v>
      </c>
      <c r="BL28" s="355">
        <f>WATER!DK29</f>
        <v>3</v>
      </c>
      <c r="BM28" s="355">
        <f>WATER!DP29</f>
        <v>15</v>
      </c>
      <c r="BN28" s="355">
        <f>WATER!DU29</f>
        <v>1</v>
      </c>
      <c r="BO28" s="355">
        <f>WATER!DZ29</f>
        <v>1</v>
      </c>
      <c r="BP28" s="177">
        <f>'Rooms nights and Food Covers'!B28</f>
        <v>38.799999999999997</v>
      </c>
      <c r="BQ28" s="177">
        <f>'Rooms nights and Food Covers'!C28</f>
        <v>269</v>
      </c>
    </row>
    <row r="29" spans="1:76" ht="45" customHeight="1" x14ac:dyDescent="0.25">
      <c r="A29" s="178">
        <f t="shared" si="0"/>
        <v>44890</v>
      </c>
      <c r="B29" s="371"/>
      <c r="C29" s="348">
        <f>SUM('GENSET #1'!C34+'GENSET #2'!C34+'GENSET #3'!C34+'GENSET #4'!C34+'GENSET #5'!C34)</f>
        <v>104571110</v>
      </c>
      <c r="D29" s="350">
        <f t="shared" si="4"/>
        <v>25135</v>
      </c>
      <c r="E29" s="348">
        <f>'Gas-2'!G30</f>
        <v>225</v>
      </c>
      <c r="F29" s="350">
        <f t="shared" si="3"/>
        <v>0</v>
      </c>
      <c r="G29" s="350">
        <f>'GENSET #1'!D34</f>
        <v>4705</v>
      </c>
      <c r="H29" s="350">
        <f>'GENSET #2'!D34</f>
        <v>11506</v>
      </c>
      <c r="I29" s="350">
        <f>'GENSET #3'!D34</f>
        <v>4229</v>
      </c>
      <c r="J29" s="350">
        <f>'GENSET #4'!D34</f>
        <v>0</v>
      </c>
      <c r="K29" s="350">
        <f>'GENSET #5'!D34</f>
        <v>4695</v>
      </c>
      <c r="L29" s="350">
        <f>'FEEDER Consumption '!E29</f>
        <v>0</v>
      </c>
      <c r="M29" s="350">
        <f>'FEEDER Consumption '!J29</f>
        <v>4137</v>
      </c>
      <c r="N29" s="350">
        <f>'FEEDER Consumption '!O29</f>
        <v>10951</v>
      </c>
      <c r="O29" s="350">
        <f>'FEEDER Consumption '!T29</f>
        <v>2200</v>
      </c>
      <c r="P29" s="350">
        <f>'FEEDER Consumption '!Y29</f>
        <v>2855</v>
      </c>
      <c r="Q29" s="350">
        <f>'FEEDER Consumption '!AD29</f>
        <v>1600</v>
      </c>
      <c r="R29" s="350">
        <f>'FEEDER Consumption '!AJ29</f>
        <v>493</v>
      </c>
      <c r="S29" s="350">
        <f>'FEEDER Consumption '!AO29</f>
        <v>600</v>
      </c>
      <c r="T29" s="350">
        <f>'FEEDER Consumption '!AT29</f>
        <v>1300</v>
      </c>
      <c r="U29" s="350">
        <f>'FEEDER Consumption '!AY29</f>
        <v>3560</v>
      </c>
      <c r="V29" s="350">
        <f>'FEEDER Consumption '!BI29</f>
        <v>200</v>
      </c>
      <c r="W29" s="350">
        <f>'FEEDER Consumption '!BI29</f>
        <v>200</v>
      </c>
      <c r="X29" s="350">
        <f>'FEEDER Consumption '!BN29</f>
        <v>500</v>
      </c>
      <c r="Y29" s="350">
        <f>'FEEDER Consumption '!BS29</f>
        <v>160</v>
      </c>
      <c r="Z29" s="350">
        <f>'FEEDER Consumption '!BX29</f>
        <v>410</v>
      </c>
      <c r="AA29" s="350">
        <f>'FEEDER Consumption '!CC29</f>
        <v>1200</v>
      </c>
      <c r="AB29" s="350">
        <f>'FEEDER Consumption '!CH29</f>
        <v>420</v>
      </c>
      <c r="AC29" s="350">
        <f>'FEEDER Consumption '!CM29</f>
        <v>850</v>
      </c>
      <c r="AD29" s="350">
        <f>'FEEDER Consumption '!CR29</f>
        <v>750</v>
      </c>
      <c r="AE29" s="350">
        <f>'FEEDER Consumption '!DB29</f>
        <v>1000</v>
      </c>
      <c r="AF29" s="350">
        <f>'FEEDER Consumption '!DB29</f>
        <v>1000</v>
      </c>
      <c r="AG29" s="350">
        <f>'FEEDER Consumption '!DG29</f>
        <v>850</v>
      </c>
      <c r="AH29" s="350">
        <f>'FEEDER Consumption '!DL29</f>
        <v>630</v>
      </c>
      <c r="AI29" s="350">
        <f>'FEEDER Consumption '!DQ29</f>
        <v>340</v>
      </c>
      <c r="AJ29" s="350">
        <f>'FEEDER Consumption '!DV29</f>
        <v>170</v>
      </c>
      <c r="AK29" s="350">
        <f>'FEEDER Consumption '!EA29</f>
        <v>970</v>
      </c>
      <c r="AL29" s="350">
        <f>'FEEDER Consumption '!EF29</f>
        <v>270</v>
      </c>
      <c r="AM29" s="350">
        <f>'FEEDER Consumption '!EK29</f>
        <v>290</v>
      </c>
      <c r="AN29" s="351">
        <f>'FEEDER Consumption '!EP29</f>
        <v>0</v>
      </c>
      <c r="AO29" s="354">
        <f>SUM(WATER!C30,WATER!H30,WATER!M30,WATER!R30)</f>
        <v>1141700</v>
      </c>
      <c r="AP29" s="355">
        <f t="shared" si="2"/>
        <v>348</v>
      </c>
      <c r="AQ29" s="355">
        <f>WATER!D30</f>
        <v>194</v>
      </c>
      <c r="AR29" s="355">
        <f>WATER!I30</f>
        <v>89</v>
      </c>
      <c r="AS29" s="355">
        <f>WATER!N30</f>
        <v>1</v>
      </c>
      <c r="AT29" s="355">
        <f>WATER!S30</f>
        <v>64</v>
      </c>
      <c r="AU29" s="355">
        <f>WATER!AD30</f>
        <v>21</v>
      </c>
      <c r="AV29" s="355">
        <f>WATER!AI30</f>
        <v>6</v>
      </c>
      <c r="AW29" s="355">
        <f>WATER!AN30</f>
        <v>9</v>
      </c>
      <c r="AX29" s="355">
        <f>WATER!AS30</f>
        <v>13</v>
      </c>
      <c r="AY29" s="355">
        <f>WATER!AX30</f>
        <v>8</v>
      </c>
      <c r="AZ29" s="355">
        <f>WATER!BC30</f>
        <v>8</v>
      </c>
      <c r="BA29" s="355">
        <f>WATER!BH30</f>
        <v>5</v>
      </c>
      <c r="BB29" s="355">
        <f>WATER!BM30</f>
        <v>8</v>
      </c>
      <c r="BC29" s="355">
        <f>WATER!BR30</f>
        <v>3</v>
      </c>
      <c r="BD29" s="355">
        <f>WATER!BW30</f>
        <v>0</v>
      </c>
      <c r="BE29" s="355">
        <f>WATER!CB30</f>
        <v>1</v>
      </c>
      <c r="BF29" s="355">
        <f>WATER!CG30</f>
        <v>4</v>
      </c>
      <c r="BG29" s="355">
        <f>WATER!CL30</f>
        <v>27</v>
      </c>
      <c r="BH29" s="355">
        <f>WATER!CQ30</f>
        <v>10</v>
      </c>
      <c r="BI29" s="355">
        <f>WATER!CV30</f>
        <v>1</v>
      </c>
      <c r="BJ29" s="355">
        <f>WATER!DA30</f>
        <v>3</v>
      </c>
      <c r="BK29" s="355">
        <f>WATER!DF30</f>
        <v>5</v>
      </c>
      <c r="BL29" s="355">
        <f>WATER!DK30</f>
        <v>2</v>
      </c>
      <c r="BM29" s="355">
        <f>WATER!DP30</f>
        <v>15</v>
      </c>
      <c r="BN29" s="355">
        <f>WATER!DU30</f>
        <v>2</v>
      </c>
      <c r="BO29" s="355">
        <f>WATER!DZ30</f>
        <v>0</v>
      </c>
      <c r="BP29" s="177">
        <f>'Rooms nights and Food Covers'!B29</f>
        <v>39.799999999999997</v>
      </c>
      <c r="BQ29" s="177">
        <f>'Rooms nights and Food Covers'!C29</f>
        <v>302</v>
      </c>
    </row>
    <row r="30" spans="1:76" ht="45" customHeight="1" x14ac:dyDescent="0.25">
      <c r="A30" s="178">
        <f t="shared" si="0"/>
        <v>44891</v>
      </c>
      <c r="B30" s="371"/>
      <c r="C30" s="348">
        <f>SUM('GENSET #1'!C35+'GENSET #2'!C35+'GENSET #3'!C35+'GENSET #4'!C35+'GENSET #5'!C35)</f>
        <v>104595929</v>
      </c>
      <c r="D30" s="350">
        <f t="shared" si="4"/>
        <v>24819</v>
      </c>
      <c r="E30" s="348">
        <f>'Gas-2'!G31</f>
        <v>225</v>
      </c>
      <c r="F30" s="350">
        <f t="shared" si="3"/>
        <v>0</v>
      </c>
      <c r="G30" s="350">
        <f>'GENSET #1'!D35</f>
        <v>6270</v>
      </c>
      <c r="H30" s="350">
        <f>'GENSET #2'!D35</f>
        <v>8225</v>
      </c>
      <c r="I30" s="350">
        <f>'GENSET #3'!D35</f>
        <v>4101</v>
      </c>
      <c r="J30" s="350">
        <f>'GENSET #4'!D35</f>
        <v>0</v>
      </c>
      <c r="K30" s="350">
        <f>'GENSET #5'!D35</f>
        <v>6223</v>
      </c>
      <c r="L30" s="350">
        <f>'FEEDER Consumption '!E30</f>
        <v>3761</v>
      </c>
      <c r="M30" s="350">
        <f>'FEEDER Consumption '!J30</f>
        <v>4068</v>
      </c>
      <c r="N30" s="350">
        <f>'FEEDER Consumption '!O30</f>
        <v>11310</v>
      </c>
      <c r="O30" s="350">
        <f>'FEEDER Consumption '!T30</f>
        <v>2400</v>
      </c>
      <c r="P30" s="350">
        <f>'FEEDER Consumption '!Y30</f>
        <v>2930</v>
      </c>
      <c r="Q30" s="350">
        <f>'FEEDER Consumption '!AD30</f>
        <v>1800</v>
      </c>
      <c r="R30" s="350">
        <f>'FEEDER Consumption '!AJ30</f>
        <v>465</v>
      </c>
      <c r="S30" s="350">
        <f>'FEEDER Consumption '!AO30</f>
        <v>700</v>
      </c>
      <c r="T30" s="350">
        <f>'FEEDER Consumption '!AT30</f>
        <v>1400</v>
      </c>
      <c r="U30" s="350">
        <f>'FEEDER Consumption '!AY30</f>
        <v>3850</v>
      </c>
      <c r="V30" s="350">
        <f>'FEEDER Consumption '!BI30</f>
        <v>300</v>
      </c>
      <c r="W30" s="350">
        <f>'FEEDER Consumption '!BI30</f>
        <v>300</v>
      </c>
      <c r="X30" s="350">
        <f>'FEEDER Consumption '!BN30</f>
        <v>500</v>
      </c>
      <c r="Y30" s="350">
        <f>'FEEDER Consumption '!BS30</f>
        <v>140</v>
      </c>
      <c r="Z30" s="350">
        <f>'FEEDER Consumption '!BX30</f>
        <v>450</v>
      </c>
      <c r="AA30" s="350">
        <f>'FEEDER Consumption '!CC30</f>
        <v>1200</v>
      </c>
      <c r="AB30" s="350">
        <f>'FEEDER Consumption '!CH30</f>
        <v>480</v>
      </c>
      <c r="AC30" s="350">
        <f>'FEEDER Consumption '!CM30</f>
        <v>900</v>
      </c>
      <c r="AD30" s="350">
        <f>'FEEDER Consumption '!CR30</f>
        <v>760</v>
      </c>
      <c r="AE30" s="350">
        <f>'FEEDER Consumption '!DB30</f>
        <v>1000</v>
      </c>
      <c r="AF30" s="350">
        <f>'FEEDER Consumption '!DB30</f>
        <v>1000</v>
      </c>
      <c r="AG30" s="350">
        <f>'FEEDER Consumption '!DG30</f>
        <v>850</v>
      </c>
      <c r="AH30" s="350">
        <f>'FEEDER Consumption '!DL30</f>
        <v>660</v>
      </c>
      <c r="AI30" s="350">
        <f>'FEEDER Consumption '!DQ30</f>
        <v>320</v>
      </c>
      <c r="AJ30" s="350">
        <f>'FEEDER Consumption '!DV30</f>
        <v>190</v>
      </c>
      <c r="AK30" s="350">
        <f>'FEEDER Consumption '!EA30</f>
        <v>930</v>
      </c>
      <c r="AL30" s="350">
        <f>'FEEDER Consumption '!EF30</f>
        <v>280</v>
      </c>
      <c r="AM30" s="350">
        <f>'FEEDER Consumption '!EK30</f>
        <v>370</v>
      </c>
      <c r="AN30" s="351">
        <f>'FEEDER Consumption '!EP30</f>
        <v>1020</v>
      </c>
      <c r="AO30" s="354">
        <f>SUM(WATER!C31,WATER!H31,WATER!M31,WATER!R31)</f>
        <v>1142031</v>
      </c>
      <c r="AP30" s="355">
        <f t="shared" si="2"/>
        <v>331</v>
      </c>
      <c r="AQ30" s="355">
        <f>WATER!D31</f>
        <v>197</v>
      </c>
      <c r="AR30" s="355">
        <f>WATER!I31</f>
        <v>30</v>
      </c>
      <c r="AS30" s="355">
        <f>WATER!N31</f>
        <v>0</v>
      </c>
      <c r="AT30" s="355">
        <f>WATER!S31</f>
        <v>104</v>
      </c>
      <c r="AU30" s="355">
        <f>WATER!AD31</f>
        <v>16</v>
      </c>
      <c r="AV30" s="355">
        <f>WATER!AI31</f>
        <v>7</v>
      </c>
      <c r="AW30" s="355">
        <f>WATER!AN31</f>
        <v>9</v>
      </c>
      <c r="AX30" s="355">
        <f>WATER!AS31</f>
        <v>11</v>
      </c>
      <c r="AY30" s="355">
        <f>WATER!AX31</f>
        <v>8</v>
      </c>
      <c r="AZ30" s="355">
        <f>WATER!BC31</f>
        <v>6</v>
      </c>
      <c r="BA30" s="355">
        <f>WATER!BH31</f>
        <v>5</v>
      </c>
      <c r="BB30" s="355">
        <f>WATER!BM31</f>
        <v>7</v>
      </c>
      <c r="BC30" s="355">
        <f>WATER!BR31</f>
        <v>1</v>
      </c>
      <c r="BD30" s="355">
        <f>WATER!BW31</f>
        <v>0</v>
      </c>
      <c r="BE30" s="355">
        <f>WATER!CB31</f>
        <v>4</v>
      </c>
      <c r="BF30" s="355">
        <f>WATER!CG31</f>
        <v>2</v>
      </c>
      <c r="BG30" s="355">
        <f>WATER!CL31</f>
        <v>25</v>
      </c>
      <c r="BH30" s="355">
        <f>WATER!CQ31</f>
        <v>0</v>
      </c>
      <c r="BI30" s="355">
        <f>WATER!CV31</f>
        <v>0</v>
      </c>
      <c r="BJ30" s="355">
        <f>WATER!DA31</f>
        <v>3</v>
      </c>
      <c r="BK30" s="355">
        <f>WATER!DF31</f>
        <v>2</v>
      </c>
      <c r="BL30" s="355">
        <f>WATER!DK31</f>
        <v>1</v>
      </c>
      <c r="BM30" s="355">
        <f>WATER!DP31</f>
        <v>15</v>
      </c>
      <c r="BN30" s="355">
        <f>WATER!DU31</f>
        <v>1</v>
      </c>
      <c r="BO30" s="355">
        <f>WATER!DZ31</f>
        <v>2</v>
      </c>
      <c r="BP30" s="177">
        <f>'Rooms nights and Food Covers'!B30</f>
        <v>38.799999999999997</v>
      </c>
      <c r="BQ30" s="177">
        <f>'Rooms nights and Food Covers'!C30</f>
        <v>261</v>
      </c>
    </row>
    <row r="31" spans="1:76" ht="45" customHeight="1" x14ac:dyDescent="0.25">
      <c r="A31" s="178">
        <f t="shared" si="0"/>
        <v>44892</v>
      </c>
      <c r="B31" s="371"/>
      <c r="C31" s="348">
        <f>SUM('GENSET #1'!C36+'GENSET #2'!C36+'GENSET #3'!C36+'GENSET #4'!C36+'GENSET #5'!C36)</f>
        <v>104620865</v>
      </c>
      <c r="D31" s="350">
        <f t="shared" si="4"/>
        <v>24936</v>
      </c>
      <c r="E31" s="348">
        <f>'Gas-2'!G32</f>
        <v>270</v>
      </c>
      <c r="F31" s="350">
        <f t="shared" si="3"/>
        <v>45</v>
      </c>
      <c r="G31" s="350">
        <f>'GENSET #1'!D36</f>
        <v>4155</v>
      </c>
      <c r="H31" s="350">
        <f>'GENSET #2'!D36</f>
        <v>12249</v>
      </c>
      <c r="I31" s="350">
        <f>'GENSET #3'!D36</f>
        <v>4401</v>
      </c>
      <c r="J31" s="350">
        <f>'GENSET #4'!D36</f>
        <v>0</v>
      </c>
      <c r="K31" s="350">
        <f>'GENSET #5'!D36</f>
        <v>4131</v>
      </c>
      <c r="L31" s="350">
        <f>'FEEDER Consumption '!E31</f>
        <v>3787</v>
      </c>
      <c r="M31" s="350">
        <f>'FEEDER Consumption '!J31</f>
        <v>4039</v>
      </c>
      <c r="N31" s="350">
        <f>'FEEDER Consumption '!O31</f>
        <v>10911</v>
      </c>
      <c r="O31" s="350">
        <f>'FEEDER Consumption '!T31</f>
        <v>2200</v>
      </c>
      <c r="P31" s="350">
        <f>'FEEDER Consumption '!Y31</f>
        <v>2797</v>
      </c>
      <c r="Q31" s="350">
        <f>'FEEDER Consumption '!AD31</f>
        <v>1900</v>
      </c>
      <c r="R31" s="350">
        <f>'FEEDER Consumption '!AJ31</f>
        <v>430</v>
      </c>
      <c r="S31" s="350">
        <f>'FEEDER Consumption '!AO31</f>
        <v>600</v>
      </c>
      <c r="T31" s="350">
        <f>'FEEDER Consumption '!AT31</f>
        <v>1600</v>
      </c>
      <c r="U31" s="350">
        <f>'FEEDER Consumption '!AY31</f>
        <v>3620</v>
      </c>
      <c r="V31" s="350">
        <f>'FEEDER Consumption '!BI31</f>
        <v>300</v>
      </c>
      <c r="W31" s="350">
        <f>'FEEDER Consumption '!BI31</f>
        <v>300</v>
      </c>
      <c r="X31" s="350">
        <f>'FEEDER Consumption '!BN31</f>
        <v>400</v>
      </c>
      <c r="Y31" s="350">
        <f>'FEEDER Consumption '!BS31</f>
        <v>160</v>
      </c>
      <c r="Z31" s="350">
        <f>'FEEDER Consumption '!BX31</f>
        <v>420</v>
      </c>
      <c r="AA31" s="350">
        <f>'FEEDER Consumption '!CC31</f>
        <v>1100</v>
      </c>
      <c r="AB31" s="350">
        <f>'FEEDER Consumption '!CH31</f>
        <v>390</v>
      </c>
      <c r="AC31" s="350">
        <f>'FEEDER Consumption '!CM31</f>
        <v>990</v>
      </c>
      <c r="AD31" s="350">
        <f>'FEEDER Consumption '!CR31</f>
        <v>780</v>
      </c>
      <c r="AE31" s="350">
        <f>'FEEDER Consumption '!DB31</f>
        <v>2100</v>
      </c>
      <c r="AF31" s="350">
        <f>'FEEDER Consumption '!DB31</f>
        <v>2100</v>
      </c>
      <c r="AG31" s="350">
        <f>'FEEDER Consumption '!DG31</f>
        <v>820</v>
      </c>
      <c r="AH31" s="350">
        <f>'FEEDER Consumption '!DL31</f>
        <v>620</v>
      </c>
      <c r="AI31" s="350">
        <f>'FEEDER Consumption '!DQ31</f>
        <v>320</v>
      </c>
      <c r="AJ31" s="350">
        <f>'FEEDER Consumption '!DV31</f>
        <v>130</v>
      </c>
      <c r="AK31" s="350">
        <f>'FEEDER Consumption '!EA31</f>
        <v>1040</v>
      </c>
      <c r="AL31" s="350">
        <f>'FEEDER Consumption '!EF31</f>
        <v>300</v>
      </c>
      <c r="AM31" s="350">
        <f>'FEEDER Consumption '!EK31</f>
        <v>370</v>
      </c>
      <c r="AN31" s="351">
        <f>'FEEDER Consumption '!EP31</f>
        <v>1070</v>
      </c>
      <c r="AO31" s="354">
        <f>SUM(WATER!C32,WATER!H32,WATER!M32,WATER!R32)</f>
        <v>1142378</v>
      </c>
      <c r="AP31" s="355">
        <f t="shared" si="2"/>
        <v>347</v>
      </c>
      <c r="AQ31" s="355">
        <f>WATER!D32</f>
        <v>181</v>
      </c>
      <c r="AR31" s="355">
        <f>WATER!I32</f>
        <v>55</v>
      </c>
      <c r="AS31" s="355">
        <f>WATER!N32</f>
        <v>0</v>
      </c>
      <c r="AT31" s="355">
        <f>WATER!S32</f>
        <v>111</v>
      </c>
      <c r="AU31" s="355">
        <f>WATER!AD32</f>
        <v>23</v>
      </c>
      <c r="AV31" s="355">
        <f>WATER!AI32</f>
        <v>3</v>
      </c>
      <c r="AW31" s="355">
        <f>WATER!AN32</f>
        <v>9</v>
      </c>
      <c r="AX31" s="355">
        <f>WATER!AS32</f>
        <v>11</v>
      </c>
      <c r="AY31" s="355">
        <f>WATER!AX32</f>
        <v>8</v>
      </c>
      <c r="AZ31" s="355">
        <f>WATER!BC32</f>
        <v>6</v>
      </c>
      <c r="BA31" s="355">
        <f>WATER!BH32</f>
        <v>6</v>
      </c>
      <c r="BB31" s="355">
        <f>WATER!BM32</f>
        <v>6</v>
      </c>
      <c r="BC31" s="355">
        <f>WATER!BR32</f>
        <v>0</v>
      </c>
      <c r="BD31" s="355">
        <f>WATER!BW32</f>
        <v>0</v>
      </c>
      <c r="BE31" s="355">
        <f>WATER!CB32</f>
        <v>3</v>
      </c>
      <c r="BF31" s="355">
        <f>WATER!CG32</f>
        <v>1</v>
      </c>
      <c r="BG31" s="355">
        <f>WATER!CL32</f>
        <v>27</v>
      </c>
      <c r="BH31" s="355">
        <f>WATER!CQ32</f>
        <v>21</v>
      </c>
      <c r="BI31" s="355">
        <f>WATER!CV32</f>
        <v>1</v>
      </c>
      <c r="BJ31" s="355">
        <f>WATER!DA32</f>
        <v>3</v>
      </c>
      <c r="BK31" s="355">
        <f>WATER!DF32</f>
        <v>3</v>
      </c>
      <c r="BL31" s="355">
        <f>WATER!DK32</f>
        <v>3</v>
      </c>
      <c r="BM31" s="355">
        <f>WATER!DP32</f>
        <v>15</v>
      </c>
      <c r="BN31" s="355">
        <f>WATER!DU32</f>
        <v>1</v>
      </c>
      <c r="BO31" s="355">
        <f>WATER!DZ32</f>
        <v>0</v>
      </c>
      <c r="BP31" s="177">
        <f>'Rooms nights and Food Covers'!B31</f>
        <v>35</v>
      </c>
      <c r="BQ31" s="177">
        <f>'Rooms nights and Food Covers'!C31</f>
        <v>249</v>
      </c>
    </row>
    <row r="32" spans="1:76" ht="45" customHeight="1" x14ac:dyDescent="0.25">
      <c r="A32" s="178">
        <f t="shared" si="0"/>
        <v>44893</v>
      </c>
      <c r="B32" s="371"/>
      <c r="C32" s="348">
        <f>SUM('GENSET #1'!C37+'GENSET #2'!C37+'GENSET #3'!C37+'GENSET #4'!C37+'GENSET #5'!C37)</f>
        <v>104646084</v>
      </c>
      <c r="D32" s="350">
        <f t="shared" si="4"/>
        <v>25219</v>
      </c>
      <c r="E32" s="348">
        <f>'Gas-2'!G33</f>
        <v>270</v>
      </c>
      <c r="F32" s="350">
        <f t="shared" si="3"/>
        <v>0</v>
      </c>
      <c r="G32" s="350">
        <f>'GENSET #1'!D37</f>
        <v>5553</v>
      </c>
      <c r="H32" s="350">
        <f>'GENSET #2'!D37</f>
        <v>9746</v>
      </c>
      <c r="I32" s="350">
        <f>'GENSET #3'!D37</f>
        <v>4304</v>
      </c>
      <c r="J32" s="350">
        <f>'GENSET #4'!D37</f>
        <v>0</v>
      </c>
      <c r="K32" s="350">
        <f>'GENSET #5'!D37</f>
        <v>5616</v>
      </c>
      <c r="L32" s="350">
        <f>'FEEDER Consumption '!E32</f>
        <v>4001</v>
      </c>
      <c r="M32" s="350">
        <f>'FEEDER Consumption '!J32</f>
        <v>4065</v>
      </c>
      <c r="N32" s="350">
        <f>'FEEDER Consumption '!O32</f>
        <v>11566</v>
      </c>
      <c r="O32" s="350">
        <f>'FEEDER Consumption '!T32</f>
        <v>2400</v>
      </c>
      <c r="P32" s="350">
        <f>'FEEDER Consumption '!Y32</f>
        <v>2868</v>
      </c>
      <c r="Q32" s="350">
        <f>'FEEDER Consumption '!AD32</f>
        <v>0</v>
      </c>
      <c r="R32" s="350">
        <f>'FEEDER Consumption '!AJ32</f>
        <v>493</v>
      </c>
      <c r="S32" s="350">
        <f>'FEEDER Consumption '!AO32</f>
        <v>700</v>
      </c>
      <c r="T32" s="350">
        <f>'FEEDER Consumption '!AT32</f>
        <v>1300</v>
      </c>
      <c r="U32" s="350">
        <f>'FEEDER Consumption '!AY32</f>
        <v>3560</v>
      </c>
      <c r="V32" s="350">
        <f>'FEEDER Consumption '!BI32</f>
        <v>300</v>
      </c>
      <c r="W32" s="350">
        <f>'FEEDER Consumption '!BI32</f>
        <v>300</v>
      </c>
      <c r="X32" s="350">
        <f>'FEEDER Consumption '!BN32</f>
        <v>600</v>
      </c>
      <c r="Y32" s="350">
        <f>'FEEDER Consumption '!BS32</f>
        <v>160</v>
      </c>
      <c r="Z32" s="350">
        <f>'FEEDER Consumption '!BX32</f>
        <v>510</v>
      </c>
      <c r="AA32" s="350">
        <f>'FEEDER Consumption '!CC32</f>
        <v>1200</v>
      </c>
      <c r="AB32" s="350">
        <f>'FEEDER Consumption '!CH32</f>
        <v>380</v>
      </c>
      <c r="AC32" s="350">
        <f>'FEEDER Consumption '!CM32</f>
        <v>840</v>
      </c>
      <c r="AD32" s="350">
        <f>'FEEDER Consumption '!CR32</f>
        <v>0</v>
      </c>
      <c r="AE32" s="350">
        <f>'FEEDER Consumption '!DB32</f>
        <v>1000</v>
      </c>
      <c r="AF32" s="350">
        <f>'FEEDER Consumption '!DB32</f>
        <v>1000</v>
      </c>
      <c r="AG32" s="350">
        <f>'FEEDER Consumption '!DG32</f>
        <v>810</v>
      </c>
      <c r="AH32" s="350">
        <f>'FEEDER Consumption '!DL32</f>
        <v>530</v>
      </c>
      <c r="AI32" s="350">
        <f>'FEEDER Consumption '!DQ32</f>
        <v>300</v>
      </c>
      <c r="AJ32" s="350">
        <f>'FEEDER Consumption '!DV32</f>
        <v>140</v>
      </c>
      <c r="AK32" s="350">
        <f>'FEEDER Consumption '!EA32</f>
        <v>940</v>
      </c>
      <c r="AL32" s="350">
        <f>'FEEDER Consumption '!EF32</f>
        <v>280</v>
      </c>
      <c r="AM32" s="350">
        <f>'FEEDER Consumption '!EK32</f>
        <v>350</v>
      </c>
      <c r="AN32" s="351">
        <f>'FEEDER Consumption '!EP32</f>
        <v>530</v>
      </c>
      <c r="AO32" s="354">
        <f>SUM(WATER!C33,WATER!H33,WATER!M33,WATER!R33)</f>
        <v>1142706</v>
      </c>
      <c r="AP32" s="355">
        <f t="shared" si="2"/>
        <v>328</v>
      </c>
      <c r="AQ32" s="355">
        <f>WATER!D33</f>
        <v>155</v>
      </c>
      <c r="AR32" s="355">
        <f>WATER!I33</f>
        <v>84</v>
      </c>
      <c r="AS32" s="355">
        <f>WATER!N33</f>
        <v>54</v>
      </c>
      <c r="AT32" s="355">
        <f>WATER!S33</f>
        <v>35</v>
      </c>
      <c r="AU32" s="355">
        <f>WATER!AD33</f>
        <v>23</v>
      </c>
      <c r="AV32" s="355">
        <f>WATER!AI33</f>
        <v>6</v>
      </c>
      <c r="AW32" s="355">
        <f>WATER!AN33</f>
        <v>9</v>
      </c>
      <c r="AX32" s="355">
        <f>WATER!AS33</f>
        <v>12</v>
      </c>
      <c r="AY32" s="355">
        <f>WATER!AX33</f>
        <v>8</v>
      </c>
      <c r="AZ32" s="355">
        <f>WATER!BC33</f>
        <v>7</v>
      </c>
      <c r="BA32" s="355">
        <f>WATER!BH33</f>
        <v>5</v>
      </c>
      <c r="BB32" s="355">
        <f>WATER!BM33</f>
        <v>7</v>
      </c>
      <c r="BC32" s="355">
        <f>WATER!BR33</f>
        <v>1</v>
      </c>
      <c r="BD32" s="355">
        <f>WATER!BW33</f>
        <v>1</v>
      </c>
      <c r="BE32" s="355">
        <f>WATER!CB33</f>
        <v>3</v>
      </c>
      <c r="BF32" s="355">
        <f>WATER!CG33</f>
        <v>1</v>
      </c>
      <c r="BG32" s="355">
        <f>WATER!CL33</f>
        <v>26</v>
      </c>
      <c r="BH32" s="355">
        <f>WATER!CQ33</f>
        <v>4</v>
      </c>
      <c r="BI32" s="355">
        <f>WATER!CV33</f>
        <v>1</v>
      </c>
      <c r="BJ32" s="355">
        <f>WATER!DA33</f>
        <v>3</v>
      </c>
      <c r="BK32" s="355">
        <f>WATER!DF33</f>
        <v>3</v>
      </c>
      <c r="BL32" s="355">
        <f>WATER!DK33</f>
        <v>2</v>
      </c>
      <c r="BM32" s="355">
        <f>WATER!DP33</f>
        <v>15</v>
      </c>
      <c r="BN32" s="355">
        <f>WATER!DU33</f>
        <v>1</v>
      </c>
      <c r="BO32" s="355">
        <f>WATER!DZ33</f>
        <v>6</v>
      </c>
      <c r="BP32" s="177">
        <f>'Rooms nights and Food Covers'!B32</f>
        <v>32</v>
      </c>
      <c r="BQ32" s="177">
        <f>'Rooms nights and Food Covers'!C32</f>
        <v>231</v>
      </c>
    </row>
    <row r="33" spans="1:69" ht="36" customHeight="1" x14ac:dyDescent="0.25">
      <c r="A33" s="178">
        <f t="shared" si="0"/>
        <v>44894</v>
      </c>
      <c r="C33" s="348">
        <f>SUM('GENSET #1'!C38+'GENSET #2'!C38+'GENSET #3'!C38+'GENSET #4'!C38+'GENSET #5'!C38)</f>
        <v>104671847</v>
      </c>
      <c r="D33" s="350">
        <f t="shared" si="4"/>
        <v>25763</v>
      </c>
      <c r="E33" s="348">
        <f>'Gas-2'!G34</f>
        <v>180</v>
      </c>
      <c r="F33" s="350" t="str">
        <f t="shared" si="3"/>
        <v>0</v>
      </c>
      <c r="G33" s="350">
        <f>'GENSET #1'!D38</f>
        <v>2781</v>
      </c>
      <c r="H33" s="350">
        <f>'GENSET #2'!D38</f>
        <v>14401</v>
      </c>
      <c r="I33" s="350">
        <f>'GENSET #3'!D38</f>
        <v>685</v>
      </c>
      <c r="J33" s="350">
        <f>'GENSET #4'!D38</f>
        <v>0</v>
      </c>
      <c r="K33" s="350">
        <f>'GENSET #5'!D38</f>
        <v>7896</v>
      </c>
      <c r="L33" s="350">
        <f>'FEEDER Consumption '!E33</f>
        <v>3865</v>
      </c>
      <c r="M33" s="350">
        <f>'FEEDER Consumption '!J33</f>
        <v>4210</v>
      </c>
      <c r="N33" s="350">
        <f>'FEEDER Consumption '!O33</f>
        <v>11694</v>
      </c>
      <c r="O33" s="350">
        <f>'FEEDER Consumption '!T33</f>
        <v>2400</v>
      </c>
      <c r="P33" s="350">
        <f>'FEEDER Consumption '!Y33</f>
        <v>2833</v>
      </c>
      <c r="Q33" s="350">
        <f>'FEEDER Consumption '!AD33</f>
        <v>1500</v>
      </c>
      <c r="R33" s="350">
        <f>'FEEDER Consumption '!AJ33</f>
        <v>454</v>
      </c>
      <c r="S33" s="350">
        <f>'FEEDER Consumption '!AO33</f>
        <v>700</v>
      </c>
      <c r="T33" s="350">
        <f>'FEEDER Consumption '!AT33</f>
        <v>1500</v>
      </c>
      <c r="U33" s="350">
        <f>'FEEDER Consumption '!AY33</f>
        <v>3830</v>
      </c>
      <c r="V33" s="350">
        <f>'FEEDER Consumption '!BI33</f>
        <v>300</v>
      </c>
      <c r="W33" s="350">
        <f>'FEEDER Consumption '!BI33</f>
        <v>300</v>
      </c>
      <c r="X33" s="350">
        <f>'FEEDER Consumption '!BN33</f>
        <v>500</v>
      </c>
      <c r="Y33" s="350">
        <f>'FEEDER Consumption '!BS33</f>
        <v>170</v>
      </c>
      <c r="Z33" s="350">
        <f>'FEEDER Consumption '!BX33</f>
        <v>440</v>
      </c>
      <c r="AA33" s="350">
        <f>'FEEDER Consumption '!CC33</f>
        <v>1200</v>
      </c>
      <c r="AB33" s="350">
        <f>'FEEDER Consumption '!CH33</f>
        <v>400</v>
      </c>
      <c r="AC33" s="350">
        <f>'FEEDER Consumption '!CM33</f>
        <v>920</v>
      </c>
      <c r="AD33" s="350">
        <f>'FEEDER Consumption '!CR33</f>
        <v>750</v>
      </c>
      <c r="AE33" s="350">
        <f>'FEEDER Consumption '!DB33</f>
        <v>0</v>
      </c>
      <c r="AF33" s="350">
        <f>'FEEDER Consumption '!DB33</f>
        <v>0</v>
      </c>
      <c r="AG33" s="350">
        <f>'FEEDER Consumption '!DG33</f>
        <v>820</v>
      </c>
      <c r="AH33" s="350">
        <f>'FEEDER Consumption '!DL33</f>
        <v>630</v>
      </c>
      <c r="AI33" s="350">
        <f>'FEEDER Consumption '!DQ33</f>
        <v>300</v>
      </c>
      <c r="AJ33" s="350">
        <f>'FEEDER Consumption '!DV33</f>
        <v>260</v>
      </c>
      <c r="AK33" s="350">
        <f>'FEEDER Consumption '!EA33</f>
        <v>980</v>
      </c>
      <c r="AL33" s="350">
        <f>'FEEDER Consumption '!EF33</f>
        <v>290</v>
      </c>
      <c r="AM33" s="350">
        <f>'FEEDER Consumption '!EK33</f>
        <v>0</v>
      </c>
      <c r="AN33" s="351">
        <f>'FEEDER Consumption '!EP33</f>
        <v>0</v>
      </c>
      <c r="AO33" s="354">
        <f>SUM(WATER!C34,WATER!H34,WATER!M34,WATER!R34)</f>
        <v>1143046</v>
      </c>
      <c r="AP33" s="355">
        <f t="shared" si="2"/>
        <v>340</v>
      </c>
      <c r="AQ33" s="355">
        <f>WATER!D34</f>
        <v>227</v>
      </c>
      <c r="AR33" s="355">
        <f>WATER!I34</f>
        <v>0</v>
      </c>
      <c r="AS33" s="355">
        <f>WATER!N34</f>
        <v>1</v>
      </c>
      <c r="AT33" s="355">
        <f>WATER!S34</f>
        <v>112</v>
      </c>
      <c r="AU33" s="355">
        <f>WATER!AD34</f>
        <v>20</v>
      </c>
      <c r="AV33" s="355">
        <f>WATER!AI34</f>
        <v>4</v>
      </c>
      <c r="AW33" s="355">
        <f>WATER!AN34</f>
        <v>8</v>
      </c>
      <c r="AX33" s="355">
        <f>WATER!AS34</f>
        <v>12</v>
      </c>
      <c r="AY33" s="355">
        <f>WATER!AX34</f>
        <v>8</v>
      </c>
      <c r="AZ33" s="355">
        <f>WATER!BC34</f>
        <v>6</v>
      </c>
      <c r="BA33" s="355">
        <f>WATER!BH34</f>
        <v>6</v>
      </c>
      <c r="BB33" s="355">
        <f>WATER!BM34</f>
        <v>6</v>
      </c>
      <c r="BC33" s="355">
        <f>WATER!BR34</f>
        <v>1</v>
      </c>
      <c r="BD33" s="355">
        <f>WATER!BW34</f>
        <v>0</v>
      </c>
      <c r="BE33" s="355">
        <f>WATER!CB34</f>
        <v>4</v>
      </c>
      <c r="BF33" s="355">
        <f>WATER!CG34</f>
        <v>3</v>
      </c>
      <c r="BG33" s="355">
        <f>WATER!CL34</f>
        <v>23</v>
      </c>
      <c r="BH33" s="355">
        <f>WATER!CQ34</f>
        <v>15</v>
      </c>
      <c r="BI33" s="355">
        <f>WATER!CV34</f>
        <v>1</v>
      </c>
      <c r="BJ33" s="355">
        <f>WATER!DA34</f>
        <v>3</v>
      </c>
      <c r="BK33" s="355">
        <f>WATER!DF34</f>
        <v>1</v>
      </c>
      <c r="BL33" s="355">
        <f>WATER!DK34</f>
        <v>2</v>
      </c>
      <c r="BM33" s="355">
        <f>WATER!DP34</f>
        <v>15</v>
      </c>
      <c r="BN33" s="355">
        <f>WATER!DU34</f>
        <v>1</v>
      </c>
      <c r="BO33" s="355">
        <f>WATER!DZ34</f>
        <v>1</v>
      </c>
      <c r="BP33" s="177">
        <f>'Rooms nights and Food Covers'!B33</f>
        <v>38.799999999999997</v>
      </c>
      <c r="BQ33" s="177">
        <f>'Rooms nights and Food Covers'!C33</f>
        <v>296</v>
      </c>
    </row>
    <row r="34" spans="1:69" ht="36" customHeight="1" x14ac:dyDescent="0.25">
      <c r="A34" s="178">
        <f t="shared" si="0"/>
        <v>44895</v>
      </c>
      <c r="C34" s="348">
        <f>SUM('GENSET #1'!C39+'GENSET #2'!C39+'GENSET #3'!C39+'GENSET #4'!C39+'GENSET #5'!C39)</f>
        <v>104697810</v>
      </c>
      <c r="D34" s="350">
        <f t="shared" ref="D34" si="5">IF((C34-C33&lt;0), "0",C34-C33)</f>
        <v>25963</v>
      </c>
      <c r="E34" s="348">
        <f>'Gas-2'!G35</f>
        <v>270</v>
      </c>
      <c r="F34" s="350">
        <f t="shared" ref="F34" si="6">IF((E34-E33&lt;0), "0",E34-E33)</f>
        <v>90</v>
      </c>
      <c r="G34" s="350">
        <f>'GENSET #1'!D39</f>
        <v>7081</v>
      </c>
      <c r="H34" s="350">
        <f>'GENSET #2'!D39</f>
        <v>7070</v>
      </c>
      <c r="I34" s="350">
        <f>'GENSET #3'!D39</f>
        <v>3789</v>
      </c>
      <c r="J34" s="350">
        <f>'GENSET #4'!D39</f>
        <v>0</v>
      </c>
      <c r="K34" s="350">
        <f>'GENSET #5'!D39</f>
        <v>8023</v>
      </c>
      <c r="L34" s="350">
        <f>'FEEDER Consumption '!E34</f>
        <v>3797</v>
      </c>
      <c r="M34" s="350">
        <f>'FEEDER Consumption '!J34</f>
        <v>4393</v>
      </c>
      <c r="N34" s="350">
        <f>'FEEDER Consumption '!O34</f>
        <v>11846</v>
      </c>
      <c r="O34" s="350">
        <f>'FEEDER Consumption '!T34</f>
        <v>2400</v>
      </c>
      <c r="P34" s="350">
        <f>'FEEDER Consumption '!Y34</f>
        <v>2808</v>
      </c>
      <c r="Q34" s="350">
        <f>'FEEDER Consumption '!AD34</f>
        <v>3900</v>
      </c>
      <c r="R34" s="350">
        <f>'FEEDER Consumption '!AJ34</f>
        <v>407</v>
      </c>
      <c r="S34" s="350">
        <f>'FEEDER Consumption '!AO34</f>
        <v>700</v>
      </c>
      <c r="T34" s="350">
        <f>'FEEDER Consumption '!AT34</f>
        <v>1300</v>
      </c>
      <c r="U34" s="350">
        <f>'FEEDER Consumption '!AY34</f>
        <v>3930</v>
      </c>
      <c r="V34" s="350">
        <f>'FEEDER Consumption '!BI34</f>
        <v>300</v>
      </c>
      <c r="W34" s="350">
        <f>'FEEDER Consumption '!BI34</f>
        <v>300</v>
      </c>
      <c r="X34" s="350">
        <f>'FEEDER Consumption '!BN34</f>
        <v>500</v>
      </c>
      <c r="Y34" s="350">
        <f>'FEEDER Consumption '!BS34</f>
        <v>170</v>
      </c>
      <c r="Z34" s="350">
        <f>'FEEDER Consumption '!BX34</f>
        <v>440</v>
      </c>
      <c r="AA34" s="350">
        <f>'FEEDER Consumption '!CC34</f>
        <v>1300</v>
      </c>
      <c r="AB34" s="350">
        <f>'FEEDER Consumption '!CH34</f>
        <v>740</v>
      </c>
      <c r="AC34" s="350">
        <f>'FEEDER Consumption '!CM34</f>
        <v>840</v>
      </c>
      <c r="AD34" s="350">
        <f>'FEEDER Consumption '!CR34</f>
        <v>1770</v>
      </c>
      <c r="AE34" s="350">
        <f>'FEEDER Consumption '!DB34</f>
        <v>1000</v>
      </c>
      <c r="AF34" s="350">
        <f>'FEEDER Consumption '!DB34</f>
        <v>1000</v>
      </c>
      <c r="AG34" s="350">
        <f>'FEEDER Consumption '!DG34</f>
        <v>840</v>
      </c>
      <c r="AH34" s="350">
        <f>'FEEDER Consumption '!DL34</f>
        <v>630</v>
      </c>
      <c r="AI34" s="350">
        <f>'FEEDER Consumption '!DQ34</f>
        <v>0</v>
      </c>
      <c r="AJ34" s="350">
        <f>'FEEDER Consumption '!DV34</f>
        <v>0</v>
      </c>
      <c r="AK34" s="350">
        <f>'FEEDER Consumption '!EA34</f>
        <v>930</v>
      </c>
      <c r="AL34" s="350">
        <f>'FEEDER Consumption '!EF34</f>
        <v>260</v>
      </c>
      <c r="AM34" s="350">
        <f>'FEEDER Consumption '!EK34</f>
        <v>770</v>
      </c>
      <c r="AN34" s="351">
        <f>'FEEDER Consumption '!EP34</f>
        <v>490</v>
      </c>
      <c r="AO34" s="354">
        <f>SUM(WATER!C35,WATER!H35,WATER!M35,WATER!R35)</f>
        <v>1143399</v>
      </c>
      <c r="AP34" s="355">
        <f t="shared" ref="AP34" si="7">IF((AO34-AO33&lt;0), "0",AO34-AO33)</f>
        <v>353</v>
      </c>
      <c r="AQ34" s="355">
        <f>WATER!D35</f>
        <v>204</v>
      </c>
      <c r="AR34" s="355">
        <f>WATER!I35</f>
        <v>101</v>
      </c>
      <c r="AS34" s="355">
        <f>WATER!N35</f>
        <v>0</v>
      </c>
      <c r="AT34" s="355">
        <f>WATER!S35</f>
        <v>48</v>
      </c>
      <c r="AU34" s="355">
        <f>WATER!AD35</f>
        <v>20</v>
      </c>
      <c r="AV34" s="355">
        <f>WATER!AI35</f>
        <v>6</v>
      </c>
      <c r="AW34" s="355">
        <f>WATER!AN35</f>
        <v>9</v>
      </c>
      <c r="AX34" s="355">
        <f>WATER!AS35</f>
        <v>10</v>
      </c>
      <c r="AY34" s="355">
        <f>WATER!AX35</f>
        <v>7</v>
      </c>
      <c r="AZ34" s="355">
        <f>WATER!BC35</f>
        <v>6</v>
      </c>
      <c r="BA34" s="355">
        <f>WATER!BH35</f>
        <v>4</v>
      </c>
      <c r="BB34" s="355">
        <f>WATER!BM35</f>
        <v>7</v>
      </c>
      <c r="BC34" s="355">
        <f>WATER!BR35</f>
        <v>1</v>
      </c>
      <c r="BD34" s="355">
        <f>WATER!BW35</f>
        <v>1</v>
      </c>
      <c r="BE34" s="355">
        <f>WATER!CB35</f>
        <v>2</v>
      </c>
      <c r="BF34" s="355">
        <f>WATER!CG35</f>
        <v>1</v>
      </c>
      <c r="BG34" s="355">
        <f>WATER!CL35</f>
        <v>26</v>
      </c>
      <c r="BH34" s="355">
        <f>WATER!CQ35</f>
        <v>11</v>
      </c>
      <c r="BI34" s="355">
        <f>WATER!CV35</f>
        <v>1</v>
      </c>
      <c r="BJ34" s="355">
        <f>WATER!DA35</f>
        <v>-29</v>
      </c>
      <c r="BK34" s="355">
        <f>WATER!DF35</f>
        <v>3</v>
      </c>
      <c r="BL34" s="355">
        <f>WATER!DK35</f>
        <v>2</v>
      </c>
      <c r="BM34" s="355">
        <f>WATER!DP35</f>
        <v>15</v>
      </c>
      <c r="BN34" s="355">
        <f>WATER!DU35</f>
        <v>1</v>
      </c>
      <c r="BO34" s="355">
        <f>WATER!DZ35</f>
        <v>2</v>
      </c>
      <c r="BP34" s="177">
        <f>'Rooms nights and Food Covers'!B34</f>
        <v>35.9</v>
      </c>
      <c r="BQ34" s="177">
        <f>'Rooms nights and Food Covers'!C34</f>
        <v>264</v>
      </c>
    </row>
    <row r="35" spans="1:69" ht="16.5" x14ac:dyDescent="0.25">
      <c r="C35" s="173"/>
      <c r="D35" s="179"/>
      <c r="E35" s="173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346"/>
      <c r="AO35" s="347"/>
      <c r="AP35" s="179"/>
      <c r="AQ35" s="344"/>
      <c r="AR35" s="344"/>
      <c r="AS35" s="344"/>
      <c r="AT35" s="344"/>
      <c r="AU35" s="344"/>
      <c r="AV35" s="344"/>
      <c r="AW35" s="344"/>
      <c r="AX35" s="344"/>
      <c r="AY35" s="344"/>
      <c r="AZ35" s="344"/>
      <c r="BA35" s="344"/>
      <c r="BB35" s="344"/>
      <c r="BC35" s="344"/>
      <c r="BD35" s="344"/>
      <c r="BE35" s="344"/>
      <c r="BF35" s="344"/>
      <c r="BG35" s="344"/>
      <c r="BH35" s="344"/>
      <c r="BI35" s="344"/>
      <c r="BJ35" s="344"/>
      <c r="BK35" s="344"/>
      <c r="BL35" s="344"/>
      <c r="BM35" s="344"/>
      <c r="BN35" s="344"/>
      <c r="BO35" s="344"/>
    </row>
  </sheetData>
  <mergeCells count="5">
    <mergeCell ref="B1:B32"/>
    <mergeCell ref="AO1:AP1"/>
    <mergeCell ref="C2:D2"/>
    <mergeCell ref="E2:F2"/>
    <mergeCell ref="AO2:AP2"/>
  </mergeCells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03BE-8DC0-41B3-8B49-E8AB8A8CAA5C}">
  <dimension ref="A1:C34"/>
  <sheetViews>
    <sheetView workbookViewId="0">
      <selection activeCell="C3" sqref="C3"/>
    </sheetView>
  </sheetViews>
  <sheetFormatPr defaultRowHeight="15" x14ac:dyDescent="0.25"/>
  <cols>
    <col min="1" max="1" width="14" style="167" customWidth="1"/>
    <col min="2" max="3" width="13" style="184" customWidth="1"/>
  </cols>
  <sheetData>
    <row r="1" spans="1:3" ht="24" thickBot="1" x14ac:dyDescent="0.45">
      <c r="A1" s="165"/>
      <c r="B1" s="180"/>
      <c r="C1" s="180"/>
    </row>
    <row r="2" spans="1:3" ht="18" thickBot="1" x14ac:dyDescent="0.25">
      <c r="A2" s="341" t="s">
        <v>86</v>
      </c>
      <c r="B2" s="183"/>
      <c r="C2" s="183"/>
    </row>
    <row r="3" spans="1:3" ht="30" x14ac:dyDescent="0.2">
      <c r="A3" s="168" t="s">
        <v>39</v>
      </c>
      <c r="B3" s="183" t="s">
        <v>96</v>
      </c>
      <c r="C3" s="183" t="s">
        <v>164</v>
      </c>
    </row>
    <row r="4" spans="1:3" x14ac:dyDescent="0.2">
      <c r="A4" s="172">
        <v>44865</v>
      </c>
      <c r="B4" s="177">
        <v>32</v>
      </c>
      <c r="C4" s="177">
        <v>195</v>
      </c>
    </row>
    <row r="5" spans="1:3" x14ac:dyDescent="0.2">
      <c r="A5" s="178">
        <f>A4+1</f>
        <v>44866</v>
      </c>
      <c r="B5" s="180">
        <v>30.1</v>
      </c>
      <c r="C5" s="180">
        <v>244</v>
      </c>
    </row>
    <row r="6" spans="1:3" x14ac:dyDescent="0.2">
      <c r="A6" s="178">
        <f t="shared" ref="A6:A34" si="0">A5+1</f>
        <v>44867</v>
      </c>
      <c r="B6" s="180">
        <v>34</v>
      </c>
      <c r="C6" s="180">
        <v>237</v>
      </c>
    </row>
    <row r="7" spans="1:3" x14ac:dyDescent="0.2">
      <c r="A7" s="178">
        <f t="shared" si="0"/>
        <v>44868</v>
      </c>
      <c r="B7" s="180">
        <v>34</v>
      </c>
      <c r="C7" s="180">
        <v>307</v>
      </c>
    </row>
    <row r="8" spans="1:3" x14ac:dyDescent="0.2">
      <c r="A8" s="178">
        <f t="shared" si="0"/>
        <v>44869</v>
      </c>
      <c r="B8" s="180">
        <v>40.799999999999997</v>
      </c>
      <c r="C8" s="180">
        <v>306</v>
      </c>
    </row>
    <row r="9" spans="1:3" x14ac:dyDescent="0.2">
      <c r="A9" s="178">
        <f t="shared" si="0"/>
        <v>44870</v>
      </c>
      <c r="B9" s="180">
        <v>38.799999999999997</v>
      </c>
      <c r="C9" s="180">
        <v>298</v>
      </c>
    </row>
    <row r="10" spans="1:3" x14ac:dyDescent="0.2">
      <c r="A10" s="178">
        <f t="shared" si="0"/>
        <v>44871</v>
      </c>
      <c r="B10" s="180">
        <v>31.1</v>
      </c>
      <c r="C10" s="180">
        <v>299</v>
      </c>
    </row>
    <row r="11" spans="1:3" x14ac:dyDescent="0.2">
      <c r="A11" s="178">
        <f t="shared" si="0"/>
        <v>44872</v>
      </c>
      <c r="B11" s="180">
        <v>29.1</v>
      </c>
      <c r="C11" s="180">
        <v>247</v>
      </c>
    </row>
    <row r="12" spans="1:3" x14ac:dyDescent="0.2">
      <c r="A12" s="178">
        <f t="shared" si="0"/>
        <v>44873</v>
      </c>
      <c r="B12" s="180">
        <v>34</v>
      </c>
      <c r="C12" s="180">
        <v>274</v>
      </c>
    </row>
    <row r="13" spans="1:3" x14ac:dyDescent="0.2">
      <c r="A13" s="178">
        <f t="shared" si="0"/>
        <v>44874</v>
      </c>
      <c r="B13" s="180">
        <v>29.1</v>
      </c>
      <c r="C13" s="180">
        <v>222</v>
      </c>
    </row>
    <row r="14" spans="1:3" x14ac:dyDescent="0.2">
      <c r="A14" s="178">
        <f t="shared" si="0"/>
        <v>44875</v>
      </c>
      <c r="B14" s="180">
        <v>27.2</v>
      </c>
      <c r="C14" s="180">
        <v>209</v>
      </c>
    </row>
    <row r="15" spans="1:3" x14ac:dyDescent="0.2">
      <c r="A15" s="178">
        <f t="shared" si="0"/>
        <v>44876</v>
      </c>
      <c r="B15" s="180">
        <v>30.1</v>
      </c>
      <c r="C15" s="180">
        <v>226</v>
      </c>
    </row>
    <row r="16" spans="1:3" x14ac:dyDescent="0.2">
      <c r="A16" s="178">
        <f t="shared" si="0"/>
        <v>44877</v>
      </c>
      <c r="B16" s="180">
        <v>36.9</v>
      </c>
      <c r="C16" s="180">
        <v>237</v>
      </c>
    </row>
    <row r="17" spans="1:3" x14ac:dyDescent="0.2">
      <c r="A17" s="178">
        <f t="shared" si="0"/>
        <v>44878</v>
      </c>
      <c r="B17" s="180">
        <v>39.799999999999997</v>
      </c>
      <c r="C17" s="180">
        <v>261</v>
      </c>
    </row>
    <row r="18" spans="1:3" x14ac:dyDescent="0.2">
      <c r="A18" s="178">
        <f t="shared" si="0"/>
        <v>44879</v>
      </c>
      <c r="B18" s="180">
        <v>35.9</v>
      </c>
      <c r="C18" s="180">
        <v>249</v>
      </c>
    </row>
    <row r="19" spans="1:3" x14ac:dyDescent="0.2">
      <c r="A19" s="178">
        <f t="shared" si="0"/>
        <v>44880</v>
      </c>
      <c r="B19" s="180">
        <v>46.6</v>
      </c>
      <c r="C19" s="180">
        <v>281</v>
      </c>
    </row>
    <row r="20" spans="1:3" x14ac:dyDescent="0.2">
      <c r="A20" s="178">
        <f t="shared" si="0"/>
        <v>44881</v>
      </c>
      <c r="B20" s="180">
        <v>49.5</v>
      </c>
      <c r="C20" s="180">
        <v>276</v>
      </c>
    </row>
    <row r="21" spans="1:3" x14ac:dyDescent="0.2">
      <c r="A21" s="178">
        <f t="shared" si="0"/>
        <v>44882</v>
      </c>
      <c r="B21" s="180">
        <v>41.7</v>
      </c>
      <c r="C21" s="180">
        <v>255</v>
      </c>
    </row>
    <row r="22" spans="1:3" x14ac:dyDescent="0.2">
      <c r="A22" s="178">
        <f t="shared" si="0"/>
        <v>44883</v>
      </c>
      <c r="B22" s="180">
        <v>31.1</v>
      </c>
      <c r="C22" s="180">
        <v>221</v>
      </c>
    </row>
    <row r="23" spans="1:3" x14ac:dyDescent="0.2">
      <c r="A23" s="178">
        <f t="shared" si="0"/>
        <v>44884</v>
      </c>
      <c r="B23" s="180">
        <v>33</v>
      </c>
      <c r="C23" s="180">
        <v>241</v>
      </c>
    </row>
    <row r="24" spans="1:3" x14ac:dyDescent="0.2">
      <c r="A24" s="178">
        <f t="shared" si="0"/>
        <v>44885</v>
      </c>
      <c r="B24" s="180">
        <v>35</v>
      </c>
      <c r="C24" s="180">
        <v>236</v>
      </c>
    </row>
    <row r="25" spans="1:3" x14ac:dyDescent="0.2">
      <c r="A25" s="178">
        <f t="shared" si="0"/>
        <v>44886</v>
      </c>
      <c r="B25" s="180">
        <v>35.9</v>
      </c>
      <c r="C25" s="180">
        <v>238</v>
      </c>
    </row>
    <row r="26" spans="1:3" x14ac:dyDescent="0.2">
      <c r="A26" s="178">
        <f t="shared" si="0"/>
        <v>44887</v>
      </c>
      <c r="B26" s="180">
        <v>29.1</v>
      </c>
      <c r="C26" s="180">
        <v>191</v>
      </c>
    </row>
    <row r="27" spans="1:3" x14ac:dyDescent="0.2">
      <c r="A27" s="178">
        <f t="shared" si="0"/>
        <v>44888</v>
      </c>
      <c r="B27" s="180">
        <v>40.799999999999997</v>
      </c>
      <c r="C27" s="180">
        <v>304</v>
      </c>
    </row>
    <row r="28" spans="1:3" x14ac:dyDescent="0.2">
      <c r="A28" s="178">
        <f t="shared" si="0"/>
        <v>44889</v>
      </c>
      <c r="B28" s="180">
        <v>38.799999999999997</v>
      </c>
      <c r="C28" s="180">
        <v>269</v>
      </c>
    </row>
    <row r="29" spans="1:3" x14ac:dyDescent="0.2">
      <c r="A29" s="178">
        <f t="shared" si="0"/>
        <v>44890</v>
      </c>
      <c r="B29" s="180">
        <v>39.799999999999997</v>
      </c>
      <c r="C29" s="180">
        <v>302</v>
      </c>
    </row>
    <row r="30" spans="1:3" x14ac:dyDescent="0.2">
      <c r="A30" s="178">
        <f t="shared" si="0"/>
        <v>44891</v>
      </c>
      <c r="B30" s="180">
        <v>38.799999999999997</v>
      </c>
      <c r="C30" s="180">
        <v>261</v>
      </c>
    </row>
    <row r="31" spans="1:3" x14ac:dyDescent="0.2">
      <c r="A31" s="178">
        <f t="shared" si="0"/>
        <v>44892</v>
      </c>
      <c r="B31" s="180">
        <v>35</v>
      </c>
      <c r="C31" s="180">
        <v>249</v>
      </c>
    </row>
    <row r="32" spans="1:3" x14ac:dyDescent="0.2">
      <c r="A32" s="178">
        <f t="shared" si="0"/>
        <v>44893</v>
      </c>
      <c r="B32" s="308">
        <v>32</v>
      </c>
      <c r="C32" s="180">
        <v>231</v>
      </c>
    </row>
    <row r="33" spans="1:3" x14ac:dyDescent="0.2">
      <c r="A33" s="178">
        <f t="shared" si="0"/>
        <v>44894</v>
      </c>
      <c r="B33" s="180">
        <v>38.799999999999997</v>
      </c>
      <c r="C33" s="180">
        <v>296</v>
      </c>
    </row>
    <row r="34" spans="1:3" x14ac:dyDescent="0.2">
      <c r="A34" s="178">
        <f t="shared" si="0"/>
        <v>44895</v>
      </c>
      <c r="B34" s="180">
        <v>35.9</v>
      </c>
      <c r="C34" s="180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topLeftCell="A10" zoomScaleNormal="100" workbookViewId="0">
      <selection activeCell="F37" sqref="F37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79" t="s">
        <v>0</v>
      </c>
      <c r="B1" s="379"/>
      <c r="C1" s="379"/>
      <c r="D1" s="379"/>
      <c r="E1" s="379"/>
      <c r="F1" s="379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44909.763650694447</v>
      </c>
      <c r="I3" s="270"/>
      <c r="J3" s="88">
        <f ca="1">H3-G3</f>
        <v>439.76365069444728</v>
      </c>
    </row>
    <row r="4" spans="1:10" x14ac:dyDescent="0.2">
      <c r="A4" s="5" t="s">
        <v>3</v>
      </c>
      <c r="B4" s="75">
        <v>44867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78"/>
      <c r="F6" s="378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24170</v>
      </c>
      <c r="C8" s="93">
        <f>'Diesel consumption'!D5</f>
        <v>6640</v>
      </c>
      <c r="D8" s="111">
        <f>'SOLAR METER READING'!D9</f>
        <v>3114</v>
      </c>
      <c r="E8" s="108">
        <f>'Gas-2'!G6</f>
        <v>90</v>
      </c>
      <c r="F8" s="93">
        <f>WATER!V6</f>
        <v>382</v>
      </c>
      <c r="G8" s="284">
        <f>WATER!W6</f>
        <v>30.1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25024</v>
      </c>
      <c r="C9" s="93">
        <f>'Diesel consumption'!D6</f>
        <v>6920</v>
      </c>
      <c r="D9" s="111">
        <f>'SOLAR METER READING'!D10</f>
        <v>3123</v>
      </c>
      <c r="E9" s="108">
        <f>'Gas-2'!G7</f>
        <v>270</v>
      </c>
      <c r="F9" s="93">
        <f>WATER!V7</f>
        <v>352</v>
      </c>
      <c r="G9" s="284">
        <f>WATER!W7</f>
        <v>34</v>
      </c>
      <c r="H9" s="17">
        <f>'SOLAR METER READING'!E10</f>
        <v>0</v>
      </c>
      <c r="I9" s="73">
        <f>'SOLAR METER READING'!F10</f>
        <v>0</v>
      </c>
      <c r="J9" s="268">
        <f>B9-B8</f>
        <v>854</v>
      </c>
    </row>
    <row r="10" spans="1:10" ht="15.75" customHeight="1" x14ac:dyDescent="0.2">
      <c r="A10" s="59">
        <v>3</v>
      </c>
      <c r="B10" s="93">
        <f>SUM('GENSET #1:GENSET #5'!D12)</f>
        <v>25240</v>
      </c>
      <c r="C10" s="93">
        <f>'Diesel consumption'!D7</f>
        <v>7140</v>
      </c>
      <c r="D10" s="111">
        <f>'SOLAR METER READING'!D11</f>
        <v>3013</v>
      </c>
      <c r="E10" s="108">
        <f>'Gas-2'!G8</f>
        <v>225</v>
      </c>
      <c r="F10" s="93">
        <f>WATER!V8</f>
        <v>385</v>
      </c>
      <c r="G10" s="284">
        <f>WATER!W8</f>
        <v>34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216</v>
      </c>
    </row>
    <row r="11" spans="1:10" ht="15.75" customHeight="1" x14ac:dyDescent="0.2">
      <c r="A11" s="59">
        <v>4</v>
      </c>
      <c r="B11" s="93">
        <f>SUM('GENSET #1:GENSET #5'!D13)</f>
        <v>26491</v>
      </c>
      <c r="C11" s="93">
        <f>'Diesel consumption'!D8</f>
        <v>7510</v>
      </c>
      <c r="D11" s="111">
        <f>'SOLAR METER READING'!D12</f>
        <v>3102</v>
      </c>
      <c r="E11" s="108">
        <f>'Gas-2'!G9</f>
        <v>270</v>
      </c>
      <c r="F11" s="93">
        <f>WATER!V9</f>
        <v>375</v>
      </c>
      <c r="G11" s="284">
        <f>WATER!W9</f>
        <v>40.799999999999997</v>
      </c>
      <c r="H11" s="17">
        <f>'SOLAR METER READING'!E12</f>
        <v>0</v>
      </c>
      <c r="I11" s="73">
        <f>'SOLAR METER READING'!F12</f>
        <v>0</v>
      </c>
      <c r="J11" s="268">
        <f t="shared" si="0"/>
        <v>1251</v>
      </c>
    </row>
    <row r="12" spans="1:10" ht="15.75" customHeight="1" x14ac:dyDescent="0.2">
      <c r="A12" s="59">
        <v>5</v>
      </c>
      <c r="B12" s="93">
        <f>SUM('GENSET #1:GENSET #5'!D14)</f>
        <v>26146</v>
      </c>
      <c r="C12" s="93">
        <f>'Diesel consumption'!D9</f>
        <v>7530</v>
      </c>
      <c r="D12" s="111">
        <f>'SOLAR METER READING'!D13</f>
        <v>2935</v>
      </c>
      <c r="E12" s="108">
        <f>'Gas-2'!G10</f>
        <v>225</v>
      </c>
      <c r="F12" s="93">
        <f>WATER!V10</f>
        <v>371</v>
      </c>
      <c r="G12" s="284">
        <f>WATER!W10</f>
        <v>38.799999999999997</v>
      </c>
      <c r="H12" s="17">
        <f>'SOLAR METER READING'!E13</f>
        <v>0</v>
      </c>
      <c r="I12" s="73">
        <f>'SOLAR METER READING'!F13</f>
        <v>0</v>
      </c>
      <c r="J12" s="268">
        <f t="shared" si="0"/>
        <v>-345</v>
      </c>
    </row>
    <row r="13" spans="1:10" ht="15.75" customHeight="1" x14ac:dyDescent="0.2">
      <c r="A13" s="59">
        <v>6</v>
      </c>
      <c r="B13" s="93">
        <f>SUM('GENSET #1:GENSET #5'!D15)</f>
        <v>26840</v>
      </c>
      <c r="C13" s="93">
        <f>'Diesel consumption'!D10</f>
        <v>7310</v>
      </c>
      <c r="D13" s="111">
        <f>'SOLAR METER READING'!D14</f>
        <v>2929</v>
      </c>
      <c r="E13" s="108">
        <f>'Gas-2'!G11</f>
        <v>270</v>
      </c>
      <c r="F13" s="93">
        <f>WATER!V11</f>
        <v>385</v>
      </c>
      <c r="G13" s="284">
        <f>WATER!W11</f>
        <v>31.1</v>
      </c>
      <c r="H13" s="17">
        <f>'SOLAR METER READING'!E14</f>
        <v>0</v>
      </c>
      <c r="I13" s="73">
        <f>'SOLAR METER READING'!F14</f>
        <v>0</v>
      </c>
      <c r="J13" s="268">
        <f t="shared" si="0"/>
        <v>694</v>
      </c>
    </row>
    <row r="14" spans="1:10" ht="15.75" customHeight="1" x14ac:dyDescent="0.2">
      <c r="A14" s="59">
        <v>7</v>
      </c>
      <c r="B14" s="93">
        <f>SUM('GENSET #1:GENSET #5'!D16)</f>
        <v>26304</v>
      </c>
      <c r="C14" s="93">
        <f>'Diesel consumption'!D11</f>
        <v>7450</v>
      </c>
      <c r="D14" s="111">
        <f>'SOLAR METER READING'!D15</f>
        <v>3040</v>
      </c>
      <c r="E14" s="108">
        <f>'Gas-2'!G12</f>
        <v>270</v>
      </c>
      <c r="F14" s="93">
        <f>WATER!V12</f>
        <v>373</v>
      </c>
      <c r="G14" s="284">
        <f>WATER!W12</f>
        <v>29.1</v>
      </c>
      <c r="H14" s="17">
        <f>'SOLAR METER READING'!E15</f>
        <v>0</v>
      </c>
      <c r="I14" s="73">
        <f>'SOLAR METER READING'!F15</f>
        <v>0</v>
      </c>
      <c r="J14" s="268">
        <f t="shared" si="0"/>
        <v>-536</v>
      </c>
    </row>
    <row r="15" spans="1:10" ht="15.75" customHeight="1" x14ac:dyDescent="0.2">
      <c r="A15" s="59">
        <v>8</v>
      </c>
      <c r="B15" s="93">
        <f>SUM('GENSET #1:GENSET #5'!D17)</f>
        <v>26622</v>
      </c>
      <c r="C15" s="93">
        <f>'Diesel consumption'!D12</f>
        <v>7440</v>
      </c>
      <c r="D15" s="111">
        <f>'SOLAR METER READING'!D16</f>
        <v>2999</v>
      </c>
      <c r="E15" s="108">
        <f>'Gas-2'!G13</f>
        <v>270</v>
      </c>
      <c r="F15" s="93">
        <f>WATER!V13</f>
        <v>404</v>
      </c>
      <c r="G15" s="284">
        <f>WATER!W13</f>
        <v>34</v>
      </c>
      <c r="H15" s="17">
        <f>'SOLAR METER READING'!E16</f>
        <v>0</v>
      </c>
      <c r="I15" s="73">
        <f>'SOLAR METER READING'!F16</f>
        <v>0</v>
      </c>
      <c r="J15" s="268">
        <f t="shared" si="0"/>
        <v>318</v>
      </c>
    </row>
    <row r="16" spans="1:10" ht="15.75" customHeight="1" x14ac:dyDescent="0.2">
      <c r="A16" s="59">
        <v>9</v>
      </c>
      <c r="B16" s="93">
        <f>SUM('GENSET #1:GENSET #5'!D18)</f>
        <v>26674</v>
      </c>
      <c r="C16" s="93">
        <f>'Diesel consumption'!D13</f>
        <v>7570</v>
      </c>
      <c r="D16" s="111">
        <f>'SOLAR METER READING'!D17</f>
        <v>2587</v>
      </c>
      <c r="E16" s="108">
        <f>'Gas-2'!G14</f>
        <v>270</v>
      </c>
      <c r="F16" s="93">
        <f>WATER!V14</f>
        <v>356</v>
      </c>
      <c r="G16" s="284">
        <f>WATER!W14</f>
        <v>29.1</v>
      </c>
      <c r="H16" s="17">
        <f>'SOLAR METER READING'!E17</f>
        <v>0</v>
      </c>
      <c r="I16" s="73">
        <f>'SOLAR METER READING'!F17</f>
        <v>0</v>
      </c>
      <c r="J16" s="268">
        <f t="shared" si="0"/>
        <v>52</v>
      </c>
    </row>
    <row r="17" spans="1:10" ht="15.75" customHeight="1" x14ac:dyDescent="0.2">
      <c r="A17" s="59">
        <v>10</v>
      </c>
      <c r="B17" s="93">
        <f>SUM('GENSET #1:GENSET #5'!D19)</f>
        <v>26265</v>
      </c>
      <c r="C17" s="93">
        <f>'Diesel consumption'!D14</f>
        <v>7210</v>
      </c>
      <c r="D17" s="111">
        <f>'SOLAR METER READING'!D18</f>
        <v>2468</v>
      </c>
      <c r="E17" s="108">
        <f>'Gas-2'!G15</f>
        <v>90</v>
      </c>
      <c r="F17" s="93">
        <f>WATER!V15</f>
        <v>448</v>
      </c>
      <c r="G17" s="284">
        <f>WATER!W15</f>
        <v>27.2</v>
      </c>
      <c r="H17" s="17">
        <f>'SOLAR METER READING'!E18</f>
        <v>0</v>
      </c>
      <c r="I17" s="73">
        <f>'SOLAR METER READING'!F18</f>
        <v>0</v>
      </c>
      <c r="J17" s="268">
        <f t="shared" si="0"/>
        <v>-409</v>
      </c>
    </row>
    <row r="18" spans="1:10" ht="15.75" customHeight="1" x14ac:dyDescent="0.2">
      <c r="A18" s="59">
        <v>11</v>
      </c>
      <c r="B18" s="93">
        <f>SUM('GENSET #1:GENSET #5'!D20)</f>
        <v>26961</v>
      </c>
      <c r="C18" s="93">
        <f>'Diesel consumption'!D15</f>
        <v>7560</v>
      </c>
      <c r="D18" s="111">
        <f>'SOLAR METER READING'!D19</f>
        <v>2326</v>
      </c>
      <c r="E18" s="108">
        <f>'Gas-2'!G16</f>
        <v>90</v>
      </c>
      <c r="F18" s="93">
        <f>WATER!V16</f>
        <v>429</v>
      </c>
      <c r="G18" s="284">
        <f>WATER!W16</f>
        <v>30.1</v>
      </c>
      <c r="H18" s="17">
        <f>'SOLAR METER READING'!E19</f>
        <v>0</v>
      </c>
      <c r="I18" s="73">
        <f>'SOLAR METER READING'!F19</f>
        <v>0</v>
      </c>
      <c r="J18" s="268">
        <f t="shared" si="0"/>
        <v>696</v>
      </c>
    </row>
    <row r="19" spans="1:10" ht="15.75" customHeight="1" x14ac:dyDescent="0.2">
      <c r="A19" s="59">
        <v>12</v>
      </c>
      <c r="B19" s="93">
        <f>SUM('GENSET #1:GENSET #5'!D21)</f>
        <v>26816</v>
      </c>
      <c r="C19" s="93">
        <f>'Diesel consumption'!D16</f>
        <v>7570</v>
      </c>
      <c r="D19" s="111">
        <f>'SOLAR METER READING'!D20</f>
        <v>2599</v>
      </c>
      <c r="E19" s="108">
        <f>'Gas-2'!G17</f>
        <v>450</v>
      </c>
      <c r="F19" s="93">
        <f>WATER!V17</f>
        <v>519</v>
      </c>
      <c r="G19" s="284">
        <f>WATER!W17</f>
        <v>36.9</v>
      </c>
      <c r="H19" s="17">
        <f>'SOLAR METER READING'!E20</f>
        <v>0</v>
      </c>
      <c r="I19" s="73">
        <f>'SOLAR METER READING'!F20</f>
        <v>0</v>
      </c>
      <c r="J19" s="268">
        <f t="shared" si="0"/>
        <v>-145</v>
      </c>
    </row>
    <row r="20" spans="1:10" ht="15.75" customHeight="1" x14ac:dyDescent="0.2">
      <c r="A20" s="59">
        <v>13</v>
      </c>
      <c r="B20" s="93">
        <f>SUM('GENSET #1:GENSET #5'!D22)</f>
        <v>26047</v>
      </c>
      <c r="C20" s="93">
        <f>'Diesel consumption'!D17</f>
        <v>7310</v>
      </c>
      <c r="D20" s="111">
        <f>'SOLAR METER READING'!D21</f>
        <v>2537</v>
      </c>
      <c r="E20" s="108">
        <f>'Gas-2'!G18</f>
        <v>135</v>
      </c>
      <c r="F20" s="93">
        <f>WATER!V18</f>
        <v>486</v>
      </c>
      <c r="G20" s="284">
        <f>WATER!W18</f>
        <v>39.799999999999997</v>
      </c>
      <c r="H20" s="17">
        <f>'SOLAR METER READING'!E21</f>
        <v>0</v>
      </c>
      <c r="I20" s="73">
        <f>'SOLAR METER READING'!F21</f>
        <v>0</v>
      </c>
      <c r="J20" s="268">
        <f t="shared" si="0"/>
        <v>-769</v>
      </c>
    </row>
    <row r="21" spans="1:10" ht="15.75" customHeight="1" x14ac:dyDescent="0.2">
      <c r="A21" s="59">
        <v>14</v>
      </c>
      <c r="B21" s="93">
        <f>SUM('GENSET #1:GENSET #5'!D23)</f>
        <v>25401</v>
      </c>
      <c r="C21" s="93">
        <f>'Diesel consumption'!D18</f>
        <v>7040</v>
      </c>
      <c r="D21" s="111">
        <f>'SOLAR METER READING'!D22</f>
        <v>2073</v>
      </c>
      <c r="E21" s="108">
        <f>'Gas-2'!G19</f>
        <v>270</v>
      </c>
      <c r="F21" s="93">
        <f>WATER!V19</f>
        <v>390</v>
      </c>
      <c r="G21" s="284">
        <f>WATER!W19</f>
        <v>35.9</v>
      </c>
      <c r="H21" s="17">
        <f>'SOLAR METER READING'!E22</f>
        <v>0</v>
      </c>
      <c r="I21" s="73">
        <f>'SOLAR METER READING'!F22</f>
        <v>0</v>
      </c>
      <c r="J21" s="268">
        <f t="shared" si="0"/>
        <v>-646</v>
      </c>
    </row>
    <row r="22" spans="1:10" ht="15.75" customHeight="1" x14ac:dyDescent="0.2">
      <c r="A22" s="59">
        <v>15</v>
      </c>
      <c r="B22" s="93">
        <f>SUM('GENSET #1:GENSET #5'!D24)</f>
        <v>25193</v>
      </c>
      <c r="C22" s="93">
        <f>'Diesel consumption'!D19</f>
        <v>7040</v>
      </c>
      <c r="D22" s="111">
        <f>'SOLAR METER READING'!D23</f>
        <v>2143</v>
      </c>
      <c r="E22" s="108">
        <f>'Gas-2'!G20</f>
        <v>225</v>
      </c>
      <c r="F22" s="93">
        <f>WATER!V20</f>
        <v>332</v>
      </c>
      <c r="G22" s="284">
        <f>WATER!W20</f>
        <v>46.6</v>
      </c>
      <c r="H22" s="17">
        <f>'SOLAR METER READING'!E23</f>
        <v>0</v>
      </c>
      <c r="I22" s="73">
        <f>'SOLAR METER READING'!F23</f>
        <v>0</v>
      </c>
      <c r="J22" s="268">
        <f t="shared" si="0"/>
        <v>-208</v>
      </c>
    </row>
    <row r="23" spans="1:10" ht="15.75" customHeight="1" x14ac:dyDescent="0.2">
      <c r="A23" s="59">
        <v>16</v>
      </c>
      <c r="B23" s="93">
        <f>SUM('GENSET #1:GENSET #5'!D25)</f>
        <v>24884</v>
      </c>
      <c r="C23" s="93">
        <f>'Diesel consumption'!D20</f>
        <v>6980</v>
      </c>
      <c r="D23" s="111">
        <f>'SOLAR METER READING'!D24</f>
        <v>1845</v>
      </c>
      <c r="E23" s="108">
        <f>'Gas-2'!G21</f>
        <v>225</v>
      </c>
      <c r="F23" s="93">
        <f>WATER!V21</f>
        <v>326</v>
      </c>
      <c r="G23" s="284">
        <f>WATER!W21</f>
        <v>49.5</v>
      </c>
      <c r="H23" s="17">
        <f>'SOLAR METER READING'!E24</f>
        <v>0</v>
      </c>
      <c r="I23" s="73">
        <f>'SOLAR METER READING'!F24</f>
        <v>0</v>
      </c>
      <c r="J23" s="268">
        <f t="shared" si="0"/>
        <v>-309</v>
      </c>
    </row>
    <row r="24" spans="1:10" ht="15.75" customHeight="1" x14ac:dyDescent="0.2">
      <c r="A24" s="59">
        <v>17</v>
      </c>
      <c r="B24" s="93">
        <f>SUM('GENSET #1:GENSET #5'!D26)</f>
        <v>23553</v>
      </c>
      <c r="C24" s="93">
        <f>'Diesel consumption'!D21</f>
        <v>6720</v>
      </c>
      <c r="D24" s="111">
        <f>'SOLAR METER READING'!D25</f>
        <v>2347</v>
      </c>
      <c r="E24" s="108">
        <f>'Gas-2'!G22</f>
        <v>180</v>
      </c>
      <c r="F24" s="93">
        <f>WATER!V22</f>
        <v>312</v>
      </c>
      <c r="G24" s="284">
        <f>WATER!W22</f>
        <v>41.7</v>
      </c>
      <c r="H24" s="17">
        <f>'SOLAR METER READING'!E25</f>
        <v>0</v>
      </c>
      <c r="I24" s="73">
        <f>'SOLAR METER READING'!F25</f>
        <v>0</v>
      </c>
      <c r="J24" s="268">
        <f t="shared" si="0"/>
        <v>-1331</v>
      </c>
    </row>
    <row r="25" spans="1:10" ht="15.75" customHeight="1" x14ac:dyDescent="0.2">
      <c r="A25" s="59">
        <v>18</v>
      </c>
      <c r="B25" s="93">
        <f>SUM('GENSET #1:GENSET #5'!D27)</f>
        <v>22974</v>
      </c>
      <c r="C25" s="93">
        <f>'Diesel consumption'!D22</f>
        <v>6570</v>
      </c>
      <c r="D25" s="111">
        <f>'SOLAR METER READING'!D26</f>
        <v>1463</v>
      </c>
      <c r="E25" s="108">
        <f>'Gas-2'!G23</f>
        <v>180</v>
      </c>
      <c r="F25" s="93">
        <f>WATER!V23</f>
        <v>282</v>
      </c>
      <c r="G25" s="284">
        <f>WATER!W23</f>
        <v>31.1</v>
      </c>
      <c r="H25" s="17">
        <f>'SOLAR METER READING'!E26</f>
        <v>0</v>
      </c>
      <c r="I25" s="73">
        <f>'SOLAR METER READING'!F26</f>
        <v>0</v>
      </c>
      <c r="J25" s="268">
        <f t="shared" si="0"/>
        <v>-579</v>
      </c>
    </row>
    <row r="26" spans="1:10" ht="15.75" customHeight="1" x14ac:dyDescent="0.2">
      <c r="A26" s="59">
        <v>19</v>
      </c>
      <c r="B26" s="93">
        <f>SUM('GENSET #1:GENSET #5'!D28)</f>
        <v>23631</v>
      </c>
      <c r="C26" s="93">
        <f>'Diesel consumption'!D23</f>
        <v>6530</v>
      </c>
      <c r="D26" s="111">
        <f>'SOLAR METER READING'!D27</f>
        <v>2794</v>
      </c>
      <c r="E26" s="108">
        <f>'Gas-2'!G24</f>
        <v>225</v>
      </c>
      <c r="F26" s="93">
        <f>WATER!V24</f>
        <v>233</v>
      </c>
      <c r="G26" s="284">
        <f>WATER!W24</f>
        <v>33</v>
      </c>
      <c r="H26" s="17">
        <f>'SOLAR METER READING'!E27</f>
        <v>0</v>
      </c>
      <c r="I26" s="73">
        <f>'SOLAR METER READING'!F27</f>
        <v>0</v>
      </c>
      <c r="J26" s="268">
        <f t="shared" si="0"/>
        <v>657</v>
      </c>
    </row>
    <row r="27" spans="1:10" ht="15.75" customHeight="1" x14ac:dyDescent="0.2">
      <c r="A27" s="59">
        <v>20</v>
      </c>
      <c r="B27" s="93">
        <f>SUM('GENSET #1:GENSET #5'!D29)</f>
        <v>23020</v>
      </c>
      <c r="C27" s="93">
        <f>'Diesel consumption'!D24</f>
        <v>6510</v>
      </c>
      <c r="D27" s="111">
        <f>'SOLAR METER READING'!D28</f>
        <v>1110</v>
      </c>
      <c r="E27" s="108">
        <f>'Gas-2'!G25</f>
        <v>180</v>
      </c>
      <c r="F27" s="93">
        <f>WATER!V25</f>
        <v>298</v>
      </c>
      <c r="G27" s="284">
        <f>WATER!W25</f>
        <v>35</v>
      </c>
      <c r="H27" s="17">
        <f>'SOLAR METER READING'!E28</f>
        <v>0</v>
      </c>
      <c r="I27" s="73">
        <f>'SOLAR METER READING'!F28</f>
        <v>0</v>
      </c>
      <c r="J27" s="268">
        <f t="shared" si="0"/>
        <v>-611</v>
      </c>
    </row>
    <row r="28" spans="1:10" ht="15.75" customHeight="1" x14ac:dyDescent="0.2">
      <c r="A28" s="59">
        <v>21</v>
      </c>
      <c r="B28" s="93">
        <f>SUM('GENSET #1:GENSET #5'!D30)</f>
        <v>23064</v>
      </c>
      <c r="C28" s="93">
        <f>'Diesel consumption'!D25</f>
        <v>6520</v>
      </c>
      <c r="D28" s="111">
        <f>'SOLAR METER READING'!D29</f>
        <v>1484</v>
      </c>
      <c r="E28" s="108">
        <f>'Gas-2'!G26</f>
        <v>270</v>
      </c>
      <c r="F28" s="93">
        <f>WATER!V26</f>
        <v>260</v>
      </c>
      <c r="G28" s="284">
        <f>WATER!W26</f>
        <v>35.9</v>
      </c>
      <c r="H28" s="17">
        <f>'SOLAR METER READING'!E29</f>
        <v>0</v>
      </c>
      <c r="I28" s="73">
        <f>'SOLAR METER READING'!F29</f>
        <v>0</v>
      </c>
      <c r="J28" s="268">
        <f t="shared" si="0"/>
        <v>44</v>
      </c>
    </row>
    <row r="29" spans="1:10" ht="15.75" customHeight="1" x14ac:dyDescent="0.2">
      <c r="A29" s="59">
        <v>22</v>
      </c>
      <c r="B29" s="93">
        <f>SUM('GENSET #1:GENSET #5'!D31)</f>
        <v>23114</v>
      </c>
      <c r="C29" s="93">
        <f>'Diesel consumption'!D26</f>
        <v>6230</v>
      </c>
      <c r="D29" s="111">
        <f>'SOLAR METER READING'!D30</f>
        <v>3043</v>
      </c>
      <c r="E29" s="108">
        <f>'Gas-2'!G27</f>
        <v>180</v>
      </c>
      <c r="F29" s="93">
        <f>WATER!V27</f>
        <v>305</v>
      </c>
      <c r="G29" s="284">
        <f>WATER!W27</f>
        <v>29.1</v>
      </c>
      <c r="H29" s="17">
        <f>'SOLAR METER READING'!E30</f>
        <v>0</v>
      </c>
      <c r="I29" s="73">
        <f>'SOLAR METER READING'!F30</f>
        <v>0</v>
      </c>
      <c r="J29" s="268">
        <f t="shared" si="0"/>
        <v>50</v>
      </c>
    </row>
    <row r="30" spans="1:10" ht="15.75" customHeight="1" x14ac:dyDescent="0.2">
      <c r="A30" s="59">
        <v>23</v>
      </c>
      <c r="B30" s="93">
        <f>SUM('GENSET #1:GENSET #5'!D32)</f>
        <v>24773</v>
      </c>
      <c r="C30" s="93">
        <f>'Diesel consumption'!D27</f>
        <v>7170</v>
      </c>
      <c r="D30" s="111">
        <f>'SOLAR METER READING'!D31</f>
        <v>2688</v>
      </c>
      <c r="E30" s="108">
        <f>'Gas-2'!G28</f>
        <v>270</v>
      </c>
      <c r="F30" s="93">
        <f>WATER!V28</f>
        <v>299</v>
      </c>
      <c r="G30" s="284">
        <f>WATER!W28</f>
        <v>40.799999999999997</v>
      </c>
      <c r="H30" s="17">
        <f>'SOLAR METER READING'!E31</f>
        <v>0</v>
      </c>
      <c r="I30" s="73">
        <f>'SOLAR METER READING'!F31</f>
        <v>0</v>
      </c>
      <c r="J30" s="268">
        <f t="shared" si="0"/>
        <v>1659</v>
      </c>
    </row>
    <row r="31" spans="1:10" ht="15.75" customHeight="1" x14ac:dyDescent="0.2">
      <c r="A31" s="59">
        <v>24</v>
      </c>
      <c r="B31" s="93">
        <f>SUM('GENSET #1:GENSET #5'!D33)</f>
        <v>25497</v>
      </c>
      <c r="C31" s="93">
        <f>'Diesel consumption'!D28</f>
        <v>7200</v>
      </c>
      <c r="D31" s="111">
        <f>'SOLAR METER READING'!D32</f>
        <v>2931</v>
      </c>
      <c r="E31" s="108">
        <f>'Gas-2'!G29</f>
        <v>225</v>
      </c>
      <c r="F31" s="93">
        <f>WATER!V29</f>
        <v>314</v>
      </c>
      <c r="G31" s="284">
        <f>WATER!W29</f>
        <v>38.799999999999997</v>
      </c>
      <c r="H31" s="17">
        <f>'SOLAR METER READING'!E32</f>
        <v>0</v>
      </c>
      <c r="I31" s="73">
        <f>'SOLAR METER READING'!F32</f>
        <v>0</v>
      </c>
      <c r="J31" s="268">
        <f t="shared" si="0"/>
        <v>724</v>
      </c>
    </row>
    <row r="32" spans="1:10" ht="15.75" customHeight="1" x14ac:dyDescent="0.2">
      <c r="A32" s="59">
        <v>25</v>
      </c>
      <c r="B32" s="93">
        <f>SUM('GENSET #1:GENSET #5'!D34)</f>
        <v>25135</v>
      </c>
      <c r="C32" s="93">
        <f>'Diesel consumption'!D29</f>
        <v>6900</v>
      </c>
      <c r="D32" s="111">
        <f>'SOLAR METER READING'!D33</f>
        <v>2978</v>
      </c>
      <c r="E32" s="108">
        <f>'Gas-2'!G30</f>
        <v>225</v>
      </c>
      <c r="F32" s="93">
        <f>WATER!V30</f>
        <v>348</v>
      </c>
      <c r="G32" s="284">
        <f>WATER!W30</f>
        <v>39.799999999999997</v>
      </c>
      <c r="H32" s="17">
        <f>'SOLAR METER READING'!E33</f>
        <v>0</v>
      </c>
      <c r="I32" s="73">
        <f>'SOLAR METER READING'!F33</f>
        <v>0</v>
      </c>
      <c r="J32" s="268">
        <f t="shared" si="0"/>
        <v>-362</v>
      </c>
    </row>
    <row r="33" spans="1:12" ht="15.75" customHeight="1" x14ac:dyDescent="0.2">
      <c r="A33" s="59">
        <v>26</v>
      </c>
      <c r="B33" s="113">
        <f>SUM('GENSET #1:GENSET #5'!D35)</f>
        <v>24819</v>
      </c>
      <c r="C33" s="93">
        <f>'Diesel consumption'!D30</f>
        <v>7150</v>
      </c>
      <c r="D33" s="111">
        <f>'SOLAR METER READING'!D34</f>
        <v>3094</v>
      </c>
      <c r="E33" s="108">
        <f>'Gas-2'!G31</f>
        <v>225</v>
      </c>
      <c r="F33" s="93">
        <f>WATER!V31</f>
        <v>331</v>
      </c>
      <c r="G33" s="284">
        <f>WATER!W31</f>
        <v>38.799999999999997</v>
      </c>
      <c r="H33" s="17">
        <f>'SOLAR METER READING'!E34</f>
        <v>0</v>
      </c>
      <c r="I33" s="73">
        <f>'SOLAR METER READING'!F34</f>
        <v>0</v>
      </c>
      <c r="J33" s="268">
        <f t="shared" si="0"/>
        <v>-316</v>
      </c>
    </row>
    <row r="34" spans="1:12" ht="15.75" customHeight="1" x14ac:dyDescent="0.2">
      <c r="A34" s="59">
        <v>27</v>
      </c>
      <c r="B34" s="93">
        <f>SUM('GENSET #1:GENSET #5'!D36)</f>
        <v>24936</v>
      </c>
      <c r="C34" s="93">
        <f>'Diesel consumption'!D31</f>
        <v>6810</v>
      </c>
      <c r="D34" s="111">
        <f>'SOLAR METER READING'!D35</f>
        <v>3054</v>
      </c>
      <c r="E34" s="108">
        <f>'Gas-2'!G32</f>
        <v>270</v>
      </c>
      <c r="F34" s="93">
        <f>WATER!V32</f>
        <v>347</v>
      </c>
      <c r="G34" s="284">
        <f>WATER!W32</f>
        <v>35</v>
      </c>
      <c r="H34" s="17">
        <f>'SOLAR METER READING'!E35</f>
        <v>0</v>
      </c>
      <c r="I34" s="73">
        <f>'SOLAR METER READING'!F35</f>
        <v>0</v>
      </c>
      <c r="J34" s="268">
        <f t="shared" si="0"/>
        <v>117</v>
      </c>
    </row>
    <row r="35" spans="1:12" ht="15.75" customHeight="1" x14ac:dyDescent="0.2">
      <c r="A35" s="59">
        <v>28</v>
      </c>
      <c r="B35" s="93">
        <f>SUM('GENSET #1:GENSET #5'!D37)</f>
        <v>25219</v>
      </c>
      <c r="C35" s="93">
        <f>'Diesel consumption'!D32</f>
        <v>7160</v>
      </c>
      <c r="D35" s="111">
        <f>'SOLAR METER READING'!D36</f>
        <v>2848</v>
      </c>
      <c r="E35" s="108">
        <f>'Gas-2'!G33</f>
        <v>270</v>
      </c>
      <c r="F35" s="93">
        <f>WATER!V33</f>
        <v>328</v>
      </c>
      <c r="G35" s="284">
        <f>WATER!W33</f>
        <v>32</v>
      </c>
      <c r="H35" s="17">
        <f>'SOLAR METER READING'!E36</f>
        <v>0</v>
      </c>
      <c r="I35" s="73">
        <f>'SOLAR METER READING'!F36</f>
        <v>0</v>
      </c>
      <c r="J35" s="268">
        <f t="shared" si="0"/>
        <v>283</v>
      </c>
    </row>
    <row r="36" spans="1:12" ht="15.75" customHeight="1" x14ac:dyDescent="0.2">
      <c r="A36" s="59">
        <v>29</v>
      </c>
      <c r="B36" s="93">
        <f>SUM('GENSET #1:GENSET #5'!D38)</f>
        <v>25763</v>
      </c>
      <c r="C36" s="93">
        <f>'Diesel consumption'!D33</f>
        <v>7150</v>
      </c>
      <c r="D36" s="111">
        <f>'SOLAR METER READING'!D37</f>
        <v>2693</v>
      </c>
      <c r="E36" s="108">
        <f>'Gas-2'!G34</f>
        <v>180</v>
      </c>
      <c r="F36" s="93">
        <f>WATER!V34</f>
        <v>340</v>
      </c>
      <c r="G36" s="284">
        <f>WATER!W34</f>
        <v>38.799999999999997</v>
      </c>
      <c r="H36" s="17">
        <f>'SOLAR METER READING'!E37</f>
        <v>0</v>
      </c>
      <c r="I36" s="73">
        <f>'SOLAR METER READING'!F37</f>
        <v>0</v>
      </c>
      <c r="J36" s="268">
        <f t="shared" si="0"/>
        <v>544</v>
      </c>
    </row>
    <row r="37" spans="1:12" ht="15.75" customHeight="1" x14ac:dyDescent="0.2">
      <c r="A37" s="59">
        <v>30</v>
      </c>
      <c r="B37" s="93">
        <f>SUM('GENSET #1:GENSET #5'!D39)</f>
        <v>25963</v>
      </c>
      <c r="C37" s="93">
        <f>'Diesel consumption'!D34</f>
        <v>7330</v>
      </c>
      <c r="D37" s="111">
        <f>'SOLAR METER READING'!D38</f>
        <v>2950</v>
      </c>
      <c r="E37" s="108">
        <f>'Gas-2'!G35</f>
        <v>270</v>
      </c>
      <c r="F37" s="93">
        <f>WATER!V35</f>
        <v>353</v>
      </c>
      <c r="G37" s="284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200</v>
      </c>
    </row>
    <row r="38" spans="1:12" ht="15.75" hidden="1" customHeight="1" x14ac:dyDescent="0.2">
      <c r="A38" s="59">
        <v>31</v>
      </c>
      <c r="B38" s="93">
        <f>SUM('GENSET #1:GENSET #5'!D40)</f>
        <v>0</v>
      </c>
      <c r="C38" s="93">
        <f>'Diesel consumption'!D35</f>
        <v>0</v>
      </c>
      <c r="D38" s="111">
        <f>'SOLAR METER READING'!D39</f>
        <v>0</v>
      </c>
      <c r="E38" s="108" t="e">
        <f>'Gas-2'!#REF!</f>
        <v>#REF!</v>
      </c>
      <c r="F38" s="93">
        <f>WATER!V36</f>
        <v>0</v>
      </c>
      <c r="G38" s="284" t="e">
        <f>WATER!W36</f>
        <v>#REF!</v>
      </c>
      <c r="H38" s="17">
        <f>'SOLAR METER READING'!E39</f>
        <v>0</v>
      </c>
      <c r="I38" s="73"/>
      <c r="J38" s="268"/>
    </row>
    <row r="39" spans="1:12" ht="18.75" customHeight="1" thickBot="1" x14ac:dyDescent="0.25">
      <c r="A39" s="91" t="s">
        <v>7</v>
      </c>
      <c r="B39" s="337">
        <f>SUM(B8:B38)</f>
        <v>756539</v>
      </c>
      <c r="C39" s="337">
        <f>SUM(C8:C38)</f>
        <v>212170</v>
      </c>
      <c r="D39" s="337">
        <f>SUM(D8:D38)</f>
        <v>78310</v>
      </c>
      <c r="E39" s="339">
        <f>SUM(E8:E37)</f>
        <v>6795</v>
      </c>
      <c r="F39" s="338">
        <f>SUM(F8:F38)</f>
        <v>10663</v>
      </c>
      <c r="G39" s="284">
        <f>SUM(G8:G37)/30</f>
        <v>35.159999999999997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25217.966666666667</v>
      </c>
      <c r="C40" s="109">
        <f>C39/A41</f>
        <v>7072.333333333333</v>
      </c>
      <c r="D40" s="109">
        <f>D39/A41</f>
        <v>2610.3333333333335</v>
      </c>
      <c r="E40" s="64">
        <f>E39/A41</f>
        <v>226.5</v>
      </c>
      <c r="F40" s="2">
        <f>F39/A41</f>
        <v>355.43333333333334</v>
      </c>
    </row>
    <row r="41" spans="1:12" x14ac:dyDescent="0.2">
      <c r="A41" s="329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9" zoomScaleNormal="100" workbookViewId="0">
      <selection activeCell="B9" sqref="B9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80" t="s">
        <v>16</v>
      </c>
      <c r="D1" s="380"/>
    </row>
    <row r="2" spans="1:6" x14ac:dyDescent="0.2">
      <c r="C2" s="380"/>
      <c r="D2" s="380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44867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81" t="s">
        <v>18</v>
      </c>
      <c r="C8" s="382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20206709</v>
      </c>
      <c r="C10" s="69">
        <v>20208455</v>
      </c>
      <c r="D10" s="6">
        <f>MAX(0,C10-B10)</f>
        <v>1746</v>
      </c>
      <c r="E10" s="28"/>
      <c r="F10" s="28"/>
    </row>
    <row r="11" spans="1:6" ht="13.5" customHeight="1" x14ac:dyDescent="0.2">
      <c r="A11" s="29">
        <v>2</v>
      </c>
      <c r="B11" s="30">
        <f>C10</f>
        <v>20208455</v>
      </c>
      <c r="C11" s="69">
        <v>20214286</v>
      </c>
      <c r="D11" s="6">
        <f t="shared" ref="D11:D40" si="0">MAX(0,C11-B11)</f>
        <v>5831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20214286</v>
      </c>
      <c r="C12" s="69">
        <v>20221761</v>
      </c>
      <c r="D12" s="6">
        <f t="shared" si="0"/>
        <v>7475</v>
      </c>
      <c r="E12" s="33"/>
      <c r="F12" s="33"/>
    </row>
    <row r="13" spans="1:6" ht="13.5" customHeight="1" x14ac:dyDescent="0.2">
      <c r="A13" s="29">
        <v>4</v>
      </c>
      <c r="B13" s="30">
        <f t="shared" si="1"/>
        <v>20221761</v>
      </c>
      <c r="C13" s="69">
        <v>20230861</v>
      </c>
      <c r="D13" s="6">
        <f t="shared" si="0"/>
        <v>9100</v>
      </c>
      <c r="E13" s="33"/>
      <c r="F13" s="33"/>
    </row>
    <row r="14" spans="1:6" ht="13.5" customHeight="1" x14ac:dyDescent="0.2">
      <c r="A14" s="29">
        <v>5</v>
      </c>
      <c r="B14" s="30">
        <f t="shared" si="1"/>
        <v>20230861</v>
      </c>
      <c r="C14" s="69">
        <v>20240645</v>
      </c>
      <c r="D14" s="6">
        <f t="shared" si="0"/>
        <v>9784</v>
      </c>
      <c r="E14" s="33"/>
      <c r="F14" s="33"/>
    </row>
    <row r="15" spans="1:6" ht="13.5" customHeight="1" x14ac:dyDescent="0.2">
      <c r="A15" s="29">
        <v>6</v>
      </c>
      <c r="B15" s="30">
        <f t="shared" si="1"/>
        <v>20240645</v>
      </c>
      <c r="C15" s="69">
        <v>20243814</v>
      </c>
      <c r="D15" s="6">
        <f t="shared" si="0"/>
        <v>3169</v>
      </c>
      <c r="E15" s="33"/>
      <c r="F15" s="33"/>
    </row>
    <row r="16" spans="1:6" ht="13.5" customHeight="1" x14ac:dyDescent="0.2">
      <c r="A16" s="29">
        <v>7</v>
      </c>
      <c r="B16" s="30">
        <f t="shared" si="1"/>
        <v>20243814</v>
      </c>
      <c r="C16" s="69">
        <v>20251163</v>
      </c>
      <c r="D16" s="6">
        <f t="shared" si="0"/>
        <v>7349</v>
      </c>
      <c r="E16" s="33"/>
      <c r="F16" s="33"/>
    </row>
    <row r="17" spans="1:6" ht="13.5" customHeight="1" x14ac:dyDescent="0.2">
      <c r="A17" s="29">
        <v>8</v>
      </c>
      <c r="B17" s="30">
        <f t="shared" si="1"/>
        <v>20251163</v>
      </c>
      <c r="C17" s="69">
        <v>20253550</v>
      </c>
      <c r="D17" s="6">
        <f t="shared" si="0"/>
        <v>2387</v>
      </c>
      <c r="E17" s="33"/>
      <c r="F17" s="33"/>
    </row>
    <row r="18" spans="1:6" ht="13.5" customHeight="1" x14ac:dyDescent="0.2">
      <c r="A18" s="29">
        <v>9</v>
      </c>
      <c r="B18" s="30">
        <f t="shared" si="1"/>
        <v>20253550</v>
      </c>
      <c r="C18" s="69">
        <v>20260161</v>
      </c>
      <c r="D18" s="6">
        <f t="shared" si="0"/>
        <v>6611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20260161</v>
      </c>
      <c r="C19" s="69">
        <v>20261354</v>
      </c>
      <c r="D19" s="6">
        <f t="shared" si="0"/>
        <v>1193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20261354</v>
      </c>
      <c r="C20" s="69">
        <v>20268603</v>
      </c>
      <c r="D20" s="6">
        <f t="shared" si="0"/>
        <v>7249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20268603</v>
      </c>
      <c r="C21" s="69">
        <v>20273156</v>
      </c>
      <c r="D21" s="6">
        <f t="shared" si="0"/>
        <v>4553</v>
      </c>
      <c r="E21" s="33"/>
      <c r="F21" s="33"/>
    </row>
    <row r="22" spans="1:6" ht="13.5" customHeight="1" x14ac:dyDescent="0.2">
      <c r="A22" s="29">
        <v>13</v>
      </c>
      <c r="B22" s="30">
        <f t="shared" si="1"/>
        <v>20273156</v>
      </c>
      <c r="C22" s="69">
        <v>20283084</v>
      </c>
      <c r="D22" s="6">
        <f t="shared" si="0"/>
        <v>9928</v>
      </c>
      <c r="E22" s="33"/>
      <c r="F22" s="33"/>
    </row>
    <row r="23" spans="1:6" ht="13.5" customHeight="1" x14ac:dyDescent="0.2">
      <c r="A23" s="29">
        <v>14</v>
      </c>
      <c r="B23" s="30">
        <f t="shared" si="1"/>
        <v>20283084</v>
      </c>
      <c r="C23" s="69">
        <v>20283084</v>
      </c>
      <c r="D23" s="6">
        <f t="shared" si="0"/>
        <v>0</v>
      </c>
      <c r="E23" s="33"/>
      <c r="F23" s="33"/>
    </row>
    <row r="24" spans="1:6" ht="13.5" customHeight="1" x14ac:dyDescent="0.2">
      <c r="A24" s="29">
        <v>15</v>
      </c>
      <c r="B24" s="30">
        <f t="shared" si="1"/>
        <v>20283084</v>
      </c>
      <c r="C24" s="69">
        <v>20287118</v>
      </c>
      <c r="D24" s="6">
        <f t="shared" si="0"/>
        <v>4034</v>
      </c>
      <c r="E24" s="33"/>
      <c r="F24" s="33"/>
    </row>
    <row r="25" spans="1:6" ht="13.5" customHeight="1" x14ac:dyDescent="0.2">
      <c r="A25" s="29">
        <v>16</v>
      </c>
      <c r="B25" s="30">
        <f t="shared" si="1"/>
        <v>20287118</v>
      </c>
      <c r="C25" s="69">
        <v>20291923</v>
      </c>
      <c r="D25" s="6">
        <f t="shared" si="0"/>
        <v>4805</v>
      </c>
      <c r="E25" s="33"/>
      <c r="F25" s="33"/>
    </row>
    <row r="26" spans="1:6" ht="13.5" customHeight="1" x14ac:dyDescent="0.2">
      <c r="A26" s="29">
        <v>17</v>
      </c>
      <c r="B26" s="30">
        <f t="shared" si="1"/>
        <v>20291923</v>
      </c>
      <c r="C26" s="69">
        <v>20297109</v>
      </c>
      <c r="D26" s="6">
        <f t="shared" si="0"/>
        <v>5186</v>
      </c>
      <c r="E26" s="33"/>
      <c r="F26" s="33"/>
    </row>
    <row r="27" spans="1:6" ht="13.5" customHeight="1" x14ac:dyDescent="0.2">
      <c r="A27" s="29">
        <v>18</v>
      </c>
      <c r="B27" s="30">
        <f t="shared" si="1"/>
        <v>20297109</v>
      </c>
      <c r="C27" s="69">
        <v>20301521</v>
      </c>
      <c r="D27" s="6">
        <f t="shared" si="0"/>
        <v>4412</v>
      </c>
      <c r="E27" s="33"/>
      <c r="F27" s="33"/>
    </row>
    <row r="28" spans="1:6" ht="13.5" customHeight="1" x14ac:dyDescent="0.2">
      <c r="A28" s="29">
        <v>19</v>
      </c>
      <c r="B28" s="30">
        <f t="shared" si="1"/>
        <v>20301521</v>
      </c>
      <c r="C28" s="69">
        <v>20304497</v>
      </c>
      <c r="D28" s="6">
        <f t="shared" si="0"/>
        <v>2976</v>
      </c>
      <c r="E28" s="33"/>
      <c r="F28" s="33"/>
    </row>
    <row r="29" spans="1:6" ht="13.5" customHeight="1" x14ac:dyDescent="0.2">
      <c r="A29" s="29">
        <v>20</v>
      </c>
      <c r="B29" s="30">
        <f t="shared" si="1"/>
        <v>20304497</v>
      </c>
      <c r="C29" s="69">
        <v>20309312</v>
      </c>
      <c r="D29" s="6">
        <f t="shared" si="0"/>
        <v>4815</v>
      </c>
      <c r="E29" s="33"/>
      <c r="F29" s="33"/>
    </row>
    <row r="30" spans="1:6" ht="13.5" customHeight="1" x14ac:dyDescent="0.2">
      <c r="A30" s="29">
        <v>21</v>
      </c>
      <c r="B30" s="30">
        <f t="shared" si="1"/>
        <v>20309312</v>
      </c>
      <c r="C30" s="69">
        <v>20314053</v>
      </c>
      <c r="D30" s="6">
        <f t="shared" si="0"/>
        <v>4741</v>
      </c>
      <c r="E30" s="33"/>
      <c r="F30" s="33"/>
    </row>
    <row r="31" spans="1:6" ht="13.5" customHeight="1" x14ac:dyDescent="0.2">
      <c r="A31" s="29">
        <v>22</v>
      </c>
      <c r="B31" s="30">
        <f t="shared" si="1"/>
        <v>20314053</v>
      </c>
      <c r="C31" s="69">
        <v>20319576</v>
      </c>
      <c r="D31" s="6">
        <f t="shared" si="0"/>
        <v>5523</v>
      </c>
      <c r="E31" s="33"/>
      <c r="F31" s="33"/>
    </row>
    <row r="32" spans="1:6" ht="13.5" customHeight="1" x14ac:dyDescent="0.2">
      <c r="A32" s="29">
        <v>23</v>
      </c>
      <c r="B32" s="30">
        <f t="shared" si="1"/>
        <v>20319576</v>
      </c>
      <c r="C32" s="69">
        <v>20323951</v>
      </c>
      <c r="D32" s="6">
        <f t="shared" si="0"/>
        <v>4375</v>
      </c>
      <c r="E32" s="34"/>
      <c r="F32" s="33"/>
    </row>
    <row r="33" spans="1:10" ht="13.5" customHeight="1" x14ac:dyDescent="0.2">
      <c r="A33" s="29">
        <v>24</v>
      </c>
      <c r="B33" s="30">
        <f t="shared" si="1"/>
        <v>20323951</v>
      </c>
      <c r="C33" s="69">
        <v>20328189</v>
      </c>
      <c r="D33" s="6">
        <f t="shared" si="0"/>
        <v>4238</v>
      </c>
      <c r="E33" s="34"/>
      <c r="F33" s="33"/>
    </row>
    <row r="34" spans="1:10" ht="13.5" customHeight="1" x14ac:dyDescent="0.2">
      <c r="A34" s="29">
        <v>25</v>
      </c>
      <c r="B34" s="30">
        <f t="shared" si="1"/>
        <v>20328189</v>
      </c>
      <c r="C34" s="84">
        <v>20332894</v>
      </c>
      <c r="D34" s="6">
        <f t="shared" si="0"/>
        <v>4705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20332894</v>
      </c>
      <c r="C35" s="69">
        <v>20339164</v>
      </c>
      <c r="D35" s="6">
        <f t="shared" si="0"/>
        <v>6270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20339164</v>
      </c>
      <c r="C36" s="69">
        <v>20343319</v>
      </c>
      <c r="D36" s="6">
        <f t="shared" si="0"/>
        <v>4155</v>
      </c>
      <c r="E36" s="34"/>
      <c r="F36" s="33"/>
    </row>
    <row r="37" spans="1:10" ht="13.5" customHeight="1" x14ac:dyDescent="0.2">
      <c r="A37" s="29">
        <v>28</v>
      </c>
      <c r="B37" s="30">
        <f t="shared" si="1"/>
        <v>20343319</v>
      </c>
      <c r="C37" s="69">
        <v>20348872</v>
      </c>
      <c r="D37" s="6">
        <f t="shared" si="0"/>
        <v>5553</v>
      </c>
      <c r="E37" s="34"/>
      <c r="F37" s="33"/>
    </row>
    <row r="38" spans="1:10" ht="13.5" customHeight="1" x14ac:dyDescent="0.2">
      <c r="A38" s="29">
        <v>29</v>
      </c>
      <c r="B38" s="30">
        <f t="shared" si="1"/>
        <v>20348872</v>
      </c>
      <c r="C38" s="69">
        <v>20351653</v>
      </c>
      <c r="D38" s="6">
        <f t="shared" si="0"/>
        <v>2781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20351653</v>
      </c>
      <c r="C39" s="69">
        <v>20358734</v>
      </c>
      <c r="D39" s="6">
        <f t="shared" si="0"/>
        <v>7081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20358734</v>
      </c>
      <c r="C40" s="69"/>
      <c r="D40" s="6">
        <f t="shared" si="0"/>
        <v>0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33"/>
      <c r="D41" s="334">
        <f>SUM(D10:D40)</f>
        <v>152025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40" sqref="C40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80" t="s">
        <v>23</v>
      </c>
      <c r="D1" s="380"/>
    </row>
    <row r="2" spans="1:7" x14ac:dyDescent="0.2">
      <c r="C2" s="380"/>
      <c r="D2" s="380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f>'GENSET #1'!A6</f>
        <v>44867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81" t="s">
        <v>25</v>
      </c>
      <c r="C8" s="383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34360799</v>
      </c>
      <c r="C10" s="69">
        <v>34370610</v>
      </c>
      <c r="D10" s="6">
        <f>MAX(0,C10-B10)</f>
        <v>9811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34370610</v>
      </c>
      <c r="C11" s="69">
        <v>34380387</v>
      </c>
      <c r="D11" s="6">
        <f t="shared" ref="D11:D40" si="0">MAX(0,C11-B11)</f>
        <v>9777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34380387</v>
      </c>
      <c r="C12" s="69">
        <v>34386912</v>
      </c>
      <c r="D12" s="6">
        <f t="shared" si="0"/>
        <v>6525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34386912</v>
      </c>
      <c r="C13" s="69">
        <v>34389864</v>
      </c>
      <c r="D13" s="6">
        <f t="shared" si="0"/>
        <v>2952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34389864</v>
      </c>
      <c r="C14" s="69">
        <v>34390698</v>
      </c>
      <c r="D14" s="6">
        <f t="shared" si="0"/>
        <v>834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34390698</v>
      </c>
      <c r="C15" s="69">
        <v>34401978</v>
      </c>
      <c r="D15" s="6">
        <f t="shared" si="0"/>
        <v>11280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34401978</v>
      </c>
      <c r="C16" s="69">
        <v>34411612</v>
      </c>
      <c r="D16" s="6">
        <f t="shared" si="0"/>
        <v>9634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34411612</v>
      </c>
      <c r="C17" s="69">
        <v>34425094</v>
      </c>
      <c r="D17" s="6">
        <f t="shared" si="0"/>
        <v>13482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34425094</v>
      </c>
      <c r="C18" s="69">
        <v>34434546</v>
      </c>
      <c r="D18" s="6">
        <f t="shared" si="0"/>
        <v>9452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34434546</v>
      </c>
      <c r="C19" s="69">
        <v>34446234</v>
      </c>
      <c r="D19" s="6">
        <f t="shared" si="0"/>
        <v>11688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34446234</v>
      </c>
      <c r="C20" s="69">
        <v>34454692</v>
      </c>
      <c r="D20" s="6">
        <f t="shared" si="0"/>
        <v>8458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34454692</v>
      </c>
      <c r="C21" s="69">
        <v>34467367</v>
      </c>
      <c r="D21" s="6">
        <f t="shared" si="0"/>
        <v>12675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34467367</v>
      </c>
      <c r="C22" s="69">
        <v>34472352</v>
      </c>
      <c r="D22" s="6">
        <f t="shared" si="0"/>
        <v>4985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34472352</v>
      </c>
      <c r="C23" s="69">
        <v>34483699</v>
      </c>
      <c r="D23" s="6">
        <f t="shared" si="0"/>
        <v>11347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34483699</v>
      </c>
      <c r="C24" s="69">
        <v>34494705</v>
      </c>
      <c r="D24" s="6">
        <f t="shared" si="0"/>
        <v>11006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34494705</v>
      </c>
      <c r="C25" s="69">
        <v>34504525</v>
      </c>
      <c r="D25" s="6">
        <f t="shared" si="0"/>
        <v>9820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34504525</v>
      </c>
      <c r="C26" s="69">
        <v>34513026</v>
      </c>
      <c r="D26" s="6">
        <f t="shared" si="0"/>
        <v>8501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34513026</v>
      </c>
      <c r="C27" s="69">
        <v>34522200</v>
      </c>
      <c r="D27" s="6">
        <f t="shared" si="0"/>
        <v>9174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34522200</v>
      </c>
      <c r="C28" s="69">
        <v>34535502</v>
      </c>
      <c r="D28" s="6">
        <f t="shared" si="0"/>
        <v>13302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34535502</v>
      </c>
      <c r="C29" s="69">
        <v>34545678</v>
      </c>
      <c r="D29" s="6">
        <f t="shared" si="0"/>
        <v>10176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34545678</v>
      </c>
      <c r="C30" s="69">
        <v>34556235</v>
      </c>
      <c r="D30" s="6">
        <f t="shared" si="0"/>
        <v>10557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34556235</v>
      </c>
      <c r="C31" s="69">
        <v>34566032</v>
      </c>
      <c r="D31" s="6">
        <f t="shared" si="0"/>
        <v>9797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34566032</v>
      </c>
      <c r="C32" s="69">
        <v>34576688</v>
      </c>
      <c r="D32" s="6">
        <f t="shared" si="0"/>
        <v>10656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34576688</v>
      </c>
      <c r="C33" s="69">
        <v>34588562</v>
      </c>
      <c r="D33" s="6">
        <f t="shared" si="0"/>
        <v>11874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34588562</v>
      </c>
      <c r="C34" s="69">
        <v>34600068</v>
      </c>
      <c r="D34" s="6">
        <f t="shared" si="0"/>
        <v>11506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34600068</v>
      </c>
      <c r="C35" s="69">
        <v>34608293</v>
      </c>
      <c r="D35" s="6">
        <f t="shared" si="0"/>
        <v>8225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34608293</v>
      </c>
      <c r="C36" s="69">
        <v>34620542</v>
      </c>
      <c r="D36" s="6">
        <f t="shared" si="0"/>
        <v>12249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34620542</v>
      </c>
      <c r="C37" s="69">
        <v>34630288</v>
      </c>
      <c r="D37" s="6">
        <f t="shared" si="0"/>
        <v>9746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34630288</v>
      </c>
      <c r="C38" s="69">
        <v>34644689</v>
      </c>
      <c r="D38" s="6">
        <f t="shared" si="0"/>
        <v>14401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34644689</v>
      </c>
      <c r="C39" s="69">
        <v>34651759</v>
      </c>
      <c r="D39" s="6">
        <f t="shared" si="0"/>
        <v>7070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34651759</v>
      </c>
      <c r="C40" s="69"/>
      <c r="D40" s="6">
        <f t="shared" si="0"/>
        <v>0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35">
        <f>SUM(D10:D40)</f>
        <v>290960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3" workbookViewId="0">
      <selection activeCell="C40" sqref="C40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f>'GENSET #2'!A6</f>
        <v>44867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15501948</v>
      </c>
      <c r="C10" s="31">
        <v>15509365</v>
      </c>
      <c r="D10" s="37">
        <f>MAX(0,C10-B10)</f>
        <v>7417</v>
      </c>
    </row>
    <row r="11" spans="1:5" ht="15.75" customHeight="1" x14ac:dyDescent="0.2">
      <c r="A11" s="43">
        <v>2</v>
      </c>
      <c r="B11" s="32">
        <f>C10</f>
        <v>15509365</v>
      </c>
      <c r="C11" s="31">
        <v>15516865</v>
      </c>
      <c r="D11" s="37">
        <f t="shared" ref="D11:D40" si="0">MAX(0,C11-B11)</f>
        <v>7500</v>
      </c>
    </row>
    <row r="12" spans="1:5" x14ac:dyDescent="0.2">
      <c r="A12" s="43">
        <v>3</v>
      </c>
      <c r="B12" s="32">
        <f t="shared" ref="B12:B40" si="1">C11</f>
        <v>15516865</v>
      </c>
      <c r="C12" s="31">
        <v>15521336</v>
      </c>
      <c r="D12" s="37">
        <f t="shared" si="0"/>
        <v>4471</v>
      </c>
      <c r="E12" s="52"/>
    </row>
    <row r="13" spans="1:5" x14ac:dyDescent="0.2">
      <c r="A13" s="43">
        <v>4</v>
      </c>
      <c r="B13" s="32">
        <f t="shared" si="1"/>
        <v>15521336</v>
      </c>
      <c r="C13" s="31">
        <v>15530496</v>
      </c>
      <c r="D13" s="37">
        <f t="shared" si="0"/>
        <v>9160</v>
      </c>
      <c r="E13" s="52"/>
    </row>
    <row r="14" spans="1:5" ht="13.5" customHeight="1" x14ac:dyDescent="0.2">
      <c r="A14" s="43">
        <v>5</v>
      </c>
      <c r="B14" s="32">
        <f t="shared" si="1"/>
        <v>15530496</v>
      </c>
      <c r="C14" s="31">
        <v>15536240</v>
      </c>
      <c r="D14" s="37">
        <f t="shared" si="0"/>
        <v>5744</v>
      </c>
      <c r="E14" s="52"/>
    </row>
    <row r="15" spans="1:5" ht="13.5" customHeight="1" x14ac:dyDescent="0.2">
      <c r="A15" s="43">
        <v>6</v>
      </c>
      <c r="B15" s="32">
        <f t="shared" si="1"/>
        <v>15536240</v>
      </c>
      <c r="C15" s="31">
        <v>15544575</v>
      </c>
      <c r="D15" s="37">
        <f t="shared" si="0"/>
        <v>8335</v>
      </c>
      <c r="E15" s="52"/>
    </row>
    <row r="16" spans="1:5" ht="13.5" customHeight="1" x14ac:dyDescent="0.2">
      <c r="A16" s="43">
        <v>7</v>
      </c>
      <c r="B16" s="32">
        <f t="shared" si="1"/>
        <v>15544575</v>
      </c>
      <c r="C16" s="31">
        <v>15548812</v>
      </c>
      <c r="D16" s="37">
        <f t="shared" si="0"/>
        <v>4237</v>
      </c>
      <c r="E16" s="52"/>
    </row>
    <row r="17" spans="1:5" ht="13.5" customHeight="1" x14ac:dyDescent="0.2">
      <c r="A17" s="43">
        <v>8</v>
      </c>
      <c r="B17" s="32">
        <f t="shared" si="1"/>
        <v>15548812</v>
      </c>
      <c r="C17" s="31">
        <v>15552940</v>
      </c>
      <c r="D17" s="37">
        <f t="shared" si="0"/>
        <v>4128</v>
      </c>
      <c r="E17" s="52"/>
    </row>
    <row r="18" spans="1:5" ht="13.5" customHeight="1" x14ac:dyDescent="0.2">
      <c r="A18" s="43">
        <v>9</v>
      </c>
      <c r="B18" s="32">
        <f t="shared" si="1"/>
        <v>15552940</v>
      </c>
      <c r="C18" s="31">
        <v>15560813</v>
      </c>
      <c r="D18" s="37">
        <f t="shared" si="0"/>
        <v>7873</v>
      </c>
      <c r="E18" s="52"/>
    </row>
    <row r="19" spans="1:5" ht="13.5" customHeight="1" x14ac:dyDescent="0.2">
      <c r="A19" s="43">
        <v>10</v>
      </c>
      <c r="B19" s="32">
        <f t="shared" si="1"/>
        <v>15560813</v>
      </c>
      <c r="C19" s="31">
        <v>15570032</v>
      </c>
      <c r="D19" s="37">
        <f t="shared" si="0"/>
        <v>9219</v>
      </c>
      <c r="E19" s="52"/>
    </row>
    <row r="20" spans="1:5" ht="13.5" customHeight="1" x14ac:dyDescent="0.2">
      <c r="A20" s="43">
        <v>11</v>
      </c>
      <c r="B20" s="32">
        <f t="shared" si="1"/>
        <v>15570032</v>
      </c>
      <c r="C20" s="31">
        <v>15575877</v>
      </c>
      <c r="D20" s="37">
        <f t="shared" si="0"/>
        <v>5845</v>
      </c>
      <c r="E20" s="52"/>
    </row>
    <row r="21" spans="1:5" ht="13.5" customHeight="1" x14ac:dyDescent="0.2">
      <c r="A21" s="43">
        <v>12</v>
      </c>
      <c r="B21" s="32">
        <f t="shared" si="1"/>
        <v>15575877</v>
      </c>
      <c r="C21" s="31">
        <v>15585422</v>
      </c>
      <c r="D21" s="37">
        <f t="shared" si="0"/>
        <v>9545</v>
      </c>
      <c r="E21" s="52"/>
    </row>
    <row r="22" spans="1:5" ht="13.5" customHeight="1" x14ac:dyDescent="0.2">
      <c r="A22" s="43">
        <v>13</v>
      </c>
      <c r="B22" s="32">
        <f t="shared" si="1"/>
        <v>15585422</v>
      </c>
      <c r="C22" s="31">
        <v>15592433</v>
      </c>
      <c r="D22" s="37">
        <f t="shared" si="0"/>
        <v>7011</v>
      </c>
      <c r="E22" s="52"/>
    </row>
    <row r="23" spans="1:5" ht="13.5" customHeight="1" x14ac:dyDescent="0.2">
      <c r="A23" s="43">
        <v>14</v>
      </c>
      <c r="B23" s="32">
        <f t="shared" si="1"/>
        <v>15592433</v>
      </c>
      <c r="C23" s="31">
        <v>15602414</v>
      </c>
      <c r="D23" s="37">
        <f t="shared" si="0"/>
        <v>9981</v>
      </c>
      <c r="E23" s="52"/>
    </row>
    <row r="24" spans="1:5" ht="13.5" customHeight="1" x14ac:dyDescent="0.2">
      <c r="A24" s="43">
        <v>15</v>
      </c>
      <c r="B24" s="32">
        <f t="shared" si="1"/>
        <v>15602414</v>
      </c>
      <c r="C24" s="31">
        <v>15608604</v>
      </c>
      <c r="D24" s="37">
        <f t="shared" si="0"/>
        <v>6190</v>
      </c>
      <c r="E24" s="52"/>
    </row>
    <row r="25" spans="1:5" ht="13.5" customHeight="1" x14ac:dyDescent="0.2">
      <c r="A25" s="43">
        <v>16</v>
      </c>
      <c r="B25" s="32">
        <f t="shared" si="1"/>
        <v>15608604</v>
      </c>
      <c r="C25" s="31">
        <v>15614121</v>
      </c>
      <c r="D25" s="37">
        <f t="shared" si="0"/>
        <v>5517</v>
      </c>
      <c r="E25" s="52"/>
    </row>
    <row r="26" spans="1:5" ht="13.5" customHeight="1" x14ac:dyDescent="0.2">
      <c r="A26" s="43">
        <v>17</v>
      </c>
      <c r="B26" s="32">
        <f t="shared" si="1"/>
        <v>15614121</v>
      </c>
      <c r="C26" s="31">
        <v>15618918</v>
      </c>
      <c r="D26" s="37">
        <f t="shared" si="0"/>
        <v>4797</v>
      </c>
      <c r="E26" s="52"/>
    </row>
    <row r="27" spans="1:5" ht="13.5" customHeight="1" x14ac:dyDescent="0.2">
      <c r="A27" s="43">
        <v>18</v>
      </c>
      <c r="B27" s="32">
        <f t="shared" si="1"/>
        <v>15618918</v>
      </c>
      <c r="C27" s="31">
        <v>15623869</v>
      </c>
      <c r="D27" s="37">
        <f t="shared" si="0"/>
        <v>4951</v>
      </c>
      <c r="E27" s="52"/>
    </row>
    <row r="28" spans="1:5" ht="13.5" customHeight="1" x14ac:dyDescent="0.2">
      <c r="A28" s="43">
        <v>19</v>
      </c>
      <c r="B28" s="32">
        <f t="shared" si="1"/>
        <v>15623869</v>
      </c>
      <c r="C28" s="31">
        <v>15628278</v>
      </c>
      <c r="D28" s="37">
        <f t="shared" si="0"/>
        <v>4409</v>
      </c>
      <c r="E28" s="52"/>
    </row>
    <row r="29" spans="1:5" ht="13.5" customHeight="1" x14ac:dyDescent="0.2">
      <c r="A29" s="43">
        <v>20</v>
      </c>
      <c r="B29" s="32">
        <f t="shared" si="1"/>
        <v>15628278</v>
      </c>
      <c r="C29" s="31">
        <v>15631497</v>
      </c>
      <c r="D29" s="37">
        <f t="shared" si="0"/>
        <v>3219</v>
      </c>
      <c r="E29" s="52"/>
    </row>
    <row r="30" spans="1:5" ht="13.5" customHeight="1" x14ac:dyDescent="0.2">
      <c r="A30" s="43">
        <v>21</v>
      </c>
      <c r="B30" s="32">
        <f t="shared" si="1"/>
        <v>15631497</v>
      </c>
      <c r="C30" s="31">
        <v>15634558</v>
      </c>
      <c r="D30" s="37">
        <f t="shared" si="0"/>
        <v>3061</v>
      </c>
      <c r="E30" s="52"/>
    </row>
    <row r="31" spans="1:5" ht="13.5" customHeight="1" x14ac:dyDescent="0.2">
      <c r="A31" s="43">
        <v>22</v>
      </c>
      <c r="B31" s="32">
        <f t="shared" si="1"/>
        <v>15634558</v>
      </c>
      <c r="C31" s="31">
        <v>15636952</v>
      </c>
      <c r="D31" s="37">
        <f t="shared" si="0"/>
        <v>2394</v>
      </c>
      <c r="E31" s="52"/>
    </row>
    <row r="32" spans="1:5" ht="13.5" customHeight="1" x14ac:dyDescent="0.2">
      <c r="A32" s="43">
        <v>23</v>
      </c>
      <c r="B32" s="32">
        <f t="shared" si="1"/>
        <v>15636952</v>
      </c>
      <c r="C32" s="31">
        <v>15642119</v>
      </c>
      <c r="D32" s="37">
        <f t="shared" si="0"/>
        <v>5167</v>
      </c>
      <c r="E32" s="52"/>
    </row>
    <row r="33" spans="1:8" ht="13.5" customHeight="1" x14ac:dyDescent="0.2">
      <c r="A33" s="43">
        <v>24</v>
      </c>
      <c r="B33" s="32">
        <f t="shared" si="1"/>
        <v>15642119</v>
      </c>
      <c r="C33" s="31">
        <v>15647268</v>
      </c>
      <c r="D33" s="37">
        <f t="shared" si="0"/>
        <v>5149</v>
      </c>
      <c r="E33" s="52"/>
    </row>
    <row r="34" spans="1:8" ht="13.5" customHeight="1" x14ac:dyDescent="0.2">
      <c r="A34" s="43">
        <v>25</v>
      </c>
      <c r="B34" s="32">
        <f t="shared" si="1"/>
        <v>15647268</v>
      </c>
      <c r="C34" s="31">
        <v>15651497</v>
      </c>
      <c r="D34" s="37">
        <f t="shared" si="0"/>
        <v>4229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15651497</v>
      </c>
      <c r="C35" s="31">
        <v>15655598</v>
      </c>
      <c r="D35" s="37">
        <f t="shared" si="0"/>
        <v>4101</v>
      </c>
      <c r="E35" s="81"/>
    </row>
    <row r="36" spans="1:8" ht="13.5" customHeight="1" x14ac:dyDescent="0.2">
      <c r="A36" s="43">
        <v>27</v>
      </c>
      <c r="B36" s="32">
        <f t="shared" si="1"/>
        <v>15655598</v>
      </c>
      <c r="C36" s="31">
        <v>15659999</v>
      </c>
      <c r="D36" s="37">
        <f t="shared" si="0"/>
        <v>4401</v>
      </c>
      <c r="E36" s="81"/>
    </row>
    <row r="37" spans="1:8" ht="13.5" customHeight="1" x14ac:dyDescent="0.2">
      <c r="A37" s="43">
        <v>28</v>
      </c>
      <c r="B37" s="32">
        <f t="shared" si="1"/>
        <v>15659999</v>
      </c>
      <c r="C37" s="31">
        <v>15664303</v>
      </c>
      <c r="D37" s="37">
        <f t="shared" si="0"/>
        <v>4304</v>
      </c>
      <c r="E37" s="81"/>
    </row>
    <row r="38" spans="1:8" ht="13.5" customHeight="1" x14ac:dyDescent="0.2">
      <c r="A38" s="43">
        <v>29</v>
      </c>
      <c r="B38" s="32">
        <f t="shared" si="1"/>
        <v>15664303</v>
      </c>
      <c r="C38" s="31">
        <v>15664988</v>
      </c>
      <c r="D38" s="37">
        <f t="shared" si="0"/>
        <v>685</v>
      </c>
      <c r="E38" s="384"/>
      <c r="F38" s="385"/>
    </row>
    <row r="39" spans="1:8" ht="13.5" customHeight="1" x14ac:dyDescent="0.2">
      <c r="A39" s="43">
        <v>30</v>
      </c>
      <c r="B39" s="32">
        <f t="shared" si="1"/>
        <v>15664988</v>
      </c>
      <c r="C39" s="31">
        <v>15668777</v>
      </c>
      <c r="D39" s="37">
        <f t="shared" si="0"/>
        <v>3789</v>
      </c>
      <c r="E39" s="81"/>
    </row>
    <row r="40" spans="1:8" ht="13.5" customHeight="1" x14ac:dyDescent="0.2">
      <c r="A40" s="43">
        <v>31</v>
      </c>
      <c r="B40" s="32">
        <f t="shared" si="1"/>
        <v>15668777</v>
      </c>
      <c r="C40" s="31"/>
      <c r="D40" s="37">
        <f t="shared" si="0"/>
        <v>0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35">
        <f>SUM(D10:D40)</f>
        <v>166829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40" sqref="C40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80" t="s">
        <v>30</v>
      </c>
      <c r="D1" s="380"/>
    </row>
    <row r="2" spans="1:5" x14ac:dyDescent="0.2">
      <c r="C2" s="380"/>
      <c r="D2" s="380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f>'GENSET #3'!A6</f>
        <v>44867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81" t="s">
        <v>32</v>
      </c>
      <c r="C8" s="383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36">
        <v>12698297</v>
      </c>
      <c r="C10" s="31">
        <v>12698297</v>
      </c>
      <c r="D10" s="37">
        <f>MAX(0,C10-B10)</f>
        <v>0</v>
      </c>
      <c r="E10" s="28"/>
    </row>
    <row r="11" spans="1:5" ht="13.5" customHeight="1" x14ac:dyDescent="0.2">
      <c r="A11" s="43">
        <v>2</v>
      </c>
      <c r="B11" s="32">
        <f>C10</f>
        <v>12698297</v>
      </c>
      <c r="C11" s="31">
        <v>12698297</v>
      </c>
      <c r="D11" s="37">
        <f>MAX(0,C11-B11)</f>
        <v>0</v>
      </c>
      <c r="E11" s="33"/>
    </row>
    <row r="12" spans="1:5" ht="13.5" customHeight="1" x14ac:dyDescent="0.2">
      <c r="A12" s="43">
        <v>3</v>
      </c>
      <c r="B12" s="32">
        <f t="shared" ref="B12:B40" si="0">C11</f>
        <v>12698297</v>
      </c>
      <c r="C12" s="31">
        <v>12698297</v>
      </c>
      <c r="D12" s="37">
        <f t="shared" ref="D12:D40" si="1">MAX(0,C12-B12)</f>
        <v>0</v>
      </c>
      <c r="E12" s="33"/>
    </row>
    <row r="13" spans="1:5" ht="13.5" customHeight="1" x14ac:dyDescent="0.2">
      <c r="A13" s="43">
        <v>4</v>
      </c>
      <c r="B13" s="32">
        <f t="shared" si="0"/>
        <v>12698297</v>
      </c>
      <c r="C13" s="31">
        <v>12698297</v>
      </c>
      <c r="D13" s="37">
        <f t="shared" si="1"/>
        <v>0</v>
      </c>
      <c r="E13" s="33"/>
    </row>
    <row r="14" spans="1:5" ht="13.5" customHeight="1" x14ac:dyDescent="0.2">
      <c r="A14" s="43">
        <v>5</v>
      </c>
      <c r="B14" s="32">
        <f t="shared" si="0"/>
        <v>12698297</v>
      </c>
      <c r="C14" s="31">
        <v>12698297</v>
      </c>
      <c r="D14" s="37">
        <f t="shared" si="1"/>
        <v>0</v>
      </c>
      <c r="E14" s="33"/>
    </row>
    <row r="15" spans="1:5" ht="13.5" customHeight="1" x14ac:dyDescent="0.2">
      <c r="A15" s="43">
        <v>6</v>
      </c>
      <c r="B15" s="32">
        <f t="shared" si="0"/>
        <v>12698297</v>
      </c>
      <c r="C15" s="31">
        <v>12698297</v>
      </c>
      <c r="D15" s="37">
        <f t="shared" si="1"/>
        <v>0</v>
      </c>
      <c r="E15" s="33"/>
    </row>
    <row r="16" spans="1:5" ht="13.5" customHeight="1" x14ac:dyDescent="0.2">
      <c r="A16" s="43">
        <v>7</v>
      </c>
      <c r="B16" s="32">
        <f t="shared" si="0"/>
        <v>12698297</v>
      </c>
      <c r="C16" s="31">
        <v>12698297</v>
      </c>
      <c r="D16" s="37">
        <f t="shared" si="1"/>
        <v>0</v>
      </c>
      <c r="E16" s="33"/>
    </row>
    <row r="17" spans="1:5" ht="13.5" customHeight="1" x14ac:dyDescent="0.2">
      <c r="A17" s="43">
        <v>8</v>
      </c>
      <c r="B17" s="32">
        <f t="shared" si="0"/>
        <v>12698297</v>
      </c>
      <c r="C17" s="31">
        <v>12698297</v>
      </c>
      <c r="D17" s="37">
        <f t="shared" si="1"/>
        <v>0</v>
      </c>
      <c r="E17" s="33"/>
    </row>
    <row r="18" spans="1:5" ht="13.5" customHeight="1" x14ac:dyDescent="0.2">
      <c r="A18" s="43">
        <v>9</v>
      </c>
      <c r="B18" s="32">
        <f t="shared" si="0"/>
        <v>12698297</v>
      </c>
      <c r="C18" s="31">
        <v>12698297</v>
      </c>
      <c r="D18" s="37">
        <f t="shared" si="1"/>
        <v>0</v>
      </c>
      <c r="E18" s="33"/>
    </row>
    <row r="19" spans="1:5" ht="13.5" customHeight="1" x14ac:dyDescent="0.2">
      <c r="A19" s="43">
        <v>10</v>
      </c>
      <c r="B19" s="32">
        <f t="shared" si="0"/>
        <v>12698297</v>
      </c>
      <c r="C19" s="31">
        <v>12698297</v>
      </c>
      <c r="D19" s="37">
        <f t="shared" si="1"/>
        <v>0</v>
      </c>
      <c r="E19" s="33"/>
    </row>
    <row r="20" spans="1:5" ht="13.5" customHeight="1" x14ac:dyDescent="0.2">
      <c r="A20" s="43">
        <v>11</v>
      </c>
      <c r="B20" s="32">
        <f t="shared" si="0"/>
        <v>12698297</v>
      </c>
      <c r="C20" s="31">
        <v>12698297</v>
      </c>
      <c r="D20" s="37">
        <f t="shared" si="1"/>
        <v>0</v>
      </c>
      <c r="E20" s="33"/>
    </row>
    <row r="21" spans="1:5" ht="13.5" customHeight="1" x14ac:dyDescent="0.2">
      <c r="A21" s="43">
        <v>12</v>
      </c>
      <c r="B21" s="32">
        <f t="shared" si="0"/>
        <v>12698297</v>
      </c>
      <c r="C21" s="31">
        <v>12698297</v>
      </c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12698297</v>
      </c>
      <c r="C22" s="31">
        <v>12698297</v>
      </c>
      <c r="D22" s="37">
        <f t="shared" si="1"/>
        <v>0</v>
      </c>
      <c r="E22" s="33"/>
    </row>
    <row r="23" spans="1:5" ht="13.5" customHeight="1" x14ac:dyDescent="0.2">
      <c r="A23" s="43">
        <v>14</v>
      </c>
      <c r="B23" s="32">
        <f t="shared" si="0"/>
        <v>12698297</v>
      </c>
      <c r="C23" s="31">
        <v>12698297</v>
      </c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12698297</v>
      </c>
      <c r="C24" s="31">
        <v>12698297</v>
      </c>
      <c r="D24" s="37">
        <f t="shared" si="1"/>
        <v>0</v>
      </c>
      <c r="E24" s="33"/>
    </row>
    <row r="25" spans="1:5" ht="13.5" customHeight="1" x14ac:dyDescent="0.2">
      <c r="A25" s="43">
        <v>16</v>
      </c>
      <c r="B25" s="32">
        <f t="shared" si="0"/>
        <v>12698297</v>
      </c>
      <c r="C25" s="31">
        <v>12698297</v>
      </c>
      <c r="D25" s="37">
        <f t="shared" si="1"/>
        <v>0</v>
      </c>
      <c r="E25" s="33"/>
    </row>
    <row r="26" spans="1:5" ht="13.5" customHeight="1" x14ac:dyDescent="0.2">
      <c r="A26" s="43">
        <v>17</v>
      </c>
      <c r="B26" s="32">
        <f t="shared" si="0"/>
        <v>12698297</v>
      </c>
      <c r="C26" s="31">
        <v>12698297</v>
      </c>
      <c r="D26" s="37">
        <f t="shared" si="1"/>
        <v>0</v>
      </c>
      <c r="E26" s="33"/>
    </row>
    <row r="27" spans="1:5" ht="13.5" customHeight="1" x14ac:dyDescent="0.2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12698297</v>
      </c>
      <c r="C40" s="336"/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35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C40" sqref="C40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80" t="s">
        <v>16</v>
      </c>
      <c r="D1" s="380"/>
    </row>
    <row r="2" spans="1:9" x14ac:dyDescent="0.2">
      <c r="C2" s="380"/>
      <c r="D2" s="380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f>'GENSET #4'!A6</f>
        <v>44867</v>
      </c>
    </row>
    <row r="7" spans="1:9" ht="13.5" thickBot="1" x14ac:dyDescent="0.25">
      <c r="A7" s="48"/>
    </row>
    <row r="8" spans="1:9" ht="15.75" customHeight="1" thickBot="1" x14ac:dyDescent="0.25">
      <c r="A8" s="55"/>
      <c r="B8" s="381" t="s">
        <v>34</v>
      </c>
      <c r="C8" s="383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21173518</v>
      </c>
      <c r="C10" s="31">
        <v>21178714</v>
      </c>
      <c r="D10" s="37">
        <f>MAX(0,C10-B10)</f>
        <v>5196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21178714</v>
      </c>
      <c r="C11" s="31">
        <v>21180630</v>
      </c>
      <c r="D11" s="37">
        <f t="shared" ref="D11:D40" si="0">MAX(0,C11-B11)</f>
        <v>1916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21180630</v>
      </c>
      <c r="C12" s="31">
        <v>21187399</v>
      </c>
      <c r="D12" s="37">
        <f t="shared" si="0"/>
        <v>6769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21187399</v>
      </c>
      <c r="C13" s="31">
        <v>21192678</v>
      </c>
      <c r="D13" s="37">
        <f t="shared" si="0"/>
        <v>5279</v>
      </c>
      <c r="E13" s="33"/>
      <c r="I13">
        <v>8045</v>
      </c>
    </row>
    <row r="14" spans="1:9" ht="13.5" customHeight="1" x14ac:dyDescent="0.2">
      <c r="A14" s="330">
        <v>5</v>
      </c>
      <c r="B14" s="85">
        <f t="shared" si="1"/>
        <v>21192678</v>
      </c>
      <c r="C14" s="79">
        <v>21202462</v>
      </c>
      <c r="D14" s="37">
        <f t="shared" si="0"/>
        <v>9784</v>
      </c>
      <c r="E14" s="80"/>
    </row>
    <row r="15" spans="1:9" ht="13.5" customHeight="1" x14ac:dyDescent="0.2">
      <c r="A15" s="58">
        <v>6</v>
      </c>
      <c r="B15" s="32">
        <f t="shared" si="1"/>
        <v>21202462</v>
      </c>
      <c r="C15" s="31">
        <v>21206518</v>
      </c>
      <c r="D15" s="37">
        <f t="shared" si="0"/>
        <v>4056</v>
      </c>
      <c r="E15" s="33"/>
    </row>
    <row r="16" spans="1:9" ht="13.5" customHeight="1" x14ac:dyDescent="0.2">
      <c r="A16" s="57">
        <v>7</v>
      </c>
      <c r="B16" s="32">
        <f t="shared" si="1"/>
        <v>21206518</v>
      </c>
      <c r="C16" s="31">
        <v>21211602</v>
      </c>
      <c r="D16" s="37">
        <f t="shared" si="0"/>
        <v>5084</v>
      </c>
      <c r="E16" s="33"/>
    </row>
    <row r="17" spans="1:5" ht="13.5" customHeight="1" x14ac:dyDescent="0.2">
      <c r="A17" s="58">
        <v>8</v>
      </c>
      <c r="B17" s="32">
        <f t="shared" si="1"/>
        <v>21211602</v>
      </c>
      <c r="C17" s="31">
        <v>21218227</v>
      </c>
      <c r="D17" s="37">
        <f t="shared" si="0"/>
        <v>6625</v>
      </c>
      <c r="E17" s="33"/>
    </row>
    <row r="18" spans="1:5" ht="13.5" customHeight="1" x14ac:dyDescent="0.2">
      <c r="A18" s="57">
        <v>9</v>
      </c>
      <c r="B18" s="32">
        <f t="shared" si="1"/>
        <v>21218227</v>
      </c>
      <c r="C18" s="31">
        <v>21220965</v>
      </c>
      <c r="D18" s="37">
        <f t="shared" si="0"/>
        <v>2738</v>
      </c>
      <c r="E18" s="33"/>
    </row>
    <row r="19" spans="1:5" ht="13.5" customHeight="1" x14ac:dyDescent="0.2">
      <c r="A19" s="58">
        <v>10</v>
      </c>
      <c r="B19" s="32">
        <f t="shared" si="1"/>
        <v>21220965</v>
      </c>
      <c r="C19" s="31">
        <v>21225130</v>
      </c>
      <c r="D19" s="37">
        <f t="shared" si="0"/>
        <v>4165</v>
      </c>
      <c r="E19" s="33"/>
    </row>
    <row r="20" spans="1:5" ht="13.5" customHeight="1" x14ac:dyDescent="0.2">
      <c r="A20" s="57">
        <v>11</v>
      </c>
      <c r="B20" s="32">
        <f t="shared" si="1"/>
        <v>21225130</v>
      </c>
      <c r="C20" s="31">
        <v>21230539</v>
      </c>
      <c r="D20" s="37">
        <f t="shared" si="0"/>
        <v>5409</v>
      </c>
      <c r="E20" s="33"/>
    </row>
    <row r="21" spans="1:5" ht="13.5" customHeight="1" x14ac:dyDescent="0.2">
      <c r="A21" s="58">
        <v>12</v>
      </c>
      <c r="B21" s="32">
        <f t="shared" si="1"/>
        <v>21230539</v>
      </c>
      <c r="C21" s="31">
        <v>21230582</v>
      </c>
      <c r="D21" s="37">
        <f t="shared" si="0"/>
        <v>43</v>
      </c>
      <c r="E21" s="33"/>
    </row>
    <row r="22" spans="1:5" ht="13.5" customHeight="1" x14ac:dyDescent="0.2">
      <c r="A22" s="57">
        <v>13</v>
      </c>
      <c r="B22" s="32">
        <f t="shared" si="1"/>
        <v>21230582</v>
      </c>
      <c r="C22" s="31">
        <v>21234705</v>
      </c>
      <c r="D22" s="37">
        <f t="shared" si="0"/>
        <v>4123</v>
      </c>
      <c r="E22" s="33"/>
    </row>
    <row r="23" spans="1:5" ht="13.5" customHeight="1" x14ac:dyDescent="0.2">
      <c r="A23" s="58">
        <v>14</v>
      </c>
      <c r="B23" s="32">
        <f t="shared" si="1"/>
        <v>21234705</v>
      </c>
      <c r="C23" s="31">
        <v>21238778</v>
      </c>
      <c r="D23" s="37">
        <f t="shared" si="0"/>
        <v>4073</v>
      </c>
      <c r="E23" s="33"/>
    </row>
    <row r="24" spans="1:5" ht="13.5" customHeight="1" x14ac:dyDescent="0.2">
      <c r="A24" s="57">
        <v>15</v>
      </c>
      <c r="B24" s="32">
        <f t="shared" si="1"/>
        <v>21238778</v>
      </c>
      <c r="C24" s="31">
        <v>21242741</v>
      </c>
      <c r="D24" s="37">
        <f t="shared" si="0"/>
        <v>3963</v>
      </c>
      <c r="E24" s="33"/>
    </row>
    <row r="25" spans="1:5" ht="13.5" customHeight="1" x14ac:dyDescent="0.2">
      <c r="A25" s="58">
        <v>16</v>
      </c>
      <c r="B25" s="32">
        <f t="shared" si="1"/>
        <v>21242741</v>
      </c>
      <c r="C25" s="31">
        <v>21247483</v>
      </c>
      <c r="D25" s="37">
        <f t="shared" si="0"/>
        <v>4742</v>
      </c>
      <c r="E25" s="33"/>
    </row>
    <row r="26" spans="1:5" ht="13.5" customHeight="1" x14ac:dyDescent="0.2">
      <c r="A26" s="57">
        <v>17</v>
      </c>
      <c r="B26" s="32">
        <f t="shared" si="1"/>
        <v>21247483</v>
      </c>
      <c r="C26" s="31">
        <v>21252552</v>
      </c>
      <c r="D26" s="37">
        <f t="shared" si="0"/>
        <v>5069</v>
      </c>
      <c r="E26" s="33"/>
    </row>
    <row r="27" spans="1:5" ht="13.5" customHeight="1" x14ac:dyDescent="0.2">
      <c r="A27" s="58">
        <v>18</v>
      </c>
      <c r="B27" s="32">
        <f t="shared" si="1"/>
        <v>21252552</v>
      </c>
      <c r="C27" s="31">
        <v>21256989</v>
      </c>
      <c r="D27" s="37">
        <f t="shared" si="0"/>
        <v>4437</v>
      </c>
      <c r="E27" s="33"/>
    </row>
    <row r="28" spans="1:5" ht="13.5" customHeight="1" x14ac:dyDescent="0.2">
      <c r="A28" s="57">
        <v>19</v>
      </c>
      <c r="B28" s="32">
        <f t="shared" si="1"/>
        <v>21256989</v>
      </c>
      <c r="C28" s="31">
        <v>21259933</v>
      </c>
      <c r="D28" s="37">
        <f>MAX(0,C28-B28)</f>
        <v>2944</v>
      </c>
      <c r="E28" s="33"/>
    </row>
    <row r="29" spans="1:5" ht="13.5" customHeight="1" x14ac:dyDescent="0.2">
      <c r="A29" s="58">
        <v>20</v>
      </c>
      <c r="B29" s="32">
        <f t="shared" si="1"/>
        <v>21259933</v>
      </c>
      <c r="C29" s="31">
        <v>21264743</v>
      </c>
      <c r="D29" s="37">
        <f t="shared" si="0"/>
        <v>4810</v>
      </c>
      <c r="E29" s="33"/>
    </row>
    <row r="30" spans="1:5" ht="13.5" customHeight="1" x14ac:dyDescent="0.2">
      <c r="A30" s="57">
        <v>21</v>
      </c>
      <c r="B30" s="32">
        <f t="shared" si="1"/>
        <v>21264743</v>
      </c>
      <c r="C30" s="31">
        <v>21269448</v>
      </c>
      <c r="D30" s="37">
        <f t="shared" si="0"/>
        <v>4705</v>
      </c>
      <c r="E30" s="33"/>
    </row>
    <row r="31" spans="1:5" ht="13.5" customHeight="1" x14ac:dyDescent="0.2">
      <c r="A31" s="58">
        <v>22</v>
      </c>
      <c r="B31" s="32">
        <f t="shared" si="1"/>
        <v>21269448</v>
      </c>
      <c r="C31" s="31">
        <v>21274848</v>
      </c>
      <c r="D31" s="37">
        <f t="shared" si="0"/>
        <v>5400</v>
      </c>
      <c r="E31" s="33"/>
    </row>
    <row r="32" spans="1:5" ht="13.5" customHeight="1" x14ac:dyDescent="0.2">
      <c r="A32" s="57">
        <v>23</v>
      </c>
      <c r="B32" s="32">
        <f t="shared" si="1"/>
        <v>21274848</v>
      </c>
      <c r="C32" s="31">
        <v>21279423</v>
      </c>
      <c r="D32" s="37">
        <f t="shared" si="0"/>
        <v>4575</v>
      </c>
      <c r="E32" s="34"/>
    </row>
    <row r="33" spans="1:10" ht="13.5" customHeight="1" x14ac:dyDescent="0.2">
      <c r="A33" s="322">
        <v>24</v>
      </c>
      <c r="B33" s="323">
        <f t="shared" si="1"/>
        <v>21279423</v>
      </c>
      <c r="C33" s="324">
        <v>21283659</v>
      </c>
      <c r="D33" s="37">
        <f t="shared" si="0"/>
        <v>4236</v>
      </c>
      <c r="E33" s="386"/>
      <c r="F33" s="387"/>
      <c r="G33" s="387"/>
      <c r="H33" s="387"/>
      <c r="I33" s="387"/>
      <c r="J33" s="387"/>
    </row>
    <row r="34" spans="1:10" ht="13.5" customHeight="1" x14ac:dyDescent="0.2">
      <c r="A34" s="57">
        <v>25</v>
      </c>
      <c r="B34" s="323">
        <f>C33</f>
        <v>21283659</v>
      </c>
      <c r="C34" s="31">
        <v>21288354</v>
      </c>
      <c r="D34" s="37">
        <f t="shared" si="0"/>
        <v>4695</v>
      </c>
      <c r="E34" s="34"/>
    </row>
    <row r="35" spans="1:10" s="3" customFormat="1" ht="13.5" customHeight="1" x14ac:dyDescent="0.2">
      <c r="A35" s="187">
        <v>26</v>
      </c>
      <c r="B35" s="323">
        <f>C34</f>
        <v>21288354</v>
      </c>
      <c r="C35" s="31">
        <v>21294577</v>
      </c>
      <c r="D35" s="37">
        <f t="shared" si="0"/>
        <v>6223</v>
      </c>
      <c r="E35" s="34"/>
    </row>
    <row r="36" spans="1:10" ht="13.5" customHeight="1" x14ac:dyDescent="0.2">
      <c r="A36" s="57">
        <v>27</v>
      </c>
      <c r="B36" s="32">
        <f t="shared" si="1"/>
        <v>21294577</v>
      </c>
      <c r="C36" s="31">
        <v>21298708</v>
      </c>
      <c r="D36" s="37">
        <f t="shared" si="0"/>
        <v>4131</v>
      </c>
      <c r="E36" s="46"/>
    </row>
    <row r="37" spans="1:10" ht="13.5" customHeight="1" x14ac:dyDescent="0.2">
      <c r="A37" s="58">
        <v>28</v>
      </c>
      <c r="B37" s="32">
        <f t="shared" si="1"/>
        <v>21298708</v>
      </c>
      <c r="C37" s="31">
        <v>21304324</v>
      </c>
      <c r="D37" s="37">
        <f t="shared" si="0"/>
        <v>5616</v>
      </c>
      <c r="E37" s="46"/>
    </row>
    <row r="38" spans="1:10" ht="13.5" customHeight="1" x14ac:dyDescent="0.2">
      <c r="A38" s="58">
        <v>29</v>
      </c>
      <c r="B38" s="32">
        <f t="shared" si="1"/>
        <v>21304324</v>
      </c>
      <c r="C38" s="31">
        <v>21312220</v>
      </c>
      <c r="D38" s="37">
        <f t="shared" si="0"/>
        <v>7896</v>
      </c>
      <c r="E38" s="46"/>
    </row>
    <row r="39" spans="1:10" ht="13.5" customHeight="1" x14ac:dyDescent="0.2">
      <c r="A39" s="58">
        <v>30</v>
      </c>
      <c r="B39" s="32">
        <f t="shared" si="1"/>
        <v>21312220</v>
      </c>
      <c r="C39" s="31">
        <v>21320243</v>
      </c>
      <c r="D39" s="37">
        <f t="shared" si="0"/>
        <v>8023</v>
      </c>
      <c r="E39" s="46"/>
    </row>
    <row r="40" spans="1:10" ht="13.5" customHeight="1" x14ac:dyDescent="0.2">
      <c r="A40" s="58">
        <v>31</v>
      </c>
      <c r="B40" s="32">
        <f t="shared" si="1"/>
        <v>21320243</v>
      </c>
      <c r="C40" s="31"/>
      <c r="D40" s="37">
        <f t="shared" si="0"/>
        <v>0</v>
      </c>
      <c r="E40" s="46"/>
    </row>
    <row r="41" spans="1:10" ht="13.5" thickBot="1" x14ac:dyDescent="0.25">
      <c r="A41" s="54" t="s">
        <v>7</v>
      </c>
      <c r="D41" s="335">
        <f>SUM(D10:D40)</f>
        <v>146725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C34" sqref="C34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0" t="s">
        <v>129</v>
      </c>
      <c r="B1" s="391"/>
      <c r="C1" s="391"/>
      <c r="D1" s="392"/>
      <c r="F1" s="396" t="s">
        <v>132</v>
      </c>
      <c r="G1" s="397"/>
      <c r="H1" s="398"/>
    </row>
    <row r="2" spans="1:13" x14ac:dyDescent="0.2">
      <c r="A2" s="240">
        <f>'GENSET #5'!A6</f>
        <v>44867</v>
      </c>
      <c r="B2" s="248"/>
      <c r="C2" s="248"/>
      <c r="D2" s="241"/>
      <c r="F2" s="399"/>
      <c r="G2" s="400"/>
      <c r="H2" s="401"/>
    </row>
    <row r="3" spans="1:13" x14ac:dyDescent="0.2">
      <c r="A3" s="245"/>
      <c r="B3" s="246"/>
      <c r="C3" s="246"/>
      <c r="D3" s="247" t="s">
        <v>38</v>
      </c>
      <c r="E3" s="239"/>
      <c r="F3" s="393" t="s">
        <v>58</v>
      </c>
      <c r="G3" s="394"/>
      <c r="H3" s="395"/>
    </row>
    <row r="4" spans="1:13" s="17" customFormat="1" ht="34.5" customHeight="1" x14ac:dyDescent="0.2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88" t="s">
        <v>62</v>
      </c>
      <c r="M4" s="389"/>
    </row>
    <row r="5" spans="1:13" x14ac:dyDescent="0.2">
      <c r="A5" s="89">
        <v>1</v>
      </c>
      <c r="B5" s="59">
        <v>47845340</v>
      </c>
      <c r="C5" s="242">
        <v>47851980</v>
      </c>
      <c r="D5" s="242">
        <f>MAX(0,C5-B5)</f>
        <v>6640</v>
      </c>
      <c r="F5" s="21">
        <v>1333200</v>
      </c>
      <c r="G5" s="21">
        <v>1333730</v>
      </c>
      <c r="H5" s="21">
        <f>MAX(0,G5-F5)</f>
        <v>530</v>
      </c>
      <c r="J5" s="88">
        <f>D5/200</f>
        <v>33.200000000000003</v>
      </c>
      <c r="L5" s="8">
        <f>2.68*D5</f>
        <v>17795.2</v>
      </c>
      <c r="M5" s="8">
        <f>L5/1000</f>
        <v>17.795200000000001</v>
      </c>
    </row>
    <row r="6" spans="1:13" x14ac:dyDescent="0.2">
      <c r="A6" s="89">
        <v>2</v>
      </c>
      <c r="B6" s="59">
        <f>C5</f>
        <v>47851980</v>
      </c>
      <c r="C6" s="59">
        <v>47858900</v>
      </c>
      <c r="D6" s="242">
        <f t="shared" ref="D6:D35" si="0">MAX(0,C6-B6)</f>
        <v>6920</v>
      </c>
      <c r="F6" s="21">
        <f>G5</f>
        <v>1333730</v>
      </c>
      <c r="G6" s="21">
        <v>1333730</v>
      </c>
      <c r="H6" s="21">
        <f t="shared" ref="H6:H35" si="1">MAX(0,G6-F6)</f>
        <v>0</v>
      </c>
      <c r="J6" s="88">
        <f t="shared" ref="J6:J35" si="2">D6/200</f>
        <v>34.6</v>
      </c>
      <c r="L6" s="8">
        <f t="shared" ref="L6:L35" si="3">2.68*D6</f>
        <v>18545.600000000002</v>
      </c>
      <c r="M6" s="8">
        <f t="shared" ref="M6:M36" si="4">L6/1000</f>
        <v>18.545600000000004</v>
      </c>
    </row>
    <row r="7" spans="1:13" x14ac:dyDescent="0.2">
      <c r="A7" s="89">
        <v>3</v>
      </c>
      <c r="B7" s="59">
        <f t="shared" ref="B7:B35" si="5">C6</f>
        <v>47858900</v>
      </c>
      <c r="C7" s="59">
        <v>47866040</v>
      </c>
      <c r="D7" s="242">
        <f t="shared" si="0"/>
        <v>7140</v>
      </c>
      <c r="F7" s="21">
        <f t="shared" ref="F7:F34" si="6">G6</f>
        <v>1333730</v>
      </c>
      <c r="G7" s="21">
        <v>1337290</v>
      </c>
      <c r="H7" s="21">
        <f t="shared" si="1"/>
        <v>3560</v>
      </c>
      <c r="J7" s="88">
        <f t="shared" si="2"/>
        <v>35.700000000000003</v>
      </c>
      <c r="L7" s="8">
        <f t="shared" si="3"/>
        <v>19135.2</v>
      </c>
      <c r="M7" s="8">
        <f t="shared" si="4"/>
        <v>19.135200000000001</v>
      </c>
    </row>
    <row r="8" spans="1:13" x14ac:dyDescent="0.2">
      <c r="A8" s="89">
        <v>4</v>
      </c>
      <c r="B8" s="59">
        <f t="shared" si="5"/>
        <v>47866040</v>
      </c>
      <c r="C8" s="59">
        <v>47873550</v>
      </c>
      <c r="D8" s="242">
        <f t="shared" si="0"/>
        <v>7510</v>
      </c>
      <c r="F8" s="21">
        <f t="shared" si="6"/>
        <v>1337290</v>
      </c>
      <c r="G8" s="21">
        <v>1337870</v>
      </c>
      <c r="H8" s="21">
        <f t="shared" si="1"/>
        <v>580</v>
      </c>
      <c r="J8" s="88">
        <f t="shared" si="2"/>
        <v>37.549999999999997</v>
      </c>
      <c r="L8" s="8">
        <f t="shared" si="3"/>
        <v>20126.800000000003</v>
      </c>
      <c r="M8" s="8">
        <f t="shared" si="4"/>
        <v>20.126800000000003</v>
      </c>
    </row>
    <row r="9" spans="1:13" x14ac:dyDescent="0.2">
      <c r="A9" s="89">
        <v>5</v>
      </c>
      <c r="B9" s="59">
        <f t="shared" si="5"/>
        <v>47873550</v>
      </c>
      <c r="C9" s="59">
        <v>47881080</v>
      </c>
      <c r="D9" s="242">
        <f t="shared" si="0"/>
        <v>7530</v>
      </c>
      <c r="F9" s="21">
        <f t="shared" si="6"/>
        <v>1337870</v>
      </c>
      <c r="G9" s="21">
        <v>1338010</v>
      </c>
      <c r="H9" s="21">
        <f t="shared" si="1"/>
        <v>140</v>
      </c>
      <c r="J9" s="88">
        <f t="shared" si="2"/>
        <v>37.65</v>
      </c>
      <c r="L9" s="8">
        <f t="shared" si="3"/>
        <v>20180.400000000001</v>
      </c>
      <c r="M9" s="8">
        <f t="shared" si="4"/>
        <v>20.180400000000002</v>
      </c>
    </row>
    <row r="10" spans="1:13" x14ac:dyDescent="0.2">
      <c r="A10" s="89">
        <v>6</v>
      </c>
      <c r="B10" s="59">
        <f t="shared" si="5"/>
        <v>47881080</v>
      </c>
      <c r="C10" s="59">
        <v>47888390</v>
      </c>
      <c r="D10" s="242">
        <f t="shared" si="0"/>
        <v>7310</v>
      </c>
      <c r="F10" s="21">
        <f t="shared" si="6"/>
        <v>1338010</v>
      </c>
      <c r="G10" s="21">
        <v>1338010</v>
      </c>
      <c r="H10" s="21">
        <f t="shared" si="1"/>
        <v>0</v>
      </c>
      <c r="J10" s="88">
        <f t="shared" si="2"/>
        <v>36.549999999999997</v>
      </c>
      <c r="L10" s="8">
        <f t="shared" si="3"/>
        <v>19590.800000000003</v>
      </c>
      <c r="M10" s="8">
        <f t="shared" si="4"/>
        <v>19.590800000000002</v>
      </c>
    </row>
    <row r="11" spans="1:13" x14ac:dyDescent="0.2">
      <c r="A11" s="89">
        <v>7</v>
      </c>
      <c r="B11" s="59">
        <f t="shared" si="5"/>
        <v>47888390</v>
      </c>
      <c r="C11" s="59">
        <v>47895840</v>
      </c>
      <c r="D11" s="242">
        <f t="shared" si="0"/>
        <v>7450</v>
      </c>
      <c r="F11" s="21">
        <f t="shared" si="6"/>
        <v>1338010</v>
      </c>
      <c r="G11" s="21">
        <v>1339060</v>
      </c>
      <c r="H11" s="21">
        <f t="shared" si="1"/>
        <v>1050</v>
      </c>
      <c r="J11" s="88">
        <f t="shared" si="2"/>
        <v>37.25</v>
      </c>
      <c r="L11" s="8">
        <f t="shared" si="3"/>
        <v>19966</v>
      </c>
      <c r="M11" s="8">
        <f t="shared" si="4"/>
        <v>19.966000000000001</v>
      </c>
    </row>
    <row r="12" spans="1:13" x14ac:dyDescent="0.2">
      <c r="A12" s="89">
        <v>8</v>
      </c>
      <c r="B12" s="59">
        <f t="shared" si="5"/>
        <v>47895840</v>
      </c>
      <c r="C12" s="59">
        <v>47903280</v>
      </c>
      <c r="D12" s="242">
        <f t="shared" si="0"/>
        <v>7440</v>
      </c>
      <c r="F12" s="21">
        <f t="shared" si="6"/>
        <v>1339060</v>
      </c>
      <c r="G12" s="21">
        <v>1343210</v>
      </c>
      <c r="H12" s="21">
        <f t="shared" si="1"/>
        <v>4150</v>
      </c>
      <c r="J12" s="88">
        <f t="shared" si="2"/>
        <v>37.200000000000003</v>
      </c>
      <c r="L12" s="8">
        <f t="shared" si="3"/>
        <v>19939.2</v>
      </c>
      <c r="M12" s="8">
        <f t="shared" si="4"/>
        <v>19.9392</v>
      </c>
    </row>
    <row r="13" spans="1:13" x14ac:dyDescent="0.2">
      <c r="A13" s="89">
        <v>9</v>
      </c>
      <c r="B13" s="59">
        <f t="shared" si="5"/>
        <v>47903280</v>
      </c>
      <c r="C13" s="59">
        <v>47910850</v>
      </c>
      <c r="D13" s="242">
        <f t="shared" si="0"/>
        <v>7570</v>
      </c>
      <c r="F13" s="21">
        <f t="shared" si="6"/>
        <v>1343210</v>
      </c>
      <c r="G13" s="21">
        <v>1343840</v>
      </c>
      <c r="H13" s="21">
        <f t="shared" si="1"/>
        <v>630</v>
      </c>
      <c r="J13" s="88">
        <f t="shared" si="2"/>
        <v>37.85</v>
      </c>
      <c r="L13" s="8">
        <f t="shared" si="3"/>
        <v>20287.600000000002</v>
      </c>
      <c r="M13" s="8">
        <f t="shared" si="4"/>
        <v>20.287600000000001</v>
      </c>
    </row>
    <row r="14" spans="1:13" x14ac:dyDescent="0.2">
      <c r="A14" s="89">
        <v>10</v>
      </c>
      <c r="B14" s="59">
        <f t="shared" si="5"/>
        <v>47910850</v>
      </c>
      <c r="C14" s="59">
        <v>47918060</v>
      </c>
      <c r="D14" s="242">
        <f t="shared" si="0"/>
        <v>7210</v>
      </c>
      <c r="F14" s="21">
        <f t="shared" si="6"/>
        <v>1343840</v>
      </c>
      <c r="G14" s="21">
        <v>1346050</v>
      </c>
      <c r="H14" s="21">
        <f t="shared" si="1"/>
        <v>2210</v>
      </c>
      <c r="J14" s="88">
        <f t="shared" si="2"/>
        <v>36.049999999999997</v>
      </c>
      <c r="L14" s="8">
        <f t="shared" si="3"/>
        <v>19322.800000000003</v>
      </c>
      <c r="M14" s="8">
        <f t="shared" si="4"/>
        <v>19.322800000000004</v>
      </c>
    </row>
    <row r="15" spans="1:13" x14ac:dyDescent="0.2">
      <c r="A15" s="89">
        <v>11</v>
      </c>
      <c r="B15" s="59">
        <f t="shared" si="5"/>
        <v>47918060</v>
      </c>
      <c r="C15" s="59">
        <v>47925620</v>
      </c>
      <c r="D15" s="242">
        <f t="shared" si="0"/>
        <v>7560</v>
      </c>
      <c r="F15" s="21">
        <f t="shared" si="6"/>
        <v>1346050</v>
      </c>
      <c r="G15" s="21">
        <v>1346720</v>
      </c>
      <c r="H15" s="21">
        <f t="shared" si="1"/>
        <v>670</v>
      </c>
      <c r="J15" s="88">
        <f t="shared" si="2"/>
        <v>37.799999999999997</v>
      </c>
      <c r="L15" s="8">
        <f t="shared" si="3"/>
        <v>20260.800000000003</v>
      </c>
      <c r="M15" s="8">
        <f t="shared" si="4"/>
        <v>20.260800000000003</v>
      </c>
    </row>
    <row r="16" spans="1:13" x14ac:dyDescent="0.2">
      <c r="A16" s="89">
        <v>12</v>
      </c>
      <c r="B16" s="59">
        <f t="shared" si="5"/>
        <v>47925620</v>
      </c>
      <c r="C16" s="59">
        <v>47933190</v>
      </c>
      <c r="D16" s="242">
        <f t="shared" si="0"/>
        <v>7570</v>
      </c>
      <c r="F16" s="21">
        <f t="shared" si="6"/>
        <v>1346720</v>
      </c>
      <c r="G16" s="21">
        <v>1346720</v>
      </c>
      <c r="H16" s="21">
        <f t="shared" si="1"/>
        <v>0</v>
      </c>
      <c r="J16" s="88">
        <f t="shared" si="2"/>
        <v>37.85</v>
      </c>
      <c r="L16" s="8">
        <f t="shared" si="3"/>
        <v>20287.600000000002</v>
      </c>
      <c r="M16" s="8">
        <f t="shared" si="4"/>
        <v>20.287600000000001</v>
      </c>
    </row>
    <row r="17" spans="1:13" x14ac:dyDescent="0.2">
      <c r="A17" s="89">
        <v>13</v>
      </c>
      <c r="B17" s="59">
        <f t="shared" si="5"/>
        <v>47933190</v>
      </c>
      <c r="C17" s="59">
        <v>47940500</v>
      </c>
      <c r="D17" s="242">
        <f t="shared" si="0"/>
        <v>7310</v>
      </c>
      <c r="F17" s="21">
        <f t="shared" si="6"/>
        <v>1346720</v>
      </c>
      <c r="G17" s="21">
        <v>1348720</v>
      </c>
      <c r="H17" s="21">
        <f t="shared" si="1"/>
        <v>2000</v>
      </c>
      <c r="J17" s="88">
        <f t="shared" si="2"/>
        <v>36.549999999999997</v>
      </c>
      <c r="L17" s="8">
        <f t="shared" si="3"/>
        <v>19590.800000000003</v>
      </c>
      <c r="M17" s="8">
        <f t="shared" si="4"/>
        <v>19.590800000000002</v>
      </c>
    </row>
    <row r="18" spans="1:13" x14ac:dyDescent="0.2">
      <c r="A18" s="89">
        <v>14</v>
      </c>
      <c r="B18" s="59">
        <f t="shared" si="5"/>
        <v>47940500</v>
      </c>
      <c r="C18" s="59">
        <v>47947540</v>
      </c>
      <c r="D18" s="242">
        <f t="shared" si="0"/>
        <v>7040</v>
      </c>
      <c r="F18" s="21">
        <f t="shared" si="6"/>
        <v>1348720</v>
      </c>
      <c r="G18" s="21">
        <v>1350430</v>
      </c>
      <c r="H18" s="21">
        <f t="shared" si="1"/>
        <v>1710</v>
      </c>
      <c r="J18" s="88">
        <f t="shared" si="2"/>
        <v>35.200000000000003</v>
      </c>
      <c r="L18" s="8">
        <f t="shared" si="3"/>
        <v>18867.2</v>
      </c>
      <c r="M18" s="8">
        <f t="shared" si="4"/>
        <v>18.8672</v>
      </c>
    </row>
    <row r="19" spans="1:13" x14ac:dyDescent="0.2">
      <c r="A19" s="89">
        <v>15</v>
      </c>
      <c r="B19" s="59">
        <f t="shared" si="5"/>
        <v>47947540</v>
      </c>
      <c r="C19" s="59">
        <v>47954580</v>
      </c>
      <c r="D19" s="242">
        <f t="shared" si="0"/>
        <v>7040</v>
      </c>
      <c r="F19" s="21">
        <f t="shared" si="6"/>
        <v>1350430</v>
      </c>
      <c r="G19" s="21">
        <v>1350930</v>
      </c>
      <c r="H19" s="21">
        <f t="shared" si="1"/>
        <v>500</v>
      </c>
      <c r="J19" s="88">
        <f t="shared" si="2"/>
        <v>35.200000000000003</v>
      </c>
      <c r="L19" s="8">
        <f t="shared" si="3"/>
        <v>18867.2</v>
      </c>
      <c r="M19" s="8">
        <f t="shared" si="4"/>
        <v>18.8672</v>
      </c>
    </row>
    <row r="20" spans="1:13" x14ac:dyDescent="0.2">
      <c r="A20" s="89">
        <v>16</v>
      </c>
      <c r="B20" s="59">
        <f t="shared" si="5"/>
        <v>47954580</v>
      </c>
      <c r="C20" s="59">
        <v>47961560</v>
      </c>
      <c r="D20" s="242">
        <f t="shared" si="0"/>
        <v>6980</v>
      </c>
      <c r="F20" s="21">
        <f t="shared" si="6"/>
        <v>1350930</v>
      </c>
      <c r="G20" s="21">
        <v>1350930</v>
      </c>
      <c r="H20" s="21">
        <f t="shared" si="1"/>
        <v>0</v>
      </c>
      <c r="J20" s="88">
        <f t="shared" si="2"/>
        <v>34.9</v>
      </c>
      <c r="L20" s="8">
        <f t="shared" si="3"/>
        <v>18706.400000000001</v>
      </c>
      <c r="M20" s="8">
        <f t="shared" si="4"/>
        <v>18.706400000000002</v>
      </c>
    </row>
    <row r="21" spans="1:13" x14ac:dyDescent="0.2">
      <c r="A21" s="89">
        <v>17</v>
      </c>
      <c r="B21" s="59">
        <f t="shared" si="5"/>
        <v>47961560</v>
      </c>
      <c r="C21" s="59">
        <v>47968280</v>
      </c>
      <c r="D21" s="242">
        <f t="shared" si="0"/>
        <v>6720</v>
      </c>
      <c r="F21" s="21">
        <f t="shared" si="6"/>
        <v>1350930</v>
      </c>
      <c r="G21" s="21">
        <v>1353490</v>
      </c>
      <c r="H21" s="21">
        <f t="shared" si="1"/>
        <v>2560</v>
      </c>
      <c r="J21" s="88">
        <f t="shared" si="2"/>
        <v>33.6</v>
      </c>
      <c r="L21" s="8">
        <f t="shared" si="3"/>
        <v>18009.600000000002</v>
      </c>
      <c r="M21" s="8">
        <f t="shared" si="4"/>
        <v>18.009600000000002</v>
      </c>
    </row>
    <row r="22" spans="1:13" x14ac:dyDescent="0.2">
      <c r="A22" s="89">
        <v>18</v>
      </c>
      <c r="B22" s="59">
        <f t="shared" si="5"/>
        <v>47968280</v>
      </c>
      <c r="C22" s="59">
        <v>47974850</v>
      </c>
      <c r="D22" s="242">
        <f t="shared" si="0"/>
        <v>6570</v>
      </c>
      <c r="F22" s="21">
        <f t="shared" si="6"/>
        <v>1353490</v>
      </c>
      <c r="G22" s="21">
        <v>1354020</v>
      </c>
      <c r="H22" s="21">
        <f t="shared" si="1"/>
        <v>530</v>
      </c>
      <c r="J22" s="88">
        <f t="shared" si="2"/>
        <v>32.85</v>
      </c>
      <c r="L22" s="8">
        <f t="shared" si="3"/>
        <v>17607.600000000002</v>
      </c>
      <c r="M22" s="8">
        <f t="shared" si="4"/>
        <v>17.607600000000001</v>
      </c>
    </row>
    <row r="23" spans="1:13" x14ac:dyDescent="0.2">
      <c r="A23" s="89">
        <v>19</v>
      </c>
      <c r="B23" s="59">
        <f t="shared" si="5"/>
        <v>47974850</v>
      </c>
      <c r="C23" s="59">
        <v>47981380</v>
      </c>
      <c r="D23" s="242">
        <f t="shared" si="0"/>
        <v>6530</v>
      </c>
      <c r="F23" s="21">
        <f t="shared" si="6"/>
        <v>1354020</v>
      </c>
      <c r="G23" s="21">
        <v>1355320</v>
      </c>
      <c r="H23" s="21">
        <f t="shared" si="1"/>
        <v>1300</v>
      </c>
      <c r="J23" s="88">
        <f t="shared" si="2"/>
        <v>32.65</v>
      </c>
      <c r="L23" s="8">
        <f t="shared" si="3"/>
        <v>17500.400000000001</v>
      </c>
      <c r="M23" s="8">
        <f t="shared" si="4"/>
        <v>17.500400000000003</v>
      </c>
    </row>
    <row r="24" spans="1:13" x14ac:dyDescent="0.2">
      <c r="A24" s="89">
        <v>20</v>
      </c>
      <c r="B24" s="59">
        <f t="shared" si="5"/>
        <v>47981380</v>
      </c>
      <c r="C24" s="59">
        <v>47987890</v>
      </c>
      <c r="D24" s="242">
        <f t="shared" si="0"/>
        <v>6510</v>
      </c>
      <c r="F24" s="21">
        <f t="shared" si="6"/>
        <v>1355320</v>
      </c>
      <c r="G24" s="21">
        <v>1357320</v>
      </c>
      <c r="H24" s="21">
        <f t="shared" si="1"/>
        <v>2000</v>
      </c>
      <c r="J24" s="88">
        <f t="shared" si="2"/>
        <v>32.549999999999997</v>
      </c>
      <c r="L24" s="8">
        <f t="shared" si="3"/>
        <v>17446.8</v>
      </c>
      <c r="M24" s="8">
        <f t="shared" si="4"/>
        <v>17.4468</v>
      </c>
    </row>
    <row r="25" spans="1:13" x14ac:dyDescent="0.2">
      <c r="A25" s="89">
        <v>21</v>
      </c>
      <c r="B25" s="59">
        <f t="shared" si="5"/>
        <v>47987890</v>
      </c>
      <c r="C25" s="59">
        <v>47994410</v>
      </c>
      <c r="D25" s="242">
        <f t="shared" si="0"/>
        <v>6520</v>
      </c>
      <c r="F25" s="21">
        <f t="shared" si="6"/>
        <v>1357320</v>
      </c>
      <c r="G25" s="21">
        <v>1357320</v>
      </c>
      <c r="H25" s="21">
        <f t="shared" si="1"/>
        <v>0</v>
      </c>
      <c r="J25" s="88">
        <f t="shared" si="2"/>
        <v>32.6</v>
      </c>
      <c r="L25" s="8">
        <f t="shared" si="3"/>
        <v>17473.600000000002</v>
      </c>
      <c r="M25" s="8">
        <f t="shared" si="4"/>
        <v>17.473600000000001</v>
      </c>
    </row>
    <row r="26" spans="1:13" x14ac:dyDescent="0.2">
      <c r="A26" s="89">
        <v>22</v>
      </c>
      <c r="B26" s="59">
        <f t="shared" si="5"/>
        <v>47994410</v>
      </c>
      <c r="C26" s="59">
        <v>48000640</v>
      </c>
      <c r="D26" s="242">
        <f t="shared" si="0"/>
        <v>6230</v>
      </c>
      <c r="F26" s="21">
        <f t="shared" si="6"/>
        <v>1357320</v>
      </c>
      <c r="G26" s="21">
        <v>1358960</v>
      </c>
      <c r="H26" s="21">
        <f t="shared" si="1"/>
        <v>1640</v>
      </c>
      <c r="J26" s="88">
        <f t="shared" si="2"/>
        <v>31.15</v>
      </c>
      <c r="L26" s="8">
        <f t="shared" si="3"/>
        <v>16696.400000000001</v>
      </c>
      <c r="M26" s="8">
        <f t="shared" si="4"/>
        <v>16.696400000000001</v>
      </c>
    </row>
    <row r="27" spans="1:13" x14ac:dyDescent="0.2">
      <c r="A27" s="89">
        <v>23</v>
      </c>
      <c r="B27" s="59">
        <f t="shared" si="5"/>
        <v>48000640</v>
      </c>
      <c r="C27" s="59">
        <v>48007810</v>
      </c>
      <c r="D27" s="242">
        <f t="shared" si="0"/>
        <v>7170</v>
      </c>
      <c r="F27" s="21">
        <f t="shared" si="6"/>
        <v>1358960</v>
      </c>
      <c r="G27" s="21">
        <v>1360330</v>
      </c>
      <c r="H27" s="21">
        <f t="shared" si="1"/>
        <v>1370</v>
      </c>
      <c r="J27" s="88">
        <f t="shared" si="2"/>
        <v>35.85</v>
      </c>
      <c r="L27" s="8">
        <f t="shared" si="3"/>
        <v>19215.600000000002</v>
      </c>
      <c r="M27" s="8">
        <f t="shared" si="4"/>
        <v>19.215600000000002</v>
      </c>
    </row>
    <row r="28" spans="1:13" x14ac:dyDescent="0.2">
      <c r="A28" s="89">
        <v>24</v>
      </c>
      <c r="B28" s="59">
        <f t="shared" si="5"/>
        <v>48007810</v>
      </c>
      <c r="C28" s="59">
        <v>48015010</v>
      </c>
      <c r="D28" s="242">
        <f t="shared" si="0"/>
        <v>7200</v>
      </c>
      <c r="F28" s="21">
        <f t="shared" si="6"/>
        <v>1360330</v>
      </c>
      <c r="G28" s="21">
        <v>1361690</v>
      </c>
      <c r="H28" s="21">
        <f t="shared" si="1"/>
        <v>1360</v>
      </c>
      <c r="J28" s="88">
        <f t="shared" si="2"/>
        <v>36</v>
      </c>
      <c r="L28" s="8">
        <f t="shared" si="3"/>
        <v>19296</v>
      </c>
      <c r="M28" s="8">
        <f>L28/1000</f>
        <v>19.295999999999999</v>
      </c>
    </row>
    <row r="29" spans="1:13" x14ac:dyDescent="0.2">
      <c r="A29" s="89">
        <v>25</v>
      </c>
      <c r="B29" s="59">
        <f t="shared" si="5"/>
        <v>48015010</v>
      </c>
      <c r="C29" s="59">
        <v>48021910</v>
      </c>
      <c r="D29" s="242">
        <f t="shared" si="0"/>
        <v>6900</v>
      </c>
      <c r="E29" s="3"/>
      <c r="F29" s="21">
        <f t="shared" si="6"/>
        <v>1361690</v>
      </c>
      <c r="G29" s="21">
        <v>1363990</v>
      </c>
      <c r="H29" s="21">
        <f t="shared" si="1"/>
        <v>2300</v>
      </c>
      <c r="J29" s="88">
        <f t="shared" si="2"/>
        <v>34.5</v>
      </c>
      <c r="L29" s="8">
        <f t="shared" si="3"/>
        <v>18492</v>
      </c>
      <c r="M29" s="8">
        <f t="shared" si="4"/>
        <v>18.492000000000001</v>
      </c>
    </row>
    <row r="30" spans="1:13" x14ac:dyDescent="0.2">
      <c r="A30" s="89">
        <v>26</v>
      </c>
      <c r="B30" s="59">
        <f t="shared" si="5"/>
        <v>48021910</v>
      </c>
      <c r="C30" s="59">
        <v>48029060</v>
      </c>
      <c r="D30" s="242">
        <f t="shared" si="0"/>
        <v>7150</v>
      </c>
      <c r="F30" s="21">
        <f t="shared" si="6"/>
        <v>1363990</v>
      </c>
      <c r="G30" s="21">
        <v>1365080</v>
      </c>
      <c r="H30" s="21">
        <f t="shared" si="1"/>
        <v>1090</v>
      </c>
      <c r="J30" s="88">
        <f t="shared" si="2"/>
        <v>35.75</v>
      </c>
      <c r="L30" s="8">
        <f t="shared" si="3"/>
        <v>19162</v>
      </c>
      <c r="M30" s="8">
        <f t="shared" si="4"/>
        <v>19.161999999999999</v>
      </c>
    </row>
    <row r="31" spans="1:13" x14ac:dyDescent="0.2">
      <c r="A31" s="89">
        <v>27</v>
      </c>
      <c r="B31" s="59">
        <f t="shared" si="5"/>
        <v>48029060</v>
      </c>
      <c r="C31" s="59">
        <v>48035870</v>
      </c>
      <c r="D31" s="242">
        <f t="shared" si="0"/>
        <v>6810</v>
      </c>
      <c r="F31" s="21">
        <f t="shared" si="6"/>
        <v>1365080</v>
      </c>
      <c r="G31" s="21">
        <v>1365240</v>
      </c>
      <c r="H31" s="21">
        <f t="shared" si="1"/>
        <v>160</v>
      </c>
      <c r="J31" s="88">
        <f t="shared" si="2"/>
        <v>34.049999999999997</v>
      </c>
      <c r="L31" s="8">
        <f t="shared" si="3"/>
        <v>18250.8</v>
      </c>
      <c r="M31" s="8">
        <f t="shared" si="4"/>
        <v>18.250799999999998</v>
      </c>
    </row>
    <row r="32" spans="1:13" x14ac:dyDescent="0.2">
      <c r="A32" s="89">
        <v>28</v>
      </c>
      <c r="B32" s="59">
        <f t="shared" si="5"/>
        <v>48035870</v>
      </c>
      <c r="C32" s="59">
        <v>48043030</v>
      </c>
      <c r="D32" s="242">
        <f t="shared" si="0"/>
        <v>7160</v>
      </c>
      <c r="F32" s="21">
        <f t="shared" si="6"/>
        <v>1365240</v>
      </c>
      <c r="G32" s="21">
        <v>1365240</v>
      </c>
      <c r="H32" s="21">
        <f t="shared" si="1"/>
        <v>0</v>
      </c>
      <c r="J32" s="88">
        <f t="shared" si="2"/>
        <v>35.799999999999997</v>
      </c>
      <c r="L32" s="8">
        <f t="shared" si="3"/>
        <v>19188.800000000003</v>
      </c>
      <c r="M32" s="8">
        <f t="shared" si="4"/>
        <v>19.188800000000004</v>
      </c>
    </row>
    <row r="33" spans="1:13" x14ac:dyDescent="0.2">
      <c r="A33" s="89">
        <v>29</v>
      </c>
      <c r="B33" s="59">
        <f t="shared" si="5"/>
        <v>48043030</v>
      </c>
      <c r="C33" s="59">
        <v>48050180</v>
      </c>
      <c r="D33" s="242">
        <f t="shared" si="0"/>
        <v>7150</v>
      </c>
      <c r="F33" s="21">
        <f t="shared" si="6"/>
        <v>1365240</v>
      </c>
      <c r="G33" s="21">
        <v>1366640</v>
      </c>
      <c r="H33" s="21">
        <f t="shared" si="1"/>
        <v>1400</v>
      </c>
      <c r="J33" s="88">
        <f t="shared" si="2"/>
        <v>35.75</v>
      </c>
      <c r="L33" s="8">
        <f t="shared" si="3"/>
        <v>19162</v>
      </c>
      <c r="M33" s="8">
        <f t="shared" si="4"/>
        <v>19.161999999999999</v>
      </c>
    </row>
    <row r="34" spans="1:13" x14ac:dyDescent="0.2">
      <c r="A34" s="89">
        <v>30</v>
      </c>
      <c r="B34" s="59">
        <f t="shared" si="5"/>
        <v>48050180</v>
      </c>
      <c r="C34" s="59">
        <v>48057510</v>
      </c>
      <c r="D34" s="242">
        <f t="shared" si="0"/>
        <v>7330</v>
      </c>
      <c r="F34" s="21">
        <f t="shared" si="6"/>
        <v>1366640</v>
      </c>
      <c r="G34" s="21">
        <v>1367140</v>
      </c>
      <c r="H34" s="21">
        <f t="shared" si="1"/>
        <v>500</v>
      </c>
      <c r="J34" s="88">
        <f t="shared" si="2"/>
        <v>36.65</v>
      </c>
      <c r="L34" s="8">
        <f t="shared" si="3"/>
        <v>19644.400000000001</v>
      </c>
      <c r="M34" s="8">
        <f t="shared" si="4"/>
        <v>19.644400000000001</v>
      </c>
    </row>
    <row r="35" spans="1:13" x14ac:dyDescent="0.2">
      <c r="A35" s="89">
        <v>31</v>
      </c>
      <c r="B35" s="59">
        <f t="shared" si="5"/>
        <v>48057510</v>
      </c>
      <c r="C35" s="59"/>
      <c r="D35" s="242">
        <f t="shared" si="0"/>
        <v>0</v>
      </c>
      <c r="F35" s="21">
        <f>G34</f>
        <v>1367140</v>
      </c>
      <c r="G35" s="21"/>
      <c r="H35" s="21">
        <f t="shared" si="1"/>
        <v>0</v>
      </c>
      <c r="J35" s="88">
        <f t="shared" si="2"/>
        <v>0</v>
      </c>
      <c r="L35" s="8">
        <f t="shared" si="3"/>
        <v>0</v>
      </c>
      <c r="M35" s="8"/>
    </row>
    <row r="36" spans="1:13" ht="13.5" thickBot="1" x14ac:dyDescent="0.25">
      <c r="D36" s="243">
        <f>SUM(D5:D35)</f>
        <v>212170</v>
      </c>
      <c r="F36" s="86"/>
      <c r="G36" s="259"/>
      <c r="H36" s="21"/>
      <c r="J36" s="88">
        <f>SUM(J5:J34)</f>
        <v>1060.8499999999999</v>
      </c>
      <c r="L36" s="8">
        <f>2.68*D36</f>
        <v>568615.6</v>
      </c>
      <c r="M36" s="8">
        <f t="shared" si="4"/>
        <v>568.61559999999997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39" sqref="C39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80"/>
      <c r="D1" s="380"/>
    </row>
    <row r="2" spans="1:11" hidden="1" x14ac:dyDescent="0.2">
      <c r="B2" s="17"/>
      <c r="C2" s="380"/>
      <c r="D2" s="380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f>'Diesel consumption'!A2</f>
        <v>44867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55"/>
      <c r="B7" s="402" t="s">
        <v>160</v>
      </c>
      <c r="C7" s="403"/>
      <c r="D7" s="403"/>
      <c r="E7" s="403"/>
      <c r="F7" s="403"/>
    </row>
    <row r="8" spans="1:11" ht="38.25" x14ac:dyDescent="0.2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2">
      <c r="A9" s="254">
        <v>1</v>
      </c>
      <c r="B9" s="32">
        <v>4101623</v>
      </c>
      <c r="C9" s="32">
        <v>4104737</v>
      </c>
      <c r="D9" s="65">
        <f>MAX(0,C9-B9)</f>
        <v>3114</v>
      </c>
      <c r="E9" s="292"/>
      <c r="F9" s="285"/>
    </row>
    <row r="10" spans="1:11" x14ac:dyDescent="0.2">
      <c r="A10" s="67">
        <v>2</v>
      </c>
      <c r="B10" s="32">
        <f>C9</f>
        <v>4104737</v>
      </c>
      <c r="C10" s="32">
        <v>4107860</v>
      </c>
      <c r="D10" s="65">
        <f t="shared" ref="D10:D39" si="0">MAX(0,C10-B10)</f>
        <v>3123</v>
      </c>
      <c r="E10" s="292"/>
      <c r="F10" s="285"/>
    </row>
    <row r="11" spans="1:11" x14ac:dyDescent="0.2">
      <c r="A11" s="114">
        <v>3</v>
      </c>
      <c r="B11" s="32">
        <f t="shared" ref="B11:B39" si="1">C10</f>
        <v>4107860</v>
      </c>
      <c r="C11" s="32">
        <v>4110873</v>
      </c>
      <c r="D11" s="65">
        <f t="shared" si="0"/>
        <v>3013</v>
      </c>
      <c r="E11" s="292"/>
      <c r="F11" s="285"/>
    </row>
    <row r="12" spans="1:11" x14ac:dyDescent="0.2">
      <c r="A12" s="67">
        <v>4</v>
      </c>
      <c r="B12" s="32">
        <f t="shared" si="1"/>
        <v>4110873</v>
      </c>
      <c r="C12" s="32">
        <v>4113975</v>
      </c>
      <c r="D12" s="65">
        <f t="shared" si="0"/>
        <v>3102</v>
      </c>
      <c r="E12" s="292"/>
      <c r="F12" s="285"/>
    </row>
    <row r="13" spans="1:11" x14ac:dyDescent="0.2">
      <c r="A13" s="114">
        <v>5</v>
      </c>
      <c r="B13" s="32">
        <f t="shared" si="1"/>
        <v>4113975</v>
      </c>
      <c r="C13" s="32">
        <v>4116910</v>
      </c>
      <c r="D13" s="65">
        <f t="shared" si="0"/>
        <v>2935</v>
      </c>
      <c r="E13" s="292"/>
      <c r="F13" s="285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4116910</v>
      </c>
      <c r="C14" s="32">
        <v>4119839</v>
      </c>
      <c r="D14" s="65">
        <f t="shared" si="0"/>
        <v>2929</v>
      </c>
      <c r="E14" s="292"/>
      <c r="F14" s="285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4119839</v>
      </c>
      <c r="C15" s="32">
        <v>4122879</v>
      </c>
      <c r="D15" s="65">
        <f t="shared" si="0"/>
        <v>3040</v>
      </c>
      <c r="E15" s="292"/>
      <c r="F15" s="285"/>
    </row>
    <row r="16" spans="1:11" x14ac:dyDescent="0.2">
      <c r="A16" s="67">
        <v>8</v>
      </c>
      <c r="B16" s="32">
        <f t="shared" si="1"/>
        <v>4122879</v>
      </c>
      <c r="C16" s="32">
        <v>4125878</v>
      </c>
      <c r="D16" s="65">
        <f t="shared" si="0"/>
        <v>2999</v>
      </c>
      <c r="E16" s="292"/>
      <c r="F16" s="285"/>
    </row>
    <row r="17" spans="1:10" x14ac:dyDescent="0.2">
      <c r="A17" s="114">
        <v>9</v>
      </c>
      <c r="B17" s="32">
        <f t="shared" si="1"/>
        <v>4125878</v>
      </c>
      <c r="C17" s="32">
        <v>4128465</v>
      </c>
      <c r="D17" s="65">
        <f t="shared" si="0"/>
        <v>2587</v>
      </c>
      <c r="E17" s="68"/>
      <c r="F17" s="285"/>
    </row>
    <row r="18" spans="1:10" x14ac:dyDescent="0.2">
      <c r="A18" s="67">
        <v>10</v>
      </c>
      <c r="B18" s="32">
        <f t="shared" si="1"/>
        <v>4128465</v>
      </c>
      <c r="C18" s="32">
        <v>4130933</v>
      </c>
      <c r="D18" s="65">
        <f t="shared" si="0"/>
        <v>2468</v>
      </c>
      <c r="E18" s="68"/>
      <c r="F18" s="285"/>
    </row>
    <row r="19" spans="1:10" x14ac:dyDescent="0.2">
      <c r="A19" s="114">
        <v>11</v>
      </c>
      <c r="B19" s="32">
        <f t="shared" si="1"/>
        <v>4130933</v>
      </c>
      <c r="C19" s="32">
        <v>4133259</v>
      </c>
      <c r="D19" s="65">
        <f t="shared" si="0"/>
        <v>2326</v>
      </c>
      <c r="E19" s="68"/>
      <c r="F19" s="285"/>
    </row>
    <row r="20" spans="1:10" x14ac:dyDescent="0.2">
      <c r="A20" s="67">
        <v>12</v>
      </c>
      <c r="B20" s="32">
        <f t="shared" si="1"/>
        <v>4133259</v>
      </c>
      <c r="C20" s="32">
        <v>4135858</v>
      </c>
      <c r="D20" s="65">
        <f t="shared" si="0"/>
        <v>2599</v>
      </c>
      <c r="E20" s="68"/>
      <c r="F20" s="285"/>
    </row>
    <row r="21" spans="1:10" x14ac:dyDescent="0.2">
      <c r="A21" s="114">
        <v>13</v>
      </c>
      <c r="B21" s="32">
        <f t="shared" si="1"/>
        <v>4135858</v>
      </c>
      <c r="C21" s="32">
        <v>4138395</v>
      </c>
      <c r="D21" s="65">
        <f t="shared" si="0"/>
        <v>2537</v>
      </c>
      <c r="E21" s="68"/>
      <c r="F21" s="285"/>
    </row>
    <row r="22" spans="1:10" x14ac:dyDescent="0.2">
      <c r="A22" s="67">
        <v>14</v>
      </c>
      <c r="B22" s="32">
        <f t="shared" si="1"/>
        <v>4138395</v>
      </c>
      <c r="C22" s="32">
        <v>4140468</v>
      </c>
      <c r="D22" s="65">
        <f t="shared" si="0"/>
        <v>2073</v>
      </c>
      <c r="E22" s="68"/>
      <c r="F22" s="285"/>
    </row>
    <row r="23" spans="1:10" x14ac:dyDescent="0.2">
      <c r="A23" s="114">
        <v>15</v>
      </c>
      <c r="B23" s="32">
        <f t="shared" si="1"/>
        <v>4140468</v>
      </c>
      <c r="C23" s="32">
        <v>4142611</v>
      </c>
      <c r="D23" s="65">
        <f t="shared" si="0"/>
        <v>2143</v>
      </c>
      <c r="E23" s="68"/>
      <c r="F23" s="285"/>
    </row>
    <row r="24" spans="1:10" x14ac:dyDescent="0.2">
      <c r="A24" s="67">
        <v>16</v>
      </c>
      <c r="B24" s="32">
        <f t="shared" si="1"/>
        <v>4142611</v>
      </c>
      <c r="C24" s="32">
        <v>4144456</v>
      </c>
      <c r="D24" s="65">
        <f t="shared" si="0"/>
        <v>1845</v>
      </c>
      <c r="E24" s="68"/>
      <c r="F24" s="285"/>
    </row>
    <row r="25" spans="1:10" x14ac:dyDescent="0.2">
      <c r="A25" s="114">
        <v>17</v>
      </c>
      <c r="B25" s="32">
        <f t="shared" si="1"/>
        <v>4144456</v>
      </c>
      <c r="C25" s="32">
        <v>4146803</v>
      </c>
      <c r="D25" s="65">
        <f t="shared" si="0"/>
        <v>2347</v>
      </c>
      <c r="E25" s="68"/>
      <c r="F25" s="285"/>
    </row>
    <row r="26" spans="1:10" x14ac:dyDescent="0.2">
      <c r="A26" s="67">
        <v>18</v>
      </c>
      <c r="B26" s="32">
        <f t="shared" si="1"/>
        <v>4146803</v>
      </c>
      <c r="C26" s="32">
        <v>4148266</v>
      </c>
      <c r="D26" s="65">
        <f t="shared" si="0"/>
        <v>1463</v>
      </c>
      <c r="E26" s="68"/>
      <c r="F26" s="285"/>
      <c r="J26" s="3" t="s">
        <v>137</v>
      </c>
    </row>
    <row r="27" spans="1:10" x14ac:dyDescent="0.2">
      <c r="A27" s="114">
        <v>19</v>
      </c>
      <c r="B27" s="32">
        <f t="shared" si="1"/>
        <v>4148266</v>
      </c>
      <c r="C27" s="32">
        <v>4151060</v>
      </c>
      <c r="D27" s="65">
        <f t="shared" si="0"/>
        <v>2794</v>
      </c>
      <c r="E27" s="68"/>
      <c r="F27" s="285"/>
    </row>
    <row r="28" spans="1:10" x14ac:dyDescent="0.2">
      <c r="A28" s="67">
        <v>20</v>
      </c>
      <c r="B28" s="32">
        <f t="shared" si="1"/>
        <v>4151060</v>
      </c>
      <c r="C28" s="32">
        <v>4152170</v>
      </c>
      <c r="D28" s="65">
        <f t="shared" si="0"/>
        <v>1110</v>
      </c>
      <c r="E28" s="68"/>
      <c r="F28" s="285"/>
    </row>
    <row r="29" spans="1:10" x14ac:dyDescent="0.2">
      <c r="A29" s="114">
        <v>21</v>
      </c>
      <c r="B29" s="32">
        <f t="shared" si="1"/>
        <v>4152170</v>
      </c>
      <c r="C29" s="32">
        <v>4153654</v>
      </c>
      <c r="D29" s="65">
        <f t="shared" si="0"/>
        <v>1484</v>
      </c>
      <c r="E29" s="68"/>
      <c r="F29" s="285"/>
    </row>
    <row r="30" spans="1:10" x14ac:dyDescent="0.2">
      <c r="A30" s="67">
        <v>22</v>
      </c>
      <c r="B30" s="32">
        <f t="shared" si="1"/>
        <v>4153654</v>
      </c>
      <c r="C30" s="32">
        <v>4156697</v>
      </c>
      <c r="D30" s="65">
        <f t="shared" si="0"/>
        <v>3043</v>
      </c>
      <c r="E30" s="68"/>
      <c r="F30" s="285"/>
    </row>
    <row r="31" spans="1:10" x14ac:dyDescent="0.2">
      <c r="A31" s="114">
        <v>23</v>
      </c>
      <c r="B31" s="32">
        <f t="shared" si="1"/>
        <v>4156697</v>
      </c>
      <c r="C31" s="32">
        <v>4159385</v>
      </c>
      <c r="D31" s="65">
        <f t="shared" si="0"/>
        <v>2688</v>
      </c>
      <c r="E31" s="68"/>
      <c r="F31" s="285"/>
    </row>
    <row r="32" spans="1:10" x14ac:dyDescent="0.2">
      <c r="A32" s="67">
        <v>24</v>
      </c>
      <c r="B32" s="32">
        <f t="shared" si="1"/>
        <v>4159385</v>
      </c>
      <c r="C32" s="85">
        <v>4162316</v>
      </c>
      <c r="D32" s="65">
        <f t="shared" si="0"/>
        <v>2931</v>
      </c>
      <c r="E32" s="68"/>
      <c r="F32" s="285"/>
    </row>
    <row r="33" spans="1:6" x14ac:dyDescent="0.2">
      <c r="A33" s="114">
        <v>25</v>
      </c>
      <c r="B33" s="32">
        <f t="shared" si="1"/>
        <v>4162316</v>
      </c>
      <c r="C33" s="32">
        <v>4165294</v>
      </c>
      <c r="D33" s="65">
        <f t="shared" si="0"/>
        <v>2978</v>
      </c>
      <c r="E33" s="68"/>
      <c r="F33" s="285"/>
    </row>
    <row r="34" spans="1:6" x14ac:dyDescent="0.2">
      <c r="A34" s="67">
        <v>26</v>
      </c>
      <c r="B34" s="32">
        <f t="shared" si="1"/>
        <v>4165294</v>
      </c>
      <c r="C34" s="32">
        <v>4168388</v>
      </c>
      <c r="D34" s="65">
        <f t="shared" si="0"/>
        <v>3094</v>
      </c>
      <c r="E34" s="68"/>
      <c r="F34" s="285"/>
    </row>
    <row r="35" spans="1:6" x14ac:dyDescent="0.2">
      <c r="A35" s="114">
        <v>27</v>
      </c>
      <c r="B35" s="32">
        <f t="shared" si="1"/>
        <v>4168388</v>
      </c>
      <c r="C35" s="32">
        <v>4171442</v>
      </c>
      <c r="D35" s="65">
        <f t="shared" si="0"/>
        <v>3054</v>
      </c>
      <c r="E35" s="68"/>
      <c r="F35" s="285"/>
    </row>
    <row r="36" spans="1:6" x14ac:dyDescent="0.2">
      <c r="A36" s="67">
        <v>28</v>
      </c>
      <c r="B36" s="32">
        <f t="shared" si="1"/>
        <v>4171442</v>
      </c>
      <c r="C36" s="32">
        <v>4174290</v>
      </c>
      <c r="D36" s="65">
        <f>MAX(0,C36-B36)</f>
        <v>2848</v>
      </c>
      <c r="E36" s="68"/>
      <c r="F36" s="285"/>
    </row>
    <row r="37" spans="1:6" x14ac:dyDescent="0.2">
      <c r="A37" s="67">
        <v>29</v>
      </c>
      <c r="B37" s="32">
        <f t="shared" si="1"/>
        <v>4174290</v>
      </c>
      <c r="C37" s="32">
        <v>4176983</v>
      </c>
      <c r="D37" s="65">
        <f t="shared" si="0"/>
        <v>2693</v>
      </c>
      <c r="E37" s="68"/>
      <c r="F37" s="285"/>
    </row>
    <row r="38" spans="1:6" x14ac:dyDescent="0.2">
      <c r="A38" s="67">
        <v>30</v>
      </c>
      <c r="B38" s="32">
        <f t="shared" si="1"/>
        <v>4176983</v>
      </c>
      <c r="C38" s="32">
        <v>4179933</v>
      </c>
      <c r="D38" s="65">
        <f t="shared" si="0"/>
        <v>2950</v>
      </c>
      <c r="E38" s="68"/>
      <c r="F38" s="285"/>
    </row>
    <row r="39" spans="1:6" x14ac:dyDescent="0.2">
      <c r="A39" s="67">
        <v>31</v>
      </c>
      <c r="B39" s="32">
        <f t="shared" si="1"/>
        <v>4179933</v>
      </c>
      <c r="C39" s="32"/>
      <c r="D39" s="65">
        <f t="shared" si="0"/>
        <v>0</v>
      </c>
      <c r="E39" s="188"/>
      <c r="F39" s="285"/>
    </row>
    <row r="40" spans="1:6" ht="13.5" thickBot="1" x14ac:dyDescent="0.25">
      <c r="A40" s="114" t="s">
        <v>7</v>
      </c>
      <c r="B40" s="17"/>
      <c r="C40" s="17"/>
      <c r="D40" s="66">
        <f>SUM(D9:D39)</f>
        <v>78310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6"/>
  <sheetViews>
    <sheetView zoomScale="92" zoomScaleNormal="92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J6" sqref="AJ6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2" customWidth="1"/>
    <col min="185" max="185" width="11.28515625" style="91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91" hidden="1" customWidth="1"/>
    <col min="192" max="192" width="0" hidden="1" customWidth="1"/>
    <col min="193" max="193" width="11.28515625" style="91" hidden="1" customWidth="1"/>
    <col min="194" max="194" width="17.28515625" hidden="1" customWidth="1"/>
    <col min="195" max="195" width="14.28515625" hidden="1" customWidth="1"/>
    <col min="196" max="196" width="11" hidden="1" customWidth="1"/>
  </cols>
  <sheetData>
    <row r="1" spans="1:196" s="1" customFormat="1" ht="23.25" customHeight="1" x14ac:dyDescent="0.2">
      <c r="A1" s="418">
        <f>'SOLAR METER READING'!B5</f>
        <v>44867</v>
      </c>
      <c r="B1" s="418"/>
      <c r="C1" s="418"/>
      <c r="D1" s="417"/>
      <c r="E1" s="417"/>
      <c r="F1" s="417"/>
      <c r="G1" s="417"/>
      <c r="H1" s="417"/>
      <c r="I1" s="417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06" t="s">
        <v>140</v>
      </c>
      <c r="GD1" s="406"/>
      <c r="GE1" s="406"/>
      <c r="GF1" s="406"/>
      <c r="GG1" s="406"/>
      <c r="GH1" s="406"/>
      <c r="GI1" s="406"/>
      <c r="GJ1" s="406"/>
      <c r="GK1" s="406"/>
      <c r="GL1" s="406"/>
      <c r="GM1" s="406"/>
      <c r="GN1" s="406"/>
    </row>
    <row r="2" spans="1:196" ht="23.25" customHeight="1" thickBot="1" x14ac:dyDescent="0.25">
      <c r="A2" s="216" t="s">
        <v>44</v>
      </c>
      <c r="B2" s="216"/>
      <c r="GC2" s="407"/>
      <c r="GD2" s="407"/>
      <c r="GE2" s="407"/>
      <c r="GF2" s="407"/>
      <c r="GG2" s="407"/>
      <c r="GH2" s="407"/>
      <c r="GI2" s="407"/>
      <c r="GJ2" s="407"/>
      <c r="GK2" s="407"/>
      <c r="GL2" s="407"/>
      <c r="GM2" s="407"/>
      <c r="GN2" s="407"/>
    </row>
    <row r="3" spans="1:196" s="78" customFormat="1" ht="15.75" customHeight="1" thickBot="1" x14ac:dyDescent="0.25">
      <c r="A3" s="263"/>
      <c r="B3" s="263"/>
      <c r="C3" s="419" t="s">
        <v>149</v>
      </c>
      <c r="D3" s="419"/>
      <c r="E3" s="419"/>
      <c r="F3" s="419"/>
      <c r="G3" s="419"/>
      <c r="H3" s="420" t="s">
        <v>150</v>
      </c>
      <c r="I3" s="419"/>
      <c r="J3" s="419"/>
      <c r="K3" s="419"/>
      <c r="L3" s="421"/>
      <c r="M3" s="412" t="s">
        <v>156</v>
      </c>
      <c r="N3" s="412"/>
      <c r="O3" s="412"/>
      <c r="P3" s="412"/>
      <c r="Q3" s="412"/>
      <c r="R3" s="412" t="s">
        <v>45</v>
      </c>
      <c r="S3" s="412"/>
      <c r="T3" s="412"/>
      <c r="U3" s="412"/>
      <c r="V3" s="412"/>
      <c r="W3" s="412" t="s">
        <v>46</v>
      </c>
      <c r="X3" s="412"/>
      <c r="Y3" s="412"/>
      <c r="Z3" s="412"/>
      <c r="AA3" s="412"/>
      <c r="AB3" s="412" t="s">
        <v>47</v>
      </c>
      <c r="AC3" s="412"/>
      <c r="AD3" s="412"/>
      <c r="AE3" s="412"/>
      <c r="AF3" s="412"/>
      <c r="AG3" s="412"/>
      <c r="AH3" s="412" t="s">
        <v>48</v>
      </c>
      <c r="AI3" s="412"/>
      <c r="AJ3" s="412"/>
      <c r="AK3" s="412"/>
      <c r="AL3" s="412"/>
      <c r="AM3" s="412" t="s">
        <v>174</v>
      </c>
      <c r="AN3" s="412"/>
      <c r="AO3" s="412"/>
      <c r="AP3" s="412"/>
      <c r="AQ3" s="412"/>
      <c r="AR3" s="412" t="s">
        <v>173</v>
      </c>
      <c r="AS3" s="412"/>
      <c r="AT3" s="412"/>
      <c r="AU3" s="412"/>
      <c r="AV3" s="412"/>
      <c r="AW3" s="412" t="s">
        <v>68</v>
      </c>
      <c r="AX3" s="412"/>
      <c r="AY3" s="412"/>
      <c r="AZ3" s="412"/>
      <c r="BA3" s="412"/>
      <c r="BB3" s="412" t="s">
        <v>66</v>
      </c>
      <c r="BC3" s="412"/>
      <c r="BD3" s="412"/>
      <c r="BE3" s="412"/>
      <c r="BF3" s="412"/>
      <c r="BG3" s="412" t="s">
        <v>67</v>
      </c>
      <c r="BH3" s="412"/>
      <c r="BI3" s="412"/>
      <c r="BJ3" s="412"/>
      <c r="BK3" s="412"/>
      <c r="BL3" s="412" t="s">
        <v>151</v>
      </c>
      <c r="BM3" s="412"/>
      <c r="BN3" s="412"/>
      <c r="BO3" s="412"/>
      <c r="BP3" s="412"/>
      <c r="BQ3" s="412" t="s">
        <v>152</v>
      </c>
      <c r="BR3" s="412"/>
      <c r="BS3" s="412"/>
      <c r="BT3" s="412"/>
      <c r="BU3" s="412"/>
      <c r="BV3" s="412" t="s">
        <v>133</v>
      </c>
      <c r="BW3" s="412"/>
      <c r="BX3" s="412"/>
      <c r="BY3" s="412"/>
      <c r="BZ3" s="412"/>
      <c r="CA3" s="412" t="s">
        <v>153</v>
      </c>
      <c r="CB3" s="412"/>
      <c r="CC3" s="412"/>
      <c r="CD3" s="412"/>
      <c r="CE3" s="412"/>
      <c r="CF3" s="412" t="s">
        <v>154</v>
      </c>
      <c r="CG3" s="412"/>
      <c r="CH3" s="412"/>
      <c r="CI3" s="412"/>
      <c r="CJ3" s="412"/>
      <c r="CK3" s="414" t="s">
        <v>63</v>
      </c>
      <c r="CL3" s="415"/>
      <c r="CM3" s="415"/>
      <c r="CN3" s="415"/>
      <c r="CO3" s="416"/>
      <c r="CP3" s="414" t="s">
        <v>54</v>
      </c>
      <c r="CQ3" s="415"/>
      <c r="CR3" s="415"/>
      <c r="CS3" s="415"/>
      <c r="CT3" s="416"/>
      <c r="CU3" s="414" t="s">
        <v>55</v>
      </c>
      <c r="CV3" s="415"/>
      <c r="CW3" s="415"/>
      <c r="CX3" s="415"/>
      <c r="CY3" s="416"/>
      <c r="CZ3" s="414" t="s">
        <v>56</v>
      </c>
      <c r="DA3" s="415"/>
      <c r="DB3" s="415"/>
      <c r="DC3" s="415"/>
      <c r="DD3" s="416"/>
      <c r="DE3" s="414" t="s">
        <v>57</v>
      </c>
      <c r="DF3" s="415"/>
      <c r="DG3" s="415"/>
      <c r="DH3" s="415"/>
      <c r="DI3" s="416"/>
      <c r="DJ3" s="414" t="s">
        <v>65</v>
      </c>
      <c r="DK3" s="415"/>
      <c r="DL3" s="415"/>
      <c r="DM3" s="415"/>
      <c r="DN3" s="416"/>
      <c r="DO3" s="414" t="s">
        <v>76</v>
      </c>
      <c r="DP3" s="415"/>
      <c r="DQ3" s="415"/>
      <c r="DR3" s="415"/>
      <c r="DS3" s="416"/>
      <c r="DT3" s="414" t="s">
        <v>77</v>
      </c>
      <c r="DU3" s="415"/>
      <c r="DV3" s="415"/>
      <c r="DW3" s="415"/>
      <c r="DX3" s="416"/>
      <c r="DY3" s="414" t="s">
        <v>78</v>
      </c>
      <c r="DZ3" s="415"/>
      <c r="EA3" s="415"/>
      <c r="EB3" s="415"/>
      <c r="EC3" s="416"/>
      <c r="ED3" s="414" t="s">
        <v>79</v>
      </c>
      <c r="EE3" s="415"/>
      <c r="EF3" s="415"/>
      <c r="EG3" s="415"/>
      <c r="EH3" s="416"/>
      <c r="EI3" s="414" t="s">
        <v>80</v>
      </c>
      <c r="EJ3" s="415"/>
      <c r="EK3" s="415"/>
      <c r="EL3" s="415"/>
      <c r="EM3" s="416"/>
      <c r="EN3" s="414" t="s">
        <v>81</v>
      </c>
      <c r="EO3" s="415"/>
      <c r="EP3" s="415"/>
      <c r="EQ3" s="415"/>
      <c r="ER3" s="416"/>
      <c r="ES3" s="414" t="s">
        <v>155</v>
      </c>
      <c r="ET3" s="415"/>
      <c r="EU3" s="415"/>
      <c r="EV3" s="415"/>
      <c r="EW3" s="416"/>
      <c r="EX3" s="414" t="s">
        <v>135</v>
      </c>
      <c r="EY3" s="415"/>
      <c r="EZ3" s="415"/>
      <c r="FA3" s="415"/>
      <c r="FB3" s="416"/>
      <c r="FC3" s="414" t="s">
        <v>136</v>
      </c>
      <c r="FD3" s="415"/>
      <c r="FE3" s="415"/>
      <c r="FF3" s="415"/>
      <c r="FG3" s="416"/>
      <c r="FH3" s="414" t="s">
        <v>166</v>
      </c>
      <c r="FI3" s="415"/>
      <c r="FJ3" s="415"/>
      <c r="FK3" s="415"/>
      <c r="FL3" s="416"/>
      <c r="FM3" s="414" t="s">
        <v>165</v>
      </c>
      <c r="FN3" s="415"/>
      <c r="FO3" s="415"/>
      <c r="FP3" s="415"/>
      <c r="FQ3" s="416"/>
      <c r="FR3" s="414" t="s">
        <v>169</v>
      </c>
      <c r="FS3" s="415"/>
      <c r="FT3" s="415"/>
      <c r="FU3" s="415"/>
      <c r="FV3" s="416"/>
      <c r="FW3" s="414" t="s">
        <v>170</v>
      </c>
      <c r="FX3" s="415"/>
      <c r="FY3" s="415"/>
      <c r="FZ3" s="415"/>
      <c r="GA3" s="416"/>
      <c r="GB3" s="413"/>
      <c r="GC3" s="410" t="s">
        <v>138</v>
      </c>
      <c r="GD3" s="411"/>
      <c r="GE3" s="410" t="s">
        <v>142</v>
      </c>
      <c r="GF3" s="411"/>
      <c r="GG3" s="410" t="s">
        <v>157</v>
      </c>
      <c r="GH3" s="411"/>
      <c r="GI3" s="408" t="s">
        <v>139</v>
      </c>
      <c r="GJ3" s="409"/>
      <c r="GK3" s="408" t="s">
        <v>158</v>
      </c>
      <c r="GL3" s="409"/>
      <c r="GM3" s="404" t="s">
        <v>143</v>
      </c>
      <c r="GN3" s="405"/>
    </row>
    <row r="4" spans="1:196" s="78" customFormat="1" ht="26.25" customHeight="1" thickBot="1" x14ac:dyDescent="0.2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7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13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2" t="s">
        <v>141</v>
      </c>
      <c r="GN4" s="283" t="s">
        <v>126</v>
      </c>
    </row>
    <row r="5" spans="1:196" s="3" customFormat="1" x14ac:dyDescent="0.2">
      <c r="A5" s="264">
        <v>1</v>
      </c>
      <c r="B5" s="267">
        <f>'Finance Only'!G8</f>
        <v>30.1</v>
      </c>
      <c r="C5" s="261">
        <v>27181089</v>
      </c>
      <c r="D5" s="207">
        <v>27184769</v>
      </c>
      <c r="E5" s="203">
        <f>MAX(0,D5-C5)</f>
        <v>3680</v>
      </c>
      <c r="F5" s="217"/>
      <c r="G5" s="218"/>
      <c r="H5" s="233">
        <v>25116251</v>
      </c>
      <c r="I5" s="207">
        <v>25120112</v>
      </c>
      <c r="J5" s="202">
        <f>MAX(0,I5-H5)</f>
        <v>3861</v>
      </c>
      <c r="K5" s="228"/>
      <c r="L5" s="229"/>
      <c r="M5" s="209">
        <v>92471161</v>
      </c>
      <c r="N5" s="209">
        <v>92482139</v>
      </c>
      <c r="O5" s="225">
        <f>MAX(0,N5-M5)</f>
        <v>10978</v>
      </c>
      <c r="P5" s="234"/>
      <c r="Q5" s="235"/>
      <c r="R5" s="209">
        <v>3146100</v>
      </c>
      <c r="S5" s="209">
        <v>3148500</v>
      </c>
      <c r="T5" s="204">
        <f>MAX(0,S5-R5)</f>
        <v>2400</v>
      </c>
      <c r="U5" s="221"/>
      <c r="V5" s="222"/>
      <c r="W5" s="209">
        <v>4228388</v>
      </c>
      <c r="X5" s="209">
        <v>4231179</v>
      </c>
      <c r="Y5" s="204">
        <f>MAX(0,X5-W5)</f>
        <v>2791</v>
      </c>
      <c r="Z5" s="221"/>
      <c r="AA5" s="222"/>
      <c r="AB5" s="210">
        <v>2749400</v>
      </c>
      <c r="AC5" s="209">
        <v>2751200</v>
      </c>
      <c r="AD5" s="210">
        <f t="shared" ref="AD5:AD34" si="0">MAX(0,AC5-AB5)</f>
        <v>1800</v>
      </c>
      <c r="AE5" s="315">
        <f>AD5/WATER!V6</f>
        <v>4.7120418848167542</v>
      </c>
      <c r="AF5" s="221"/>
      <c r="AG5" s="222"/>
      <c r="AH5" s="209">
        <v>1104911</v>
      </c>
      <c r="AI5" s="209">
        <v>1105376</v>
      </c>
      <c r="AJ5" s="204">
        <f>MAX(0,AI5-AH5)</f>
        <v>465</v>
      </c>
      <c r="AK5" s="221"/>
      <c r="AL5" s="222"/>
      <c r="AM5" s="209">
        <v>1119900</v>
      </c>
      <c r="AN5" s="209">
        <v>1120700</v>
      </c>
      <c r="AO5" s="210">
        <f>MAX(0,AN5-AM5)</f>
        <v>800</v>
      </c>
      <c r="AP5" s="221"/>
      <c r="AQ5" s="222"/>
      <c r="AR5" s="209">
        <v>2501800</v>
      </c>
      <c r="AS5" s="209">
        <v>2503000</v>
      </c>
      <c r="AT5" s="204">
        <f>AS5-AR5</f>
        <v>1200</v>
      </c>
      <c r="AU5" s="221"/>
      <c r="AV5" s="222"/>
      <c r="AW5" s="209">
        <v>254030</v>
      </c>
      <c r="AX5" s="209">
        <v>258050</v>
      </c>
      <c r="AY5" s="204">
        <f>AX5-AW5</f>
        <v>4020</v>
      </c>
      <c r="AZ5" s="221"/>
      <c r="BA5" s="222"/>
      <c r="BB5" s="209">
        <v>1007000</v>
      </c>
      <c r="BC5" s="209">
        <v>1008200</v>
      </c>
      <c r="BD5" s="204">
        <f>BC5-BB5</f>
        <v>1200</v>
      </c>
      <c r="BE5" s="221"/>
      <c r="BF5" s="222"/>
      <c r="BG5" s="209">
        <v>1081400</v>
      </c>
      <c r="BH5" s="209">
        <v>1081600</v>
      </c>
      <c r="BI5" s="204">
        <f>BH5-BG5</f>
        <v>200</v>
      </c>
      <c r="BJ5" s="221"/>
      <c r="BK5" s="222"/>
      <c r="BL5" s="209">
        <v>1608500</v>
      </c>
      <c r="BM5" s="209">
        <v>1609600</v>
      </c>
      <c r="BN5" s="204">
        <f>BM5-BL5</f>
        <v>1100</v>
      </c>
      <c r="BO5" s="221"/>
      <c r="BP5" s="222"/>
      <c r="BQ5" s="209">
        <v>140760</v>
      </c>
      <c r="BR5" s="209">
        <v>140900</v>
      </c>
      <c r="BS5" s="204">
        <f>BR5-BQ5</f>
        <v>140</v>
      </c>
      <c r="BT5" s="221"/>
      <c r="BU5" s="222"/>
      <c r="BV5" s="209">
        <v>595040</v>
      </c>
      <c r="BW5" s="209">
        <v>595460</v>
      </c>
      <c r="BX5" s="204">
        <f>BW5-BV5</f>
        <v>420</v>
      </c>
      <c r="BY5" s="221"/>
      <c r="BZ5" s="222"/>
      <c r="CA5" s="209">
        <v>1115300</v>
      </c>
      <c r="CB5" s="209">
        <v>1116400</v>
      </c>
      <c r="CC5" s="204">
        <f>CB5-CA5</f>
        <v>1100</v>
      </c>
      <c r="CD5" s="221"/>
      <c r="CE5" s="222"/>
      <c r="CF5" s="209">
        <v>366570</v>
      </c>
      <c r="CG5" s="209">
        <v>366980</v>
      </c>
      <c r="CH5" s="204">
        <f>CG5-CF5</f>
        <v>410</v>
      </c>
      <c r="CI5" s="221"/>
      <c r="CJ5" s="222"/>
      <c r="CK5" s="210">
        <v>852000</v>
      </c>
      <c r="CL5" s="210">
        <v>852700</v>
      </c>
      <c r="CM5" s="204">
        <f>MAX(0,CL5-CK5)</f>
        <v>700</v>
      </c>
      <c r="CN5" s="221"/>
      <c r="CO5" s="222"/>
      <c r="CP5" s="209">
        <v>705850</v>
      </c>
      <c r="CQ5" s="209">
        <v>706550</v>
      </c>
      <c r="CR5" s="206">
        <f>MAX(0,CQ5-CP5)</f>
        <v>700</v>
      </c>
      <c r="CS5" s="221"/>
      <c r="CT5" s="222"/>
      <c r="CU5" s="209">
        <v>585240</v>
      </c>
      <c r="CV5" s="209">
        <v>585790</v>
      </c>
      <c r="CW5" s="204">
        <f>MAX(0,CV5-CU5)</f>
        <v>550</v>
      </c>
      <c r="CX5" s="221"/>
      <c r="CY5" s="222"/>
      <c r="CZ5" s="209">
        <v>977630</v>
      </c>
      <c r="DA5" s="209">
        <v>978540</v>
      </c>
      <c r="DB5" s="204">
        <f>MAX(0,DA5-CZ5)</f>
        <v>910</v>
      </c>
      <c r="DC5" s="221"/>
      <c r="DD5" s="222"/>
      <c r="DE5" s="209">
        <v>749940</v>
      </c>
      <c r="DF5" s="209">
        <v>750690</v>
      </c>
      <c r="DG5" s="204">
        <f>MAX(0,DF5-DE5)</f>
        <v>750</v>
      </c>
      <c r="DH5" s="221"/>
      <c r="DI5" s="222"/>
      <c r="DJ5" s="209">
        <v>649920</v>
      </c>
      <c r="DK5" s="209">
        <v>650540</v>
      </c>
      <c r="DL5" s="204">
        <f>MAX(0,DK5-DJ5)</f>
        <v>620</v>
      </c>
      <c r="DM5" s="221"/>
      <c r="DN5" s="222"/>
      <c r="DO5" s="209">
        <v>353210</v>
      </c>
      <c r="DP5" s="209">
        <v>353480</v>
      </c>
      <c r="DQ5" s="204">
        <f>MAX(0,DP5-DO5)</f>
        <v>270</v>
      </c>
      <c r="DR5" s="221"/>
      <c r="DS5" s="222"/>
      <c r="DT5" s="209">
        <v>116620</v>
      </c>
      <c r="DU5" s="205">
        <v>116760</v>
      </c>
      <c r="DV5" s="204">
        <f>MAX(0,DU5-DT5)</f>
        <v>140</v>
      </c>
      <c r="DW5" s="221"/>
      <c r="DX5" s="222"/>
      <c r="DY5" s="209">
        <v>748080</v>
      </c>
      <c r="DZ5" s="205">
        <v>748970</v>
      </c>
      <c r="EA5" s="204">
        <f>MAX(0,DZ5-DY5)</f>
        <v>890</v>
      </c>
      <c r="EB5" s="221"/>
      <c r="EC5" s="222"/>
      <c r="ED5" s="209">
        <v>238540</v>
      </c>
      <c r="EE5" s="205">
        <v>238810</v>
      </c>
      <c r="EF5" s="204">
        <f>MAX(0,EE5-ED5)</f>
        <v>270</v>
      </c>
      <c r="EG5" s="221"/>
      <c r="EH5" s="222"/>
      <c r="EI5" s="209">
        <v>269840</v>
      </c>
      <c r="EJ5" s="205">
        <v>270170</v>
      </c>
      <c r="EK5" s="204">
        <f>MAX(0,EJ5-EI5)</f>
        <v>330</v>
      </c>
      <c r="EL5" s="221"/>
      <c r="EM5" s="222"/>
      <c r="EN5" s="209">
        <v>441890</v>
      </c>
      <c r="EO5" s="205">
        <v>442320</v>
      </c>
      <c r="EP5" s="204">
        <f>MAX(0,EO5-EN5)</f>
        <v>430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4"/>
      <c r="FI5" s="294"/>
      <c r="FJ5" s="294"/>
      <c r="FK5" s="294"/>
      <c r="FL5" s="294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8">
        <f>SUM(E5+J5)</f>
        <v>7541</v>
      </c>
      <c r="GD5" s="276"/>
      <c r="GE5" s="278">
        <f>SUM(T5+Y5+EA5+EF5+EK5+EP5)</f>
        <v>7111</v>
      </c>
      <c r="GF5" s="276"/>
      <c r="GG5" s="278">
        <f>SUM(AO5+AT5)</f>
        <v>2000</v>
      </c>
      <c r="GH5" s="276"/>
      <c r="GI5" s="278">
        <f>SUM(AY5+BD5+BI5)</f>
        <v>5420</v>
      </c>
      <c r="GJ5" s="276"/>
      <c r="GK5" s="278">
        <f>SUM(BN5+BS5+EU5)</f>
        <v>1240</v>
      </c>
      <c r="GL5" s="276"/>
      <c r="GM5" s="278">
        <f>SUM(EZ5+FE5)</f>
        <v>0</v>
      </c>
      <c r="GN5" s="276"/>
    </row>
    <row r="6" spans="1:196" s="3" customFormat="1" ht="13.5" customHeight="1" x14ac:dyDescent="0.2">
      <c r="A6" s="264">
        <v>2</v>
      </c>
      <c r="B6" s="267">
        <f>'Finance Only'!G9</f>
        <v>34</v>
      </c>
      <c r="C6" s="262">
        <f>D5</f>
        <v>27184769</v>
      </c>
      <c r="D6" s="207">
        <v>27188787</v>
      </c>
      <c r="E6" s="208">
        <f>MAX(0,D6-C6)</f>
        <v>4018</v>
      </c>
      <c r="F6" s="219">
        <f>E6-E5</f>
        <v>338</v>
      </c>
      <c r="G6" s="220">
        <f>(E6/'Finance Only'!B9)*100</f>
        <v>16.056585677749361</v>
      </c>
      <c r="H6" s="230">
        <f>I5</f>
        <v>25120112</v>
      </c>
      <c r="I6" s="207">
        <v>25124091</v>
      </c>
      <c r="J6" s="207">
        <f>MAX(0,I6-H6)</f>
        <v>3979</v>
      </c>
      <c r="K6" s="231">
        <f>J6-J5</f>
        <v>118</v>
      </c>
      <c r="L6" s="232">
        <f>(J6/'Finance Only'!B9)*100</f>
        <v>15.900735294117647</v>
      </c>
      <c r="M6" s="215">
        <f>N5</f>
        <v>92482139</v>
      </c>
      <c r="N6" s="209">
        <v>92493528</v>
      </c>
      <c r="O6" s="210">
        <f>MAX(0,N6-M6)</f>
        <v>11389</v>
      </c>
      <c r="P6" s="223">
        <f>O6-O5</f>
        <v>411</v>
      </c>
      <c r="Q6" s="224">
        <f>(O6/'Finance Only'!B9)*100</f>
        <v>45.512308184143222</v>
      </c>
      <c r="R6" s="214">
        <f>S5</f>
        <v>3148500</v>
      </c>
      <c r="S6" s="209">
        <v>3151100</v>
      </c>
      <c r="T6" s="210">
        <f>MAX(0,S6-R6)</f>
        <v>2600</v>
      </c>
      <c r="U6" s="223">
        <f>T6-T5</f>
        <v>200</v>
      </c>
      <c r="V6" s="224">
        <f>(T6/'Finance Only'!B9)*100</f>
        <v>10.39002557544757</v>
      </c>
      <c r="W6" s="209">
        <f>X5</f>
        <v>4231179</v>
      </c>
      <c r="X6" s="209">
        <v>4234046</v>
      </c>
      <c r="Y6" s="210">
        <f>MAX(0,X6-W6)</f>
        <v>2867</v>
      </c>
      <c r="Z6" s="223">
        <f>Y6-Y5</f>
        <v>76</v>
      </c>
      <c r="AA6" s="224">
        <f>(Y6/'Finance Only'!B9)*100</f>
        <v>11.457001278772379</v>
      </c>
      <c r="AB6" s="209">
        <f>AC5</f>
        <v>2751200</v>
      </c>
      <c r="AC6" s="209">
        <v>2752900</v>
      </c>
      <c r="AD6" s="210">
        <f t="shared" si="0"/>
        <v>1700</v>
      </c>
      <c r="AE6" s="316">
        <f>AD6/WATER!V7</f>
        <v>4.8295454545454541</v>
      </c>
      <c r="AF6" s="223">
        <f>AD6-AD5</f>
        <v>-100</v>
      </c>
      <c r="AG6" s="224">
        <f>(AD6/'Finance Only'!B9)*100</f>
        <v>6.7934782608695645</v>
      </c>
      <c r="AH6" s="209">
        <f>AI5</f>
        <v>1105376</v>
      </c>
      <c r="AI6" s="209">
        <v>1105896</v>
      </c>
      <c r="AJ6" s="210">
        <f>MAX(0,AI6-AH6)</f>
        <v>520</v>
      </c>
      <c r="AK6" s="223">
        <f>AJ6-AJ5</f>
        <v>55</v>
      </c>
      <c r="AL6" s="224">
        <f>(AJ6/'Finance Only'!B9)*100</f>
        <v>2.078005115089514</v>
      </c>
      <c r="AM6" s="209">
        <f>AN5</f>
        <v>1120700</v>
      </c>
      <c r="AN6" s="209">
        <v>1121400</v>
      </c>
      <c r="AO6" s="210">
        <f>MAX(0,AN6-AM6)</f>
        <v>700</v>
      </c>
      <c r="AP6" s="223">
        <f>AO6-AO5</f>
        <v>-100</v>
      </c>
      <c r="AQ6" s="224">
        <f>(AO6/'Finance Only'!B9)*100</f>
        <v>2.797314578005115</v>
      </c>
      <c r="AR6" s="209">
        <f>AS5</f>
        <v>2503000</v>
      </c>
      <c r="AS6" s="209">
        <v>2504300</v>
      </c>
      <c r="AT6" s="210">
        <f>MAX(0,AS6-AR6)</f>
        <v>1300</v>
      </c>
      <c r="AU6" s="223">
        <f>AT6-AT5</f>
        <v>100</v>
      </c>
      <c r="AV6" s="224">
        <f>(AT6/'Finance Only'!B9)*100</f>
        <v>5.1950127877237851</v>
      </c>
      <c r="AW6" s="209">
        <f>AX5</f>
        <v>258050</v>
      </c>
      <c r="AX6" s="209">
        <v>262360</v>
      </c>
      <c r="AY6" s="210">
        <f>MAX(0,AX6-AW6)</f>
        <v>4310</v>
      </c>
      <c r="AZ6" s="223">
        <f>AY6-AY5</f>
        <v>290</v>
      </c>
      <c r="BA6" s="224">
        <f>(AY6/'Finance Only'!B9)*100</f>
        <v>17.223465473145779</v>
      </c>
      <c r="BB6" s="209">
        <f>BC5</f>
        <v>1008200</v>
      </c>
      <c r="BC6" s="209">
        <v>1008600</v>
      </c>
      <c r="BD6" s="210">
        <f>MAX(0,BC6-BB6)</f>
        <v>400</v>
      </c>
      <c r="BE6" s="223">
        <f>BD6-BD5</f>
        <v>-800</v>
      </c>
      <c r="BF6" s="224">
        <f>(BD6/'Finance Only'!B9)*100</f>
        <v>1.5984654731457801</v>
      </c>
      <c r="BG6" s="209">
        <f>BH5</f>
        <v>1081600</v>
      </c>
      <c r="BH6" s="209">
        <v>1081900</v>
      </c>
      <c r="BI6" s="210">
        <f>MAX(0,BH6-BG6)</f>
        <v>300</v>
      </c>
      <c r="BJ6" s="223">
        <f>BI6-BI5</f>
        <v>100</v>
      </c>
      <c r="BK6" s="224">
        <f>(BI6/'Finance Only'!B9)*100</f>
        <v>1.198849104859335</v>
      </c>
      <c r="BL6" s="209">
        <f>BM5</f>
        <v>1609600</v>
      </c>
      <c r="BM6" s="209">
        <v>1610100</v>
      </c>
      <c r="BN6" s="210">
        <f>MAX(0,BM6-BL6)</f>
        <v>500</v>
      </c>
      <c r="BO6" s="223">
        <f>BN6-BN5</f>
        <v>-600</v>
      </c>
      <c r="BP6" s="224">
        <f>(BN6/'Finance Only'!B9)*100</f>
        <v>1.998081841432225</v>
      </c>
      <c r="BQ6" s="209">
        <f>BR5</f>
        <v>140900</v>
      </c>
      <c r="BR6" s="209">
        <v>141070</v>
      </c>
      <c r="BS6" s="210">
        <f>MAX(0,BR6-BQ6)</f>
        <v>170</v>
      </c>
      <c r="BT6" s="223">
        <f>BS6-BS5</f>
        <v>30</v>
      </c>
      <c r="BU6" s="224">
        <f>(BS6/'Finance Only'!B9)*100</f>
        <v>0.67934782608695654</v>
      </c>
      <c r="BV6" s="209">
        <f>BW5</f>
        <v>595460</v>
      </c>
      <c r="BW6" s="209">
        <v>595830</v>
      </c>
      <c r="BX6" s="210">
        <f>MAX(0,BW6-BV6)</f>
        <v>370</v>
      </c>
      <c r="BY6" s="223">
        <f>BX6-BX5</f>
        <v>-50</v>
      </c>
      <c r="BZ6" s="224">
        <f>(BX6/'Finance Only'!B9)*100</f>
        <v>1.4785805626598465</v>
      </c>
      <c r="CA6" s="209">
        <f>CB5</f>
        <v>1116400</v>
      </c>
      <c r="CB6" s="209">
        <v>1117600</v>
      </c>
      <c r="CC6" s="210">
        <f>MAX(0,CB6-CA6)</f>
        <v>1200</v>
      </c>
      <c r="CD6" s="223">
        <f>CC6-CC5</f>
        <v>100</v>
      </c>
      <c r="CE6" s="224">
        <f>(CC6/'Finance Only'!B9)*100</f>
        <v>4.7953964194373402</v>
      </c>
      <c r="CF6" s="209">
        <f>CG5</f>
        <v>366980</v>
      </c>
      <c r="CG6" s="209">
        <v>367400</v>
      </c>
      <c r="CH6" s="210">
        <f>MAX(0,CG6-CF6)</f>
        <v>420</v>
      </c>
      <c r="CI6" s="223">
        <f>CH6-CH5</f>
        <v>10</v>
      </c>
      <c r="CJ6" s="224">
        <f>(CH6/'Finance Only'!B9)*100</f>
        <v>1.6783887468030692</v>
      </c>
      <c r="CK6" s="210">
        <f>CL5</f>
        <v>852700</v>
      </c>
      <c r="CL6" s="210">
        <v>853540</v>
      </c>
      <c r="CM6" s="210">
        <f>MAX(0,CL6-CK6)</f>
        <v>840</v>
      </c>
      <c r="CN6" s="223">
        <f>CM6-CM5</f>
        <v>140</v>
      </c>
      <c r="CO6" s="224">
        <f>(CM6/'Finance Only'!B9)*100</f>
        <v>3.3567774936061383</v>
      </c>
      <c r="CP6" s="209">
        <f>CQ5</f>
        <v>706550</v>
      </c>
      <c r="CQ6" s="209">
        <v>707310</v>
      </c>
      <c r="CR6" s="211">
        <f>MAX(0,CQ6-CP6)</f>
        <v>760</v>
      </c>
      <c r="CS6" s="223">
        <f>CR6-CR5</f>
        <v>60</v>
      </c>
      <c r="CT6" s="224">
        <f>(CR6/'Finance Only'!B9)*100</f>
        <v>3.0370843989769818</v>
      </c>
      <c r="CU6" s="209">
        <f>CV5</f>
        <v>585790</v>
      </c>
      <c r="CV6" s="209">
        <v>586400</v>
      </c>
      <c r="CW6" s="210">
        <f>MAX(0,CV6-CU6)</f>
        <v>610</v>
      </c>
      <c r="CX6" s="223">
        <f>CW6-CW5</f>
        <v>60</v>
      </c>
      <c r="CY6" s="224">
        <f>(CW6/'Finance Only'!B9)*100</f>
        <v>2.4376598465473145</v>
      </c>
      <c r="CZ6" s="209">
        <f>DA5</f>
        <v>978540</v>
      </c>
      <c r="DA6" s="209">
        <v>979520</v>
      </c>
      <c r="DB6" s="210">
        <f>MAX(0,DA6-CZ6)</f>
        <v>980</v>
      </c>
      <c r="DC6" s="223">
        <f>DB6-DB5</f>
        <v>70</v>
      </c>
      <c r="DD6" s="224">
        <f>(DB6/'Finance Only'!B9)*100</f>
        <v>3.9162404092071612</v>
      </c>
      <c r="DE6" s="209">
        <f>DF5</f>
        <v>750690</v>
      </c>
      <c r="DF6" s="209">
        <v>751390</v>
      </c>
      <c r="DG6" s="210">
        <f>MAX(0,DF6-DE6)</f>
        <v>700</v>
      </c>
      <c r="DH6" s="223">
        <f>DG6-DG5</f>
        <v>-50</v>
      </c>
      <c r="DI6" s="224">
        <f>(DG6/'Finance Only'!B9)*100</f>
        <v>2.797314578005115</v>
      </c>
      <c r="DJ6" s="209">
        <f>DK5</f>
        <v>650540</v>
      </c>
      <c r="DK6" s="209">
        <v>651210</v>
      </c>
      <c r="DL6" s="210">
        <f>MAX(0,DK6-DJ6)</f>
        <v>670</v>
      </c>
      <c r="DM6" s="223">
        <f>DL6-DL5</f>
        <v>50</v>
      </c>
      <c r="DN6" s="224">
        <f>(DL6/'Finance Only'!B9)*100</f>
        <v>2.6774296675191813</v>
      </c>
      <c r="DO6" s="209">
        <f>DP5</f>
        <v>353480</v>
      </c>
      <c r="DP6" s="209">
        <v>353790</v>
      </c>
      <c r="DQ6" s="210">
        <f>MAX(0,DP6-DO6)</f>
        <v>310</v>
      </c>
      <c r="DR6" s="223">
        <f>DQ6-DQ5</f>
        <v>40</v>
      </c>
      <c r="DS6" s="224">
        <f>(DQ6/'Finance Only'!B9)*100</f>
        <v>1.2388107416879794</v>
      </c>
      <c r="DT6" s="209">
        <f>DU5</f>
        <v>116760</v>
      </c>
      <c r="DU6" s="209">
        <v>116890</v>
      </c>
      <c r="DV6" s="210">
        <f>MAX(0,DU6-DT6)</f>
        <v>130</v>
      </c>
      <c r="DW6" s="223">
        <f>DV6-DV5</f>
        <v>-10</v>
      </c>
      <c r="DX6" s="224">
        <f>(DV6/'Finance Only'!B9)*100</f>
        <v>0.51950127877237851</v>
      </c>
      <c r="DY6" s="209">
        <f>DZ5</f>
        <v>748970</v>
      </c>
      <c r="DZ6" s="209">
        <v>749970</v>
      </c>
      <c r="EA6" s="210">
        <f>MAX(0,DZ6-DY6)</f>
        <v>1000</v>
      </c>
      <c r="EB6" s="223">
        <f>EA6-EA5</f>
        <v>110</v>
      </c>
      <c r="EC6" s="224">
        <f>(EA6/'Finance Only'!B9)*100</f>
        <v>3.99616368286445</v>
      </c>
      <c r="ED6" s="209">
        <f>EE5</f>
        <v>238810</v>
      </c>
      <c r="EE6" s="209">
        <v>239100</v>
      </c>
      <c r="EF6" s="210">
        <f>MAX(0,EE6-ED6)</f>
        <v>290</v>
      </c>
      <c r="EG6" s="223">
        <f>EF6-EF5</f>
        <v>20</v>
      </c>
      <c r="EH6" s="224">
        <f>(EF6/'Finance Only'!B9)*100</f>
        <v>1.1588874680306904</v>
      </c>
      <c r="EI6" s="209">
        <f>EJ5</f>
        <v>270170</v>
      </c>
      <c r="EJ6" s="209">
        <v>270520</v>
      </c>
      <c r="EK6" s="210">
        <f>MAX(0,EJ6-EI6)</f>
        <v>350</v>
      </c>
      <c r="EL6" s="223">
        <f>EK6-EK5</f>
        <v>20</v>
      </c>
      <c r="EM6" s="224">
        <f>(EK6/'Finance Only'!B9)*100</f>
        <v>1.3986572890025575</v>
      </c>
      <c r="EN6" s="209">
        <f>EO5</f>
        <v>442320</v>
      </c>
      <c r="EO6" s="209">
        <v>442820</v>
      </c>
      <c r="EP6" s="210">
        <f>MAX(0,EO6-EN6)</f>
        <v>500</v>
      </c>
      <c r="EQ6" s="223">
        <f>EP6-EP5</f>
        <v>70</v>
      </c>
      <c r="ER6" s="224">
        <f>(EP6/'Finance Only'!B9)*100</f>
        <v>1.998081841432225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>
        <f>(EZ6/'Finance Only'!G9)*100</f>
        <v>0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5"/>
      <c r="FI6" s="295"/>
      <c r="FJ6" s="295"/>
      <c r="FK6" s="295"/>
      <c r="FL6" s="295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8">
        <f t="shared" ref="GC6:GC34" si="1">SUM(E6+J6)</f>
        <v>7997</v>
      </c>
      <c r="GD6" s="276"/>
      <c r="GE6" s="278">
        <f t="shared" ref="GE6:GE34" si="2">SUM(T6+Y6+EA6+EF6+EK6+EP6)</f>
        <v>7607</v>
      </c>
      <c r="GF6" s="276"/>
      <c r="GG6" s="278">
        <f t="shared" ref="GG6:GG34" si="3">SUM(AO6+AT6)</f>
        <v>2000</v>
      </c>
      <c r="GH6" s="276"/>
      <c r="GI6" s="278">
        <f t="shared" ref="GI6:GI34" si="4">SUM(AY6+BD6+BI6)</f>
        <v>5010</v>
      </c>
      <c r="GJ6" s="276"/>
      <c r="GK6" s="278">
        <f t="shared" ref="GK6:GK34" si="5">SUM(BN6+BS6+EU6)</f>
        <v>670</v>
      </c>
      <c r="GL6" s="276"/>
      <c r="GM6" s="278">
        <f t="shared" ref="GM6:GM34" si="6">SUM(EZ6+FE6)</f>
        <v>0</v>
      </c>
      <c r="GN6" s="276"/>
    </row>
    <row r="7" spans="1:196" s="3" customFormat="1" ht="13.5" customHeight="1" x14ac:dyDescent="0.2">
      <c r="A7" s="264">
        <v>3</v>
      </c>
      <c r="B7" s="267">
        <f>'Finance Only'!G10</f>
        <v>34</v>
      </c>
      <c r="C7" s="262">
        <f t="shared" ref="C7:C34" si="7">D6</f>
        <v>27188787</v>
      </c>
      <c r="D7" s="207">
        <v>27192590</v>
      </c>
      <c r="E7" s="208">
        <f t="shared" ref="E7:E34" si="8">MAX(0,D7-C7)</f>
        <v>3803</v>
      </c>
      <c r="F7" s="219">
        <f t="shared" ref="F7:F34" si="9">E7-E6</f>
        <v>-215</v>
      </c>
      <c r="G7" s="220">
        <f>(E7/'Finance Only'!B10)*100</f>
        <v>15.067353407290016</v>
      </c>
      <c r="H7" s="230">
        <f t="shared" ref="H7:H34" si="10">I6</f>
        <v>25124091</v>
      </c>
      <c r="I7" s="207">
        <v>25128229</v>
      </c>
      <c r="J7" s="207">
        <f t="shared" ref="J7:J34" si="11">MAX(0,I7-H7)</f>
        <v>4138</v>
      </c>
      <c r="K7" s="231">
        <f t="shared" ref="K7:K34" si="12">J7-J6</f>
        <v>159</v>
      </c>
      <c r="L7" s="232">
        <f>(J7/'Finance Only'!B10)*100</f>
        <v>16.394611727416798</v>
      </c>
      <c r="M7" s="215">
        <f t="shared" ref="M7:M34" si="13">N6</f>
        <v>92493528</v>
      </c>
      <c r="N7" s="209">
        <v>92504980</v>
      </c>
      <c r="O7" s="210">
        <f t="shared" ref="O7:O34" si="14">MAX(0,N7-M7)</f>
        <v>11452</v>
      </c>
      <c r="P7" s="223">
        <f t="shared" ref="P7:P34" si="15">O7-O6</f>
        <v>63</v>
      </c>
      <c r="Q7" s="224">
        <f>(O7/'Finance Only'!B10)*100</f>
        <v>45.372424722662444</v>
      </c>
      <c r="R7" s="214">
        <f t="shared" ref="R7:R34" si="16">S6</f>
        <v>3151100</v>
      </c>
      <c r="S7" s="209">
        <v>3153700</v>
      </c>
      <c r="T7" s="210">
        <f t="shared" ref="T7:T34" si="17">MAX(0,S7-R7)</f>
        <v>2600</v>
      </c>
      <c r="U7" s="223">
        <f t="shared" ref="U7:U34" si="18">T7-T6</f>
        <v>0</v>
      </c>
      <c r="V7" s="224">
        <f>(T7/'Finance Only'!B10)*100</f>
        <v>10.301109350237718</v>
      </c>
      <c r="W7" s="209">
        <f t="shared" ref="W7:W34" si="19">X6</f>
        <v>4234046</v>
      </c>
      <c r="X7" s="209">
        <v>4236835</v>
      </c>
      <c r="Y7" s="210">
        <f t="shared" ref="Y7:Y34" si="20">MAX(0,X7-W7)</f>
        <v>2789</v>
      </c>
      <c r="Z7" s="223">
        <f t="shared" ref="Z7:Z34" si="21">Y7-Y6</f>
        <v>-78</v>
      </c>
      <c r="AA7" s="224">
        <f>(Y7/'Finance Only'!B10)*100</f>
        <v>11.049920760697306</v>
      </c>
      <c r="AB7" s="209">
        <f t="shared" ref="AB7:AB34" si="22">AC6</f>
        <v>2752900</v>
      </c>
      <c r="AC7" s="209">
        <v>2754600</v>
      </c>
      <c r="AD7" s="210">
        <f t="shared" si="0"/>
        <v>1700</v>
      </c>
      <c r="AE7" s="316">
        <f>AD7/WATER!V8</f>
        <v>4.4155844155844157</v>
      </c>
      <c r="AF7" s="223">
        <f t="shared" ref="AF7:AF34" si="23">AD7-AD6</f>
        <v>0</v>
      </c>
      <c r="AG7" s="224">
        <f>(AD7/'Finance Only'!B10)*100</f>
        <v>6.7353407290015852</v>
      </c>
      <c r="AH7" s="209">
        <f t="shared" ref="AH7:AH34" si="24">AI6</f>
        <v>1105896</v>
      </c>
      <c r="AI7" s="209">
        <v>1106394</v>
      </c>
      <c r="AJ7" s="210">
        <f t="shared" ref="AJ7:AJ34" si="25">MAX(0,AI7-AH7)</f>
        <v>498</v>
      </c>
      <c r="AK7" s="223">
        <f t="shared" ref="AK7:AK34" si="26">AJ7-AJ6</f>
        <v>-22</v>
      </c>
      <c r="AL7" s="224">
        <f>(AJ7/'Finance Only'!B10)*100</f>
        <v>1.9730586370839935</v>
      </c>
      <c r="AM7" s="209">
        <f t="shared" ref="AM7:AM34" si="27">AN6</f>
        <v>1121400</v>
      </c>
      <c r="AN7" s="209">
        <v>1122200</v>
      </c>
      <c r="AO7" s="210">
        <f t="shared" ref="AO7:AO34" si="28">MAX(0,AN7-AM7)</f>
        <v>800</v>
      </c>
      <c r="AP7" s="223">
        <f t="shared" ref="AP7:AP34" si="29">AO7-AO6</f>
        <v>100</v>
      </c>
      <c r="AQ7" s="224">
        <f>(AO7/'Finance Only'!B10)*100</f>
        <v>3.1695721077654517</v>
      </c>
      <c r="AR7" s="209">
        <f t="shared" ref="AR7:AR34" si="30">AS6</f>
        <v>2504300</v>
      </c>
      <c r="AS7" s="209">
        <v>2505600</v>
      </c>
      <c r="AT7" s="210">
        <f t="shared" ref="AT7:AT34" si="31">MAX(0,AS7-AR7)</f>
        <v>1300</v>
      </c>
      <c r="AU7" s="223">
        <f t="shared" ref="AU7:AU34" si="32">AT7-AT6</f>
        <v>0</v>
      </c>
      <c r="AV7" s="224">
        <f>(AT7/'Finance Only'!B10)*100</f>
        <v>5.1505546751188591</v>
      </c>
      <c r="AW7" s="209">
        <f t="shared" ref="AW7:AW34" si="33">AX6</f>
        <v>262360</v>
      </c>
      <c r="AX7" s="209">
        <v>266440</v>
      </c>
      <c r="AY7" s="210">
        <f t="shared" ref="AY7:AY34" si="34">MAX(0,AX7-AW7)</f>
        <v>4080</v>
      </c>
      <c r="AZ7" s="223">
        <f t="shared" ref="AZ7:AZ34" si="35">AY7-AY6</f>
        <v>-230</v>
      </c>
      <c r="BA7" s="224">
        <f>(AY7/'Finance Only'!B10)*100</f>
        <v>16.164817749603806</v>
      </c>
      <c r="BB7" s="209">
        <f t="shared" ref="BB7:BB34" si="36">BC6</f>
        <v>1008600</v>
      </c>
      <c r="BC7" s="209">
        <v>1009000</v>
      </c>
      <c r="BD7" s="210">
        <f t="shared" ref="BD7:BD34" si="37">MAX(0,BC7-BB7)</f>
        <v>400</v>
      </c>
      <c r="BE7" s="223">
        <f t="shared" ref="BE7:BE34" si="38">BD7-BD6</f>
        <v>0</v>
      </c>
      <c r="BF7" s="224">
        <f>(BD7/'Finance Only'!B10)*100</f>
        <v>1.5847860538827259</v>
      </c>
      <c r="BG7" s="209">
        <f t="shared" ref="BG7:BG34" si="39">BH6</f>
        <v>1081900</v>
      </c>
      <c r="BH7" s="209">
        <v>1082200</v>
      </c>
      <c r="BI7" s="210">
        <f t="shared" ref="BI7:BI34" si="40">MAX(0,BH7-BG7)</f>
        <v>300</v>
      </c>
      <c r="BJ7" s="223">
        <f t="shared" ref="BJ7:BJ34" si="41">BI7-BI6</f>
        <v>0</v>
      </c>
      <c r="BK7" s="224">
        <f>(BI7/'Finance Only'!B10)*100</f>
        <v>1.1885895404120443</v>
      </c>
      <c r="BL7" s="209">
        <f t="shared" ref="BL7:BL34" si="42">BM6</f>
        <v>1610100</v>
      </c>
      <c r="BM7" s="209">
        <v>1610700</v>
      </c>
      <c r="BN7" s="210">
        <f t="shared" ref="BN7:BN34" si="43">MAX(0,BM7-BL7)</f>
        <v>600</v>
      </c>
      <c r="BO7" s="223">
        <f t="shared" ref="BO7:BO34" si="44">BN7-BN6</f>
        <v>100</v>
      </c>
      <c r="BP7" s="224">
        <f>(BN7/'Finance Only'!B10)*100</f>
        <v>2.3771790808240887</v>
      </c>
      <c r="BQ7" s="209">
        <f t="shared" ref="BQ7:BQ34" si="45">BR6</f>
        <v>141070</v>
      </c>
      <c r="BR7" s="209">
        <v>141230</v>
      </c>
      <c r="BS7" s="210">
        <f t="shared" ref="BS7:BS34" si="46">MAX(0,BR7-BQ7)</f>
        <v>160</v>
      </c>
      <c r="BT7" s="223">
        <f t="shared" ref="BT7:BT34" si="47">BS7-BS6</f>
        <v>-10</v>
      </c>
      <c r="BU7" s="224">
        <f>(BS7/'Finance Only'!B10)*100</f>
        <v>0.6339144215530903</v>
      </c>
      <c r="BV7" s="209">
        <f t="shared" ref="BV7:BV34" si="48">BW6</f>
        <v>595830</v>
      </c>
      <c r="BW7" s="209">
        <v>596270</v>
      </c>
      <c r="BX7" s="210">
        <f t="shared" ref="BX7:BX34" si="49">MAX(0,BW7-BV7)</f>
        <v>440</v>
      </c>
      <c r="BY7" s="223">
        <f t="shared" ref="BY7:BY34" si="50">BX7-BX6</f>
        <v>70</v>
      </c>
      <c r="BZ7" s="224">
        <f>(BX7/'Finance Only'!B10)*100</f>
        <v>1.7432646592709984</v>
      </c>
      <c r="CA7" s="209">
        <f t="shared" ref="CA7:CA34" si="51">CB6</f>
        <v>1117600</v>
      </c>
      <c r="CB7" s="209">
        <v>1118700</v>
      </c>
      <c r="CC7" s="210">
        <f t="shared" ref="CC7:CC34" si="52">MAX(0,CB7-CA7)</f>
        <v>1100</v>
      </c>
      <c r="CD7" s="223">
        <f t="shared" ref="CD7:CD34" si="53">CC7-CC6</f>
        <v>-100</v>
      </c>
      <c r="CE7" s="224">
        <f>(CC7/'Finance Only'!B10)*100</f>
        <v>4.3581616481774965</v>
      </c>
      <c r="CF7" s="209">
        <f t="shared" ref="CF7:CF34" si="54">CG6</f>
        <v>367400</v>
      </c>
      <c r="CG7" s="209">
        <v>367910</v>
      </c>
      <c r="CH7" s="210">
        <f t="shared" ref="CH7:CH34" si="55">MAX(0,CG7-CF7)</f>
        <v>510</v>
      </c>
      <c r="CI7" s="223">
        <f t="shared" ref="CI7:CI34" si="56">CH7-CH6</f>
        <v>90</v>
      </c>
      <c r="CJ7" s="224">
        <f>(CH7/'Finance Only'!B10)*100</f>
        <v>2.0206022187004757</v>
      </c>
      <c r="CK7" s="210">
        <f t="shared" ref="CK7:CK34" si="57">CL6</f>
        <v>853540</v>
      </c>
      <c r="CL7" s="210">
        <v>854500</v>
      </c>
      <c r="CM7" s="210">
        <f t="shared" ref="CM7:CM34" si="58">MAX(0,CL7-CK7)</f>
        <v>960</v>
      </c>
      <c r="CN7" s="223">
        <f t="shared" ref="CN7:CN34" si="59">CM7-CM6</f>
        <v>120</v>
      </c>
      <c r="CO7" s="224">
        <f>(CM7/'Finance Only'!B10)*100</f>
        <v>3.8034865293185423</v>
      </c>
      <c r="CP7" s="209">
        <f>CQ6</f>
        <v>707310</v>
      </c>
      <c r="CQ7" s="209">
        <v>708070</v>
      </c>
      <c r="CR7" s="211">
        <f>MAX(0,CQ7-CP7)</f>
        <v>760</v>
      </c>
      <c r="CS7" s="223">
        <f t="shared" ref="CS7:CS34" si="60">CR7-CR6</f>
        <v>0</v>
      </c>
      <c r="CT7" s="224">
        <f>(CR7/'Finance Only'!B10)*100</f>
        <v>3.0110935023771792</v>
      </c>
      <c r="CU7" s="209">
        <f t="shared" ref="CU7:CU34" si="61">CV6</f>
        <v>586400</v>
      </c>
      <c r="CV7" s="209">
        <v>587050</v>
      </c>
      <c r="CW7" s="210">
        <f t="shared" ref="CW7:CW34" si="62">MAX(0,CV7-CU7)</f>
        <v>650</v>
      </c>
      <c r="CX7" s="223">
        <f t="shared" ref="CX7:CX34" si="63">CW7-CW6</f>
        <v>40</v>
      </c>
      <c r="CY7" s="224">
        <f>(CW7/'Finance Only'!B10)*100</f>
        <v>2.5752773375594296</v>
      </c>
      <c r="CZ7" s="209">
        <f t="shared" ref="CZ7:CZ34" si="64">DA6</f>
        <v>979520</v>
      </c>
      <c r="DA7" s="209">
        <v>980620</v>
      </c>
      <c r="DB7" s="210">
        <f t="shared" ref="DB7:DB34" si="65">MAX(0,DA7-CZ7)</f>
        <v>1100</v>
      </c>
      <c r="DC7" s="223">
        <f t="shared" ref="DC7:DC34" si="66">DB7-DB6</f>
        <v>120</v>
      </c>
      <c r="DD7" s="224">
        <f>(DB7/'Finance Only'!B10)*100</f>
        <v>4.3581616481774965</v>
      </c>
      <c r="DE7" s="209">
        <f t="shared" ref="DE7:DE34" si="67">DF6</f>
        <v>751390</v>
      </c>
      <c r="DF7" s="209">
        <v>752100</v>
      </c>
      <c r="DG7" s="210">
        <f t="shared" ref="DG7:DG34" si="68">MAX(0,DF7-DE7)</f>
        <v>710</v>
      </c>
      <c r="DH7" s="223">
        <f t="shared" ref="DH7:DH34" si="69">DG7-DG6</f>
        <v>10</v>
      </c>
      <c r="DI7" s="224">
        <f>(DG7/'Finance Only'!B10)*100</f>
        <v>2.8129952456418383</v>
      </c>
      <c r="DJ7" s="209">
        <f t="shared" ref="DJ7:DJ34" si="70">DK6</f>
        <v>651210</v>
      </c>
      <c r="DK7" s="209">
        <v>651880</v>
      </c>
      <c r="DL7" s="210">
        <f t="shared" ref="DL7:DL34" si="71">MAX(0,DK7-DJ7)</f>
        <v>670</v>
      </c>
      <c r="DM7" s="223">
        <f t="shared" ref="DM7:DM34" si="72">DL7-DL6</f>
        <v>0</v>
      </c>
      <c r="DN7" s="224">
        <f>(DL7/'Finance Only'!B10)*100</f>
        <v>2.6545166402535658</v>
      </c>
      <c r="DO7" s="209">
        <f t="shared" ref="DO7:DO34" si="73">DP6</f>
        <v>353790</v>
      </c>
      <c r="DP7" s="209">
        <v>354090</v>
      </c>
      <c r="DQ7" s="210">
        <f t="shared" ref="DQ7:DQ34" si="74">MAX(0,DP7-DO7)</f>
        <v>300</v>
      </c>
      <c r="DR7" s="223">
        <f t="shared" ref="DR7:DR34" si="75">DQ7-DQ6</f>
        <v>-10</v>
      </c>
      <c r="DS7" s="224">
        <f>(DQ7/'Finance Only'!B10)*100</f>
        <v>1.1885895404120443</v>
      </c>
      <c r="DT7" s="209">
        <f t="shared" ref="DT7:DT34" si="76">DU6</f>
        <v>116890</v>
      </c>
      <c r="DU7" s="209">
        <v>117020</v>
      </c>
      <c r="DV7" s="210">
        <f t="shared" ref="DV7:DV34" si="77">MAX(0,DU7-DT7)</f>
        <v>130</v>
      </c>
      <c r="DW7" s="223">
        <f t="shared" ref="DW7:DW34" si="78">DV7-DV6</f>
        <v>0</v>
      </c>
      <c r="DX7" s="224">
        <f>(DV7/'Finance Only'!B10)*100</f>
        <v>0.51505546751188591</v>
      </c>
      <c r="DY7" s="209">
        <f t="shared" ref="DY7:DY34" si="79">DZ6</f>
        <v>749970</v>
      </c>
      <c r="DZ7" s="209">
        <v>750860</v>
      </c>
      <c r="EA7" s="210">
        <f t="shared" ref="EA7:EA34" si="80">MAX(0,DZ7-DY7)</f>
        <v>890</v>
      </c>
      <c r="EB7" s="223">
        <f t="shared" ref="EB7:EB34" si="81">EA7-EA6</f>
        <v>-110</v>
      </c>
      <c r="EC7" s="224">
        <f>(EA7/'Finance Only'!B10)*100</f>
        <v>3.5261489698890647</v>
      </c>
      <c r="ED7" s="209">
        <f t="shared" ref="ED7:ED34" si="82">EE6</f>
        <v>239100</v>
      </c>
      <c r="EE7" s="209">
        <v>239370</v>
      </c>
      <c r="EF7" s="210">
        <f t="shared" ref="EF7:EF34" si="83">MAX(0,EE7-ED7)</f>
        <v>270</v>
      </c>
      <c r="EG7" s="223">
        <f t="shared" ref="EG7:EG34" si="84">EF7-EF6</f>
        <v>-20</v>
      </c>
      <c r="EH7" s="224">
        <f>(EF7/'Finance Only'!B10)*100</f>
        <v>1.06973058637084</v>
      </c>
      <c r="EI7" s="209">
        <f t="shared" ref="EI7:EI34" si="85">EJ6</f>
        <v>270520</v>
      </c>
      <c r="EJ7" s="209">
        <v>270870</v>
      </c>
      <c r="EK7" s="210">
        <f t="shared" ref="EK7:EK34" si="86">MAX(0,EJ7-EI7)</f>
        <v>350</v>
      </c>
      <c r="EL7" s="223">
        <f t="shared" ref="EL7:EL34" si="87">EK7-EK6</f>
        <v>0</v>
      </c>
      <c r="EM7" s="224">
        <f>(EK7/'Finance Only'!B10)*100</f>
        <v>1.386687797147385</v>
      </c>
      <c r="EN7" s="209">
        <f t="shared" ref="EN7:EN34" si="88">EO6</f>
        <v>442820</v>
      </c>
      <c r="EO7" s="209">
        <v>443280</v>
      </c>
      <c r="EP7" s="210">
        <f t="shared" ref="EP7:EP34" si="89">MAX(0,EO7-EN7)</f>
        <v>460</v>
      </c>
      <c r="EQ7" s="223">
        <f t="shared" ref="EQ7:EQ34" si="90">EP7-EP6</f>
        <v>-40</v>
      </c>
      <c r="ER7" s="224">
        <f>(EP7/'Finance Only'!B10)*100</f>
        <v>1.8225039619651346</v>
      </c>
      <c r="ES7" s="209">
        <f t="shared" ref="ES7:ES34" si="91">ET6</f>
        <v>0</v>
      </c>
      <c r="ET7" s="209"/>
      <c r="EU7" s="210">
        <f t="shared" ref="EU7:EU34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4" si="94">EY6</f>
        <v>0</v>
      </c>
      <c r="EY7" s="209"/>
      <c r="EZ7" s="210">
        <f t="shared" ref="EZ7:EZ34" si="95">MAX(0,EY7-EX7)</f>
        <v>0</v>
      </c>
      <c r="FA7" s="223">
        <f t="shared" ref="FA7:FA34" si="96">EZ7-EZ6</f>
        <v>0</v>
      </c>
      <c r="FB7" s="224">
        <f>(EZ7/'Finance Only'!G10)*100</f>
        <v>0</v>
      </c>
      <c r="FC7" s="209">
        <f t="shared" ref="FC7:FC34" si="97">FD6</f>
        <v>0</v>
      </c>
      <c r="FD7" s="209"/>
      <c r="FE7" s="210">
        <f t="shared" ref="FE7:FE34" si="98">MAX(0,FD7-FC7)</f>
        <v>0</v>
      </c>
      <c r="FF7" s="223">
        <f t="shared" ref="FF7:FF34" si="99">FE7-FE6</f>
        <v>0</v>
      </c>
      <c r="FG7" s="224" t="e">
        <f>(FE7/'Finance Only'!M10)*100</f>
        <v>#DIV/0!</v>
      </c>
      <c r="FH7" s="295"/>
      <c r="FI7" s="295"/>
      <c r="FJ7" s="295"/>
      <c r="FK7" s="295"/>
      <c r="FL7" s="295"/>
      <c r="FM7" s="209">
        <f t="shared" ref="FM7:FM34" si="100">FN6</f>
        <v>0</v>
      </c>
      <c r="FN7" s="209"/>
      <c r="FO7" s="210">
        <f t="shared" ref="FO7:FO34" si="101">MAX(0,FN7-FM7)</f>
        <v>0</v>
      </c>
      <c r="FP7" s="223">
        <f t="shared" ref="FP7:FP34" si="102">FO7-FO6</f>
        <v>0</v>
      </c>
      <c r="FQ7" s="224" t="e">
        <f>(FO7/'Finance Only'!R10)*100</f>
        <v>#DIV/0!</v>
      </c>
      <c r="FR7" s="209">
        <f t="shared" ref="FR7:FR34" si="103">FS6</f>
        <v>0</v>
      </c>
      <c r="FS7" s="209"/>
      <c r="FT7" s="210">
        <f t="shared" ref="FT7:FT34" si="104">MAX(0,FS7-FR7)</f>
        <v>0</v>
      </c>
      <c r="FU7" s="223">
        <f t="shared" ref="FU7:FU34" si="105">FT7-FT6</f>
        <v>0</v>
      </c>
      <c r="FV7" s="224" t="e">
        <f>(FT7/'Finance Only'!W10)*100</f>
        <v>#DIV/0!</v>
      </c>
      <c r="FW7" s="209">
        <f t="shared" ref="FW7:FW34" si="106">FX6</f>
        <v>0</v>
      </c>
      <c r="FX7" s="209"/>
      <c r="FY7" s="210">
        <f t="shared" ref="FY7:FY34" si="107">MAX(0,FX7-FW7)</f>
        <v>0</v>
      </c>
      <c r="FZ7" s="223">
        <f t="shared" ref="FZ7:FZ34" si="108">FY7-FY6</f>
        <v>0</v>
      </c>
      <c r="GA7" s="224" t="e">
        <f>(FY7/'Finance Only'!AB10)*100</f>
        <v>#DIV/0!</v>
      </c>
      <c r="GB7" s="273"/>
      <c r="GC7" s="278">
        <f t="shared" si="1"/>
        <v>7941</v>
      </c>
      <c r="GD7" s="276"/>
      <c r="GE7" s="278">
        <f t="shared" si="2"/>
        <v>7359</v>
      </c>
      <c r="GF7" s="276"/>
      <c r="GG7" s="278">
        <f t="shared" si="3"/>
        <v>2100</v>
      </c>
      <c r="GH7" s="276"/>
      <c r="GI7" s="278">
        <f t="shared" si="4"/>
        <v>4780</v>
      </c>
      <c r="GJ7" s="276"/>
      <c r="GK7" s="278">
        <f t="shared" si="5"/>
        <v>760</v>
      </c>
      <c r="GL7" s="276"/>
      <c r="GM7" s="278">
        <f t="shared" si="6"/>
        <v>0</v>
      </c>
      <c r="GN7" s="276"/>
    </row>
    <row r="8" spans="1:196" s="3" customFormat="1" ht="13.5" customHeight="1" x14ac:dyDescent="0.2">
      <c r="A8" s="264">
        <v>4</v>
      </c>
      <c r="B8" s="267">
        <f>'Finance Only'!G11</f>
        <v>40.799999999999997</v>
      </c>
      <c r="C8" s="262">
        <f t="shared" si="7"/>
        <v>27192590</v>
      </c>
      <c r="D8" s="207">
        <v>27196776</v>
      </c>
      <c r="E8" s="208">
        <f t="shared" si="8"/>
        <v>4186</v>
      </c>
      <c r="F8" s="219">
        <f t="shared" si="9"/>
        <v>383</v>
      </c>
      <c r="G8" s="220">
        <f>(E8/'Finance Only'!B11)*100</f>
        <v>15.801592993846967</v>
      </c>
      <c r="H8" s="230">
        <f t="shared" si="10"/>
        <v>25128229</v>
      </c>
      <c r="I8" s="207">
        <v>25132712</v>
      </c>
      <c r="J8" s="207">
        <f t="shared" si="11"/>
        <v>4483</v>
      </c>
      <c r="K8" s="231">
        <f t="shared" si="12"/>
        <v>345</v>
      </c>
      <c r="L8" s="232">
        <f>(J8/'Finance Only'!B11)*100</f>
        <v>16.922728473821298</v>
      </c>
      <c r="M8" s="215">
        <f t="shared" si="13"/>
        <v>92504980</v>
      </c>
      <c r="N8" s="209">
        <v>92516908</v>
      </c>
      <c r="O8" s="210">
        <f t="shared" si="14"/>
        <v>11928</v>
      </c>
      <c r="P8" s="223">
        <f t="shared" si="15"/>
        <v>476</v>
      </c>
      <c r="Q8" s="224">
        <f>(O8/'Finance Only'!B11)*100</f>
        <v>45.026612811898381</v>
      </c>
      <c r="R8" s="214">
        <f>S7</f>
        <v>3153700</v>
      </c>
      <c r="S8" s="209">
        <v>3156200</v>
      </c>
      <c r="T8" s="210">
        <f t="shared" si="17"/>
        <v>2500</v>
      </c>
      <c r="U8" s="223">
        <f t="shared" si="18"/>
        <v>-100</v>
      </c>
      <c r="V8" s="224">
        <f>(T8/'Finance Only'!B11)*100</f>
        <v>9.4371673398512694</v>
      </c>
      <c r="W8" s="209">
        <f t="shared" si="19"/>
        <v>4236835</v>
      </c>
      <c r="X8" s="209">
        <v>4239668</v>
      </c>
      <c r="Y8" s="210">
        <f t="shared" si="20"/>
        <v>2833</v>
      </c>
      <c r="Z8" s="223">
        <f t="shared" si="21"/>
        <v>44</v>
      </c>
      <c r="AA8" s="224">
        <f>(Y8/'Finance Only'!B11)*100</f>
        <v>10.694198029519459</v>
      </c>
      <c r="AB8" s="209">
        <f t="shared" si="22"/>
        <v>2754600</v>
      </c>
      <c r="AC8" s="209">
        <v>2756600</v>
      </c>
      <c r="AD8" s="210">
        <f t="shared" si="0"/>
        <v>2000</v>
      </c>
      <c r="AE8" s="316">
        <f>AD8/WATER!V9</f>
        <v>5.333333333333333</v>
      </c>
      <c r="AF8" s="223">
        <f t="shared" si="23"/>
        <v>300</v>
      </c>
      <c r="AG8" s="224">
        <f>(AD8/'Finance Only'!B11)*100</f>
        <v>7.5497338718810161</v>
      </c>
      <c r="AH8" s="209">
        <f t="shared" si="24"/>
        <v>1106394</v>
      </c>
      <c r="AI8" s="209">
        <v>1106875</v>
      </c>
      <c r="AJ8" s="210">
        <f t="shared" si="25"/>
        <v>481</v>
      </c>
      <c r="AK8" s="223">
        <f t="shared" si="26"/>
        <v>-17</v>
      </c>
      <c r="AL8" s="224">
        <f>(AJ8/'Finance Only'!B11)*100</f>
        <v>1.8157109961873845</v>
      </c>
      <c r="AM8" s="209">
        <f t="shared" si="27"/>
        <v>1122200</v>
      </c>
      <c r="AN8" s="209">
        <v>1123000</v>
      </c>
      <c r="AO8" s="210">
        <f t="shared" si="28"/>
        <v>800</v>
      </c>
      <c r="AP8" s="223">
        <f t="shared" si="29"/>
        <v>0</v>
      </c>
      <c r="AQ8" s="224">
        <f>(AO8/'Finance Only'!B11)*100</f>
        <v>3.0198935487524068</v>
      </c>
      <c r="AR8" s="209">
        <f t="shared" si="30"/>
        <v>2505600</v>
      </c>
      <c r="AS8" s="209">
        <v>2506900</v>
      </c>
      <c r="AT8" s="210">
        <f t="shared" si="31"/>
        <v>1300</v>
      </c>
      <c r="AU8" s="223">
        <f t="shared" si="32"/>
        <v>0</v>
      </c>
      <c r="AV8" s="224">
        <f>(AT8/'Finance Only'!B11)*100</f>
        <v>4.9073270167226601</v>
      </c>
      <c r="AW8" s="209">
        <f t="shared" si="33"/>
        <v>266440</v>
      </c>
      <c r="AX8" s="209">
        <v>270520</v>
      </c>
      <c r="AY8" s="210">
        <f t="shared" si="34"/>
        <v>4080</v>
      </c>
      <c r="AZ8" s="223">
        <f t="shared" si="35"/>
        <v>0</v>
      </c>
      <c r="BA8" s="224">
        <f>(AY8/'Finance Only'!B11)*100</f>
        <v>15.401457098637273</v>
      </c>
      <c r="BB8" s="209">
        <f t="shared" si="36"/>
        <v>1009000</v>
      </c>
      <c r="BC8" s="209">
        <v>1009400</v>
      </c>
      <c r="BD8" s="210">
        <f t="shared" si="37"/>
        <v>400</v>
      </c>
      <c r="BE8" s="223">
        <f t="shared" si="38"/>
        <v>0</v>
      </c>
      <c r="BF8" s="224">
        <f>(BD8/'Finance Only'!B11)*100</f>
        <v>1.5099467743762034</v>
      </c>
      <c r="BG8" s="209">
        <f t="shared" si="39"/>
        <v>1082200</v>
      </c>
      <c r="BH8" s="209">
        <v>1082500</v>
      </c>
      <c r="BI8" s="210">
        <f t="shared" si="40"/>
        <v>300</v>
      </c>
      <c r="BJ8" s="223">
        <f t="shared" si="41"/>
        <v>0</v>
      </c>
      <c r="BK8" s="224">
        <f>(BI8/'Finance Only'!B11)*100</f>
        <v>1.1324600807821523</v>
      </c>
      <c r="BL8" s="209">
        <f t="shared" si="42"/>
        <v>1610700</v>
      </c>
      <c r="BM8" s="209">
        <v>1610700</v>
      </c>
      <c r="BN8" s="210">
        <f t="shared" si="43"/>
        <v>0</v>
      </c>
      <c r="BO8" s="223">
        <f t="shared" si="44"/>
        <v>-600</v>
      </c>
      <c r="BP8" s="224">
        <f>(BN8/'Finance Only'!B11)*100</f>
        <v>0</v>
      </c>
      <c r="BQ8" s="209">
        <f t="shared" si="45"/>
        <v>141230</v>
      </c>
      <c r="BR8" s="209">
        <v>141390</v>
      </c>
      <c r="BS8" s="210">
        <f t="shared" si="46"/>
        <v>160</v>
      </c>
      <c r="BT8" s="223">
        <f t="shared" si="47"/>
        <v>0</v>
      </c>
      <c r="BU8" s="224">
        <f>(BS8/'Finance Only'!B11)*100</f>
        <v>0.60397870975048129</v>
      </c>
      <c r="BV8" s="209">
        <f t="shared" si="48"/>
        <v>596270</v>
      </c>
      <c r="BW8" s="209">
        <v>596690</v>
      </c>
      <c r="BX8" s="210">
        <f t="shared" si="49"/>
        <v>420</v>
      </c>
      <c r="BY8" s="223">
        <f t="shared" si="50"/>
        <v>-20</v>
      </c>
      <c r="BZ8" s="224">
        <f>(BX8/'Finance Only'!B11)*100</f>
        <v>1.5854441130950132</v>
      </c>
      <c r="CA8" s="209">
        <f t="shared" si="51"/>
        <v>1118700</v>
      </c>
      <c r="CB8" s="209">
        <v>1119800</v>
      </c>
      <c r="CC8" s="210">
        <f t="shared" si="52"/>
        <v>1100</v>
      </c>
      <c r="CD8" s="223">
        <f t="shared" si="53"/>
        <v>0</v>
      </c>
      <c r="CE8" s="224">
        <f>(CC8/'Finance Only'!B11)*100</f>
        <v>4.1523536295345584</v>
      </c>
      <c r="CF8" s="209">
        <f t="shared" si="54"/>
        <v>367910</v>
      </c>
      <c r="CG8" s="209">
        <v>368360</v>
      </c>
      <c r="CH8" s="210">
        <f t="shared" si="55"/>
        <v>450</v>
      </c>
      <c r="CI8" s="223">
        <f t="shared" si="56"/>
        <v>-60</v>
      </c>
      <c r="CJ8" s="224">
        <f>(CH8/'Finance Only'!B11)*100</f>
        <v>1.6986901211732286</v>
      </c>
      <c r="CK8" s="210">
        <f t="shared" si="57"/>
        <v>854500</v>
      </c>
      <c r="CL8" s="210">
        <v>855480</v>
      </c>
      <c r="CM8" s="210">
        <f t="shared" si="58"/>
        <v>980</v>
      </c>
      <c r="CN8" s="223">
        <f t="shared" si="59"/>
        <v>20</v>
      </c>
      <c r="CO8" s="224">
        <f>(CM8/'Finance Only'!B11)*100</f>
        <v>3.6993695972216982</v>
      </c>
      <c r="CP8" s="209">
        <f>CQ7</f>
        <v>708070</v>
      </c>
      <c r="CQ8" s="209">
        <v>708920</v>
      </c>
      <c r="CR8" s="211">
        <f>MAX(0,CQ8-CP8)</f>
        <v>850</v>
      </c>
      <c r="CS8" s="223">
        <f t="shared" si="60"/>
        <v>90</v>
      </c>
      <c r="CT8" s="224">
        <f>(CR8/'Finance Only'!B11)*100</f>
        <v>3.2086368955494318</v>
      </c>
      <c r="CU8" s="209">
        <f t="shared" si="61"/>
        <v>587050</v>
      </c>
      <c r="CV8" s="209">
        <v>587710</v>
      </c>
      <c r="CW8" s="210">
        <f t="shared" si="62"/>
        <v>660</v>
      </c>
      <c r="CX8" s="223">
        <f t="shared" si="63"/>
        <v>10</v>
      </c>
      <c r="CY8" s="224">
        <f>(CW8/'Finance Only'!B11)*100</f>
        <v>2.4914121777207354</v>
      </c>
      <c r="CZ8" s="209">
        <f t="shared" si="64"/>
        <v>980620</v>
      </c>
      <c r="DA8" s="209">
        <v>981870</v>
      </c>
      <c r="DB8" s="210">
        <f t="shared" si="65"/>
        <v>1250</v>
      </c>
      <c r="DC8" s="223">
        <f t="shared" si="66"/>
        <v>150</v>
      </c>
      <c r="DD8" s="224">
        <f>(DB8/'Finance Only'!B11)*100</f>
        <v>4.7185836699256347</v>
      </c>
      <c r="DE8" s="209">
        <f t="shared" si="67"/>
        <v>752100</v>
      </c>
      <c r="DF8" s="209">
        <v>752890</v>
      </c>
      <c r="DG8" s="210">
        <f t="shared" si="68"/>
        <v>790</v>
      </c>
      <c r="DH8" s="223">
        <f t="shared" si="69"/>
        <v>80</v>
      </c>
      <c r="DI8" s="224">
        <f>(DG8/'Finance Only'!B11)*100</f>
        <v>2.9821448793930014</v>
      </c>
      <c r="DJ8" s="209">
        <f t="shared" si="70"/>
        <v>651880</v>
      </c>
      <c r="DK8" s="209">
        <v>652520</v>
      </c>
      <c r="DL8" s="210">
        <f t="shared" si="71"/>
        <v>640</v>
      </c>
      <c r="DM8" s="223">
        <f t="shared" si="72"/>
        <v>-30</v>
      </c>
      <c r="DN8" s="224">
        <f>(DL8/'Finance Only'!B11)*100</f>
        <v>2.4159148390019252</v>
      </c>
      <c r="DO8" s="209">
        <f t="shared" si="73"/>
        <v>354090</v>
      </c>
      <c r="DP8" s="209">
        <v>354380</v>
      </c>
      <c r="DQ8" s="210">
        <f t="shared" si="74"/>
        <v>290</v>
      </c>
      <c r="DR8" s="223">
        <f t="shared" si="75"/>
        <v>-10</v>
      </c>
      <c r="DS8" s="224">
        <f>(DQ8/'Finance Only'!B11)*100</f>
        <v>1.0947114114227474</v>
      </c>
      <c r="DT8" s="209">
        <f t="shared" si="76"/>
        <v>117020</v>
      </c>
      <c r="DU8" s="209">
        <v>117190</v>
      </c>
      <c r="DV8" s="210">
        <f t="shared" si="77"/>
        <v>170</v>
      </c>
      <c r="DW8" s="223">
        <f t="shared" si="78"/>
        <v>40</v>
      </c>
      <c r="DX8" s="224">
        <f>(DV8/'Finance Only'!B11)*100</f>
        <v>0.64172737910988642</v>
      </c>
      <c r="DY8" s="209">
        <f t="shared" si="79"/>
        <v>750860</v>
      </c>
      <c r="DZ8" s="209">
        <v>751820</v>
      </c>
      <c r="EA8" s="210">
        <f t="shared" si="80"/>
        <v>960</v>
      </c>
      <c r="EB8" s="223">
        <f t="shared" si="81"/>
        <v>70</v>
      </c>
      <c r="EC8" s="224">
        <f>(EA8/'Finance Only'!B11)*100</f>
        <v>3.623872258502888</v>
      </c>
      <c r="ED8" s="209">
        <f t="shared" si="82"/>
        <v>239370</v>
      </c>
      <c r="EE8" s="209">
        <v>239620</v>
      </c>
      <c r="EF8" s="210">
        <f t="shared" si="83"/>
        <v>250</v>
      </c>
      <c r="EG8" s="223">
        <f t="shared" si="84"/>
        <v>-20</v>
      </c>
      <c r="EH8" s="224">
        <f>(EF8/'Finance Only'!B11)*100</f>
        <v>0.94371673398512701</v>
      </c>
      <c r="EI8" s="209">
        <f t="shared" si="85"/>
        <v>270870</v>
      </c>
      <c r="EJ8" s="209">
        <v>270870</v>
      </c>
      <c r="EK8" s="210">
        <f t="shared" si="86"/>
        <v>0</v>
      </c>
      <c r="EL8" s="223">
        <f t="shared" si="87"/>
        <v>-350</v>
      </c>
      <c r="EM8" s="224">
        <f>(EK8/'Finance Only'!B11)*100</f>
        <v>0</v>
      </c>
      <c r="EN8" s="209">
        <f t="shared" si="88"/>
        <v>443280</v>
      </c>
      <c r="EO8" s="209">
        <v>443280</v>
      </c>
      <c r="EP8" s="210">
        <f t="shared" si="89"/>
        <v>0</v>
      </c>
      <c r="EQ8" s="223">
        <f t="shared" si="90"/>
        <v>-460</v>
      </c>
      <c r="ER8" s="224">
        <f>(EP8/'Finance Only'!B11)*100</f>
        <v>0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>
        <f>(EZ8/'Finance Only'!G11)*100</f>
        <v>0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5"/>
      <c r="FI8" s="295"/>
      <c r="FJ8" s="295"/>
      <c r="FK8" s="295"/>
      <c r="FL8" s="295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8">
        <f t="shared" si="1"/>
        <v>8669</v>
      </c>
      <c r="GD8" s="276"/>
      <c r="GE8" s="278">
        <f t="shared" si="2"/>
        <v>6543</v>
      </c>
      <c r="GF8" s="276"/>
      <c r="GG8" s="278">
        <f t="shared" si="3"/>
        <v>2100</v>
      </c>
      <c r="GH8" s="276"/>
      <c r="GI8" s="278">
        <f t="shared" si="4"/>
        <v>4780</v>
      </c>
      <c r="GJ8" s="276"/>
      <c r="GK8" s="278">
        <f t="shared" si="5"/>
        <v>160</v>
      </c>
      <c r="GL8" s="276"/>
      <c r="GM8" s="278">
        <f t="shared" si="6"/>
        <v>0</v>
      </c>
      <c r="GN8" s="276"/>
    </row>
    <row r="9" spans="1:196" s="3" customFormat="1" ht="13.5" customHeight="1" x14ac:dyDescent="0.2">
      <c r="A9" s="264">
        <v>5</v>
      </c>
      <c r="B9" s="267">
        <f>'Finance Only'!G12</f>
        <v>38.799999999999997</v>
      </c>
      <c r="C9" s="262">
        <f t="shared" si="7"/>
        <v>27196776</v>
      </c>
      <c r="D9" s="207">
        <v>27200932</v>
      </c>
      <c r="E9" s="208">
        <f t="shared" si="8"/>
        <v>4156</v>
      </c>
      <c r="F9" s="219">
        <f t="shared" si="9"/>
        <v>-30</v>
      </c>
      <c r="G9" s="220">
        <f>(E9/'Finance Only'!B12)*100</f>
        <v>15.895356842346823</v>
      </c>
      <c r="H9" s="230">
        <f t="shared" si="10"/>
        <v>25132712</v>
      </c>
      <c r="I9" s="207">
        <v>25137056</v>
      </c>
      <c r="J9" s="207">
        <f t="shared" si="11"/>
        <v>4344</v>
      </c>
      <c r="K9" s="231">
        <f t="shared" si="12"/>
        <v>-139</v>
      </c>
      <c r="L9" s="232">
        <f>(J9/'Finance Only'!B12)*100</f>
        <v>16.614396083530941</v>
      </c>
      <c r="M9" s="215">
        <f t="shared" si="13"/>
        <v>92516908</v>
      </c>
      <c r="N9" s="209">
        <v>92528288</v>
      </c>
      <c r="O9" s="210">
        <f t="shared" si="14"/>
        <v>11380</v>
      </c>
      <c r="P9" s="223">
        <f t="shared" si="15"/>
        <v>-548</v>
      </c>
      <c r="Q9" s="224">
        <f>(O9/'Finance Only'!B12)*100</f>
        <v>43.52482215252811</v>
      </c>
      <c r="R9" s="214">
        <f t="shared" si="16"/>
        <v>3156200</v>
      </c>
      <c r="S9" s="209">
        <v>3158700</v>
      </c>
      <c r="T9" s="210">
        <f t="shared" si="17"/>
        <v>2500</v>
      </c>
      <c r="U9" s="223">
        <f t="shared" si="18"/>
        <v>0</v>
      </c>
      <c r="V9" s="224">
        <f>(T9/'Finance Only'!B12)*100</f>
        <v>9.5616920370228708</v>
      </c>
      <c r="W9" s="209">
        <f t="shared" si="19"/>
        <v>4239668</v>
      </c>
      <c r="X9" s="209">
        <v>4242441</v>
      </c>
      <c r="Y9" s="210">
        <f t="shared" si="20"/>
        <v>2773</v>
      </c>
      <c r="Z9" s="223">
        <f t="shared" si="21"/>
        <v>-60</v>
      </c>
      <c r="AA9" s="224">
        <f>(Y9/'Finance Only'!B12)*100</f>
        <v>10.60582880746577</v>
      </c>
      <c r="AB9" s="209">
        <f t="shared" si="22"/>
        <v>2756600</v>
      </c>
      <c r="AC9" s="209">
        <v>2758300</v>
      </c>
      <c r="AD9" s="210">
        <f t="shared" si="0"/>
        <v>1700</v>
      </c>
      <c r="AE9" s="316">
        <f>AD9/WATER!V10</f>
        <v>4.5822102425876015</v>
      </c>
      <c r="AF9" s="223">
        <f t="shared" si="23"/>
        <v>-300</v>
      </c>
      <c r="AG9" s="224">
        <f>(AD9/'Finance Only'!B12)*100</f>
        <v>6.5019505851755532</v>
      </c>
      <c r="AH9" s="209">
        <f t="shared" si="24"/>
        <v>1106875</v>
      </c>
      <c r="AI9" s="209">
        <v>1107369</v>
      </c>
      <c r="AJ9" s="210">
        <f t="shared" si="25"/>
        <v>494</v>
      </c>
      <c r="AK9" s="223">
        <f t="shared" si="26"/>
        <v>13</v>
      </c>
      <c r="AL9" s="224">
        <f>(AJ9/'Finance Only'!B12)*100</f>
        <v>1.8893903465157194</v>
      </c>
      <c r="AM9" s="209">
        <f t="shared" si="27"/>
        <v>1123000</v>
      </c>
      <c r="AN9" s="209">
        <v>1123700</v>
      </c>
      <c r="AO9" s="210">
        <f t="shared" si="28"/>
        <v>700</v>
      </c>
      <c r="AP9" s="223">
        <f t="shared" si="29"/>
        <v>-100</v>
      </c>
      <c r="AQ9" s="224">
        <f>(AO9/'Finance Only'!B12)*100</f>
        <v>2.677273770366404</v>
      </c>
      <c r="AR9" s="209">
        <f t="shared" si="30"/>
        <v>2506900</v>
      </c>
      <c r="AS9" s="209">
        <v>2508300</v>
      </c>
      <c r="AT9" s="210">
        <f t="shared" si="31"/>
        <v>1400</v>
      </c>
      <c r="AU9" s="223">
        <f t="shared" si="32"/>
        <v>100</v>
      </c>
      <c r="AV9" s="224">
        <f>(AT9/'Finance Only'!B12)*100</f>
        <v>5.354547540732808</v>
      </c>
      <c r="AW9" s="209">
        <f t="shared" si="33"/>
        <v>270520</v>
      </c>
      <c r="AX9" s="209">
        <v>274310</v>
      </c>
      <c r="AY9" s="210">
        <f t="shared" si="34"/>
        <v>3790</v>
      </c>
      <c r="AZ9" s="223">
        <f t="shared" si="35"/>
        <v>-290</v>
      </c>
      <c r="BA9" s="224">
        <f>(AY9/'Finance Only'!B12)*100</f>
        <v>14.495525128126674</v>
      </c>
      <c r="BB9" s="209">
        <f t="shared" si="36"/>
        <v>1009400</v>
      </c>
      <c r="BC9" s="209">
        <v>1009800</v>
      </c>
      <c r="BD9" s="210">
        <f t="shared" si="37"/>
        <v>400</v>
      </c>
      <c r="BE9" s="223">
        <f t="shared" si="38"/>
        <v>0</v>
      </c>
      <c r="BF9" s="224">
        <f>(BD9/'Finance Only'!B12)*100</f>
        <v>1.5298707259236595</v>
      </c>
      <c r="BG9" s="209">
        <f t="shared" si="39"/>
        <v>1082500</v>
      </c>
      <c r="BH9" s="209">
        <v>1082800</v>
      </c>
      <c r="BI9" s="210">
        <f t="shared" si="40"/>
        <v>300</v>
      </c>
      <c r="BJ9" s="223">
        <f t="shared" si="41"/>
        <v>0</v>
      </c>
      <c r="BK9" s="224">
        <f>(BI9/'Finance Only'!B12)*100</f>
        <v>1.1474030444427445</v>
      </c>
      <c r="BL9" s="209">
        <f t="shared" si="42"/>
        <v>1610700</v>
      </c>
      <c r="BM9" s="209">
        <v>1611200</v>
      </c>
      <c r="BN9" s="210">
        <f t="shared" si="43"/>
        <v>500</v>
      </c>
      <c r="BO9" s="223">
        <f t="shared" si="44"/>
        <v>500</v>
      </c>
      <c r="BP9" s="224">
        <f>(BN9/'Finance Only'!B12)*100</f>
        <v>1.9123384074045742</v>
      </c>
      <c r="BQ9" s="209">
        <f t="shared" si="45"/>
        <v>141390</v>
      </c>
      <c r="BR9" s="209">
        <v>141550</v>
      </c>
      <c r="BS9" s="210">
        <f t="shared" si="46"/>
        <v>160</v>
      </c>
      <c r="BT9" s="223">
        <f t="shared" si="47"/>
        <v>0</v>
      </c>
      <c r="BU9" s="224">
        <f>(BS9/'Finance Only'!B12)*100</f>
        <v>0.61194829036946385</v>
      </c>
      <c r="BV9" s="209">
        <f t="shared" si="48"/>
        <v>596690</v>
      </c>
      <c r="BW9" s="209">
        <v>597090</v>
      </c>
      <c r="BX9" s="210">
        <f t="shared" si="49"/>
        <v>400</v>
      </c>
      <c r="BY9" s="223">
        <f t="shared" si="50"/>
        <v>-20</v>
      </c>
      <c r="BZ9" s="224">
        <f>(BX9/'Finance Only'!B12)*100</f>
        <v>1.5298707259236595</v>
      </c>
      <c r="CA9" s="209">
        <f t="shared" si="51"/>
        <v>1119800</v>
      </c>
      <c r="CB9" s="209">
        <v>1121000</v>
      </c>
      <c r="CC9" s="210">
        <f t="shared" si="52"/>
        <v>1200</v>
      </c>
      <c r="CD9" s="223">
        <f t="shared" si="53"/>
        <v>100</v>
      </c>
      <c r="CE9" s="224">
        <f>(CC9/'Finance Only'!B12)*100</f>
        <v>4.5896121777709782</v>
      </c>
      <c r="CF9" s="209">
        <f t="shared" si="54"/>
        <v>368360</v>
      </c>
      <c r="CG9" s="209">
        <v>368790</v>
      </c>
      <c r="CH9" s="210">
        <f t="shared" si="55"/>
        <v>430</v>
      </c>
      <c r="CI9" s="223">
        <f t="shared" si="56"/>
        <v>-20</v>
      </c>
      <c r="CJ9" s="224">
        <f>(CH9/'Finance Only'!B12)*100</f>
        <v>1.6446110303679338</v>
      </c>
      <c r="CK9" s="210">
        <f t="shared" si="57"/>
        <v>855480</v>
      </c>
      <c r="CL9" s="210">
        <v>856350</v>
      </c>
      <c r="CM9" s="210">
        <f t="shared" si="58"/>
        <v>870</v>
      </c>
      <c r="CN9" s="223">
        <f t="shared" si="59"/>
        <v>-110</v>
      </c>
      <c r="CO9" s="224">
        <f>(CM9/'Finance Only'!B12)*100</f>
        <v>3.3274688288839593</v>
      </c>
      <c r="CP9" s="209">
        <f>CQ8</f>
        <v>708920</v>
      </c>
      <c r="CQ9" s="209">
        <v>709790</v>
      </c>
      <c r="CR9" s="211">
        <f t="shared" ref="CR9:CR34" si="109">MAX(0,CQ9-CP9)</f>
        <v>870</v>
      </c>
      <c r="CS9" s="223">
        <f t="shared" si="60"/>
        <v>20</v>
      </c>
      <c r="CT9" s="224">
        <f>(CR9/'Finance Only'!B12)*100</f>
        <v>3.3274688288839593</v>
      </c>
      <c r="CU9" s="209">
        <f t="shared" si="61"/>
        <v>587710</v>
      </c>
      <c r="CV9" s="209">
        <v>588350</v>
      </c>
      <c r="CW9" s="210">
        <f t="shared" si="62"/>
        <v>640</v>
      </c>
      <c r="CX9" s="223">
        <f t="shared" si="63"/>
        <v>-20</v>
      </c>
      <c r="CY9" s="224">
        <f>(CW9/'Finance Only'!B12)*100</f>
        <v>2.4477931614778554</v>
      </c>
      <c r="CZ9" s="209">
        <f t="shared" si="64"/>
        <v>981870</v>
      </c>
      <c r="DA9" s="209">
        <v>983000</v>
      </c>
      <c r="DB9" s="210">
        <f t="shared" si="65"/>
        <v>1130</v>
      </c>
      <c r="DC9" s="223">
        <f t="shared" si="66"/>
        <v>-120</v>
      </c>
      <c r="DD9" s="224">
        <f>(DB9/'Finance Only'!B12)*100</f>
        <v>4.3218848007343382</v>
      </c>
      <c r="DE9" s="209">
        <f t="shared" si="67"/>
        <v>752890</v>
      </c>
      <c r="DF9" s="209">
        <v>753640</v>
      </c>
      <c r="DG9" s="210">
        <f t="shared" si="68"/>
        <v>750</v>
      </c>
      <c r="DH9" s="223">
        <f t="shared" si="69"/>
        <v>-40</v>
      </c>
      <c r="DI9" s="224">
        <f>(DG9/'Finance Only'!B12)*100</f>
        <v>2.8685076111068617</v>
      </c>
      <c r="DJ9" s="209">
        <f t="shared" si="70"/>
        <v>652520</v>
      </c>
      <c r="DK9" s="209">
        <v>653160</v>
      </c>
      <c r="DL9" s="210">
        <f t="shared" si="71"/>
        <v>640</v>
      </c>
      <c r="DM9" s="223">
        <f t="shared" si="72"/>
        <v>0</v>
      </c>
      <c r="DN9" s="224">
        <f>(DL9/'Finance Only'!B12)*100</f>
        <v>2.4477931614778554</v>
      </c>
      <c r="DO9" s="209">
        <f t="shared" si="73"/>
        <v>354380</v>
      </c>
      <c r="DP9" s="209">
        <v>354650</v>
      </c>
      <c r="DQ9" s="210">
        <f t="shared" si="74"/>
        <v>270</v>
      </c>
      <c r="DR9" s="223">
        <f t="shared" si="75"/>
        <v>-20</v>
      </c>
      <c r="DS9" s="224">
        <f>(DQ9/'Finance Only'!B12)*100</f>
        <v>1.03266273999847</v>
      </c>
      <c r="DT9" s="209">
        <f t="shared" si="76"/>
        <v>117190</v>
      </c>
      <c r="DU9" s="209">
        <v>117340</v>
      </c>
      <c r="DV9" s="210">
        <f t="shared" si="77"/>
        <v>150</v>
      </c>
      <c r="DW9" s="223">
        <f t="shared" si="78"/>
        <v>-20</v>
      </c>
      <c r="DX9" s="224">
        <f>(DV9/'Finance Only'!B12)*100</f>
        <v>0.57370152222137227</v>
      </c>
      <c r="DY9" s="209">
        <f t="shared" si="79"/>
        <v>751820</v>
      </c>
      <c r="DZ9" s="209">
        <v>752750</v>
      </c>
      <c r="EA9" s="210">
        <f t="shared" si="80"/>
        <v>930</v>
      </c>
      <c r="EB9" s="223">
        <f t="shared" si="81"/>
        <v>-30</v>
      </c>
      <c r="EC9" s="224">
        <f>(EA9/'Finance Only'!B12)*100</f>
        <v>3.5569494377725079</v>
      </c>
      <c r="ED9" s="209">
        <f t="shared" si="82"/>
        <v>239620</v>
      </c>
      <c r="EE9" s="209">
        <v>239870</v>
      </c>
      <c r="EF9" s="210">
        <f t="shared" si="83"/>
        <v>250</v>
      </c>
      <c r="EG9" s="223">
        <f t="shared" si="84"/>
        <v>0</v>
      </c>
      <c r="EH9" s="224">
        <f>(EF9/'Finance Only'!B12)*100</f>
        <v>0.95616920370228708</v>
      </c>
      <c r="EI9" s="209">
        <f t="shared" si="85"/>
        <v>270870</v>
      </c>
      <c r="EJ9" s="209">
        <v>271450</v>
      </c>
      <c r="EK9" s="210">
        <f t="shared" si="86"/>
        <v>580</v>
      </c>
      <c r="EL9" s="223">
        <f t="shared" si="87"/>
        <v>580</v>
      </c>
      <c r="EM9" s="224">
        <f>(EK9/'Finance Only'!B12)*100</f>
        <v>2.2183125525893064</v>
      </c>
      <c r="EN9" s="209">
        <f t="shared" si="88"/>
        <v>443280</v>
      </c>
      <c r="EO9" s="209">
        <v>444200</v>
      </c>
      <c r="EP9" s="210">
        <f t="shared" si="89"/>
        <v>920</v>
      </c>
      <c r="EQ9" s="223">
        <f t="shared" si="90"/>
        <v>920</v>
      </c>
      <c r="ER9" s="224">
        <f>(EP9/'Finance Only'!B12)*100</f>
        <v>3.518702669624417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5"/>
      <c r="FI9" s="295"/>
      <c r="FJ9" s="295"/>
      <c r="FK9" s="295"/>
      <c r="FL9" s="295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8">
        <f t="shared" si="1"/>
        <v>8500</v>
      </c>
      <c r="GD9" s="276"/>
      <c r="GE9" s="278">
        <f t="shared" si="2"/>
        <v>7953</v>
      </c>
      <c r="GF9" s="276"/>
      <c r="GG9" s="278">
        <f t="shared" si="3"/>
        <v>2100</v>
      </c>
      <c r="GH9" s="276"/>
      <c r="GI9" s="278">
        <f t="shared" si="4"/>
        <v>4490</v>
      </c>
      <c r="GJ9" s="276"/>
      <c r="GK9" s="278">
        <f t="shared" si="5"/>
        <v>660</v>
      </c>
      <c r="GL9" s="276"/>
      <c r="GM9" s="278">
        <f t="shared" si="6"/>
        <v>0</v>
      </c>
      <c r="GN9" s="276"/>
    </row>
    <row r="10" spans="1:196" s="3" customFormat="1" ht="13.5" customHeight="1" x14ac:dyDescent="0.2">
      <c r="A10" s="264">
        <v>6</v>
      </c>
      <c r="B10" s="267">
        <f>'Finance Only'!G13</f>
        <v>31.1</v>
      </c>
      <c r="C10" s="262">
        <f t="shared" si="7"/>
        <v>27200932</v>
      </c>
      <c r="D10" s="207">
        <v>27205374</v>
      </c>
      <c r="E10" s="208">
        <f t="shared" si="8"/>
        <v>4442</v>
      </c>
      <c r="F10" s="219">
        <f t="shared" si="9"/>
        <v>286</v>
      </c>
      <c r="G10" s="220">
        <f>(E10/'Finance Only'!B13)*100</f>
        <v>16.549925484351714</v>
      </c>
      <c r="H10" s="230">
        <f t="shared" si="10"/>
        <v>25137056</v>
      </c>
      <c r="I10" s="207">
        <v>25141537</v>
      </c>
      <c r="J10" s="207">
        <f t="shared" si="11"/>
        <v>4481</v>
      </c>
      <c r="K10" s="231">
        <f t="shared" si="12"/>
        <v>137</v>
      </c>
      <c r="L10" s="232">
        <f>(J10/'Finance Only'!B13)*100</f>
        <v>16.695230998509686</v>
      </c>
      <c r="M10" s="215">
        <f t="shared" si="13"/>
        <v>92528288</v>
      </c>
      <c r="N10" s="209">
        <v>92540349</v>
      </c>
      <c r="O10" s="210">
        <f t="shared" si="14"/>
        <v>12061</v>
      </c>
      <c r="P10" s="223">
        <f t="shared" si="15"/>
        <v>681</v>
      </c>
      <c r="Q10" s="224">
        <f>(O10/'Finance Only'!B13)*100</f>
        <v>44.936661698956783</v>
      </c>
      <c r="R10" s="214">
        <f t="shared" si="16"/>
        <v>3158700</v>
      </c>
      <c r="S10" s="209">
        <v>3161400</v>
      </c>
      <c r="T10" s="210">
        <f t="shared" si="17"/>
        <v>2700</v>
      </c>
      <c r="U10" s="223">
        <f t="shared" si="18"/>
        <v>200</v>
      </c>
      <c r="V10" s="224">
        <f>(T10/'Finance Only'!B13)*100</f>
        <v>10.059612518628912</v>
      </c>
      <c r="W10" s="209">
        <f t="shared" si="19"/>
        <v>4242441</v>
      </c>
      <c r="X10" s="209">
        <v>4245339</v>
      </c>
      <c r="Y10" s="210">
        <f t="shared" si="20"/>
        <v>2898</v>
      </c>
      <c r="Z10" s="223">
        <f t="shared" si="21"/>
        <v>125</v>
      </c>
      <c r="AA10" s="224">
        <f>(Y10/'Finance Only'!B13)*100</f>
        <v>10.797317436661698</v>
      </c>
      <c r="AB10" s="209">
        <f t="shared" si="22"/>
        <v>2758300</v>
      </c>
      <c r="AC10" s="209">
        <v>2760200</v>
      </c>
      <c r="AD10" s="210">
        <f t="shared" si="0"/>
        <v>1900</v>
      </c>
      <c r="AE10" s="316">
        <f>AD10/WATER!V11</f>
        <v>4.9350649350649354</v>
      </c>
      <c r="AF10" s="223">
        <f t="shared" si="23"/>
        <v>200</v>
      </c>
      <c r="AG10" s="224">
        <f>(AD10/'Finance Only'!B13)*100</f>
        <v>7.0789865871833086</v>
      </c>
      <c r="AH10" s="209">
        <f t="shared" si="24"/>
        <v>1107369</v>
      </c>
      <c r="AI10" s="209">
        <v>1107871</v>
      </c>
      <c r="AJ10" s="210">
        <f t="shared" si="25"/>
        <v>502</v>
      </c>
      <c r="AK10" s="223">
        <f t="shared" si="26"/>
        <v>8</v>
      </c>
      <c r="AL10" s="224">
        <f>(AJ10/'Finance Only'!B13)*100</f>
        <v>1.8703427719821162</v>
      </c>
      <c r="AM10" s="209">
        <f t="shared" si="27"/>
        <v>1123700</v>
      </c>
      <c r="AN10" s="209">
        <v>1124400</v>
      </c>
      <c r="AO10" s="210">
        <f t="shared" si="28"/>
        <v>700</v>
      </c>
      <c r="AP10" s="223">
        <f t="shared" si="29"/>
        <v>0</v>
      </c>
      <c r="AQ10" s="224">
        <f>(AO10/'Finance Only'!B13)*100</f>
        <v>2.608047690014903</v>
      </c>
      <c r="AR10" s="209">
        <f t="shared" si="30"/>
        <v>2508300</v>
      </c>
      <c r="AS10" s="209">
        <v>2509800</v>
      </c>
      <c r="AT10" s="210">
        <f t="shared" si="31"/>
        <v>1500</v>
      </c>
      <c r="AU10" s="223">
        <f t="shared" si="32"/>
        <v>100</v>
      </c>
      <c r="AV10" s="224">
        <f>(AT10/'Finance Only'!B13)*100</f>
        <v>5.5886736214605071</v>
      </c>
      <c r="AW10" s="209">
        <f t="shared" si="33"/>
        <v>274310</v>
      </c>
      <c r="AX10" s="209">
        <v>278460</v>
      </c>
      <c r="AY10" s="210">
        <f t="shared" si="34"/>
        <v>4150</v>
      </c>
      <c r="AZ10" s="223">
        <f t="shared" si="35"/>
        <v>360</v>
      </c>
      <c r="BA10" s="224">
        <f>(AY10/'Finance Only'!B13)*100</f>
        <v>15.461997019374069</v>
      </c>
      <c r="BB10" s="209">
        <f t="shared" si="36"/>
        <v>1009800</v>
      </c>
      <c r="BC10" s="209">
        <v>1010200</v>
      </c>
      <c r="BD10" s="210">
        <f t="shared" si="37"/>
        <v>400</v>
      </c>
      <c r="BE10" s="223">
        <f t="shared" si="38"/>
        <v>0</v>
      </c>
      <c r="BF10" s="224">
        <f>(BD10/'Finance Only'!B13)*100</f>
        <v>1.4903129657228018</v>
      </c>
      <c r="BG10" s="209">
        <f t="shared" si="39"/>
        <v>1082800</v>
      </c>
      <c r="BH10" s="209">
        <v>1083000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0.7451564828614009</v>
      </c>
      <c r="BL10" s="209">
        <f t="shared" si="42"/>
        <v>1611200</v>
      </c>
      <c r="BM10" s="209">
        <v>1611800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2.2354694485842028</v>
      </c>
      <c r="BQ10" s="209">
        <f t="shared" si="45"/>
        <v>141550</v>
      </c>
      <c r="BR10" s="209">
        <v>141700</v>
      </c>
      <c r="BS10" s="210">
        <f t="shared" si="46"/>
        <v>150</v>
      </c>
      <c r="BT10" s="223">
        <f t="shared" si="47"/>
        <v>-10</v>
      </c>
      <c r="BU10" s="224">
        <f>(BS10/'Finance Only'!B13)*100</f>
        <v>0.55886736214605071</v>
      </c>
      <c r="BV10" s="209">
        <f t="shared" si="48"/>
        <v>597090</v>
      </c>
      <c r="BW10" s="209">
        <v>597490</v>
      </c>
      <c r="BX10" s="210">
        <f t="shared" si="49"/>
        <v>400</v>
      </c>
      <c r="BY10" s="223">
        <f t="shared" si="50"/>
        <v>0</v>
      </c>
      <c r="BZ10" s="224">
        <f>(BX10/'Finance Only'!B13)*100</f>
        <v>1.4903129657228018</v>
      </c>
      <c r="CA10" s="209">
        <f t="shared" si="51"/>
        <v>1121000</v>
      </c>
      <c r="CB10" s="209">
        <v>1122200</v>
      </c>
      <c r="CC10" s="210">
        <f t="shared" si="52"/>
        <v>1200</v>
      </c>
      <c r="CD10" s="223">
        <f t="shared" si="53"/>
        <v>0</v>
      </c>
      <c r="CE10" s="224">
        <f>(CC10/'Finance Only'!B13)*100</f>
        <v>4.4709388971684056</v>
      </c>
      <c r="CF10" s="209">
        <f t="shared" si="54"/>
        <v>368790</v>
      </c>
      <c r="CG10" s="209">
        <v>369280</v>
      </c>
      <c r="CH10" s="210">
        <f t="shared" si="55"/>
        <v>490</v>
      </c>
      <c r="CI10" s="223">
        <f t="shared" si="56"/>
        <v>60</v>
      </c>
      <c r="CJ10" s="224">
        <f>(CH10/'Finance Only'!B13)*100</f>
        <v>1.8256333830104321</v>
      </c>
      <c r="CK10" s="210">
        <f t="shared" si="57"/>
        <v>856350</v>
      </c>
      <c r="CL10" s="210">
        <v>857260</v>
      </c>
      <c r="CM10" s="210">
        <f t="shared" si="58"/>
        <v>910</v>
      </c>
      <c r="CN10" s="223">
        <f t="shared" si="59"/>
        <v>40</v>
      </c>
      <c r="CO10" s="224">
        <f>(CM10/'Finance Only'!B13)*100</f>
        <v>3.3904619970193743</v>
      </c>
      <c r="CP10" s="209">
        <f t="shared" ref="CP10:CP34" si="110">CQ9</f>
        <v>709790</v>
      </c>
      <c r="CQ10" s="209">
        <v>710650</v>
      </c>
      <c r="CR10" s="211">
        <f t="shared" si="109"/>
        <v>860</v>
      </c>
      <c r="CS10" s="223">
        <f t="shared" si="60"/>
        <v>-10</v>
      </c>
      <c r="CT10" s="224">
        <f>(CR10/'Finance Only'!B13)*100</f>
        <v>3.2041728763040243</v>
      </c>
      <c r="CU10" s="209">
        <f t="shared" si="61"/>
        <v>588350</v>
      </c>
      <c r="CV10" s="209">
        <v>589010</v>
      </c>
      <c r="CW10" s="210">
        <f t="shared" si="62"/>
        <v>660</v>
      </c>
      <c r="CX10" s="223">
        <f t="shared" si="63"/>
        <v>20</v>
      </c>
      <c r="CY10" s="224">
        <f>(CW10/'Finance Only'!B13)*100</f>
        <v>2.459016393442623</v>
      </c>
      <c r="CZ10" s="209">
        <f t="shared" si="64"/>
        <v>983000</v>
      </c>
      <c r="DA10" s="209">
        <v>984250</v>
      </c>
      <c r="DB10" s="210">
        <f t="shared" si="65"/>
        <v>1250</v>
      </c>
      <c r="DC10" s="223">
        <f t="shared" si="66"/>
        <v>120</v>
      </c>
      <c r="DD10" s="224">
        <f>(DB10/'Finance Only'!B13)*100</f>
        <v>4.6572280178837557</v>
      </c>
      <c r="DE10" s="209">
        <f t="shared" si="67"/>
        <v>753640</v>
      </c>
      <c r="DF10" s="209">
        <v>754510</v>
      </c>
      <c r="DG10" s="210">
        <f t="shared" si="68"/>
        <v>870</v>
      </c>
      <c r="DH10" s="223">
        <f t="shared" si="69"/>
        <v>120</v>
      </c>
      <c r="DI10" s="224">
        <f>(DG10/'Finance Only'!B13)*100</f>
        <v>3.2414307004470939</v>
      </c>
      <c r="DJ10" s="209">
        <f t="shared" si="70"/>
        <v>653160</v>
      </c>
      <c r="DK10" s="209">
        <v>653840</v>
      </c>
      <c r="DL10" s="210">
        <f t="shared" si="71"/>
        <v>680</v>
      </c>
      <c r="DM10" s="223">
        <f t="shared" si="72"/>
        <v>40</v>
      </c>
      <c r="DN10" s="224">
        <f>(DL10/'Finance Only'!B13)*100</f>
        <v>2.5335320417287628</v>
      </c>
      <c r="DO10" s="209">
        <f t="shared" si="73"/>
        <v>354650</v>
      </c>
      <c r="DP10" s="209">
        <v>354890</v>
      </c>
      <c r="DQ10" s="210">
        <f t="shared" si="74"/>
        <v>240</v>
      </c>
      <c r="DR10" s="223">
        <f t="shared" si="75"/>
        <v>-30</v>
      </c>
      <c r="DS10" s="224">
        <f>(DQ10/'Finance Only'!B13)*100</f>
        <v>0.89418777943368111</v>
      </c>
      <c r="DT10" s="209">
        <f t="shared" si="76"/>
        <v>117340</v>
      </c>
      <c r="DU10" s="209">
        <v>117460</v>
      </c>
      <c r="DV10" s="210">
        <f t="shared" si="77"/>
        <v>120</v>
      </c>
      <c r="DW10" s="223">
        <f t="shared" si="78"/>
        <v>-30</v>
      </c>
      <c r="DX10" s="224">
        <f>(DV10/'Finance Only'!B13)*100</f>
        <v>0.44709388971684055</v>
      </c>
      <c r="DY10" s="209">
        <f t="shared" si="79"/>
        <v>752750</v>
      </c>
      <c r="DZ10" s="209">
        <v>753770</v>
      </c>
      <c r="EA10" s="210">
        <f t="shared" si="80"/>
        <v>1020</v>
      </c>
      <c r="EB10" s="223">
        <f t="shared" si="81"/>
        <v>90</v>
      </c>
      <c r="EC10" s="224">
        <f>(EA10/'Finance Only'!B13)*100</f>
        <v>3.8002980625931446</v>
      </c>
      <c r="ED10" s="209">
        <f t="shared" si="82"/>
        <v>239870</v>
      </c>
      <c r="EE10" s="209">
        <v>240170</v>
      </c>
      <c r="EF10" s="210">
        <f t="shared" si="83"/>
        <v>300</v>
      </c>
      <c r="EG10" s="223">
        <f t="shared" si="84"/>
        <v>50</v>
      </c>
      <c r="EH10" s="224">
        <f>(EF10/'Finance Only'!B13)*100</f>
        <v>1.1177347242921014</v>
      </c>
      <c r="EI10" s="209">
        <f t="shared" si="85"/>
        <v>271450</v>
      </c>
      <c r="EJ10" s="209">
        <v>271810</v>
      </c>
      <c r="EK10" s="210">
        <f t="shared" si="86"/>
        <v>360</v>
      </c>
      <c r="EL10" s="223">
        <f t="shared" si="87"/>
        <v>-220</v>
      </c>
      <c r="EM10" s="224">
        <f>(EK10/'Finance Only'!B13)*100</f>
        <v>1.3412816691505216</v>
      </c>
      <c r="EN10" s="209">
        <f t="shared" si="88"/>
        <v>444200</v>
      </c>
      <c r="EO10" s="209">
        <v>444740</v>
      </c>
      <c r="EP10" s="210">
        <f t="shared" si="89"/>
        <v>540</v>
      </c>
      <c r="EQ10" s="223">
        <f t="shared" si="90"/>
        <v>-380</v>
      </c>
      <c r="ER10" s="224">
        <f>(EP10/'Finance Only'!B13)*100</f>
        <v>2.0119225037257822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5"/>
      <c r="FI10" s="295"/>
      <c r="FJ10" s="295"/>
      <c r="FK10" s="295"/>
      <c r="FL10" s="295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8">
        <f t="shared" si="1"/>
        <v>8923</v>
      </c>
      <c r="GD10" s="276"/>
      <c r="GE10" s="278">
        <f t="shared" si="2"/>
        <v>7818</v>
      </c>
      <c r="GF10" s="276"/>
      <c r="GG10" s="278">
        <f t="shared" si="3"/>
        <v>2200</v>
      </c>
      <c r="GH10" s="276"/>
      <c r="GI10" s="278">
        <f t="shared" si="4"/>
        <v>4750</v>
      </c>
      <c r="GJ10" s="276"/>
      <c r="GK10" s="278">
        <f t="shared" si="5"/>
        <v>750</v>
      </c>
      <c r="GL10" s="276"/>
      <c r="GM10" s="278">
        <f t="shared" si="6"/>
        <v>0</v>
      </c>
      <c r="GN10" s="276"/>
    </row>
    <row r="11" spans="1:196" s="3" customFormat="1" ht="13.5" customHeight="1" x14ac:dyDescent="0.2">
      <c r="A11" s="264">
        <v>7</v>
      </c>
      <c r="B11" s="267">
        <f>'Finance Only'!G14</f>
        <v>29.1</v>
      </c>
      <c r="C11" s="262">
        <f t="shared" si="7"/>
        <v>27205374</v>
      </c>
      <c r="D11" s="207">
        <v>27209776</v>
      </c>
      <c r="E11" s="208">
        <f t="shared" si="8"/>
        <v>4402</v>
      </c>
      <c r="F11" s="219">
        <f t="shared" si="9"/>
        <v>-40</v>
      </c>
      <c r="G11" s="220">
        <f>(E11/'Finance Only'!B14)*100</f>
        <v>16.735097323600971</v>
      </c>
      <c r="H11" s="230">
        <f t="shared" si="10"/>
        <v>25141537</v>
      </c>
      <c r="I11" s="207">
        <v>25145678</v>
      </c>
      <c r="J11" s="207">
        <f t="shared" si="11"/>
        <v>4141</v>
      </c>
      <c r="K11" s="231">
        <f t="shared" si="12"/>
        <v>-340</v>
      </c>
      <c r="L11" s="232">
        <f>(J11/'Finance Only'!B14)*100</f>
        <v>15.742852798053528</v>
      </c>
      <c r="M11" s="215">
        <f t="shared" si="13"/>
        <v>92540349</v>
      </c>
      <c r="N11" s="209">
        <v>92552125</v>
      </c>
      <c r="O11" s="210">
        <f t="shared" si="14"/>
        <v>11776</v>
      </c>
      <c r="P11" s="223">
        <f t="shared" si="15"/>
        <v>-285</v>
      </c>
      <c r="Q11" s="224">
        <f>(O11/'Finance Only'!B14)*100</f>
        <v>44.768856447688563</v>
      </c>
      <c r="R11" s="214">
        <f t="shared" si="16"/>
        <v>3161400</v>
      </c>
      <c r="S11" s="209">
        <v>3163800</v>
      </c>
      <c r="T11" s="210">
        <f t="shared" si="17"/>
        <v>2400</v>
      </c>
      <c r="U11" s="223">
        <f t="shared" si="18"/>
        <v>-300</v>
      </c>
      <c r="V11" s="224">
        <f>(T11/'Finance Only'!B14)*100</f>
        <v>9.1240875912408761</v>
      </c>
      <c r="W11" s="209">
        <f t="shared" si="19"/>
        <v>4245339</v>
      </c>
      <c r="X11" s="209">
        <v>4248150</v>
      </c>
      <c r="Y11" s="210">
        <f t="shared" si="20"/>
        <v>2811</v>
      </c>
      <c r="Z11" s="223">
        <f t="shared" si="21"/>
        <v>-87</v>
      </c>
      <c r="AA11" s="224">
        <f>(Y11/'Finance Only'!B14)*100</f>
        <v>10.686587591240876</v>
      </c>
      <c r="AB11" s="209">
        <f t="shared" si="22"/>
        <v>2760200</v>
      </c>
      <c r="AC11" s="209">
        <v>2762100</v>
      </c>
      <c r="AD11" s="210">
        <f t="shared" si="0"/>
        <v>1900</v>
      </c>
      <c r="AE11" s="316">
        <f>AD11/WATER!V12</f>
        <v>5.0938337801608577</v>
      </c>
      <c r="AF11" s="223">
        <f t="shared" si="23"/>
        <v>0</v>
      </c>
      <c r="AG11" s="224">
        <f>(AD11/'Finance Only'!B14)*100</f>
        <v>7.2232360097323607</v>
      </c>
      <c r="AH11" s="209">
        <f t="shared" si="24"/>
        <v>1107871</v>
      </c>
      <c r="AI11" s="209">
        <v>1108329</v>
      </c>
      <c r="AJ11" s="210">
        <f t="shared" si="25"/>
        <v>458</v>
      </c>
      <c r="AK11" s="223">
        <f t="shared" si="26"/>
        <v>-44</v>
      </c>
      <c r="AL11" s="224">
        <f>(AJ11/'Finance Only'!B14)*100</f>
        <v>1.7411800486618005</v>
      </c>
      <c r="AM11" s="209">
        <f t="shared" si="27"/>
        <v>1124400</v>
      </c>
      <c r="AN11" s="209">
        <v>1125100</v>
      </c>
      <c r="AO11" s="210">
        <f t="shared" si="28"/>
        <v>700</v>
      </c>
      <c r="AP11" s="223">
        <f t="shared" si="29"/>
        <v>0</v>
      </c>
      <c r="AQ11" s="224">
        <f>(AO11/'Finance Only'!B14)*100</f>
        <v>2.6611922141119222</v>
      </c>
      <c r="AR11" s="209">
        <f t="shared" si="30"/>
        <v>2509800</v>
      </c>
      <c r="AS11" s="209">
        <v>2511100</v>
      </c>
      <c r="AT11" s="210">
        <f t="shared" si="31"/>
        <v>1300</v>
      </c>
      <c r="AU11" s="223">
        <f t="shared" si="32"/>
        <v>-200</v>
      </c>
      <c r="AV11" s="224">
        <f>(AT11/'Finance Only'!B14)*100</f>
        <v>4.9422141119221417</v>
      </c>
      <c r="AW11" s="209">
        <f t="shared" si="33"/>
        <v>278460</v>
      </c>
      <c r="AX11" s="209">
        <v>282370</v>
      </c>
      <c r="AY11" s="210">
        <f t="shared" si="34"/>
        <v>3910</v>
      </c>
      <c r="AZ11" s="223">
        <f t="shared" si="35"/>
        <v>-240</v>
      </c>
      <c r="BA11" s="224">
        <f>(AY11/'Finance Only'!B14)*100</f>
        <v>14.864659367396593</v>
      </c>
      <c r="BB11" s="209">
        <f t="shared" si="36"/>
        <v>1010200</v>
      </c>
      <c r="BC11" s="209">
        <v>1010600</v>
      </c>
      <c r="BD11" s="210">
        <f t="shared" si="37"/>
        <v>400</v>
      </c>
      <c r="BE11" s="223">
        <f t="shared" si="38"/>
        <v>0</v>
      </c>
      <c r="BF11" s="224">
        <f>(BD11/'Finance Only'!B14)*100</f>
        <v>1.5206812652068127</v>
      </c>
      <c r="BG11" s="209">
        <f t="shared" si="39"/>
        <v>1083000</v>
      </c>
      <c r="BH11" s="209">
        <v>1083300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1.1405109489051095</v>
      </c>
      <c r="BL11" s="209">
        <f t="shared" si="42"/>
        <v>1611800</v>
      </c>
      <c r="BM11" s="209">
        <v>1612300</v>
      </c>
      <c r="BN11" s="210">
        <f t="shared" si="43"/>
        <v>500</v>
      </c>
      <c r="BO11" s="223">
        <f t="shared" si="44"/>
        <v>-100</v>
      </c>
      <c r="BP11" s="224">
        <f>(BN11/'Finance Only'!B14)*100</f>
        <v>1.9008515815085159</v>
      </c>
      <c r="BQ11" s="209">
        <f t="shared" si="45"/>
        <v>141700</v>
      </c>
      <c r="BR11" s="209">
        <v>141860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0.6082725060827251</v>
      </c>
      <c r="BV11" s="209">
        <f t="shared" si="48"/>
        <v>597490</v>
      </c>
      <c r="BW11" s="209">
        <v>597940</v>
      </c>
      <c r="BX11" s="210">
        <f t="shared" si="49"/>
        <v>450</v>
      </c>
      <c r="BY11" s="223">
        <f t="shared" si="50"/>
        <v>50</v>
      </c>
      <c r="BZ11" s="224">
        <f>(BX11/'Finance Only'!B14)*100</f>
        <v>1.7107664233576643</v>
      </c>
      <c r="CA11" s="209">
        <f t="shared" si="51"/>
        <v>1122200</v>
      </c>
      <c r="CB11" s="209">
        <v>1123300</v>
      </c>
      <c r="CC11" s="210">
        <f t="shared" si="52"/>
        <v>1100</v>
      </c>
      <c r="CD11" s="223">
        <f t="shared" si="53"/>
        <v>-100</v>
      </c>
      <c r="CE11" s="224">
        <f>(CC11/'Finance Only'!B14)*100</f>
        <v>4.1818734793187344</v>
      </c>
      <c r="CF11" s="209">
        <f t="shared" si="54"/>
        <v>369280</v>
      </c>
      <c r="CG11" s="209">
        <v>369740</v>
      </c>
      <c r="CH11" s="210">
        <f t="shared" si="55"/>
        <v>460</v>
      </c>
      <c r="CI11" s="223">
        <f t="shared" si="56"/>
        <v>-30</v>
      </c>
      <c r="CJ11" s="224">
        <f>(CH11/'Finance Only'!B14)*100</f>
        <v>1.7487834549878345</v>
      </c>
      <c r="CK11" s="210">
        <f t="shared" si="57"/>
        <v>857260</v>
      </c>
      <c r="CL11" s="210">
        <v>858070</v>
      </c>
      <c r="CM11" s="210">
        <f t="shared" si="58"/>
        <v>810</v>
      </c>
      <c r="CN11" s="223">
        <f t="shared" si="59"/>
        <v>-100</v>
      </c>
      <c r="CO11" s="224">
        <f>(CM11/'Finance Only'!B14)*100</f>
        <v>3.0793795620437958</v>
      </c>
      <c r="CP11" s="209">
        <f t="shared" si="110"/>
        <v>710650</v>
      </c>
      <c r="CQ11" s="209">
        <v>711560</v>
      </c>
      <c r="CR11" s="211">
        <f t="shared" si="109"/>
        <v>910</v>
      </c>
      <c r="CS11" s="223">
        <f t="shared" si="60"/>
        <v>50</v>
      </c>
      <c r="CT11" s="224">
        <f>(CR11/'Finance Only'!B14)*100</f>
        <v>3.459549878345499</v>
      </c>
      <c r="CU11" s="209">
        <f t="shared" si="61"/>
        <v>589010</v>
      </c>
      <c r="CV11" s="209">
        <v>589560</v>
      </c>
      <c r="CW11" s="210">
        <f t="shared" si="62"/>
        <v>550</v>
      </c>
      <c r="CX11" s="223">
        <f t="shared" si="63"/>
        <v>-110</v>
      </c>
      <c r="CY11" s="224">
        <f>(CW11/'Finance Only'!B14)*100</f>
        <v>2.0909367396593672</v>
      </c>
      <c r="CZ11" s="209">
        <f t="shared" si="64"/>
        <v>984250</v>
      </c>
      <c r="DA11" s="209">
        <v>985300</v>
      </c>
      <c r="DB11" s="210">
        <f t="shared" si="65"/>
        <v>1050</v>
      </c>
      <c r="DC11" s="223">
        <f t="shared" si="66"/>
        <v>-200</v>
      </c>
      <c r="DD11" s="224">
        <f>(DB11/'Finance Only'!B14)*100</f>
        <v>3.9917883211678835</v>
      </c>
      <c r="DE11" s="209">
        <f t="shared" si="67"/>
        <v>754510</v>
      </c>
      <c r="DF11" s="209">
        <v>755250</v>
      </c>
      <c r="DG11" s="210">
        <f t="shared" si="68"/>
        <v>740</v>
      </c>
      <c r="DH11" s="223">
        <f t="shared" si="69"/>
        <v>-130</v>
      </c>
      <c r="DI11" s="224">
        <f>(DG11/'Finance Only'!B14)*100</f>
        <v>2.8132603406326036</v>
      </c>
      <c r="DJ11" s="209">
        <f t="shared" si="70"/>
        <v>653840</v>
      </c>
      <c r="DK11" s="209">
        <v>654450</v>
      </c>
      <c r="DL11" s="210">
        <f t="shared" si="71"/>
        <v>610</v>
      </c>
      <c r="DM11" s="223">
        <f t="shared" si="72"/>
        <v>-70</v>
      </c>
      <c r="DN11" s="224">
        <f>(DL11/'Finance Only'!B14)*100</f>
        <v>2.319038929440389</v>
      </c>
      <c r="DO11" s="209">
        <f t="shared" si="73"/>
        <v>354890</v>
      </c>
      <c r="DP11" s="209">
        <v>355240</v>
      </c>
      <c r="DQ11" s="210">
        <f t="shared" si="74"/>
        <v>350</v>
      </c>
      <c r="DR11" s="223">
        <f t="shared" si="75"/>
        <v>110</v>
      </c>
      <c r="DS11" s="224">
        <f>(DQ11/'Finance Only'!B14)*100</f>
        <v>1.3305961070559611</v>
      </c>
      <c r="DT11" s="209">
        <f t="shared" si="76"/>
        <v>117460</v>
      </c>
      <c r="DU11" s="209">
        <v>117580</v>
      </c>
      <c r="DV11" s="210">
        <f t="shared" si="77"/>
        <v>120</v>
      </c>
      <c r="DW11" s="223">
        <f t="shared" si="78"/>
        <v>0</v>
      </c>
      <c r="DX11" s="224">
        <f>(DV11/'Finance Only'!B14)*100</f>
        <v>0.45620437956204374</v>
      </c>
      <c r="DY11" s="209">
        <f t="shared" si="79"/>
        <v>753770</v>
      </c>
      <c r="DZ11" s="209">
        <v>754770</v>
      </c>
      <c r="EA11" s="210">
        <f t="shared" si="80"/>
        <v>1000</v>
      </c>
      <c r="EB11" s="223">
        <f t="shared" si="81"/>
        <v>-20</v>
      </c>
      <c r="EC11" s="224">
        <f>(EA11/'Finance Only'!B14)*100</f>
        <v>3.8017031630170317</v>
      </c>
      <c r="ED11" s="209">
        <f t="shared" si="82"/>
        <v>240170</v>
      </c>
      <c r="EE11" s="209">
        <v>240420</v>
      </c>
      <c r="EF11" s="210">
        <f t="shared" si="83"/>
        <v>250</v>
      </c>
      <c r="EG11" s="223">
        <f t="shared" si="84"/>
        <v>-50</v>
      </c>
      <c r="EH11" s="224">
        <f>(EF11/'Finance Only'!B14)*100</f>
        <v>0.95042579075425793</v>
      </c>
      <c r="EI11" s="209">
        <f t="shared" si="85"/>
        <v>271810</v>
      </c>
      <c r="EJ11" s="209">
        <v>272140</v>
      </c>
      <c r="EK11" s="210">
        <f t="shared" si="86"/>
        <v>330</v>
      </c>
      <c r="EL11" s="223">
        <f t="shared" si="87"/>
        <v>-30</v>
      </c>
      <c r="EM11" s="224">
        <f>(EK11/'Finance Only'!B14)*100</f>
        <v>1.2545620437956204</v>
      </c>
      <c r="EN11" s="209">
        <f t="shared" si="88"/>
        <v>444740</v>
      </c>
      <c r="EO11" s="209">
        <v>445250</v>
      </c>
      <c r="EP11" s="210">
        <f t="shared" si="89"/>
        <v>510</v>
      </c>
      <c r="EQ11" s="223">
        <f t="shared" si="90"/>
        <v>-30</v>
      </c>
      <c r="ER11" s="224">
        <f>(EP11/'Finance Only'!B14)*100</f>
        <v>1.9388686131386863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>
        <f>(EZ11/'Finance Only'!G14)*100</f>
        <v>0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5"/>
      <c r="FI11" s="295"/>
      <c r="FJ11" s="295"/>
      <c r="FK11" s="295"/>
      <c r="FL11" s="295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8">
        <f t="shared" si="1"/>
        <v>8543</v>
      </c>
      <c r="GD11" s="276"/>
      <c r="GE11" s="278">
        <f t="shared" si="2"/>
        <v>7301</v>
      </c>
      <c r="GF11" s="276"/>
      <c r="GG11" s="278">
        <f t="shared" si="3"/>
        <v>2000</v>
      </c>
      <c r="GH11" s="276"/>
      <c r="GI11" s="278">
        <f t="shared" si="4"/>
        <v>4610</v>
      </c>
      <c r="GJ11" s="276"/>
      <c r="GK11" s="278">
        <f t="shared" si="5"/>
        <v>660</v>
      </c>
      <c r="GL11" s="276"/>
      <c r="GM11" s="278">
        <f t="shared" si="6"/>
        <v>0</v>
      </c>
      <c r="GN11" s="276"/>
    </row>
    <row r="12" spans="1:196" s="3" customFormat="1" ht="13.5" customHeight="1" x14ac:dyDescent="0.2">
      <c r="A12" s="264">
        <v>8</v>
      </c>
      <c r="B12" s="267">
        <f>'Finance Only'!G15</f>
        <v>34</v>
      </c>
      <c r="C12" s="262">
        <f t="shared" si="7"/>
        <v>27209776</v>
      </c>
      <c r="D12" s="207">
        <v>27214180</v>
      </c>
      <c r="E12" s="208">
        <f t="shared" si="8"/>
        <v>4404</v>
      </c>
      <c r="F12" s="219">
        <f t="shared" si="9"/>
        <v>2</v>
      </c>
      <c r="G12" s="220">
        <f>(E12/'Finance Only'!B15)*100</f>
        <v>16.542709037638044</v>
      </c>
      <c r="H12" s="230">
        <f t="shared" si="10"/>
        <v>25145678</v>
      </c>
      <c r="I12" s="207">
        <v>25149741</v>
      </c>
      <c r="J12" s="207">
        <f t="shared" si="11"/>
        <v>4063</v>
      </c>
      <c r="K12" s="231">
        <f t="shared" si="12"/>
        <v>-78</v>
      </c>
      <c r="L12" s="232">
        <f>(J12/'Finance Only'!B15)*100</f>
        <v>15.261813537675605</v>
      </c>
      <c r="M12" s="215">
        <f t="shared" si="13"/>
        <v>92552125</v>
      </c>
      <c r="N12" s="209">
        <v>92563838</v>
      </c>
      <c r="O12" s="210">
        <f t="shared" si="14"/>
        <v>11713</v>
      </c>
      <c r="P12" s="223">
        <f t="shared" si="15"/>
        <v>-63</v>
      </c>
      <c r="Q12" s="224">
        <f>(O12/'Finance Only'!B15)*100</f>
        <v>43.997445721583652</v>
      </c>
      <c r="R12" s="214">
        <f t="shared" si="16"/>
        <v>3163800</v>
      </c>
      <c r="S12" s="209">
        <v>3166200</v>
      </c>
      <c r="T12" s="210">
        <f t="shared" si="17"/>
        <v>2400</v>
      </c>
      <c r="U12" s="223">
        <f t="shared" si="18"/>
        <v>0</v>
      </c>
      <c r="V12" s="224">
        <f>(T12/'Finance Only'!B15)*100</f>
        <v>9.0151002929907591</v>
      </c>
      <c r="W12" s="209">
        <f t="shared" si="19"/>
        <v>4248150</v>
      </c>
      <c r="X12" s="209">
        <v>4251093</v>
      </c>
      <c r="Y12" s="210">
        <f t="shared" si="20"/>
        <v>2943</v>
      </c>
      <c r="Z12" s="223">
        <f t="shared" si="21"/>
        <v>132</v>
      </c>
      <c r="AA12" s="224">
        <f>(Y12/'Finance Only'!B15)*100</f>
        <v>11.054766734279919</v>
      </c>
      <c r="AB12" s="209">
        <f t="shared" si="22"/>
        <v>2762100</v>
      </c>
      <c r="AC12" s="209">
        <v>2764000</v>
      </c>
      <c r="AD12" s="210">
        <f t="shared" si="0"/>
        <v>1900</v>
      </c>
      <c r="AE12" s="316">
        <f>AD12/WATER!V13</f>
        <v>4.7029702970297027</v>
      </c>
      <c r="AF12" s="223">
        <f t="shared" si="23"/>
        <v>0</v>
      </c>
      <c r="AG12" s="224">
        <f>(AD12/'Finance Only'!B15)*100</f>
        <v>7.136954398617684</v>
      </c>
      <c r="AH12" s="209">
        <f t="shared" si="24"/>
        <v>1108329</v>
      </c>
      <c r="AI12" s="209">
        <v>1108829</v>
      </c>
      <c r="AJ12" s="210">
        <f t="shared" si="25"/>
        <v>500</v>
      </c>
      <c r="AK12" s="223">
        <f t="shared" si="26"/>
        <v>42</v>
      </c>
      <c r="AL12" s="224">
        <f>(AJ12/'Finance Only'!B15)*100</f>
        <v>1.8781458943730751</v>
      </c>
      <c r="AM12" s="209">
        <f t="shared" si="27"/>
        <v>1125100</v>
      </c>
      <c r="AN12" s="209">
        <v>1125900</v>
      </c>
      <c r="AO12" s="210">
        <f t="shared" si="28"/>
        <v>800</v>
      </c>
      <c r="AP12" s="223">
        <f t="shared" si="29"/>
        <v>100</v>
      </c>
      <c r="AQ12" s="224">
        <f>(AO12/'Finance Only'!B15)*100</f>
        <v>3.0050334309969196</v>
      </c>
      <c r="AR12" s="209">
        <f t="shared" si="30"/>
        <v>2511100</v>
      </c>
      <c r="AS12" s="209">
        <v>2512700</v>
      </c>
      <c r="AT12" s="210">
        <f t="shared" si="31"/>
        <v>1600</v>
      </c>
      <c r="AU12" s="223">
        <f t="shared" si="32"/>
        <v>300</v>
      </c>
      <c r="AV12" s="224">
        <f>(AT12/'Finance Only'!B15)*100</f>
        <v>6.0100668619938391</v>
      </c>
      <c r="AW12" s="209">
        <f t="shared" si="33"/>
        <v>282370</v>
      </c>
      <c r="AX12" s="209">
        <v>286390</v>
      </c>
      <c r="AY12" s="210">
        <f t="shared" si="34"/>
        <v>4020</v>
      </c>
      <c r="AZ12" s="223">
        <f t="shared" si="35"/>
        <v>110</v>
      </c>
      <c r="BA12" s="224">
        <f>(AY12/'Finance Only'!B15)*100</f>
        <v>15.100292990759524</v>
      </c>
      <c r="BB12" s="209">
        <f t="shared" si="36"/>
        <v>1010600</v>
      </c>
      <c r="BC12" s="209">
        <v>1011000</v>
      </c>
      <c r="BD12" s="210">
        <f t="shared" si="37"/>
        <v>400</v>
      </c>
      <c r="BE12" s="223">
        <f t="shared" si="38"/>
        <v>0</v>
      </c>
      <c r="BF12" s="224">
        <f>(BD12/'Finance Only'!B15)*100</f>
        <v>1.5025167154984598</v>
      </c>
      <c r="BG12" s="209">
        <f t="shared" si="39"/>
        <v>1083300</v>
      </c>
      <c r="BH12" s="209">
        <v>1083600</v>
      </c>
      <c r="BI12" s="210">
        <f t="shared" si="40"/>
        <v>300</v>
      </c>
      <c r="BJ12" s="223">
        <f t="shared" si="41"/>
        <v>0</v>
      </c>
      <c r="BK12" s="224">
        <f>(BI12/'Finance Only'!B15)*100</f>
        <v>1.1268875366238449</v>
      </c>
      <c r="BL12" s="209">
        <f t="shared" si="42"/>
        <v>1612300</v>
      </c>
      <c r="BM12" s="209">
        <v>1612900</v>
      </c>
      <c r="BN12" s="210">
        <f t="shared" si="43"/>
        <v>600</v>
      </c>
      <c r="BO12" s="223">
        <f t="shared" si="44"/>
        <v>100</v>
      </c>
      <c r="BP12" s="224">
        <f>(BN12/'Finance Only'!B15)*100</f>
        <v>2.2537750732476898</v>
      </c>
      <c r="BQ12" s="209">
        <f t="shared" si="45"/>
        <v>141860</v>
      </c>
      <c r="BR12" s="209">
        <v>142010</v>
      </c>
      <c r="BS12" s="210">
        <f t="shared" si="46"/>
        <v>150</v>
      </c>
      <c r="BT12" s="223">
        <f t="shared" si="47"/>
        <v>-10</v>
      </c>
      <c r="BU12" s="224">
        <f>(BS12/'Finance Only'!B15)*100</f>
        <v>0.56344376831192244</v>
      </c>
      <c r="BV12" s="209">
        <f t="shared" si="48"/>
        <v>597940</v>
      </c>
      <c r="BW12" s="209">
        <v>598390</v>
      </c>
      <c r="BX12" s="210">
        <f t="shared" si="49"/>
        <v>450</v>
      </c>
      <c r="BY12" s="223">
        <f t="shared" si="50"/>
        <v>0</v>
      </c>
      <c r="BZ12" s="224">
        <f>(BX12/'Finance Only'!B15)*100</f>
        <v>1.6903313049357673</v>
      </c>
      <c r="CA12" s="209">
        <f t="shared" si="51"/>
        <v>1123300</v>
      </c>
      <c r="CB12" s="209">
        <v>1124500</v>
      </c>
      <c r="CC12" s="210">
        <f t="shared" si="52"/>
        <v>1200</v>
      </c>
      <c r="CD12" s="223">
        <f t="shared" si="53"/>
        <v>100</v>
      </c>
      <c r="CE12" s="224">
        <f>(CC12/'Finance Only'!B15)*100</f>
        <v>4.5075501464953796</v>
      </c>
      <c r="CF12" s="209">
        <f t="shared" si="54"/>
        <v>369740</v>
      </c>
      <c r="CG12" s="209">
        <v>370170</v>
      </c>
      <c r="CH12" s="210">
        <f t="shared" si="55"/>
        <v>430</v>
      </c>
      <c r="CI12" s="223">
        <f t="shared" si="56"/>
        <v>-30</v>
      </c>
      <c r="CJ12" s="224">
        <f>(CH12/'Finance Only'!B15)*100</f>
        <v>1.6152054691608444</v>
      </c>
      <c r="CK12" s="210">
        <f t="shared" si="57"/>
        <v>858070</v>
      </c>
      <c r="CL12" s="210">
        <v>859110</v>
      </c>
      <c r="CM12" s="210">
        <f t="shared" si="58"/>
        <v>1040</v>
      </c>
      <c r="CN12" s="223">
        <f t="shared" si="59"/>
        <v>230</v>
      </c>
      <c r="CO12" s="224">
        <f>(CM12/'Finance Only'!B15)*100</f>
        <v>3.9065434602959956</v>
      </c>
      <c r="CP12" s="209">
        <f t="shared" si="110"/>
        <v>711560</v>
      </c>
      <c r="CQ12" s="209">
        <v>712520</v>
      </c>
      <c r="CR12" s="211">
        <f t="shared" si="109"/>
        <v>960</v>
      </c>
      <c r="CS12" s="223">
        <f t="shared" si="60"/>
        <v>50</v>
      </c>
      <c r="CT12" s="224">
        <f>(CR12/'Finance Only'!B15)*100</f>
        <v>3.6060401171963039</v>
      </c>
      <c r="CU12" s="209">
        <f t="shared" si="61"/>
        <v>589560</v>
      </c>
      <c r="CV12" s="209">
        <v>590150</v>
      </c>
      <c r="CW12" s="210">
        <f t="shared" si="62"/>
        <v>590</v>
      </c>
      <c r="CX12" s="223">
        <f t="shared" si="63"/>
        <v>40</v>
      </c>
      <c r="CY12" s="224">
        <f>(CW12/'Finance Only'!B15)*100</f>
        <v>2.2162121553602288</v>
      </c>
      <c r="CZ12" s="209">
        <f t="shared" si="64"/>
        <v>985300</v>
      </c>
      <c r="DA12" s="209">
        <v>986370</v>
      </c>
      <c r="DB12" s="210">
        <f t="shared" si="65"/>
        <v>1070</v>
      </c>
      <c r="DC12" s="223">
        <f t="shared" si="66"/>
        <v>20</v>
      </c>
      <c r="DD12" s="224">
        <f>(DB12/'Finance Only'!B15)*100</f>
        <v>4.0192322139583805</v>
      </c>
      <c r="DE12" s="209">
        <f t="shared" si="67"/>
        <v>755250</v>
      </c>
      <c r="DF12" s="209">
        <v>756030</v>
      </c>
      <c r="DG12" s="210">
        <f t="shared" si="68"/>
        <v>780</v>
      </c>
      <c r="DH12" s="223">
        <f t="shared" si="69"/>
        <v>40</v>
      </c>
      <c r="DI12" s="224">
        <f>(DG12/'Finance Only'!B15)*100</f>
        <v>2.9299075952219966</v>
      </c>
      <c r="DJ12" s="209">
        <f t="shared" si="70"/>
        <v>654450</v>
      </c>
      <c r="DK12" s="209">
        <v>655090</v>
      </c>
      <c r="DL12" s="210">
        <f t="shared" si="71"/>
        <v>640</v>
      </c>
      <c r="DM12" s="223">
        <f t="shared" si="72"/>
        <v>30</v>
      </c>
      <c r="DN12" s="224">
        <f>(DL12/'Finance Only'!B15)*100</f>
        <v>2.4040267447975361</v>
      </c>
      <c r="DO12" s="209">
        <f t="shared" si="73"/>
        <v>355240</v>
      </c>
      <c r="DP12" s="209">
        <v>355530</v>
      </c>
      <c r="DQ12" s="210">
        <f t="shared" si="74"/>
        <v>290</v>
      </c>
      <c r="DR12" s="223">
        <f t="shared" si="75"/>
        <v>-60</v>
      </c>
      <c r="DS12" s="224">
        <f>(DQ12/'Finance Only'!B15)*100</f>
        <v>1.0893246187363834</v>
      </c>
      <c r="DT12" s="209">
        <f t="shared" si="76"/>
        <v>117580</v>
      </c>
      <c r="DU12" s="209">
        <v>117730</v>
      </c>
      <c r="DV12" s="210">
        <f t="shared" si="77"/>
        <v>150</v>
      </c>
      <c r="DW12" s="223">
        <f t="shared" si="78"/>
        <v>30</v>
      </c>
      <c r="DX12" s="224">
        <f>(DV12/'Finance Only'!B15)*100</f>
        <v>0.56344376831192244</v>
      </c>
      <c r="DY12" s="209">
        <f t="shared" si="79"/>
        <v>754770</v>
      </c>
      <c r="DZ12" s="209">
        <v>755880</v>
      </c>
      <c r="EA12" s="210">
        <f t="shared" si="80"/>
        <v>1110</v>
      </c>
      <c r="EB12" s="223">
        <f t="shared" si="81"/>
        <v>110</v>
      </c>
      <c r="EC12" s="224">
        <f>(EA12/'Finance Only'!B15)*100</f>
        <v>4.1694838855082264</v>
      </c>
      <c r="ED12" s="209">
        <f t="shared" si="82"/>
        <v>240420</v>
      </c>
      <c r="EE12" s="209">
        <v>240640</v>
      </c>
      <c r="EF12" s="210">
        <f t="shared" si="83"/>
        <v>220</v>
      </c>
      <c r="EG12" s="223">
        <f t="shared" si="84"/>
        <v>-30</v>
      </c>
      <c r="EH12" s="224">
        <f>(EF12/'Finance Only'!B15)*100</f>
        <v>0.82638419352415293</v>
      </c>
      <c r="EI12" s="209">
        <f t="shared" si="85"/>
        <v>272140</v>
      </c>
      <c r="EJ12" s="209">
        <v>272510</v>
      </c>
      <c r="EK12" s="210">
        <f t="shared" si="86"/>
        <v>370</v>
      </c>
      <c r="EL12" s="223">
        <f t="shared" si="87"/>
        <v>40</v>
      </c>
      <c r="EM12" s="224">
        <f>(EK12/'Finance Only'!B15)*100</f>
        <v>1.3898279618360754</v>
      </c>
      <c r="EN12" s="209">
        <f t="shared" si="88"/>
        <v>445250</v>
      </c>
      <c r="EO12" s="209">
        <v>445710</v>
      </c>
      <c r="EP12" s="210">
        <f t="shared" si="89"/>
        <v>460</v>
      </c>
      <c r="EQ12" s="223">
        <f t="shared" si="90"/>
        <v>-50</v>
      </c>
      <c r="ER12" s="224">
        <f>(EP12/'Finance Only'!B15)*100</f>
        <v>1.727894222823229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>
        <f>(EZ12/'Finance Only'!G15)*100</f>
        <v>0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5"/>
      <c r="FI12" s="295"/>
      <c r="FJ12" s="295"/>
      <c r="FK12" s="295"/>
      <c r="FL12" s="295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8">
        <f t="shared" si="1"/>
        <v>8467</v>
      </c>
      <c r="GD12" s="276"/>
      <c r="GE12" s="278">
        <f t="shared" si="2"/>
        <v>7503</v>
      </c>
      <c r="GF12" s="276"/>
      <c r="GG12" s="278">
        <f t="shared" si="3"/>
        <v>2400</v>
      </c>
      <c r="GH12" s="276"/>
      <c r="GI12" s="278">
        <f t="shared" si="4"/>
        <v>4720</v>
      </c>
      <c r="GJ12" s="276"/>
      <c r="GK12" s="278">
        <f>SUM(BN12+BS12+EU12)</f>
        <v>750</v>
      </c>
      <c r="GL12" s="276"/>
      <c r="GM12" s="278">
        <f>SUM(EZ12+FE12)</f>
        <v>0</v>
      </c>
      <c r="GN12" s="276"/>
    </row>
    <row r="13" spans="1:196" s="3" customFormat="1" ht="13.5" customHeight="1" x14ac:dyDescent="0.2">
      <c r="A13" s="264">
        <v>9</v>
      </c>
      <c r="B13" s="267">
        <f>'Finance Only'!G16</f>
        <v>29.1</v>
      </c>
      <c r="C13" s="262">
        <f t="shared" si="7"/>
        <v>27214180</v>
      </c>
      <c r="D13" s="207">
        <v>27218496</v>
      </c>
      <c r="E13" s="208">
        <f t="shared" si="8"/>
        <v>4316</v>
      </c>
      <c r="F13" s="219">
        <f t="shared" si="9"/>
        <v>-88</v>
      </c>
      <c r="G13" s="220">
        <f>(E13/'Finance Only'!B16)*100</f>
        <v>16.180550348654123</v>
      </c>
      <c r="H13" s="230">
        <f t="shared" si="10"/>
        <v>25149741</v>
      </c>
      <c r="I13" s="207">
        <v>25153508</v>
      </c>
      <c r="J13" s="207">
        <f t="shared" si="11"/>
        <v>3767</v>
      </c>
      <c r="K13" s="231">
        <f t="shared" si="12"/>
        <v>-296</v>
      </c>
      <c r="L13" s="232">
        <f>(J13/'Finance Only'!B16)*100</f>
        <v>14.122366349253957</v>
      </c>
      <c r="M13" s="215">
        <f t="shared" si="13"/>
        <v>92563838</v>
      </c>
      <c r="N13" s="209">
        <v>92575846</v>
      </c>
      <c r="O13" s="210">
        <f t="shared" si="14"/>
        <v>12008</v>
      </c>
      <c r="P13" s="223">
        <f t="shared" si="15"/>
        <v>295</v>
      </c>
      <c r="Q13" s="224">
        <f>(O13/'Finance Only'!B16)*100</f>
        <v>45.017620154457525</v>
      </c>
      <c r="R13" s="214">
        <f t="shared" si="16"/>
        <v>3166200</v>
      </c>
      <c r="S13" s="209">
        <v>3168700</v>
      </c>
      <c r="T13" s="210">
        <f t="shared" si="17"/>
        <v>2500</v>
      </c>
      <c r="U13" s="223">
        <f t="shared" si="18"/>
        <v>100</v>
      </c>
      <c r="V13" s="224">
        <f>(T13/'Finance Only'!B16)*100</f>
        <v>9.3724225837894579</v>
      </c>
      <c r="W13" s="209">
        <f t="shared" si="19"/>
        <v>4251093</v>
      </c>
      <c r="X13" s="209">
        <v>4254002</v>
      </c>
      <c r="Y13" s="210">
        <f t="shared" si="20"/>
        <v>2909</v>
      </c>
      <c r="Z13" s="223">
        <f t="shared" si="21"/>
        <v>-34</v>
      </c>
      <c r="AA13" s="224">
        <f>(Y13/'Finance Only'!B16)*100</f>
        <v>10.905750918497413</v>
      </c>
      <c r="AB13" s="209">
        <f t="shared" si="22"/>
        <v>2764000</v>
      </c>
      <c r="AC13" s="209">
        <v>2765800</v>
      </c>
      <c r="AD13" s="210">
        <f t="shared" si="0"/>
        <v>1800</v>
      </c>
      <c r="AE13" s="316">
        <f>AD13/WATER!V14</f>
        <v>5.0561797752808992</v>
      </c>
      <c r="AF13" s="223">
        <f t="shared" si="23"/>
        <v>-100</v>
      </c>
      <c r="AG13" s="224">
        <f>(AD13/'Finance Only'!B16)*100</f>
        <v>6.7481442603284094</v>
      </c>
      <c r="AH13" s="209">
        <f t="shared" si="24"/>
        <v>1108829</v>
      </c>
      <c r="AI13" s="209">
        <v>1109335</v>
      </c>
      <c r="AJ13" s="210">
        <f t="shared" si="25"/>
        <v>506</v>
      </c>
      <c r="AK13" s="223">
        <f t="shared" si="26"/>
        <v>6</v>
      </c>
      <c r="AL13" s="224">
        <f>(AJ13/'Finance Only'!B16)*100</f>
        <v>1.896978330958986</v>
      </c>
      <c r="AM13" s="209">
        <f t="shared" si="27"/>
        <v>1125900</v>
      </c>
      <c r="AN13" s="209">
        <v>1126600</v>
      </c>
      <c r="AO13" s="210">
        <f t="shared" si="28"/>
        <v>700</v>
      </c>
      <c r="AP13" s="223">
        <f t="shared" si="29"/>
        <v>-100</v>
      </c>
      <c r="AQ13" s="224">
        <f>(AO13/'Finance Only'!B16)*100</f>
        <v>2.6242783234610481</v>
      </c>
      <c r="AR13" s="209">
        <f t="shared" si="30"/>
        <v>2512700</v>
      </c>
      <c r="AS13" s="209">
        <v>2514500</v>
      </c>
      <c r="AT13" s="210">
        <f t="shared" si="31"/>
        <v>1800</v>
      </c>
      <c r="AU13" s="223">
        <f t="shared" si="32"/>
        <v>200</v>
      </c>
      <c r="AV13" s="224">
        <f>(AT13/'Finance Only'!B16)*100</f>
        <v>6.7481442603284094</v>
      </c>
      <c r="AW13" s="209">
        <f t="shared" si="33"/>
        <v>286390</v>
      </c>
      <c r="AX13" s="209">
        <v>290340</v>
      </c>
      <c r="AY13" s="210">
        <f t="shared" si="34"/>
        <v>3950</v>
      </c>
      <c r="AZ13" s="223">
        <f t="shared" si="35"/>
        <v>-70</v>
      </c>
      <c r="BA13" s="224">
        <f>(AY13/'Finance Only'!B16)*100</f>
        <v>14.808427682387343</v>
      </c>
      <c r="BB13" s="209">
        <f t="shared" si="36"/>
        <v>1011000</v>
      </c>
      <c r="BC13" s="209">
        <v>1011800</v>
      </c>
      <c r="BD13" s="210">
        <f t="shared" si="37"/>
        <v>800</v>
      </c>
      <c r="BE13" s="223">
        <f t="shared" si="38"/>
        <v>400</v>
      </c>
      <c r="BF13" s="224">
        <f>(BD13/'Finance Only'!B16)*100</f>
        <v>2.9991752268126266</v>
      </c>
      <c r="BG13" s="209">
        <f t="shared" si="39"/>
        <v>1083600</v>
      </c>
      <c r="BH13" s="209">
        <v>1083900</v>
      </c>
      <c r="BI13" s="210">
        <f t="shared" si="40"/>
        <v>300</v>
      </c>
      <c r="BJ13" s="223">
        <f t="shared" si="41"/>
        <v>0</v>
      </c>
      <c r="BK13" s="224">
        <f>(BI13/'Finance Only'!B16)*100</f>
        <v>1.1246907100547348</v>
      </c>
      <c r="BL13" s="209">
        <f t="shared" si="42"/>
        <v>1612900</v>
      </c>
      <c r="BM13" s="209">
        <v>1613500</v>
      </c>
      <c r="BN13" s="210">
        <f t="shared" si="43"/>
        <v>600</v>
      </c>
      <c r="BO13" s="223">
        <f t="shared" si="44"/>
        <v>0</v>
      </c>
      <c r="BP13" s="224">
        <f>(BN13/'Finance Only'!B16)*100</f>
        <v>2.2493814201094695</v>
      </c>
      <c r="BQ13" s="209">
        <f t="shared" si="45"/>
        <v>142010</v>
      </c>
      <c r="BR13" s="209">
        <v>142190</v>
      </c>
      <c r="BS13" s="210">
        <f t="shared" si="46"/>
        <v>180</v>
      </c>
      <c r="BT13" s="223">
        <f t="shared" si="47"/>
        <v>30</v>
      </c>
      <c r="BU13" s="224">
        <f>(BS13/'Finance Only'!B16)*100</f>
        <v>0.67481442603284103</v>
      </c>
      <c r="BV13" s="209">
        <f t="shared" si="48"/>
        <v>598390</v>
      </c>
      <c r="BW13" s="209">
        <v>598800</v>
      </c>
      <c r="BX13" s="210">
        <f t="shared" si="49"/>
        <v>410</v>
      </c>
      <c r="BY13" s="223">
        <f t="shared" si="50"/>
        <v>-40</v>
      </c>
      <c r="BZ13" s="224">
        <f>(BX13/'Finance Only'!B16)*100</f>
        <v>1.5370773037414711</v>
      </c>
      <c r="CA13" s="209">
        <f t="shared" si="51"/>
        <v>1124500</v>
      </c>
      <c r="CB13" s="209">
        <v>1125700</v>
      </c>
      <c r="CC13" s="210">
        <f t="shared" si="52"/>
        <v>1200</v>
      </c>
      <c r="CD13" s="223">
        <f t="shared" si="53"/>
        <v>0</v>
      </c>
      <c r="CE13" s="224">
        <f>(CC13/'Finance Only'!B16)*100</f>
        <v>4.498762840218939</v>
      </c>
      <c r="CF13" s="209">
        <f t="shared" si="54"/>
        <v>370170</v>
      </c>
      <c r="CG13" s="209">
        <v>370550</v>
      </c>
      <c r="CH13" s="210">
        <f t="shared" si="55"/>
        <v>380</v>
      </c>
      <c r="CI13" s="223">
        <f t="shared" si="56"/>
        <v>-50</v>
      </c>
      <c r="CJ13" s="224">
        <f>(CH13/'Finance Only'!B16)*100</f>
        <v>1.4246082327359977</v>
      </c>
      <c r="CK13" s="210">
        <f t="shared" si="57"/>
        <v>859110</v>
      </c>
      <c r="CL13" s="210">
        <v>859930</v>
      </c>
      <c r="CM13" s="210">
        <f t="shared" si="58"/>
        <v>820</v>
      </c>
      <c r="CN13" s="223">
        <f t="shared" si="59"/>
        <v>-220</v>
      </c>
      <c r="CO13" s="224">
        <f>(CM13/'Finance Only'!B16)*100</f>
        <v>3.0741546074829422</v>
      </c>
      <c r="CP13" s="209">
        <f t="shared" si="110"/>
        <v>712520</v>
      </c>
      <c r="CQ13" s="209">
        <v>713250</v>
      </c>
      <c r="CR13" s="211">
        <f t="shared" si="109"/>
        <v>730</v>
      </c>
      <c r="CS13" s="223">
        <f t="shared" si="60"/>
        <v>-230</v>
      </c>
      <c r="CT13" s="224">
        <f>(CR13/'Finance Only'!B16)*100</f>
        <v>2.7367473944665219</v>
      </c>
      <c r="CU13" s="209">
        <f t="shared" si="61"/>
        <v>590150</v>
      </c>
      <c r="CV13" s="209">
        <v>590630</v>
      </c>
      <c r="CW13" s="210">
        <f t="shared" si="62"/>
        <v>480</v>
      </c>
      <c r="CX13" s="223">
        <f t="shared" si="63"/>
        <v>-110</v>
      </c>
      <c r="CY13" s="224">
        <f>(CW13/'Finance Only'!B16)*100</f>
        <v>1.7995051360875758</v>
      </c>
      <c r="CZ13" s="209">
        <f t="shared" si="64"/>
        <v>986370</v>
      </c>
      <c r="DA13" s="209">
        <v>986370</v>
      </c>
      <c r="DB13" s="210">
        <f t="shared" si="65"/>
        <v>0</v>
      </c>
      <c r="DC13" s="223">
        <f t="shared" si="66"/>
        <v>-1070</v>
      </c>
      <c r="DD13" s="224">
        <f>(DB13/'Finance Only'!B16)*100</f>
        <v>0</v>
      </c>
      <c r="DE13" s="209">
        <f t="shared" si="67"/>
        <v>756030</v>
      </c>
      <c r="DF13" s="209">
        <v>756720</v>
      </c>
      <c r="DG13" s="210">
        <f t="shared" si="68"/>
        <v>690</v>
      </c>
      <c r="DH13" s="223">
        <f t="shared" si="69"/>
        <v>-90</v>
      </c>
      <c r="DI13" s="224">
        <f>(DG13/'Finance Only'!B16)*100</f>
        <v>2.5867886331258907</v>
      </c>
      <c r="DJ13" s="209">
        <f t="shared" si="70"/>
        <v>655090</v>
      </c>
      <c r="DK13" s="209">
        <v>655630</v>
      </c>
      <c r="DL13" s="210">
        <f t="shared" si="71"/>
        <v>540</v>
      </c>
      <c r="DM13" s="223">
        <f t="shared" si="72"/>
        <v>-100</v>
      </c>
      <c r="DN13" s="224">
        <f>(DL13/'Finance Only'!B16)*100</f>
        <v>2.0244432780985226</v>
      </c>
      <c r="DO13" s="209">
        <f t="shared" si="73"/>
        <v>355530</v>
      </c>
      <c r="DP13" s="209">
        <v>355790</v>
      </c>
      <c r="DQ13" s="210">
        <f t="shared" si="74"/>
        <v>260</v>
      </c>
      <c r="DR13" s="223">
        <f t="shared" si="75"/>
        <v>-30</v>
      </c>
      <c r="DS13" s="224">
        <f>(DQ13/'Finance Only'!B16)*100</f>
        <v>0.97473194871410362</v>
      </c>
      <c r="DT13" s="209">
        <f t="shared" si="76"/>
        <v>117730</v>
      </c>
      <c r="DU13" s="209">
        <v>117840</v>
      </c>
      <c r="DV13" s="210">
        <f t="shared" si="77"/>
        <v>110</v>
      </c>
      <c r="DW13" s="223">
        <f t="shared" si="78"/>
        <v>-40</v>
      </c>
      <c r="DX13" s="224">
        <f>(DV13/'Finance Only'!B16)*100</f>
        <v>0.41238659368673614</v>
      </c>
      <c r="DY13" s="209">
        <f t="shared" si="79"/>
        <v>755880</v>
      </c>
      <c r="DZ13" s="209">
        <v>756750</v>
      </c>
      <c r="EA13" s="210">
        <f t="shared" si="80"/>
        <v>870</v>
      </c>
      <c r="EB13" s="223">
        <f t="shared" si="81"/>
        <v>-240</v>
      </c>
      <c r="EC13" s="224">
        <f>(EA13/'Finance Only'!B16)*100</f>
        <v>3.2616030591587313</v>
      </c>
      <c r="ED13" s="209">
        <f t="shared" si="82"/>
        <v>240640</v>
      </c>
      <c r="EE13" s="209">
        <v>240840</v>
      </c>
      <c r="EF13" s="210">
        <f t="shared" si="83"/>
        <v>200</v>
      </c>
      <c r="EG13" s="223">
        <f t="shared" si="84"/>
        <v>-20</v>
      </c>
      <c r="EH13" s="224">
        <f>(EF13/'Finance Only'!B16)*100</f>
        <v>0.74979380670315665</v>
      </c>
      <c r="EI13" s="209">
        <f t="shared" si="85"/>
        <v>272510</v>
      </c>
      <c r="EJ13" s="209">
        <v>272940</v>
      </c>
      <c r="EK13" s="210">
        <f t="shared" si="86"/>
        <v>430</v>
      </c>
      <c r="EL13" s="223">
        <f t="shared" si="87"/>
        <v>60</v>
      </c>
      <c r="EM13" s="224">
        <f>(EK13/'Finance Only'!B16)*100</f>
        <v>1.612056684411787</v>
      </c>
      <c r="EN13" s="209">
        <f t="shared" si="88"/>
        <v>445710</v>
      </c>
      <c r="EO13" s="209">
        <v>446230</v>
      </c>
      <c r="EP13" s="210">
        <f t="shared" si="89"/>
        <v>520</v>
      </c>
      <c r="EQ13" s="223">
        <f t="shared" si="90"/>
        <v>60</v>
      </c>
      <c r="ER13" s="224">
        <f>(EP13/'Finance Only'!B16)*100</f>
        <v>1.9494638974282072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>
        <f>(EZ13/'Finance Only'!G16)*100</f>
        <v>0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5"/>
      <c r="FI13" s="295"/>
      <c r="FJ13" s="295"/>
      <c r="FK13" s="295"/>
      <c r="FL13" s="295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8">
        <f t="shared" si="1"/>
        <v>8083</v>
      </c>
      <c r="GD13" s="276"/>
      <c r="GE13" s="278">
        <f t="shared" si="2"/>
        <v>7429</v>
      </c>
      <c r="GF13" s="276"/>
      <c r="GG13" s="278">
        <f t="shared" si="3"/>
        <v>2500</v>
      </c>
      <c r="GH13" s="276"/>
      <c r="GI13" s="278">
        <f t="shared" si="4"/>
        <v>5050</v>
      </c>
      <c r="GJ13" s="276"/>
      <c r="GK13" s="278">
        <f t="shared" si="5"/>
        <v>780</v>
      </c>
      <c r="GL13" s="276"/>
      <c r="GM13" s="278">
        <f t="shared" si="6"/>
        <v>0</v>
      </c>
      <c r="GN13" s="276"/>
    </row>
    <row r="14" spans="1:196" s="3" customFormat="1" ht="13.5" customHeight="1" x14ac:dyDescent="0.2">
      <c r="A14" s="264">
        <v>10</v>
      </c>
      <c r="B14" s="267">
        <f>'Finance Only'!G17</f>
        <v>27.2</v>
      </c>
      <c r="C14" s="262">
        <f t="shared" si="7"/>
        <v>27218496</v>
      </c>
      <c r="D14" s="207">
        <v>27222812</v>
      </c>
      <c r="E14" s="208">
        <f t="shared" si="8"/>
        <v>4316</v>
      </c>
      <c r="F14" s="219">
        <f t="shared" si="9"/>
        <v>0</v>
      </c>
      <c r="G14" s="220">
        <f>(E14/'Finance Only'!B17)*100</f>
        <v>16.432514753474205</v>
      </c>
      <c r="H14" s="230">
        <f t="shared" si="10"/>
        <v>25153508</v>
      </c>
      <c r="I14" s="207">
        <v>25157275</v>
      </c>
      <c r="J14" s="207">
        <f t="shared" si="11"/>
        <v>3767</v>
      </c>
      <c r="K14" s="231">
        <f t="shared" si="12"/>
        <v>0</v>
      </c>
      <c r="L14" s="232">
        <f>(J14/'Finance Only'!B17)*100</f>
        <v>14.342280601561013</v>
      </c>
      <c r="M14" s="215">
        <f t="shared" si="13"/>
        <v>92575846</v>
      </c>
      <c r="N14" s="209">
        <v>92587854</v>
      </c>
      <c r="O14" s="210">
        <f t="shared" si="14"/>
        <v>12008</v>
      </c>
      <c r="P14" s="223">
        <f t="shared" si="15"/>
        <v>0</v>
      </c>
      <c r="Q14" s="224">
        <f>(O14/'Finance Only'!B17)*100</f>
        <v>45.718636969350847</v>
      </c>
      <c r="R14" s="214">
        <f t="shared" si="16"/>
        <v>3168700</v>
      </c>
      <c r="S14" s="209">
        <v>3171200</v>
      </c>
      <c r="T14" s="210">
        <f t="shared" si="17"/>
        <v>2500</v>
      </c>
      <c r="U14" s="223">
        <f t="shared" si="18"/>
        <v>0</v>
      </c>
      <c r="V14" s="224">
        <f>(T14/'Finance Only'!B17)*100</f>
        <v>9.5183704549781076</v>
      </c>
      <c r="W14" s="209">
        <f t="shared" si="19"/>
        <v>4254002</v>
      </c>
      <c r="X14" s="209">
        <v>4256901</v>
      </c>
      <c r="Y14" s="210">
        <f t="shared" si="20"/>
        <v>2899</v>
      </c>
      <c r="Z14" s="223">
        <f t="shared" si="21"/>
        <v>-10</v>
      </c>
      <c r="AA14" s="224">
        <f>(Y14/'Finance Only'!B17)*100</f>
        <v>11.037502379592613</v>
      </c>
      <c r="AB14" s="209">
        <f t="shared" si="22"/>
        <v>2765800</v>
      </c>
      <c r="AC14" s="209">
        <v>2768000</v>
      </c>
      <c r="AD14" s="210">
        <f t="shared" si="0"/>
        <v>2200</v>
      </c>
      <c r="AE14" s="316">
        <f>AD14/WATER!V15</f>
        <v>4.9107142857142856</v>
      </c>
      <c r="AF14" s="223">
        <f t="shared" si="23"/>
        <v>400</v>
      </c>
      <c r="AG14" s="224">
        <f>(AD14/'Finance Only'!B17)*100</f>
        <v>8.376166000380735</v>
      </c>
      <c r="AH14" s="209">
        <f t="shared" si="24"/>
        <v>1109335</v>
      </c>
      <c r="AI14" s="209">
        <v>1109834</v>
      </c>
      <c r="AJ14" s="210">
        <f t="shared" si="25"/>
        <v>499</v>
      </c>
      <c r="AK14" s="223">
        <f t="shared" si="26"/>
        <v>-7</v>
      </c>
      <c r="AL14" s="224">
        <f>(AJ14/'Finance Only'!B17)*100</f>
        <v>1.8998667428136304</v>
      </c>
      <c r="AM14" s="209">
        <f t="shared" si="27"/>
        <v>1126600</v>
      </c>
      <c r="AN14" s="209">
        <v>1127300</v>
      </c>
      <c r="AO14" s="210">
        <f t="shared" si="28"/>
        <v>700</v>
      </c>
      <c r="AP14" s="223">
        <f t="shared" si="29"/>
        <v>0</v>
      </c>
      <c r="AQ14" s="224">
        <f>(AO14/'Finance Only'!B17)*100</f>
        <v>2.6651437273938701</v>
      </c>
      <c r="AR14" s="209">
        <f t="shared" si="30"/>
        <v>2514500</v>
      </c>
      <c r="AS14" s="209">
        <v>2515800</v>
      </c>
      <c r="AT14" s="210">
        <f t="shared" si="31"/>
        <v>1300</v>
      </c>
      <c r="AU14" s="223">
        <f t="shared" si="32"/>
        <v>-500</v>
      </c>
      <c r="AV14" s="224">
        <f>(AT14/'Finance Only'!B17)*100</f>
        <v>4.9495526365886162</v>
      </c>
      <c r="AW14" s="209">
        <f t="shared" si="33"/>
        <v>290340</v>
      </c>
      <c r="AX14" s="209">
        <v>294200</v>
      </c>
      <c r="AY14" s="210">
        <f t="shared" si="34"/>
        <v>3860</v>
      </c>
      <c r="AZ14" s="223">
        <f t="shared" si="35"/>
        <v>-90</v>
      </c>
      <c r="BA14" s="224">
        <f>(AY14/'Finance Only'!B17)*100</f>
        <v>14.696363982486199</v>
      </c>
      <c r="BB14" s="209">
        <f t="shared" si="36"/>
        <v>1011800</v>
      </c>
      <c r="BC14" s="209">
        <v>1011800</v>
      </c>
      <c r="BD14" s="210">
        <f t="shared" si="37"/>
        <v>0</v>
      </c>
      <c r="BE14" s="223">
        <f t="shared" si="38"/>
        <v>-800</v>
      </c>
      <c r="BF14" s="224">
        <f>(BD14/'Finance Only'!B17)*100</f>
        <v>0</v>
      </c>
      <c r="BG14" s="209">
        <f t="shared" si="39"/>
        <v>1083900</v>
      </c>
      <c r="BH14" s="209">
        <v>1084100</v>
      </c>
      <c r="BI14" s="210">
        <f t="shared" si="40"/>
        <v>200</v>
      </c>
      <c r="BJ14" s="223">
        <f t="shared" si="41"/>
        <v>-100</v>
      </c>
      <c r="BK14" s="224">
        <f>(BI14/'Finance Only'!B17)*100</f>
        <v>0.76146963639824861</v>
      </c>
      <c r="BL14" s="209">
        <f t="shared" si="42"/>
        <v>1613500</v>
      </c>
      <c r="BM14" s="209">
        <v>1614000</v>
      </c>
      <c r="BN14" s="210">
        <f t="shared" si="43"/>
        <v>500</v>
      </c>
      <c r="BO14" s="223">
        <f t="shared" si="44"/>
        <v>-100</v>
      </c>
      <c r="BP14" s="224">
        <f>(BN14/'Finance Only'!B17)*100</f>
        <v>1.9036740909956213</v>
      </c>
      <c r="BQ14" s="209">
        <f t="shared" si="45"/>
        <v>142190</v>
      </c>
      <c r="BR14" s="209">
        <v>142400</v>
      </c>
      <c r="BS14" s="210">
        <f t="shared" si="46"/>
        <v>210</v>
      </c>
      <c r="BT14" s="223">
        <f t="shared" si="47"/>
        <v>30</v>
      </c>
      <c r="BU14" s="224">
        <f>(BS14/'Finance Only'!B17)*100</f>
        <v>0.79954311821816104</v>
      </c>
      <c r="BV14" s="209">
        <f t="shared" si="48"/>
        <v>598800</v>
      </c>
      <c r="BW14" s="209">
        <v>599270</v>
      </c>
      <c r="BX14" s="210">
        <f t="shared" si="49"/>
        <v>470</v>
      </c>
      <c r="BY14" s="223">
        <f t="shared" si="50"/>
        <v>60</v>
      </c>
      <c r="BZ14" s="224">
        <f>(BX14/'Finance Only'!B17)*100</f>
        <v>1.7894536455358843</v>
      </c>
      <c r="CA14" s="209">
        <f t="shared" si="51"/>
        <v>1125700</v>
      </c>
      <c r="CB14" s="209">
        <v>1126800</v>
      </c>
      <c r="CC14" s="210">
        <f t="shared" si="52"/>
        <v>1100</v>
      </c>
      <c r="CD14" s="223">
        <f t="shared" si="53"/>
        <v>-100</v>
      </c>
      <c r="CE14" s="224">
        <f>(CC14/'Finance Only'!B17)*100</f>
        <v>4.1880830001903675</v>
      </c>
      <c r="CF14" s="209">
        <f t="shared" si="54"/>
        <v>370550</v>
      </c>
      <c r="CG14" s="209">
        <v>371060</v>
      </c>
      <c r="CH14" s="210">
        <f t="shared" si="55"/>
        <v>510</v>
      </c>
      <c r="CI14" s="223">
        <f t="shared" si="56"/>
        <v>130</v>
      </c>
      <c r="CJ14" s="224">
        <f>(CH14/'Finance Only'!B17)*100</f>
        <v>1.9417475728155338</v>
      </c>
      <c r="CK14" s="210">
        <f t="shared" si="57"/>
        <v>859930</v>
      </c>
      <c r="CL14" s="210">
        <v>860760</v>
      </c>
      <c r="CM14" s="210">
        <f t="shared" si="58"/>
        <v>830</v>
      </c>
      <c r="CN14" s="223">
        <f>CM14-CM13</f>
        <v>10</v>
      </c>
      <c r="CO14" s="224">
        <f>(CM14/'Finance Only'!B17)*100</f>
        <v>3.1600989910527315</v>
      </c>
      <c r="CP14" s="209">
        <f t="shared" si="110"/>
        <v>713250</v>
      </c>
      <c r="CQ14" s="209">
        <v>714040</v>
      </c>
      <c r="CR14" s="211">
        <f t="shared" si="109"/>
        <v>790</v>
      </c>
      <c r="CS14" s="223">
        <f t="shared" si="60"/>
        <v>60</v>
      </c>
      <c r="CT14" s="224">
        <f>(CR14/'Finance Only'!B17)*100</f>
        <v>3.0078050637730822</v>
      </c>
      <c r="CU14" s="209">
        <f t="shared" si="61"/>
        <v>590630</v>
      </c>
      <c r="CV14" s="209">
        <v>591180</v>
      </c>
      <c r="CW14" s="210">
        <f t="shared" si="62"/>
        <v>550</v>
      </c>
      <c r="CX14" s="223">
        <f t="shared" si="63"/>
        <v>70</v>
      </c>
      <c r="CY14" s="224">
        <f>(CW14/'Finance Only'!B17)*100</f>
        <v>2.0940415000951837</v>
      </c>
      <c r="CZ14" s="209">
        <f t="shared" si="64"/>
        <v>986370</v>
      </c>
      <c r="DA14" s="209">
        <v>987220</v>
      </c>
      <c r="DB14" s="210">
        <f t="shared" si="65"/>
        <v>850</v>
      </c>
      <c r="DC14" s="223">
        <f t="shared" si="66"/>
        <v>850</v>
      </c>
      <c r="DD14" s="224">
        <f>(DB14/'Finance Only'!B17)*100</f>
        <v>3.2362459546925564</v>
      </c>
      <c r="DE14" s="209">
        <f t="shared" si="67"/>
        <v>756720</v>
      </c>
      <c r="DF14" s="209">
        <v>757390</v>
      </c>
      <c r="DG14" s="210">
        <f t="shared" si="68"/>
        <v>670</v>
      </c>
      <c r="DH14" s="223">
        <f t="shared" si="69"/>
        <v>-20</v>
      </c>
      <c r="DI14" s="224">
        <f>(DG14/'Finance Only'!B17)*100</f>
        <v>2.5509232819341325</v>
      </c>
      <c r="DJ14" s="209">
        <f t="shared" si="70"/>
        <v>655630</v>
      </c>
      <c r="DK14" s="209">
        <v>656190</v>
      </c>
      <c r="DL14" s="210">
        <f t="shared" si="71"/>
        <v>560</v>
      </c>
      <c r="DM14" s="223">
        <f t="shared" si="72"/>
        <v>20</v>
      </c>
      <c r="DN14" s="224">
        <f>(DL14/'Finance Only'!B17)*100</f>
        <v>2.132114981915096</v>
      </c>
      <c r="DO14" s="209">
        <f t="shared" si="73"/>
        <v>355790</v>
      </c>
      <c r="DP14" s="209">
        <v>356040</v>
      </c>
      <c r="DQ14" s="210">
        <f t="shared" si="74"/>
        <v>250</v>
      </c>
      <c r="DR14" s="223">
        <f t="shared" si="75"/>
        <v>-10</v>
      </c>
      <c r="DS14" s="224">
        <f>(DQ14/'Finance Only'!B17)*100</f>
        <v>0.95183704549781067</v>
      </c>
      <c r="DT14" s="209">
        <f t="shared" si="76"/>
        <v>117840</v>
      </c>
      <c r="DU14" s="209">
        <v>117980</v>
      </c>
      <c r="DV14" s="210">
        <f t="shared" si="77"/>
        <v>140</v>
      </c>
      <c r="DW14" s="223">
        <f t="shared" si="78"/>
        <v>30</v>
      </c>
      <c r="DX14" s="224">
        <f>(DV14/'Finance Only'!B17)*100</f>
        <v>0.53302874547877399</v>
      </c>
      <c r="DY14" s="209">
        <f t="shared" si="79"/>
        <v>756750</v>
      </c>
      <c r="DZ14" s="209">
        <v>757720</v>
      </c>
      <c r="EA14" s="210">
        <f t="shared" si="80"/>
        <v>970</v>
      </c>
      <c r="EB14" s="223">
        <f t="shared" si="81"/>
        <v>100</v>
      </c>
      <c r="EC14" s="224">
        <f>(EA14/'Finance Only'!B17)*100</f>
        <v>3.6931277365315061</v>
      </c>
      <c r="ED14" s="209">
        <f t="shared" si="82"/>
        <v>240840</v>
      </c>
      <c r="EE14" s="209">
        <v>241080</v>
      </c>
      <c r="EF14" s="210">
        <f t="shared" si="83"/>
        <v>240</v>
      </c>
      <c r="EG14" s="223">
        <f t="shared" si="84"/>
        <v>40</v>
      </c>
      <c r="EH14" s="224">
        <f>(EF14/'Finance Only'!B17)*100</f>
        <v>0.91376356367789835</v>
      </c>
      <c r="EI14" s="209">
        <f t="shared" si="85"/>
        <v>272940</v>
      </c>
      <c r="EJ14" s="209">
        <v>273290</v>
      </c>
      <c r="EK14" s="210">
        <f t="shared" si="86"/>
        <v>350</v>
      </c>
      <c r="EL14" s="223">
        <f t="shared" si="87"/>
        <v>-80</v>
      </c>
      <c r="EM14" s="224">
        <f>(EK14/'Finance Only'!B17)*100</f>
        <v>1.332571863696935</v>
      </c>
      <c r="EN14" s="209">
        <f t="shared" si="88"/>
        <v>446230</v>
      </c>
      <c r="EO14" s="209">
        <v>446760</v>
      </c>
      <c r="EP14" s="210">
        <f t="shared" si="89"/>
        <v>530</v>
      </c>
      <c r="EQ14" s="223">
        <f t="shared" si="90"/>
        <v>10</v>
      </c>
      <c r="ER14" s="224">
        <f>(EP14/'Finance Only'!B17)*100</f>
        <v>2.0178945364553589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>
        <f>(EZ14/'Finance Only'!G17)*100</f>
        <v>0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5"/>
      <c r="FI14" s="295"/>
      <c r="FJ14" s="295"/>
      <c r="FK14" s="295"/>
      <c r="FL14" s="295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8">
        <f t="shared" si="1"/>
        <v>8083</v>
      </c>
      <c r="GD14" s="276"/>
      <c r="GE14" s="278">
        <f t="shared" si="2"/>
        <v>7489</v>
      </c>
      <c r="GF14" s="276"/>
      <c r="GG14" s="278">
        <f t="shared" si="3"/>
        <v>2000</v>
      </c>
      <c r="GH14" s="276"/>
      <c r="GI14" s="278">
        <f t="shared" si="4"/>
        <v>4060</v>
      </c>
      <c r="GJ14" s="276"/>
      <c r="GK14" s="278">
        <f t="shared" si="5"/>
        <v>710</v>
      </c>
      <c r="GL14" s="276"/>
      <c r="GM14" s="278">
        <f t="shared" si="6"/>
        <v>0</v>
      </c>
      <c r="GN14" s="276"/>
    </row>
    <row r="15" spans="1:196" s="3" customFormat="1" ht="13.5" customHeight="1" x14ac:dyDescent="0.2">
      <c r="A15" s="264">
        <v>11</v>
      </c>
      <c r="B15" s="267">
        <f>'Finance Only'!G18</f>
        <v>30.1</v>
      </c>
      <c r="C15" s="262">
        <f t="shared" si="7"/>
        <v>27222812</v>
      </c>
      <c r="D15" s="207">
        <v>27226661</v>
      </c>
      <c r="E15" s="208">
        <f t="shared" si="8"/>
        <v>3849</v>
      </c>
      <c r="F15" s="219">
        <f t="shared" si="9"/>
        <v>-467</v>
      </c>
      <c r="G15" s="220">
        <f>(E15/'Finance Only'!B18)*100</f>
        <v>14.276176699677311</v>
      </c>
      <c r="H15" s="230">
        <f t="shared" si="10"/>
        <v>25157275</v>
      </c>
      <c r="I15" s="207">
        <v>25161046</v>
      </c>
      <c r="J15" s="207">
        <f t="shared" si="11"/>
        <v>3771</v>
      </c>
      <c r="K15" s="231">
        <f t="shared" si="12"/>
        <v>4</v>
      </c>
      <c r="L15" s="232">
        <f>(J15/'Finance Only'!B18)*100</f>
        <v>13.986869923222434</v>
      </c>
      <c r="M15" s="215">
        <f t="shared" si="13"/>
        <v>92587854</v>
      </c>
      <c r="N15" s="209">
        <v>92601480</v>
      </c>
      <c r="O15" s="210">
        <f t="shared" si="14"/>
        <v>13626</v>
      </c>
      <c r="P15" s="223">
        <f t="shared" si="15"/>
        <v>1618</v>
      </c>
      <c r="Q15" s="224">
        <f>(O15/'Finance Only'!B18)*100</f>
        <v>50.539668409925454</v>
      </c>
      <c r="R15" s="214">
        <f t="shared" si="16"/>
        <v>3171200</v>
      </c>
      <c r="S15" s="209">
        <v>3173700</v>
      </c>
      <c r="T15" s="210">
        <f t="shared" si="17"/>
        <v>2500</v>
      </c>
      <c r="U15" s="223">
        <f t="shared" si="18"/>
        <v>0</v>
      </c>
      <c r="V15" s="224">
        <f>(T15/'Finance Only'!B18)*100</f>
        <v>9.2726530915025407</v>
      </c>
      <c r="W15" s="209">
        <f t="shared" si="19"/>
        <v>4256901</v>
      </c>
      <c r="X15" s="209">
        <v>4259744</v>
      </c>
      <c r="Y15" s="210">
        <f t="shared" si="20"/>
        <v>2843</v>
      </c>
      <c r="Z15" s="223">
        <f t="shared" si="21"/>
        <v>-56</v>
      </c>
      <c r="AA15" s="224">
        <f>(Y15/'Finance Only'!B18)*100</f>
        <v>10.544861095656689</v>
      </c>
      <c r="AB15" s="209">
        <f t="shared" si="22"/>
        <v>2768000</v>
      </c>
      <c r="AC15" s="209">
        <v>2770500</v>
      </c>
      <c r="AD15" s="210">
        <f t="shared" si="0"/>
        <v>2500</v>
      </c>
      <c r="AE15" s="316">
        <f>AD15/WATER!V16</f>
        <v>5.8275058275058278</v>
      </c>
      <c r="AF15" s="223">
        <f t="shared" si="23"/>
        <v>300</v>
      </c>
      <c r="AG15" s="224">
        <f>(AD15/'Finance Only'!B18)*100</f>
        <v>9.2726530915025407</v>
      </c>
      <c r="AH15" s="209">
        <f t="shared" si="24"/>
        <v>1109834</v>
      </c>
      <c r="AI15" s="209">
        <v>1110324</v>
      </c>
      <c r="AJ15" s="210">
        <f t="shared" si="25"/>
        <v>490</v>
      </c>
      <c r="AK15" s="223">
        <f t="shared" si="26"/>
        <v>-9</v>
      </c>
      <c r="AL15" s="224">
        <f>(AJ15/'Finance Only'!B18)*100</f>
        <v>1.8174400059344982</v>
      </c>
      <c r="AM15" s="209">
        <f t="shared" si="27"/>
        <v>1127300</v>
      </c>
      <c r="AN15" s="209">
        <v>1128100</v>
      </c>
      <c r="AO15" s="210">
        <f t="shared" si="28"/>
        <v>800</v>
      </c>
      <c r="AP15" s="223">
        <f t="shared" si="29"/>
        <v>100</v>
      </c>
      <c r="AQ15" s="224">
        <f>(AO15/'Finance Only'!B18)*100</f>
        <v>2.9672489892808129</v>
      </c>
      <c r="AR15" s="209">
        <f t="shared" si="30"/>
        <v>2515800</v>
      </c>
      <c r="AS15" s="209">
        <v>2517200</v>
      </c>
      <c r="AT15" s="210">
        <f t="shared" si="31"/>
        <v>1400</v>
      </c>
      <c r="AU15" s="223">
        <f t="shared" si="32"/>
        <v>100</v>
      </c>
      <c r="AV15" s="224">
        <f>(AT15/'Finance Only'!B18)*100</f>
        <v>5.192685731241423</v>
      </c>
      <c r="AW15" s="209">
        <f t="shared" si="33"/>
        <v>294200</v>
      </c>
      <c r="AX15" s="209">
        <v>298200</v>
      </c>
      <c r="AY15" s="210">
        <f t="shared" si="34"/>
        <v>4000</v>
      </c>
      <c r="AZ15" s="223">
        <f t="shared" si="35"/>
        <v>140</v>
      </c>
      <c r="BA15" s="224">
        <f>(AY15/'Finance Only'!B18)*100</f>
        <v>14.836244946404065</v>
      </c>
      <c r="BB15" s="209">
        <f t="shared" si="36"/>
        <v>1011800</v>
      </c>
      <c r="BC15" s="209">
        <v>1012200</v>
      </c>
      <c r="BD15" s="210">
        <f t="shared" si="37"/>
        <v>400</v>
      </c>
      <c r="BE15" s="223">
        <f t="shared" si="38"/>
        <v>400</v>
      </c>
      <c r="BF15" s="224">
        <f>(BD15/'Finance Only'!B18)*100</f>
        <v>1.4836244946404065</v>
      </c>
      <c r="BG15" s="209">
        <f t="shared" si="39"/>
        <v>1084100</v>
      </c>
      <c r="BH15" s="209">
        <v>1084400</v>
      </c>
      <c r="BI15" s="210">
        <f t="shared" si="40"/>
        <v>300</v>
      </c>
      <c r="BJ15" s="223">
        <f t="shared" si="41"/>
        <v>100</v>
      </c>
      <c r="BK15" s="224">
        <f>(BI15/'Finance Only'!B18)*100</f>
        <v>1.1127183709803048</v>
      </c>
      <c r="BL15" s="209">
        <f t="shared" si="42"/>
        <v>1614000</v>
      </c>
      <c r="BM15" s="209">
        <v>1614600</v>
      </c>
      <c r="BN15" s="210">
        <f t="shared" si="43"/>
        <v>600</v>
      </c>
      <c r="BO15" s="223">
        <f t="shared" si="44"/>
        <v>100</v>
      </c>
      <c r="BP15" s="224">
        <f>(BN15/'Finance Only'!B18)*100</f>
        <v>2.2254367419606096</v>
      </c>
      <c r="BQ15" s="209">
        <f t="shared" si="45"/>
        <v>142400</v>
      </c>
      <c r="BR15" s="209">
        <v>142590</v>
      </c>
      <c r="BS15" s="210">
        <f t="shared" si="46"/>
        <v>190</v>
      </c>
      <c r="BT15" s="223">
        <f t="shared" si="47"/>
        <v>-20</v>
      </c>
      <c r="BU15" s="224">
        <f>(BS15/'Finance Only'!B18)*100</f>
        <v>0.70472163495419315</v>
      </c>
      <c r="BV15" s="209">
        <f t="shared" si="48"/>
        <v>599270</v>
      </c>
      <c r="BW15" s="209">
        <v>599680</v>
      </c>
      <c r="BX15" s="210">
        <f t="shared" si="49"/>
        <v>410</v>
      </c>
      <c r="BY15" s="223">
        <f t="shared" si="50"/>
        <v>-60</v>
      </c>
      <c r="BZ15" s="224">
        <f>(BX15/'Finance Only'!B18)*100</f>
        <v>1.5207151070064167</v>
      </c>
      <c r="CA15" s="209">
        <f t="shared" si="51"/>
        <v>1126800</v>
      </c>
      <c r="CB15" s="209">
        <v>1128000</v>
      </c>
      <c r="CC15" s="210">
        <f t="shared" si="52"/>
        <v>1200</v>
      </c>
      <c r="CD15" s="223">
        <f t="shared" si="53"/>
        <v>100</v>
      </c>
      <c r="CE15" s="224">
        <f>(CC15/'Finance Only'!B18)*100</f>
        <v>4.4508734839212192</v>
      </c>
      <c r="CF15" s="209">
        <f t="shared" si="54"/>
        <v>371060</v>
      </c>
      <c r="CG15" s="209">
        <v>371500</v>
      </c>
      <c r="CH15" s="210">
        <f t="shared" si="55"/>
        <v>440</v>
      </c>
      <c r="CI15" s="223">
        <f t="shared" si="56"/>
        <v>-70</v>
      </c>
      <c r="CJ15" s="224">
        <f>(CH15/'Finance Only'!B18)*100</f>
        <v>1.6319869441044472</v>
      </c>
      <c r="CK15" s="210">
        <f t="shared" si="57"/>
        <v>860760</v>
      </c>
      <c r="CL15" s="210">
        <v>861590</v>
      </c>
      <c r="CM15" s="210">
        <f t="shared" si="58"/>
        <v>830</v>
      </c>
      <c r="CN15" s="223">
        <f>CM15-CM14</f>
        <v>0</v>
      </c>
      <c r="CO15" s="224">
        <f>(CM15/'Finance Only'!B18)*100</f>
        <v>3.0785208263788433</v>
      </c>
      <c r="CP15" s="209">
        <f t="shared" si="110"/>
        <v>714040</v>
      </c>
      <c r="CQ15" s="209">
        <v>714710</v>
      </c>
      <c r="CR15" s="211">
        <f t="shared" si="109"/>
        <v>670</v>
      </c>
      <c r="CS15" s="223">
        <f t="shared" si="60"/>
        <v>-120</v>
      </c>
      <c r="CT15" s="224">
        <f>(CR15/'Finance Only'!B18)*100</f>
        <v>2.4850710285226807</v>
      </c>
      <c r="CU15" s="209">
        <f t="shared" si="61"/>
        <v>591180</v>
      </c>
      <c r="CV15" s="209">
        <v>591650</v>
      </c>
      <c r="CW15" s="210">
        <f t="shared" si="62"/>
        <v>470</v>
      </c>
      <c r="CX15" s="223">
        <f t="shared" si="63"/>
        <v>-80</v>
      </c>
      <c r="CY15" s="224">
        <f>(CW15/'Finance Only'!B18)*100</f>
        <v>1.7432587812024776</v>
      </c>
      <c r="CZ15" s="209">
        <f t="shared" si="64"/>
        <v>987220</v>
      </c>
      <c r="DA15" s="209">
        <v>988040</v>
      </c>
      <c r="DB15" s="210">
        <f t="shared" si="65"/>
        <v>820</v>
      </c>
      <c r="DC15" s="223">
        <f t="shared" si="66"/>
        <v>-30</v>
      </c>
      <c r="DD15" s="224">
        <f>(DB15/'Finance Only'!B18)*100</f>
        <v>3.0414302140128333</v>
      </c>
      <c r="DE15" s="209">
        <f t="shared" si="67"/>
        <v>757390</v>
      </c>
      <c r="DF15" s="209">
        <v>758210</v>
      </c>
      <c r="DG15" s="210">
        <f t="shared" si="68"/>
        <v>820</v>
      </c>
      <c r="DH15" s="223">
        <f t="shared" si="69"/>
        <v>150</v>
      </c>
      <c r="DI15" s="224">
        <f>(DG15/'Finance Only'!B18)*100</f>
        <v>3.0414302140128333</v>
      </c>
      <c r="DJ15" s="209">
        <f t="shared" si="70"/>
        <v>656190</v>
      </c>
      <c r="DK15" s="209">
        <v>656850</v>
      </c>
      <c r="DL15" s="210">
        <f t="shared" si="71"/>
        <v>660</v>
      </c>
      <c r="DM15" s="223">
        <f t="shared" si="72"/>
        <v>100</v>
      </c>
      <c r="DN15" s="224">
        <f>(DL15/'Finance Only'!B18)*100</f>
        <v>2.4479804161566707</v>
      </c>
      <c r="DO15" s="209">
        <f t="shared" si="73"/>
        <v>356040</v>
      </c>
      <c r="DP15" s="209">
        <v>356290</v>
      </c>
      <c r="DQ15" s="210">
        <f t="shared" si="74"/>
        <v>250</v>
      </c>
      <c r="DR15" s="223">
        <f t="shared" si="75"/>
        <v>0</v>
      </c>
      <c r="DS15" s="224">
        <f>(DQ15/'Finance Only'!B18)*100</f>
        <v>0.92726530915025407</v>
      </c>
      <c r="DT15" s="209">
        <f t="shared" si="76"/>
        <v>117980</v>
      </c>
      <c r="DU15" s="209">
        <v>118120</v>
      </c>
      <c r="DV15" s="210">
        <f t="shared" si="77"/>
        <v>140</v>
      </c>
      <c r="DW15" s="223">
        <f t="shared" si="78"/>
        <v>0</v>
      </c>
      <c r="DX15" s="224">
        <f>(DV15/'Finance Only'!B18)*100</f>
        <v>0.51926857312414232</v>
      </c>
      <c r="DY15" s="209">
        <f t="shared" si="79"/>
        <v>757720</v>
      </c>
      <c r="DZ15" s="209">
        <v>758630</v>
      </c>
      <c r="EA15" s="210">
        <f t="shared" si="80"/>
        <v>910</v>
      </c>
      <c r="EB15" s="223">
        <f t="shared" si="81"/>
        <v>-60</v>
      </c>
      <c r="EC15" s="224">
        <f>(EA15/'Finance Only'!B18)*100</f>
        <v>3.3752457253069243</v>
      </c>
      <c r="ED15" s="209">
        <f t="shared" si="82"/>
        <v>241080</v>
      </c>
      <c r="EE15" s="209">
        <v>241350</v>
      </c>
      <c r="EF15" s="210">
        <f t="shared" si="83"/>
        <v>270</v>
      </c>
      <c r="EG15" s="223">
        <f t="shared" si="84"/>
        <v>30</v>
      </c>
      <c r="EH15" s="224">
        <f>(EF15/'Finance Only'!B18)*100</f>
        <v>1.0014465338822744</v>
      </c>
      <c r="EI15" s="209">
        <f t="shared" si="85"/>
        <v>273290</v>
      </c>
      <c r="EJ15" s="209">
        <v>273540</v>
      </c>
      <c r="EK15" s="210">
        <f t="shared" si="86"/>
        <v>250</v>
      </c>
      <c r="EL15" s="223">
        <f t="shared" si="87"/>
        <v>-100</v>
      </c>
      <c r="EM15" s="224">
        <f>(EK15/'Finance Only'!B18)*100</f>
        <v>0.92726530915025407</v>
      </c>
      <c r="EN15" s="209">
        <f t="shared" si="88"/>
        <v>446760</v>
      </c>
      <c r="EO15" s="209">
        <v>447290</v>
      </c>
      <c r="EP15" s="210">
        <f t="shared" si="89"/>
        <v>530</v>
      </c>
      <c r="EQ15" s="223">
        <f t="shared" si="90"/>
        <v>0</v>
      </c>
      <c r="ER15" s="224">
        <f>(EP15/'Finance Only'!B18)*100</f>
        <v>1.9658024553985385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>
        <f>(EZ15/'Finance Only'!G18)*100</f>
        <v>0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5"/>
      <c r="FI15" s="295"/>
      <c r="FJ15" s="295"/>
      <c r="FK15" s="295"/>
      <c r="FL15" s="295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8">
        <f t="shared" si="1"/>
        <v>7620</v>
      </c>
      <c r="GD15" s="276"/>
      <c r="GE15" s="278">
        <f t="shared" si="2"/>
        <v>7303</v>
      </c>
      <c r="GF15" s="276"/>
      <c r="GG15" s="278">
        <f t="shared" si="3"/>
        <v>2200</v>
      </c>
      <c r="GH15" s="276"/>
      <c r="GI15" s="278">
        <f t="shared" si="4"/>
        <v>4700</v>
      </c>
      <c r="GJ15" s="276"/>
      <c r="GK15" s="278">
        <f t="shared" si="5"/>
        <v>790</v>
      </c>
      <c r="GL15" s="276"/>
      <c r="GM15" s="278">
        <f t="shared" si="6"/>
        <v>0</v>
      </c>
      <c r="GN15" s="276"/>
    </row>
    <row r="16" spans="1:196" s="3" customFormat="1" ht="13.5" customHeight="1" x14ac:dyDescent="0.2">
      <c r="A16" s="264">
        <v>12</v>
      </c>
      <c r="B16" s="267">
        <f>'Finance Only'!G19</f>
        <v>36.9</v>
      </c>
      <c r="C16" s="262">
        <f t="shared" si="7"/>
        <v>27226661</v>
      </c>
      <c r="D16" s="207">
        <v>27230639</v>
      </c>
      <c r="E16" s="208">
        <f t="shared" si="8"/>
        <v>3978</v>
      </c>
      <c r="F16" s="219">
        <f t="shared" si="9"/>
        <v>129</v>
      </c>
      <c r="G16" s="220">
        <f>(E16/'Finance Only'!B19)*100</f>
        <v>14.834427207637232</v>
      </c>
      <c r="H16" s="230">
        <f t="shared" si="10"/>
        <v>25161046</v>
      </c>
      <c r="I16" s="207">
        <v>25165210</v>
      </c>
      <c r="J16" s="207">
        <f t="shared" si="11"/>
        <v>4164</v>
      </c>
      <c r="K16" s="231">
        <f t="shared" si="12"/>
        <v>393</v>
      </c>
      <c r="L16" s="232">
        <f>(J16/'Finance Only'!B19)*100</f>
        <v>15.528042959427207</v>
      </c>
      <c r="M16" s="215">
        <f t="shared" si="13"/>
        <v>92601480</v>
      </c>
      <c r="N16" s="209">
        <v>92614159</v>
      </c>
      <c r="O16" s="210">
        <f t="shared" si="14"/>
        <v>12679</v>
      </c>
      <c r="P16" s="223">
        <f t="shared" si="15"/>
        <v>-947</v>
      </c>
      <c r="Q16" s="224">
        <f>(O16/'Finance Only'!B19)*100</f>
        <v>47.281473747016705</v>
      </c>
      <c r="R16" s="214">
        <f t="shared" si="16"/>
        <v>3173700</v>
      </c>
      <c r="S16" s="209">
        <v>3176100</v>
      </c>
      <c r="T16" s="210">
        <f t="shared" si="17"/>
        <v>2400</v>
      </c>
      <c r="U16" s="223">
        <f t="shared" si="18"/>
        <v>-100</v>
      </c>
      <c r="V16" s="224">
        <f>(T16/'Finance Only'!B19)*100</f>
        <v>8.949880668257757</v>
      </c>
      <c r="W16" s="209">
        <f t="shared" si="19"/>
        <v>4259744</v>
      </c>
      <c r="X16" s="209">
        <v>4262605</v>
      </c>
      <c r="Y16" s="210">
        <f t="shared" si="20"/>
        <v>2861</v>
      </c>
      <c r="Z16" s="223">
        <f t="shared" si="21"/>
        <v>18</v>
      </c>
      <c r="AA16" s="224">
        <f>(Y16/'Finance Only'!B19)*100</f>
        <v>10.669003579952268</v>
      </c>
      <c r="AB16" s="209">
        <f t="shared" si="22"/>
        <v>2770500</v>
      </c>
      <c r="AC16" s="209">
        <v>2773200</v>
      </c>
      <c r="AD16" s="210">
        <f t="shared" si="0"/>
        <v>2700</v>
      </c>
      <c r="AE16" s="316">
        <f>AD16/WATER!V17</f>
        <v>5.202312138728324</v>
      </c>
      <c r="AF16" s="223">
        <f t="shared" si="23"/>
        <v>200</v>
      </c>
      <c r="AG16" s="224">
        <f>(AD16/'Finance Only'!B19)*100</f>
        <v>10.068615751789975</v>
      </c>
      <c r="AH16" s="209">
        <f t="shared" si="24"/>
        <v>1110324</v>
      </c>
      <c r="AI16" s="209">
        <v>1110833</v>
      </c>
      <c r="AJ16" s="210">
        <f t="shared" si="25"/>
        <v>509</v>
      </c>
      <c r="AK16" s="223">
        <f t="shared" si="26"/>
        <v>19</v>
      </c>
      <c r="AL16" s="224">
        <f>(AJ16/'Finance Only'!B19)*100</f>
        <v>1.898120525059666</v>
      </c>
      <c r="AM16" s="209">
        <f t="shared" si="27"/>
        <v>1128100</v>
      </c>
      <c r="AN16" s="209">
        <v>1128800</v>
      </c>
      <c r="AO16" s="210">
        <f t="shared" si="28"/>
        <v>700</v>
      </c>
      <c r="AP16" s="223">
        <f t="shared" si="29"/>
        <v>-100</v>
      </c>
      <c r="AQ16" s="224">
        <f>(AO16/'Finance Only'!B19)*100</f>
        <v>2.610381861575179</v>
      </c>
      <c r="AR16" s="209">
        <f t="shared" si="30"/>
        <v>2517200</v>
      </c>
      <c r="AS16" s="209">
        <v>2518600</v>
      </c>
      <c r="AT16" s="210">
        <f t="shared" si="31"/>
        <v>1400</v>
      </c>
      <c r="AU16" s="223">
        <f t="shared" si="32"/>
        <v>0</v>
      </c>
      <c r="AV16" s="224">
        <f>(AT16/'Finance Only'!B19)*100</f>
        <v>5.2207637231503581</v>
      </c>
      <c r="AW16" s="209">
        <f t="shared" si="33"/>
        <v>298200</v>
      </c>
      <c r="AX16" s="209">
        <v>301910</v>
      </c>
      <c r="AY16" s="210">
        <f t="shared" si="34"/>
        <v>3710</v>
      </c>
      <c r="AZ16" s="223">
        <f t="shared" si="35"/>
        <v>-290</v>
      </c>
      <c r="BA16" s="224">
        <f>(AY16/'Finance Only'!B19)*100</f>
        <v>13.835023866348447</v>
      </c>
      <c r="BB16" s="209">
        <f t="shared" si="36"/>
        <v>1012200</v>
      </c>
      <c r="BC16" s="209">
        <v>1012600</v>
      </c>
      <c r="BD16" s="210">
        <f t="shared" si="37"/>
        <v>400</v>
      </c>
      <c r="BE16" s="223">
        <f t="shared" si="38"/>
        <v>0</v>
      </c>
      <c r="BF16" s="224">
        <f>(BD16/'Finance Only'!B19)*100</f>
        <v>1.4916467780429594</v>
      </c>
      <c r="BG16" s="209">
        <f t="shared" si="39"/>
        <v>1084400</v>
      </c>
      <c r="BH16" s="209">
        <v>1084700</v>
      </c>
      <c r="BI16" s="210">
        <f t="shared" si="40"/>
        <v>300</v>
      </c>
      <c r="BJ16" s="223">
        <f t="shared" si="41"/>
        <v>0</v>
      </c>
      <c r="BK16" s="224">
        <f>(BI16/'Finance Only'!B19)*100</f>
        <v>1.1187350835322196</v>
      </c>
      <c r="BL16" s="209">
        <f t="shared" si="42"/>
        <v>1614600</v>
      </c>
      <c r="BM16" s="209">
        <v>1615100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1.8645584725536992</v>
      </c>
      <c r="BQ16" s="209">
        <f t="shared" si="45"/>
        <v>142590</v>
      </c>
      <c r="BR16" s="209">
        <v>142730</v>
      </c>
      <c r="BS16" s="210">
        <f t="shared" si="46"/>
        <v>140</v>
      </c>
      <c r="BT16" s="223">
        <f t="shared" si="47"/>
        <v>-50</v>
      </c>
      <c r="BU16" s="224">
        <f>(BS16/'Finance Only'!B19)*100</f>
        <v>0.52207637231503579</v>
      </c>
      <c r="BV16" s="209">
        <f t="shared" si="48"/>
        <v>599680</v>
      </c>
      <c r="BW16" s="209">
        <v>600050</v>
      </c>
      <c r="BX16" s="210">
        <f t="shared" si="49"/>
        <v>370</v>
      </c>
      <c r="BY16" s="223">
        <f t="shared" si="50"/>
        <v>-40</v>
      </c>
      <c r="BZ16" s="224">
        <f>(BX16/'Finance Only'!B19)*100</f>
        <v>1.3797732696897376</v>
      </c>
      <c r="CA16" s="209">
        <f t="shared" si="51"/>
        <v>1128000</v>
      </c>
      <c r="CB16" s="209">
        <v>1129100</v>
      </c>
      <c r="CC16" s="210">
        <f t="shared" si="52"/>
        <v>1100</v>
      </c>
      <c r="CD16" s="223">
        <f t="shared" si="53"/>
        <v>-100</v>
      </c>
      <c r="CE16" s="224">
        <f>(CC16/'Finance Only'!B19)*100</f>
        <v>4.1020286396181387</v>
      </c>
      <c r="CF16" s="209">
        <f t="shared" si="54"/>
        <v>371500</v>
      </c>
      <c r="CG16" s="209">
        <v>371960</v>
      </c>
      <c r="CH16" s="210">
        <f t="shared" si="55"/>
        <v>460</v>
      </c>
      <c r="CI16" s="223">
        <f t="shared" si="56"/>
        <v>20</v>
      </c>
      <c r="CJ16" s="224">
        <f>(CH16/'Finance Only'!B19)*100</f>
        <v>1.7153937947494031</v>
      </c>
      <c r="CK16" s="210">
        <f t="shared" si="57"/>
        <v>861590</v>
      </c>
      <c r="CL16" s="210">
        <v>862440</v>
      </c>
      <c r="CM16" s="210">
        <f t="shared" si="58"/>
        <v>850</v>
      </c>
      <c r="CN16" s="223">
        <f t="shared" si="59"/>
        <v>20</v>
      </c>
      <c r="CO16" s="224">
        <f>(CM16/'Finance Only'!B19)*100</f>
        <v>3.1697494033412892</v>
      </c>
      <c r="CP16" s="209">
        <f t="shared" si="110"/>
        <v>714710</v>
      </c>
      <c r="CQ16" s="209">
        <v>715420</v>
      </c>
      <c r="CR16" s="211">
        <f>MAX(0,CQ16-CP16)</f>
        <v>710</v>
      </c>
      <c r="CS16" s="223">
        <f t="shared" si="60"/>
        <v>40</v>
      </c>
      <c r="CT16" s="224">
        <f>(CR16/'Finance Only'!B19)*100</f>
        <v>2.6476730310262533</v>
      </c>
      <c r="CU16" s="209">
        <f t="shared" si="61"/>
        <v>591650</v>
      </c>
      <c r="CV16" s="209">
        <v>592160</v>
      </c>
      <c r="CW16" s="210">
        <f t="shared" si="62"/>
        <v>510</v>
      </c>
      <c r="CX16" s="223">
        <f t="shared" si="63"/>
        <v>40</v>
      </c>
      <c r="CY16" s="224">
        <f>(CW16/'Finance Only'!B19)*100</f>
        <v>1.9018496420047732</v>
      </c>
      <c r="CZ16" s="209">
        <f t="shared" si="64"/>
        <v>988040</v>
      </c>
      <c r="DA16" s="209">
        <v>989060</v>
      </c>
      <c r="DB16" s="210">
        <f t="shared" si="65"/>
        <v>1020</v>
      </c>
      <c r="DC16" s="223">
        <f t="shared" si="66"/>
        <v>200</v>
      </c>
      <c r="DD16" s="224">
        <f>(DB16/'Finance Only'!B19)*100</f>
        <v>3.8036992840095465</v>
      </c>
      <c r="DE16" s="209">
        <f t="shared" si="67"/>
        <v>758210</v>
      </c>
      <c r="DF16" s="209">
        <v>759030</v>
      </c>
      <c r="DG16" s="210">
        <f t="shared" si="68"/>
        <v>820</v>
      </c>
      <c r="DH16" s="223">
        <f t="shared" si="69"/>
        <v>0</v>
      </c>
      <c r="DI16" s="224">
        <f>(DG16/'Finance Only'!B19)*100</f>
        <v>3.0578758949880669</v>
      </c>
      <c r="DJ16" s="209">
        <f t="shared" si="70"/>
        <v>656850</v>
      </c>
      <c r="DK16" s="209">
        <v>657610</v>
      </c>
      <c r="DL16" s="210">
        <f t="shared" si="71"/>
        <v>760</v>
      </c>
      <c r="DM16" s="223">
        <f t="shared" si="72"/>
        <v>100</v>
      </c>
      <c r="DN16" s="224">
        <f>(DL16/'Finance Only'!B19)*100</f>
        <v>2.8341288782816227</v>
      </c>
      <c r="DO16" s="209">
        <f t="shared" si="73"/>
        <v>356290</v>
      </c>
      <c r="DP16" s="209">
        <v>356550</v>
      </c>
      <c r="DQ16" s="210">
        <f t="shared" si="74"/>
        <v>260</v>
      </c>
      <c r="DR16" s="223">
        <f t="shared" si="75"/>
        <v>10</v>
      </c>
      <c r="DS16" s="224">
        <f>(DQ16/'Finance Only'!B19)*100</f>
        <v>0.96957040572792363</v>
      </c>
      <c r="DT16" s="209">
        <f t="shared" si="76"/>
        <v>118120</v>
      </c>
      <c r="DU16" s="209">
        <v>118230</v>
      </c>
      <c r="DV16" s="210">
        <f t="shared" si="77"/>
        <v>110</v>
      </c>
      <c r="DW16" s="223">
        <f t="shared" si="78"/>
        <v>-30</v>
      </c>
      <c r="DX16" s="224">
        <f>(DV16/'Finance Only'!B19)*100</f>
        <v>0.41020286396181388</v>
      </c>
      <c r="DY16" s="209">
        <f t="shared" si="79"/>
        <v>758630</v>
      </c>
      <c r="DZ16" s="209">
        <v>759530</v>
      </c>
      <c r="EA16" s="210">
        <f t="shared" si="80"/>
        <v>900</v>
      </c>
      <c r="EB16" s="223">
        <f t="shared" si="81"/>
        <v>-10</v>
      </c>
      <c r="EC16" s="224">
        <f>(EA16/'Finance Only'!B19)*100</f>
        <v>3.3562052505966591</v>
      </c>
      <c r="ED16" s="209">
        <f t="shared" si="82"/>
        <v>241350</v>
      </c>
      <c r="EE16" s="209">
        <v>241600</v>
      </c>
      <c r="EF16" s="210">
        <f t="shared" si="83"/>
        <v>250</v>
      </c>
      <c r="EG16" s="223">
        <f t="shared" si="84"/>
        <v>-20</v>
      </c>
      <c r="EH16" s="224">
        <f>(EF16/'Finance Only'!B19)*100</f>
        <v>0.93227923627684961</v>
      </c>
      <c r="EI16" s="209">
        <f t="shared" si="85"/>
        <v>273540</v>
      </c>
      <c r="EJ16" s="209">
        <v>273880</v>
      </c>
      <c r="EK16" s="210">
        <f t="shared" si="86"/>
        <v>340</v>
      </c>
      <c r="EL16" s="223">
        <f t="shared" si="87"/>
        <v>90</v>
      </c>
      <c r="EM16" s="224">
        <f>(EK16/'Finance Only'!B19)*100</f>
        <v>1.2678997613365155</v>
      </c>
      <c r="EN16" s="209">
        <f t="shared" si="88"/>
        <v>447290</v>
      </c>
      <c r="EO16" s="209">
        <v>447830</v>
      </c>
      <c r="EP16" s="210">
        <f t="shared" si="89"/>
        <v>540</v>
      </c>
      <c r="EQ16" s="223">
        <f t="shared" si="90"/>
        <v>10</v>
      </c>
      <c r="ER16" s="224">
        <f>(EP16/'Finance Only'!B19)*100</f>
        <v>2.0137231503579951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>
        <f>(EZ16/'Finance Only'!G19)*100</f>
        <v>0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5"/>
      <c r="FI16" s="295"/>
      <c r="FJ16" s="295"/>
      <c r="FK16" s="295"/>
      <c r="FL16" s="295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8">
        <f t="shared" si="1"/>
        <v>8142</v>
      </c>
      <c r="GD16" s="276"/>
      <c r="GE16" s="278">
        <f t="shared" si="2"/>
        <v>7291</v>
      </c>
      <c r="GF16" s="276"/>
      <c r="GG16" s="278">
        <f t="shared" si="3"/>
        <v>2100</v>
      </c>
      <c r="GH16" s="276"/>
      <c r="GI16" s="278">
        <f t="shared" si="4"/>
        <v>4410</v>
      </c>
      <c r="GJ16" s="276"/>
      <c r="GK16" s="278">
        <f t="shared" si="5"/>
        <v>640</v>
      </c>
      <c r="GL16" s="276"/>
      <c r="GM16" s="278">
        <f t="shared" si="6"/>
        <v>0</v>
      </c>
      <c r="GN16" s="276"/>
    </row>
    <row r="17" spans="1:1105" s="3" customFormat="1" ht="13.5" customHeight="1" x14ac:dyDescent="0.2">
      <c r="A17" s="264">
        <v>13</v>
      </c>
      <c r="B17" s="267">
        <f>'Finance Only'!G20</f>
        <v>39.799999999999997</v>
      </c>
      <c r="C17" s="262">
        <f t="shared" si="7"/>
        <v>27230639</v>
      </c>
      <c r="D17" s="207">
        <v>27234485</v>
      </c>
      <c r="E17" s="208">
        <f t="shared" si="8"/>
        <v>3846</v>
      </c>
      <c r="F17" s="219">
        <f t="shared" si="9"/>
        <v>-132</v>
      </c>
      <c r="G17" s="220">
        <f>(E17/'Finance Only'!B20)*100</f>
        <v>14.765616001842824</v>
      </c>
      <c r="H17" s="230">
        <f t="shared" si="10"/>
        <v>25165210</v>
      </c>
      <c r="I17" s="207">
        <v>25169158</v>
      </c>
      <c r="J17" s="207">
        <f t="shared" si="11"/>
        <v>3948</v>
      </c>
      <c r="K17" s="231">
        <f t="shared" si="12"/>
        <v>-216</v>
      </c>
      <c r="L17" s="232">
        <f>(J17/'Finance Only'!B20)*100</f>
        <v>15.157215802203709</v>
      </c>
      <c r="M17" s="215">
        <f t="shared" si="13"/>
        <v>92614159</v>
      </c>
      <c r="N17" s="209">
        <v>92626370</v>
      </c>
      <c r="O17" s="210">
        <f t="shared" si="14"/>
        <v>12211</v>
      </c>
      <c r="P17" s="223">
        <f t="shared" si="15"/>
        <v>-468</v>
      </c>
      <c r="Q17" s="224">
        <f>(O17/'Finance Only'!B20)*100</f>
        <v>46.880638845164512</v>
      </c>
      <c r="R17" s="214">
        <f t="shared" si="16"/>
        <v>3176100</v>
      </c>
      <c r="S17" s="209">
        <v>3178500</v>
      </c>
      <c r="T17" s="210">
        <f t="shared" si="17"/>
        <v>2400</v>
      </c>
      <c r="U17" s="223">
        <f t="shared" si="18"/>
        <v>0</v>
      </c>
      <c r="V17" s="224">
        <f>(T17/'Finance Only'!B20)*100</f>
        <v>9.2141129496679071</v>
      </c>
      <c r="W17" s="209">
        <f t="shared" si="19"/>
        <v>4262605</v>
      </c>
      <c r="X17" s="209">
        <v>4265460</v>
      </c>
      <c r="Y17" s="210">
        <f t="shared" si="20"/>
        <v>2855</v>
      </c>
      <c r="Z17" s="223">
        <f t="shared" si="21"/>
        <v>-6</v>
      </c>
      <c r="AA17" s="224">
        <f>(Y17/'Finance Only'!B20)*100</f>
        <v>10.960955196375782</v>
      </c>
      <c r="AB17" s="209">
        <f t="shared" si="22"/>
        <v>2773200</v>
      </c>
      <c r="AC17" s="209">
        <v>2775500</v>
      </c>
      <c r="AD17" s="210">
        <f t="shared" si="0"/>
        <v>2300</v>
      </c>
      <c r="AE17" s="316">
        <f>AD17/WATER!V18</f>
        <v>4.7325102880658436</v>
      </c>
      <c r="AF17" s="223">
        <f t="shared" si="23"/>
        <v>-400</v>
      </c>
      <c r="AG17" s="224">
        <f>(AD17/'Finance Only'!B20)*100</f>
        <v>8.8301915767650776</v>
      </c>
      <c r="AH17" s="209">
        <f t="shared" si="24"/>
        <v>1110833</v>
      </c>
      <c r="AI17" s="209">
        <v>1111315</v>
      </c>
      <c r="AJ17" s="210">
        <f t="shared" si="25"/>
        <v>482</v>
      </c>
      <c r="AK17" s="223">
        <f t="shared" si="26"/>
        <v>-27</v>
      </c>
      <c r="AL17" s="224">
        <f>(AJ17/'Finance Only'!B20)*100</f>
        <v>1.8505010173916383</v>
      </c>
      <c r="AM17" s="209">
        <f t="shared" si="27"/>
        <v>1128800</v>
      </c>
      <c r="AN17" s="209">
        <v>1129500</v>
      </c>
      <c r="AO17" s="210">
        <f t="shared" si="28"/>
        <v>700</v>
      </c>
      <c r="AP17" s="223">
        <f t="shared" si="29"/>
        <v>0</v>
      </c>
      <c r="AQ17" s="224">
        <f>(AO17/'Finance Only'!B20)*100</f>
        <v>2.6874496103198067</v>
      </c>
      <c r="AR17" s="209">
        <f t="shared" si="30"/>
        <v>2518600</v>
      </c>
      <c r="AS17" s="209">
        <v>2520000</v>
      </c>
      <c r="AT17" s="210">
        <f t="shared" si="31"/>
        <v>1400</v>
      </c>
      <c r="AU17" s="223">
        <f t="shared" si="32"/>
        <v>0</v>
      </c>
      <c r="AV17" s="224">
        <f>(AT17/'Finance Only'!B20)*100</f>
        <v>5.3748992206396133</v>
      </c>
      <c r="AW17" s="209">
        <f t="shared" si="33"/>
        <v>301910</v>
      </c>
      <c r="AX17" s="209">
        <v>305850</v>
      </c>
      <c r="AY17" s="210">
        <f t="shared" si="34"/>
        <v>3940</v>
      </c>
      <c r="AZ17" s="223">
        <f t="shared" si="35"/>
        <v>230</v>
      </c>
      <c r="BA17" s="224">
        <f>(AY17/'Finance Only'!B20)*100</f>
        <v>15.126502092371483</v>
      </c>
      <c r="BB17" s="209">
        <f t="shared" si="36"/>
        <v>1012600</v>
      </c>
      <c r="BC17" s="209">
        <v>1012900</v>
      </c>
      <c r="BD17" s="210">
        <f t="shared" si="37"/>
        <v>300</v>
      </c>
      <c r="BE17" s="223">
        <f t="shared" si="38"/>
        <v>-100</v>
      </c>
      <c r="BF17" s="224">
        <f>(BD17/'Finance Only'!B20)*100</f>
        <v>1.1517641187084884</v>
      </c>
      <c r="BG17" s="209">
        <f t="shared" si="39"/>
        <v>1084700</v>
      </c>
      <c r="BH17" s="209">
        <v>1084900</v>
      </c>
      <c r="BI17" s="210">
        <f t="shared" si="40"/>
        <v>200</v>
      </c>
      <c r="BJ17" s="223">
        <f t="shared" si="41"/>
        <v>-100</v>
      </c>
      <c r="BK17" s="224">
        <f>(BI17/'Finance Only'!B20)*100</f>
        <v>0.76784274580565903</v>
      </c>
      <c r="BL17" s="209">
        <f t="shared" si="42"/>
        <v>1615100</v>
      </c>
      <c r="BM17" s="209">
        <v>1615600</v>
      </c>
      <c r="BN17" s="210">
        <f t="shared" si="43"/>
        <v>500</v>
      </c>
      <c r="BO17" s="223">
        <f t="shared" si="44"/>
        <v>0</v>
      </c>
      <c r="BP17" s="224">
        <f>(BN17/'Finance Only'!B20)*100</f>
        <v>1.9196068645141475</v>
      </c>
      <c r="BQ17" s="209">
        <f t="shared" si="45"/>
        <v>142730</v>
      </c>
      <c r="BR17" s="209">
        <v>142900</v>
      </c>
      <c r="BS17" s="210">
        <f t="shared" si="46"/>
        <v>170</v>
      </c>
      <c r="BT17" s="223">
        <f t="shared" si="47"/>
        <v>30</v>
      </c>
      <c r="BU17" s="224">
        <f>(BS17/'Finance Only'!B20)*100</f>
        <v>0.65266633393481011</v>
      </c>
      <c r="BV17" s="209">
        <f t="shared" si="48"/>
        <v>600050</v>
      </c>
      <c r="BW17" s="209">
        <v>600460</v>
      </c>
      <c r="BX17" s="210">
        <f t="shared" si="49"/>
        <v>410</v>
      </c>
      <c r="BY17" s="223">
        <f t="shared" si="50"/>
        <v>40</v>
      </c>
      <c r="BZ17" s="224">
        <f>(BX17/'Finance Only'!B20)*100</f>
        <v>1.574077628901601</v>
      </c>
      <c r="CA17" s="209">
        <f t="shared" si="51"/>
        <v>1129100</v>
      </c>
      <c r="CB17" s="209">
        <v>1130200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4.223135101931125</v>
      </c>
      <c r="CF17" s="209">
        <f t="shared" si="54"/>
        <v>371960</v>
      </c>
      <c r="CG17" s="209">
        <v>372440</v>
      </c>
      <c r="CH17" s="210">
        <f t="shared" si="55"/>
        <v>480</v>
      </c>
      <c r="CI17" s="223">
        <f t="shared" si="56"/>
        <v>20</v>
      </c>
      <c r="CJ17" s="224">
        <f>(CH17/'Finance Only'!B20)*100</f>
        <v>1.8428225899335817</v>
      </c>
      <c r="CK17" s="210">
        <f t="shared" si="57"/>
        <v>862440</v>
      </c>
      <c r="CL17" s="210">
        <v>863360</v>
      </c>
      <c r="CM17" s="210">
        <f t="shared" si="58"/>
        <v>920</v>
      </c>
      <c r="CN17" s="223">
        <f t="shared" si="59"/>
        <v>70</v>
      </c>
      <c r="CO17" s="224">
        <f>(CM17/'Finance Only'!B20)*100</f>
        <v>3.532076630706031</v>
      </c>
      <c r="CP17" s="209">
        <f t="shared" si="110"/>
        <v>715420</v>
      </c>
      <c r="CQ17" s="209">
        <v>716120</v>
      </c>
      <c r="CR17" s="211">
        <f>MAX(0,CQ17-CP17)</f>
        <v>700</v>
      </c>
      <c r="CS17" s="223">
        <f t="shared" si="60"/>
        <v>-10</v>
      </c>
      <c r="CT17" s="224">
        <f>(CR17/'Finance Only'!B20)*100</f>
        <v>2.6874496103198067</v>
      </c>
      <c r="CU17" s="209">
        <f t="shared" si="61"/>
        <v>592160</v>
      </c>
      <c r="CV17" s="209">
        <v>592830</v>
      </c>
      <c r="CW17" s="210">
        <f t="shared" si="62"/>
        <v>670</v>
      </c>
      <c r="CX17" s="223">
        <f t="shared" si="63"/>
        <v>160</v>
      </c>
      <c r="CY17" s="224">
        <f>(CW17/'Finance Only'!B20)*100</f>
        <v>2.5722731984489577</v>
      </c>
      <c r="CZ17" s="209">
        <f t="shared" si="64"/>
        <v>989060</v>
      </c>
      <c r="DA17" s="209">
        <v>990230</v>
      </c>
      <c r="DB17" s="210">
        <f t="shared" si="65"/>
        <v>1170</v>
      </c>
      <c r="DC17" s="223">
        <f t="shared" si="66"/>
        <v>150</v>
      </c>
      <c r="DD17" s="224">
        <f>(DB17/'Finance Only'!B20)*100</f>
        <v>4.491880062963105</v>
      </c>
      <c r="DE17" s="209">
        <f t="shared" si="67"/>
        <v>759030</v>
      </c>
      <c r="DF17" s="209">
        <v>759800</v>
      </c>
      <c r="DG17" s="210">
        <f t="shared" si="68"/>
        <v>770</v>
      </c>
      <c r="DH17" s="223">
        <f t="shared" si="69"/>
        <v>-50</v>
      </c>
      <c r="DI17" s="224">
        <f>(DG17/'Finance Only'!B20)*100</f>
        <v>2.9561945713517872</v>
      </c>
      <c r="DJ17" s="209">
        <f t="shared" si="70"/>
        <v>657610</v>
      </c>
      <c r="DK17" s="209">
        <v>658220</v>
      </c>
      <c r="DL17" s="210">
        <f t="shared" si="71"/>
        <v>610</v>
      </c>
      <c r="DM17" s="223">
        <f t="shared" si="72"/>
        <v>-150</v>
      </c>
      <c r="DN17" s="224">
        <f>(DL17/'Finance Only'!B20)*100</f>
        <v>2.3419203747072603</v>
      </c>
      <c r="DO17" s="209">
        <f t="shared" si="73"/>
        <v>356550</v>
      </c>
      <c r="DP17" s="209">
        <v>356820</v>
      </c>
      <c r="DQ17" s="210">
        <f t="shared" si="74"/>
        <v>270</v>
      </c>
      <c r="DR17" s="223">
        <f t="shared" si="75"/>
        <v>10</v>
      </c>
      <c r="DS17" s="224">
        <f>(DQ17/'Finance Only'!B20)*100</f>
        <v>1.0365877068376397</v>
      </c>
      <c r="DT17" s="209">
        <f t="shared" si="76"/>
        <v>118230</v>
      </c>
      <c r="DU17" s="209">
        <v>118340</v>
      </c>
      <c r="DV17" s="210">
        <f t="shared" si="77"/>
        <v>110</v>
      </c>
      <c r="DW17" s="223">
        <f t="shared" si="78"/>
        <v>0</v>
      </c>
      <c r="DX17" s="224">
        <f>(DV17/'Finance Only'!B20)*100</f>
        <v>0.42231351019311242</v>
      </c>
      <c r="DY17" s="209">
        <f t="shared" si="79"/>
        <v>759530</v>
      </c>
      <c r="DZ17" s="209">
        <v>760450</v>
      </c>
      <c r="EA17" s="210">
        <f t="shared" si="80"/>
        <v>920</v>
      </c>
      <c r="EB17" s="223">
        <f t="shared" si="81"/>
        <v>20</v>
      </c>
      <c r="EC17" s="224">
        <f>(EA17/'Finance Only'!B20)*100</f>
        <v>3.532076630706031</v>
      </c>
      <c r="ED17" s="209">
        <f t="shared" si="82"/>
        <v>241600</v>
      </c>
      <c r="EE17" s="209">
        <v>241870</v>
      </c>
      <c r="EF17" s="210">
        <f t="shared" si="83"/>
        <v>270</v>
      </c>
      <c r="EG17" s="223">
        <f t="shared" si="84"/>
        <v>20</v>
      </c>
      <c r="EH17" s="224">
        <f>(EF17/'Finance Only'!B20)*100</f>
        <v>1.0365877068376397</v>
      </c>
      <c r="EI17" s="209">
        <f t="shared" si="85"/>
        <v>273880</v>
      </c>
      <c r="EJ17" s="209">
        <v>274250</v>
      </c>
      <c r="EK17" s="210">
        <f t="shared" si="86"/>
        <v>370</v>
      </c>
      <c r="EL17" s="223">
        <f t="shared" si="87"/>
        <v>30</v>
      </c>
      <c r="EM17" s="224">
        <f>(EK17/'Finance Only'!B20)*100</f>
        <v>1.4205090797404691</v>
      </c>
      <c r="EN17" s="209">
        <f t="shared" si="88"/>
        <v>447830</v>
      </c>
      <c r="EO17" s="209">
        <v>448340</v>
      </c>
      <c r="EP17" s="210">
        <f t="shared" si="89"/>
        <v>510</v>
      </c>
      <c r="EQ17" s="223">
        <f t="shared" si="90"/>
        <v>-30</v>
      </c>
      <c r="ER17" s="224">
        <f>(EP17/'Finance Only'!B20)*100</f>
        <v>1.9579990018044304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>
        <f>(EZ17/'Finance Only'!G20)*100</f>
        <v>0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5"/>
      <c r="FI17" s="295"/>
      <c r="FJ17" s="295"/>
      <c r="FK17" s="295"/>
      <c r="FL17" s="295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8">
        <f t="shared" si="1"/>
        <v>7794</v>
      </c>
      <c r="GD17" s="276"/>
      <c r="GE17" s="278">
        <f t="shared" si="2"/>
        <v>7325</v>
      </c>
      <c r="GF17" s="276"/>
      <c r="GG17" s="278">
        <f t="shared" si="3"/>
        <v>2100</v>
      </c>
      <c r="GH17" s="276"/>
      <c r="GI17" s="278">
        <f t="shared" si="4"/>
        <v>4440</v>
      </c>
      <c r="GJ17" s="276"/>
      <c r="GK17" s="278">
        <f t="shared" si="5"/>
        <v>670</v>
      </c>
      <c r="GL17" s="276"/>
      <c r="GM17" s="278">
        <f t="shared" si="6"/>
        <v>0</v>
      </c>
      <c r="GN17" s="276"/>
    </row>
    <row r="18" spans="1:1105" s="3" customFormat="1" ht="13.5" customHeight="1" x14ac:dyDescent="0.2">
      <c r="A18" s="264">
        <v>14</v>
      </c>
      <c r="B18" s="267">
        <f>'Finance Only'!G21</f>
        <v>35.9</v>
      </c>
      <c r="C18" s="262">
        <f t="shared" si="7"/>
        <v>27234485</v>
      </c>
      <c r="D18" s="207">
        <v>27238208</v>
      </c>
      <c r="E18" s="208">
        <f t="shared" si="8"/>
        <v>3723</v>
      </c>
      <c r="F18" s="219">
        <f t="shared" si="9"/>
        <v>-123</v>
      </c>
      <c r="G18" s="220">
        <f>(E18/'Finance Only'!B21)*100</f>
        <v>14.656903271524744</v>
      </c>
      <c r="H18" s="230">
        <f t="shared" si="10"/>
        <v>25169158</v>
      </c>
      <c r="I18" s="207">
        <v>25173013</v>
      </c>
      <c r="J18" s="207">
        <f t="shared" si="11"/>
        <v>3855</v>
      </c>
      <c r="K18" s="231">
        <f t="shared" si="12"/>
        <v>-93</v>
      </c>
      <c r="L18" s="232">
        <f>(J18/'Finance Only'!B21)*100</f>
        <v>15.176567851659383</v>
      </c>
      <c r="M18" s="215">
        <f t="shared" si="13"/>
        <v>92626370</v>
      </c>
      <c r="N18" s="209">
        <v>92638314</v>
      </c>
      <c r="O18" s="210">
        <f t="shared" si="14"/>
        <v>11944</v>
      </c>
      <c r="P18" s="223">
        <f t="shared" si="15"/>
        <v>-267</v>
      </c>
      <c r="Q18" s="224">
        <f>(O18/'Finance Only'!B21)*100</f>
        <v>47.021770796425336</v>
      </c>
      <c r="R18" s="214">
        <f t="shared" si="16"/>
        <v>3178500</v>
      </c>
      <c r="S18" s="209">
        <v>3180700</v>
      </c>
      <c r="T18" s="210">
        <f t="shared" si="17"/>
        <v>2200</v>
      </c>
      <c r="U18" s="223">
        <f t="shared" si="18"/>
        <v>-200</v>
      </c>
      <c r="V18" s="224">
        <f>(T18/'Finance Only'!B21)*100</f>
        <v>8.6610763355773397</v>
      </c>
      <c r="W18" s="209">
        <f t="shared" si="19"/>
        <v>4265460</v>
      </c>
      <c r="X18" s="209">
        <v>4268238</v>
      </c>
      <c r="Y18" s="210">
        <f t="shared" si="20"/>
        <v>2778</v>
      </c>
      <c r="Z18" s="223">
        <f t="shared" si="21"/>
        <v>-77</v>
      </c>
      <c r="AA18" s="224">
        <f>(Y18/'Finance Only'!B21)*100</f>
        <v>10.936577300106295</v>
      </c>
      <c r="AB18" s="209">
        <f t="shared" si="22"/>
        <v>2775500</v>
      </c>
      <c r="AC18" s="209">
        <v>2777500</v>
      </c>
      <c r="AD18" s="210">
        <f t="shared" si="0"/>
        <v>2000</v>
      </c>
      <c r="AE18" s="316">
        <f>AD18/WATER!V19</f>
        <v>5.1282051282051286</v>
      </c>
      <c r="AF18" s="223">
        <f t="shared" si="23"/>
        <v>-300</v>
      </c>
      <c r="AG18" s="224">
        <f>(AD18/'Finance Only'!B21)*100</f>
        <v>7.8737057596157634</v>
      </c>
      <c r="AH18" s="209">
        <f t="shared" si="24"/>
        <v>1111315</v>
      </c>
      <c r="AI18" s="209">
        <v>1111853</v>
      </c>
      <c r="AJ18" s="210">
        <f t="shared" si="25"/>
        <v>538</v>
      </c>
      <c r="AK18" s="223">
        <f t="shared" si="26"/>
        <v>56</v>
      </c>
      <c r="AL18" s="224">
        <f>(AJ18/'Finance Only'!B21)*100</f>
        <v>2.1180268493366401</v>
      </c>
      <c r="AM18" s="209">
        <f t="shared" si="27"/>
        <v>1129500</v>
      </c>
      <c r="AN18" s="209">
        <v>1130100</v>
      </c>
      <c r="AO18" s="210">
        <f t="shared" si="28"/>
        <v>600</v>
      </c>
      <c r="AP18" s="223">
        <f t="shared" si="29"/>
        <v>-100</v>
      </c>
      <c r="AQ18" s="224">
        <f>(AO18/'Finance Only'!B21)*100</f>
        <v>2.362111727884729</v>
      </c>
      <c r="AR18" s="209">
        <f t="shared" si="30"/>
        <v>2520000</v>
      </c>
      <c r="AS18" s="209">
        <v>2521500</v>
      </c>
      <c r="AT18" s="210">
        <f t="shared" si="31"/>
        <v>1500</v>
      </c>
      <c r="AU18" s="223">
        <f t="shared" si="32"/>
        <v>100</v>
      </c>
      <c r="AV18" s="224">
        <f>(AT18/'Finance Only'!B21)*100</f>
        <v>5.9052793197118225</v>
      </c>
      <c r="AW18" s="209">
        <f t="shared" si="33"/>
        <v>305850</v>
      </c>
      <c r="AX18" s="209">
        <v>309520</v>
      </c>
      <c r="AY18" s="210">
        <f t="shared" si="34"/>
        <v>3670</v>
      </c>
      <c r="AZ18" s="223">
        <f t="shared" si="35"/>
        <v>-270</v>
      </c>
      <c r="BA18" s="224">
        <f>(AY18/'Finance Only'!B21)*100</f>
        <v>14.448250068894925</v>
      </c>
      <c r="BB18" s="209">
        <f t="shared" si="36"/>
        <v>1012900</v>
      </c>
      <c r="BC18" s="209">
        <v>1013000</v>
      </c>
      <c r="BD18" s="210">
        <f t="shared" si="37"/>
        <v>100</v>
      </c>
      <c r="BE18" s="223">
        <f t="shared" si="38"/>
        <v>-200</v>
      </c>
      <c r="BF18" s="224">
        <f>(BD18/'Finance Only'!B21)*100</f>
        <v>0.39368528798078811</v>
      </c>
      <c r="BG18" s="209">
        <f t="shared" si="39"/>
        <v>1084900</v>
      </c>
      <c r="BH18" s="209">
        <v>1085200</v>
      </c>
      <c r="BI18" s="210">
        <f t="shared" si="40"/>
        <v>300</v>
      </c>
      <c r="BJ18" s="223">
        <f t="shared" si="41"/>
        <v>100</v>
      </c>
      <c r="BK18" s="224">
        <f>(BI18/'Finance Only'!B21)*100</f>
        <v>1.1810558639423645</v>
      </c>
      <c r="BL18" s="209">
        <f t="shared" si="42"/>
        <v>1615600</v>
      </c>
      <c r="BM18" s="209">
        <v>1616200</v>
      </c>
      <c r="BN18" s="210">
        <f t="shared" si="43"/>
        <v>600</v>
      </c>
      <c r="BO18" s="223">
        <f t="shared" si="44"/>
        <v>100</v>
      </c>
      <c r="BP18" s="224">
        <f>(BN18/'Finance Only'!B21)*100</f>
        <v>2.362111727884729</v>
      </c>
      <c r="BQ18" s="209">
        <f t="shared" si="45"/>
        <v>142900</v>
      </c>
      <c r="BR18" s="209">
        <v>143050</v>
      </c>
      <c r="BS18" s="210">
        <f t="shared" si="46"/>
        <v>150</v>
      </c>
      <c r="BT18" s="223">
        <f t="shared" si="47"/>
        <v>-20</v>
      </c>
      <c r="BU18" s="224">
        <f>(BS18/'Finance Only'!B21)*100</f>
        <v>0.59052793197118225</v>
      </c>
      <c r="BV18" s="209">
        <f t="shared" si="48"/>
        <v>600460</v>
      </c>
      <c r="BW18" s="209">
        <v>600940</v>
      </c>
      <c r="BX18" s="210">
        <f t="shared" si="49"/>
        <v>480</v>
      </c>
      <c r="BY18" s="223">
        <f t="shared" si="50"/>
        <v>70</v>
      </c>
      <c r="BZ18" s="224">
        <f>(BX18/'Finance Only'!B21)*100</f>
        <v>1.8896893823077834</v>
      </c>
      <c r="CA18" s="209">
        <f t="shared" si="51"/>
        <v>1130200</v>
      </c>
      <c r="CB18" s="209">
        <v>1131300</v>
      </c>
      <c r="CC18" s="210">
        <f t="shared" si="52"/>
        <v>1100</v>
      </c>
      <c r="CD18" s="223">
        <f t="shared" si="53"/>
        <v>0</v>
      </c>
      <c r="CE18" s="224">
        <f>(CC18/'Finance Only'!B21)*100</f>
        <v>4.3305381677886698</v>
      </c>
      <c r="CF18" s="209">
        <f t="shared" si="54"/>
        <v>372440</v>
      </c>
      <c r="CG18" s="209">
        <v>372800</v>
      </c>
      <c r="CH18" s="210">
        <f t="shared" si="55"/>
        <v>360</v>
      </c>
      <c r="CI18" s="223">
        <f t="shared" si="56"/>
        <v>-120</v>
      </c>
      <c r="CJ18" s="224">
        <f>(CH18/'Finance Only'!B21)*100</f>
        <v>1.4172670367308373</v>
      </c>
      <c r="CK18" s="210">
        <f t="shared" si="57"/>
        <v>863360</v>
      </c>
      <c r="CL18" s="210">
        <v>864260</v>
      </c>
      <c r="CM18" s="210">
        <f t="shared" si="58"/>
        <v>900</v>
      </c>
      <c r="CN18" s="223">
        <f t="shared" si="59"/>
        <v>-20</v>
      </c>
      <c r="CO18" s="224">
        <f>(CM18/'Finance Only'!B21)*100</f>
        <v>3.5431675918270935</v>
      </c>
      <c r="CP18" s="209">
        <f t="shared" si="110"/>
        <v>716120</v>
      </c>
      <c r="CQ18" s="209">
        <v>716770</v>
      </c>
      <c r="CR18" s="211">
        <f>MAX(0,CQ18-CP18)</f>
        <v>650</v>
      </c>
      <c r="CS18" s="223">
        <f t="shared" si="60"/>
        <v>-50</v>
      </c>
      <c r="CT18" s="224">
        <f>(CR18/'Finance Only'!B21)*100</f>
        <v>2.5589543718751231</v>
      </c>
      <c r="CU18" s="209">
        <f t="shared" si="61"/>
        <v>592830</v>
      </c>
      <c r="CV18" s="209">
        <v>593440</v>
      </c>
      <c r="CW18" s="210">
        <f t="shared" si="62"/>
        <v>610</v>
      </c>
      <c r="CX18" s="223">
        <f t="shared" si="63"/>
        <v>-60</v>
      </c>
      <c r="CY18" s="224">
        <f>(CW18/'Finance Only'!B21)*100</f>
        <v>2.4014802566828077</v>
      </c>
      <c r="CZ18" s="209">
        <f t="shared" si="64"/>
        <v>990230</v>
      </c>
      <c r="DA18" s="209">
        <v>991160</v>
      </c>
      <c r="DB18" s="210">
        <f t="shared" si="65"/>
        <v>930</v>
      </c>
      <c r="DC18" s="223">
        <f t="shared" si="66"/>
        <v>-240</v>
      </c>
      <c r="DD18" s="224">
        <f>(DB18/'Finance Only'!B21)*100</f>
        <v>3.6612731782213297</v>
      </c>
      <c r="DE18" s="209">
        <f t="shared" si="67"/>
        <v>759800</v>
      </c>
      <c r="DF18" s="209">
        <v>761400</v>
      </c>
      <c r="DG18" s="210">
        <f t="shared" si="68"/>
        <v>1600</v>
      </c>
      <c r="DH18" s="223">
        <f t="shared" si="69"/>
        <v>830</v>
      </c>
      <c r="DI18" s="224">
        <f>(DG18/'Finance Only'!B21)*100</f>
        <v>6.2989646076926098</v>
      </c>
      <c r="DJ18" s="209">
        <f t="shared" si="70"/>
        <v>658220</v>
      </c>
      <c r="DK18" s="209">
        <v>658860</v>
      </c>
      <c r="DL18" s="210">
        <f t="shared" si="71"/>
        <v>640</v>
      </c>
      <c r="DM18" s="223">
        <f t="shared" si="72"/>
        <v>30</v>
      </c>
      <c r="DN18" s="224">
        <f>(DL18/'Finance Only'!B21)*100</f>
        <v>2.5195858430770444</v>
      </c>
      <c r="DO18" s="209">
        <f t="shared" si="73"/>
        <v>356820</v>
      </c>
      <c r="DP18" s="209">
        <v>357090</v>
      </c>
      <c r="DQ18" s="210">
        <f t="shared" si="74"/>
        <v>270</v>
      </c>
      <c r="DR18" s="223">
        <f t="shared" si="75"/>
        <v>0</v>
      </c>
      <c r="DS18" s="224">
        <f>(DQ18/'Finance Only'!B21)*100</f>
        <v>1.0629502775481281</v>
      </c>
      <c r="DT18" s="209">
        <f t="shared" si="76"/>
        <v>118340</v>
      </c>
      <c r="DU18" s="209">
        <v>118490</v>
      </c>
      <c r="DV18" s="210">
        <f t="shared" si="77"/>
        <v>150</v>
      </c>
      <c r="DW18" s="223">
        <f t="shared" si="78"/>
        <v>40</v>
      </c>
      <c r="DX18" s="224">
        <f>(DV18/'Finance Only'!B21)*100</f>
        <v>0.59052793197118225</v>
      </c>
      <c r="DY18" s="209">
        <f t="shared" si="79"/>
        <v>760450</v>
      </c>
      <c r="DZ18" s="209">
        <v>760500</v>
      </c>
      <c r="EA18" s="210">
        <f t="shared" si="80"/>
        <v>50</v>
      </c>
      <c r="EB18" s="223">
        <f t="shared" si="81"/>
        <v>-870</v>
      </c>
      <c r="EC18" s="224">
        <f>(EA18/'Finance Only'!B21)*100</f>
        <v>0.19684264399039406</v>
      </c>
      <c r="ED18" s="209">
        <f t="shared" si="82"/>
        <v>241870</v>
      </c>
      <c r="EE18" s="209">
        <v>242140</v>
      </c>
      <c r="EF18" s="210">
        <f t="shared" si="83"/>
        <v>270</v>
      </c>
      <c r="EG18" s="223">
        <f t="shared" si="84"/>
        <v>0</v>
      </c>
      <c r="EH18" s="224">
        <f>(EF18/'Finance Only'!B21)*100</f>
        <v>1.0629502775481281</v>
      </c>
      <c r="EI18" s="209">
        <f t="shared" si="85"/>
        <v>274250</v>
      </c>
      <c r="EJ18" s="209">
        <v>274590</v>
      </c>
      <c r="EK18" s="210">
        <f t="shared" si="86"/>
        <v>340</v>
      </c>
      <c r="EL18" s="223">
        <f t="shared" si="87"/>
        <v>-30</v>
      </c>
      <c r="EM18" s="224">
        <f>(EK18/'Finance Only'!B21)*100</f>
        <v>1.3385299791346796</v>
      </c>
      <c r="EN18" s="209">
        <f t="shared" si="88"/>
        <v>448340</v>
      </c>
      <c r="EO18" s="209">
        <v>448870</v>
      </c>
      <c r="EP18" s="210">
        <f t="shared" si="89"/>
        <v>530</v>
      </c>
      <c r="EQ18" s="223">
        <f t="shared" si="90"/>
        <v>20</v>
      </c>
      <c r="ER18" s="224">
        <f>(EP18/'Finance Only'!B21)*100</f>
        <v>2.086532026298177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>
        <f>(EZ18/'Finance Only'!G21)*100</f>
        <v>0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5"/>
      <c r="FI18" s="295"/>
      <c r="FJ18" s="295"/>
      <c r="FK18" s="295"/>
      <c r="FL18" s="295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8">
        <f t="shared" si="1"/>
        <v>7578</v>
      </c>
      <c r="GD18" s="276"/>
      <c r="GE18" s="278">
        <f t="shared" si="2"/>
        <v>6168</v>
      </c>
      <c r="GF18" s="276"/>
      <c r="GG18" s="278">
        <f t="shared" si="3"/>
        <v>2100</v>
      </c>
      <c r="GH18" s="276"/>
      <c r="GI18" s="278">
        <f t="shared" si="4"/>
        <v>4070</v>
      </c>
      <c r="GJ18" s="276"/>
      <c r="GK18" s="278">
        <f t="shared" si="5"/>
        <v>750</v>
      </c>
      <c r="GL18" s="276"/>
      <c r="GM18" s="278">
        <f t="shared" si="6"/>
        <v>0</v>
      </c>
      <c r="GN18" s="276"/>
    </row>
    <row r="19" spans="1:1105" s="3" customFormat="1" ht="13.5" customHeight="1" x14ac:dyDescent="0.2">
      <c r="A19" s="264">
        <v>15</v>
      </c>
      <c r="B19" s="267">
        <f>'Finance Only'!G22</f>
        <v>46.6</v>
      </c>
      <c r="C19" s="262">
        <f t="shared" si="7"/>
        <v>27238208</v>
      </c>
      <c r="D19" s="207">
        <v>27241909</v>
      </c>
      <c r="E19" s="208">
        <f t="shared" si="8"/>
        <v>3701</v>
      </c>
      <c r="F19" s="219">
        <f t="shared" si="9"/>
        <v>-22</v>
      </c>
      <c r="G19" s="220">
        <f>(E19/'Finance Only'!B22)*100</f>
        <v>14.690588655578932</v>
      </c>
      <c r="H19" s="230">
        <f t="shared" si="10"/>
        <v>25173013</v>
      </c>
      <c r="I19" s="207">
        <v>25176820</v>
      </c>
      <c r="J19" s="207">
        <f t="shared" si="11"/>
        <v>3807</v>
      </c>
      <c r="K19" s="231">
        <f t="shared" si="12"/>
        <v>-48</v>
      </c>
      <c r="L19" s="232">
        <f>(J19/'Finance Only'!B22)*100</f>
        <v>15.111340451712776</v>
      </c>
      <c r="M19" s="215">
        <f t="shared" si="13"/>
        <v>92638314</v>
      </c>
      <c r="N19" s="209">
        <v>92650067</v>
      </c>
      <c r="O19" s="210">
        <f t="shared" si="14"/>
        <v>11753</v>
      </c>
      <c r="P19" s="223">
        <f t="shared" si="15"/>
        <v>-191</v>
      </c>
      <c r="Q19" s="224">
        <f>(O19/'Finance Only'!B22)*100</f>
        <v>46.651847735482079</v>
      </c>
      <c r="R19" s="214">
        <f t="shared" si="16"/>
        <v>3180700</v>
      </c>
      <c r="S19" s="209">
        <v>3183000</v>
      </c>
      <c r="T19" s="210">
        <f t="shared" si="17"/>
        <v>2300</v>
      </c>
      <c r="U19" s="223">
        <f t="shared" si="18"/>
        <v>100</v>
      </c>
      <c r="V19" s="224">
        <f>(T19/'Finance Only'!B22)*100</f>
        <v>9.1295201047910144</v>
      </c>
      <c r="W19" s="209">
        <f t="shared" si="19"/>
        <v>4268238</v>
      </c>
      <c r="X19" s="209">
        <v>4271119</v>
      </c>
      <c r="Y19" s="210">
        <f t="shared" si="20"/>
        <v>2881</v>
      </c>
      <c r="Z19" s="223">
        <f t="shared" si="21"/>
        <v>103</v>
      </c>
      <c r="AA19" s="224">
        <f>(Y19/'Finance Only'!B22)*100</f>
        <v>11.43571627039257</v>
      </c>
      <c r="AB19" s="209">
        <f t="shared" si="22"/>
        <v>2777500</v>
      </c>
      <c r="AC19" s="209">
        <v>2779200</v>
      </c>
      <c r="AD19" s="210">
        <f t="shared" si="0"/>
        <v>1700</v>
      </c>
      <c r="AE19" s="316">
        <f>AD19/WATER!V20</f>
        <v>5.1204819277108431</v>
      </c>
      <c r="AF19" s="223">
        <f t="shared" si="23"/>
        <v>-300</v>
      </c>
      <c r="AG19" s="224">
        <f>(AD19/'Finance Only'!B22)*100</f>
        <v>6.7479061644107494</v>
      </c>
      <c r="AH19" s="209">
        <f t="shared" si="24"/>
        <v>1111853</v>
      </c>
      <c r="AI19" s="209">
        <v>1112356</v>
      </c>
      <c r="AJ19" s="210">
        <f t="shared" si="25"/>
        <v>503</v>
      </c>
      <c r="AK19" s="223">
        <f t="shared" si="26"/>
        <v>-35</v>
      </c>
      <c r="AL19" s="224">
        <f>(AJ19/'Finance Only'!B22)*100</f>
        <v>1.9965863533521218</v>
      </c>
      <c r="AM19" s="209">
        <f t="shared" si="27"/>
        <v>1130100</v>
      </c>
      <c r="AN19" s="209">
        <v>1130800</v>
      </c>
      <c r="AO19" s="210">
        <f t="shared" si="28"/>
        <v>700</v>
      </c>
      <c r="AP19" s="223">
        <f t="shared" si="29"/>
        <v>100</v>
      </c>
      <c r="AQ19" s="224">
        <f>(AO19/'Finance Only'!B22)*100</f>
        <v>2.7785495971103082</v>
      </c>
      <c r="AR19" s="209">
        <f t="shared" si="30"/>
        <v>2521500</v>
      </c>
      <c r="AS19" s="209">
        <v>2522800</v>
      </c>
      <c r="AT19" s="210">
        <f t="shared" si="31"/>
        <v>1300</v>
      </c>
      <c r="AU19" s="223">
        <f t="shared" si="32"/>
        <v>-200</v>
      </c>
      <c r="AV19" s="224">
        <f>(AT19/'Finance Only'!B22)*100</f>
        <v>5.1601635374905728</v>
      </c>
      <c r="AW19" s="209">
        <f t="shared" si="33"/>
        <v>309520</v>
      </c>
      <c r="AX19" s="209">
        <v>313240</v>
      </c>
      <c r="AY19" s="210">
        <f t="shared" si="34"/>
        <v>3720</v>
      </c>
      <c r="AZ19" s="223">
        <f t="shared" si="35"/>
        <v>50</v>
      </c>
      <c r="BA19" s="224">
        <f>(AY19/'Finance Only'!B22)*100</f>
        <v>14.76600643035764</v>
      </c>
      <c r="BB19" s="209">
        <f t="shared" si="36"/>
        <v>1013000</v>
      </c>
      <c r="BC19" s="209">
        <v>1013700</v>
      </c>
      <c r="BD19" s="210">
        <f t="shared" si="37"/>
        <v>700</v>
      </c>
      <c r="BE19" s="223">
        <f t="shared" si="38"/>
        <v>600</v>
      </c>
      <c r="BF19" s="224">
        <f>(BD19/'Finance Only'!B22)*100</f>
        <v>2.7785495971103082</v>
      </c>
      <c r="BG19" s="209">
        <f t="shared" si="39"/>
        <v>1085200</v>
      </c>
      <c r="BH19" s="209">
        <v>1085500</v>
      </c>
      <c r="BI19" s="210">
        <f t="shared" si="40"/>
        <v>300</v>
      </c>
      <c r="BJ19" s="223">
        <f t="shared" si="41"/>
        <v>0</v>
      </c>
      <c r="BK19" s="224">
        <f>(BI19/'Finance Only'!B22)*100</f>
        <v>1.1908069701901323</v>
      </c>
      <c r="BL19" s="209">
        <f t="shared" si="42"/>
        <v>1616200</v>
      </c>
      <c r="BM19" s="209">
        <v>1616700</v>
      </c>
      <c r="BN19" s="210">
        <f t="shared" si="43"/>
        <v>500</v>
      </c>
      <c r="BO19" s="223">
        <f t="shared" si="44"/>
        <v>-100</v>
      </c>
      <c r="BP19" s="224">
        <f>(BN19/'Finance Only'!B22)*100</f>
        <v>1.9846782836502204</v>
      </c>
      <c r="BQ19" s="209">
        <f t="shared" si="45"/>
        <v>143050</v>
      </c>
      <c r="BR19" s="209">
        <v>143210</v>
      </c>
      <c r="BS19" s="210">
        <f t="shared" si="46"/>
        <v>160</v>
      </c>
      <c r="BT19" s="223">
        <f t="shared" si="47"/>
        <v>10</v>
      </c>
      <c r="BU19" s="224">
        <f>(BS19/'Finance Only'!B22)*100</f>
        <v>0.63509705076807044</v>
      </c>
      <c r="BV19" s="209">
        <f t="shared" si="48"/>
        <v>600940</v>
      </c>
      <c r="BW19" s="209">
        <v>601370</v>
      </c>
      <c r="BX19" s="210">
        <f t="shared" si="49"/>
        <v>430</v>
      </c>
      <c r="BY19" s="223">
        <f t="shared" si="50"/>
        <v>-50</v>
      </c>
      <c r="BZ19" s="224">
        <f>(BX19/'Finance Only'!B22)*100</f>
        <v>1.7068233239391895</v>
      </c>
      <c r="CA19" s="209">
        <f t="shared" si="51"/>
        <v>1131300</v>
      </c>
      <c r="CB19" s="209">
        <v>1132400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4.3662922240304844</v>
      </c>
      <c r="CF19" s="209">
        <f t="shared" si="54"/>
        <v>372800</v>
      </c>
      <c r="CG19" s="209">
        <v>373190</v>
      </c>
      <c r="CH19" s="210">
        <f t="shared" si="55"/>
        <v>390</v>
      </c>
      <c r="CI19" s="223">
        <f t="shared" si="56"/>
        <v>30</v>
      </c>
      <c r="CJ19" s="224">
        <f>(CH19/'Finance Only'!B22)*100</f>
        <v>1.5480490612471718</v>
      </c>
      <c r="CK19" s="210">
        <f t="shared" si="57"/>
        <v>864260</v>
      </c>
      <c r="CL19" s="210">
        <v>865020</v>
      </c>
      <c r="CM19" s="210">
        <f t="shared" si="58"/>
        <v>760</v>
      </c>
      <c r="CN19" s="223">
        <f t="shared" si="59"/>
        <v>-140</v>
      </c>
      <c r="CO19" s="224">
        <f>(CM19/'Finance Only'!B22)*100</f>
        <v>3.0167109911483347</v>
      </c>
      <c r="CP19" s="209">
        <f>CQ18</f>
        <v>716770</v>
      </c>
      <c r="CQ19" s="209">
        <v>717380</v>
      </c>
      <c r="CR19" s="211">
        <f>MAX(0,CQ19-CP19)</f>
        <v>610</v>
      </c>
      <c r="CS19" s="223">
        <f t="shared" si="60"/>
        <v>-40</v>
      </c>
      <c r="CT19" s="224">
        <f>(CR19/'Finance Only'!B22)*100</f>
        <v>2.4213075060532687</v>
      </c>
      <c r="CU19" s="209">
        <f t="shared" si="61"/>
        <v>593440</v>
      </c>
      <c r="CV19" s="209">
        <v>593980</v>
      </c>
      <c r="CW19" s="210">
        <f t="shared" si="62"/>
        <v>540</v>
      </c>
      <c r="CX19" s="223">
        <f t="shared" si="63"/>
        <v>-70</v>
      </c>
      <c r="CY19" s="224">
        <f>(CW19/'Finance Only'!B22)*100</f>
        <v>2.143452546342238</v>
      </c>
      <c r="CZ19" s="209">
        <f t="shared" si="64"/>
        <v>991160</v>
      </c>
      <c r="DA19" s="209">
        <v>992220</v>
      </c>
      <c r="DB19" s="210">
        <f t="shared" si="65"/>
        <v>1060</v>
      </c>
      <c r="DC19" s="223">
        <f t="shared" si="66"/>
        <v>130</v>
      </c>
      <c r="DD19" s="224">
        <f>(DB19/'Finance Only'!B22)*100</f>
        <v>4.2075179613384677</v>
      </c>
      <c r="DE19" s="209">
        <f t="shared" si="67"/>
        <v>761400</v>
      </c>
      <c r="DF19" s="209">
        <v>761140</v>
      </c>
      <c r="DG19" s="210">
        <f t="shared" si="68"/>
        <v>0</v>
      </c>
      <c r="DH19" s="223">
        <f t="shared" si="69"/>
        <v>-1600</v>
      </c>
      <c r="DI19" s="224">
        <f>(DG19/'Finance Only'!B22)*100</f>
        <v>0</v>
      </c>
      <c r="DJ19" s="209">
        <f t="shared" si="70"/>
        <v>658860</v>
      </c>
      <c r="DK19" s="209">
        <v>659480</v>
      </c>
      <c r="DL19" s="210">
        <f t="shared" si="71"/>
        <v>620</v>
      </c>
      <c r="DM19" s="223">
        <f t="shared" si="72"/>
        <v>-20</v>
      </c>
      <c r="DN19" s="224">
        <f>(DL19/'Finance Only'!B22)*100</f>
        <v>2.4610010717262729</v>
      </c>
      <c r="DO19" s="209">
        <f t="shared" si="73"/>
        <v>357090</v>
      </c>
      <c r="DP19" s="209">
        <v>357380</v>
      </c>
      <c r="DQ19" s="210">
        <f t="shared" si="74"/>
        <v>290</v>
      </c>
      <c r="DR19" s="223">
        <f t="shared" si="75"/>
        <v>20</v>
      </c>
      <c r="DS19" s="224">
        <f>(DQ19/'Finance Only'!B22)*100</f>
        <v>1.1511134045171278</v>
      </c>
      <c r="DT19" s="209">
        <f t="shared" si="76"/>
        <v>118490</v>
      </c>
      <c r="DU19" s="209">
        <v>118620</v>
      </c>
      <c r="DV19" s="210">
        <f t="shared" si="77"/>
        <v>130</v>
      </c>
      <c r="DW19" s="223">
        <f t="shared" si="78"/>
        <v>-20</v>
      </c>
      <c r="DX19" s="224">
        <f>(DV19/'Finance Only'!B22)*100</f>
        <v>0.5160163537490573</v>
      </c>
      <c r="DY19" s="209">
        <f t="shared" si="79"/>
        <v>760500</v>
      </c>
      <c r="DZ19" s="209">
        <v>762300</v>
      </c>
      <c r="EA19" s="210">
        <f t="shared" si="80"/>
        <v>1800</v>
      </c>
      <c r="EB19" s="223">
        <f t="shared" si="81"/>
        <v>1750</v>
      </c>
      <c r="EC19" s="224">
        <f>(EA19/'Finance Only'!B22)*100</f>
        <v>7.1448418211407931</v>
      </c>
      <c r="ED19" s="209">
        <f t="shared" si="82"/>
        <v>242140</v>
      </c>
      <c r="EE19" s="209">
        <v>242410</v>
      </c>
      <c r="EF19" s="210">
        <f t="shared" si="83"/>
        <v>270</v>
      </c>
      <c r="EG19" s="223">
        <f t="shared" si="84"/>
        <v>0</v>
      </c>
      <c r="EH19" s="224">
        <f>(EF19/'Finance Only'!B22)*100</f>
        <v>1.071726273171119</v>
      </c>
      <c r="EI19" s="209">
        <f t="shared" si="85"/>
        <v>274590</v>
      </c>
      <c r="EJ19" s="209">
        <v>274940</v>
      </c>
      <c r="EK19" s="210">
        <f t="shared" si="86"/>
        <v>350</v>
      </c>
      <c r="EL19" s="223">
        <f t="shared" si="87"/>
        <v>10</v>
      </c>
      <c r="EM19" s="224">
        <f>(EK19/'Finance Only'!B22)*100</f>
        <v>1.3892747985551541</v>
      </c>
      <c r="EN19" s="209">
        <f t="shared" si="88"/>
        <v>448870</v>
      </c>
      <c r="EO19" s="209">
        <v>449380</v>
      </c>
      <c r="EP19" s="210">
        <f t="shared" si="89"/>
        <v>510</v>
      </c>
      <c r="EQ19" s="223">
        <f t="shared" si="90"/>
        <v>-20</v>
      </c>
      <c r="ER19" s="224">
        <f>(EP19/'Finance Only'!B22)*100</f>
        <v>2.0243718493232246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>
        <f>(EZ19/'Finance Only'!G22)*100</f>
        <v>0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5"/>
      <c r="FI19" s="295"/>
      <c r="FJ19" s="295"/>
      <c r="FK19" s="295"/>
      <c r="FL19" s="295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8">
        <f t="shared" si="1"/>
        <v>7508</v>
      </c>
      <c r="GD19" s="276"/>
      <c r="GE19" s="278">
        <f t="shared" si="2"/>
        <v>8111</v>
      </c>
      <c r="GF19" s="276"/>
      <c r="GG19" s="278">
        <f t="shared" si="3"/>
        <v>2000</v>
      </c>
      <c r="GH19" s="276"/>
      <c r="GI19" s="278">
        <f t="shared" si="4"/>
        <v>4720</v>
      </c>
      <c r="GJ19" s="276"/>
      <c r="GK19" s="278">
        <f t="shared" si="5"/>
        <v>660</v>
      </c>
      <c r="GL19" s="276"/>
      <c r="GM19" s="278">
        <f t="shared" si="6"/>
        <v>0</v>
      </c>
      <c r="GN19" s="276"/>
    </row>
    <row r="20" spans="1:1105" s="3" customFormat="1" ht="13.5" customHeight="1" x14ac:dyDescent="0.2">
      <c r="A20" s="264">
        <v>16</v>
      </c>
      <c r="B20" s="267">
        <f>'Finance Only'!G23</f>
        <v>49.5</v>
      </c>
      <c r="C20" s="262">
        <f t="shared" si="7"/>
        <v>27241909</v>
      </c>
      <c r="D20" s="207">
        <v>27245524</v>
      </c>
      <c r="E20" s="208">
        <f t="shared" si="8"/>
        <v>3615</v>
      </c>
      <c r="F20" s="219">
        <f t="shared" si="9"/>
        <v>-86</v>
      </c>
      <c r="G20" s="220">
        <f>(E20/'Finance Only'!B23)*100</f>
        <v>14.527407169265391</v>
      </c>
      <c r="H20" s="230">
        <f t="shared" si="10"/>
        <v>25176820</v>
      </c>
      <c r="I20" s="207">
        <v>25180555</v>
      </c>
      <c r="J20" s="207">
        <f t="shared" si="11"/>
        <v>3735</v>
      </c>
      <c r="K20" s="231">
        <f t="shared" si="12"/>
        <v>-72</v>
      </c>
      <c r="L20" s="232">
        <f>(J20/'Finance Only'!B23)*100</f>
        <v>15.009644751647643</v>
      </c>
      <c r="M20" s="215">
        <f t="shared" si="13"/>
        <v>92650067</v>
      </c>
      <c r="N20" s="209">
        <v>92661662</v>
      </c>
      <c r="O20" s="210">
        <f t="shared" si="14"/>
        <v>11595</v>
      </c>
      <c r="P20" s="223">
        <f t="shared" si="15"/>
        <v>-158</v>
      </c>
      <c r="Q20" s="224">
        <f>(O20/'Finance Only'!B23)*100</f>
        <v>46.596206397685258</v>
      </c>
      <c r="R20" s="214">
        <f t="shared" si="16"/>
        <v>3183000</v>
      </c>
      <c r="S20" s="209">
        <v>3185200</v>
      </c>
      <c r="T20" s="210">
        <f t="shared" si="17"/>
        <v>2200</v>
      </c>
      <c r="U20" s="223">
        <f t="shared" si="18"/>
        <v>-100</v>
      </c>
      <c r="V20" s="224">
        <f>(T20/'Finance Only'!B23)*100</f>
        <v>8.8410223436746502</v>
      </c>
      <c r="W20" s="209">
        <f t="shared" si="19"/>
        <v>4271119</v>
      </c>
      <c r="X20" s="209">
        <v>4273912</v>
      </c>
      <c r="Y20" s="210">
        <f t="shared" si="20"/>
        <v>2793</v>
      </c>
      <c r="Z20" s="223">
        <f t="shared" si="21"/>
        <v>-88</v>
      </c>
      <c r="AA20" s="224">
        <f>(Y20/'Finance Only'!B23)*100</f>
        <v>11.224079729946954</v>
      </c>
      <c r="AB20" s="209">
        <f t="shared" si="22"/>
        <v>2779200</v>
      </c>
      <c r="AC20" s="209">
        <v>2780900</v>
      </c>
      <c r="AD20" s="210">
        <f t="shared" si="0"/>
        <v>1700</v>
      </c>
      <c r="AE20" s="316">
        <f>AD20/WATER!V21</f>
        <v>5.2147239263803682</v>
      </c>
      <c r="AF20" s="223">
        <f t="shared" si="23"/>
        <v>0</v>
      </c>
      <c r="AG20" s="224">
        <f>(AD20/'Finance Only'!B23)*100</f>
        <v>6.8316990837485934</v>
      </c>
      <c r="AH20" s="209">
        <f t="shared" si="24"/>
        <v>1112356</v>
      </c>
      <c r="AI20" s="209">
        <v>1112848</v>
      </c>
      <c r="AJ20" s="210">
        <f t="shared" si="25"/>
        <v>492</v>
      </c>
      <c r="AK20" s="223">
        <f t="shared" si="26"/>
        <v>-11</v>
      </c>
      <c r="AL20" s="224">
        <f>(AJ20/'Finance Only'!B23)*100</f>
        <v>1.9771740877672399</v>
      </c>
      <c r="AM20" s="209">
        <f t="shared" si="27"/>
        <v>1130800</v>
      </c>
      <c r="AN20" s="209">
        <v>1131500</v>
      </c>
      <c r="AO20" s="210">
        <f t="shared" si="28"/>
        <v>700</v>
      </c>
      <c r="AP20" s="223">
        <f t="shared" si="29"/>
        <v>0</v>
      </c>
      <c r="AQ20" s="224">
        <f>(AO20/'Finance Only'!B23)*100</f>
        <v>2.8130525638964796</v>
      </c>
      <c r="AR20" s="209">
        <f t="shared" si="30"/>
        <v>2522800</v>
      </c>
      <c r="AS20" s="209">
        <v>2524400</v>
      </c>
      <c r="AT20" s="210">
        <f t="shared" si="31"/>
        <v>1600</v>
      </c>
      <c r="AU20" s="223">
        <f t="shared" si="32"/>
        <v>300</v>
      </c>
      <c r="AV20" s="224">
        <f>(AT20/'Finance Only'!B23)*100</f>
        <v>6.429834431763382</v>
      </c>
      <c r="AW20" s="209">
        <f t="shared" si="33"/>
        <v>313240</v>
      </c>
      <c r="AX20" s="209">
        <v>316880</v>
      </c>
      <c r="AY20" s="210">
        <f t="shared" si="34"/>
        <v>3640</v>
      </c>
      <c r="AZ20" s="223">
        <f t="shared" si="35"/>
        <v>-80</v>
      </c>
      <c r="BA20" s="224">
        <f>(AY20/'Finance Only'!B23)*100</f>
        <v>14.627873332261695</v>
      </c>
      <c r="BB20" s="209">
        <f t="shared" si="36"/>
        <v>1013700</v>
      </c>
      <c r="BC20" s="209">
        <v>1014100</v>
      </c>
      <c r="BD20" s="210">
        <f t="shared" si="37"/>
        <v>400</v>
      </c>
      <c r="BE20" s="223">
        <f t="shared" si="38"/>
        <v>-300</v>
      </c>
      <c r="BF20" s="224">
        <f>(BD20/'Finance Only'!B23)*100</f>
        <v>1.6074586079408455</v>
      </c>
      <c r="BG20" s="209">
        <f t="shared" si="39"/>
        <v>1085500</v>
      </c>
      <c r="BH20" s="209">
        <v>1085800</v>
      </c>
      <c r="BI20" s="210">
        <f t="shared" si="40"/>
        <v>300</v>
      </c>
      <c r="BJ20" s="223">
        <f t="shared" si="41"/>
        <v>0</v>
      </c>
      <c r="BK20" s="224">
        <f>(BI20/'Finance Only'!B23)*100</f>
        <v>1.2055939559556341</v>
      </c>
      <c r="BL20" s="209">
        <f t="shared" si="42"/>
        <v>1616700</v>
      </c>
      <c r="BM20" s="209">
        <v>1617200</v>
      </c>
      <c r="BN20" s="210">
        <f t="shared" si="43"/>
        <v>500</v>
      </c>
      <c r="BO20" s="223">
        <f t="shared" si="44"/>
        <v>0</v>
      </c>
      <c r="BP20" s="224">
        <f>(BN20/'Finance Only'!B23)*100</f>
        <v>2.0093232599260569</v>
      </c>
      <c r="BQ20" s="209">
        <f t="shared" si="45"/>
        <v>143210</v>
      </c>
      <c r="BR20" s="209">
        <v>143550</v>
      </c>
      <c r="BS20" s="210">
        <f t="shared" si="46"/>
        <v>340</v>
      </c>
      <c r="BT20" s="223">
        <f t="shared" si="47"/>
        <v>180</v>
      </c>
      <c r="BU20" s="224">
        <f>(BS20/'Finance Only'!B23)*100</f>
        <v>1.3663398167497187</v>
      </c>
      <c r="BV20" s="209">
        <f t="shared" si="48"/>
        <v>601370</v>
      </c>
      <c r="BW20" s="209">
        <v>601780</v>
      </c>
      <c r="BX20" s="210">
        <f t="shared" si="49"/>
        <v>410</v>
      </c>
      <c r="BY20" s="223">
        <f t="shared" si="50"/>
        <v>-20</v>
      </c>
      <c r="BZ20" s="224">
        <f>(BX20/'Finance Only'!B23)*100</f>
        <v>1.6476450731393668</v>
      </c>
      <c r="CA20" s="209">
        <f t="shared" si="51"/>
        <v>1132400</v>
      </c>
      <c r="CB20" s="209">
        <v>1133600</v>
      </c>
      <c r="CC20" s="210">
        <f t="shared" si="52"/>
        <v>1200</v>
      </c>
      <c r="CD20" s="223">
        <f t="shared" si="53"/>
        <v>100</v>
      </c>
      <c r="CE20" s="224">
        <f>(CC20/'Finance Only'!B23)*100</f>
        <v>4.8223758238225365</v>
      </c>
      <c r="CF20" s="209">
        <f t="shared" si="54"/>
        <v>373190</v>
      </c>
      <c r="CG20" s="209">
        <v>373600</v>
      </c>
      <c r="CH20" s="210">
        <f t="shared" si="55"/>
        <v>410</v>
      </c>
      <c r="CI20" s="223">
        <f t="shared" si="56"/>
        <v>20</v>
      </c>
      <c r="CJ20" s="224">
        <f>(CH20/'Finance Only'!B23)*100</f>
        <v>1.6476450731393668</v>
      </c>
      <c r="CK20" s="210">
        <f t="shared" si="57"/>
        <v>865020</v>
      </c>
      <c r="CL20" s="210">
        <v>865810</v>
      </c>
      <c r="CM20" s="210">
        <f t="shared" si="58"/>
        <v>790</v>
      </c>
      <c r="CN20" s="223">
        <f t="shared" si="59"/>
        <v>30</v>
      </c>
      <c r="CO20" s="224">
        <f>(CM20/'Finance Only'!B23)*100</f>
        <v>3.1747307506831697</v>
      </c>
      <c r="CP20" s="209">
        <f>CQ19</f>
        <v>717380</v>
      </c>
      <c r="CQ20" s="209">
        <v>718100</v>
      </c>
      <c r="CR20" s="211">
        <f t="shared" si="109"/>
        <v>720</v>
      </c>
      <c r="CS20" s="223">
        <f t="shared" si="60"/>
        <v>110</v>
      </c>
      <c r="CT20" s="224">
        <f>(CR20/'Finance Only'!B23)*100</f>
        <v>2.8934254942935218</v>
      </c>
      <c r="CU20" s="209">
        <f t="shared" si="61"/>
        <v>593980</v>
      </c>
      <c r="CV20" s="209">
        <v>594520</v>
      </c>
      <c r="CW20" s="210">
        <f t="shared" si="62"/>
        <v>540</v>
      </c>
      <c r="CX20" s="223">
        <f t="shared" si="63"/>
        <v>0</v>
      </c>
      <c r="CY20" s="224">
        <f>(CW20/'Finance Only'!B23)*100</f>
        <v>2.1700691207201412</v>
      </c>
      <c r="CZ20" s="209">
        <f t="shared" si="64"/>
        <v>992220</v>
      </c>
      <c r="DA20" s="209">
        <v>993230</v>
      </c>
      <c r="DB20" s="210">
        <f t="shared" si="65"/>
        <v>1010</v>
      </c>
      <c r="DC20" s="223">
        <f t="shared" si="66"/>
        <v>-50</v>
      </c>
      <c r="DD20" s="224">
        <f>(DB20/'Finance Only'!B23)*100</f>
        <v>4.0588329850506355</v>
      </c>
      <c r="DE20" s="209">
        <f t="shared" si="67"/>
        <v>761140</v>
      </c>
      <c r="DF20" s="209">
        <v>761920</v>
      </c>
      <c r="DG20" s="210">
        <f t="shared" si="68"/>
        <v>780</v>
      </c>
      <c r="DH20" s="223">
        <f t="shared" si="69"/>
        <v>780</v>
      </c>
      <c r="DI20" s="224">
        <f>(DG20/'Finance Only'!B23)*100</f>
        <v>3.1345442854846488</v>
      </c>
      <c r="DJ20" s="209">
        <f t="shared" si="70"/>
        <v>659480</v>
      </c>
      <c r="DK20" s="209">
        <v>660020</v>
      </c>
      <c r="DL20" s="210">
        <f t="shared" si="71"/>
        <v>540</v>
      </c>
      <c r="DM20" s="223">
        <f t="shared" si="72"/>
        <v>-80</v>
      </c>
      <c r="DN20" s="224">
        <f>(DL20/'Finance Only'!B23)*100</f>
        <v>2.1700691207201412</v>
      </c>
      <c r="DO20" s="209">
        <f t="shared" si="73"/>
        <v>357380</v>
      </c>
      <c r="DP20" s="209">
        <v>357380</v>
      </c>
      <c r="DQ20" s="210">
        <f t="shared" si="74"/>
        <v>0</v>
      </c>
      <c r="DR20" s="223">
        <f t="shared" si="75"/>
        <v>-290</v>
      </c>
      <c r="DS20" s="224">
        <f>(DQ20/'Finance Only'!B23)*100</f>
        <v>0</v>
      </c>
      <c r="DT20" s="209">
        <f t="shared" si="76"/>
        <v>118620</v>
      </c>
      <c r="DU20" s="209">
        <v>118770</v>
      </c>
      <c r="DV20" s="210">
        <f t="shared" si="77"/>
        <v>150</v>
      </c>
      <c r="DW20" s="223">
        <f t="shared" si="78"/>
        <v>20</v>
      </c>
      <c r="DX20" s="224">
        <f>(DV20/'Finance Only'!B23)*100</f>
        <v>0.60279697797781706</v>
      </c>
      <c r="DY20" s="209">
        <f t="shared" si="79"/>
        <v>762300</v>
      </c>
      <c r="DZ20" s="209">
        <v>763280</v>
      </c>
      <c r="EA20" s="210">
        <f t="shared" si="80"/>
        <v>980</v>
      </c>
      <c r="EB20" s="223">
        <f t="shared" si="81"/>
        <v>-820</v>
      </c>
      <c r="EC20" s="224">
        <f>(EA20/'Finance Only'!B23)*100</f>
        <v>3.9382735894550711</v>
      </c>
      <c r="ED20" s="209">
        <f t="shared" si="82"/>
        <v>242410</v>
      </c>
      <c r="EE20" s="209">
        <v>242690</v>
      </c>
      <c r="EF20" s="210">
        <f t="shared" si="83"/>
        <v>280</v>
      </c>
      <c r="EG20" s="223">
        <f t="shared" si="84"/>
        <v>10</v>
      </c>
      <c r="EH20" s="224">
        <f>(EF20/'Finance Only'!B23)*100</f>
        <v>1.1252210255585919</v>
      </c>
      <c r="EI20" s="209">
        <f t="shared" si="85"/>
        <v>274940</v>
      </c>
      <c r="EJ20" s="209">
        <v>275290</v>
      </c>
      <c r="EK20" s="210">
        <f t="shared" si="86"/>
        <v>350</v>
      </c>
      <c r="EL20" s="223">
        <f t="shared" si="87"/>
        <v>0</v>
      </c>
      <c r="EM20" s="224">
        <f>(EK20/'Finance Only'!B23)*100</f>
        <v>1.4065262819482398</v>
      </c>
      <c r="EN20" s="209">
        <f t="shared" si="88"/>
        <v>449380</v>
      </c>
      <c r="EO20" s="209">
        <v>449860</v>
      </c>
      <c r="EP20" s="210">
        <f t="shared" si="89"/>
        <v>480</v>
      </c>
      <c r="EQ20" s="223">
        <f t="shared" si="90"/>
        <v>-30</v>
      </c>
      <c r="ER20" s="224">
        <f>(EP20/'Finance Only'!B23)*100</f>
        <v>1.9289503295290147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5"/>
      <c r="FI20" s="295"/>
      <c r="FJ20" s="295"/>
      <c r="FK20" s="295"/>
      <c r="FL20" s="295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8">
        <f t="shared" si="1"/>
        <v>7350</v>
      </c>
      <c r="GD20" s="276"/>
      <c r="GE20" s="278">
        <f t="shared" si="2"/>
        <v>7083</v>
      </c>
      <c r="GF20" s="276"/>
      <c r="GG20" s="278">
        <f t="shared" si="3"/>
        <v>2300</v>
      </c>
      <c r="GH20" s="276"/>
      <c r="GI20" s="278">
        <f t="shared" si="4"/>
        <v>4340</v>
      </c>
      <c r="GJ20" s="276"/>
      <c r="GK20" s="278">
        <f t="shared" si="5"/>
        <v>840</v>
      </c>
      <c r="GL20" s="276"/>
      <c r="GM20" s="278">
        <f t="shared" si="6"/>
        <v>0</v>
      </c>
      <c r="GN20" s="276"/>
    </row>
    <row r="21" spans="1:1105" s="3" customFormat="1" ht="13.5" customHeight="1" x14ac:dyDescent="0.2">
      <c r="A21" s="264">
        <v>17</v>
      </c>
      <c r="B21" s="267">
        <f>'Finance Only'!G24</f>
        <v>41.7</v>
      </c>
      <c r="C21" s="262">
        <f t="shared" si="7"/>
        <v>27245524</v>
      </c>
      <c r="D21" s="207">
        <v>27249017</v>
      </c>
      <c r="E21" s="208">
        <f t="shared" si="8"/>
        <v>3493</v>
      </c>
      <c r="F21" s="219">
        <f t="shared" si="9"/>
        <v>-122</v>
      </c>
      <c r="G21" s="220">
        <f>(E21/'Finance Only'!B24)*100</f>
        <v>14.830382541502143</v>
      </c>
      <c r="H21" s="230">
        <f t="shared" si="10"/>
        <v>25180555</v>
      </c>
      <c r="I21" s="207">
        <v>25184161</v>
      </c>
      <c r="J21" s="207">
        <f t="shared" si="11"/>
        <v>3606</v>
      </c>
      <c r="K21" s="231">
        <f t="shared" si="12"/>
        <v>-129</v>
      </c>
      <c r="L21" s="232">
        <f>(J21/'Finance Only'!B24)*100</f>
        <v>15.310151573048019</v>
      </c>
      <c r="M21" s="215">
        <f t="shared" si="13"/>
        <v>92661662</v>
      </c>
      <c r="N21" s="209">
        <v>92672396</v>
      </c>
      <c r="O21" s="210">
        <f t="shared" si="14"/>
        <v>10734</v>
      </c>
      <c r="P21" s="223">
        <f t="shared" si="15"/>
        <v>-861</v>
      </c>
      <c r="Q21" s="224">
        <f>(O21/'Finance Only'!B24)*100</f>
        <v>45.573812253216147</v>
      </c>
      <c r="R21" s="214">
        <f t="shared" si="16"/>
        <v>3185200</v>
      </c>
      <c r="S21" s="209">
        <v>3187300</v>
      </c>
      <c r="T21" s="210">
        <f t="shared" si="17"/>
        <v>2100</v>
      </c>
      <c r="U21" s="223">
        <f t="shared" si="18"/>
        <v>-100</v>
      </c>
      <c r="V21" s="224">
        <f>(T21/'Finance Only'!B24)*100</f>
        <v>8.9160616481976813</v>
      </c>
      <c r="W21" s="209">
        <f t="shared" si="19"/>
        <v>4273912</v>
      </c>
      <c r="X21" s="209">
        <v>4276648</v>
      </c>
      <c r="Y21" s="210">
        <f t="shared" si="20"/>
        <v>2736</v>
      </c>
      <c r="Z21" s="223">
        <f t="shared" si="21"/>
        <v>-57</v>
      </c>
      <c r="AA21" s="224">
        <f>(Y21/'Finance Only'!B24)*100</f>
        <v>11.616354604508979</v>
      </c>
      <c r="AB21" s="209">
        <f t="shared" si="22"/>
        <v>2780900</v>
      </c>
      <c r="AC21" s="209">
        <v>2782300</v>
      </c>
      <c r="AD21" s="210">
        <f t="shared" si="0"/>
        <v>1400</v>
      </c>
      <c r="AE21" s="316">
        <f>AD21/WATER!V22</f>
        <v>4.4871794871794872</v>
      </c>
      <c r="AF21" s="223">
        <f t="shared" si="23"/>
        <v>-300</v>
      </c>
      <c r="AG21" s="224">
        <f>(AD21/'Finance Only'!B24)*100</f>
        <v>5.9440410987984551</v>
      </c>
      <c r="AH21" s="209">
        <f t="shared" si="24"/>
        <v>1112848</v>
      </c>
      <c r="AI21" s="209">
        <v>1113347</v>
      </c>
      <c r="AJ21" s="210">
        <f t="shared" si="25"/>
        <v>499</v>
      </c>
      <c r="AK21" s="223">
        <f t="shared" si="26"/>
        <v>7</v>
      </c>
      <c r="AL21" s="224">
        <f>(AJ21/'Finance Only'!B24)*100</f>
        <v>2.1186260773574492</v>
      </c>
      <c r="AM21" s="209">
        <f t="shared" si="27"/>
        <v>1131500</v>
      </c>
      <c r="AN21" s="209">
        <v>1132200</v>
      </c>
      <c r="AO21" s="210">
        <f t="shared" si="28"/>
        <v>700</v>
      </c>
      <c r="AP21" s="223">
        <f t="shared" si="29"/>
        <v>0</v>
      </c>
      <c r="AQ21" s="224">
        <f>(AO21/'Finance Only'!B24)*100</f>
        <v>2.9720205493992276</v>
      </c>
      <c r="AR21" s="209">
        <f t="shared" si="30"/>
        <v>2524400</v>
      </c>
      <c r="AS21" s="209">
        <v>2525900</v>
      </c>
      <c r="AT21" s="210">
        <f t="shared" si="31"/>
        <v>1500</v>
      </c>
      <c r="AU21" s="223">
        <f t="shared" si="32"/>
        <v>-100</v>
      </c>
      <c r="AV21" s="224">
        <f>(AT21/'Finance Only'!B24)*100</f>
        <v>6.3686154629983438</v>
      </c>
      <c r="AW21" s="209">
        <f t="shared" si="33"/>
        <v>316880</v>
      </c>
      <c r="AX21" s="209">
        <v>320250</v>
      </c>
      <c r="AY21" s="210">
        <f t="shared" si="34"/>
        <v>3370</v>
      </c>
      <c r="AZ21" s="223">
        <f t="shared" si="35"/>
        <v>-270</v>
      </c>
      <c r="BA21" s="224">
        <f>(AY21/'Finance Only'!B24)*100</f>
        <v>14.30815607353628</v>
      </c>
      <c r="BB21" s="209">
        <f t="shared" si="36"/>
        <v>1014100</v>
      </c>
      <c r="BC21" s="209">
        <v>1014400</v>
      </c>
      <c r="BD21" s="210">
        <f t="shared" si="37"/>
        <v>300</v>
      </c>
      <c r="BE21" s="223">
        <f t="shared" si="38"/>
        <v>-100</v>
      </c>
      <c r="BF21" s="224">
        <f>(BD21/'Finance Only'!B24)*100</f>
        <v>1.2737230925996688</v>
      </c>
      <c r="BG21" s="209">
        <f t="shared" si="39"/>
        <v>1085800</v>
      </c>
      <c r="BH21" s="209">
        <v>1086000</v>
      </c>
      <c r="BI21" s="210">
        <f t="shared" si="40"/>
        <v>200</v>
      </c>
      <c r="BJ21" s="223">
        <f t="shared" si="41"/>
        <v>-100</v>
      </c>
      <c r="BK21" s="224">
        <f>(BI21/'Finance Only'!B24)*100</f>
        <v>0.84914872839977928</v>
      </c>
      <c r="BL21" s="209">
        <f t="shared" si="42"/>
        <v>1617200</v>
      </c>
      <c r="BM21" s="209">
        <v>1617700</v>
      </c>
      <c r="BN21" s="210">
        <f t="shared" si="43"/>
        <v>500</v>
      </c>
      <c r="BO21" s="223">
        <f t="shared" si="44"/>
        <v>0</v>
      </c>
      <c r="BP21" s="224">
        <f>(BN21/'Finance Only'!B24)*100</f>
        <v>2.1228718209994479</v>
      </c>
      <c r="BQ21" s="209">
        <f t="shared" si="45"/>
        <v>143550</v>
      </c>
      <c r="BR21" s="209">
        <v>143480</v>
      </c>
      <c r="BS21" s="210">
        <f t="shared" si="46"/>
        <v>0</v>
      </c>
      <c r="BT21" s="223">
        <f t="shared" si="47"/>
        <v>-340</v>
      </c>
      <c r="BU21" s="224">
        <f>(BS21/'Finance Only'!B24)*100</f>
        <v>0</v>
      </c>
      <c r="BV21" s="209">
        <f t="shared" si="48"/>
        <v>601780</v>
      </c>
      <c r="BW21" s="209">
        <v>602210</v>
      </c>
      <c r="BX21" s="210">
        <f t="shared" si="49"/>
        <v>430</v>
      </c>
      <c r="BY21" s="223">
        <f t="shared" si="50"/>
        <v>20</v>
      </c>
      <c r="BZ21" s="224">
        <f>(BX21/'Finance Only'!B24)*100</f>
        <v>1.8256697660595254</v>
      </c>
      <c r="CA21" s="209">
        <f t="shared" si="51"/>
        <v>1133600</v>
      </c>
      <c r="CB21" s="209">
        <v>1134700</v>
      </c>
      <c r="CC21" s="210">
        <f t="shared" si="52"/>
        <v>1100</v>
      </c>
      <c r="CD21" s="223">
        <f t="shared" si="53"/>
        <v>-100</v>
      </c>
      <c r="CE21" s="224">
        <f>(CC21/'Finance Only'!B24)*100</f>
        <v>4.6703180061987855</v>
      </c>
      <c r="CF21" s="209">
        <f t="shared" si="54"/>
        <v>373600</v>
      </c>
      <c r="CG21" s="209">
        <v>374040</v>
      </c>
      <c r="CH21" s="210">
        <f t="shared" si="55"/>
        <v>440</v>
      </c>
      <c r="CI21" s="223">
        <f t="shared" si="56"/>
        <v>30</v>
      </c>
      <c r="CJ21" s="224">
        <f>(CH21/'Finance Only'!B24)*100</f>
        <v>1.8681272024795144</v>
      </c>
      <c r="CK21" s="210">
        <f t="shared" si="57"/>
        <v>865810</v>
      </c>
      <c r="CL21" s="210">
        <v>866560</v>
      </c>
      <c r="CM21" s="210">
        <f t="shared" si="58"/>
        <v>750</v>
      </c>
      <c r="CN21" s="223">
        <f t="shared" si="59"/>
        <v>-40</v>
      </c>
      <c r="CO21" s="224">
        <f>(CM21/'Finance Only'!B24)*100</f>
        <v>3.1843077314991719</v>
      </c>
      <c r="CP21" s="209">
        <f t="shared" si="110"/>
        <v>718100</v>
      </c>
      <c r="CQ21" s="209">
        <v>718650</v>
      </c>
      <c r="CR21" s="211">
        <f t="shared" si="109"/>
        <v>550</v>
      </c>
      <c r="CS21" s="223">
        <f t="shared" si="60"/>
        <v>-170</v>
      </c>
      <c r="CT21" s="224">
        <f>(CR21/'Finance Only'!B24)*100</f>
        <v>2.3351590030993927</v>
      </c>
      <c r="CU21" s="209">
        <f t="shared" si="61"/>
        <v>594520</v>
      </c>
      <c r="CV21" s="209">
        <v>594960</v>
      </c>
      <c r="CW21" s="210">
        <f t="shared" si="62"/>
        <v>440</v>
      </c>
      <c r="CX21" s="223">
        <f t="shared" si="63"/>
        <v>-100</v>
      </c>
      <c r="CY21" s="224">
        <f>(CW21/'Finance Only'!B24)*100</f>
        <v>1.8681272024795144</v>
      </c>
      <c r="CZ21" s="209">
        <f t="shared" si="64"/>
        <v>993230</v>
      </c>
      <c r="DA21" s="209">
        <v>994270</v>
      </c>
      <c r="DB21" s="210">
        <f t="shared" si="65"/>
        <v>1040</v>
      </c>
      <c r="DC21" s="223">
        <f t="shared" si="66"/>
        <v>30</v>
      </c>
      <c r="DD21" s="224">
        <f>(DB21/'Finance Only'!B24)*100</f>
        <v>4.4155733876788519</v>
      </c>
      <c r="DE21" s="209">
        <f t="shared" si="67"/>
        <v>761920</v>
      </c>
      <c r="DF21" s="209">
        <v>762510</v>
      </c>
      <c r="DG21" s="210">
        <f t="shared" si="68"/>
        <v>590</v>
      </c>
      <c r="DH21" s="223">
        <f t="shared" si="69"/>
        <v>-190</v>
      </c>
      <c r="DI21" s="224">
        <f>(DG21/'Finance Only'!B24)*100</f>
        <v>2.5049887487793487</v>
      </c>
      <c r="DJ21" s="209">
        <f t="shared" si="70"/>
        <v>660020</v>
      </c>
      <c r="DK21" s="209">
        <v>660600</v>
      </c>
      <c r="DL21" s="210">
        <f t="shared" si="71"/>
        <v>580</v>
      </c>
      <c r="DM21" s="223">
        <f t="shared" si="72"/>
        <v>40</v>
      </c>
      <c r="DN21" s="224">
        <f>(DL21/'Finance Only'!B24)*100</f>
        <v>2.4625313123593595</v>
      </c>
      <c r="DO21" s="209">
        <f t="shared" si="73"/>
        <v>357380</v>
      </c>
      <c r="DP21" s="209">
        <v>357650</v>
      </c>
      <c r="DQ21" s="210">
        <f t="shared" si="74"/>
        <v>270</v>
      </c>
      <c r="DR21" s="223">
        <f t="shared" si="75"/>
        <v>270</v>
      </c>
      <c r="DS21" s="224">
        <f>(DQ21/'Finance Only'!B24)*100</f>
        <v>1.146350783339702</v>
      </c>
      <c r="DT21" s="209">
        <f t="shared" si="76"/>
        <v>118770</v>
      </c>
      <c r="DU21" s="209">
        <v>118900</v>
      </c>
      <c r="DV21" s="210">
        <f t="shared" si="77"/>
        <v>130</v>
      </c>
      <c r="DW21" s="223">
        <f t="shared" si="78"/>
        <v>-20</v>
      </c>
      <c r="DX21" s="224">
        <f>(DV21/'Finance Only'!B24)*100</f>
        <v>0.55194667345985648</v>
      </c>
      <c r="DY21" s="209">
        <f t="shared" si="79"/>
        <v>763280</v>
      </c>
      <c r="DZ21" s="209">
        <v>764170</v>
      </c>
      <c r="EA21" s="210">
        <f t="shared" si="80"/>
        <v>890</v>
      </c>
      <c r="EB21" s="223">
        <f t="shared" si="81"/>
        <v>-90</v>
      </c>
      <c r="EC21" s="224">
        <f>(EA21/'Finance Only'!B24)*100</f>
        <v>3.7787118413790175</v>
      </c>
      <c r="ED21" s="209">
        <f t="shared" si="82"/>
        <v>242690</v>
      </c>
      <c r="EE21" s="209">
        <v>242940</v>
      </c>
      <c r="EF21" s="210">
        <f t="shared" si="83"/>
        <v>250</v>
      </c>
      <c r="EG21" s="223">
        <f t="shared" si="84"/>
        <v>-30</v>
      </c>
      <c r="EH21" s="224">
        <f>(EF21/'Finance Only'!B24)*100</f>
        <v>1.061435910499724</v>
      </c>
      <c r="EI21" s="209">
        <f t="shared" si="85"/>
        <v>275290</v>
      </c>
      <c r="EJ21" s="209">
        <v>275610</v>
      </c>
      <c r="EK21" s="210">
        <f t="shared" si="86"/>
        <v>320</v>
      </c>
      <c r="EL21" s="223">
        <f t="shared" si="87"/>
        <v>-30</v>
      </c>
      <c r="EM21" s="224">
        <f>(EK21/'Finance Only'!B24)*100</f>
        <v>1.3586379654396468</v>
      </c>
      <c r="EN21" s="209">
        <f t="shared" si="88"/>
        <v>449860</v>
      </c>
      <c r="EO21" s="209">
        <v>449860</v>
      </c>
      <c r="EP21" s="210">
        <f t="shared" si="89"/>
        <v>0</v>
      </c>
      <c r="EQ21" s="223">
        <f t="shared" si="90"/>
        <v>-480</v>
      </c>
      <c r="ER21" s="224">
        <f>(EP21/'Finance Only'!B24)*100</f>
        <v>0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>
        <f>(EZ21/'Finance Only'!G24)*100</f>
        <v>0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5"/>
      <c r="FI21" s="295"/>
      <c r="FJ21" s="295"/>
      <c r="FK21" s="295"/>
      <c r="FL21" s="295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8">
        <f t="shared" si="1"/>
        <v>7099</v>
      </c>
      <c r="GD21" s="276"/>
      <c r="GE21" s="278">
        <f t="shared" si="2"/>
        <v>6296</v>
      </c>
      <c r="GF21" s="276"/>
      <c r="GG21" s="278">
        <f t="shared" si="3"/>
        <v>2200</v>
      </c>
      <c r="GH21" s="276"/>
      <c r="GI21" s="278">
        <f t="shared" si="4"/>
        <v>3870</v>
      </c>
      <c r="GJ21" s="276"/>
      <c r="GK21" s="278">
        <f t="shared" si="5"/>
        <v>500</v>
      </c>
      <c r="GL21" s="276"/>
      <c r="GM21" s="278">
        <f t="shared" si="6"/>
        <v>0</v>
      </c>
      <c r="GN21" s="276"/>
    </row>
    <row r="22" spans="1:1105" s="3" customFormat="1" ht="13.5" customHeight="1" x14ac:dyDescent="0.2">
      <c r="A22" s="264">
        <v>18</v>
      </c>
      <c r="B22" s="267">
        <f>'Finance Only'!G25</f>
        <v>31.1</v>
      </c>
      <c r="C22" s="262">
        <f t="shared" si="7"/>
        <v>27249017</v>
      </c>
      <c r="D22" s="207">
        <v>27252417</v>
      </c>
      <c r="E22" s="208">
        <f t="shared" si="8"/>
        <v>3400</v>
      </c>
      <c r="F22" s="219">
        <f t="shared" si="9"/>
        <v>-93</v>
      </c>
      <c r="G22" s="220">
        <f>(E22/'Finance Only'!B25)*100</f>
        <v>14.79933838251937</v>
      </c>
      <c r="H22" s="230">
        <f t="shared" si="10"/>
        <v>25184161</v>
      </c>
      <c r="I22" s="207">
        <v>25187296</v>
      </c>
      <c r="J22" s="207">
        <f t="shared" si="11"/>
        <v>3135</v>
      </c>
      <c r="K22" s="231">
        <f t="shared" si="12"/>
        <v>-471</v>
      </c>
      <c r="L22" s="232">
        <f>(J22/'Finance Only'!B25)*100</f>
        <v>13.645860537999477</v>
      </c>
      <c r="M22" s="215">
        <f t="shared" si="13"/>
        <v>92672396</v>
      </c>
      <c r="N22" s="209">
        <v>92683132</v>
      </c>
      <c r="O22" s="210">
        <f t="shared" si="14"/>
        <v>10736</v>
      </c>
      <c r="P22" s="223">
        <f t="shared" si="15"/>
        <v>2</v>
      </c>
      <c r="Q22" s="224">
        <f>(O22/'Finance Only'!B25)*100</f>
        <v>46.731087316096456</v>
      </c>
      <c r="R22" s="214">
        <f t="shared" si="16"/>
        <v>3187300</v>
      </c>
      <c r="S22" s="209">
        <v>3189400</v>
      </c>
      <c r="T22" s="210">
        <f t="shared" si="17"/>
        <v>2100</v>
      </c>
      <c r="U22" s="223">
        <f t="shared" si="18"/>
        <v>0</v>
      </c>
      <c r="V22" s="224">
        <f>(T22/'Finance Only'!B25)*100</f>
        <v>9.1407678244972583</v>
      </c>
      <c r="W22" s="209">
        <f t="shared" si="19"/>
        <v>4276648</v>
      </c>
      <c r="X22" s="209">
        <v>4279429</v>
      </c>
      <c r="Y22" s="210">
        <f t="shared" si="20"/>
        <v>2781</v>
      </c>
      <c r="Z22" s="223">
        <f t="shared" si="21"/>
        <v>45</v>
      </c>
      <c r="AA22" s="224">
        <f>(Y22/'Finance Only'!B25)*100</f>
        <v>12.104988247584226</v>
      </c>
      <c r="AB22" s="209">
        <f t="shared" si="22"/>
        <v>2782300</v>
      </c>
      <c r="AC22" s="209">
        <v>2783500</v>
      </c>
      <c r="AD22" s="210">
        <f t="shared" si="0"/>
        <v>1200</v>
      </c>
      <c r="AE22" s="316">
        <f>AD22/WATER!V23</f>
        <v>4.2553191489361701</v>
      </c>
      <c r="AF22" s="223">
        <f t="shared" si="23"/>
        <v>-200</v>
      </c>
      <c r="AG22" s="224">
        <f>(AD22/'Finance Only'!B25)*100</f>
        <v>5.2232958997127188</v>
      </c>
      <c r="AH22" s="209">
        <f t="shared" si="24"/>
        <v>1113347</v>
      </c>
      <c r="AI22" s="209">
        <v>1113853</v>
      </c>
      <c r="AJ22" s="210">
        <f t="shared" si="25"/>
        <v>506</v>
      </c>
      <c r="AK22" s="223">
        <f t="shared" si="26"/>
        <v>7</v>
      </c>
      <c r="AL22" s="224">
        <f>(AJ22/'Finance Only'!B25)*100</f>
        <v>2.2024897710455296</v>
      </c>
      <c r="AM22" s="209">
        <f t="shared" si="27"/>
        <v>1132200</v>
      </c>
      <c r="AN22" s="209">
        <v>1132800</v>
      </c>
      <c r="AO22" s="210">
        <f t="shared" si="28"/>
        <v>600</v>
      </c>
      <c r="AP22" s="223">
        <f t="shared" si="29"/>
        <v>-100</v>
      </c>
      <c r="AQ22" s="224">
        <f>(AO22/'Finance Only'!B25)*100</f>
        <v>2.6116479498563594</v>
      </c>
      <c r="AR22" s="209">
        <f t="shared" si="30"/>
        <v>2525900</v>
      </c>
      <c r="AS22" s="209">
        <v>2527500</v>
      </c>
      <c r="AT22" s="210">
        <f t="shared" si="31"/>
        <v>1600</v>
      </c>
      <c r="AU22" s="223">
        <f t="shared" si="32"/>
        <v>100</v>
      </c>
      <c r="AV22" s="224">
        <f>(AT22/'Finance Only'!B25)*100</f>
        <v>6.9643945329502905</v>
      </c>
      <c r="AW22" s="209">
        <f t="shared" si="33"/>
        <v>320250</v>
      </c>
      <c r="AX22" s="209">
        <v>323470</v>
      </c>
      <c r="AY22" s="210">
        <f t="shared" si="34"/>
        <v>3220</v>
      </c>
      <c r="AZ22" s="223">
        <f t="shared" si="35"/>
        <v>-150</v>
      </c>
      <c r="BA22" s="224">
        <f>(AY22/'Finance Only'!B25)*100</f>
        <v>14.015843997562463</v>
      </c>
      <c r="BB22" s="209">
        <f t="shared" si="36"/>
        <v>1014400</v>
      </c>
      <c r="BC22" s="209">
        <v>1014800</v>
      </c>
      <c r="BD22" s="210">
        <f t="shared" si="37"/>
        <v>400</v>
      </c>
      <c r="BE22" s="223">
        <f t="shared" si="38"/>
        <v>100</v>
      </c>
      <c r="BF22" s="224">
        <f>(BD22/'Finance Only'!B25)*100</f>
        <v>1.7410986332375726</v>
      </c>
      <c r="BG22" s="209">
        <f t="shared" si="39"/>
        <v>1086000</v>
      </c>
      <c r="BH22" s="209">
        <v>1086300</v>
      </c>
      <c r="BI22" s="210">
        <f t="shared" si="40"/>
        <v>300</v>
      </c>
      <c r="BJ22" s="223">
        <f t="shared" si="41"/>
        <v>100</v>
      </c>
      <c r="BK22" s="224">
        <f>(BI22/'Finance Only'!B25)*100</f>
        <v>1.3058239749281797</v>
      </c>
      <c r="BL22" s="209">
        <f t="shared" si="42"/>
        <v>1617700</v>
      </c>
      <c r="BM22" s="209">
        <v>1618200</v>
      </c>
      <c r="BN22" s="210">
        <f t="shared" si="43"/>
        <v>500</v>
      </c>
      <c r="BO22" s="223">
        <f t="shared" si="44"/>
        <v>0</v>
      </c>
      <c r="BP22" s="224">
        <f>(BN22/'Finance Only'!B25)*100</f>
        <v>2.1763732915469665</v>
      </c>
      <c r="BQ22" s="209">
        <f t="shared" si="45"/>
        <v>143480</v>
      </c>
      <c r="BR22" s="209">
        <v>143600</v>
      </c>
      <c r="BS22" s="210">
        <f t="shared" si="46"/>
        <v>120</v>
      </c>
      <c r="BT22" s="223">
        <f t="shared" si="47"/>
        <v>120</v>
      </c>
      <c r="BU22" s="224">
        <f>(BS22/'Finance Only'!B25)*100</f>
        <v>0.52232958997127188</v>
      </c>
      <c r="BV22" s="209">
        <f t="shared" si="48"/>
        <v>602210</v>
      </c>
      <c r="BW22" s="209">
        <v>602660</v>
      </c>
      <c r="BX22" s="210">
        <f t="shared" si="49"/>
        <v>450</v>
      </c>
      <c r="BY22" s="223">
        <f t="shared" si="50"/>
        <v>20</v>
      </c>
      <c r="BZ22" s="224">
        <f>(BX22/'Finance Only'!B25)*100</f>
        <v>1.9587359623922698</v>
      </c>
      <c r="CA22" s="209">
        <f t="shared" si="51"/>
        <v>1134700</v>
      </c>
      <c r="CB22" s="209">
        <v>1135800</v>
      </c>
      <c r="CC22" s="210">
        <f t="shared" si="52"/>
        <v>1100</v>
      </c>
      <c r="CD22" s="223">
        <f t="shared" si="53"/>
        <v>0</v>
      </c>
      <c r="CE22" s="224">
        <f>(CC22/'Finance Only'!B25)*100</f>
        <v>4.7880212414033254</v>
      </c>
      <c r="CF22" s="209">
        <f t="shared" si="54"/>
        <v>374040</v>
      </c>
      <c r="CG22" s="209">
        <v>374370</v>
      </c>
      <c r="CH22" s="210">
        <f t="shared" si="55"/>
        <v>330</v>
      </c>
      <c r="CI22" s="223">
        <f t="shared" si="56"/>
        <v>-110</v>
      </c>
      <c r="CJ22" s="224">
        <f>(CH22/'Finance Only'!B25)*100</f>
        <v>1.4364063724209977</v>
      </c>
      <c r="CK22" s="210">
        <f t="shared" si="57"/>
        <v>866560</v>
      </c>
      <c r="CL22" s="210">
        <v>867230</v>
      </c>
      <c r="CM22" s="210">
        <f t="shared" si="58"/>
        <v>670</v>
      </c>
      <c r="CN22" s="223">
        <f t="shared" si="59"/>
        <v>-80</v>
      </c>
      <c r="CO22" s="224">
        <f>(CM22/'Finance Only'!B25)*100</f>
        <v>2.9163402106729346</v>
      </c>
      <c r="CP22" s="209">
        <f t="shared" si="110"/>
        <v>718650</v>
      </c>
      <c r="CQ22" s="209">
        <v>719060</v>
      </c>
      <c r="CR22" s="211">
        <f t="shared" si="109"/>
        <v>410</v>
      </c>
      <c r="CS22" s="223">
        <f t="shared" si="60"/>
        <v>-140</v>
      </c>
      <c r="CT22" s="224">
        <f>(CR22/'Finance Only'!B25)*100</f>
        <v>1.7846260990685123</v>
      </c>
      <c r="CU22" s="209">
        <f t="shared" si="61"/>
        <v>594960</v>
      </c>
      <c r="CV22" s="209">
        <v>595390</v>
      </c>
      <c r="CW22" s="210">
        <f t="shared" si="62"/>
        <v>430</v>
      </c>
      <c r="CX22" s="223">
        <f t="shared" si="63"/>
        <v>-10</v>
      </c>
      <c r="CY22" s="224">
        <f>(CW22/'Finance Only'!B25)*100</f>
        <v>1.8716810307303908</v>
      </c>
      <c r="CZ22" s="209">
        <f t="shared" si="64"/>
        <v>994270</v>
      </c>
      <c r="DA22" s="209">
        <v>996000</v>
      </c>
      <c r="DB22" s="210">
        <f t="shared" si="65"/>
        <v>1730</v>
      </c>
      <c r="DC22" s="223">
        <f t="shared" si="66"/>
        <v>690</v>
      </c>
      <c r="DD22" s="224">
        <f>(DB22/'Finance Only'!B25)*100</f>
        <v>7.5302515887525026</v>
      </c>
      <c r="DE22" s="209">
        <f t="shared" si="67"/>
        <v>762510</v>
      </c>
      <c r="DF22" s="209">
        <v>763150</v>
      </c>
      <c r="DG22" s="210">
        <f t="shared" si="68"/>
        <v>640</v>
      </c>
      <c r="DH22" s="223">
        <f t="shared" si="69"/>
        <v>50</v>
      </c>
      <c r="DI22" s="224">
        <f>(DG22/'Finance Only'!B25)*100</f>
        <v>2.7857578131801168</v>
      </c>
      <c r="DJ22" s="209">
        <f t="shared" si="70"/>
        <v>660600</v>
      </c>
      <c r="DK22" s="209">
        <v>661140</v>
      </c>
      <c r="DL22" s="210">
        <f t="shared" si="71"/>
        <v>540</v>
      </c>
      <c r="DM22" s="223">
        <f t="shared" si="72"/>
        <v>-40</v>
      </c>
      <c r="DN22" s="224">
        <f>(DL22/'Finance Only'!B25)*100</f>
        <v>2.3504831548707235</v>
      </c>
      <c r="DO22" s="209">
        <f t="shared" si="73"/>
        <v>357650</v>
      </c>
      <c r="DP22" s="209">
        <v>358210</v>
      </c>
      <c r="DQ22" s="210">
        <f t="shared" si="74"/>
        <v>560</v>
      </c>
      <c r="DR22" s="223">
        <f t="shared" si="75"/>
        <v>290</v>
      </c>
      <c r="DS22" s="224">
        <f>(DQ22/'Finance Only'!B25)*100</f>
        <v>2.437538086532602</v>
      </c>
      <c r="DT22" s="209">
        <f t="shared" si="76"/>
        <v>118900</v>
      </c>
      <c r="DU22" s="209">
        <v>119070</v>
      </c>
      <c r="DV22" s="210">
        <f t="shared" si="77"/>
        <v>170</v>
      </c>
      <c r="DW22" s="223">
        <f t="shared" si="78"/>
        <v>40</v>
      </c>
      <c r="DX22" s="224">
        <f>(DV22/'Finance Only'!B25)*100</f>
        <v>0.73996691912596846</v>
      </c>
      <c r="DY22" s="209">
        <f t="shared" si="79"/>
        <v>764170</v>
      </c>
      <c r="DZ22" s="209">
        <v>765110</v>
      </c>
      <c r="EA22" s="210">
        <f t="shared" si="80"/>
        <v>940</v>
      </c>
      <c r="EB22" s="223">
        <f t="shared" si="81"/>
        <v>50</v>
      </c>
      <c r="EC22" s="224">
        <f>(EA22/'Finance Only'!B25)*100</f>
        <v>4.0915817881082965</v>
      </c>
      <c r="ED22" s="209">
        <f t="shared" si="82"/>
        <v>242940</v>
      </c>
      <c r="EE22" s="209">
        <v>243230</v>
      </c>
      <c r="EF22" s="210">
        <f t="shared" si="83"/>
        <v>290</v>
      </c>
      <c r="EG22" s="223">
        <f t="shared" si="84"/>
        <v>40</v>
      </c>
      <c r="EH22" s="224">
        <f>(EF22/'Finance Only'!B25)*100</f>
        <v>1.2622965090972402</v>
      </c>
      <c r="EI22" s="209">
        <f t="shared" si="85"/>
        <v>275610</v>
      </c>
      <c r="EJ22" s="209">
        <v>275870</v>
      </c>
      <c r="EK22" s="210">
        <f t="shared" si="86"/>
        <v>260</v>
      </c>
      <c r="EL22" s="223">
        <f t="shared" si="87"/>
        <v>-60</v>
      </c>
      <c r="EM22" s="224">
        <f>(EK22/'Finance Only'!B25)*100</f>
        <v>1.1317141116044225</v>
      </c>
      <c r="EN22" s="209">
        <f t="shared" si="88"/>
        <v>449860</v>
      </c>
      <c r="EO22" s="209">
        <v>450870</v>
      </c>
      <c r="EP22" s="210">
        <f t="shared" si="89"/>
        <v>1010</v>
      </c>
      <c r="EQ22" s="223">
        <f t="shared" si="90"/>
        <v>1010</v>
      </c>
      <c r="ER22" s="224">
        <f>(EP22/'Finance Only'!B25)*100</f>
        <v>4.3962740489248722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5"/>
      <c r="FI22" s="295"/>
      <c r="FJ22" s="295"/>
      <c r="FK22" s="295"/>
      <c r="FL22" s="295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8">
        <f t="shared" si="1"/>
        <v>6535</v>
      </c>
      <c r="GD22" s="276"/>
      <c r="GE22" s="278">
        <f t="shared" si="2"/>
        <v>7381</v>
      </c>
      <c r="GF22" s="276"/>
      <c r="GG22" s="278">
        <f t="shared" si="3"/>
        <v>2200</v>
      </c>
      <c r="GH22" s="276"/>
      <c r="GI22" s="278">
        <f t="shared" si="4"/>
        <v>3920</v>
      </c>
      <c r="GJ22" s="276"/>
      <c r="GK22" s="278">
        <f t="shared" si="5"/>
        <v>620</v>
      </c>
      <c r="GL22" s="276"/>
      <c r="GM22" s="278">
        <f t="shared" si="6"/>
        <v>0</v>
      </c>
      <c r="GN22" s="276"/>
    </row>
    <row r="23" spans="1:1105" s="3" customFormat="1" ht="13.5" customHeight="1" x14ac:dyDescent="0.2">
      <c r="A23" s="264">
        <v>19</v>
      </c>
      <c r="B23" s="267">
        <f>'Finance Only'!G26</f>
        <v>33</v>
      </c>
      <c r="C23" s="262">
        <f t="shared" si="7"/>
        <v>27252417</v>
      </c>
      <c r="D23" s="207">
        <v>27255943</v>
      </c>
      <c r="E23" s="208">
        <f t="shared" si="8"/>
        <v>3526</v>
      </c>
      <c r="F23" s="219">
        <f t="shared" si="9"/>
        <v>126</v>
      </c>
      <c r="G23" s="220">
        <f>(E23/'Finance Only'!B26)*100</f>
        <v>14.921078244678601</v>
      </c>
      <c r="H23" s="230">
        <f t="shared" si="10"/>
        <v>25187296</v>
      </c>
      <c r="I23" s="207">
        <v>25191090</v>
      </c>
      <c r="J23" s="207">
        <f t="shared" si="11"/>
        <v>3794</v>
      </c>
      <c r="K23" s="231">
        <f t="shared" si="12"/>
        <v>659</v>
      </c>
      <c r="L23" s="232">
        <f>(J23/'Finance Only'!B26)*100</f>
        <v>16.055181752782364</v>
      </c>
      <c r="M23" s="215">
        <f t="shared" si="13"/>
        <v>92683132</v>
      </c>
      <c r="N23" s="209">
        <v>92693666</v>
      </c>
      <c r="O23" s="210">
        <f t="shared" si="14"/>
        <v>10534</v>
      </c>
      <c r="P23" s="223">
        <f t="shared" si="15"/>
        <v>-202</v>
      </c>
      <c r="Q23" s="224">
        <f>(O23/'Finance Only'!B26)*100</f>
        <v>44.577038635690407</v>
      </c>
      <c r="R23" s="214">
        <f t="shared" si="16"/>
        <v>3189400</v>
      </c>
      <c r="S23" s="209">
        <v>3191700</v>
      </c>
      <c r="T23" s="210">
        <f t="shared" si="17"/>
        <v>2300</v>
      </c>
      <c r="U23" s="223">
        <f t="shared" si="18"/>
        <v>200</v>
      </c>
      <c r="V23" s="224">
        <f>(T23/'Finance Only'!B26)*100</f>
        <v>9.7329778680546735</v>
      </c>
      <c r="W23" s="209">
        <f t="shared" si="19"/>
        <v>4279429</v>
      </c>
      <c r="X23" s="209">
        <v>4282318</v>
      </c>
      <c r="Y23" s="210">
        <f t="shared" si="20"/>
        <v>2889</v>
      </c>
      <c r="Z23" s="223">
        <f t="shared" si="21"/>
        <v>108</v>
      </c>
      <c r="AA23" s="224">
        <f>(Y23/'Finance Only'!B26)*100</f>
        <v>12.22546654817824</v>
      </c>
      <c r="AB23" s="209">
        <f t="shared" si="22"/>
        <v>2783500</v>
      </c>
      <c r="AC23" s="209">
        <v>2785000</v>
      </c>
      <c r="AD23" s="210">
        <f t="shared" si="0"/>
        <v>1500</v>
      </c>
      <c r="AE23" s="316">
        <f>AD23/WATER!V24</f>
        <v>6.437768240343348</v>
      </c>
      <c r="AF23" s="223">
        <f t="shared" si="23"/>
        <v>300</v>
      </c>
      <c r="AG23" s="224">
        <f>(AD23/'Finance Only'!B26)*100</f>
        <v>6.3475942617747876</v>
      </c>
      <c r="AH23" s="209">
        <f t="shared" si="24"/>
        <v>1113853</v>
      </c>
      <c r="AI23" s="209">
        <v>1114306</v>
      </c>
      <c r="AJ23" s="210">
        <f t="shared" si="25"/>
        <v>453</v>
      </c>
      <c r="AK23" s="223">
        <f t="shared" si="26"/>
        <v>-53</v>
      </c>
      <c r="AL23" s="224">
        <f>(AJ23/'Finance Only'!B26)*100</f>
        <v>1.9169734670559859</v>
      </c>
      <c r="AM23" s="209">
        <f t="shared" si="27"/>
        <v>1132800</v>
      </c>
      <c r="AN23" s="209">
        <v>1133500</v>
      </c>
      <c r="AO23" s="210">
        <f t="shared" si="28"/>
        <v>700</v>
      </c>
      <c r="AP23" s="223">
        <f t="shared" si="29"/>
        <v>100</v>
      </c>
      <c r="AQ23" s="224">
        <f>(AO23/'Finance Only'!B26)*100</f>
        <v>2.9622106554949008</v>
      </c>
      <c r="AR23" s="209">
        <f t="shared" si="30"/>
        <v>2527500</v>
      </c>
      <c r="AS23" s="209">
        <v>2528800</v>
      </c>
      <c r="AT23" s="210">
        <f t="shared" si="31"/>
        <v>1300</v>
      </c>
      <c r="AU23" s="223">
        <f t="shared" si="32"/>
        <v>-300</v>
      </c>
      <c r="AV23" s="224">
        <f>(AT23/'Finance Only'!B26)*100</f>
        <v>5.5012483602048157</v>
      </c>
      <c r="AW23" s="209">
        <f t="shared" si="33"/>
        <v>323470</v>
      </c>
      <c r="AX23" s="209">
        <v>326830</v>
      </c>
      <c r="AY23" s="210">
        <f t="shared" si="34"/>
        <v>3360</v>
      </c>
      <c r="AZ23" s="223">
        <f t="shared" si="35"/>
        <v>140</v>
      </c>
      <c r="BA23" s="224">
        <f>(AY23/'Finance Only'!B26)*100</f>
        <v>14.218611146375522</v>
      </c>
      <c r="BB23" s="209">
        <f t="shared" si="36"/>
        <v>1014800</v>
      </c>
      <c r="BC23" s="209">
        <v>1015100</v>
      </c>
      <c r="BD23" s="210">
        <f t="shared" si="37"/>
        <v>300</v>
      </c>
      <c r="BE23" s="223">
        <f t="shared" si="38"/>
        <v>-100</v>
      </c>
      <c r="BF23" s="224">
        <f>(BD23/'Finance Only'!B26)*100</f>
        <v>1.2695188523549574</v>
      </c>
      <c r="BG23" s="209">
        <f t="shared" si="39"/>
        <v>1086300</v>
      </c>
      <c r="BH23" s="209">
        <v>1086500</v>
      </c>
      <c r="BI23" s="210">
        <f t="shared" si="40"/>
        <v>200</v>
      </c>
      <c r="BJ23" s="223">
        <f t="shared" si="41"/>
        <v>-100</v>
      </c>
      <c r="BK23" s="224">
        <f>(BI23/'Finance Only'!B26)*100</f>
        <v>0.84634590156997169</v>
      </c>
      <c r="BL23" s="209">
        <f t="shared" si="42"/>
        <v>1618200</v>
      </c>
      <c r="BM23" s="209">
        <v>1618700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2.1158647539249289</v>
      </c>
      <c r="BQ23" s="209">
        <f t="shared" si="45"/>
        <v>143600</v>
      </c>
      <c r="BR23" s="209">
        <v>143730</v>
      </c>
      <c r="BS23" s="210">
        <f t="shared" si="46"/>
        <v>130</v>
      </c>
      <c r="BT23" s="223">
        <f t="shared" si="47"/>
        <v>10</v>
      </c>
      <c r="BU23" s="224">
        <f>(BS23/'Finance Only'!B26)*100</f>
        <v>0.55012483602048157</v>
      </c>
      <c r="BV23" s="209">
        <f t="shared" si="48"/>
        <v>602660</v>
      </c>
      <c r="BW23" s="209">
        <v>603080</v>
      </c>
      <c r="BX23" s="210">
        <f t="shared" si="49"/>
        <v>420</v>
      </c>
      <c r="BY23" s="223">
        <f t="shared" si="50"/>
        <v>-30</v>
      </c>
      <c r="BZ23" s="224">
        <f>(BX23/'Finance Only'!B26)*100</f>
        <v>1.7773263932969403</v>
      </c>
      <c r="CA23" s="209">
        <f t="shared" si="51"/>
        <v>1135800</v>
      </c>
      <c r="CB23" s="209">
        <v>1137000</v>
      </c>
      <c r="CC23" s="210">
        <f t="shared" si="52"/>
        <v>1200</v>
      </c>
      <c r="CD23" s="223">
        <f t="shared" si="53"/>
        <v>100</v>
      </c>
      <c r="CE23" s="224">
        <f>(CC23/'Finance Only'!B26)*100</f>
        <v>5.0780754094198297</v>
      </c>
      <c r="CF23" s="209">
        <f t="shared" si="54"/>
        <v>374370</v>
      </c>
      <c r="CG23" s="209">
        <v>374770</v>
      </c>
      <c r="CH23" s="210">
        <f t="shared" si="55"/>
        <v>400</v>
      </c>
      <c r="CI23" s="223">
        <f t="shared" si="56"/>
        <v>70</v>
      </c>
      <c r="CJ23" s="224">
        <f>(CH23/'Finance Only'!B26)*100</f>
        <v>1.6926918031399434</v>
      </c>
      <c r="CK23" s="210">
        <f t="shared" si="57"/>
        <v>867230</v>
      </c>
      <c r="CL23" s="210">
        <v>868080</v>
      </c>
      <c r="CM23" s="210">
        <f t="shared" si="58"/>
        <v>850</v>
      </c>
      <c r="CN23" s="223">
        <f t="shared" si="59"/>
        <v>180</v>
      </c>
      <c r="CO23" s="224">
        <f>(CM23/'Finance Only'!B26)*100</f>
        <v>3.5969700816723793</v>
      </c>
      <c r="CP23" s="209">
        <f t="shared" si="110"/>
        <v>719060</v>
      </c>
      <c r="CQ23" s="209">
        <v>719640</v>
      </c>
      <c r="CR23" s="211">
        <f t="shared" si="109"/>
        <v>580</v>
      </c>
      <c r="CS23" s="223">
        <f t="shared" si="60"/>
        <v>170</v>
      </c>
      <c r="CT23" s="224">
        <f>(CR23/'Finance Only'!B26)*100</f>
        <v>2.4544031145529175</v>
      </c>
      <c r="CU23" s="209">
        <f t="shared" si="61"/>
        <v>595390</v>
      </c>
      <c r="CV23" s="209">
        <v>595910</v>
      </c>
      <c r="CW23" s="210">
        <f t="shared" si="62"/>
        <v>520</v>
      </c>
      <c r="CX23" s="223">
        <f t="shared" si="63"/>
        <v>90</v>
      </c>
      <c r="CY23" s="224">
        <f>(CW23/'Finance Only'!B26)*100</f>
        <v>2.2004993440819263</v>
      </c>
      <c r="CZ23" s="209">
        <f t="shared" si="64"/>
        <v>996000</v>
      </c>
      <c r="DA23" s="209">
        <v>997010</v>
      </c>
      <c r="DB23" s="210">
        <f t="shared" si="65"/>
        <v>1010</v>
      </c>
      <c r="DC23" s="223">
        <f t="shared" si="66"/>
        <v>-720</v>
      </c>
      <c r="DD23" s="224">
        <f>(DB23/'Finance Only'!B26)*100</f>
        <v>4.2740468029283569</v>
      </c>
      <c r="DE23" s="209">
        <f t="shared" si="67"/>
        <v>763150</v>
      </c>
      <c r="DF23" s="209">
        <v>763880</v>
      </c>
      <c r="DG23" s="210">
        <f t="shared" si="68"/>
        <v>730</v>
      </c>
      <c r="DH23" s="223">
        <f t="shared" si="69"/>
        <v>90</v>
      </c>
      <c r="DI23" s="224">
        <f>(DG23/'Finance Only'!B26)*100</f>
        <v>3.0891625407303964</v>
      </c>
      <c r="DJ23" s="209">
        <f t="shared" si="70"/>
        <v>661140</v>
      </c>
      <c r="DK23" s="209">
        <v>661830</v>
      </c>
      <c r="DL23" s="210">
        <f t="shared" si="71"/>
        <v>690</v>
      </c>
      <c r="DM23" s="223">
        <f t="shared" si="72"/>
        <v>150</v>
      </c>
      <c r="DN23" s="224">
        <f>(DL23/'Finance Only'!B26)*100</f>
        <v>2.9198933604164021</v>
      </c>
      <c r="DO23" s="209">
        <f t="shared" si="73"/>
        <v>358210</v>
      </c>
      <c r="DP23" s="209">
        <v>358490</v>
      </c>
      <c r="DQ23" s="210">
        <f t="shared" si="74"/>
        <v>280</v>
      </c>
      <c r="DR23" s="223">
        <f t="shared" si="75"/>
        <v>-280</v>
      </c>
      <c r="DS23" s="224">
        <f>(DQ23/'Finance Only'!B26)*100</f>
        <v>1.1848842621979603</v>
      </c>
      <c r="DT23" s="209">
        <f t="shared" si="76"/>
        <v>119070</v>
      </c>
      <c r="DU23" s="209">
        <v>119210</v>
      </c>
      <c r="DV23" s="210">
        <f t="shared" si="77"/>
        <v>140</v>
      </c>
      <c r="DW23" s="223">
        <f t="shared" si="78"/>
        <v>-30</v>
      </c>
      <c r="DX23" s="224">
        <f>(DV23/'Finance Only'!B26)*100</f>
        <v>0.59244213109898014</v>
      </c>
      <c r="DY23" s="209">
        <f t="shared" si="79"/>
        <v>765110</v>
      </c>
      <c r="DZ23" s="209">
        <v>766070</v>
      </c>
      <c r="EA23" s="210">
        <f t="shared" si="80"/>
        <v>960</v>
      </c>
      <c r="EB23" s="223">
        <f t="shared" si="81"/>
        <v>20</v>
      </c>
      <c r="EC23" s="224">
        <f>(EA23/'Finance Only'!B26)*100</f>
        <v>4.0624603275358639</v>
      </c>
      <c r="ED23" s="209">
        <f t="shared" si="82"/>
        <v>243230</v>
      </c>
      <c r="EE23" s="209">
        <v>243520</v>
      </c>
      <c r="EF23" s="210">
        <f t="shared" si="83"/>
        <v>290</v>
      </c>
      <c r="EG23" s="223">
        <f t="shared" si="84"/>
        <v>0</v>
      </c>
      <c r="EH23" s="224">
        <f>(EF23/'Finance Only'!B26)*100</f>
        <v>1.2272015572764587</v>
      </c>
      <c r="EI23" s="209">
        <f t="shared" si="85"/>
        <v>275870</v>
      </c>
      <c r="EJ23" s="209">
        <v>276200</v>
      </c>
      <c r="EK23" s="210">
        <f t="shared" si="86"/>
        <v>330</v>
      </c>
      <c r="EL23" s="223">
        <f t="shared" si="87"/>
        <v>70</v>
      </c>
      <c r="EM23" s="224">
        <f>(EK23/'Finance Only'!B26)*100</f>
        <v>1.3964707375904533</v>
      </c>
      <c r="EN23" s="209">
        <f t="shared" si="88"/>
        <v>450870</v>
      </c>
      <c r="EO23" s="209">
        <v>451410</v>
      </c>
      <c r="EP23" s="210">
        <f t="shared" si="89"/>
        <v>540</v>
      </c>
      <c r="EQ23" s="223">
        <f t="shared" si="90"/>
        <v>-470</v>
      </c>
      <c r="ER23" s="224">
        <f>(EP23/'Finance Only'!B26)*100</f>
        <v>2.2851339342389232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5"/>
      <c r="FI23" s="295"/>
      <c r="FJ23" s="295"/>
      <c r="FK23" s="295"/>
      <c r="FL23" s="295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8">
        <f t="shared" si="1"/>
        <v>7320</v>
      </c>
      <c r="GD23" s="276"/>
      <c r="GE23" s="278">
        <f t="shared" si="2"/>
        <v>7309</v>
      </c>
      <c r="GF23" s="276"/>
      <c r="GG23" s="278">
        <f t="shared" si="3"/>
        <v>2000</v>
      </c>
      <c r="GH23" s="276"/>
      <c r="GI23" s="278">
        <f t="shared" si="4"/>
        <v>3860</v>
      </c>
      <c r="GJ23" s="276"/>
      <c r="GK23" s="278">
        <f t="shared" si="5"/>
        <v>630</v>
      </c>
      <c r="GL23" s="276"/>
      <c r="GM23" s="278">
        <f t="shared" si="6"/>
        <v>0</v>
      </c>
      <c r="GN23" s="276"/>
    </row>
    <row r="24" spans="1:1105" s="3" customFormat="1" ht="13.5" customHeight="1" x14ac:dyDescent="0.2">
      <c r="A24" s="264">
        <v>20</v>
      </c>
      <c r="B24" s="267">
        <f>'Finance Only'!G27</f>
        <v>35</v>
      </c>
      <c r="C24" s="262">
        <f t="shared" si="7"/>
        <v>27255943</v>
      </c>
      <c r="D24" s="207">
        <v>27259020</v>
      </c>
      <c r="E24" s="208">
        <f t="shared" si="8"/>
        <v>3077</v>
      </c>
      <c r="F24" s="219">
        <f t="shared" si="9"/>
        <v>-449</v>
      </c>
      <c r="G24" s="220">
        <f>(E24/'Finance Only'!B27)*100</f>
        <v>13.36663770634231</v>
      </c>
      <c r="H24" s="230">
        <f t="shared" si="10"/>
        <v>25191090</v>
      </c>
      <c r="I24" s="207">
        <v>25194192</v>
      </c>
      <c r="J24" s="207">
        <f t="shared" si="11"/>
        <v>3102</v>
      </c>
      <c r="K24" s="231">
        <f t="shared" si="12"/>
        <v>-692</v>
      </c>
      <c r="L24" s="232">
        <f>(J24/'Finance Only'!B27)*100</f>
        <v>13.475238922675933</v>
      </c>
      <c r="M24" s="215">
        <f t="shared" si="13"/>
        <v>92693666</v>
      </c>
      <c r="N24" s="209">
        <v>92704925</v>
      </c>
      <c r="O24" s="210">
        <f t="shared" si="14"/>
        <v>11259</v>
      </c>
      <c r="P24" s="223">
        <f t="shared" si="15"/>
        <v>725</v>
      </c>
      <c r="Q24" s="224">
        <f>(O24/'Finance Only'!B27)*100</f>
        <v>48.909643788010428</v>
      </c>
      <c r="R24" s="214">
        <f t="shared" si="16"/>
        <v>3191700</v>
      </c>
      <c r="S24" s="209">
        <v>3193800</v>
      </c>
      <c r="T24" s="210">
        <f t="shared" si="17"/>
        <v>2100</v>
      </c>
      <c r="U24" s="223">
        <f t="shared" si="18"/>
        <v>-200</v>
      </c>
      <c r="V24" s="224">
        <f>(T24/'Finance Only'!B27)*100</f>
        <v>9.1225021720243262</v>
      </c>
      <c r="W24" s="209">
        <f t="shared" si="19"/>
        <v>4282318</v>
      </c>
      <c r="X24" s="209">
        <v>4284893</v>
      </c>
      <c r="Y24" s="210">
        <f t="shared" si="20"/>
        <v>2575</v>
      </c>
      <c r="Z24" s="223">
        <f t="shared" si="21"/>
        <v>-314</v>
      </c>
      <c r="AA24" s="224">
        <f>(Y24/'Finance Only'!B27)*100</f>
        <v>11.185925282363163</v>
      </c>
      <c r="AB24" s="209">
        <f t="shared" si="22"/>
        <v>2785000</v>
      </c>
      <c r="AC24" s="212">
        <v>2786500</v>
      </c>
      <c r="AD24" s="210">
        <f t="shared" si="0"/>
        <v>1500</v>
      </c>
      <c r="AE24" s="316">
        <f>AD24/WATER!V25</f>
        <v>5.0335570469798654</v>
      </c>
      <c r="AF24" s="223">
        <f t="shared" si="23"/>
        <v>0</v>
      </c>
      <c r="AG24" s="224">
        <f>(AD24/'Finance Only'!B27)*100</f>
        <v>6.516072980017376</v>
      </c>
      <c r="AH24" s="209">
        <f t="shared" si="24"/>
        <v>1114306</v>
      </c>
      <c r="AI24" s="209">
        <v>1114793</v>
      </c>
      <c r="AJ24" s="210">
        <f t="shared" si="25"/>
        <v>487</v>
      </c>
      <c r="AK24" s="223">
        <f t="shared" si="26"/>
        <v>34</v>
      </c>
      <c r="AL24" s="224">
        <f>(AJ24/'Finance Only'!B27)*100</f>
        <v>2.1155516941789752</v>
      </c>
      <c r="AM24" s="209">
        <f t="shared" si="27"/>
        <v>1133500</v>
      </c>
      <c r="AN24" s="209">
        <v>1134200</v>
      </c>
      <c r="AO24" s="210">
        <f t="shared" si="28"/>
        <v>700</v>
      </c>
      <c r="AP24" s="223">
        <f t="shared" si="29"/>
        <v>0</v>
      </c>
      <c r="AQ24" s="224">
        <f>(AO24/'Finance Only'!B27)*100</f>
        <v>3.0408340573414421</v>
      </c>
      <c r="AR24" s="209">
        <f t="shared" si="30"/>
        <v>2528800</v>
      </c>
      <c r="AS24" s="209">
        <v>2530400</v>
      </c>
      <c r="AT24" s="210">
        <f t="shared" si="31"/>
        <v>1600</v>
      </c>
      <c r="AU24" s="223">
        <f t="shared" si="32"/>
        <v>300</v>
      </c>
      <c r="AV24" s="224">
        <f>(AT24/'Finance Only'!B27)*100</f>
        <v>6.9504778453518687</v>
      </c>
      <c r="AW24" s="209">
        <f t="shared" si="33"/>
        <v>326830</v>
      </c>
      <c r="AX24" s="209">
        <v>330030</v>
      </c>
      <c r="AY24" s="210">
        <f t="shared" si="34"/>
        <v>3200</v>
      </c>
      <c r="AZ24" s="223">
        <f t="shared" si="35"/>
        <v>-160</v>
      </c>
      <c r="BA24" s="224">
        <f>(AY24/'Finance Only'!B27)*100</f>
        <v>13.900955690703737</v>
      </c>
      <c r="BB24" s="209">
        <f t="shared" si="36"/>
        <v>1015100</v>
      </c>
      <c r="BC24" s="209">
        <v>1015500</v>
      </c>
      <c r="BD24" s="210">
        <f t="shared" si="37"/>
        <v>400</v>
      </c>
      <c r="BE24" s="223">
        <f t="shared" si="38"/>
        <v>100</v>
      </c>
      <c r="BF24" s="224">
        <f>(BD24/'Finance Only'!B27)*100</f>
        <v>1.7376194613379672</v>
      </c>
      <c r="BG24" s="209">
        <f t="shared" si="39"/>
        <v>1086500</v>
      </c>
      <c r="BH24" s="209">
        <v>1086800</v>
      </c>
      <c r="BI24" s="210">
        <f t="shared" si="40"/>
        <v>300</v>
      </c>
      <c r="BJ24" s="223">
        <f t="shared" si="41"/>
        <v>100</v>
      </c>
      <c r="BK24" s="224">
        <f>(BI24/'Finance Only'!B27)*100</f>
        <v>1.3032145960034751</v>
      </c>
      <c r="BL24" s="209">
        <f t="shared" si="42"/>
        <v>1618700</v>
      </c>
      <c r="BM24" s="209">
        <v>1619200</v>
      </c>
      <c r="BN24" s="210">
        <f t="shared" si="43"/>
        <v>500</v>
      </c>
      <c r="BO24" s="223">
        <f t="shared" si="44"/>
        <v>0</v>
      </c>
      <c r="BP24" s="224">
        <f>(BN24/'Finance Only'!B27)*100</f>
        <v>2.1720243266724588</v>
      </c>
      <c r="BQ24" s="209">
        <f t="shared" si="45"/>
        <v>143730</v>
      </c>
      <c r="BR24" s="209">
        <v>143870</v>
      </c>
      <c r="BS24" s="210">
        <f t="shared" si="46"/>
        <v>140</v>
      </c>
      <c r="BT24" s="223">
        <f t="shared" si="47"/>
        <v>10</v>
      </c>
      <c r="BU24" s="224">
        <f>(BS24/'Finance Only'!B27)*100</f>
        <v>0.60816681146828844</v>
      </c>
      <c r="BV24" s="209">
        <f t="shared" si="48"/>
        <v>603080</v>
      </c>
      <c r="BW24" s="209">
        <v>603550</v>
      </c>
      <c r="BX24" s="210">
        <f t="shared" si="49"/>
        <v>470</v>
      </c>
      <c r="BY24" s="223">
        <f t="shared" si="50"/>
        <v>50</v>
      </c>
      <c r="BZ24" s="224">
        <f>(BX24/'Finance Only'!B27)*100</f>
        <v>2.0417028670721109</v>
      </c>
      <c r="CA24" s="209">
        <f t="shared" si="51"/>
        <v>1137000</v>
      </c>
      <c r="CB24" s="209">
        <v>1138000</v>
      </c>
      <c r="CC24" s="210">
        <f t="shared" si="52"/>
        <v>1000</v>
      </c>
      <c r="CD24" s="223">
        <f t="shared" si="53"/>
        <v>-200</v>
      </c>
      <c r="CE24" s="224">
        <f>(CC24/'Finance Only'!B27)*100</f>
        <v>4.3440486533449176</v>
      </c>
      <c r="CF24" s="209">
        <f t="shared" si="54"/>
        <v>374770</v>
      </c>
      <c r="CG24" s="209">
        <v>375160</v>
      </c>
      <c r="CH24" s="210">
        <f t="shared" si="55"/>
        <v>390</v>
      </c>
      <c r="CI24" s="223">
        <f t="shared" si="56"/>
        <v>-10</v>
      </c>
      <c r="CJ24" s="224">
        <f>(CH24/'Finance Only'!B27)*100</f>
        <v>1.6941789748045177</v>
      </c>
      <c r="CK24" s="210">
        <f t="shared" si="57"/>
        <v>868080</v>
      </c>
      <c r="CL24" s="210">
        <v>868710</v>
      </c>
      <c r="CM24" s="210">
        <f t="shared" si="58"/>
        <v>630</v>
      </c>
      <c r="CN24" s="223">
        <f t="shared" si="59"/>
        <v>-220</v>
      </c>
      <c r="CO24" s="224">
        <f>(CM24/'Finance Only'!B27)*100</f>
        <v>2.7367506516072981</v>
      </c>
      <c r="CP24" s="209">
        <f t="shared" si="110"/>
        <v>719640</v>
      </c>
      <c r="CQ24" s="209">
        <v>720100</v>
      </c>
      <c r="CR24" s="211">
        <f t="shared" si="109"/>
        <v>460</v>
      </c>
      <c r="CS24" s="223">
        <f t="shared" si="60"/>
        <v>-120</v>
      </c>
      <c r="CT24" s="224">
        <f>(CR24/'Finance Only'!B27)*100</f>
        <v>1.9982623805386619</v>
      </c>
      <c r="CU24" s="209">
        <f t="shared" si="61"/>
        <v>595910</v>
      </c>
      <c r="CV24" s="209">
        <v>596320</v>
      </c>
      <c r="CW24" s="210">
        <f t="shared" si="62"/>
        <v>410</v>
      </c>
      <c r="CX24" s="223">
        <f t="shared" si="63"/>
        <v>-110</v>
      </c>
      <c r="CY24" s="224">
        <f>(CW24/'Finance Only'!B27)*100</f>
        <v>1.7810599478714162</v>
      </c>
      <c r="CZ24" s="209">
        <f t="shared" si="64"/>
        <v>997010</v>
      </c>
      <c r="DA24" s="209">
        <v>997800</v>
      </c>
      <c r="DB24" s="210">
        <f t="shared" si="65"/>
        <v>790</v>
      </c>
      <c r="DC24" s="223">
        <f t="shared" si="66"/>
        <v>-220</v>
      </c>
      <c r="DD24" s="224">
        <f>(DB24/'Finance Only'!B27)*100</f>
        <v>3.4317984361424849</v>
      </c>
      <c r="DE24" s="209">
        <f t="shared" si="67"/>
        <v>763880</v>
      </c>
      <c r="DF24" s="209">
        <v>764460</v>
      </c>
      <c r="DG24" s="210">
        <f t="shared" si="68"/>
        <v>580</v>
      </c>
      <c r="DH24" s="223">
        <f t="shared" si="69"/>
        <v>-150</v>
      </c>
      <c r="DI24" s="224">
        <f>(DG24/'Finance Only'!B27)*100</f>
        <v>2.5195482189400522</v>
      </c>
      <c r="DJ24" s="209">
        <f t="shared" si="70"/>
        <v>661830</v>
      </c>
      <c r="DK24" s="209">
        <v>662300</v>
      </c>
      <c r="DL24" s="210">
        <f t="shared" si="71"/>
        <v>470</v>
      </c>
      <c r="DM24" s="223">
        <f t="shared" si="72"/>
        <v>-220</v>
      </c>
      <c r="DN24" s="224">
        <f>(DL24/'Finance Only'!B27)*100</f>
        <v>2.0417028670721109</v>
      </c>
      <c r="DO24" s="209">
        <f t="shared" si="73"/>
        <v>358490</v>
      </c>
      <c r="DP24" s="209">
        <v>358820</v>
      </c>
      <c r="DQ24" s="210">
        <f t="shared" si="74"/>
        <v>330</v>
      </c>
      <c r="DR24" s="223">
        <f t="shared" si="75"/>
        <v>50</v>
      </c>
      <c r="DS24" s="224">
        <f>(DQ24/'Finance Only'!B27)*100</f>
        <v>1.4335360556038228</v>
      </c>
      <c r="DT24" s="209">
        <f t="shared" si="76"/>
        <v>119210</v>
      </c>
      <c r="DU24" s="209">
        <v>119330</v>
      </c>
      <c r="DV24" s="210">
        <f t="shared" si="77"/>
        <v>120</v>
      </c>
      <c r="DW24" s="223">
        <f t="shared" si="78"/>
        <v>-20</v>
      </c>
      <c r="DX24" s="224">
        <f>(DV24/'Finance Only'!B27)*100</f>
        <v>0.52128583840139009</v>
      </c>
      <c r="DY24" s="209">
        <f t="shared" si="79"/>
        <v>766070</v>
      </c>
      <c r="DZ24" s="209">
        <v>766980</v>
      </c>
      <c r="EA24" s="210">
        <f t="shared" si="80"/>
        <v>910</v>
      </c>
      <c r="EB24" s="223">
        <f t="shared" si="81"/>
        <v>-50</v>
      </c>
      <c r="EC24" s="224">
        <f>(EA24/'Finance Only'!B27)*100</f>
        <v>3.9530842745438748</v>
      </c>
      <c r="ED24" s="209">
        <f t="shared" si="82"/>
        <v>243520</v>
      </c>
      <c r="EE24" s="209">
        <v>243790</v>
      </c>
      <c r="EF24" s="210">
        <f t="shared" si="83"/>
        <v>270</v>
      </c>
      <c r="EG24" s="223">
        <f t="shared" si="84"/>
        <v>-20</v>
      </c>
      <c r="EH24" s="224">
        <f>(EF24/'Finance Only'!B27)*100</f>
        <v>1.1728931364031276</v>
      </c>
      <c r="EI24" s="209">
        <f t="shared" si="85"/>
        <v>276200</v>
      </c>
      <c r="EJ24" s="209">
        <v>276530</v>
      </c>
      <c r="EK24" s="210">
        <f t="shared" si="86"/>
        <v>330</v>
      </c>
      <c r="EL24" s="223">
        <f t="shared" si="87"/>
        <v>0</v>
      </c>
      <c r="EM24" s="224">
        <f>(EK24/'Finance Only'!B27)*100</f>
        <v>1.4335360556038228</v>
      </c>
      <c r="EN24" s="209">
        <f t="shared" si="88"/>
        <v>451410</v>
      </c>
      <c r="EO24" s="209">
        <v>451400</v>
      </c>
      <c r="EP24" s="210">
        <f t="shared" si="89"/>
        <v>0</v>
      </c>
      <c r="EQ24" s="223">
        <f t="shared" si="90"/>
        <v>-540</v>
      </c>
      <c r="ER24" s="224">
        <f>(EP24/'Finance Only'!B27)*100</f>
        <v>0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>
        <f>(EZ24/'Finance Only'!G27)*100</f>
        <v>0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5"/>
      <c r="FI24" s="295"/>
      <c r="FJ24" s="295"/>
      <c r="FK24" s="295"/>
      <c r="FL24" s="295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8">
        <f>SUM(E24+J24)</f>
        <v>6179</v>
      </c>
      <c r="GD24" s="276"/>
      <c r="GE24" s="278">
        <f t="shared" si="2"/>
        <v>6185</v>
      </c>
      <c r="GF24" s="276"/>
      <c r="GG24" s="278">
        <f t="shared" si="3"/>
        <v>2300</v>
      </c>
      <c r="GH24" s="276"/>
      <c r="GI24" s="278">
        <f t="shared" si="4"/>
        <v>3900</v>
      </c>
      <c r="GJ24" s="276"/>
      <c r="GK24" s="278">
        <f t="shared" si="5"/>
        <v>640</v>
      </c>
      <c r="GL24" s="276"/>
      <c r="GM24" s="278">
        <f t="shared" si="6"/>
        <v>0</v>
      </c>
      <c r="GN24" s="276"/>
    </row>
    <row r="25" spans="1:1105" s="3" customFormat="1" ht="13.5" customHeight="1" x14ac:dyDescent="0.2">
      <c r="A25" s="264">
        <v>21</v>
      </c>
      <c r="B25" s="267">
        <f>'Finance Only'!G28</f>
        <v>35.9</v>
      </c>
      <c r="C25" s="262">
        <f t="shared" si="7"/>
        <v>27259020</v>
      </c>
      <c r="D25" s="207">
        <v>27262268</v>
      </c>
      <c r="E25" s="208">
        <f t="shared" si="8"/>
        <v>3248</v>
      </c>
      <c r="F25" s="219">
        <f t="shared" si="9"/>
        <v>171</v>
      </c>
      <c r="G25" s="220">
        <f>(E25/'Finance Only'!B28)*100</f>
        <v>14.082552896288588</v>
      </c>
      <c r="H25" s="230">
        <f t="shared" si="10"/>
        <v>25194192</v>
      </c>
      <c r="I25" s="207">
        <v>25197263</v>
      </c>
      <c r="J25" s="207">
        <f t="shared" si="11"/>
        <v>3071</v>
      </c>
      <c r="K25" s="231">
        <f t="shared" si="12"/>
        <v>-31</v>
      </c>
      <c r="L25" s="232">
        <f>(J25/'Finance Only'!B28)*100</f>
        <v>13.315123135622613</v>
      </c>
      <c r="M25" s="215">
        <f t="shared" si="13"/>
        <v>92704925</v>
      </c>
      <c r="N25" s="209">
        <v>92716021</v>
      </c>
      <c r="O25" s="210">
        <f t="shared" si="14"/>
        <v>11096</v>
      </c>
      <c r="P25" s="223">
        <f t="shared" si="15"/>
        <v>-163</v>
      </c>
      <c r="Q25" s="224">
        <f>(O25/'Finance Only'!B28)*100</f>
        <v>48.109608047173083</v>
      </c>
      <c r="R25" s="214">
        <f t="shared" si="16"/>
        <v>3193800</v>
      </c>
      <c r="S25" s="209">
        <v>3196100</v>
      </c>
      <c r="T25" s="210">
        <f t="shared" si="17"/>
        <v>2300</v>
      </c>
      <c r="U25" s="223">
        <f t="shared" si="18"/>
        <v>200</v>
      </c>
      <c r="V25" s="224">
        <f>(T25/'Finance Only'!B28)*100</f>
        <v>9.9722511272979535</v>
      </c>
      <c r="W25" s="209">
        <f t="shared" si="19"/>
        <v>4284893</v>
      </c>
      <c r="X25" s="209">
        <v>4287669</v>
      </c>
      <c r="Y25" s="210">
        <f t="shared" si="20"/>
        <v>2776</v>
      </c>
      <c r="Z25" s="223">
        <f t="shared" si="21"/>
        <v>201</v>
      </c>
      <c r="AA25" s="224">
        <f>(Y25/'Finance Only'!B28)*100</f>
        <v>12.03607353451266</v>
      </c>
      <c r="AB25" s="209">
        <f t="shared" si="22"/>
        <v>2786500</v>
      </c>
      <c r="AC25" s="209">
        <v>2787900</v>
      </c>
      <c r="AD25" s="210">
        <f t="shared" si="0"/>
        <v>1400</v>
      </c>
      <c r="AE25" s="316">
        <f>AD25/WATER!V26</f>
        <v>5.384615384615385</v>
      </c>
      <c r="AF25" s="223">
        <f t="shared" si="23"/>
        <v>-100</v>
      </c>
      <c r="AG25" s="224">
        <f>(AD25/'Finance Only'!B28)*100</f>
        <v>6.0700659035726678</v>
      </c>
      <c r="AH25" s="209">
        <f t="shared" si="24"/>
        <v>1114793</v>
      </c>
      <c r="AI25" s="209">
        <v>1115257</v>
      </c>
      <c r="AJ25" s="210">
        <f t="shared" si="25"/>
        <v>464</v>
      </c>
      <c r="AK25" s="223">
        <f t="shared" si="26"/>
        <v>-23</v>
      </c>
      <c r="AL25" s="224">
        <f>(AJ25/'Finance Only'!B28)*100</f>
        <v>2.0117932708983695</v>
      </c>
      <c r="AM25" s="209">
        <f t="shared" si="27"/>
        <v>1134200</v>
      </c>
      <c r="AN25" s="209">
        <v>1134800</v>
      </c>
      <c r="AO25" s="210">
        <f t="shared" si="28"/>
        <v>600</v>
      </c>
      <c r="AP25" s="223">
        <f t="shared" si="29"/>
        <v>-100</v>
      </c>
      <c r="AQ25" s="224">
        <f>(AO25/'Finance Only'!B28)*100</f>
        <v>2.6014568158168574</v>
      </c>
      <c r="AR25" s="209">
        <f t="shared" si="30"/>
        <v>2530400</v>
      </c>
      <c r="AS25" s="209">
        <v>2532000</v>
      </c>
      <c r="AT25" s="210">
        <f t="shared" si="31"/>
        <v>1600</v>
      </c>
      <c r="AU25" s="223">
        <f t="shared" si="32"/>
        <v>0</v>
      </c>
      <c r="AV25" s="224">
        <f>(AT25/'Finance Only'!B28)*100</f>
        <v>6.93721817551162</v>
      </c>
      <c r="AW25" s="209">
        <f t="shared" si="33"/>
        <v>330030</v>
      </c>
      <c r="AX25" s="209">
        <v>333220</v>
      </c>
      <c r="AY25" s="210">
        <f t="shared" si="34"/>
        <v>3190</v>
      </c>
      <c r="AZ25" s="223">
        <f t="shared" si="35"/>
        <v>-10</v>
      </c>
      <c r="BA25" s="224">
        <f>(AY25/'Finance Only'!B28)*100</f>
        <v>13.831078737426292</v>
      </c>
      <c r="BB25" s="209">
        <f t="shared" si="36"/>
        <v>1015500</v>
      </c>
      <c r="BC25" s="209">
        <v>1015900</v>
      </c>
      <c r="BD25" s="210">
        <f t="shared" si="37"/>
        <v>400</v>
      </c>
      <c r="BE25" s="223">
        <f t="shared" si="38"/>
        <v>0</v>
      </c>
      <c r="BF25" s="224">
        <f>(BD25/'Finance Only'!B28)*100</f>
        <v>1.734304543877905</v>
      </c>
      <c r="BG25" s="209">
        <f t="shared" si="39"/>
        <v>1086800</v>
      </c>
      <c r="BH25" s="209">
        <v>1087000</v>
      </c>
      <c r="BI25" s="210">
        <f t="shared" si="40"/>
        <v>200</v>
      </c>
      <c r="BJ25" s="223">
        <f t="shared" si="41"/>
        <v>-100</v>
      </c>
      <c r="BK25" s="224">
        <f>(BI25/'Finance Only'!B28)*100</f>
        <v>0.8671522719389525</v>
      </c>
      <c r="BL25" s="209">
        <f t="shared" si="42"/>
        <v>1619200</v>
      </c>
      <c r="BM25" s="209">
        <v>1619700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2.1678806798473813</v>
      </c>
      <c r="BQ25" s="209">
        <f t="shared" si="45"/>
        <v>143870</v>
      </c>
      <c r="BR25" s="209">
        <v>143990</v>
      </c>
      <c r="BS25" s="210">
        <f t="shared" si="46"/>
        <v>120</v>
      </c>
      <c r="BT25" s="223">
        <f t="shared" si="47"/>
        <v>-20</v>
      </c>
      <c r="BU25" s="224">
        <f>(BS25/'Finance Only'!B28)*100</f>
        <v>0.52029136316337155</v>
      </c>
      <c r="BV25" s="209">
        <f t="shared" si="48"/>
        <v>603550</v>
      </c>
      <c r="BW25" s="209">
        <v>604060</v>
      </c>
      <c r="BX25" s="210">
        <f t="shared" si="49"/>
        <v>510</v>
      </c>
      <c r="BY25" s="223">
        <f t="shared" si="50"/>
        <v>40</v>
      </c>
      <c r="BZ25" s="224">
        <f>(BX25/'Finance Only'!B28)*100</f>
        <v>2.2112382934443287</v>
      </c>
      <c r="CA25" s="209">
        <f t="shared" si="51"/>
        <v>1138000</v>
      </c>
      <c r="CB25" s="209">
        <v>1139200</v>
      </c>
      <c r="CC25" s="210">
        <f t="shared" si="52"/>
        <v>1200</v>
      </c>
      <c r="CD25" s="223">
        <f t="shared" si="53"/>
        <v>200</v>
      </c>
      <c r="CE25" s="224">
        <f>(CC25/'Finance Only'!B28)*100</f>
        <v>5.2029136316337148</v>
      </c>
      <c r="CF25" s="209">
        <f t="shared" si="54"/>
        <v>375160</v>
      </c>
      <c r="CG25" s="209">
        <v>375540</v>
      </c>
      <c r="CH25" s="210">
        <f t="shared" si="55"/>
        <v>380</v>
      </c>
      <c r="CI25" s="223">
        <f t="shared" si="56"/>
        <v>-10</v>
      </c>
      <c r="CJ25" s="224">
        <f>(CH25/'Finance Only'!B28)*100</f>
        <v>1.6475893166840097</v>
      </c>
      <c r="CK25" s="210">
        <f t="shared" si="57"/>
        <v>868710</v>
      </c>
      <c r="CL25" s="210">
        <v>869360</v>
      </c>
      <c r="CM25" s="210">
        <f t="shared" si="58"/>
        <v>650</v>
      </c>
      <c r="CN25" s="223">
        <f t="shared" si="59"/>
        <v>20</v>
      </c>
      <c r="CO25" s="224">
        <f>(CM25/'Finance Only'!B28)*100</f>
        <v>2.8182448838015954</v>
      </c>
      <c r="CP25" s="209">
        <f t="shared" si="110"/>
        <v>720100</v>
      </c>
      <c r="CQ25" s="209">
        <v>720590</v>
      </c>
      <c r="CR25" s="211">
        <f t="shared" si="109"/>
        <v>490</v>
      </c>
      <c r="CS25" s="223">
        <f t="shared" si="60"/>
        <v>30</v>
      </c>
      <c r="CT25" s="224">
        <f>(CR25/'Finance Only'!B28)*100</f>
        <v>2.1245230662504335</v>
      </c>
      <c r="CU25" s="209">
        <f t="shared" si="61"/>
        <v>596320</v>
      </c>
      <c r="CV25" s="209">
        <v>596660</v>
      </c>
      <c r="CW25" s="210">
        <f t="shared" si="62"/>
        <v>340</v>
      </c>
      <c r="CX25" s="223">
        <f t="shared" si="63"/>
        <v>-70</v>
      </c>
      <c r="CY25" s="224">
        <f>(CW25/'Finance Only'!B28)*100</f>
        <v>1.4741588622962192</v>
      </c>
      <c r="CZ25" s="209">
        <f t="shared" si="64"/>
        <v>997800</v>
      </c>
      <c r="DA25" s="209">
        <v>998800</v>
      </c>
      <c r="DB25" s="210">
        <f t="shared" si="65"/>
        <v>1000</v>
      </c>
      <c r="DC25" s="223">
        <f t="shared" si="66"/>
        <v>210</v>
      </c>
      <c r="DD25" s="224">
        <f>(DB25/'Finance Only'!B28)*100</f>
        <v>4.3357613596947626</v>
      </c>
      <c r="DE25" s="209">
        <f t="shared" si="67"/>
        <v>764460</v>
      </c>
      <c r="DF25" s="209">
        <v>765090</v>
      </c>
      <c r="DG25" s="210">
        <f t="shared" si="68"/>
        <v>630</v>
      </c>
      <c r="DH25" s="223">
        <f t="shared" si="69"/>
        <v>50</v>
      </c>
      <c r="DI25" s="224">
        <f>(DG25/'Finance Only'!B28)*100</f>
        <v>2.7315296566077003</v>
      </c>
      <c r="DJ25" s="209">
        <f t="shared" si="70"/>
        <v>662300</v>
      </c>
      <c r="DK25" s="209">
        <v>662270</v>
      </c>
      <c r="DL25" s="210">
        <f t="shared" si="71"/>
        <v>0</v>
      </c>
      <c r="DM25" s="223">
        <f t="shared" si="72"/>
        <v>-470</v>
      </c>
      <c r="DN25" s="224">
        <f>(DL25/'Finance Only'!B28)*100</f>
        <v>0</v>
      </c>
      <c r="DO25" s="209">
        <f t="shared" si="73"/>
        <v>358820</v>
      </c>
      <c r="DP25" s="209">
        <v>359120</v>
      </c>
      <c r="DQ25" s="210">
        <f t="shared" si="74"/>
        <v>300</v>
      </c>
      <c r="DR25" s="223">
        <f t="shared" si="75"/>
        <v>-30</v>
      </c>
      <c r="DS25" s="224">
        <f>(DQ25/'Finance Only'!B28)*100</f>
        <v>1.3007284079084287</v>
      </c>
      <c r="DT25" s="209">
        <f t="shared" si="76"/>
        <v>119330</v>
      </c>
      <c r="DU25" s="209">
        <v>119500</v>
      </c>
      <c r="DV25" s="210">
        <f t="shared" si="77"/>
        <v>170</v>
      </c>
      <c r="DW25" s="223">
        <f t="shared" si="78"/>
        <v>50</v>
      </c>
      <c r="DX25" s="224">
        <f>(DV25/'Finance Only'!B28)*100</f>
        <v>0.73707943114810959</v>
      </c>
      <c r="DY25" s="209">
        <f t="shared" si="79"/>
        <v>766980</v>
      </c>
      <c r="DZ25" s="209">
        <v>767860</v>
      </c>
      <c r="EA25" s="210">
        <f t="shared" si="80"/>
        <v>880</v>
      </c>
      <c r="EB25" s="223">
        <f t="shared" si="81"/>
        <v>-30</v>
      </c>
      <c r="EC25" s="224">
        <f>(EA25/'Finance Only'!B28)*100</f>
        <v>3.8154699965313914</v>
      </c>
      <c r="ED25" s="209">
        <f t="shared" si="82"/>
        <v>243790</v>
      </c>
      <c r="EE25" s="209">
        <v>244070</v>
      </c>
      <c r="EF25" s="210">
        <f t="shared" si="83"/>
        <v>280</v>
      </c>
      <c r="EG25" s="223">
        <f t="shared" si="84"/>
        <v>10</v>
      </c>
      <c r="EH25" s="224">
        <f>(EF25/'Finance Only'!B28)*100</f>
        <v>1.2140131807145336</v>
      </c>
      <c r="EI25" s="209">
        <f t="shared" si="85"/>
        <v>276530</v>
      </c>
      <c r="EJ25" s="209">
        <v>276870</v>
      </c>
      <c r="EK25" s="210">
        <f t="shared" si="86"/>
        <v>340</v>
      </c>
      <c r="EL25" s="223">
        <f t="shared" si="87"/>
        <v>10</v>
      </c>
      <c r="EM25" s="224">
        <f>(EK25/'Finance Only'!B28)*100</f>
        <v>1.4741588622962192</v>
      </c>
      <c r="EN25" s="209">
        <f t="shared" si="88"/>
        <v>451400</v>
      </c>
      <c r="EO25" s="209">
        <v>452450</v>
      </c>
      <c r="EP25" s="210">
        <f t="shared" si="89"/>
        <v>1050</v>
      </c>
      <c r="EQ25" s="223">
        <f t="shared" si="90"/>
        <v>1050</v>
      </c>
      <c r="ER25" s="224">
        <f>(EP25/'Finance Only'!B28)*100</f>
        <v>4.5525494276795007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5"/>
      <c r="FI25" s="295"/>
      <c r="FJ25" s="295"/>
      <c r="FK25" s="295"/>
      <c r="FL25" s="295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8">
        <f t="shared" si="1"/>
        <v>6319</v>
      </c>
      <c r="GD25" s="276"/>
      <c r="GE25" s="278">
        <f t="shared" si="2"/>
        <v>7626</v>
      </c>
      <c r="GF25" s="276"/>
      <c r="GG25" s="278">
        <f t="shared" si="3"/>
        <v>2200</v>
      </c>
      <c r="GH25" s="276"/>
      <c r="GI25" s="278">
        <f t="shared" si="4"/>
        <v>3790</v>
      </c>
      <c r="GJ25" s="276"/>
      <c r="GK25" s="278">
        <f t="shared" si="5"/>
        <v>620</v>
      </c>
      <c r="GL25" s="276"/>
      <c r="GM25" s="278">
        <f t="shared" si="6"/>
        <v>0</v>
      </c>
      <c r="GN25" s="276"/>
    </row>
    <row r="26" spans="1:1105" s="3" customFormat="1" ht="13.5" customHeight="1" x14ac:dyDescent="0.2">
      <c r="A26" s="264">
        <v>22</v>
      </c>
      <c r="B26" s="267">
        <f>'Finance Only'!G29</f>
        <v>29.1</v>
      </c>
      <c r="C26" s="262">
        <f t="shared" si="7"/>
        <v>27262268</v>
      </c>
      <c r="D26" s="207">
        <v>27265662</v>
      </c>
      <c r="E26" s="208">
        <f t="shared" si="8"/>
        <v>3394</v>
      </c>
      <c r="F26" s="219">
        <f t="shared" si="9"/>
        <v>146</v>
      </c>
      <c r="G26" s="220">
        <f>(E26/'Finance Only'!B29)*100</f>
        <v>14.683741455394999</v>
      </c>
      <c r="H26" s="230">
        <f t="shared" si="10"/>
        <v>25197263</v>
      </c>
      <c r="I26" s="207">
        <v>25200684</v>
      </c>
      <c r="J26" s="207">
        <f t="shared" si="11"/>
        <v>3421</v>
      </c>
      <c r="K26" s="231">
        <f t="shared" si="12"/>
        <v>350</v>
      </c>
      <c r="L26" s="232">
        <f>(J26/'Finance Only'!B29)*100</f>
        <v>14.80055377693173</v>
      </c>
      <c r="M26" s="215">
        <f t="shared" si="13"/>
        <v>92716021</v>
      </c>
      <c r="N26" s="209">
        <v>92725893</v>
      </c>
      <c r="O26" s="210">
        <f t="shared" si="14"/>
        <v>9872</v>
      </c>
      <c r="P26" s="223">
        <f t="shared" si="15"/>
        <v>-1224</v>
      </c>
      <c r="Q26" s="224">
        <f>(O26/'Finance Only'!B29)*100</f>
        <v>42.710045859652155</v>
      </c>
      <c r="R26" s="214">
        <f t="shared" si="16"/>
        <v>3196100</v>
      </c>
      <c r="S26" s="209">
        <v>3198300</v>
      </c>
      <c r="T26" s="210">
        <f t="shared" si="17"/>
        <v>2200</v>
      </c>
      <c r="U26" s="223">
        <f t="shared" si="18"/>
        <v>-100</v>
      </c>
      <c r="V26" s="224">
        <f>(T26/'Finance Only'!B29)*100</f>
        <v>9.518041014104007</v>
      </c>
      <c r="W26" s="209">
        <f t="shared" si="19"/>
        <v>4287669</v>
      </c>
      <c r="X26" s="209">
        <v>4290506</v>
      </c>
      <c r="Y26" s="210">
        <f t="shared" si="20"/>
        <v>2837</v>
      </c>
      <c r="Z26" s="223">
        <f t="shared" si="21"/>
        <v>61</v>
      </c>
      <c r="AA26" s="224">
        <f>(Y26/'Finance Only'!B29)*100</f>
        <v>12.273946525915031</v>
      </c>
      <c r="AB26" s="209">
        <f t="shared" si="22"/>
        <v>2787900</v>
      </c>
      <c r="AC26" s="209">
        <v>2789200</v>
      </c>
      <c r="AD26" s="210">
        <f t="shared" si="0"/>
        <v>1300</v>
      </c>
      <c r="AE26" s="316">
        <f>AD26/WATER!V27</f>
        <v>4.2622950819672134</v>
      </c>
      <c r="AF26" s="223">
        <f t="shared" si="23"/>
        <v>-100</v>
      </c>
      <c r="AG26" s="224">
        <f>(AD26/'Finance Only'!B29)*100</f>
        <v>5.6242969628796402</v>
      </c>
      <c r="AH26" s="209">
        <f t="shared" si="24"/>
        <v>1115257</v>
      </c>
      <c r="AI26" s="209">
        <v>1115671</v>
      </c>
      <c r="AJ26" s="210">
        <f t="shared" si="25"/>
        <v>414</v>
      </c>
      <c r="AK26" s="223">
        <f t="shared" si="26"/>
        <v>-50</v>
      </c>
      <c r="AL26" s="224">
        <f>(AJ26/'Finance Only'!B29)*100</f>
        <v>1.7911222635632087</v>
      </c>
      <c r="AM26" s="209">
        <f t="shared" si="27"/>
        <v>1134800</v>
      </c>
      <c r="AN26" s="209">
        <v>1135500</v>
      </c>
      <c r="AO26" s="210">
        <f t="shared" si="28"/>
        <v>700</v>
      </c>
      <c r="AP26" s="223">
        <f t="shared" si="29"/>
        <v>100</v>
      </c>
      <c r="AQ26" s="224">
        <f>(AO26/'Finance Only'!B29)*100</f>
        <v>3.0284675953967293</v>
      </c>
      <c r="AR26" s="209">
        <f t="shared" si="30"/>
        <v>2532000</v>
      </c>
      <c r="AS26" s="209">
        <v>2533300</v>
      </c>
      <c r="AT26" s="210">
        <f t="shared" si="31"/>
        <v>1300</v>
      </c>
      <c r="AU26" s="223">
        <f t="shared" si="32"/>
        <v>-300</v>
      </c>
      <c r="AV26" s="224">
        <f>(AT26/'Finance Only'!B29)*100</f>
        <v>5.6242969628796402</v>
      </c>
      <c r="AW26" s="209">
        <f t="shared" si="33"/>
        <v>333220</v>
      </c>
      <c r="AX26" s="209">
        <v>336350</v>
      </c>
      <c r="AY26" s="210">
        <f t="shared" si="34"/>
        <v>3130</v>
      </c>
      <c r="AZ26" s="223">
        <f t="shared" si="35"/>
        <v>-60</v>
      </c>
      <c r="BA26" s="224">
        <f>(AY26/'Finance Only'!B29)*100</f>
        <v>13.541576533702518</v>
      </c>
      <c r="BB26" s="209">
        <f t="shared" si="36"/>
        <v>1015900</v>
      </c>
      <c r="BC26" s="209">
        <v>1016200</v>
      </c>
      <c r="BD26" s="210">
        <f t="shared" si="37"/>
        <v>300</v>
      </c>
      <c r="BE26" s="223">
        <f t="shared" si="38"/>
        <v>-100</v>
      </c>
      <c r="BF26" s="224">
        <f>(BD26/'Finance Only'!B29)*100</f>
        <v>1.2979146837414555</v>
      </c>
      <c r="BG26" s="209">
        <f t="shared" si="39"/>
        <v>1087000</v>
      </c>
      <c r="BH26" s="209">
        <v>1087200</v>
      </c>
      <c r="BI26" s="210">
        <f t="shared" si="40"/>
        <v>200</v>
      </c>
      <c r="BJ26" s="223">
        <f t="shared" si="41"/>
        <v>0</v>
      </c>
      <c r="BK26" s="224">
        <f>(BI26/'Finance Only'!B29)*100</f>
        <v>0.86527645582763701</v>
      </c>
      <c r="BL26" s="209">
        <f t="shared" si="42"/>
        <v>1619700</v>
      </c>
      <c r="BM26" s="209">
        <v>1620100</v>
      </c>
      <c r="BN26" s="210">
        <f t="shared" si="43"/>
        <v>400</v>
      </c>
      <c r="BO26" s="223">
        <f t="shared" si="44"/>
        <v>-100</v>
      </c>
      <c r="BP26" s="224">
        <f>(BN26/'Finance Only'!B29)*100</f>
        <v>1.730552911655274</v>
      </c>
      <c r="BQ26" s="209">
        <f t="shared" si="45"/>
        <v>143990</v>
      </c>
      <c r="BR26" s="209">
        <v>144110</v>
      </c>
      <c r="BS26" s="210">
        <f t="shared" si="46"/>
        <v>120</v>
      </c>
      <c r="BT26" s="223">
        <f t="shared" si="47"/>
        <v>0</v>
      </c>
      <c r="BU26" s="224">
        <f>(BS26/'Finance Only'!B29)*100</f>
        <v>0.51916587349658216</v>
      </c>
      <c r="BV26" s="209">
        <f t="shared" si="48"/>
        <v>604060</v>
      </c>
      <c r="BW26" s="209">
        <v>604450</v>
      </c>
      <c r="BX26" s="210">
        <f t="shared" si="49"/>
        <v>390</v>
      </c>
      <c r="BY26" s="223">
        <f t="shared" si="50"/>
        <v>-120</v>
      </c>
      <c r="BZ26" s="224">
        <f>(BX26/'Finance Only'!B29)*100</f>
        <v>1.6872890888638921</v>
      </c>
      <c r="CA26" s="209">
        <f t="shared" si="51"/>
        <v>1139200</v>
      </c>
      <c r="CB26" s="209">
        <v>1140400</v>
      </c>
      <c r="CC26" s="210">
        <f t="shared" si="52"/>
        <v>1200</v>
      </c>
      <c r="CD26" s="223">
        <f t="shared" si="53"/>
        <v>0</v>
      </c>
      <c r="CE26" s="224">
        <f>(CC26/'Finance Only'!B29)*100</f>
        <v>5.1916587349658219</v>
      </c>
      <c r="CF26" s="209">
        <f t="shared" si="54"/>
        <v>375540</v>
      </c>
      <c r="CG26" s="209">
        <v>375960</v>
      </c>
      <c r="CH26" s="210">
        <f t="shared" si="55"/>
        <v>420</v>
      </c>
      <c r="CI26" s="223">
        <f t="shared" si="56"/>
        <v>40</v>
      </c>
      <c r="CJ26" s="224">
        <f>(CH26/'Finance Only'!B29)*100</f>
        <v>1.8170805572380373</v>
      </c>
      <c r="CK26" s="210">
        <f t="shared" si="57"/>
        <v>869360</v>
      </c>
      <c r="CL26" s="210">
        <v>870230</v>
      </c>
      <c r="CM26" s="210">
        <f t="shared" si="58"/>
        <v>870</v>
      </c>
      <c r="CN26" s="223">
        <f t="shared" si="59"/>
        <v>220</v>
      </c>
      <c r="CO26" s="224">
        <f>(CM26/'Finance Only'!B29)*100</f>
        <v>3.7639525828502203</v>
      </c>
      <c r="CP26" s="209">
        <f t="shared" si="110"/>
        <v>720590</v>
      </c>
      <c r="CQ26" s="209">
        <v>721200</v>
      </c>
      <c r="CR26" s="211">
        <f t="shared" si="109"/>
        <v>610</v>
      </c>
      <c r="CS26" s="223">
        <f t="shared" si="60"/>
        <v>120</v>
      </c>
      <c r="CT26" s="224">
        <f>(CR26/'Finance Only'!B29)*100</f>
        <v>2.6390931902742927</v>
      </c>
      <c r="CU26" s="209">
        <f t="shared" si="61"/>
        <v>596660</v>
      </c>
      <c r="CV26" s="209">
        <v>597110</v>
      </c>
      <c r="CW26" s="210">
        <f t="shared" si="62"/>
        <v>450</v>
      </c>
      <c r="CX26" s="223">
        <f t="shared" si="63"/>
        <v>110</v>
      </c>
      <c r="CY26" s="224">
        <f>(CW26/'Finance Only'!B29)*100</f>
        <v>1.946872025612183</v>
      </c>
      <c r="CZ26" s="209">
        <f t="shared" si="64"/>
        <v>998800</v>
      </c>
      <c r="DA26" s="209">
        <v>999300</v>
      </c>
      <c r="DB26" s="210">
        <f t="shared" si="65"/>
        <v>500</v>
      </c>
      <c r="DC26" s="223">
        <f t="shared" si="66"/>
        <v>-500</v>
      </c>
      <c r="DD26" s="224">
        <f>(DB26/'Finance Only'!B29)*100</f>
        <v>2.1631911395690926</v>
      </c>
      <c r="DE26" s="209">
        <f t="shared" si="67"/>
        <v>765090</v>
      </c>
      <c r="DF26" s="209">
        <v>765820</v>
      </c>
      <c r="DG26" s="210">
        <f t="shared" si="68"/>
        <v>730</v>
      </c>
      <c r="DH26" s="223">
        <f t="shared" si="69"/>
        <v>100</v>
      </c>
      <c r="DI26" s="224">
        <f>(DG26/'Finance Only'!B29)*100</f>
        <v>3.158259063770875</v>
      </c>
      <c r="DJ26" s="209">
        <f t="shared" si="70"/>
        <v>662270</v>
      </c>
      <c r="DK26" s="209">
        <v>663290</v>
      </c>
      <c r="DL26" s="210">
        <f t="shared" si="71"/>
        <v>1020</v>
      </c>
      <c r="DM26" s="223">
        <f t="shared" si="72"/>
        <v>1020</v>
      </c>
      <c r="DN26" s="224">
        <f>(DL26/'Finance Only'!B29)*100</f>
        <v>4.4129099247209478</v>
      </c>
      <c r="DO26" s="209">
        <f t="shared" si="73"/>
        <v>359120</v>
      </c>
      <c r="DP26" s="209">
        <v>359420</v>
      </c>
      <c r="DQ26" s="210">
        <f t="shared" si="74"/>
        <v>300</v>
      </c>
      <c r="DR26" s="223">
        <f t="shared" si="75"/>
        <v>0</v>
      </c>
      <c r="DS26" s="224">
        <f>(DQ26/'Finance Only'!B29)*100</f>
        <v>1.2979146837414555</v>
      </c>
      <c r="DT26" s="209">
        <f t="shared" si="76"/>
        <v>119500</v>
      </c>
      <c r="DU26" s="209">
        <v>119660</v>
      </c>
      <c r="DV26" s="210">
        <f t="shared" si="77"/>
        <v>160</v>
      </c>
      <c r="DW26" s="223">
        <f t="shared" si="78"/>
        <v>-10</v>
      </c>
      <c r="DX26" s="224">
        <f>(DV26/'Finance Only'!B29)*100</f>
        <v>0.69222116466210959</v>
      </c>
      <c r="DY26" s="209">
        <f t="shared" si="79"/>
        <v>767860</v>
      </c>
      <c r="DZ26" s="209">
        <v>768820</v>
      </c>
      <c r="EA26" s="210">
        <f t="shared" si="80"/>
        <v>960</v>
      </c>
      <c r="EB26" s="223">
        <f t="shared" si="81"/>
        <v>80</v>
      </c>
      <c r="EC26" s="224">
        <f>(EA26/'Finance Only'!B29)*100</f>
        <v>4.1533269879726573</v>
      </c>
      <c r="ED26" s="209">
        <f t="shared" si="82"/>
        <v>244070</v>
      </c>
      <c r="EE26" s="209">
        <v>244340</v>
      </c>
      <c r="EF26" s="210">
        <f t="shared" si="83"/>
        <v>270</v>
      </c>
      <c r="EG26" s="223">
        <v>0</v>
      </c>
      <c r="EH26" s="224">
        <f>(EF26/'Finance Only'!B29)*100</f>
        <v>1.1681232153673098</v>
      </c>
      <c r="EI26" s="209">
        <f t="shared" si="85"/>
        <v>276870</v>
      </c>
      <c r="EJ26" s="209">
        <v>277210</v>
      </c>
      <c r="EK26" s="210">
        <f t="shared" si="86"/>
        <v>340</v>
      </c>
      <c r="EL26" s="223">
        <f t="shared" si="87"/>
        <v>0</v>
      </c>
      <c r="EM26" s="224">
        <f>(EK26/'Finance Only'!B29)*100</f>
        <v>1.4709699749069829</v>
      </c>
      <c r="EN26" s="209">
        <f t="shared" si="88"/>
        <v>452450</v>
      </c>
      <c r="EO26" s="209">
        <v>452950</v>
      </c>
      <c r="EP26" s="210">
        <f t="shared" si="89"/>
        <v>500</v>
      </c>
      <c r="EQ26" s="223">
        <f t="shared" si="90"/>
        <v>-550</v>
      </c>
      <c r="ER26" s="224">
        <f>(EP26/'Finance Only'!B29)*100</f>
        <v>2.1631911395690926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5"/>
      <c r="FI26" s="295"/>
      <c r="FJ26" s="295"/>
      <c r="FK26" s="295"/>
      <c r="FL26" s="295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8">
        <f t="shared" si="1"/>
        <v>6815</v>
      </c>
      <c r="GD26" s="276"/>
      <c r="GE26" s="278">
        <f t="shared" si="2"/>
        <v>7107</v>
      </c>
      <c r="GF26" s="276"/>
      <c r="GG26" s="278">
        <f t="shared" si="3"/>
        <v>2000</v>
      </c>
      <c r="GH26" s="276"/>
      <c r="GI26" s="278">
        <f t="shared" si="4"/>
        <v>3630</v>
      </c>
      <c r="GJ26" s="276"/>
      <c r="GK26" s="278">
        <f t="shared" si="5"/>
        <v>520</v>
      </c>
      <c r="GL26" s="276"/>
      <c r="GM26" s="278">
        <f t="shared" si="6"/>
        <v>0</v>
      </c>
      <c r="GN26" s="276"/>
    </row>
    <row r="27" spans="1:1105" s="3" customFormat="1" ht="13.5" customHeight="1" x14ac:dyDescent="0.2">
      <c r="A27" s="264">
        <v>23</v>
      </c>
      <c r="B27" s="267">
        <f>'Finance Only'!G30</f>
        <v>40.799999999999997</v>
      </c>
      <c r="C27" s="262">
        <f t="shared" si="7"/>
        <v>27265662</v>
      </c>
      <c r="D27" s="207">
        <v>27269400</v>
      </c>
      <c r="E27" s="208">
        <f t="shared" si="8"/>
        <v>3738</v>
      </c>
      <c r="F27" s="219">
        <f t="shared" si="9"/>
        <v>344</v>
      </c>
      <c r="G27" s="220">
        <f>(E27/'Finance Only'!B30)*100</f>
        <v>15.089008194405199</v>
      </c>
      <c r="H27" s="230">
        <f t="shared" si="10"/>
        <v>25200684</v>
      </c>
      <c r="I27" s="207">
        <v>25204916</v>
      </c>
      <c r="J27" s="207">
        <f t="shared" si="11"/>
        <v>4232</v>
      </c>
      <c r="K27" s="231">
        <f t="shared" si="12"/>
        <v>811</v>
      </c>
      <c r="L27" s="232">
        <f>(J27/'Finance Only'!B30)*100</f>
        <v>17.08311468130626</v>
      </c>
      <c r="M27" s="215">
        <f t="shared" si="13"/>
        <v>92725893</v>
      </c>
      <c r="N27" s="209">
        <v>92737529</v>
      </c>
      <c r="O27" s="210">
        <f t="shared" si="14"/>
        <v>11636</v>
      </c>
      <c r="P27" s="223">
        <f t="shared" si="15"/>
        <v>1764</v>
      </c>
      <c r="Q27" s="224">
        <f>(O27/'Finance Only'!B30)*100</f>
        <v>46.970492067977233</v>
      </c>
      <c r="R27" s="214">
        <f t="shared" si="16"/>
        <v>3198300</v>
      </c>
      <c r="S27" s="209">
        <v>3200600</v>
      </c>
      <c r="T27" s="210">
        <f t="shared" si="17"/>
        <v>2300</v>
      </c>
      <c r="U27" s="223">
        <f t="shared" si="18"/>
        <v>100</v>
      </c>
      <c r="V27" s="224">
        <f>(T27/'Finance Only'!B30)*100</f>
        <v>9.2843014572316633</v>
      </c>
      <c r="W27" s="209">
        <f t="shared" si="19"/>
        <v>4290506</v>
      </c>
      <c r="X27" s="209">
        <v>4293441</v>
      </c>
      <c r="Y27" s="210">
        <f t="shared" si="20"/>
        <v>2935</v>
      </c>
      <c r="Z27" s="223">
        <f t="shared" si="21"/>
        <v>98</v>
      </c>
      <c r="AA27" s="224">
        <f>(Y27/'Finance Only'!B30)*100</f>
        <v>11.847575989989101</v>
      </c>
      <c r="AB27" s="209">
        <f t="shared" si="22"/>
        <v>2789200</v>
      </c>
      <c r="AC27" s="209">
        <v>2791100</v>
      </c>
      <c r="AD27" s="210">
        <f t="shared" si="0"/>
        <v>1900</v>
      </c>
      <c r="AE27" s="316">
        <f>AD27/WATER!V28</f>
        <v>6.3545150501672243</v>
      </c>
      <c r="AF27" s="223">
        <f t="shared" si="23"/>
        <v>600</v>
      </c>
      <c r="AG27" s="224">
        <f>(AD27/'Finance Only'!B30)*100</f>
        <v>7.6696403342348525</v>
      </c>
      <c r="AH27" s="209">
        <f t="shared" si="24"/>
        <v>1115671</v>
      </c>
      <c r="AI27" s="209">
        <v>1116158</v>
      </c>
      <c r="AJ27" s="210">
        <f t="shared" si="25"/>
        <v>487</v>
      </c>
      <c r="AK27" s="223">
        <f t="shared" si="26"/>
        <v>73</v>
      </c>
      <c r="AL27" s="224">
        <f>(AJ27/'Finance Only'!B30)*100</f>
        <v>1.9658499172486175</v>
      </c>
      <c r="AM27" s="209">
        <f t="shared" si="27"/>
        <v>1135500</v>
      </c>
      <c r="AN27" s="209">
        <v>1136100</v>
      </c>
      <c r="AO27" s="210">
        <f t="shared" si="28"/>
        <v>600</v>
      </c>
      <c r="AP27" s="223">
        <f t="shared" si="29"/>
        <v>-100</v>
      </c>
      <c r="AQ27" s="224">
        <f>(AO27/'Finance Only'!B30)*100</f>
        <v>2.4219916844952163</v>
      </c>
      <c r="AR27" s="209">
        <f t="shared" si="30"/>
        <v>2533300</v>
      </c>
      <c r="AS27" s="209">
        <v>2534500</v>
      </c>
      <c r="AT27" s="210">
        <f t="shared" si="31"/>
        <v>1200</v>
      </c>
      <c r="AU27" s="223">
        <f t="shared" si="32"/>
        <v>-100</v>
      </c>
      <c r="AV27" s="224">
        <f>(AT27/'Finance Only'!B30)*100</f>
        <v>4.8439833689904326</v>
      </c>
      <c r="AW27" s="209">
        <f t="shared" si="33"/>
        <v>336350</v>
      </c>
      <c r="AX27" s="209">
        <v>339970</v>
      </c>
      <c r="AY27" s="210">
        <f t="shared" si="34"/>
        <v>3620</v>
      </c>
      <c r="AZ27" s="223">
        <f t="shared" si="35"/>
        <v>490</v>
      </c>
      <c r="BA27" s="224">
        <f>(AY27/'Finance Only'!B30)*100</f>
        <v>14.61268316312114</v>
      </c>
      <c r="BB27" s="209">
        <f t="shared" si="36"/>
        <v>1016200</v>
      </c>
      <c r="BC27" s="209">
        <v>1016600</v>
      </c>
      <c r="BD27" s="210">
        <f t="shared" si="37"/>
        <v>400</v>
      </c>
      <c r="BE27" s="223">
        <f t="shared" si="38"/>
        <v>100</v>
      </c>
      <c r="BF27" s="224">
        <f>(BD27/'Finance Only'!B30)*100</f>
        <v>1.6146611229968109</v>
      </c>
      <c r="BG27" s="209">
        <f t="shared" si="39"/>
        <v>1087200</v>
      </c>
      <c r="BH27" s="209">
        <v>1087500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1.2109958422476081</v>
      </c>
      <c r="BL27" s="209">
        <f t="shared" si="42"/>
        <v>1620100</v>
      </c>
      <c r="BM27" s="209">
        <v>1620600</v>
      </c>
      <c r="BN27" s="210">
        <f t="shared" si="43"/>
        <v>500</v>
      </c>
      <c r="BO27" s="223">
        <f t="shared" si="44"/>
        <v>100</v>
      </c>
      <c r="BP27" s="224">
        <f>(BN27/'Finance Only'!B30)*100</f>
        <v>2.018326403746014</v>
      </c>
      <c r="BQ27" s="209">
        <f t="shared" si="45"/>
        <v>144110</v>
      </c>
      <c r="BR27" s="209">
        <v>144280</v>
      </c>
      <c r="BS27" s="210">
        <f t="shared" si="46"/>
        <v>170</v>
      </c>
      <c r="BT27" s="223">
        <f t="shared" si="47"/>
        <v>50</v>
      </c>
      <c r="BU27" s="224">
        <f>(BS27/'Finance Only'!B30)*100</f>
        <v>0.68623097727364468</v>
      </c>
      <c r="BV27" s="209">
        <f t="shared" si="48"/>
        <v>604450</v>
      </c>
      <c r="BW27" s="209">
        <v>604780</v>
      </c>
      <c r="BX27" s="210">
        <f t="shared" si="49"/>
        <v>330</v>
      </c>
      <c r="BY27" s="223">
        <f t="shared" si="50"/>
        <v>-60</v>
      </c>
      <c r="BZ27" s="224">
        <f>(BX27/'Finance Only'!B30)*100</f>
        <v>1.332095426472369</v>
      </c>
      <c r="CA27" s="209">
        <f t="shared" si="51"/>
        <v>1140400</v>
      </c>
      <c r="CB27" s="209">
        <v>1141600</v>
      </c>
      <c r="CC27" s="210">
        <f t="shared" si="52"/>
        <v>1200</v>
      </c>
      <c r="CD27" s="223">
        <f t="shared" si="53"/>
        <v>0</v>
      </c>
      <c r="CE27" s="224">
        <f>(CC27/'Finance Only'!B30)*100</f>
        <v>4.8439833689904326</v>
      </c>
      <c r="CF27" s="209">
        <f t="shared" si="54"/>
        <v>375960</v>
      </c>
      <c r="CG27" s="209">
        <v>375960</v>
      </c>
      <c r="CH27" s="210">
        <f t="shared" si="55"/>
        <v>0</v>
      </c>
      <c r="CI27" s="223">
        <f t="shared" si="56"/>
        <v>-420</v>
      </c>
      <c r="CJ27" s="224">
        <f>(CH27/'Finance Only'!B30)*100</f>
        <v>0</v>
      </c>
      <c r="CK27" s="210">
        <f t="shared" si="57"/>
        <v>870230</v>
      </c>
      <c r="CL27" s="210">
        <v>871160</v>
      </c>
      <c r="CM27" s="210">
        <f t="shared" si="58"/>
        <v>930</v>
      </c>
      <c r="CN27" s="223">
        <f t="shared" si="59"/>
        <v>60</v>
      </c>
      <c r="CO27" s="224">
        <f>(CM27/'Finance Only'!B30)*100</f>
        <v>3.7540871109675855</v>
      </c>
      <c r="CP27" s="209">
        <f t="shared" si="110"/>
        <v>721200</v>
      </c>
      <c r="CQ27" s="209">
        <v>721960</v>
      </c>
      <c r="CR27" s="211">
        <f t="shared" si="109"/>
        <v>760</v>
      </c>
      <c r="CS27" s="223">
        <f t="shared" si="60"/>
        <v>150</v>
      </c>
      <c r="CT27" s="224">
        <f>(CR27/'Finance Only'!B30)*100</f>
        <v>3.0678561336939412</v>
      </c>
      <c r="CU27" s="209">
        <f t="shared" si="61"/>
        <v>597110</v>
      </c>
      <c r="CV27" s="209">
        <v>597600</v>
      </c>
      <c r="CW27" s="210">
        <f t="shared" si="62"/>
        <v>490</v>
      </c>
      <c r="CX27" s="223">
        <f t="shared" si="63"/>
        <v>40</v>
      </c>
      <c r="CY27" s="224">
        <f>(CW27/'Finance Only'!B30)*100</f>
        <v>1.9779598756710937</v>
      </c>
      <c r="CZ27" s="209">
        <f t="shared" si="64"/>
        <v>999300</v>
      </c>
      <c r="DA27" s="209">
        <v>1000300</v>
      </c>
      <c r="DB27" s="210">
        <f t="shared" si="65"/>
        <v>1000</v>
      </c>
      <c r="DC27" s="223">
        <f t="shared" si="66"/>
        <v>500</v>
      </c>
      <c r="DD27" s="224">
        <f>(DB27/'Finance Only'!B30)*100</f>
        <v>4.036652807492028</v>
      </c>
      <c r="DE27" s="209">
        <f t="shared" si="67"/>
        <v>765820</v>
      </c>
      <c r="DF27" s="209">
        <v>766660</v>
      </c>
      <c r="DG27" s="210">
        <f t="shared" si="68"/>
        <v>840</v>
      </c>
      <c r="DH27" s="223">
        <f t="shared" si="69"/>
        <v>110</v>
      </c>
      <c r="DI27" s="224">
        <f>(DG27/'Finance Only'!B30)*100</f>
        <v>3.3907883582933036</v>
      </c>
      <c r="DJ27" s="209">
        <f t="shared" si="70"/>
        <v>663290</v>
      </c>
      <c r="DK27" s="209">
        <v>663970</v>
      </c>
      <c r="DL27" s="210">
        <f t="shared" si="71"/>
        <v>680</v>
      </c>
      <c r="DM27" s="223">
        <f t="shared" si="72"/>
        <v>-340</v>
      </c>
      <c r="DN27" s="224">
        <f>(DL27/'Finance Only'!B30)*100</f>
        <v>2.7449239090945787</v>
      </c>
      <c r="DO27" s="209">
        <f t="shared" si="73"/>
        <v>359420</v>
      </c>
      <c r="DP27" s="209">
        <v>359760</v>
      </c>
      <c r="DQ27" s="210">
        <f t="shared" si="74"/>
        <v>340</v>
      </c>
      <c r="DR27" s="223">
        <f t="shared" si="75"/>
        <v>40</v>
      </c>
      <c r="DS27" s="224">
        <f>(DQ27/'Finance Only'!B30)*100</f>
        <v>1.3724619545472894</v>
      </c>
      <c r="DT27" s="209">
        <f t="shared" si="76"/>
        <v>119660</v>
      </c>
      <c r="DU27" s="209">
        <v>119840</v>
      </c>
      <c r="DV27" s="210">
        <f t="shared" si="77"/>
        <v>180</v>
      </c>
      <c r="DW27" s="223">
        <f t="shared" si="78"/>
        <v>20</v>
      </c>
      <c r="DX27" s="224">
        <f>(DV27/'Finance Only'!B30)*100</f>
        <v>0.72659750534856504</v>
      </c>
      <c r="DY27" s="209">
        <f t="shared" si="79"/>
        <v>768820</v>
      </c>
      <c r="DZ27" s="209">
        <v>769740</v>
      </c>
      <c r="EA27" s="210">
        <f t="shared" si="80"/>
        <v>920</v>
      </c>
      <c r="EB27" s="223">
        <f t="shared" si="81"/>
        <v>-40</v>
      </c>
      <c r="EC27" s="224">
        <f>(EA27/'Finance Only'!B30)*100</f>
        <v>3.7137205828926656</v>
      </c>
      <c r="ED27" s="209">
        <f t="shared" si="82"/>
        <v>244340</v>
      </c>
      <c r="EE27" s="209">
        <v>244630</v>
      </c>
      <c r="EF27" s="210">
        <f t="shared" si="83"/>
        <v>290</v>
      </c>
      <c r="EG27" s="223">
        <f t="shared" si="84"/>
        <v>20</v>
      </c>
      <c r="EH27" s="224">
        <f>(EF27/'Finance Only'!B30)*100</f>
        <v>1.170629314172688</v>
      </c>
      <c r="EI27" s="209">
        <f t="shared" si="85"/>
        <v>277210</v>
      </c>
      <c r="EJ27" s="209">
        <v>277860</v>
      </c>
      <c r="EK27" s="210">
        <f t="shared" si="86"/>
        <v>650</v>
      </c>
      <c r="EL27" s="223">
        <f t="shared" si="87"/>
        <v>310</v>
      </c>
      <c r="EM27" s="224">
        <f>(EK27/'Finance Only'!B30)*100</f>
        <v>2.6238243248698176</v>
      </c>
      <c r="EN27" s="209">
        <f t="shared" si="88"/>
        <v>452950</v>
      </c>
      <c r="EO27" s="209">
        <v>453470</v>
      </c>
      <c r="EP27" s="210">
        <f t="shared" si="89"/>
        <v>520</v>
      </c>
      <c r="EQ27" s="223">
        <f t="shared" si="90"/>
        <v>20</v>
      </c>
      <c r="ER27" s="224">
        <f>(EP27/'Finance Only'!B30)*100</f>
        <v>2.0990594598958543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5"/>
      <c r="FI27" s="295"/>
      <c r="FJ27" s="295"/>
      <c r="FK27" s="295"/>
      <c r="FL27" s="295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8">
        <f t="shared" si="1"/>
        <v>7970</v>
      </c>
      <c r="GD27" s="276"/>
      <c r="GE27" s="278">
        <f t="shared" si="2"/>
        <v>7615</v>
      </c>
      <c r="GF27" s="276"/>
      <c r="GG27" s="278">
        <f t="shared" si="3"/>
        <v>1800</v>
      </c>
      <c r="GH27" s="276"/>
      <c r="GI27" s="278">
        <f t="shared" si="4"/>
        <v>4320</v>
      </c>
      <c r="GJ27" s="276"/>
      <c r="GK27" s="278">
        <f t="shared" si="5"/>
        <v>670</v>
      </c>
      <c r="GL27" s="276"/>
      <c r="GM27" s="278">
        <f t="shared" si="6"/>
        <v>0</v>
      </c>
      <c r="GN27" s="276"/>
    </row>
    <row r="28" spans="1:1105" s="72" customFormat="1" ht="13.5" customHeight="1" x14ac:dyDescent="0.2">
      <c r="A28" s="264">
        <v>24</v>
      </c>
      <c r="B28" s="267">
        <f>'Finance Only'!G31</f>
        <v>38.799999999999997</v>
      </c>
      <c r="C28" s="262">
        <f t="shared" si="7"/>
        <v>27269400</v>
      </c>
      <c r="D28" s="207">
        <v>27277257</v>
      </c>
      <c r="E28" s="208">
        <f t="shared" si="8"/>
        <v>7857</v>
      </c>
      <c r="F28" s="219">
        <f t="shared" si="9"/>
        <v>4119</v>
      </c>
      <c r="G28" s="220">
        <f>(E28/'Finance Only'!B31)*100</f>
        <v>30.815390045887753</v>
      </c>
      <c r="H28" s="230">
        <f t="shared" si="10"/>
        <v>25204916</v>
      </c>
      <c r="I28" s="207">
        <v>25209174</v>
      </c>
      <c r="J28" s="207">
        <f t="shared" si="11"/>
        <v>4258</v>
      </c>
      <c r="K28" s="231">
        <f t="shared" si="12"/>
        <v>26</v>
      </c>
      <c r="L28" s="232">
        <f>(J28/'Finance Only'!B31)*100</f>
        <v>16.700003922030042</v>
      </c>
      <c r="M28" s="215">
        <f t="shared" si="13"/>
        <v>92737529</v>
      </c>
      <c r="N28" s="209">
        <v>92748848</v>
      </c>
      <c r="O28" s="210">
        <f t="shared" si="14"/>
        <v>11319</v>
      </c>
      <c r="P28" s="223">
        <f t="shared" si="15"/>
        <v>-317</v>
      </c>
      <c r="Q28" s="224">
        <f>(O28/'Finance Only'!B31)*100</f>
        <v>44.393458053888693</v>
      </c>
      <c r="R28" s="214">
        <f t="shared" si="16"/>
        <v>3200600</v>
      </c>
      <c r="S28" s="209">
        <v>3203000</v>
      </c>
      <c r="T28" s="210">
        <f t="shared" si="17"/>
        <v>2400</v>
      </c>
      <c r="U28" s="223">
        <f t="shared" si="18"/>
        <v>100</v>
      </c>
      <c r="V28" s="224">
        <f>(T28/'Finance Only'!B31)*100</f>
        <v>9.4128721026003053</v>
      </c>
      <c r="W28" s="209">
        <f t="shared" si="19"/>
        <v>4293441</v>
      </c>
      <c r="X28" s="209">
        <v>4296279</v>
      </c>
      <c r="Y28" s="210">
        <f t="shared" si="20"/>
        <v>2838</v>
      </c>
      <c r="Z28" s="223">
        <f t="shared" si="21"/>
        <v>-97</v>
      </c>
      <c r="AA28" s="224">
        <f>(Y28/'Finance Only'!B31)*100</f>
        <v>11.130721261324862</v>
      </c>
      <c r="AB28" s="209">
        <f t="shared" si="22"/>
        <v>2791100</v>
      </c>
      <c r="AC28" s="209">
        <v>2792900</v>
      </c>
      <c r="AD28" s="210">
        <f t="shared" si="0"/>
        <v>1800</v>
      </c>
      <c r="AE28" s="316">
        <f>AD28/WATER!V29</f>
        <v>5.7324840764331206</v>
      </c>
      <c r="AF28" s="223">
        <f t="shared" si="23"/>
        <v>-100</v>
      </c>
      <c r="AG28" s="224">
        <f>(AD28/'Finance Only'!B31)*100</f>
        <v>7.0596540769502294</v>
      </c>
      <c r="AH28" s="209">
        <f t="shared" si="24"/>
        <v>1116158</v>
      </c>
      <c r="AI28" s="209">
        <v>1116626</v>
      </c>
      <c r="AJ28" s="210">
        <f t="shared" si="25"/>
        <v>468</v>
      </c>
      <c r="AK28" s="223">
        <f t="shared" si="26"/>
        <v>-19</v>
      </c>
      <c r="AL28" s="224">
        <f>(AJ28/'Finance Only'!B31)*100</f>
        <v>1.8355100600070597</v>
      </c>
      <c r="AM28" s="209">
        <f t="shared" si="27"/>
        <v>1136100</v>
      </c>
      <c r="AN28" s="209">
        <v>1136800</v>
      </c>
      <c r="AO28" s="210">
        <f t="shared" si="28"/>
        <v>700</v>
      </c>
      <c r="AP28" s="223">
        <f t="shared" si="29"/>
        <v>100</v>
      </c>
      <c r="AQ28" s="224">
        <f>(AO28/'Finance Only'!B31)*100</f>
        <v>2.745421029925089</v>
      </c>
      <c r="AR28" s="209">
        <f t="shared" si="30"/>
        <v>2534500</v>
      </c>
      <c r="AS28" s="209">
        <v>2536100</v>
      </c>
      <c r="AT28" s="210">
        <f t="shared" si="31"/>
        <v>1600</v>
      </c>
      <c r="AU28" s="223">
        <f t="shared" si="32"/>
        <v>400</v>
      </c>
      <c r="AV28" s="224">
        <f>(AT28/'Finance Only'!B31)*100</f>
        <v>6.2752480684002032</v>
      </c>
      <c r="AW28" s="209">
        <f t="shared" si="33"/>
        <v>339970</v>
      </c>
      <c r="AX28" s="209">
        <v>343520</v>
      </c>
      <c r="AY28" s="210">
        <f t="shared" si="34"/>
        <v>3550</v>
      </c>
      <c r="AZ28" s="223">
        <f t="shared" si="35"/>
        <v>-70</v>
      </c>
      <c r="BA28" s="224">
        <f>(AY28/'Finance Only'!B31)*100</f>
        <v>13.923206651762953</v>
      </c>
      <c r="BB28" s="209">
        <f t="shared" si="36"/>
        <v>1016600</v>
      </c>
      <c r="BC28" s="209">
        <v>1017000</v>
      </c>
      <c r="BD28" s="210">
        <f t="shared" si="37"/>
        <v>400</v>
      </c>
      <c r="BE28" s="223">
        <f t="shared" si="38"/>
        <v>0</v>
      </c>
      <c r="BF28" s="224">
        <f>(BD28/'Finance Only'!B31)*100</f>
        <v>1.5688120171000508</v>
      </c>
      <c r="BG28" s="209">
        <f t="shared" si="39"/>
        <v>1087500</v>
      </c>
      <c r="BH28" s="209">
        <v>1087800</v>
      </c>
      <c r="BI28" s="210">
        <f t="shared" si="40"/>
        <v>300</v>
      </c>
      <c r="BJ28" s="223">
        <f t="shared" si="41"/>
        <v>0</v>
      </c>
      <c r="BK28" s="224">
        <f>(BI28/'Finance Only'!B31)*100</f>
        <v>1.1766090128250382</v>
      </c>
      <c r="BL28" s="209">
        <f t="shared" si="42"/>
        <v>1620600</v>
      </c>
      <c r="BM28" s="209">
        <v>1621200</v>
      </c>
      <c r="BN28" s="210">
        <f t="shared" si="43"/>
        <v>600</v>
      </c>
      <c r="BO28" s="223">
        <f t="shared" si="44"/>
        <v>100</v>
      </c>
      <c r="BP28" s="224">
        <f>(BN28/'Finance Only'!B31)*100</f>
        <v>2.3532180256500763</v>
      </c>
      <c r="BQ28" s="209">
        <f t="shared" si="45"/>
        <v>144280</v>
      </c>
      <c r="BR28" s="209">
        <v>144450</v>
      </c>
      <c r="BS28" s="210">
        <f t="shared" si="46"/>
        <v>170</v>
      </c>
      <c r="BT28" s="223">
        <f t="shared" si="47"/>
        <v>0</v>
      </c>
      <c r="BU28" s="224">
        <f>(BS28/'Finance Only'!B31)*100</f>
        <v>0.66674510726752167</v>
      </c>
      <c r="BV28" s="209">
        <f t="shared" si="48"/>
        <v>604780</v>
      </c>
      <c r="BW28" s="209">
        <v>605140</v>
      </c>
      <c r="BX28" s="210">
        <f t="shared" si="49"/>
        <v>360</v>
      </c>
      <c r="BY28" s="223">
        <f t="shared" si="50"/>
        <v>30</v>
      </c>
      <c r="BZ28" s="224">
        <f>(BX28/'Finance Only'!B31)*100</f>
        <v>1.4119308153900458</v>
      </c>
      <c r="CA28" s="209">
        <f t="shared" si="51"/>
        <v>1141600</v>
      </c>
      <c r="CB28" s="209">
        <v>1142800</v>
      </c>
      <c r="CC28" s="210">
        <f t="shared" si="52"/>
        <v>1200</v>
      </c>
      <c r="CD28" s="223">
        <f t="shared" si="53"/>
        <v>0</v>
      </c>
      <c r="CE28" s="224">
        <f>(CC28/'Finance Only'!B31)*100</f>
        <v>4.7064360513001526</v>
      </c>
      <c r="CF28" s="209">
        <f t="shared" si="54"/>
        <v>375960</v>
      </c>
      <c r="CG28" s="209">
        <v>376370</v>
      </c>
      <c r="CH28" s="210">
        <f t="shared" si="55"/>
        <v>410</v>
      </c>
      <c r="CI28" s="223">
        <f t="shared" si="56"/>
        <v>410</v>
      </c>
      <c r="CJ28" s="224">
        <f>(CH28/'Finance Only'!B31)*100</f>
        <v>1.6080323175275524</v>
      </c>
      <c r="CK28" s="210">
        <f t="shared" si="57"/>
        <v>871160</v>
      </c>
      <c r="CL28" s="210">
        <v>872030</v>
      </c>
      <c r="CM28" s="210">
        <f t="shared" si="58"/>
        <v>870</v>
      </c>
      <c r="CN28" s="223">
        <f t="shared" si="59"/>
        <v>-60</v>
      </c>
      <c r="CO28" s="224">
        <f>(CM28/'Finance Only'!B31)*100</f>
        <v>3.4121661371926106</v>
      </c>
      <c r="CP28" s="209">
        <f t="shared" si="110"/>
        <v>721960</v>
      </c>
      <c r="CQ28" s="209">
        <v>722770</v>
      </c>
      <c r="CR28" s="211">
        <f t="shared" si="109"/>
        <v>810</v>
      </c>
      <c r="CS28" s="223">
        <f t="shared" si="60"/>
        <v>50</v>
      </c>
      <c r="CT28" s="224">
        <f>(CR28/'Finance Only'!B31)*100</f>
        <v>3.176844334627603</v>
      </c>
      <c r="CU28" s="209">
        <f t="shared" si="61"/>
        <v>597600</v>
      </c>
      <c r="CV28" s="209">
        <v>597600</v>
      </c>
      <c r="CW28" s="210">
        <f t="shared" si="62"/>
        <v>0</v>
      </c>
      <c r="CX28" s="223">
        <f t="shared" si="63"/>
        <v>-490</v>
      </c>
      <c r="CY28" s="224">
        <f>(CW28/'Finance Only'!B31)*100</f>
        <v>0</v>
      </c>
      <c r="CZ28" s="209">
        <f t="shared" si="64"/>
        <v>1000300</v>
      </c>
      <c r="DA28" s="209">
        <v>1001300</v>
      </c>
      <c r="DB28" s="210">
        <f t="shared" si="65"/>
        <v>1000</v>
      </c>
      <c r="DC28" s="223">
        <f t="shared" si="66"/>
        <v>0</v>
      </c>
      <c r="DD28" s="224">
        <f>(DB28/'Finance Only'!B31)*100</f>
        <v>3.9220300427501278</v>
      </c>
      <c r="DE28" s="209">
        <f t="shared" si="67"/>
        <v>766660</v>
      </c>
      <c r="DF28" s="209">
        <v>767480</v>
      </c>
      <c r="DG28" s="210">
        <f t="shared" si="68"/>
        <v>820</v>
      </c>
      <c r="DH28" s="223">
        <f t="shared" si="69"/>
        <v>-20</v>
      </c>
      <c r="DI28" s="224">
        <f>(DG28/'Finance Only'!B31)*100</f>
        <v>3.2160646350551048</v>
      </c>
      <c r="DJ28" s="209">
        <f t="shared" si="70"/>
        <v>663970</v>
      </c>
      <c r="DK28" s="209">
        <v>664700</v>
      </c>
      <c r="DL28" s="210">
        <f t="shared" si="71"/>
        <v>730</v>
      </c>
      <c r="DM28" s="223">
        <f t="shared" si="72"/>
        <v>50</v>
      </c>
      <c r="DN28" s="224">
        <f>(DL28/'Finance Only'!B31)*100</f>
        <v>2.863081931207593</v>
      </c>
      <c r="DO28" s="209">
        <f t="shared" si="73"/>
        <v>359760</v>
      </c>
      <c r="DP28" s="209">
        <v>360130</v>
      </c>
      <c r="DQ28" s="210">
        <f t="shared" si="74"/>
        <v>370</v>
      </c>
      <c r="DR28" s="223">
        <f t="shared" si="75"/>
        <v>30</v>
      </c>
      <c r="DS28" s="224">
        <f>(DQ28/'Finance Only'!B31)*100</f>
        <v>1.4511511158175472</v>
      </c>
      <c r="DT28" s="209">
        <f t="shared" si="76"/>
        <v>119840</v>
      </c>
      <c r="DU28" s="209">
        <v>120010</v>
      </c>
      <c r="DV28" s="210">
        <f t="shared" si="77"/>
        <v>170</v>
      </c>
      <c r="DW28" s="223">
        <f t="shared" si="78"/>
        <v>-10</v>
      </c>
      <c r="DX28" s="224">
        <f>(DV28/'Finance Only'!B31)*100</f>
        <v>0.66674510726752167</v>
      </c>
      <c r="DY28" s="209">
        <f t="shared" si="79"/>
        <v>769740</v>
      </c>
      <c r="DZ28" s="209">
        <v>770690</v>
      </c>
      <c r="EA28" s="210">
        <f t="shared" si="80"/>
        <v>950</v>
      </c>
      <c r="EB28" s="223">
        <f t="shared" si="81"/>
        <v>30</v>
      </c>
      <c r="EC28" s="224">
        <f>(EA28/'Finance Only'!B31)*100</f>
        <v>3.725928540612621</v>
      </c>
      <c r="ED28" s="209">
        <f t="shared" si="82"/>
        <v>244630</v>
      </c>
      <c r="EE28" s="209">
        <v>244910</v>
      </c>
      <c r="EF28" s="210">
        <f t="shared" si="83"/>
        <v>280</v>
      </c>
      <c r="EG28" s="223">
        <f t="shared" si="84"/>
        <v>-10</v>
      </c>
      <c r="EH28" s="224">
        <f>(EF28/'Finance Only'!B31)*100</f>
        <v>1.0981684119700357</v>
      </c>
      <c r="EI28" s="209">
        <f t="shared" si="85"/>
        <v>277860</v>
      </c>
      <c r="EJ28" s="209">
        <v>277920</v>
      </c>
      <c r="EK28" s="210">
        <f t="shared" si="86"/>
        <v>60</v>
      </c>
      <c r="EL28" s="223">
        <f t="shared" si="87"/>
        <v>-590</v>
      </c>
      <c r="EM28" s="224">
        <f>(EK28/'Finance Only'!B31)*100</f>
        <v>0.23532180256500765</v>
      </c>
      <c r="EN28" s="209">
        <f t="shared" si="88"/>
        <v>453470</v>
      </c>
      <c r="EO28" s="209">
        <v>454000</v>
      </c>
      <c r="EP28" s="210">
        <f t="shared" si="89"/>
        <v>530</v>
      </c>
      <c r="EQ28" s="223">
        <f t="shared" si="90"/>
        <v>10</v>
      </c>
      <c r="ER28" s="224">
        <f>(EP28/'Finance Only'!B31)*100</f>
        <v>2.0786759226575677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5"/>
      <c r="FI28" s="295"/>
      <c r="FJ28" s="295"/>
      <c r="FK28" s="295"/>
      <c r="FL28" s="295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8">
        <f t="shared" si="1"/>
        <v>12115</v>
      </c>
      <c r="GD28" s="277"/>
      <c r="GE28" s="278">
        <f t="shared" si="2"/>
        <v>7058</v>
      </c>
      <c r="GF28" s="277"/>
      <c r="GG28" s="278">
        <f t="shared" si="3"/>
        <v>2300</v>
      </c>
      <c r="GH28" s="277"/>
      <c r="GI28" s="278">
        <f t="shared" si="4"/>
        <v>4250</v>
      </c>
      <c r="GJ28" s="277"/>
      <c r="GK28" s="278">
        <f t="shared" si="5"/>
        <v>770</v>
      </c>
      <c r="GL28" s="277"/>
      <c r="GM28" s="278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4">
        <v>25</v>
      </c>
      <c r="B29" s="267">
        <f>'Finance Only'!G32</f>
        <v>39.799999999999997</v>
      </c>
      <c r="C29" s="262">
        <f t="shared" si="7"/>
        <v>27277257</v>
      </c>
      <c r="D29" s="207">
        <v>27277200</v>
      </c>
      <c r="E29" s="208">
        <f t="shared" si="8"/>
        <v>0</v>
      </c>
      <c r="F29" s="219">
        <f t="shared" si="9"/>
        <v>-7857</v>
      </c>
      <c r="G29" s="220">
        <f>(E29/'Finance Only'!B32)*100</f>
        <v>0</v>
      </c>
      <c r="H29" s="230">
        <f t="shared" si="10"/>
        <v>25209174</v>
      </c>
      <c r="I29" s="207">
        <v>25213311</v>
      </c>
      <c r="J29" s="207">
        <f t="shared" si="11"/>
        <v>4137</v>
      </c>
      <c r="K29" s="231">
        <f t="shared" si="12"/>
        <v>-121</v>
      </c>
      <c r="L29" s="232">
        <f>(J29/'Finance Only'!B32)*100</f>
        <v>16.459120747961013</v>
      </c>
      <c r="M29" s="215">
        <f t="shared" si="13"/>
        <v>92748848</v>
      </c>
      <c r="N29" s="209">
        <v>92759799</v>
      </c>
      <c r="O29" s="210">
        <f t="shared" si="14"/>
        <v>10951</v>
      </c>
      <c r="P29" s="223">
        <f t="shared" si="15"/>
        <v>-368</v>
      </c>
      <c r="Q29" s="224">
        <f>(O29/'Finance Only'!B32)*100</f>
        <v>43.568728864133675</v>
      </c>
      <c r="R29" s="214">
        <f t="shared" si="16"/>
        <v>3203000</v>
      </c>
      <c r="S29" s="209">
        <v>3205200</v>
      </c>
      <c r="T29" s="210">
        <f t="shared" si="17"/>
        <v>2200</v>
      </c>
      <c r="U29" s="223">
        <f t="shared" si="18"/>
        <v>-200</v>
      </c>
      <c r="V29" s="224">
        <f>(T29/'Finance Only'!B32)*100</f>
        <v>8.7527352297592991</v>
      </c>
      <c r="W29" s="209">
        <f t="shared" si="19"/>
        <v>4296279</v>
      </c>
      <c r="X29" s="209">
        <v>4299134</v>
      </c>
      <c r="Y29" s="210">
        <f t="shared" si="20"/>
        <v>2855</v>
      </c>
      <c r="Z29" s="223">
        <f t="shared" si="21"/>
        <v>17</v>
      </c>
      <c r="AA29" s="224">
        <f>(Y29/'Finance Only'!B32)*100</f>
        <v>11.358663218619455</v>
      </c>
      <c r="AB29" s="209">
        <f t="shared" si="22"/>
        <v>2792900</v>
      </c>
      <c r="AC29" s="209">
        <v>2794500</v>
      </c>
      <c r="AD29" s="210">
        <f t="shared" si="0"/>
        <v>1600</v>
      </c>
      <c r="AE29" s="316">
        <f>AD29/WATER!V30</f>
        <v>4.5977011494252871</v>
      </c>
      <c r="AF29" s="223">
        <f t="shared" si="23"/>
        <v>-200</v>
      </c>
      <c r="AG29" s="224">
        <f>(AD29/'Finance Only'!B32)*100</f>
        <v>6.3656256216431268</v>
      </c>
      <c r="AH29" s="209">
        <f t="shared" si="24"/>
        <v>1116626</v>
      </c>
      <c r="AI29" s="209">
        <v>1117119</v>
      </c>
      <c r="AJ29" s="210">
        <f t="shared" si="25"/>
        <v>493</v>
      </c>
      <c r="AK29" s="223">
        <f t="shared" si="26"/>
        <v>25</v>
      </c>
      <c r="AL29" s="224">
        <f>(AJ29/'Finance Only'!B32)*100</f>
        <v>1.9614083946687886</v>
      </c>
      <c r="AM29" s="209">
        <f t="shared" si="27"/>
        <v>1136800</v>
      </c>
      <c r="AN29" s="209">
        <v>1137400</v>
      </c>
      <c r="AO29" s="210">
        <f t="shared" si="28"/>
        <v>600</v>
      </c>
      <c r="AP29" s="223">
        <f t="shared" si="29"/>
        <v>-100</v>
      </c>
      <c r="AQ29" s="224">
        <f>(AO29/'Finance Only'!B32)*100</f>
        <v>2.3871096081161727</v>
      </c>
      <c r="AR29" s="209">
        <f t="shared" si="30"/>
        <v>2536100</v>
      </c>
      <c r="AS29" s="209">
        <v>2537400</v>
      </c>
      <c r="AT29" s="210">
        <f t="shared" si="31"/>
        <v>1300</v>
      </c>
      <c r="AU29" s="223">
        <f t="shared" si="32"/>
        <v>-300</v>
      </c>
      <c r="AV29" s="224">
        <f>(AT29/'Finance Only'!B32)*100</f>
        <v>5.1720708175850412</v>
      </c>
      <c r="AW29" s="209">
        <f t="shared" si="33"/>
        <v>343520</v>
      </c>
      <c r="AX29" s="209">
        <v>347080</v>
      </c>
      <c r="AY29" s="210">
        <f t="shared" si="34"/>
        <v>3560</v>
      </c>
      <c r="AZ29" s="223">
        <f t="shared" si="35"/>
        <v>10</v>
      </c>
      <c r="BA29" s="224">
        <f>(AY29/'Finance Only'!B32)*100</f>
        <v>14.163517008155956</v>
      </c>
      <c r="BB29" s="209">
        <f t="shared" si="36"/>
        <v>1017000</v>
      </c>
      <c r="BC29" s="209">
        <v>1017400</v>
      </c>
      <c r="BD29" s="210">
        <f t="shared" si="37"/>
        <v>400</v>
      </c>
      <c r="BE29" s="223">
        <f t="shared" si="38"/>
        <v>0</v>
      </c>
      <c r="BF29" s="224">
        <f>(BD29/'Finance Only'!B32)*100</f>
        <v>1.5914064054107817</v>
      </c>
      <c r="BG29" s="209">
        <f t="shared" si="39"/>
        <v>1087800</v>
      </c>
      <c r="BH29" s="209">
        <v>1088000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0.79570320270539086</v>
      </c>
      <c r="BL29" s="209">
        <f t="shared" si="42"/>
        <v>1621200</v>
      </c>
      <c r="BM29" s="209">
        <v>1621700</v>
      </c>
      <c r="BN29" s="210">
        <f t="shared" si="43"/>
        <v>500</v>
      </c>
      <c r="BO29" s="223">
        <f t="shared" si="44"/>
        <v>-100</v>
      </c>
      <c r="BP29" s="224">
        <f>(BN29/'Finance Only'!B32)*100</f>
        <v>1.9892580067634773</v>
      </c>
      <c r="BQ29" s="209">
        <f t="shared" si="45"/>
        <v>144450</v>
      </c>
      <c r="BR29" s="209">
        <v>144610</v>
      </c>
      <c r="BS29" s="210">
        <f t="shared" si="46"/>
        <v>160</v>
      </c>
      <c r="BT29" s="223">
        <f t="shared" si="47"/>
        <v>-10</v>
      </c>
      <c r="BU29" s="224">
        <f>(BS29/'Finance Only'!B32)*100</f>
        <v>0.63656256216431273</v>
      </c>
      <c r="BV29" s="209">
        <f t="shared" si="48"/>
        <v>605140</v>
      </c>
      <c r="BW29" s="209">
        <v>605550</v>
      </c>
      <c r="BX29" s="210">
        <f t="shared" si="49"/>
        <v>410</v>
      </c>
      <c r="BY29" s="223">
        <f t="shared" si="50"/>
        <v>50</v>
      </c>
      <c r="BZ29" s="224">
        <f>(BX29/'Finance Only'!B32)*100</f>
        <v>1.6311915655460512</v>
      </c>
      <c r="CA29" s="209">
        <f t="shared" si="51"/>
        <v>1142800</v>
      </c>
      <c r="CB29" s="209">
        <v>1144000</v>
      </c>
      <c r="CC29" s="210">
        <f t="shared" si="52"/>
        <v>1200</v>
      </c>
      <c r="CD29" s="223">
        <f t="shared" si="53"/>
        <v>0</v>
      </c>
      <c r="CE29" s="224">
        <f>(CC29/'Finance Only'!B32)*100</f>
        <v>4.7742192162323454</v>
      </c>
      <c r="CF29" s="209">
        <f t="shared" si="54"/>
        <v>376370</v>
      </c>
      <c r="CG29" s="209">
        <v>376790</v>
      </c>
      <c r="CH29" s="210">
        <f t="shared" si="55"/>
        <v>420</v>
      </c>
      <c r="CI29" s="223">
        <f t="shared" si="56"/>
        <v>10</v>
      </c>
      <c r="CJ29" s="224">
        <f>(CH29/'Finance Only'!B32)*100</f>
        <v>1.6709767256813211</v>
      </c>
      <c r="CK29" s="210">
        <f t="shared" si="57"/>
        <v>872030</v>
      </c>
      <c r="CL29" s="210">
        <v>872880</v>
      </c>
      <c r="CM29" s="210">
        <f t="shared" si="58"/>
        <v>850</v>
      </c>
      <c r="CN29" s="223">
        <f t="shared" si="59"/>
        <v>-20</v>
      </c>
      <c r="CO29" s="224">
        <f>(CM29/'Finance Only'!B32)*100</f>
        <v>3.3817386114979113</v>
      </c>
      <c r="CP29" s="209">
        <f t="shared" si="110"/>
        <v>722770</v>
      </c>
      <c r="CQ29" s="209">
        <v>723520</v>
      </c>
      <c r="CR29" s="211">
        <f t="shared" si="109"/>
        <v>750</v>
      </c>
      <c r="CS29" s="223">
        <f t="shared" si="60"/>
        <v>-60</v>
      </c>
      <c r="CT29" s="224">
        <f>(CR29/'Finance Only'!B32)*100</f>
        <v>2.983887010145216</v>
      </c>
      <c r="CU29" s="209">
        <f t="shared" si="61"/>
        <v>597600</v>
      </c>
      <c r="CV29" s="209">
        <v>598120</v>
      </c>
      <c r="CW29" s="210">
        <f t="shared" si="62"/>
        <v>520</v>
      </c>
      <c r="CX29" s="223">
        <f t="shared" si="63"/>
        <v>520</v>
      </c>
      <c r="CY29" s="224">
        <f>(CW29/'Finance Only'!B32)*100</f>
        <v>2.0688283270340162</v>
      </c>
      <c r="CZ29" s="209">
        <f t="shared" si="64"/>
        <v>1001300</v>
      </c>
      <c r="DA29" s="209">
        <v>1002300</v>
      </c>
      <c r="DB29" s="210">
        <f t="shared" si="65"/>
        <v>1000</v>
      </c>
      <c r="DC29" s="223">
        <f t="shared" si="66"/>
        <v>0</v>
      </c>
      <c r="DD29" s="224">
        <f>(DB29/'Finance Only'!B32)*100</f>
        <v>3.9785160135269546</v>
      </c>
      <c r="DE29" s="209">
        <f t="shared" si="67"/>
        <v>767480</v>
      </c>
      <c r="DF29" s="209">
        <v>768330</v>
      </c>
      <c r="DG29" s="210">
        <f t="shared" si="68"/>
        <v>850</v>
      </c>
      <c r="DH29" s="223">
        <f t="shared" si="69"/>
        <v>30</v>
      </c>
      <c r="DI29" s="224">
        <f>(DG29/'Finance Only'!B32)*100</f>
        <v>3.3817386114979113</v>
      </c>
      <c r="DJ29" s="209">
        <f t="shared" si="70"/>
        <v>664700</v>
      </c>
      <c r="DK29" s="209">
        <v>665330</v>
      </c>
      <c r="DL29" s="210">
        <f t="shared" si="71"/>
        <v>630</v>
      </c>
      <c r="DM29" s="223">
        <f t="shared" si="72"/>
        <v>-100</v>
      </c>
      <c r="DN29" s="224">
        <f>(DL29/'Finance Only'!B32)*100</f>
        <v>2.5064650885219812</v>
      </c>
      <c r="DO29" s="209">
        <f t="shared" si="73"/>
        <v>360130</v>
      </c>
      <c r="DP29" s="209">
        <v>360470</v>
      </c>
      <c r="DQ29" s="210">
        <f t="shared" si="74"/>
        <v>340</v>
      </c>
      <c r="DR29" s="223">
        <f t="shared" si="75"/>
        <v>-30</v>
      </c>
      <c r="DS29" s="224">
        <f>(DQ29/'Finance Only'!B32)*100</f>
        <v>1.3526954445991646</v>
      </c>
      <c r="DT29" s="209">
        <f t="shared" si="76"/>
        <v>120010</v>
      </c>
      <c r="DU29" s="209">
        <v>120180</v>
      </c>
      <c r="DV29" s="210">
        <f t="shared" si="77"/>
        <v>170</v>
      </c>
      <c r="DW29" s="223">
        <f t="shared" si="78"/>
        <v>0</v>
      </c>
      <c r="DX29" s="224">
        <f>(DV29/'Finance Only'!B32)*100</f>
        <v>0.67634772229958229</v>
      </c>
      <c r="DY29" s="209">
        <f t="shared" si="79"/>
        <v>770690</v>
      </c>
      <c r="DZ29" s="209">
        <v>771660</v>
      </c>
      <c r="EA29" s="210">
        <f t="shared" si="80"/>
        <v>970</v>
      </c>
      <c r="EB29" s="223">
        <f t="shared" si="81"/>
        <v>20</v>
      </c>
      <c r="EC29" s="224">
        <f>(EA29/'Finance Only'!B32)*100</f>
        <v>3.8591605331211456</v>
      </c>
      <c r="ED29" s="209">
        <f t="shared" si="82"/>
        <v>244910</v>
      </c>
      <c r="EE29" s="209">
        <v>245180</v>
      </c>
      <c r="EF29" s="210">
        <f t="shared" si="83"/>
        <v>270</v>
      </c>
      <c r="EG29" s="223">
        <f t="shared" si="84"/>
        <v>-10</v>
      </c>
      <c r="EH29" s="224">
        <f>(EF29/'Finance Only'!B32)*100</f>
        <v>1.0741993236522778</v>
      </c>
      <c r="EI29" s="209">
        <f t="shared" si="85"/>
        <v>277920</v>
      </c>
      <c r="EJ29" s="209">
        <v>278210</v>
      </c>
      <c r="EK29" s="210">
        <f t="shared" si="86"/>
        <v>290</v>
      </c>
      <c r="EL29" s="223">
        <f t="shared" si="87"/>
        <v>230</v>
      </c>
      <c r="EM29" s="224">
        <f>(EK29/'Finance Only'!B32)*100</f>
        <v>1.1537696439228169</v>
      </c>
      <c r="EN29" s="209">
        <f t="shared" si="88"/>
        <v>454000</v>
      </c>
      <c r="EO29" s="209">
        <v>454000</v>
      </c>
      <c r="EP29" s="210">
        <f t="shared" si="89"/>
        <v>0</v>
      </c>
      <c r="EQ29" s="223">
        <f t="shared" si="90"/>
        <v>-530</v>
      </c>
      <c r="ER29" s="224">
        <f>(EP29/'Finance Only'!B32)*100</f>
        <v>0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5"/>
      <c r="FI29" s="295"/>
      <c r="FJ29" s="295"/>
      <c r="FK29" s="295"/>
      <c r="FL29" s="295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8">
        <f t="shared" si="1"/>
        <v>4137</v>
      </c>
      <c r="GD29" s="276"/>
      <c r="GE29" s="278">
        <f t="shared" si="2"/>
        <v>6585</v>
      </c>
      <c r="GF29" s="276"/>
      <c r="GG29" s="278">
        <f t="shared" si="3"/>
        <v>1900</v>
      </c>
      <c r="GH29" s="276"/>
      <c r="GI29" s="278">
        <f t="shared" si="4"/>
        <v>4160</v>
      </c>
      <c r="GJ29" s="276"/>
      <c r="GK29" s="278">
        <f t="shared" si="5"/>
        <v>660</v>
      </c>
      <c r="GL29" s="276"/>
      <c r="GM29" s="278">
        <f t="shared" si="6"/>
        <v>0</v>
      </c>
      <c r="GN29" s="276"/>
    </row>
    <row r="30" spans="1:1105" s="3" customFormat="1" ht="13.5" customHeight="1" x14ac:dyDescent="0.2">
      <c r="A30" s="264">
        <v>26</v>
      </c>
      <c r="B30" s="267">
        <f>'Finance Only'!G33</f>
        <v>38.799999999999997</v>
      </c>
      <c r="C30" s="262">
        <f t="shared" si="7"/>
        <v>27277200</v>
      </c>
      <c r="D30" s="207">
        <v>27280961</v>
      </c>
      <c r="E30" s="208">
        <f t="shared" si="8"/>
        <v>3761</v>
      </c>
      <c r="F30" s="219">
        <f t="shared" si="9"/>
        <v>3761</v>
      </c>
      <c r="G30" s="220">
        <f>(E30/'Finance Only'!B33)*100</f>
        <v>15.153712881260326</v>
      </c>
      <c r="H30" s="230">
        <f t="shared" si="10"/>
        <v>25213311</v>
      </c>
      <c r="I30" s="207">
        <v>25217379</v>
      </c>
      <c r="J30" s="207">
        <f t="shared" si="11"/>
        <v>4068</v>
      </c>
      <c r="K30" s="231">
        <f t="shared" si="12"/>
        <v>-69</v>
      </c>
      <c r="L30" s="232">
        <f>(J30/'Finance Only'!B33)*100</f>
        <v>16.390668439501997</v>
      </c>
      <c r="M30" s="215">
        <f t="shared" si="13"/>
        <v>92759799</v>
      </c>
      <c r="N30" s="209">
        <v>92771109</v>
      </c>
      <c r="O30" s="210">
        <f t="shared" si="14"/>
        <v>11310</v>
      </c>
      <c r="P30" s="223">
        <f t="shared" si="15"/>
        <v>359</v>
      </c>
      <c r="Q30" s="224">
        <f>(O30/'Finance Only'!B33)*100</f>
        <v>45.569926266167052</v>
      </c>
      <c r="R30" s="214">
        <f t="shared" si="16"/>
        <v>3205200</v>
      </c>
      <c r="S30" s="209">
        <v>3207600</v>
      </c>
      <c r="T30" s="210">
        <f t="shared" si="17"/>
        <v>2400</v>
      </c>
      <c r="U30" s="223">
        <f t="shared" si="18"/>
        <v>200</v>
      </c>
      <c r="V30" s="224">
        <f>(T30/'Finance Only'!B33)*100</f>
        <v>9.6700108787622394</v>
      </c>
      <c r="W30" s="209">
        <f t="shared" si="19"/>
        <v>4299134</v>
      </c>
      <c r="X30" s="209">
        <v>4302064</v>
      </c>
      <c r="Y30" s="210">
        <f t="shared" si="20"/>
        <v>2930</v>
      </c>
      <c r="Z30" s="223">
        <f t="shared" si="21"/>
        <v>75</v>
      </c>
      <c r="AA30" s="224">
        <f>(Y30/'Finance Only'!B33)*100</f>
        <v>11.8054716144889</v>
      </c>
      <c r="AB30" s="209">
        <f t="shared" si="22"/>
        <v>2794500</v>
      </c>
      <c r="AC30" s="209">
        <v>2796300</v>
      </c>
      <c r="AD30" s="210">
        <f t="shared" si="0"/>
        <v>1800</v>
      </c>
      <c r="AE30" s="316">
        <f>AD30/WATER!V31</f>
        <v>5.4380664652567976</v>
      </c>
      <c r="AF30" s="223">
        <f t="shared" si="23"/>
        <v>200</v>
      </c>
      <c r="AG30" s="224">
        <f>(AD30/'Finance Only'!B33)*100</f>
        <v>7.2525081590716782</v>
      </c>
      <c r="AH30" s="209">
        <f t="shared" si="24"/>
        <v>1117119</v>
      </c>
      <c r="AI30" s="209">
        <v>1117584</v>
      </c>
      <c r="AJ30" s="210">
        <f t="shared" si="25"/>
        <v>465</v>
      </c>
      <c r="AK30" s="223">
        <f t="shared" si="26"/>
        <v>-28</v>
      </c>
      <c r="AL30" s="224">
        <f>(AJ30/'Finance Only'!B33)*100</f>
        <v>1.8735646077601835</v>
      </c>
      <c r="AM30" s="209">
        <f t="shared" si="27"/>
        <v>1137400</v>
      </c>
      <c r="AN30" s="209">
        <v>1138100</v>
      </c>
      <c r="AO30" s="210">
        <f t="shared" si="28"/>
        <v>700</v>
      </c>
      <c r="AP30" s="223">
        <f t="shared" si="29"/>
        <v>100</v>
      </c>
      <c r="AQ30" s="224">
        <f>(AO30/'Finance Only'!B33)*100</f>
        <v>2.8204198396389861</v>
      </c>
      <c r="AR30" s="209">
        <f t="shared" si="30"/>
        <v>2537400</v>
      </c>
      <c r="AS30" s="209">
        <v>2538800</v>
      </c>
      <c r="AT30" s="210">
        <f t="shared" si="31"/>
        <v>1400</v>
      </c>
      <c r="AU30" s="223">
        <f t="shared" si="32"/>
        <v>100</v>
      </c>
      <c r="AV30" s="224">
        <f>(AT30/'Finance Only'!B33)*100</f>
        <v>5.6408396792779723</v>
      </c>
      <c r="AW30" s="209">
        <f t="shared" si="33"/>
        <v>347080</v>
      </c>
      <c r="AX30" s="209">
        <v>350930</v>
      </c>
      <c r="AY30" s="210">
        <f t="shared" si="34"/>
        <v>3850</v>
      </c>
      <c r="AZ30" s="223">
        <f t="shared" si="35"/>
        <v>290</v>
      </c>
      <c r="BA30" s="224">
        <f>(AY30/'Finance Only'!B33)*100</f>
        <v>15.512309118014425</v>
      </c>
      <c r="BB30" s="209">
        <f t="shared" si="36"/>
        <v>1017400</v>
      </c>
      <c r="BC30" s="209">
        <v>1017700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1.2087513598452799</v>
      </c>
      <c r="BG30" s="209">
        <f t="shared" si="39"/>
        <v>1088000</v>
      </c>
      <c r="BH30" s="209">
        <v>1088300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1.2087513598452799</v>
      </c>
      <c r="BL30" s="209">
        <f t="shared" si="42"/>
        <v>1621700</v>
      </c>
      <c r="BM30" s="209">
        <v>1622200</v>
      </c>
      <c r="BN30" s="210">
        <f t="shared" si="43"/>
        <v>500</v>
      </c>
      <c r="BO30" s="223">
        <f t="shared" si="44"/>
        <v>0</v>
      </c>
      <c r="BP30" s="224">
        <f>(BN30/'Finance Only'!B33)*100</f>
        <v>2.0145855997421331</v>
      </c>
      <c r="BQ30" s="209">
        <f t="shared" si="45"/>
        <v>144610</v>
      </c>
      <c r="BR30" s="209">
        <v>144750</v>
      </c>
      <c r="BS30" s="210">
        <f t="shared" si="46"/>
        <v>140</v>
      </c>
      <c r="BT30" s="223">
        <f t="shared" si="47"/>
        <v>-20</v>
      </c>
      <c r="BU30" s="224">
        <f>(BS30/'Finance Only'!B33)*100</f>
        <v>0.56408396792779725</v>
      </c>
      <c r="BV30" s="209">
        <f t="shared" si="48"/>
        <v>605550</v>
      </c>
      <c r="BW30" s="209">
        <v>606000</v>
      </c>
      <c r="BX30" s="210">
        <f t="shared" si="49"/>
        <v>450</v>
      </c>
      <c r="BY30" s="223">
        <f t="shared" si="50"/>
        <v>40</v>
      </c>
      <c r="BZ30" s="224">
        <f>(BX30/'Finance Only'!B33)*100</f>
        <v>1.8131270397679196</v>
      </c>
      <c r="CA30" s="209">
        <f t="shared" si="51"/>
        <v>1144000</v>
      </c>
      <c r="CB30" s="209">
        <v>1145200</v>
      </c>
      <c r="CC30" s="210">
        <f t="shared" si="52"/>
        <v>1200</v>
      </c>
      <c r="CD30" s="223">
        <f t="shared" si="53"/>
        <v>0</v>
      </c>
      <c r="CE30" s="224">
        <f>(CC30/'Finance Only'!B33)*100</f>
        <v>4.8350054393811197</v>
      </c>
      <c r="CF30" s="209">
        <f t="shared" si="54"/>
        <v>376790</v>
      </c>
      <c r="CG30" s="209">
        <v>377270</v>
      </c>
      <c r="CH30" s="210">
        <f t="shared" si="55"/>
        <v>480</v>
      </c>
      <c r="CI30" s="223">
        <f t="shared" si="56"/>
        <v>60</v>
      </c>
      <c r="CJ30" s="224">
        <f>(CH30/'Finance Only'!B33)*100</f>
        <v>1.9340021757524477</v>
      </c>
      <c r="CK30" s="210">
        <f t="shared" si="57"/>
        <v>872880</v>
      </c>
      <c r="CL30" s="210">
        <v>873780</v>
      </c>
      <c r="CM30" s="210">
        <f t="shared" si="58"/>
        <v>900</v>
      </c>
      <c r="CN30" s="223">
        <f t="shared" si="59"/>
        <v>50</v>
      </c>
      <c r="CO30" s="224">
        <f>(CM30/'Finance Only'!B33)*100</f>
        <v>3.6262540795358391</v>
      </c>
      <c r="CP30" s="209">
        <f t="shared" si="110"/>
        <v>723520</v>
      </c>
      <c r="CQ30" s="209">
        <v>724280</v>
      </c>
      <c r="CR30" s="211">
        <f t="shared" si="109"/>
        <v>760</v>
      </c>
      <c r="CS30" s="223">
        <f t="shared" si="60"/>
        <v>10</v>
      </c>
      <c r="CT30" s="224">
        <f>(CR30/'Finance Only'!B33)*100</f>
        <v>3.062170111608042</v>
      </c>
      <c r="CU30" s="209">
        <f t="shared" si="61"/>
        <v>598120</v>
      </c>
      <c r="CV30" s="209">
        <v>598660</v>
      </c>
      <c r="CW30" s="210">
        <f t="shared" si="62"/>
        <v>540</v>
      </c>
      <c r="CX30" s="223">
        <f t="shared" si="63"/>
        <v>20</v>
      </c>
      <c r="CY30" s="224">
        <f>(CW30/'Finance Only'!B33)*100</f>
        <v>2.1757524477215036</v>
      </c>
      <c r="CZ30" s="209">
        <f t="shared" si="64"/>
        <v>1002300</v>
      </c>
      <c r="DA30" s="209">
        <v>1003300</v>
      </c>
      <c r="DB30" s="210">
        <f t="shared" si="65"/>
        <v>1000</v>
      </c>
      <c r="DC30" s="223">
        <f t="shared" si="66"/>
        <v>0</v>
      </c>
      <c r="DD30" s="224">
        <f>(DB30/'Finance Only'!B33)*100</f>
        <v>4.0291711994842663</v>
      </c>
      <c r="DE30" s="209">
        <f t="shared" si="67"/>
        <v>768330</v>
      </c>
      <c r="DF30" s="209">
        <v>769180</v>
      </c>
      <c r="DG30" s="210">
        <f t="shared" si="68"/>
        <v>850</v>
      </c>
      <c r="DH30" s="223">
        <f t="shared" si="69"/>
        <v>0</v>
      </c>
      <c r="DI30" s="224">
        <f>(DG30/'Finance Only'!B33)*100</f>
        <v>3.4247955195616262</v>
      </c>
      <c r="DJ30" s="209">
        <f t="shared" si="70"/>
        <v>665330</v>
      </c>
      <c r="DK30" s="209">
        <v>665990</v>
      </c>
      <c r="DL30" s="210">
        <f t="shared" si="71"/>
        <v>660</v>
      </c>
      <c r="DM30" s="223">
        <f t="shared" si="72"/>
        <v>30</v>
      </c>
      <c r="DN30" s="224">
        <f>(DL30/'Finance Only'!B33)*100</f>
        <v>2.6592529916596157</v>
      </c>
      <c r="DO30" s="209">
        <f t="shared" si="73"/>
        <v>360470</v>
      </c>
      <c r="DP30" s="209">
        <v>360790</v>
      </c>
      <c r="DQ30" s="210">
        <f t="shared" si="74"/>
        <v>320</v>
      </c>
      <c r="DR30" s="223">
        <f t="shared" si="75"/>
        <v>-20</v>
      </c>
      <c r="DS30" s="224">
        <f>(DQ30/'Finance Only'!B33)*100</f>
        <v>1.2893347838349651</v>
      </c>
      <c r="DT30" s="209">
        <f t="shared" si="76"/>
        <v>120180</v>
      </c>
      <c r="DU30" s="209">
        <v>120370</v>
      </c>
      <c r="DV30" s="210">
        <f t="shared" si="77"/>
        <v>190</v>
      </c>
      <c r="DW30" s="223">
        <f t="shared" si="78"/>
        <v>20</v>
      </c>
      <c r="DX30" s="224">
        <f>(DV30/'Finance Only'!B33)*100</f>
        <v>0.76554252790201049</v>
      </c>
      <c r="DY30" s="209">
        <f t="shared" si="79"/>
        <v>771660</v>
      </c>
      <c r="DZ30" s="209">
        <v>772590</v>
      </c>
      <c r="EA30" s="210">
        <f t="shared" si="80"/>
        <v>930</v>
      </c>
      <c r="EB30" s="223">
        <f t="shared" si="81"/>
        <v>-40</v>
      </c>
      <c r="EC30" s="224">
        <f>(EA30/'Finance Only'!B33)*100</f>
        <v>3.747129215520367</v>
      </c>
      <c r="ED30" s="209">
        <f t="shared" si="82"/>
        <v>245180</v>
      </c>
      <c r="EE30" s="209">
        <v>245460</v>
      </c>
      <c r="EF30" s="210">
        <f t="shared" si="83"/>
        <v>280</v>
      </c>
      <c r="EG30" s="223">
        <f t="shared" si="84"/>
        <v>10</v>
      </c>
      <c r="EH30" s="224">
        <f>(EF30/'Finance Only'!B33)*100</f>
        <v>1.1281679358555945</v>
      </c>
      <c r="EI30" s="209">
        <f t="shared" si="85"/>
        <v>278210</v>
      </c>
      <c r="EJ30" s="209">
        <v>278580</v>
      </c>
      <c r="EK30" s="210">
        <f t="shared" si="86"/>
        <v>370</v>
      </c>
      <c r="EL30" s="223">
        <f t="shared" si="87"/>
        <v>80</v>
      </c>
      <c r="EM30" s="224">
        <f>(EK30/'Finance Only'!B33)*100</f>
        <v>1.4907933438091785</v>
      </c>
      <c r="EN30" s="209">
        <f t="shared" si="88"/>
        <v>454000</v>
      </c>
      <c r="EO30" s="209">
        <v>455020</v>
      </c>
      <c r="EP30" s="210">
        <f t="shared" si="89"/>
        <v>1020</v>
      </c>
      <c r="EQ30" s="223">
        <f t="shared" si="90"/>
        <v>1020</v>
      </c>
      <c r="ER30" s="224">
        <f>(EP30/'Finance Only'!B33)*100</f>
        <v>4.1097546234739513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5"/>
      <c r="FI30" s="295"/>
      <c r="FJ30" s="295"/>
      <c r="FK30" s="295"/>
      <c r="FL30" s="295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8">
        <f t="shared" si="1"/>
        <v>7829</v>
      </c>
      <c r="GD30" s="276"/>
      <c r="GE30" s="278">
        <f t="shared" si="2"/>
        <v>7930</v>
      </c>
      <c r="GF30" s="276"/>
      <c r="GG30" s="278">
        <f t="shared" si="3"/>
        <v>2100</v>
      </c>
      <c r="GH30" s="276"/>
      <c r="GI30" s="278">
        <f t="shared" si="4"/>
        <v>4450</v>
      </c>
      <c r="GJ30" s="276"/>
      <c r="GK30" s="278">
        <f t="shared" si="5"/>
        <v>640</v>
      </c>
      <c r="GL30" s="276"/>
      <c r="GM30" s="278">
        <f t="shared" si="6"/>
        <v>0</v>
      </c>
      <c r="GN30" s="276"/>
    </row>
    <row r="31" spans="1:1105" s="3" customFormat="1" ht="13.5" customHeight="1" x14ac:dyDescent="0.2">
      <c r="A31" s="264">
        <v>27</v>
      </c>
      <c r="B31" s="267">
        <f>'Finance Only'!G34</f>
        <v>35</v>
      </c>
      <c r="C31" s="262">
        <f t="shared" si="7"/>
        <v>27280961</v>
      </c>
      <c r="D31" s="207">
        <v>27284748</v>
      </c>
      <c r="E31" s="208">
        <f t="shared" si="8"/>
        <v>3787</v>
      </c>
      <c r="F31" s="219">
        <f t="shared" si="9"/>
        <v>26</v>
      </c>
      <c r="G31" s="220">
        <f>(E31/'Finance Only'!B34)*100</f>
        <v>15.18687840872634</v>
      </c>
      <c r="H31" s="230">
        <f t="shared" si="10"/>
        <v>25217379</v>
      </c>
      <c r="I31" s="207">
        <v>25221418</v>
      </c>
      <c r="J31" s="207">
        <f t="shared" si="11"/>
        <v>4039</v>
      </c>
      <c r="K31" s="231">
        <f t="shared" si="12"/>
        <v>-29</v>
      </c>
      <c r="L31" s="232">
        <f>(J31/'Finance Only'!B34)*100</f>
        <v>16.197465511709979</v>
      </c>
      <c r="M31" s="215">
        <f t="shared" si="13"/>
        <v>92771109</v>
      </c>
      <c r="N31" s="209">
        <v>92782020</v>
      </c>
      <c r="O31" s="210">
        <f t="shared" si="14"/>
        <v>10911</v>
      </c>
      <c r="P31" s="223">
        <f t="shared" si="15"/>
        <v>-399</v>
      </c>
      <c r="Q31" s="224">
        <f>(O31/'Finance Only'!B34)*100</f>
        <v>43.756015399422523</v>
      </c>
      <c r="R31" s="214">
        <f t="shared" si="16"/>
        <v>3207600</v>
      </c>
      <c r="S31" s="209">
        <v>3209800</v>
      </c>
      <c r="T31" s="210">
        <f t="shared" si="17"/>
        <v>2200</v>
      </c>
      <c r="U31" s="223">
        <f t="shared" si="18"/>
        <v>-200</v>
      </c>
      <c r="V31" s="224">
        <f>(T31/'Finance Only'!B34)*100</f>
        <v>8.8225858196984284</v>
      </c>
      <c r="W31" s="209">
        <f t="shared" si="19"/>
        <v>4302064</v>
      </c>
      <c r="X31" s="209">
        <v>4304861</v>
      </c>
      <c r="Y31" s="210">
        <f t="shared" si="20"/>
        <v>2797</v>
      </c>
      <c r="Z31" s="223">
        <f t="shared" si="21"/>
        <v>-133</v>
      </c>
      <c r="AA31" s="224">
        <f>(Y31/'Finance Only'!B34)*100</f>
        <v>11.216714789862046</v>
      </c>
      <c r="AB31" s="209">
        <f t="shared" si="22"/>
        <v>2796300</v>
      </c>
      <c r="AC31" s="209">
        <v>2798200</v>
      </c>
      <c r="AD31" s="210">
        <f t="shared" si="0"/>
        <v>1900</v>
      </c>
      <c r="AE31" s="316">
        <f>AD31/WATER!V32</f>
        <v>5.4755043227665707</v>
      </c>
      <c r="AF31" s="223">
        <f t="shared" si="23"/>
        <v>100</v>
      </c>
      <c r="AG31" s="224">
        <f>(AD31/'Finance Only'!B34)*100</f>
        <v>7.6195059351940975</v>
      </c>
      <c r="AH31" s="209">
        <f t="shared" si="24"/>
        <v>1117584</v>
      </c>
      <c r="AI31" s="209">
        <v>1118014</v>
      </c>
      <c r="AJ31" s="210">
        <f t="shared" si="25"/>
        <v>430</v>
      </c>
      <c r="AK31" s="223">
        <f t="shared" si="26"/>
        <v>-35</v>
      </c>
      <c r="AL31" s="224">
        <f>(AJ31/'Finance Only'!B34)*100</f>
        <v>1.7244145011228746</v>
      </c>
      <c r="AM31" s="209">
        <f t="shared" si="27"/>
        <v>1138100</v>
      </c>
      <c r="AN31" s="209">
        <v>1138700</v>
      </c>
      <c r="AO31" s="210">
        <f t="shared" si="28"/>
        <v>600</v>
      </c>
      <c r="AP31" s="223">
        <f t="shared" si="29"/>
        <v>-100</v>
      </c>
      <c r="AQ31" s="224">
        <f>(AO31/'Finance Only'!B34)*100</f>
        <v>2.4061597690086622</v>
      </c>
      <c r="AR31" s="209">
        <f t="shared" si="30"/>
        <v>2538800</v>
      </c>
      <c r="AS31" s="209">
        <v>2540400</v>
      </c>
      <c r="AT31" s="210">
        <f t="shared" si="31"/>
        <v>1600</v>
      </c>
      <c r="AU31" s="223">
        <f t="shared" si="32"/>
        <v>200</v>
      </c>
      <c r="AV31" s="224">
        <f>(AT31/'Finance Only'!B34)*100</f>
        <v>6.4164260506897666</v>
      </c>
      <c r="AW31" s="209">
        <f t="shared" si="33"/>
        <v>350930</v>
      </c>
      <c r="AX31" s="209">
        <v>354550</v>
      </c>
      <c r="AY31" s="210">
        <f t="shared" si="34"/>
        <v>3620</v>
      </c>
      <c r="AZ31" s="223">
        <f t="shared" si="35"/>
        <v>-230</v>
      </c>
      <c r="BA31" s="224">
        <f>(AY31/'Finance Only'!B34)*100</f>
        <v>14.517163939685595</v>
      </c>
      <c r="BB31" s="209">
        <f t="shared" si="36"/>
        <v>1017700</v>
      </c>
      <c r="BC31" s="209">
        <v>1018100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1.6041065126724416</v>
      </c>
      <c r="BG31" s="209">
        <f t="shared" si="39"/>
        <v>1088300</v>
      </c>
      <c r="BH31" s="209">
        <v>1088600</v>
      </c>
      <c r="BI31" s="210">
        <f t="shared" si="40"/>
        <v>300</v>
      </c>
      <c r="BJ31" s="223">
        <f t="shared" si="41"/>
        <v>0</v>
      </c>
      <c r="BK31" s="224">
        <f>(BI31/'Finance Only'!B34)*100</f>
        <v>1.2030798845043311</v>
      </c>
      <c r="BL31" s="209">
        <f t="shared" si="42"/>
        <v>1622200</v>
      </c>
      <c r="BM31" s="209">
        <v>1622600</v>
      </c>
      <c r="BN31" s="210">
        <f t="shared" si="43"/>
        <v>400</v>
      </c>
      <c r="BO31" s="223">
        <f t="shared" si="44"/>
        <v>-100</v>
      </c>
      <c r="BP31" s="224">
        <f>(BN31/'Finance Only'!B34)*100</f>
        <v>1.6041065126724416</v>
      </c>
      <c r="BQ31" s="209">
        <f t="shared" si="45"/>
        <v>144750</v>
      </c>
      <c r="BR31" s="209">
        <v>144910</v>
      </c>
      <c r="BS31" s="210">
        <f t="shared" si="46"/>
        <v>160</v>
      </c>
      <c r="BT31" s="223">
        <f t="shared" si="47"/>
        <v>20</v>
      </c>
      <c r="BU31" s="224">
        <f>(BS31/'Finance Only'!B34)*100</f>
        <v>0.64164260506897663</v>
      </c>
      <c r="BV31" s="209">
        <f t="shared" si="48"/>
        <v>606000</v>
      </c>
      <c r="BW31" s="209">
        <v>606420</v>
      </c>
      <c r="BX31" s="210">
        <f t="shared" si="49"/>
        <v>420</v>
      </c>
      <c r="BY31" s="223">
        <f t="shared" si="50"/>
        <v>-30</v>
      </c>
      <c r="BZ31" s="224">
        <f>(BX31/'Finance Only'!B34)*100</f>
        <v>1.6843118383060636</v>
      </c>
      <c r="CA31" s="209">
        <f t="shared" si="51"/>
        <v>1145200</v>
      </c>
      <c r="CB31" s="209">
        <v>1146300</v>
      </c>
      <c r="CC31" s="210">
        <f t="shared" si="52"/>
        <v>1100</v>
      </c>
      <c r="CD31" s="223">
        <f t="shared" si="53"/>
        <v>-100</v>
      </c>
      <c r="CE31" s="224">
        <f>(CC31/'Finance Only'!B34)*100</f>
        <v>4.4112929098492142</v>
      </c>
      <c r="CF31" s="209">
        <f t="shared" si="54"/>
        <v>377270</v>
      </c>
      <c r="CG31" s="209">
        <v>377660</v>
      </c>
      <c r="CH31" s="210">
        <f t="shared" si="55"/>
        <v>390</v>
      </c>
      <c r="CI31" s="223">
        <f t="shared" si="56"/>
        <v>-90</v>
      </c>
      <c r="CJ31" s="224">
        <f>(CH31/'Finance Only'!B34)*100</f>
        <v>1.5640038498556306</v>
      </c>
      <c r="CK31" s="210">
        <f t="shared" si="57"/>
        <v>873780</v>
      </c>
      <c r="CL31" s="210">
        <v>874770</v>
      </c>
      <c r="CM31" s="210">
        <f t="shared" si="58"/>
        <v>990</v>
      </c>
      <c r="CN31" s="223">
        <f t="shared" si="59"/>
        <v>90</v>
      </c>
      <c r="CO31" s="224">
        <f>(CM31/'Finance Only'!B34)*100</f>
        <v>3.9701636188642926</v>
      </c>
      <c r="CP31" s="209">
        <f t="shared" si="110"/>
        <v>724280</v>
      </c>
      <c r="CQ31" s="209">
        <v>725060</v>
      </c>
      <c r="CR31" s="211">
        <f t="shared" si="109"/>
        <v>780</v>
      </c>
      <c r="CS31" s="223">
        <f t="shared" si="60"/>
        <v>20</v>
      </c>
      <c r="CT31" s="224">
        <f>(CR31/'Finance Only'!B34)*100</f>
        <v>3.1280076997112611</v>
      </c>
      <c r="CU31" s="209">
        <f t="shared" si="61"/>
        <v>598660</v>
      </c>
      <c r="CV31" s="209">
        <v>599180</v>
      </c>
      <c r="CW31" s="210">
        <f t="shared" si="62"/>
        <v>520</v>
      </c>
      <c r="CX31" s="223">
        <f t="shared" si="63"/>
        <v>-20</v>
      </c>
      <c r="CY31" s="224">
        <f>(CW31/'Finance Only'!B34)*100</f>
        <v>2.0853384664741741</v>
      </c>
      <c r="CZ31" s="209">
        <f t="shared" si="64"/>
        <v>1003300</v>
      </c>
      <c r="DA31" s="209">
        <v>1005400</v>
      </c>
      <c r="DB31" s="210">
        <f t="shared" si="65"/>
        <v>2100</v>
      </c>
      <c r="DC31" s="223">
        <f t="shared" si="66"/>
        <v>1100</v>
      </c>
      <c r="DD31" s="224">
        <f>(DB31/'Finance Only'!B34)*100</f>
        <v>8.4215591915303172</v>
      </c>
      <c r="DE31" s="209">
        <f t="shared" si="67"/>
        <v>769180</v>
      </c>
      <c r="DF31" s="209">
        <v>770000</v>
      </c>
      <c r="DG31" s="210">
        <f t="shared" si="68"/>
        <v>820</v>
      </c>
      <c r="DH31" s="223">
        <f t="shared" si="69"/>
        <v>-30</v>
      </c>
      <c r="DI31" s="224">
        <f>(DG31/'Finance Only'!B34)*100</f>
        <v>3.288418350978505</v>
      </c>
      <c r="DJ31" s="209">
        <f t="shared" si="70"/>
        <v>665990</v>
      </c>
      <c r="DK31" s="209">
        <v>666610</v>
      </c>
      <c r="DL31" s="210">
        <f t="shared" si="71"/>
        <v>620</v>
      </c>
      <c r="DM31" s="223">
        <f t="shared" si="72"/>
        <v>-40</v>
      </c>
      <c r="DN31" s="224">
        <f>(DL31/'Finance Only'!B34)*100</f>
        <v>2.4863650946422844</v>
      </c>
      <c r="DO31" s="209">
        <f t="shared" si="73"/>
        <v>360790</v>
      </c>
      <c r="DP31" s="209">
        <v>361110</v>
      </c>
      <c r="DQ31" s="210">
        <f t="shared" si="74"/>
        <v>320</v>
      </c>
      <c r="DR31" s="223">
        <f t="shared" si="75"/>
        <v>0</v>
      </c>
      <c r="DS31" s="224">
        <f>(DQ31/'Finance Only'!B34)*100</f>
        <v>1.2832852101379533</v>
      </c>
      <c r="DT31" s="209">
        <f t="shared" si="76"/>
        <v>120370</v>
      </c>
      <c r="DU31" s="209">
        <v>120500</v>
      </c>
      <c r="DV31" s="210">
        <f t="shared" si="77"/>
        <v>130</v>
      </c>
      <c r="DW31" s="223">
        <f t="shared" si="78"/>
        <v>-60</v>
      </c>
      <c r="DX31" s="224">
        <f>(DV31/'Finance Only'!B34)*100</f>
        <v>0.52133461661854352</v>
      </c>
      <c r="DY31" s="209">
        <f t="shared" si="79"/>
        <v>772590</v>
      </c>
      <c r="DZ31" s="209">
        <v>773630</v>
      </c>
      <c r="EA31" s="210">
        <f t="shared" si="80"/>
        <v>1040</v>
      </c>
      <c r="EB31" s="223">
        <f t="shared" si="81"/>
        <v>110</v>
      </c>
      <c r="EC31" s="224">
        <f>(EA31/'Finance Only'!B34)*100</f>
        <v>4.1706769329483482</v>
      </c>
      <c r="ED31" s="209">
        <f t="shared" si="82"/>
        <v>245460</v>
      </c>
      <c r="EE31" s="209">
        <v>245760</v>
      </c>
      <c r="EF31" s="210">
        <f t="shared" si="83"/>
        <v>300</v>
      </c>
      <c r="EG31" s="223">
        <f t="shared" si="84"/>
        <v>20</v>
      </c>
      <c r="EH31" s="224">
        <f>(EF31/'Finance Only'!B34)*100</f>
        <v>1.2030798845043311</v>
      </c>
      <c r="EI31" s="209">
        <f t="shared" si="85"/>
        <v>278580</v>
      </c>
      <c r="EJ31" s="209">
        <v>278950</v>
      </c>
      <c r="EK31" s="210">
        <f t="shared" si="86"/>
        <v>370</v>
      </c>
      <c r="EL31" s="223">
        <f t="shared" si="87"/>
        <v>0</v>
      </c>
      <c r="EM31" s="224">
        <f>(EK31/'Finance Only'!B34)*100</f>
        <v>1.4837985242220084</v>
      </c>
      <c r="EN31" s="209">
        <f t="shared" si="88"/>
        <v>455020</v>
      </c>
      <c r="EO31" s="209">
        <v>456090</v>
      </c>
      <c r="EP31" s="210">
        <f t="shared" si="89"/>
        <v>1070</v>
      </c>
      <c r="EQ31" s="223">
        <f t="shared" si="90"/>
        <v>50</v>
      </c>
      <c r="ER31" s="224">
        <f>(EP31/'Finance Only'!B34)*100</f>
        <v>4.2909849213987803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5"/>
      <c r="FI31" s="295"/>
      <c r="FJ31" s="295"/>
      <c r="FK31" s="295"/>
      <c r="FL31" s="295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8">
        <f t="shared" si="1"/>
        <v>7826</v>
      </c>
      <c r="GD31" s="276"/>
      <c r="GE31" s="278">
        <f t="shared" si="2"/>
        <v>7777</v>
      </c>
      <c r="GF31" s="276"/>
      <c r="GG31" s="278">
        <f t="shared" si="3"/>
        <v>2200</v>
      </c>
      <c r="GH31" s="276"/>
      <c r="GI31" s="278">
        <f t="shared" si="4"/>
        <v>4320</v>
      </c>
      <c r="GJ31" s="276"/>
      <c r="GK31" s="278">
        <f t="shared" si="5"/>
        <v>560</v>
      </c>
      <c r="GL31" s="276"/>
      <c r="GM31" s="278">
        <f t="shared" si="6"/>
        <v>0</v>
      </c>
      <c r="GN31" s="276"/>
    </row>
    <row r="32" spans="1:1105" s="3" customFormat="1" ht="13.5" customHeight="1" x14ac:dyDescent="0.2">
      <c r="A32" s="264">
        <v>28</v>
      </c>
      <c r="B32" s="267">
        <f>'Finance Only'!G35</f>
        <v>32</v>
      </c>
      <c r="C32" s="262">
        <f t="shared" si="7"/>
        <v>27284748</v>
      </c>
      <c r="D32" s="207">
        <v>27288749</v>
      </c>
      <c r="E32" s="208">
        <f t="shared" si="8"/>
        <v>4001</v>
      </c>
      <c r="F32" s="219">
        <f t="shared" si="9"/>
        <v>214</v>
      </c>
      <c r="G32" s="220">
        <f>(E32/'Finance Only'!B35)*100</f>
        <v>15.865022403743209</v>
      </c>
      <c r="H32" s="230">
        <f t="shared" si="10"/>
        <v>25221418</v>
      </c>
      <c r="I32" s="207">
        <v>25225483</v>
      </c>
      <c r="J32" s="207">
        <f t="shared" si="11"/>
        <v>4065</v>
      </c>
      <c r="K32" s="231">
        <f t="shared" si="12"/>
        <v>26</v>
      </c>
      <c r="L32" s="232">
        <f>(J32/'Finance Only'!B35)*100</f>
        <v>16.118799317974545</v>
      </c>
      <c r="M32" s="215">
        <f t="shared" si="13"/>
        <v>92782020</v>
      </c>
      <c r="N32" s="209">
        <v>92793586</v>
      </c>
      <c r="O32" s="210">
        <f t="shared" si="14"/>
        <v>11566</v>
      </c>
      <c r="P32" s="223">
        <f t="shared" si="15"/>
        <v>655</v>
      </c>
      <c r="Q32" s="224">
        <f>(O32/'Finance Only'!B35)*100</f>
        <v>45.862246718743805</v>
      </c>
      <c r="R32" s="214">
        <f t="shared" si="16"/>
        <v>3209800</v>
      </c>
      <c r="S32" s="209">
        <v>3212200</v>
      </c>
      <c r="T32" s="210">
        <f t="shared" si="17"/>
        <v>2400</v>
      </c>
      <c r="U32" s="223">
        <f t="shared" si="18"/>
        <v>200</v>
      </c>
      <c r="V32" s="224">
        <f>(T32/'Finance Only'!B35)*100</f>
        <v>9.5166342836750069</v>
      </c>
      <c r="W32" s="209">
        <f t="shared" si="19"/>
        <v>4304861</v>
      </c>
      <c r="X32" s="209">
        <v>4307729</v>
      </c>
      <c r="Y32" s="210">
        <f t="shared" si="20"/>
        <v>2868</v>
      </c>
      <c r="Z32" s="223">
        <f t="shared" si="21"/>
        <v>71</v>
      </c>
      <c r="AA32" s="224">
        <f>(Y32/'Finance Only'!B35)*100</f>
        <v>11.372377968991634</v>
      </c>
      <c r="AB32" s="209">
        <f t="shared" si="22"/>
        <v>2798200</v>
      </c>
      <c r="AC32" s="209">
        <v>2798200</v>
      </c>
      <c r="AD32" s="210">
        <f t="shared" si="0"/>
        <v>0</v>
      </c>
      <c r="AE32" s="316">
        <f>AD32/WATER!V33</f>
        <v>0</v>
      </c>
      <c r="AF32" s="223">
        <f t="shared" si="23"/>
        <v>-1900</v>
      </c>
      <c r="AG32" s="224">
        <f>(AD32/'Finance Only'!B35)*100</f>
        <v>0</v>
      </c>
      <c r="AH32" s="209">
        <f t="shared" si="24"/>
        <v>1118014</v>
      </c>
      <c r="AI32" s="209">
        <v>1118507</v>
      </c>
      <c r="AJ32" s="210">
        <f t="shared" si="25"/>
        <v>493</v>
      </c>
      <c r="AK32" s="223">
        <f t="shared" si="26"/>
        <v>63</v>
      </c>
      <c r="AL32" s="224">
        <f>(AJ32/'Finance Only'!B35)*100</f>
        <v>1.9548752924382411</v>
      </c>
      <c r="AM32" s="209">
        <f t="shared" si="27"/>
        <v>1138700</v>
      </c>
      <c r="AN32" s="209">
        <v>1139400</v>
      </c>
      <c r="AO32" s="210">
        <f t="shared" si="28"/>
        <v>700</v>
      </c>
      <c r="AP32" s="223">
        <f t="shared" si="29"/>
        <v>100</v>
      </c>
      <c r="AQ32" s="224">
        <f>(AO32/'Finance Only'!B35)*100</f>
        <v>2.7756849994052106</v>
      </c>
      <c r="AR32" s="209">
        <f t="shared" si="30"/>
        <v>2540400</v>
      </c>
      <c r="AS32" s="209">
        <v>2541700</v>
      </c>
      <c r="AT32" s="210">
        <f t="shared" si="31"/>
        <v>1300</v>
      </c>
      <c r="AU32" s="223">
        <f t="shared" si="32"/>
        <v>-300</v>
      </c>
      <c r="AV32" s="224">
        <f>(AT32/'Finance Only'!B35)*100</f>
        <v>5.1548435703239619</v>
      </c>
      <c r="AW32" s="209">
        <f t="shared" si="33"/>
        <v>354550</v>
      </c>
      <c r="AX32" s="209">
        <v>358110</v>
      </c>
      <c r="AY32" s="210">
        <f t="shared" si="34"/>
        <v>3560</v>
      </c>
      <c r="AZ32" s="223">
        <f t="shared" si="35"/>
        <v>-60</v>
      </c>
      <c r="BA32" s="224">
        <f>(AY32/'Finance Only'!B35)*100</f>
        <v>14.116340854117926</v>
      </c>
      <c r="BB32" s="209">
        <f t="shared" si="36"/>
        <v>1018100</v>
      </c>
      <c r="BC32" s="209">
        <v>1018500</v>
      </c>
      <c r="BD32" s="210">
        <f t="shared" si="37"/>
        <v>400</v>
      </c>
      <c r="BE32" s="223">
        <f t="shared" si="38"/>
        <v>0</v>
      </c>
      <c r="BF32" s="224">
        <f>(BD32/'Finance Only'!B35)*100</f>
        <v>1.5861057139458345</v>
      </c>
      <c r="BG32" s="209">
        <f t="shared" si="39"/>
        <v>1088600</v>
      </c>
      <c r="BH32" s="209">
        <v>1088900</v>
      </c>
      <c r="BI32" s="210">
        <f t="shared" si="40"/>
        <v>300</v>
      </c>
      <c r="BJ32" s="223">
        <f t="shared" si="41"/>
        <v>0</v>
      </c>
      <c r="BK32" s="224">
        <f>(BI32/'Finance Only'!B35)*100</f>
        <v>1.1895792854593759</v>
      </c>
      <c r="BL32" s="209">
        <f t="shared" si="42"/>
        <v>1622600</v>
      </c>
      <c r="BM32" s="209">
        <v>1623200</v>
      </c>
      <c r="BN32" s="210">
        <f t="shared" si="43"/>
        <v>600</v>
      </c>
      <c r="BO32" s="223">
        <f t="shared" si="44"/>
        <v>200</v>
      </c>
      <c r="BP32" s="224">
        <f>(BN32/'Finance Only'!B35)*100</f>
        <v>2.3791585709187517</v>
      </c>
      <c r="BQ32" s="209">
        <f t="shared" si="45"/>
        <v>144910</v>
      </c>
      <c r="BR32" s="209">
        <v>145070</v>
      </c>
      <c r="BS32" s="210">
        <f t="shared" si="46"/>
        <v>160</v>
      </c>
      <c r="BT32" s="223">
        <f t="shared" si="47"/>
        <v>0</v>
      </c>
      <c r="BU32" s="224">
        <f>(BS32/'Finance Only'!B35)*100</f>
        <v>0.63444228557833382</v>
      </c>
      <c r="BV32" s="209">
        <f t="shared" si="48"/>
        <v>606420</v>
      </c>
      <c r="BW32" s="209">
        <v>606930</v>
      </c>
      <c r="BX32" s="210">
        <f t="shared" si="49"/>
        <v>510</v>
      </c>
      <c r="BY32" s="223">
        <f t="shared" si="50"/>
        <v>90</v>
      </c>
      <c r="BZ32" s="224">
        <f>(BX32/'Finance Only'!B35)*100</f>
        <v>2.0222847852809389</v>
      </c>
      <c r="CA32" s="209">
        <f t="shared" si="51"/>
        <v>1146300</v>
      </c>
      <c r="CB32" s="209">
        <v>1147500</v>
      </c>
      <c r="CC32" s="210">
        <f t="shared" si="52"/>
        <v>1200</v>
      </c>
      <c r="CD32" s="223">
        <f t="shared" si="53"/>
        <v>100</v>
      </c>
      <c r="CE32" s="224">
        <f>(CC32/'Finance Only'!B35)*100</f>
        <v>4.7583171418375034</v>
      </c>
      <c r="CF32" s="209">
        <f t="shared" si="54"/>
        <v>377660</v>
      </c>
      <c r="CG32" s="209">
        <v>378040</v>
      </c>
      <c r="CH32" s="210">
        <f t="shared" si="55"/>
        <v>380</v>
      </c>
      <c r="CI32" s="223">
        <f t="shared" si="56"/>
        <v>-10</v>
      </c>
      <c r="CJ32" s="224">
        <f>(CH32/'Finance Only'!B35)*100</f>
        <v>1.5068004282485428</v>
      </c>
      <c r="CK32" s="210">
        <f t="shared" si="57"/>
        <v>874770</v>
      </c>
      <c r="CL32" s="210">
        <v>875610</v>
      </c>
      <c r="CM32" s="210">
        <f t="shared" si="58"/>
        <v>840</v>
      </c>
      <c r="CN32" s="223">
        <f t="shared" si="59"/>
        <v>-150</v>
      </c>
      <c r="CO32" s="224">
        <f>(CM32/'Finance Only'!B35)*100</f>
        <v>3.3308219992862522</v>
      </c>
      <c r="CP32" s="209">
        <f t="shared" si="110"/>
        <v>725060</v>
      </c>
      <c r="CQ32" s="209">
        <v>725060</v>
      </c>
      <c r="CR32" s="211">
        <f t="shared" si="109"/>
        <v>0</v>
      </c>
      <c r="CS32" s="223">
        <f t="shared" si="60"/>
        <v>-780</v>
      </c>
      <c r="CT32" s="224">
        <f>(CR32/'Finance Only'!B35)*100</f>
        <v>0</v>
      </c>
      <c r="CU32" s="209">
        <f t="shared" si="61"/>
        <v>599180</v>
      </c>
      <c r="CV32" s="209">
        <v>599690</v>
      </c>
      <c r="CW32" s="210">
        <f t="shared" si="62"/>
        <v>510</v>
      </c>
      <c r="CX32" s="223">
        <f t="shared" si="63"/>
        <v>-10</v>
      </c>
      <c r="CY32" s="224">
        <f>(CW32/'Finance Only'!B35)*100</f>
        <v>2.0222847852809389</v>
      </c>
      <c r="CZ32" s="209">
        <f t="shared" si="64"/>
        <v>1005400</v>
      </c>
      <c r="DA32" s="209">
        <v>1006400</v>
      </c>
      <c r="DB32" s="210">
        <f t="shared" si="65"/>
        <v>1000</v>
      </c>
      <c r="DC32" s="223">
        <f t="shared" si="66"/>
        <v>-1100</v>
      </c>
      <c r="DD32" s="224">
        <f>(DB32/'Finance Only'!B35)*100</f>
        <v>3.9652642848645865</v>
      </c>
      <c r="DE32" s="209">
        <f t="shared" si="67"/>
        <v>770000</v>
      </c>
      <c r="DF32" s="209">
        <v>770810</v>
      </c>
      <c r="DG32" s="210">
        <f t="shared" si="68"/>
        <v>810</v>
      </c>
      <c r="DH32" s="223">
        <f t="shared" si="69"/>
        <v>-10</v>
      </c>
      <c r="DI32" s="224">
        <f>(DG32/'Finance Only'!B35)*100</f>
        <v>3.2118640707403148</v>
      </c>
      <c r="DJ32" s="209">
        <f t="shared" si="70"/>
        <v>666610</v>
      </c>
      <c r="DK32" s="209">
        <v>667140</v>
      </c>
      <c r="DL32" s="210">
        <f t="shared" si="71"/>
        <v>530</v>
      </c>
      <c r="DM32" s="223">
        <f t="shared" si="72"/>
        <v>-90</v>
      </c>
      <c r="DN32" s="224">
        <f>(DL32/'Finance Only'!B35)*100</f>
        <v>2.1015900709782307</v>
      </c>
      <c r="DO32" s="209">
        <f t="shared" si="73"/>
        <v>361110</v>
      </c>
      <c r="DP32" s="209">
        <v>361410</v>
      </c>
      <c r="DQ32" s="210">
        <f t="shared" si="74"/>
        <v>300</v>
      </c>
      <c r="DR32" s="223">
        <f t="shared" si="75"/>
        <v>-20</v>
      </c>
      <c r="DS32" s="224">
        <f>(DQ32/'Finance Only'!B35)*100</f>
        <v>1.1895792854593759</v>
      </c>
      <c r="DT32" s="209">
        <f t="shared" si="76"/>
        <v>120500</v>
      </c>
      <c r="DU32" s="209">
        <v>120640</v>
      </c>
      <c r="DV32" s="210">
        <f t="shared" si="77"/>
        <v>140</v>
      </c>
      <c r="DW32" s="223">
        <f t="shared" si="78"/>
        <v>10</v>
      </c>
      <c r="DX32" s="224">
        <f>(DV32/'Finance Only'!B35)*100</f>
        <v>0.55513699988104215</v>
      </c>
      <c r="DY32" s="209">
        <f t="shared" si="79"/>
        <v>773630</v>
      </c>
      <c r="DZ32" s="209">
        <v>774570</v>
      </c>
      <c r="EA32" s="210">
        <f t="shared" si="80"/>
        <v>940</v>
      </c>
      <c r="EB32" s="223">
        <f t="shared" si="81"/>
        <v>-100</v>
      </c>
      <c r="EC32" s="224">
        <f>(EA32/'Finance Only'!B35)*100</f>
        <v>3.7273484277727107</v>
      </c>
      <c r="ED32" s="209">
        <f t="shared" si="82"/>
        <v>245760</v>
      </c>
      <c r="EE32" s="209">
        <v>246040</v>
      </c>
      <c r="EF32" s="210">
        <f t="shared" si="83"/>
        <v>280</v>
      </c>
      <c r="EG32" s="223">
        <f t="shared" si="84"/>
        <v>-20</v>
      </c>
      <c r="EH32" s="224">
        <f>(EF32/'Finance Only'!B35)*100</f>
        <v>1.1102739997620843</v>
      </c>
      <c r="EI32" s="209">
        <f t="shared" si="85"/>
        <v>278950</v>
      </c>
      <c r="EJ32" s="209">
        <v>279300</v>
      </c>
      <c r="EK32" s="210">
        <f t="shared" si="86"/>
        <v>350</v>
      </c>
      <c r="EL32" s="223">
        <f t="shared" si="87"/>
        <v>-20</v>
      </c>
      <c r="EM32" s="224">
        <f>(EK32/'Finance Only'!B35)*100</f>
        <v>1.3878424997026053</v>
      </c>
      <c r="EN32" s="209">
        <f t="shared" si="88"/>
        <v>456090</v>
      </c>
      <c r="EO32" s="209">
        <v>456620</v>
      </c>
      <c r="EP32" s="210">
        <f t="shared" si="89"/>
        <v>530</v>
      </c>
      <c r="EQ32" s="223">
        <f t="shared" si="90"/>
        <v>-540</v>
      </c>
      <c r="ER32" s="224">
        <f>(EP32/'Finance Only'!B35)*100</f>
        <v>2.1015900709782307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5"/>
      <c r="FI32" s="295"/>
      <c r="FJ32" s="295"/>
      <c r="FK32" s="295"/>
      <c r="FL32" s="295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8">
        <f t="shared" si="1"/>
        <v>8066</v>
      </c>
      <c r="GD32" s="276"/>
      <c r="GE32" s="278">
        <f t="shared" si="2"/>
        <v>7368</v>
      </c>
      <c r="GF32" s="276"/>
      <c r="GG32" s="278">
        <f t="shared" si="3"/>
        <v>2000</v>
      </c>
      <c r="GH32" s="276"/>
      <c r="GI32" s="278">
        <f t="shared" si="4"/>
        <v>4260</v>
      </c>
      <c r="GJ32" s="276"/>
      <c r="GK32" s="278">
        <f t="shared" si="5"/>
        <v>760</v>
      </c>
      <c r="GL32" s="276"/>
      <c r="GM32" s="278">
        <f t="shared" si="6"/>
        <v>0</v>
      </c>
      <c r="GN32" s="276"/>
    </row>
    <row r="33" spans="1:196" s="3" customFormat="1" ht="13.5" customHeight="1" x14ac:dyDescent="0.2">
      <c r="A33" s="264">
        <v>29</v>
      </c>
      <c r="B33" s="267">
        <f>'Finance Only'!G36</f>
        <v>38.799999999999997</v>
      </c>
      <c r="C33" s="262">
        <f t="shared" si="7"/>
        <v>27288749</v>
      </c>
      <c r="D33" s="207">
        <v>27292614</v>
      </c>
      <c r="E33" s="208">
        <f t="shared" si="8"/>
        <v>3865</v>
      </c>
      <c r="F33" s="219">
        <f t="shared" si="9"/>
        <v>-136</v>
      </c>
      <c r="G33" s="220">
        <f>(E33/'Finance Only'!B36)*100</f>
        <v>15.002134844544502</v>
      </c>
      <c r="H33" s="230">
        <f t="shared" si="10"/>
        <v>25225483</v>
      </c>
      <c r="I33" s="207">
        <v>25229693</v>
      </c>
      <c r="J33" s="207">
        <f t="shared" si="11"/>
        <v>4210</v>
      </c>
      <c r="K33" s="231">
        <f t="shared" si="12"/>
        <v>145</v>
      </c>
      <c r="L33" s="232">
        <f>(J33/'Finance Only'!B36)*100</f>
        <v>16.341264604277452</v>
      </c>
      <c r="M33" s="215">
        <f t="shared" si="13"/>
        <v>92793586</v>
      </c>
      <c r="N33" s="209">
        <v>92805280</v>
      </c>
      <c r="O33" s="210">
        <f t="shared" si="14"/>
        <v>11694</v>
      </c>
      <c r="P33" s="223">
        <f t="shared" si="15"/>
        <v>128</v>
      </c>
      <c r="Q33" s="224">
        <f>(O33/'Finance Only'!B36)*100</f>
        <v>45.390676551643836</v>
      </c>
      <c r="R33" s="214">
        <f t="shared" si="16"/>
        <v>3212200</v>
      </c>
      <c r="S33" s="209">
        <v>3214600</v>
      </c>
      <c r="T33" s="210">
        <f t="shared" si="17"/>
        <v>2400</v>
      </c>
      <c r="U33" s="223">
        <f t="shared" si="18"/>
        <v>0</v>
      </c>
      <c r="V33" s="224">
        <f>(T33/'Finance Only'!B36)*100</f>
        <v>9.3156852850987839</v>
      </c>
      <c r="W33" s="209">
        <f t="shared" si="19"/>
        <v>4307729</v>
      </c>
      <c r="X33" s="209">
        <v>4310562</v>
      </c>
      <c r="Y33" s="210">
        <f t="shared" si="20"/>
        <v>2833</v>
      </c>
      <c r="Z33" s="223">
        <f t="shared" si="21"/>
        <v>-35</v>
      </c>
      <c r="AA33" s="224">
        <f>(Y33/'Finance Only'!B36)*100</f>
        <v>10.996390171952024</v>
      </c>
      <c r="AB33" s="209">
        <f t="shared" si="22"/>
        <v>2798200</v>
      </c>
      <c r="AC33" s="210">
        <v>2799700</v>
      </c>
      <c r="AD33" s="210">
        <f t="shared" si="0"/>
        <v>1500</v>
      </c>
      <c r="AE33" s="316">
        <f>AD33/WATER!V34</f>
        <v>4.4117647058823533</v>
      </c>
      <c r="AF33" s="223">
        <f t="shared" si="23"/>
        <v>1500</v>
      </c>
      <c r="AG33" s="224">
        <f>(AD33/'Finance Only'!B36)*100</f>
        <v>5.8223033031867404</v>
      </c>
      <c r="AH33" s="209">
        <f t="shared" si="24"/>
        <v>1118507</v>
      </c>
      <c r="AI33" s="209">
        <v>1118961</v>
      </c>
      <c r="AJ33" s="210">
        <f t="shared" si="25"/>
        <v>454</v>
      </c>
      <c r="AK33" s="223">
        <f t="shared" si="26"/>
        <v>-39</v>
      </c>
      <c r="AL33" s="224">
        <f>(AJ33/'Finance Only'!B36)*100</f>
        <v>1.7622171330978535</v>
      </c>
      <c r="AM33" s="209">
        <f t="shared" si="27"/>
        <v>1139400</v>
      </c>
      <c r="AN33" s="209">
        <v>1140100</v>
      </c>
      <c r="AO33" s="210">
        <f t="shared" si="28"/>
        <v>700</v>
      </c>
      <c r="AP33" s="223">
        <f t="shared" si="29"/>
        <v>0</v>
      </c>
      <c r="AQ33" s="224">
        <f>(AO33/'Finance Only'!B36)*100</f>
        <v>2.7170748748204789</v>
      </c>
      <c r="AR33" s="209">
        <f t="shared" si="30"/>
        <v>2541700</v>
      </c>
      <c r="AS33" s="209">
        <v>2543200</v>
      </c>
      <c r="AT33" s="210">
        <f t="shared" si="31"/>
        <v>1500</v>
      </c>
      <c r="AU33" s="223">
        <f t="shared" si="32"/>
        <v>200</v>
      </c>
      <c r="AV33" s="224">
        <f>(AT33/'Finance Only'!B36)*100</f>
        <v>5.8223033031867404</v>
      </c>
      <c r="AW33" s="209">
        <f t="shared" si="33"/>
        <v>358110</v>
      </c>
      <c r="AX33" s="209">
        <v>361940</v>
      </c>
      <c r="AY33" s="210">
        <f t="shared" si="34"/>
        <v>3830</v>
      </c>
      <c r="AZ33" s="223">
        <f t="shared" si="35"/>
        <v>270</v>
      </c>
      <c r="BA33" s="224">
        <f>(AY33/'Finance Only'!B36)*100</f>
        <v>14.866281100803477</v>
      </c>
      <c r="BB33" s="209">
        <f t="shared" si="36"/>
        <v>1018500</v>
      </c>
      <c r="BC33" s="209">
        <v>1018900</v>
      </c>
      <c r="BD33" s="210">
        <f t="shared" si="37"/>
        <v>400</v>
      </c>
      <c r="BE33" s="223">
        <f t="shared" si="38"/>
        <v>0</v>
      </c>
      <c r="BF33" s="224">
        <f>(BD33/'Finance Only'!B36)*100</f>
        <v>1.5526142141831309</v>
      </c>
      <c r="BG33" s="209">
        <f t="shared" si="39"/>
        <v>1088900</v>
      </c>
      <c r="BH33" s="209">
        <v>1089200</v>
      </c>
      <c r="BI33" s="210">
        <f t="shared" si="40"/>
        <v>300</v>
      </c>
      <c r="BJ33" s="223">
        <f t="shared" si="41"/>
        <v>0</v>
      </c>
      <c r="BK33" s="224">
        <f>(BI33/'Finance Only'!B36)*100</f>
        <v>1.164460660637348</v>
      </c>
      <c r="BL33" s="209">
        <f t="shared" si="42"/>
        <v>1623200</v>
      </c>
      <c r="BM33" s="209">
        <v>1623700</v>
      </c>
      <c r="BN33" s="210">
        <f t="shared" si="43"/>
        <v>500</v>
      </c>
      <c r="BO33" s="223">
        <f t="shared" si="44"/>
        <v>-100</v>
      </c>
      <c r="BP33" s="224">
        <f>(BN33/'Finance Only'!B36)*100</f>
        <v>1.9407677677289137</v>
      </c>
      <c r="BQ33" s="209">
        <f t="shared" si="45"/>
        <v>145070</v>
      </c>
      <c r="BR33" s="209">
        <v>145240</v>
      </c>
      <c r="BS33" s="210">
        <f t="shared" si="46"/>
        <v>170</v>
      </c>
      <c r="BT33" s="223">
        <f t="shared" si="47"/>
        <v>10</v>
      </c>
      <c r="BU33" s="224">
        <f>(BS33/'Finance Only'!B36)*100</f>
        <v>0.65986104102783061</v>
      </c>
      <c r="BV33" s="209">
        <f t="shared" si="48"/>
        <v>606930</v>
      </c>
      <c r="BW33" s="209">
        <v>607370</v>
      </c>
      <c r="BX33" s="210">
        <f t="shared" si="49"/>
        <v>440</v>
      </c>
      <c r="BY33" s="223">
        <f t="shared" si="50"/>
        <v>-70</v>
      </c>
      <c r="BZ33" s="224">
        <f>(BX33/'Finance Only'!B36)*100</f>
        <v>1.707875635601444</v>
      </c>
      <c r="CA33" s="209">
        <f t="shared" si="51"/>
        <v>1147500</v>
      </c>
      <c r="CB33" s="209">
        <v>1148700</v>
      </c>
      <c r="CC33" s="210">
        <f t="shared" si="52"/>
        <v>1200</v>
      </c>
      <c r="CD33" s="223">
        <f t="shared" si="53"/>
        <v>0</v>
      </c>
      <c r="CE33" s="224">
        <f>(CC33/'Finance Only'!B36)*100</f>
        <v>4.657842642549392</v>
      </c>
      <c r="CF33" s="209">
        <f t="shared" si="54"/>
        <v>378040</v>
      </c>
      <c r="CG33" s="209">
        <v>378440</v>
      </c>
      <c r="CH33" s="210">
        <f t="shared" si="55"/>
        <v>400</v>
      </c>
      <c r="CI33" s="223">
        <f t="shared" si="56"/>
        <v>20</v>
      </c>
      <c r="CJ33" s="224">
        <f>(CH33/'Finance Only'!B36)*100</f>
        <v>1.5526142141831309</v>
      </c>
      <c r="CK33" s="210">
        <f t="shared" si="57"/>
        <v>875610</v>
      </c>
      <c r="CL33" s="210">
        <v>876530</v>
      </c>
      <c r="CM33" s="210">
        <f t="shared" si="58"/>
        <v>920</v>
      </c>
      <c r="CN33" s="223">
        <f t="shared" si="59"/>
        <v>80</v>
      </c>
      <c r="CO33" s="224">
        <f>(CM33/'Finance Only'!B36)*100</f>
        <v>3.5710126926212014</v>
      </c>
      <c r="CP33" s="209">
        <f t="shared" si="110"/>
        <v>725060</v>
      </c>
      <c r="CQ33" s="209">
        <v>725810</v>
      </c>
      <c r="CR33" s="211">
        <f t="shared" si="109"/>
        <v>750</v>
      </c>
      <c r="CS33" s="223">
        <f t="shared" si="60"/>
        <v>750</v>
      </c>
      <c r="CT33" s="224">
        <f>(CR33/'Finance Only'!B36)*100</f>
        <v>2.9111516515933702</v>
      </c>
      <c r="CU33" s="209">
        <f t="shared" si="61"/>
        <v>599690</v>
      </c>
      <c r="CV33" s="209">
        <v>600250</v>
      </c>
      <c r="CW33" s="210">
        <f t="shared" si="62"/>
        <v>560</v>
      </c>
      <c r="CX33" s="223">
        <f t="shared" si="63"/>
        <v>50</v>
      </c>
      <c r="CY33" s="224">
        <f>(CW33/'Finance Only'!B36)*100</f>
        <v>2.173659899856383</v>
      </c>
      <c r="CZ33" s="209">
        <f t="shared" si="64"/>
        <v>1006400</v>
      </c>
      <c r="DA33" s="209">
        <v>1006400</v>
      </c>
      <c r="DB33" s="210">
        <f t="shared" si="65"/>
        <v>0</v>
      </c>
      <c r="DC33" s="223">
        <f t="shared" si="66"/>
        <v>-1000</v>
      </c>
      <c r="DD33" s="224">
        <f>(DB33/'Finance Only'!B36)*100</f>
        <v>0</v>
      </c>
      <c r="DE33" s="209">
        <f t="shared" si="67"/>
        <v>770810</v>
      </c>
      <c r="DF33" s="209">
        <v>771630</v>
      </c>
      <c r="DG33" s="210">
        <f t="shared" si="68"/>
        <v>820</v>
      </c>
      <c r="DH33" s="223">
        <f t="shared" si="69"/>
        <v>10</v>
      </c>
      <c r="DI33" s="224">
        <f>(DG33/'Finance Only'!B36)*100</f>
        <v>3.1828591390754184</v>
      </c>
      <c r="DJ33" s="209">
        <f t="shared" si="70"/>
        <v>667140</v>
      </c>
      <c r="DK33" s="209">
        <v>667770</v>
      </c>
      <c r="DL33" s="210">
        <f t="shared" si="71"/>
        <v>630</v>
      </c>
      <c r="DM33" s="223">
        <f t="shared" si="72"/>
        <v>100</v>
      </c>
      <c r="DN33" s="224">
        <f>(DL33/'Finance Only'!B36)*100</f>
        <v>2.4453673873384312</v>
      </c>
      <c r="DO33" s="209">
        <f t="shared" si="73"/>
        <v>361410</v>
      </c>
      <c r="DP33" s="209">
        <v>361710</v>
      </c>
      <c r="DQ33" s="210">
        <f t="shared" si="74"/>
        <v>300</v>
      </c>
      <c r="DR33" s="223">
        <f t="shared" si="75"/>
        <v>0</v>
      </c>
      <c r="DS33" s="224">
        <f>(DQ33/'Finance Only'!B36)*100</f>
        <v>1.164460660637348</v>
      </c>
      <c r="DT33" s="209">
        <f t="shared" si="76"/>
        <v>120640</v>
      </c>
      <c r="DU33" s="209">
        <v>120900</v>
      </c>
      <c r="DV33" s="210">
        <f t="shared" si="77"/>
        <v>260</v>
      </c>
      <c r="DW33" s="223">
        <f t="shared" si="78"/>
        <v>120</v>
      </c>
      <c r="DX33" s="224">
        <f>(DV33/'Finance Only'!B36)*100</f>
        <v>1.009199239219035</v>
      </c>
      <c r="DY33" s="209">
        <f t="shared" si="79"/>
        <v>774570</v>
      </c>
      <c r="DZ33" s="209">
        <v>775550</v>
      </c>
      <c r="EA33" s="210">
        <f t="shared" si="80"/>
        <v>980</v>
      </c>
      <c r="EB33" s="223">
        <f t="shared" si="81"/>
        <v>40</v>
      </c>
      <c r="EC33" s="224">
        <f>(EA33/'Finance Only'!B36)*100</f>
        <v>3.8039048247486704</v>
      </c>
      <c r="ED33" s="209">
        <f t="shared" si="82"/>
        <v>246040</v>
      </c>
      <c r="EE33" s="209">
        <v>246330</v>
      </c>
      <c r="EF33" s="210">
        <f t="shared" si="83"/>
        <v>290</v>
      </c>
      <c r="EG33" s="223">
        <f t="shared" si="84"/>
        <v>10</v>
      </c>
      <c r="EH33" s="224">
        <f>(EF33/'Finance Only'!B36)*100</f>
        <v>1.1256453052827697</v>
      </c>
      <c r="EI33" s="209">
        <f t="shared" si="85"/>
        <v>279300</v>
      </c>
      <c r="EJ33" s="209">
        <v>279300</v>
      </c>
      <c r="EK33" s="210">
        <f t="shared" si="86"/>
        <v>0</v>
      </c>
      <c r="EL33" s="223">
        <f t="shared" si="87"/>
        <v>-350</v>
      </c>
      <c r="EM33" s="224">
        <f>(EK33/'Finance Only'!B36)*100</f>
        <v>0</v>
      </c>
      <c r="EN33" s="209">
        <f t="shared" si="88"/>
        <v>456620</v>
      </c>
      <c r="EO33" s="209">
        <v>456620</v>
      </c>
      <c r="EP33" s="210">
        <f t="shared" si="89"/>
        <v>0</v>
      </c>
      <c r="EQ33" s="223">
        <f t="shared" si="90"/>
        <v>-530</v>
      </c>
      <c r="ER33" s="224">
        <f>(EP33/'Finance Only'!B36)*100</f>
        <v>0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5"/>
      <c r="FI33" s="295"/>
      <c r="FJ33" s="295"/>
      <c r="FK33" s="295"/>
      <c r="FL33" s="295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8">
        <f t="shared" si="1"/>
        <v>8075</v>
      </c>
      <c r="GD33" s="276"/>
      <c r="GE33" s="278">
        <f t="shared" si="2"/>
        <v>6503</v>
      </c>
      <c r="GF33" s="276"/>
      <c r="GG33" s="278">
        <f t="shared" si="3"/>
        <v>2200</v>
      </c>
      <c r="GH33" s="276"/>
      <c r="GI33" s="278">
        <f t="shared" si="4"/>
        <v>4530</v>
      </c>
      <c r="GJ33" s="276"/>
      <c r="GK33" s="278">
        <f t="shared" si="5"/>
        <v>670</v>
      </c>
      <c r="GL33" s="276"/>
      <c r="GM33" s="278">
        <f t="shared" si="6"/>
        <v>0</v>
      </c>
      <c r="GN33" s="276"/>
    </row>
    <row r="34" spans="1:196" s="3" customFormat="1" ht="13.5" customHeight="1" x14ac:dyDescent="0.2">
      <c r="A34" s="264">
        <v>30</v>
      </c>
      <c r="B34" s="267">
        <f>'Finance Only'!G37</f>
        <v>18</v>
      </c>
      <c r="C34" s="262">
        <f t="shared" si="7"/>
        <v>27292614</v>
      </c>
      <c r="D34" s="207">
        <v>27296411</v>
      </c>
      <c r="E34" s="208">
        <f t="shared" si="8"/>
        <v>3797</v>
      </c>
      <c r="F34" s="219">
        <f t="shared" si="9"/>
        <v>-68</v>
      </c>
      <c r="G34" s="220">
        <f>(E34/'Finance Only'!B37)*100</f>
        <v>14.624658167392058</v>
      </c>
      <c r="H34" s="230">
        <f t="shared" si="10"/>
        <v>25229693</v>
      </c>
      <c r="I34" s="233">
        <v>25234086</v>
      </c>
      <c r="J34" s="207">
        <f t="shared" si="11"/>
        <v>4393</v>
      </c>
      <c r="K34" s="231">
        <f t="shared" si="12"/>
        <v>183</v>
      </c>
      <c r="L34" s="232">
        <f>(J34/'Finance Only'!B37)*100</f>
        <v>16.920232638755152</v>
      </c>
      <c r="M34" s="215">
        <f t="shared" si="13"/>
        <v>92805280</v>
      </c>
      <c r="N34" s="209">
        <v>92817126</v>
      </c>
      <c r="O34" s="210">
        <f t="shared" si="14"/>
        <v>11846</v>
      </c>
      <c r="P34" s="223">
        <f t="shared" si="15"/>
        <v>152</v>
      </c>
      <c r="Q34" s="224">
        <f>(O34/'Finance Only'!B37)*100</f>
        <v>45.626468435851017</v>
      </c>
      <c r="R34" s="214">
        <f t="shared" si="16"/>
        <v>3214600</v>
      </c>
      <c r="S34" s="209">
        <v>3217000</v>
      </c>
      <c r="T34" s="210">
        <f t="shared" si="17"/>
        <v>2400</v>
      </c>
      <c r="U34" s="223">
        <f t="shared" si="18"/>
        <v>0</v>
      </c>
      <c r="V34" s="224">
        <f>(T34/'Finance Only'!B37)*100</f>
        <v>9.2439240457574243</v>
      </c>
      <c r="W34" s="209">
        <f t="shared" si="19"/>
        <v>4310562</v>
      </c>
      <c r="X34" s="209">
        <v>4313370</v>
      </c>
      <c r="Y34" s="210">
        <f t="shared" si="20"/>
        <v>2808</v>
      </c>
      <c r="Z34" s="223">
        <f t="shared" si="21"/>
        <v>-25</v>
      </c>
      <c r="AA34" s="224">
        <f>(Y34/'Finance Only'!B37)*100</f>
        <v>10.815391133536185</v>
      </c>
      <c r="AB34" s="209">
        <f t="shared" si="22"/>
        <v>2799700</v>
      </c>
      <c r="AC34" s="210">
        <v>2803600</v>
      </c>
      <c r="AD34" s="210">
        <f t="shared" si="0"/>
        <v>3900</v>
      </c>
      <c r="AE34" s="316">
        <f>AD34/WATER!V35</f>
        <v>11.048158640226628</v>
      </c>
      <c r="AF34" s="223">
        <f t="shared" si="23"/>
        <v>2400</v>
      </c>
      <c r="AG34" s="224">
        <f>(AD34/'Finance Only'!B37)*100</f>
        <v>15.021376574355813</v>
      </c>
      <c r="AH34" s="209">
        <f t="shared" si="24"/>
        <v>1118961</v>
      </c>
      <c r="AI34" s="209">
        <v>1119368</v>
      </c>
      <c r="AJ34" s="210">
        <f t="shared" si="25"/>
        <v>407</v>
      </c>
      <c r="AK34" s="223">
        <f t="shared" si="26"/>
        <v>-47</v>
      </c>
      <c r="AL34" s="224">
        <f>(AJ34/'Finance Only'!B37)*100</f>
        <v>1.5676154527596964</v>
      </c>
      <c r="AM34" s="209">
        <f t="shared" si="27"/>
        <v>1140100</v>
      </c>
      <c r="AN34" s="209">
        <v>1140800</v>
      </c>
      <c r="AO34" s="210">
        <f t="shared" si="28"/>
        <v>700</v>
      </c>
      <c r="AP34" s="223">
        <f t="shared" si="29"/>
        <v>0</v>
      </c>
      <c r="AQ34" s="224">
        <f>(AO34/'Finance Only'!B37)*100</f>
        <v>2.6961445133459154</v>
      </c>
      <c r="AR34" s="209">
        <f t="shared" si="30"/>
        <v>2543200</v>
      </c>
      <c r="AS34" s="209">
        <v>2544500</v>
      </c>
      <c r="AT34" s="210">
        <f t="shared" si="31"/>
        <v>1300</v>
      </c>
      <c r="AU34" s="223">
        <f t="shared" si="32"/>
        <v>-200</v>
      </c>
      <c r="AV34" s="224">
        <f>(AT34/'Finance Only'!B37)*100</f>
        <v>5.0071255247852715</v>
      </c>
      <c r="AW34" s="209">
        <f t="shared" si="33"/>
        <v>361940</v>
      </c>
      <c r="AX34" s="209">
        <v>365870</v>
      </c>
      <c r="AY34" s="210">
        <f t="shared" si="34"/>
        <v>3930</v>
      </c>
      <c r="AZ34" s="223">
        <f t="shared" si="35"/>
        <v>100</v>
      </c>
      <c r="BA34" s="224">
        <f>(AY34/'Finance Only'!B37)*100</f>
        <v>15.136925624927782</v>
      </c>
      <c r="BB34" s="209">
        <f t="shared" si="36"/>
        <v>1018900</v>
      </c>
      <c r="BC34" s="209">
        <v>1019300</v>
      </c>
      <c r="BD34" s="210">
        <f t="shared" si="37"/>
        <v>400</v>
      </c>
      <c r="BE34" s="223">
        <f t="shared" si="38"/>
        <v>0</v>
      </c>
      <c r="BF34" s="224">
        <f>(BD34/'Finance Only'!B37)*100</f>
        <v>1.5406540076262374</v>
      </c>
      <c r="BG34" s="209">
        <f t="shared" si="39"/>
        <v>1089200</v>
      </c>
      <c r="BH34" s="209">
        <v>1089500</v>
      </c>
      <c r="BI34" s="210">
        <f t="shared" si="40"/>
        <v>300</v>
      </c>
      <c r="BJ34" s="223">
        <f t="shared" si="41"/>
        <v>0</v>
      </c>
      <c r="BK34" s="224">
        <f>(BI34/'Finance Only'!B37)*100</f>
        <v>1.155490505719678</v>
      </c>
      <c r="BL34" s="209">
        <f t="shared" si="42"/>
        <v>1623700</v>
      </c>
      <c r="BM34" s="209">
        <v>1624200</v>
      </c>
      <c r="BN34" s="210">
        <f t="shared" si="43"/>
        <v>500</v>
      </c>
      <c r="BO34" s="223">
        <f t="shared" si="44"/>
        <v>0</v>
      </c>
      <c r="BP34" s="224">
        <f>(BN34/'Finance Only'!B37)*100</f>
        <v>1.9258175095327967</v>
      </c>
      <c r="BQ34" s="209">
        <f t="shared" si="45"/>
        <v>145240</v>
      </c>
      <c r="BR34" s="209">
        <v>145410</v>
      </c>
      <c r="BS34" s="210">
        <f t="shared" si="46"/>
        <v>170</v>
      </c>
      <c r="BT34" s="223">
        <f t="shared" si="47"/>
        <v>0</v>
      </c>
      <c r="BU34" s="224">
        <f>(BS34/'Finance Only'!B37)*100</f>
        <v>0.65477795324115096</v>
      </c>
      <c r="BV34" s="209">
        <f t="shared" si="48"/>
        <v>607370</v>
      </c>
      <c r="BW34" s="209">
        <v>607810</v>
      </c>
      <c r="BX34" s="210">
        <f t="shared" si="49"/>
        <v>440</v>
      </c>
      <c r="BY34" s="223">
        <f t="shared" si="50"/>
        <v>0</v>
      </c>
      <c r="BZ34" s="224">
        <f>(BX34/'Finance Only'!B37)*100</f>
        <v>1.694719408388861</v>
      </c>
      <c r="CA34" s="209">
        <f t="shared" si="51"/>
        <v>1148700</v>
      </c>
      <c r="CB34" s="209">
        <v>1150000</v>
      </c>
      <c r="CC34" s="210">
        <f t="shared" si="52"/>
        <v>1300</v>
      </c>
      <c r="CD34" s="223">
        <f t="shared" si="53"/>
        <v>100</v>
      </c>
      <c r="CE34" s="224">
        <f>(CC34/'Finance Only'!B37)*100</f>
        <v>5.0071255247852715</v>
      </c>
      <c r="CF34" s="209">
        <f t="shared" si="54"/>
        <v>378440</v>
      </c>
      <c r="CG34" s="209">
        <v>379180</v>
      </c>
      <c r="CH34" s="210">
        <f t="shared" si="55"/>
        <v>740</v>
      </c>
      <c r="CI34" s="223">
        <f t="shared" si="56"/>
        <v>340</v>
      </c>
      <c r="CJ34" s="224">
        <f>(CH34/'Finance Only'!B37)*100</f>
        <v>2.8502099141085391</v>
      </c>
      <c r="CK34" s="210">
        <f t="shared" si="57"/>
        <v>876530</v>
      </c>
      <c r="CL34" s="210">
        <v>877370</v>
      </c>
      <c r="CM34" s="210">
        <f t="shared" si="58"/>
        <v>840</v>
      </c>
      <c r="CN34" s="223">
        <f t="shared" si="59"/>
        <v>-80</v>
      </c>
      <c r="CO34" s="224">
        <f>(CM34/'Finance Only'!B37)*100</f>
        <v>3.2353734160150984</v>
      </c>
      <c r="CP34" s="209">
        <f t="shared" si="110"/>
        <v>725810</v>
      </c>
      <c r="CQ34" s="209">
        <v>727580</v>
      </c>
      <c r="CR34" s="211">
        <f t="shared" si="109"/>
        <v>1770</v>
      </c>
      <c r="CS34" s="223">
        <f t="shared" si="60"/>
        <v>1020</v>
      </c>
      <c r="CT34" s="224">
        <f>(CR34/'Finance Only'!B37)*100</f>
        <v>6.8173939837461006</v>
      </c>
      <c r="CU34" s="209">
        <f t="shared" si="61"/>
        <v>600250</v>
      </c>
      <c r="CV34" s="209">
        <v>601430</v>
      </c>
      <c r="CW34" s="210">
        <f t="shared" si="62"/>
        <v>1180</v>
      </c>
      <c r="CX34" s="223">
        <f t="shared" si="63"/>
        <v>620</v>
      </c>
      <c r="CY34" s="224">
        <f>(CW34/'Finance Only'!B37)*100</f>
        <v>4.5449293224974001</v>
      </c>
      <c r="CZ34" s="209">
        <f t="shared" si="64"/>
        <v>1006400</v>
      </c>
      <c r="DA34" s="209">
        <v>1007400</v>
      </c>
      <c r="DB34" s="210">
        <f t="shared" si="65"/>
        <v>1000</v>
      </c>
      <c r="DC34" s="223">
        <f t="shared" si="66"/>
        <v>1000</v>
      </c>
      <c r="DD34" s="224">
        <f>(DB34/'Finance Only'!B37)*100</f>
        <v>3.8516350190655935</v>
      </c>
      <c r="DE34" s="209">
        <f t="shared" si="67"/>
        <v>771630</v>
      </c>
      <c r="DF34" s="209">
        <v>772470</v>
      </c>
      <c r="DG34" s="210">
        <f t="shared" si="68"/>
        <v>840</v>
      </c>
      <c r="DH34" s="223">
        <f t="shared" si="69"/>
        <v>20</v>
      </c>
      <c r="DI34" s="224">
        <f>(DG34/'Finance Only'!B37)*100</f>
        <v>3.2353734160150984</v>
      </c>
      <c r="DJ34" s="209">
        <f t="shared" si="70"/>
        <v>667770</v>
      </c>
      <c r="DK34" s="209">
        <v>668400</v>
      </c>
      <c r="DL34" s="210">
        <f t="shared" si="71"/>
        <v>630</v>
      </c>
      <c r="DM34" s="223">
        <f t="shared" si="72"/>
        <v>0</v>
      </c>
      <c r="DN34" s="224">
        <f>(DL34/'Finance Only'!B37)*100</f>
        <v>2.4265300620113237</v>
      </c>
      <c r="DO34" s="209">
        <f t="shared" si="73"/>
        <v>361710</v>
      </c>
      <c r="DP34" s="209">
        <v>361710</v>
      </c>
      <c r="DQ34" s="210">
        <f t="shared" si="74"/>
        <v>0</v>
      </c>
      <c r="DR34" s="223">
        <f t="shared" si="75"/>
        <v>-300</v>
      </c>
      <c r="DS34" s="224">
        <f>(DQ34/'Finance Only'!B37)*100</f>
        <v>0</v>
      </c>
      <c r="DT34" s="209">
        <f t="shared" si="76"/>
        <v>120900</v>
      </c>
      <c r="DU34" s="209">
        <v>120900</v>
      </c>
      <c r="DV34" s="210">
        <f t="shared" si="77"/>
        <v>0</v>
      </c>
      <c r="DW34" s="223">
        <f t="shared" si="78"/>
        <v>-260</v>
      </c>
      <c r="DX34" s="224">
        <f>(DV34/'Finance Only'!B37)*100</f>
        <v>0</v>
      </c>
      <c r="DY34" s="209">
        <f t="shared" si="79"/>
        <v>775550</v>
      </c>
      <c r="DZ34" s="209">
        <v>776480</v>
      </c>
      <c r="EA34" s="210">
        <f t="shared" si="80"/>
        <v>930</v>
      </c>
      <c r="EB34" s="223">
        <f t="shared" si="81"/>
        <v>-50</v>
      </c>
      <c r="EC34" s="224">
        <f>(EA34/'Finance Only'!B37)*100</f>
        <v>3.5820205677310022</v>
      </c>
      <c r="ED34" s="209">
        <f t="shared" si="82"/>
        <v>246330</v>
      </c>
      <c r="EE34" s="209">
        <v>246590</v>
      </c>
      <c r="EF34" s="210">
        <f t="shared" si="83"/>
        <v>260</v>
      </c>
      <c r="EG34" s="223">
        <f t="shared" si="84"/>
        <v>-30</v>
      </c>
      <c r="EH34" s="224">
        <f>(EF34/'Finance Only'!B37)*100</f>
        <v>1.0014251049570542</v>
      </c>
      <c r="EI34" s="209">
        <f t="shared" si="85"/>
        <v>279300</v>
      </c>
      <c r="EJ34" s="209">
        <v>280070</v>
      </c>
      <c r="EK34" s="210">
        <f t="shared" si="86"/>
        <v>770</v>
      </c>
      <c r="EL34" s="223">
        <f t="shared" si="87"/>
        <v>770</v>
      </c>
      <c r="EM34" s="224">
        <f>(EK34/'Finance Only'!B37)*100</f>
        <v>2.9657589646805071</v>
      </c>
      <c r="EN34" s="209">
        <f t="shared" si="88"/>
        <v>456620</v>
      </c>
      <c r="EO34" s="209">
        <v>457110</v>
      </c>
      <c r="EP34" s="210">
        <f t="shared" si="89"/>
        <v>490</v>
      </c>
      <c r="EQ34" s="223">
        <f t="shared" si="90"/>
        <v>490</v>
      </c>
      <c r="ER34" s="224">
        <f>(EP34/'Finance Only'!B37)*100</f>
        <v>1.8873011593421407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5"/>
      <c r="FI34" s="295"/>
      <c r="FJ34" s="295"/>
      <c r="FK34" s="295"/>
      <c r="FL34" s="295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8">
        <f t="shared" si="1"/>
        <v>8190</v>
      </c>
      <c r="GD34" s="276"/>
      <c r="GE34" s="278">
        <f t="shared" si="2"/>
        <v>7658</v>
      </c>
      <c r="GF34" s="276"/>
      <c r="GG34" s="278">
        <f t="shared" si="3"/>
        <v>2000</v>
      </c>
      <c r="GH34" s="276"/>
      <c r="GI34" s="278">
        <f t="shared" si="4"/>
        <v>4630</v>
      </c>
      <c r="GJ34" s="276"/>
      <c r="GK34" s="278">
        <f t="shared" si="5"/>
        <v>670</v>
      </c>
      <c r="GL34" s="276"/>
      <c r="GM34" s="278">
        <f t="shared" si="6"/>
        <v>0</v>
      </c>
      <c r="GN34" s="276"/>
    </row>
    <row r="35" spans="1:196" s="3" customFormat="1" ht="13.5" thickBot="1" x14ac:dyDescent="0.25">
      <c r="A35" s="3" t="s">
        <v>7</v>
      </c>
      <c r="C35" s="73"/>
      <c r="D35" s="73"/>
      <c r="E35" s="280">
        <f>SUM(E5:E34)</f>
        <v>115379</v>
      </c>
      <c r="F35" s="74"/>
      <c r="G35" s="74"/>
      <c r="H35" s="74"/>
      <c r="I35" s="74"/>
      <c r="J35" s="74">
        <f>SUM(J5:J34)</f>
        <v>117835</v>
      </c>
      <c r="K35" s="74"/>
      <c r="L35" s="74"/>
      <c r="M35" s="74"/>
      <c r="N35" s="74"/>
      <c r="O35" s="74">
        <f>SUM(O5:O34)</f>
        <v>345965</v>
      </c>
      <c r="P35" s="74"/>
      <c r="Q35" s="74"/>
      <c r="R35" s="74"/>
      <c r="S35" s="74"/>
      <c r="T35" s="74">
        <f>SUM(T5:T34)</f>
        <v>70900</v>
      </c>
      <c r="U35" s="74"/>
      <c r="V35" s="74"/>
      <c r="W35" s="74"/>
      <c r="X35" s="74"/>
      <c r="Y35" s="74">
        <f>SUM(Y5:Y34)</f>
        <v>84982</v>
      </c>
      <c r="Z35" s="74"/>
      <c r="AA35" s="74"/>
      <c r="AB35" s="74"/>
      <c r="AC35" s="74"/>
      <c r="AD35" s="74">
        <f>SUM(AD5:AD34)</f>
        <v>54200</v>
      </c>
      <c r="AE35" s="74"/>
      <c r="AF35" s="74"/>
      <c r="AG35" s="74"/>
      <c r="AH35" s="74"/>
      <c r="AI35" s="74"/>
      <c r="AJ35" s="74">
        <f>SUM(AJ5:AJ34)</f>
        <v>14457</v>
      </c>
      <c r="AK35" s="74"/>
      <c r="AL35" s="74"/>
      <c r="AM35" s="74"/>
      <c r="AN35" s="74"/>
      <c r="AO35" s="74">
        <f>SUM(AO5:AO34)</f>
        <v>20900</v>
      </c>
      <c r="AP35" s="74"/>
      <c r="AQ35" s="74"/>
      <c r="AR35" s="74"/>
      <c r="AS35" s="74"/>
      <c r="AT35" s="74">
        <f>SUM(AT5:AT34)</f>
        <v>42700</v>
      </c>
      <c r="AU35" s="74"/>
      <c r="AV35" s="74"/>
      <c r="AW35" s="74"/>
      <c r="AX35" s="74"/>
      <c r="AY35" s="74">
        <f>SUM(AY5:AY34)</f>
        <v>111840</v>
      </c>
      <c r="AZ35" s="74"/>
      <c r="BA35" s="74"/>
      <c r="BB35" s="74"/>
      <c r="BC35" s="74"/>
      <c r="BD35" s="74">
        <f>SUM(BD5:BD34)</f>
        <v>12300</v>
      </c>
      <c r="BE35" s="74"/>
      <c r="BF35" s="74"/>
      <c r="BG35" s="74"/>
      <c r="BH35" s="74"/>
      <c r="BI35" s="74">
        <f>SUM(BI5:BI34)</f>
        <v>8100</v>
      </c>
      <c r="BJ35" s="74"/>
      <c r="BK35" s="74"/>
      <c r="BL35" s="74"/>
      <c r="BM35" s="74"/>
      <c r="BN35" s="74">
        <f>SUM(BN5:BN34)</f>
        <v>15700</v>
      </c>
      <c r="BO35" s="74"/>
      <c r="BP35" s="74"/>
      <c r="BQ35" s="74"/>
      <c r="BR35" s="74"/>
      <c r="BS35" s="74">
        <f>SUM(BS5:BS34)</f>
        <v>4720</v>
      </c>
      <c r="BT35" s="74"/>
      <c r="BU35" s="74"/>
      <c r="BV35" s="74"/>
      <c r="BW35" s="74"/>
      <c r="BX35" s="74">
        <f>SUM(BX5:BX34)</f>
        <v>12770</v>
      </c>
      <c r="BY35" s="74"/>
      <c r="BZ35" s="74"/>
      <c r="CA35" s="74"/>
      <c r="CB35" s="74"/>
      <c r="CC35" s="74">
        <f>SUM(CC5:CC34)</f>
        <v>34700</v>
      </c>
      <c r="CD35" s="74"/>
      <c r="CE35" s="74"/>
      <c r="CF35" s="74"/>
      <c r="CG35" s="74"/>
      <c r="CH35" s="74">
        <f>SUM(CH5:CH34)</f>
        <v>12610</v>
      </c>
      <c r="CI35" s="74"/>
      <c r="CJ35" s="74"/>
      <c r="CK35" s="74"/>
      <c r="CL35" s="74"/>
      <c r="CM35" s="74">
        <f>SUM(CM5:CM34)</f>
        <v>25370</v>
      </c>
      <c r="CN35" s="74"/>
      <c r="CO35" s="74"/>
      <c r="CP35" s="74"/>
      <c r="CQ35" s="74"/>
      <c r="CR35" s="115">
        <f>SUM(CR5:CR34)</f>
        <v>21730</v>
      </c>
      <c r="CS35" s="74"/>
      <c r="CT35" s="74"/>
      <c r="CU35" s="74"/>
      <c r="CV35" s="74"/>
      <c r="CW35" s="115">
        <f>SUM(CW5:CW34)</f>
        <v>16190</v>
      </c>
      <c r="CX35" s="74"/>
      <c r="CY35" s="74"/>
      <c r="CZ35" s="74"/>
      <c r="DA35" s="74"/>
      <c r="DB35" s="281">
        <f>SUM(DB5:DB34)</f>
        <v>29770</v>
      </c>
      <c r="DC35" s="74"/>
      <c r="DD35" s="74"/>
      <c r="DE35" s="74"/>
      <c r="DF35" s="74"/>
      <c r="DG35" s="281">
        <f>SUM(DG5:DG34)</f>
        <v>22790</v>
      </c>
      <c r="DH35" s="74"/>
      <c r="DI35" s="74"/>
      <c r="DJ35" s="74"/>
      <c r="DK35" s="74"/>
      <c r="DL35" s="281">
        <f>SUM(DL5:DL34)</f>
        <v>18510</v>
      </c>
      <c r="DM35" s="74"/>
      <c r="DN35" s="74"/>
      <c r="DO35" s="74"/>
      <c r="DP35" s="74"/>
      <c r="DQ35" s="281">
        <f>SUM(DQ5:DQ34)</f>
        <v>8500</v>
      </c>
      <c r="DR35" s="74"/>
      <c r="DS35" s="74"/>
      <c r="DT35" s="74"/>
      <c r="DU35" s="74"/>
      <c r="DV35" s="281">
        <f>SUM(DV5:DV34)</f>
        <v>4280</v>
      </c>
      <c r="DW35" s="74"/>
      <c r="DX35" s="74"/>
      <c r="DY35" s="74"/>
      <c r="DZ35" s="74"/>
      <c r="EA35" s="281">
        <f>SUM(EA5:EA34)</f>
        <v>28400</v>
      </c>
      <c r="EB35" s="74"/>
      <c r="EC35" s="74"/>
      <c r="ED35" s="74"/>
      <c r="EE35" s="74"/>
      <c r="EF35" s="281">
        <f>SUM(EF5:EF34)</f>
        <v>8050</v>
      </c>
      <c r="EG35" s="74"/>
      <c r="EH35" s="74"/>
      <c r="EI35" s="74"/>
      <c r="EJ35" s="74"/>
      <c r="EK35" s="281">
        <f>SUM(EK5:EK34)</f>
        <v>10230</v>
      </c>
      <c r="EL35" s="74"/>
      <c r="EM35" s="74"/>
      <c r="EN35" s="74"/>
      <c r="EO35" s="74"/>
      <c r="EP35" s="281">
        <f>SUM(EP5:EP34)</f>
        <v>15230</v>
      </c>
      <c r="EQ35" s="74"/>
      <c r="ER35" s="74"/>
      <c r="ES35" s="74"/>
      <c r="ET35" s="74"/>
      <c r="EU35" s="281">
        <f>SUM(EU5:EU34)</f>
        <v>0</v>
      </c>
      <c r="EV35" s="74"/>
      <c r="EW35" s="74"/>
      <c r="EX35" s="74"/>
      <c r="EY35" s="74"/>
      <c r="EZ35" s="281">
        <f>SUM(EZ5:EZ34)</f>
        <v>0</v>
      </c>
      <c r="FA35" s="74"/>
      <c r="FB35" s="74"/>
      <c r="FC35" s="74"/>
      <c r="FD35" s="74"/>
      <c r="FE35" s="281">
        <f>SUM(FE5:FE34)</f>
        <v>0</v>
      </c>
      <c r="FF35" s="74"/>
      <c r="FG35" s="74"/>
      <c r="FH35" s="74"/>
      <c r="FI35" s="74"/>
      <c r="FJ35" s="74"/>
      <c r="FK35" s="74"/>
      <c r="FL35" s="74"/>
      <c r="FM35" s="74"/>
      <c r="FN35" s="74"/>
      <c r="FO35" s="281">
        <f>SUM(FO5:FO34)</f>
        <v>0</v>
      </c>
      <c r="FP35" s="74"/>
      <c r="FQ35" s="74"/>
      <c r="FR35" s="296"/>
      <c r="FS35" s="296"/>
      <c r="FT35" s="296"/>
      <c r="FU35" s="296"/>
      <c r="FV35" s="296"/>
      <c r="FW35" s="296"/>
      <c r="FX35" s="296"/>
      <c r="FY35" s="296"/>
      <c r="FZ35" s="296"/>
      <c r="GA35" s="296"/>
      <c r="GB35" s="273"/>
      <c r="GC35" s="279"/>
      <c r="GI35" s="279"/>
      <c r="GK35" s="279"/>
    </row>
    <row r="36" spans="1:196" ht="13.5" thickTop="1" x14ac:dyDescent="0.2"/>
  </sheetData>
  <mergeCells count="46">
    <mergeCell ref="FR3:FV3"/>
    <mergeCell ref="FW3:GA3"/>
    <mergeCell ref="FM3:FQ3"/>
    <mergeCell ref="FH3:FL3"/>
    <mergeCell ref="DY3:EC3"/>
    <mergeCell ref="DE3:DI3"/>
    <mergeCell ref="DJ3:DN3"/>
    <mergeCell ref="DO3:DS3"/>
    <mergeCell ref="DT3:DX3"/>
    <mergeCell ref="CK3:CO3"/>
    <mergeCell ref="CP3:CT3"/>
    <mergeCell ref="CU3:CY3"/>
    <mergeCell ref="CZ3:DD3"/>
    <mergeCell ref="CF3:CJ3"/>
    <mergeCell ref="W3:AA3"/>
    <mergeCell ref="AB3:AG3"/>
    <mergeCell ref="AH3:AL3"/>
    <mergeCell ref="AM3:AQ3"/>
    <mergeCell ref="CA3:CE3"/>
    <mergeCell ref="D1:I1"/>
    <mergeCell ref="A1:C1"/>
    <mergeCell ref="C3:G3"/>
    <mergeCell ref="H3:L3"/>
    <mergeCell ref="M3:Q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G6" sqref="CG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18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25" t="s">
        <v>107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310"/>
      <c r="AA1" s="433" t="s">
        <v>123</v>
      </c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  <c r="FD1" s="433"/>
      <c r="FE1" s="433"/>
      <c r="FF1" s="433"/>
      <c r="FG1" s="433"/>
      <c r="FH1" s="433"/>
      <c r="FI1" s="433"/>
      <c r="FJ1" s="433"/>
      <c r="FK1" s="433"/>
      <c r="FL1" s="433"/>
      <c r="FM1" s="325"/>
      <c r="FN1" s="325"/>
      <c r="FO1" s="325"/>
      <c r="FP1" s="325"/>
      <c r="FQ1" s="325"/>
      <c r="FR1" s="325"/>
    </row>
    <row r="2" spans="1:174" s="126" customFormat="1" ht="24" customHeight="1" x14ac:dyDescent="0.3">
      <c r="A2" s="425"/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310"/>
      <c r="Z2" s="319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  <c r="FD2" s="433"/>
      <c r="FE2" s="433"/>
      <c r="FF2" s="433"/>
      <c r="FG2" s="433"/>
      <c r="FH2" s="433"/>
      <c r="FI2" s="433"/>
      <c r="FJ2" s="433"/>
      <c r="FK2" s="433"/>
      <c r="FL2" s="433"/>
      <c r="FM2" s="325"/>
      <c r="FN2" s="325"/>
      <c r="FO2" s="325"/>
      <c r="FP2" s="325"/>
      <c r="FQ2" s="325"/>
      <c r="FR2" s="325"/>
    </row>
    <row r="3" spans="1:174" s="145" customFormat="1" ht="24.75" customHeight="1" thickBot="1" x14ac:dyDescent="0.35">
      <c r="A3" s="426" t="s">
        <v>3</v>
      </c>
      <c r="B3" s="426"/>
      <c r="C3" s="196" cm="1">
        <f t="array" ref="C3:E3">'FEEDER Consumption '!A1:C1</f>
        <v>44867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1"/>
      <c r="Z3" s="320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4"/>
      <c r="BJ3" s="434"/>
      <c r="BK3" s="434"/>
      <c r="BL3" s="434"/>
      <c r="BM3" s="434"/>
      <c r="BN3" s="434"/>
      <c r="BO3" s="434"/>
      <c r="BP3" s="434"/>
      <c r="BQ3" s="434"/>
      <c r="BR3" s="434"/>
      <c r="BS3" s="434"/>
      <c r="BT3" s="434"/>
      <c r="BU3" s="434"/>
      <c r="BV3" s="434"/>
      <c r="BW3" s="434"/>
      <c r="BX3" s="434"/>
      <c r="BY3" s="434"/>
      <c r="BZ3" s="434"/>
      <c r="CA3" s="434"/>
      <c r="CB3" s="434"/>
      <c r="CC3" s="434"/>
      <c r="CD3" s="434"/>
      <c r="CE3" s="434"/>
      <c r="CF3" s="434"/>
      <c r="CG3" s="434"/>
      <c r="CH3" s="434"/>
      <c r="CI3" s="434"/>
      <c r="CJ3" s="434"/>
      <c r="CK3" s="434"/>
      <c r="CL3" s="434"/>
      <c r="CM3" s="434"/>
      <c r="CN3" s="434"/>
      <c r="CO3" s="434"/>
      <c r="CP3" s="434"/>
      <c r="CQ3" s="434"/>
      <c r="CR3" s="434"/>
      <c r="CS3" s="434"/>
      <c r="CT3" s="434"/>
      <c r="CU3" s="434"/>
      <c r="CV3" s="434"/>
      <c r="CW3" s="434"/>
      <c r="CX3" s="434"/>
      <c r="CY3" s="434"/>
      <c r="CZ3" s="434"/>
      <c r="DA3" s="434"/>
      <c r="DB3" s="434"/>
      <c r="DC3" s="434"/>
      <c r="DD3" s="434"/>
      <c r="DE3" s="434"/>
      <c r="DF3" s="434"/>
      <c r="DG3" s="434"/>
      <c r="DH3" s="434"/>
      <c r="DI3" s="434"/>
      <c r="DJ3" s="434"/>
      <c r="DK3" s="434"/>
      <c r="DL3" s="434"/>
      <c r="DM3" s="434"/>
      <c r="DN3" s="434"/>
      <c r="DO3" s="434"/>
      <c r="DP3" s="434"/>
      <c r="DQ3" s="434"/>
      <c r="DR3" s="434"/>
      <c r="DS3" s="434"/>
      <c r="DT3" s="434"/>
      <c r="DU3" s="434"/>
      <c r="DV3" s="434"/>
      <c r="DW3" s="434"/>
      <c r="DX3" s="434"/>
      <c r="DY3" s="434"/>
      <c r="DZ3" s="434"/>
      <c r="EA3" s="434"/>
      <c r="EB3" s="434"/>
      <c r="EC3" s="434"/>
      <c r="ED3" s="434"/>
      <c r="EE3" s="434"/>
      <c r="EF3" s="434"/>
      <c r="EG3" s="434"/>
      <c r="EH3" s="434"/>
      <c r="EI3" s="434"/>
      <c r="EJ3" s="434"/>
      <c r="EK3" s="434"/>
      <c r="EL3" s="434"/>
      <c r="EM3" s="434"/>
      <c r="EN3" s="434"/>
      <c r="EO3" s="434"/>
      <c r="EP3" s="434"/>
      <c r="EQ3" s="434"/>
      <c r="ER3" s="434"/>
      <c r="ES3" s="434"/>
      <c r="ET3" s="434"/>
      <c r="EU3" s="434"/>
      <c r="EV3" s="434"/>
      <c r="EW3" s="434"/>
      <c r="EX3" s="434"/>
      <c r="EY3" s="434"/>
      <c r="EZ3" s="434"/>
      <c r="FA3" s="434"/>
      <c r="FB3" s="434"/>
      <c r="FC3" s="434"/>
      <c r="FD3" s="434"/>
      <c r="FE3" s="434"/>
      <c r="FF3" s="434"/>
      <c r="FG3" s="434"/>
      <c r="FH3" s="434"/>
      <c r="FI3" s="434"/>
      <c r="FJ3" s="434"/>
      <c r="FK3" s="434"/>
      <c r="FL3" s="434"/>
      <c r="FM3" s="325"/>
      <c r="FN3" s="325"/>
      <c r="FO3" s="325"/>
      <c r="FP3" s="325"/>
      <c r="FQ3" s="325"/>
      <c r="FR3" s="325"/>
    </row>
    <row r="4" spans="1:174" ht="15" customHeight="1" x14ac:dyDescent="0.2">
      <c r="A4" s="427" t="s">
        <v>108</v>
      </c>
      <c r="B4" s="428"/>
      <c r="C4" s="428"/>
      <c r="D4" s="429"/>
      <c r="E4" s="128"/>
      <c r="F4" s="427" t="s">
        <v>109</v>
      </c>
      <c r="G4" s="428"/>
      <c r="H4" s="428"/>
      <c r="I4" s="429"/>
      <c r="J4" s="128"/>
      <c r="K4" s="427" t="s">
        <v>110</v>
      </c>
      <c r="L4" s="428"/>
      <c r="M4" s="428"/>
      <c r="N4" s="429"/>
      <c r="O4" s="128"/>
      <c r="P4" s="427" t="s">
        <v>111</v>
      </c>
      <c r="Q4" s="428"/>
      <c r="R4" s="428"/>
      <c r="S4" s="429"/>
      <c r="T4" s="128"/>
      <c r="U4" s="430" t="s">
        <v>178</v>
      </c>
      <c r="V4" s="431"/>
      <c r="W4" s="431"/>
      <c r="X4" s="432"/>
      <c r="Y4" s="312"/>
      <c r="AA4" s="422" t="s">
        <v>190</v>
      </c>
      <c r="AB4" s="423"/>
      <c r="AC4" s="423"/>
      <c r="AD4" s="423"/>
      <c r="AE4" s="423"/>
      <c r="AF4" s="424"/>
      <c r="AG4" s="422" t="s">
        <v>191</v>
      </c>
      <c r="AH4" s="423"/>
      <c r="AI4" s="423"/>
      <c r="AJ4" s="423"/>
      <c r="AK4" s="423"/>
      <c r="AL4" s="422" t="s">
        <v>193</v>
      </c>
      <c r="AM4" s="423"/>
      <c r="AN4" s="423"/>
      <c r="AO4" s="423"/>
      <c r="AP4" s="423"/>
      <c r="AQ4" s="422" t="s">
        <v>194</v>
      </c>
      <c r="AR4" s="423"/>
      <c r="AS4" s="423"/>
      <c r="AT4" s="423"/>
      <c r="AU4" s="423"/>
      <c r="AV4" s="422" t="s">
        <v>196</v>
      </c>
      <c r="AW4" s="423"/>
      <c r="AX4" s="423"/>
      <c r="AY4" s="423"/>
      <c r="AZ4" s="423"/>
      <c r="BA4" s="422" t="s">
        <v>198</v>
      </c>
      <c r="BB4" s="423"/>
      <c r="BC4" s="423"/>
      <c r="BD4" s="423"/>
      <c r="BE4" s="423"/>
      <c r="BF4" s="422" t="s">
        <v>200</v>
      </c>
      <c r="BG4" s="423"/>
      <c r="BH4" s="423"/>
      <c r="BI4" s="423"/>
      <c r="BJ4" s="423"/>
      <c r="BK4" s="422" t="s">
        <v>201</v>
      </c>
      <c r="BL4" s="423"/>
      <c r="BM4" s="423"/>
      <c r="BN4" s="423"/>
      <c r="BO4" s="423"/>
      <c r="BP4" s="422" t="s">
        <v>203</v>
      </c>
      <c r="BQ4" s="423"/>
      <c r="BR4" s="423"/>
      <c r="BS4" s="423"/>
      <c r="BT4" s="423"/>
      <c r="BU4" s="422" t="s">
        <v>205</v>
      </c>
      <c r="BV4" s="423"/>
      <c r="BW4" s="423"/>
      <c r="BX4" s="423"/>
      <c r="BY4" s="423"/>
      <c r="BZ4" s="422" t="s">
        <v>206</v>
      </c>
      <c r="CA4" s="423"/>
      <c r="CB4" s="423"/>
      <c r="CC4" s="423"/>
      <c r="CD4" s="424"/>
      <c r="CE4" s="422" t="s">
        <v>209</v>
      </c>
      <c r="CF4" s="423"/>
      <c r="CG4" s="423"/>
      <c r="CH4" s="423"/>
      <c r="CI4" s="424"/>
      <c r="CJ4" s="422" t="s">
        <v>118</v>
      </c>
      <c r="CK4" s="423"/>
      <c r="CL4" s="423"/>
      <c r="CM4" s="423"/>
      <c r="CN4" s="424"/>
      <c r="CO4" s="422" t="s">
        <v>212</v>
      </c>
      <c r="CP4" s="423"/>
      <c r="CQ4" s="423"/>
      <c r="CR4" s="423"/>
      <c r="CS4" s="424"/>
      <c r="CT4" s="422" t="s">
        <v>213</v>
      </c>
      <c r="CU4" s="423"/>
      <c r="CV4" s="423"/>
      <c r="CW4" s="423"/>
      <c r="CX4" s="424"/>
      <c r="CY4" s="422" t="s">
        <v>187</v>
      </c>
      <c r="CZ4" s="423"/>
      <c r="DA4" s="423"/>
      <c r="DB4" s="423"/>
      <c r="DC4" s="424"/>
      <c r="DD4" s="422" t="s">
        <v>216</v>
      </c>
      <c r="DE4" s="423"/>
      <c r="DF4" s="423"/>
      <c r="DG4" s="423"/>
      <c r="DH4" s="424"/>
      <c r="DI4" s="422" t="s">
        <v>217</v>
      </c>
      <c r="DJ4" s="423"/>
      <c r="DK4" s="423"/>
      <c r="DL4" s="423"/>
      <c r="DM4" s="424"/>
      <c r="DN4" s="422" t="s">
        <v>218</v>
      </c>
      <c r="DO4" s="423"/>
      <c r="DP4" s="423"/>
      <c r="DQ4" s="423"/>
      <c r="DR4" s="424"/>
      <c r="DS4" s="422" t="s">
        <v>220</v>
      </c>
      <c r="DT4" s="423"/>
      <c r="DU4" s="423"/>
      <c r="DV4" s="423"/>
      <c r="DW4" s="424"/>
      <c r="DX4" s="422" t="s">
        <v>221</v>
      </c>
      <c r="DY4" s="423"/>
      <c r="DZ4" s="423"/>
      <c r="EA4" s="423"/>
      <c r="EB4" s="424"/>
      <c r="EC4" s="422" t="s">
        <v>144</v>
      </c>
      <c r="ED4" s="423"/>
      <c r="EE4" s="424"/>
      <c r="EF4" s="422" t="s">
        <v>145</v>
      </c>
      <c r="EG4" s="423"/>
      <c r="EH4" s="424"/>
      <c r="EI4" s="422" t="s">
        <v>146</v>
      </c>
      <c r="EJ4" s="423"/>
      <c r="EK4" s="424"/>
      <c r="EL4" s="422" t="s">
        <v>147</v>
      </c>
      <c r="EM4" s="423"/>
      <c r="EN4" s="424"/>
      <c r="EO4" s="422" t="s">
        <v>163</v>
      </c>
      <c r="EP4" s="423"/>
      <c r="EQ4" s="424"/>
      <c r="ER4" s="438" t="s">
        <v>179</v>
      </c>
      <c r="ES4" s="439"/>
      <c r="ET4" s="440"/>
      <c r="EU4" s="438" t="s">
        <v>180</v>
      </c>
      <c r="EV4" s="439"/>
      <c r="EW4" s="440"/>
      <c r="EX4" s="438" t="s">
        <v>181</v>
      </c>
      <c r="EY4" s="439"/>
      <c r="EZ4" s="440"/>
      <c r="FA4" s="435" t="s">
        <v>182</v>
      </c>
      <c r="FB4" s="436"/>
      <c r="FC4" s="437"/>
      <c r="FD4" s="435" t="s">
        <v>183</v>
      </c>
      <c r="FE4" s="436"/>
      <c r="FF4" s="437"/>
      <c r="FG4" s="435" t="s">
        <v>184</v>
      </c>
      <c r="FH4" s="436"/>
      <c r="FI4" s="437"/>
      <c r="FJ4" s="435" t="s">
        <v>185</v>
      </c>
      <c r="FK4" s="436"/>
      <c r="FL4" s="437"/>
      <c r="FM4" s="435" t="s">
        <v>186</v>
      </c>
      <c r="FN4" s="436"/>
      <c r="FO4" s="437"/>
      <c r="FP4" s="435" t="s">
        <v>187</v>
      </c>
      <c r="FQ4" s="436"/>
      <c r="FR4" s="437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09" t="s">
        <v>175</v>
      </c>
      <c r="Y5" s="313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0" t="s">
        <v>161</v>
      </c>
      <c r="AF5" s="286" t="s">
        <v>125</v>
      </c>
      <c r="AG5" s="190" t="s">
        <v>49</v>
      </c>
      <c r="AH5" s="189" t="s">
        <v>50</v>
      </c>
      <c r="AI5" s="290" t="s">
        <v>162</v>
      </c>
      <c r="AJ5" s="290" t="s">
        <v>161</v>
      </c>
      <c r="AK5" s="290" t="s">
        <v>125</v>
      </c>
      <c r="AL5" s="190" t="s">
        <v>49</v>
      </c>
      <c r="AM5" s="189" t="s">
        <v>50</v>
      </c>
      <c r="AN5" s="290" t="s">
        <v>162</v>
      </c>
      <c r="AO5" s="290" t="s">
        <v>161</v>
      </c>
      <c r="AP5" s="290" t="s">
        <v>125</v>
      </c>
      <c r="AQ5" s="190" t="s">
        <v>49</v>
      </c>
      <c r="AR5" s="189" t="s">
        <v>50</v>
      </c>
      <c r="AS5" s="290" t="s">
        <v>162</v>
      </c>
      <c r="AT5" s="290" t="s">
        <v>161</v>
      </c>
      <c r="AU5" s="290" t="s">
        <v>125</v>
      </c>
      <c r="AV5" s="190" t="s">
        <v>49</v>
      </c>
      <c r="AW5" s="189" t="s">
        <v>50</v>
      </c>
      <c r="AX5" s="290" t="s">
        <v>162</v>
      </c>
      <c r="AY5" s="290" t="s">
        <v>161</v>
      </c>
      <c r="AZ5" s="290" t="s">
        <v>125</v>
      </c>
      <c r="BA5" s="190" t="s">
        <v>49</v>
      </c>
      <c r="BB5" s="189" t="s">
        <v>50</v>
      </c>
      <c r="BC5" s="290" t="s">
        <v>162</v>
      </c>
      <c r="BD5" s="290" t="s">
        <v>161</v>
      </c>
      <c r="BE5" s="290" t="s">
        <v>125</v>
      </c>
      <c r="BF5" s="190" t="s">
        <v>49</v>
      </c>
      <c r="BG5" s="189" t="s">
        <v>50</v>
      </c>
      <c r="BH5" s="290" t="s">
        <v>162</v>
      </c>
      <c r="BI5" s="290" t="s">
        <v>161</v>
      </c>
      <c r="BJ5" s="290" t="s">
        <v>125</v>
      </c>
      <c r="BK5" s="190" t="s">
        <v>49</v>
      </c>
      <c r="BL5" s="189" t="s">
        <v>50</v>
      </c>
      <c r="BM5" s="290" t="s">
        <v>162</v>
      </c>
      <c r="BN5" s="290" t="s">
        <v>161</v>
      </c>
      <c r="BO5" s="290" t="s">
        <v>125</v>
      </c>
      <c r="BP5" s="190" t="s">
        <v>49</v>
      </c>
      <c r="BQ5" s="189" t="s">
        <v>50</v>
      </c>
      <c r="BR5" s="290" t="s">
        <v>162</v>
      </c>
      <c r="BS5" s="290" t="s">
        <v>161</v>
      </c>
      <c r="BT5" s="290" t="s">
        <v>125</v>
      </c>
      <c r="BU5" s="190" t="s">
        <v>49</v>
      </c>
      <c r="BV5" s="189" t="s">
        <v>50</v>
      </c>
      <c r="BW5" s="290" t="s">
        <v>162</v>
      </c>
      <c r="BX5" s="290" t="s">
        <v>161</v>
      </c>
      <c r="BY5" s="290" t="s">
        <v>125</v>
      </c>
      <c r="BZ5" s="190" t="s">
        <v>49</v>
      </c>
      <c r="CA5" s="189" t="s">
        <v>50</v>
      </c>
      <c r="CB5" s="290" t="s">
        <v>122</v>
      </c>
      <c r="CC5" s="290" t="s">
        <v>161</v>
      </c>
      <c r="CD5" s="191" t="s">
        <v>125</v>
      </c>
      <c r="CE5" s="190" t="s">
        <v>49</v>
      </c>
      <c r="CF5" s="189" t="s">
        <v>50</v>
      </c>
      <c r="CG5" s="290" t="s">
        <v>162</v>
      </c>
      <c r="CH5" s="290" t="s">
        <v>161</v>
      </c>
      <c r="CI5" s="191" t="s">
        <v>125</v>
      </c>
      <c r="CJ5" s="190" t="s">
        <v>49</v>
      </c>
      <c r="CK5" s="189" t="s">
        <v>50</v>
      </c>
      <c r="CL5" s="290" t="s">
        <v>162</v>
      </c>
      <c r="CM5" s="290" t="s">
        <v>161</v>
      </c>
      <c r="CN5" s="191" t="s">
        <v>125</v>
      </c>
      <c r="CO5" s="190" t="s">
        <v>49</v>
      </c>
      <c r="CP5" s="189" t="s">
        <v>50</v>
      </c>
      <c r="CQ5" s="290" t="s">
        <v>162</v>
      </c>
      <c r="CR5" s="290" t="s">
        <v>161</v>
      </c>
      <c r="CS5" s="191" t="s">
        <v>125</v>
      </c>
      <c r="CT5" s="190" t="s">
        <v>49</v>
      </c>
      <c r="CU5" s="189" t="s">
        <v>50</v>
      </c>
      <c r="CV5" s="290" t="s">
        <v>122</v>
      </c>
      <c r="CW5" s="290" t="s">
        <v>161</v>
      </c>
      <c r="CX5" s="191" t="s">
        <v>125</v>
      </c>
      <c r="CY5" s="190" t="s">
        <v>49</v>
      </c>
      <c r="CZ5" s="189" t="s">
        <v>50</v>
      </c>
      <c r="DA5" s="290" t="s">
        <v>162</v>
      </c>
      <c r="DB5" s="290" t="s">
        <v>161</v>
      </c>
      <c r="DC5" s="191" t="s">
        <v>125</v>
      </c>
      <c r="DD5" s="190" t="s">
        <v>49</v>
      </c>
      <c r="DE5" s="189" t="s">
        <v>50</v>
      </c>
      <c r="DF5" s="290" t="s">
        <v>122</v>
      </c>
      <c r="DG5" s="290" t="s">
        <v>161</v>
      </c>
      <c r="DH5" s="191" t="s">
        <v>125</v>
      </c>
      <c r="DI5" s="190" t="s">
        <v>49</v>
      </c>
      <c r="DJ5" s="189" t="s">
        <v>50</v>
      </c>
      <c r="DK5" s="290" t="s">
        <v>162</v>
      </c>
      <c r="DL5" s="290" t="s">
        <v>161</v>
      </c>
      <c r="DM5" s="191" t="s">
        <v>125</v>
      </c>
      <c r="DN5" s="190" t="s">
        <v>49</v>
      </c>
      <c r="DO5" s="189" t="s">
        <v>50</v>
      </c>
      <c r="DP5" s="290" t="s">
        <v>162</v>
      </c>
      <c r="DQ5" s="290" t="s">
        <v>161</v>
      </c>
      <c r="DR5" s="191" t="s">
        <v>125</v>
      </c>
      <c r="DS5" s="190" t="s">
        <v>49</v>
      </c>
      <c r="DT5" s="189" t="s">
        <v>50</v>
      </c>
      <c r="DU5" s="290" t="s">
        <v>122</v>
      </c>
      <c r="DV5" s="290" t="s">
        <v>161</v>
      </c>
      <c r="DW5" s="191" t="s">
        <v>125</v>
      </c>
      <c r="DX5" s="190" t="s">
        <v>49</v>
      </c>
      <c r="DY5" s="189" t="s">
        <v>50</v>
      </c>
      <c r="DZ5" s="290" t="s">
        <v>162</v>
      </c>
      <c r="EA5" s="290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3" t="s">
        <v>49</v>
      </c>
      <c r="EP5" s="290" t="s">
        <v>50</v>
      </c>
      <c r="EQ5" s="191" t="s">
        <v>162</v>
      </c>
      <c r="ER5" s="326" t="s">
        <v>49</v>
      </c>
      <c r="ES5" s="327" t="s">
        <v>50</v>
      </c>
      <c r="ET5" s="328" t="s">
        <v>162</v>
      </c>
      <c r="EU5" s="326" t="s">
        <v>49</v>
      </c>
      <c r="EV5" s="327" t="s">
        <v>50</v>
      </c>
      <c r="EW5" s="328" t="s">
        <v>162</v>
      </c>
      <c r="EX5" s="326" t="s">
        <v>49</v>
      </c>
      <c r="EY5" s="327" t="s">
        <v>50</v>
      </c>
      <c r="EZ5" s="328" t="s">
        <v>162</v>
      </c>
      <c r="FA5" s="326" t="s">
        <v>49</v>
      </c>
      <c r="FB5" s="327" t="s">
        <v>50</v>
      </c>
      <c r="FC5" s="328" t="s">
        <v>162</v>
      </c>
      <c r="FD5" s="326" t="s">
        <v>49</v>
      </c>
      <c r="FE5" s="327" t="s">
        <v>50</v>
      </c>
      <c r="FF5" s="328" t="s">
        <v>162</v>
      </c>
      <c r="FG5" s="326" t="s">
        <v>49</v>
      </c>
      <c r="FH5" s="327" t="s">
        <v>50</v>
      </c>
      <c r="FI5" s="328" t="s">
        <v>162</v>
      </c>
      <c r="FJ5" s="326" t="s">
        <v>49</v>
      </c>
      <c r="FK5" s="327" t="s">
        <v>50</v>
      </c>
      <c r="FL5" s="328" t="s">
        <v>162</v>
      </c>
      <c r="FM5" s="326" t="s">
        <v>49</v>
      </c>
      <c r="FN5" s="327" t="s">
        <v>50</v>
      </c>
      <c r="FO5" s="328" t="s">
        <v>162</v>
      </c>
      <c r="FP5" s="326" t="s">
        <v>49</v>
      </c>
      <c r="FQ5" s="327" t="s">
        <v>50</v>
      </c>
      <c r="FR5" s="328" t="s">
        <v>162</v>
      </c>
    </row>
    <row r="6" spans="1:174" ht="15" customHeight="1" thickBot="1" x14ac:dyDescent="0.25">
      <c r="A6" s="140">
        <v>1</v>
      </c>
      <c r="B6" s="141">
        <v>1528</v>
      </c>
      <c r="C6" s="134">
        <v>1750</v>
      </c>
      <c r="D6" s="135">
        <f>MAX(0,C6-B6)</f>
        <v>222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848462</v>
      </c>
      <c r="M6" s="134">
        <v>848512</v>
      </c>
      <c r="N6" s="135">
        <f>MAX(0,M6-L6)</f>
        <v>50</v>
      </c>
      <c r="O6" s="137"/>
      <c r="P6" s="140">
        <v>1</v>
      </c>
      <c r="Q6" s="141">
        <v>243718</v>
      </c>
      <c r="R6" s="134">
        <v>243828</v>
      </c>
      <c r="S6" s="135">
        <f>MAX(0,R6-Q6)</f>
        <v>110</v>
      </c>
      <c r="T6" s="136"/>
      <c r="U6" s="138">
        <v>1</v>
      </c>
      <c r="V6" s="199">
        <f>SUM(S6+N6+I6+D6)</f>
        <v>382</v>
      </c>
      <c r="W6" s="139">
        <f>'Maldives at LG Daily'!BP5</f>
        <v>30.1</v>
      </c>
      <c r="X6" s="135">
        <v>81</v>
      </c>
      <c r="Y6" s="314">
        <f>V6/X6</f>
        <v>4.716049382716049</v>
      </c>
      <c r="AA6" s="194">
        <v>1</v>
      </c>
      <c r="AB6" s="142">
        <v>47065</v>
      </c>
      <c r="AC6" s="142">
        <v>47084</v>
      </c>
      <c r="AD6" s="142">
        <f>MAX(0,AC6-AB6)</f>
        <v>19</v>
      </c>
      <c r="AE6" s="142"/>
      <c r="AF6" s="287"/>
      <c r="AG6" s="194">
        <v>10526</v>
      </c>
      <c r="AH6" s="142">
        <v>10531</v>
      </c>
      <c r="AI6" s="142">
        <f>MAX(0,AH6-AG6)</f>
        <v>5</v>
      </c>
      <c r="AJ6" s="142"/>
      <c r="AK6" s="142"/>
      <c r="AL6" s="194">
        <v>9797</v>
      </c>
      <c r="AM6" s="142">
        <v>9805</v>
      </c>
      <c r="AN6" s="142">
        <f>MAX(0,AM6-AL6)</f>
        <v>8</v>
      </c>
      <c r="AO6" s="142"/>
      <c r="AP6" s="142"/>
      <c r="AQ6" s="194">
        <v>19203</v>
      </c>
      <c r="AR6" s="142">
        <v>19215</v>
      </c>
      <c r="AS6" s="142">
        <f>MAX(0,AR6-AQ6)</f>
        <v>12</v>
      </c>
      <c r="AT6" s="142"/>
      <c r="AU6" s="142"/>
      <c r="AV6" s="194">
        <v>35420</v>
      </c>
      <c r="AW6" s="142">
        <v>35429</v>
      </c>
      <c r="AX6" s="142">
        <f>MAX(0,AW6-AV6)</f>
        <v>9</v>
      </c>
      <c r="AY6" s="142"/>
      <c r="AZ6" s="142"/>
      <c r="BA6" s="194">
        <v>9235</v>
      </c>
      <c r="BB6" s="142">
        <v>9241</v>
      </c>
      <c r="BC6" s="142">
        <f>MAX(0,BB6-BA6)</f>
        <v>6</v>
      </c>
      <c r="BD6" s="142"/>
      <c r="BE6" s="142"/>
      <c r="BF6" s="194">
        <v>26000</v>
      </c>
      <c r="BG6" s="142">
        <v>26018</v>
      </c>
      <c r="BH6" s="142">
        <f>MAX(0,BG6-BF6)</f>
        <v>18</v>
      </c>
      <c r="BI6" s="142"/>
      <c r="BJ6" s="142"/>
      <c r="BK6" s="197">
        <v>10012</v>
      </c>
      <c r="BL6" s="142">
        <v>10020</v>
      </c>
      <c r="BM6" s="142">
        <f>MAX(0,BL6-BK6)</f>
        <v>8</v>
      </c>
      <c r="BN6" s="142"/>
      <c r="BO6" s="142"/>
      <c r="BP6" s="194">
        <v>4164</v>
      </c>
      <c r="BQ6" s="142">
        <v>4166</v>
      </c>
      <c r="BR6" s="321">
        <f>MAX(0,BQ6-BP6)</f>
        <v>2</v>
      </c>
      <c r="BS6" s="142"/>
      <c r="BT6" s="142"/>
      <c r="BU6" s="194">
        <v>1862</v>
      </c>
      <c r="BV6" s="142">
        <v>1862</v>
      </c>
      <c r="BW6" s="142">
        <f>MAX(0,BV6-BU6)</f>
        <v>0</v>
      </c>
      <c r="BX6" s="142"/>
      <c r="BY6" s="142"/>
      <c r="BZ6" s="198">
        <v>29175</v>
      </c>
      <c r="CA6" s="142">
        <v>29177</v>
      </c>
      <c r="CB6" s="321">
        <f>MAX(0,CA6-BZ6)</f>
        <v>2</v>
      </c>
      <c r="CC6" s="142"/>
      <c r="CD6" s="192"/>
      <c r="CE6" s="197">
        <v>3484</v>
      </c>
      <c r="CF6" s="142">
        <v>3487</v>
      </c>
      <c r="CG6" s="142">
        <f t="shared" ref="CG6:CG36" si="0">CF6-CE6</f>
        <v>3</v>
      </c>
      <c r="CH6" s="142"/>
      <c r="CI6" s="192"/>
      <c r="CJ6" s="197">
        <v>84949</v>
      </c>
      <c r="CK6" s="142">
        <v>84999</v>
      </c>
      <c r="CL6" s="142">
        <f t="shared" ref="CL6:CL36" si="1">CK6-CJ6</f>
        <v>50</v>
      </c>
      <c r="CM6" s="142"/>
      <c r="CN6" s="192"/>
      <c r="CO6" s="197">
        <v>25968</v>
      </c>
      <c r="CP6" s="142">
        <v>25976</v>
      </c>
      <c r="CQ6" s="142">
        <f t="shared" ref="CQ6:CQ36" si="2">CP6-CO6</f>
        <v>8</v>
      </c>
      <c r="CR6" s="142"/>
      <c r="CS6" s="192"/>
      <c r="CT6" s="197">
        <v>12818</v>
      </c>
      <c r="CU6" s="142">
        <v>12819</v>
      </c>
      <c r="CV6" s="142">
        <f t="shared" ref="CV6:CV36" si="3">CU6-CT6</f>
        <v>1</v>
      </c>
      <c r="CW6" s="142"/>
      <c r="CX6" s="192"/>
      <c r="CY6" s="197">
        <v>19687</v>
      </c>
      <c r="CZ6" s="142">
        <v>19688</v>
      </c>
      <c r="DA6" s="142">
        <f t="shared" ref="DA6:DA36" si="4">CZ6-CY6</f>
        <v>1</v>
      </c>
      <c r="DB6" s="142"/>
      <c r="DC6" s="192"/>
      <c r="DD6" s="197">
        <v>20958</v>
      </c>
      <c r="DE6" s="142">
        <v>20964</v>
      </c>
      <c r="DF6" s="142">
        <f t="shared" ref="DF6:DF36" si="5">DE6-DD6</f>
        <v>6</v>
      </c>
      <c r="DG6" s="142"/>
      <c r="DH6" s="192"/>
      <c r="DI6" s="197">
        <v>9888</v>
      </c>
      <c r="DJ6" s="142">
        <v>9891</v>
      </c>
      <c r="DK6" s="142">
        <f t="shared" ref="DK6:DK36" si="6">DJ6-DI6</f>
        <v>3</v>
      </c>
      <c r="DL6" s="142"/>
      <c r="DM6" s="192"/>
      <c r="DN6" s="197">
        <v>26304</v>
      </c>
      <c r="DO6" s="142">
        <v>26344</v>
      </c>
      <c r="DP6" s="142">
        <f t="shared" ref="DP6:DP36" si="7">DO6-DN6</f>
        <v>40</v>
      </c>
      <c r="DQ6" s="142"/>
      <c r="DR6" s="192"/>
      <c r="DS6" s="197">
        <v>2756</v>
      </c>
      <c r="DT6" s="142">
        <v>2758</v>
      </c>
      <c r="DU6" s="142">
        <f t="shared" ref="DU6:DU36" si="8">DT6-DS6</f>
        <v>2</v>
      </c>
      <c r="DV6" s="142"/>
      <c r="DW6" s="192"/>
      <c r="DX6" s="197">
        <v>56</v>
      </c>
      <c r="DY6" s="142">
        <v>58</v>
      </c>
      <c r="DZ6" s="142">
        <f>DY6-DX6</f>
        <v>2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2">
      <c r="A7" s="140">
        <v>2</v>
      </c>
      <c r="B7" s="140">
        <f>C6</f>
        <v>1750</v>
      </c>
      <c r="C7" s="141">
        <v>1955</v>
      </c>
      <c r="D7" s="135">
        <f t="shared" ref="D7:D36" si="9">MAX(0,C7-B7)</f>
        <v>205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0">MAX(0,H7-G7)</f>
        <v>0</v>
      </c>
      <c r="J7" s="185"/>
      <c r="K7" s="140">
        <v>2</v>
      </c>
      <c r="L7" s="140">
        <f>M6</f>
        <v>848512</v>
      </c>
      <c r="M7" s="141">
        <v>848546</v>
      </c>
      <c r="N7" s="135">
        <f t="shared" ref="N7:N36" si="11">MAX(0,M7-L7)</f>
        <v>34</v>
      </c>
      <c r="O7" s="137"/>
      <c r="P7" s="140">
        <v>2</v>
      </c>
      <c r="Q7" s="140">
        <f>R6</f>
        <v>243828</v>
      </c>
      <c r="R7" s="141">
        <v>243941</v>
      </c>
      <c r="S7" s="135">
        <f t="shared" ref="S7:S36" si="12">MAX(0,R7-Q7)</f>
        <v>113</v>
      </c>
      <c r="T7" s="136"/>
      <c r="U7" s="140">
        <v>2</v>
      </c>
      <c r="V7" s="200">
        <f t="shared" ref="V7:V36" si="13">SUM(S7+N7+I7+D7)</f>
        <v>352</v>
      </c>
      <c r="W7" s="139">
        <f>'Maldives at LG Daily'!BP6</f>
        <v>34</v>
      </c>
      <c r="X7" s="142">
        <v>93</v>
      </c>
      <c r="Y7" s="314">
        <f t="shared" ref="Y7:Y36" si="14">V7/X7</f>
        <v>3.78494623655914</v>
      </c>
      <c r="AA7" s="194">
        <v>2</v>
      </c>
      <c r="AB7" s="142">
        <f>AC6</f>
        <v>47084</v>
      </c>
      <c r="AC7" s="142">
        <v>47105</v>
      </c>
      <c r="AD7" s="142">
        <f t="shared" ref="AD7:AD36" si="15">MAX(0,AC7-AB7)</f>
        <v>21</v>
      </c>
      <c r="AE7" s="142">
        <f>AD7-AD6</f>
        <v>2</v>
      </c>
      <c r="AF7" s="288"/>
      <c r="AG7" s="194">
        <f>AH6</f>
        <v>10531</v>
      </c>
      <c r="AH7" s="142">
        <v>10537</v>
      </c>
      <c r="AI7" s="142">
        <f>MAX(0,AH7-AG7)</f>
        <v>6</v>
      </c>
      <c r="AJ7" s="142">
        <f>AI7-AI6</f>
        <v>1</v>
      </c>
      <c r="AK7" s="142"/>
      <c r="AL7" s="194">
        <f>AM6</f>
        <v>9805</v>
      </c>
      <c r="AM7" s="142">
        <v>9815</v>
      </c>
      <c r="AN7" s="142">
        <f t="shared" ref="AN7:AN36" si="16">MAX(0,AM7-AL7)</f>
        <v>10</v>
      </c>
      <c r="AO7" s="142">
        <f>AN7-AN6</f>
        <v>2</v>
      </c>
      <c r="AP7" s="142"/>
      <c r="AQ7" s="194">
        <f>AR6</f>
        <v>19215</v>
      </c>
      <c r="AR7" s="142">
        <v>19227</v>
      </c>
      <c r="AS7" s="142">
        <f t="shared" ref="AS7:AS36" si="17">MAX(0,AR7-AQ7)</f>
        <v>12</v>
      </c>
      <c r="AT7" s="142">
        <f>AS7-AS6</f>
        <v>0</v>
      </c>
      <c r="AU7" s="142"/>
      <c r="AV7" s="194">
        <f>AW6</f>
        <v>35429</v>
      </c>
      <c r="AW7" s="142">
        <v>35438</v>
      </c>
      <c r="AX7" s="142">
        <f t="shared" ref="AX7:AX36" si="18">MAX(0,AW7-AV7)</f>
        <v>9</v>
      </c>
      <c r="AY7" s="142">
        <f>AX7-AX6</f>
        <v>0</v>
      </c>
      <c r="AZ7" s="142"/>
      <c r="BA7" s="194">
        <f>BB6</f>
        <v>9241</v>
      </c>
      <c r="BB7" s="142">
        <v>9248</v>
      </c>
      <c r="BC7" s="142">
        <f t="shared" ref="BC7:BC36" si="19">MAX(0,BB7-BA7)</f>
        <v>7</v>
      </c>
      <c r="BD7" s="142">
        <f>BC7-BC6</f>
        <v>1</v>
      </c>
      <c r="BE7" s="142"/>
      <c r="BF7" s="194">
        <f>BG6</f>
        <v>26018</v>
      </c>
      <c r="BG7" s="142">
        <v>26028</v>
      </c>
      <c r="BH7" s="142">
        <f t="shared" ref="BH7:BH36" si="20">MAX(0,BG7-BF7)</f>
        <v>10</v>
      </c>
      <c r="BI7" s="142">
        <f>BH7-BH6</f>
        <v>-8</v>
      </c>
      <c r="BJ7" s="142"/>
      <c r="BK7" s="194">
        <f>BL6</f>
        <v>10020</v>
      </c>
      <c r="BL7" s="142">
        <v>10028</v>
      </c>
      <c r="BM7" s="142">
        <f t="shared" ref="BM7:BM36" si="21">MAX(0,BL7-BK7)</f>
        <v>8</v>
      </c>
      <c r="BN7" s="142">
        <f>BM7-BM6</f>
        <v>0</v>
      </c>
      <c r="BO7" s="142"/>
      <c r="BP7" s="194">
        <f>BQ6</f>
        <v>4166</v>
      </c>
      <c r="BQ7" s="142">
        <v>4167</v>
      </c>
      <c r="BR7" s="321">
        <f t="shared" ref="BR7:BR36" si="22">MAX(0,BQ7-BP7)</f>
        <v>1</v>
      </c>
      <c r="BS7" s="142">
        <f>BR7-BR6</f>
        <v>-1</v>
      </c>
      <c r="BT7" s="142"/>
      <c r="BU7" s="194">
        <f>BV6</f>
        <v>1862</v>
      </c>
      <c r="BV7" s="142">
        <v>1865</v>
      </c>
      <c r="BW7" s="142">
        <f t="shared" ref="BW7:BW36" si="23">MAX(0,BV7-BU7)</f>
        <v>3</v>
      </c>
      <c r="BX7" s="142">
        <f>BW7-BW6</f>
        <v>3</v>
      </c>
      <c r="BY7" s="142"/>
      <c r="BZ7" s="198">
        <f>CA6</f>
        <v>29177</v>
      </c>
      <c r="CA7" s="142">
        <v>29179</v>
      </c>
      <c r="CB7" s="321">
        <f t="shared" ref="CB7:CB36" si="24">MAX(0,CA7-BZ7)</f>
        <v>2</v>
      </c>
      <c r="CC7" s="142">
        <f>CB7-CB6</f>
        <v>0</v>
      </c>
      <c r="CD7" s="192"/>
      <c r="CE7" s="198">
        <f>CF6</f>
        <v>3487</v>
      </c>
      <c r="CF7" s="142">
        <v>3488</v>
      </c>
      <c r="CG7" s="142">
        <f t="shared" si="0"/>
        <v>1</v>
      </c>
      <c r="CH7" s="142">
        <f>CG7-CG6</f>
        <v>-2</v>
      </c>
      <c r="CI7" s="192"/>
      <c r="CJ7" s="198">
        <f>CK6</f>
        <v>84999</v>
      </c>
      <c r="CK7" s="142">
        <v>85025</v>
      </c>
      <c r="CL7" s="142">
        <f t="shared" si="1"/>
        <v>26</v>
      </c>
      <c r="CM7" s="142">
        <f>CL7-CL6</f>
        <v>-24</v>
      </c>
      <c r="CN7" s="192"/>
      <c r="CO7" s="198">
        <f>CP6</f>
        <v>25976</v>
      </c>
      <c r="CP7" s="142">
        <v>25985</v>
      </c>
      <c r="CQ7" s="142">
        <f t="shared" si="2"/>
        <v>9</v>
      </c>
      <c r="CR7" s="142">
        <f>CQ7-CQ6</f>
        <v>1</v>
      </c>
      <c r="CS7" s="192"/>
      <c r="CT7" s="198">
        <f>CU6</f>
        <v>12819</v>
      </c>
      <c r="CU7" s="142">
        <v>12819</v>
      </c>
      <c r="CV7" s="142">
        <f t="shared" si="3"/>
        <v>0</v>
      </c>
      <c r="CW7" s="142">
        <f>CV7-CV6</f>
        <v>-1</v>
      </c>
      <c r="CX7" s="192"/>
      <c r="CY7" s="198">
        <f>CZ6</f>
        <v>19688</v>
      </c>
      <c r="CZ7" s="142">
        <v>19689</v>
      </c>
      <c r="DA7" s="142">
        <f t="shared" si="4"/>
        <v>1</v>
      </c>
      <c r="DB7" s="142">
        <f>DA7-DA6</f>
        <v>0</v>
      </c>
      <c r="DC7" s="192"/>
      <c r="DD7" s="198">
        <f>DE6</f>
        <v>20964</v>
      </c>
      <c r="DE7" s="142">
        <v>20966</v>
      </c>
      <c r="DF7" s="142">
        <f t="shared" si="5"/>
        <v>2</v>
      </c>
      <c r="DG7" s="142">
        <f>DF7-DF6</f>
        <v>-4</v>
      </c>
      <c r="DH7" s="192"/>
      <c r="DI7" s="198">
        <f>DJ6</f>
        <v>9891</v>
      </c>
      <c r="DJ7" s="142">
        <v>9893</v>
      </c>
      <c r="DK7" s="142">
        <f t="shared" si="6"/>
        <v>2</v>
      </c>
      <c r="DL7" s="142">
        <f>DK7-DK6</f>
        <v>-1</v>
      </c>
      <c r="DM7" s="192"/>
      <c r="DN7" s="198">
        <f>DO6</f>
        <v>26344</v>
      </c>
      <c r="DO7" s="142">
        <v>26374</v>
      </c>
      <c r="DP7" s="142">
        <f t="shared" si="7"/>
        <v>30</v>
      </c>
      <c r="DQ7" s="142">
        <f>DP7-DP6</f>
        <v>-10</v>
      </c>
      <c r="DR7" s="192"/>
      <c r="DS7" s="198">
        <f>DT6</f>
        <v>2758</v>
      </c>
      <c r="DT7" s="142">
        <v>2764</v>
      </c>
      <c r="DU7" s="142">
        <f t="shared" si="8"/>
        <v>6</v>
      </c>
      <c r="DV7" s="142">
        <f>DU7-DU6</f>
        <v>4</v>
      </c>
      <c r="DW7" s="192"/>
      <c r="DX7" s="198">
        <f>DY6</f>
        <v>58</v>
      </c>
      <c r="DY7" s="142">
        <v>58</v>
      </c>
      <c r="DZ7" s="142">
        <f>DY7-DX7</f>
        <v>0</v>
      </c>
      <c r="EA7" s="142">
        <f>DZ7-DZ6</f>
        <v>-2</v>
      </c>
      <c r="EB7" s="192"/>
      <c r="EC7" s="198">
        <f>ED6</f>
        <v>0</v>
      </c>
      <c r="ED7" s="142"/>
      <c r="EE7" s="192">
        <f t="shared" ref="EE7:EE36" si="25">ED7-EC7</f>
        <v>0</v>
      </c>
      <c r="EF7" s="198">
        <f>EG6</f>
        <v>0</v>
      </c>
      <c r="EG7" s="142"/>
      <c r="EH7" s="192">
        <f t="shared" ref="EH7:EH36" si="26">EG7-EF7</f>
        <v>0</v>
      </c>
      <c r="EI7" s="198">
        <f>EJ6</f>
        <v>0</v>
      </c>
      <c r="EJ7" s="142"/>
      <c r="EK7" s="192">
        <f t="shared" ref="EK7:EK36" si="27">EJ7-EI7</f>
        <v>0</v>
      </c>
      <c r="EL7" s="198">
        <f>EM6</f>
        <v>0</v>
      </c>
      <c r="EM7" s="142"/>
      <c r="EN7" s="192">
        <f t="shared" ref="EN7:EN36" si="28">EM7-EL7</f>
        <v>0</v>
      </c>
      <c r="EO7" s="198">
        <f>EP6</f>
        <v>0</v>
      </c>
      <c r="EP7" s="142"/>
      <c r="EQ7" s="192">
        <f t="shared" ref="EQ7:EQ36" si="29">EP7-EO7</f>
        <v>0</v>
      </c>
      <c r="ER7" s="198">
        <v>578</v>
      </c>
      <c r="ES7" s="142"/>
      <c r="ET7" s="192">
        <f t="shared" ref="ET7:ET36" si="30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1">EY7-EX7</f>
        <v>-1230</v>
      </c>
      <c r="FA7" s="198">
        <f>FB6</f>
        <v>0</v>
      </c>
      <c r="FB7" s="142">
        <v>0</v>
      </c>
      <c r="FC7" s="192">
        <f t="shared" ref="FC7:FC36" si="32">FB7-FA7</f>
        <v>0</v>
      </c>
      <c r="FD7" s="198">
        <v>71</v>
      </c>
      <c r="FE7" s="142">
        <v>0</v>
      </c>
      <c r="FF7" s="192">
        <f t="shared" ref="FF7:FF36" si="33">FE7-FD7</f>
        <v>-71</v>
      </c>
      <c r="FG7" s="198">
        <v>123</v>
      </c>
      <c r="FH7" s="142">
        <v>0</v>
      </c>
      <c r="FI7" s="192">
        <f t="shared" ref="FI7:FI36" si="34">FH7-FG7</f>
        <v>-123</v>
      </c>
      <c r="FJ7" s="198">
        <v>23</v>
      </c>
      <c r="FK7" s="142">
        <v>0</v>
      </c>
      <c r="FL7" s="192">
        <f t="shared" ref="FL7:FL36" si="35">FK7-FJ7</f>
        <v>-23</v>
      </c>
      <c r="FM7" s="198">
        <v>10</v>
      </c>
      <c r="FN7" s="142">
        <v>0</v>
      </c>
      <c r="FO7" s="192">
        <f t="shared" ref="FO7:FO36" si="36">FN7-FM7</f>
        <v>-10</v>
      </c>
      <c r="FP7" s="198">
        <v>23</v>
      </c>
      <c r="FQ7" s="142">
        <v>0</v>
      </c>
      <c r="FR7" s="192">
        <f t="shared" ref="FR7:FR36" si="37">FQ7-FP7</f>
        <v>-23</v>
      </c>
    </row>
    <row r="8" spans="1:174" ht="15" customHeight="1" x14ac:dyDescent="0.2">
      <c r="A8" s="140">
        <v>3</v>
      </c>
      <c r="B8" s="140">
        <f t="shared" ref="B8:B36" si="38">C7</f>
        <v>1955</v>
      </c>
      <c r="C8" s="141">
        <v>2194</v>
      </c>
      <c r="D8" s="135">
        <f t="shared" si="9"/>
        <v>239</v>
      </c>
      <c r="E8" s="185"/>
      <c r="F8" s="140">
        <v>3</v>
      </c>
      <c r="G8" s="140">
        <f t="shared" ref="G8:G36" si="39">H7</f>
        <v>39028</v>
      </c>
      <c r="H8" s="134">
        <v>39028</v>
      </c>
      <c r="I8" s="135">
        <f t="shared" si="10"/>
        <v>0</v>
      </c>
      <c r="J8" s="185"/>
      <c r="K8" s="140">
        <v>3</v>
      </c>
      <c r="L8" s="140">
        <f t="shared" ref="L8:L36" si="40">M7</f>
        <v>848546</v>
      </c>
      <c r="M8" s="141">
        <v>848570</v>
      </c>
      <c r="N8" s="135">
        <f t="shared" si="11"/>
        <v>24</v>
      </c>
      <c r="O8" s="137"/>
      <c r="P8" s="140">
        <v>3</v>
      </c>
      <c r="Q8" s="140">
        <f t="shared" ref="Q8:Q36" si="41">R7</f>
        <v>243941</v>
      </c>
      <c r="R8" s="141">
        <v>244063</v>
      </c>
      <c r="S8" s="135">
        <f t="shared" si="12"/>
        <v>122</v>
      </c>
      <c r="T8" s="136"/>
      <c r="U8" s="138">
        <v>3</v>
      </c>
      <c r="V8" s="200">
        <f t="shared" si="13"/>
        <v>385</v>
      </c>
      <c r="W8" s="139">
        <f>'Maldives at LG Daily'!BP7</f>
        <v>34</v>
      </c>
      <c r="X8" s="142">
        <v>94</v>
      </c>
      <c r="Y8" s="314">
        <f t="shared" si="14"/>
        <v>4.0957446808510642</v>
      </c>
      <c r="AA8" s="194">
        <v>3</v>
      </c>
      <c r="AB8" s="142">
        <f t="shared" ref="AB8:AB36" si="42">AC7</f>
        <v>47105</v>
      </c>
      <c r="AC8" s="142">
        <v>47125</v>
      </c>
      <c r="AD8" s="142">
        <f t="shared" si="15"/>
        <v>20</v>
      </c>
      <c r="AE8" s="142">
        <f>AD8-AD7</f>
        <v>-1</v>
      </c>
      <c r="AF8" s="288"/>
      <c r="AG8" s="194">
        <f t="shared" ref="AG8:AG36" si="43">AH7</f>
        <v>10537</v>
      </c>
      <c r="AH8" s="142">
        <v>10545</v>
      </c>
      <c r="AI8" s="142">
        <f t="shared" ref="AI8:AI36" si="44">MAX(0,AH8-AG8)</f>
        <v>8</v>
      </c>
      <c r="AJ8" s="142">
        <f>AI8-AI7</f>
        <v>2</v>
      </c>
      <c r="AK8" s="142"/>
      <c r="AL8" s="194">
        <f t="shared" ref="AL8:AL36" si="45">AM7</f>
        <v>9815</v>
      </c>
      <c r="AM8" s="142">
        <v>9824</v>
      </c>
      <c r="AN8" s="142">
        <f t="shared" si="16"/>
        <v>9</v>
      </c>
      <c r="AO8" s="142">
        <f t="shared" ref="AO8:AO36" si="46">AN8-AN7</f>
        <v>-1</v>
      </c>
      <c r="AP8" s="142"/>
      <c r="AQ8" s="194">
        <f t="shared" ref="AQ8:AQ36" si="47">AR7</f>
        <v>19227</v>
      </c>
      <c r="AR8" s="142">
        <v>19239</v>
      </c>
      <c r="AS8" s="142">
        <f t="shared" si="17"/>
        <v>12</v>
      </c>
      <c r="AT8" s="142">
        <f t="shared" ref="AT8:AT36" si="48">AS8-AS7</f>
        <v>0</v>
      </c>
      <c r="AU8" s="142"/>
      <c r="AV8" s="194">
        <f t="shared" ref="AV8:AV36" si="49">AW7</f>
        <v>35438</v>
      </c>
      <c r="AW8" s="142">
        <v>35446</v>
      </c>
      <c r="AX8" s="142">
        <f t="shared" si="18"/>
        <v>8</v>
      </c>
      <c r="AY8" s="142">
        <f t="shared" ref="AY8:AY36" si="50">AX8-AX7</f>
        <v>-1</v>
      </c>
      <c r="AZ8" s="142"/>
      <c r="BA8" s="194">
        <f t="shared" ref="BA8:BA36" si="51">BB7</f>
        <v>9248</v>
      </c>
      <c r="BB8" s="142">
        <v>9255</v>
      </c>
      <c r="BC8" s="142">
        <f t="shared" si="19"/>
        <v>7</v>
      </c>
      <c r="BD8" s="142">
        <f t="shared" ref="BD8:BD36" si="52">BC8-BC7</f>
        <v>0</v>
      </c>
      <c r="BE8" s="142"/>
      <c r="BF8" s="194">
        <f t="shared" ref="BF8:BF36" si="53">BG7</f>
        <v>26028</v>
      </c>
      <c r="BG8" s="142">
        <v>26037</v>
      </c>
      <c r="BH8" s="142">
        <f t="shared" si="20"/>
        <v>9</v>
      </c>
      <c r="BI8" s="142">
        <f t="shared" ref="BI8:BI36" si="54">BH8-BH7</f>
        <v>-1</v>
      </c>
      <c r="BJ8" s="142"/>
      <c r="BK8" s="194">
        <f t="shared" ref="BK8:BK36" si="55">BL7</f>
        <v>10028</v>
      </c>
      <c r="BL8" s="142">
        <v>10036</v>
      </c>
      <c r="BM8" s="142">
        <f t="shared" si="21"/>
        <v>8</v>
      </c>
      <c r="BN8" s="142">
        <f t="shared" ref="BN8:BN36" si="56">BM8-BM7</f>
        <v>0</v>
      </c>
      <c r="BO8" s="142"/>
      <c r="BP8" s="194">
        <f t="shared" ref="BP8:BP36" si="57">BQ7</f>
        <v>4167</v>
      </c>
      <c r="BQ8" s="142">
        <v>4168</v>
      </c>
      <c r="BR8" s="321">
        <f t="shared" si="22"/>
        <v>1</v>
      </c>
      <c r="BS8" s="142">
        <f t="shared" ref="BS8:BS36" si="58">BR8-BR7</f>
        <v>0</v>
      </c>
      <c r="BT8" s="142"/>
      <c r="BU8" s="194">
        <f t="shared" ref="BU8:BU36" si="59">BV7</f>
        <v>1865</v>
      </c>
      <c r="BV8" s="142">
        <v>1865</v>
      </c>
      <c r="BW8" s="142">
        <f t="shared" si="23"/>
        <v>0</v>
      </c>
      <c r="BX8" s="142">
        <f t="shared" ref="BX8:BX36" si="60">BW8-BW7</f>
        <v>-3</v>
      </c>
      <c r="BY8" s="142"/>
      <c r="BZ8" s="198">
        <f t="shared" ref="BZ8:BZ36" si="61">CA7</f>
        <v>29179</v>
      </c>
      <c r="CA8" s="142">
        <v>29185</v>
      </c>
      <c r="CB8" s="321">
        <f t="shared" si="24"/>
        <v>6</v>
      </c>
      <c r="CC8" s="142">
        <f t="shared" ref="CC8:CC36" si="62">CB8-CB7</f>
        <v>4</v>
      </c>
      <c r="CD8" s="192"/>
      <c r="CE8" s="198">
        <f t="shared" ref="CE8:CE36" si="63">CF7</f>
        <v>3488</v>
      </c>
      <c r="CF8" s="142">
        <v>3490</v>
      </c>
      <c r="CG8" s="142">
        <f t="shared" si="0"/>
        <v>2</v>
      </c>
      <c r="CH8" s="142">
        <f t="shared" ref="CH8:CH36" si="64">CG8-CG7</f>
        <v>1</v>
      </c>
      <c r="CI8" s="192"/>
      <c r="CJ8" s="198">
        <f t="shared" ref="CJ8:CJ36" si="65">CK7</f>
        <v>85025</v>
      </c>
      <c r="CK8" s="142">
        <v>85049</v>
      </c>
      <c r="CL8" s="142">
        <f t="shared" si="1"/>
        <v>24</v>
      </c>
      <c r="CM8" s="142">
        <f t="shared" ref="CM8:CM36" si="66">CL8-CL7</f>
        <v>-2</v>
      </c>
      <c r="CN8" s="192"/>
      <c r="CO8" s="198">
        <f t="shared" ref="CO8:CO36" si="67">CP7</f>
        <v>25985</v>
      </c>
      <c r="CP8" s="142">
        <v>25992</v>
      </c>
      <c r="CQ8" s="142">
        <f t="shared" si="2"/>
        <v>7</v>
      </c>
      <c r="CR8" s="142">
        <f t="shared" ref="CR8:CR36" si="68">CQ8-CQ7</f>
        <v>-2</v>
      </c>
      <c r="CS8" s="192"/>
      <c r="CT8" s="198">
        <f t="shared" ref="CT8:CT36" si="69">CU7</f>
        <v>12819</v>
      </c>
      <c r="CU8" s="142">
        <v>12821</v>
      </c>
      <c r="CV8" s="142">
        <f t="shared" si="3"/>
        <v>2</v>
      </c>
      <c r="CW8" s="142">
        <f t="shared" ref="CW8:CW36" si="70">CV8-CV7</f>
        <v>2</v>
      </c>
      <c r="CX8" s="192"/>
      <c r="CY8" s="198">
        <f t="shared" ref="CY8:CY36" si="71">CZ7</f>
        <v>19689</v>
      </c>
      <c r="CZ8" s="142">
        <v>19695</v>
      </c>
      <c r="DA8" s="142">
        <f t="shared" si="4"/>
        <v>6</v>
      </c>
      <c r="DB8" s="142">
        <f t="shared" ref="DB8:DB36" si="72">DA8-DA7</f>
        <v>5</v>
      </c>
      <c r="DC8" s="192"/>
      <c r="DD8" s="198">
        <f t="shared" ref="DD8:DD36" si="73">DE7</f>
        <v>20966</v>
      </c>
      <c r="DE8" s="142">
        <v>20968</v>
      </c>
      <c r="DF8" s="142">
        <f t="shared" si="5"/>
        <v>2</v>
      </c>
      <c r="DG8" s="142">
        <f t="shared" ref="DG8:DG36" si="74">DF8-DF7</f>
        <v>0</v>
      </c>
      <c r="DH8" s="192"/>
      <c r="DI8" s="198">
        <f t="shared" ref="DI8:DI36" si="75">DJ7</f>
        <v>9893</v>
      </c>
      <c r="DJ8" s="142">
        <v>9895</v>
      </c>
      <c r="DK8" s="142">
        <f t="shared" si="6"/>
        <v>2</v>
      </c>
      <c r="DL8" s="142">
        <f t="shared" ref="DL8:DL36" si="76">DK8-DK7</f>
        <v>0</v>
      </c>
      <c r="DM8" s="192"/>
      <c r="DN8" s="198">
        <f t="shared" ref="DN8:DN36" si="77">DO7</f>
        <v>26374</v>
      </c>
      <c r="DO8" s="142">
        <v>26394</v>
      </c>
      <c r="DP8" s="142">
        <f t="shared" si="7"/>
        <v>20</v>
      </c>
      <c r="DQ8" s="142">
        <f t="shared" ref="DQ8:DQ36" si="78">DP8-DP7</f>
        <v>-10</v>
      </c>
      <c r="DR8" s="192"/>
      <c r="DS8" s="198">
        <f t="shared" ref="DS8:DS36" si="79">DT7</f>
        <v>2764</v>
      </c>
      <c r="DT8" s="142">
        <v>2764</v>
      </c>
      <c r="DU8" s="142">
        <f t="shared" si="8"/>
        <v>0</v>
      </c>
      <c r="DV8" s="142">
        <f t="shared" ref="DV8:DV36" si="80">DU8-DU7</f>
        <v>-6</v>
      </c>
      <c r="DW8" s="192"/>
      <c r="DX8" s="198">
        <f t="shared" ref="DX8:DX36" si="81">DY7</f>
        <v>58</v>
      </c>
      <c r="DY8" s="142">
        <v>58</v>
      </c>
      <c r="DZ8" s="142">
        <f t="shared" ref="DZ8:DZ36" si="82">DY8-DX8</f>
        <v>0</v>
      </c>
      <c r="EA8" s="142">
        <f t="shared" ref="EA8:EA36" si="83">DZ8-DZ7</f>
        <v>0</v>
      </c>
      <c r="EB8" s="192"/>
      <c r="EC8" s="198">
        <f t="shared" ref="EC8:EC18" si="84">ED7</f>
        <v>0</v>
      </c>
      <c r="ED8" s="142"/>
      <c r="EE8" s="192">
        <f t="shared" si="25"/>
        <v>0</v>
      </c>
      <c r="EF8" s="198">
        <f t="shared" ref="EF8:EF14" si="85">EG7</f>
        <v>0</v>
      </c>
      <c r="EG8" s="142"/>
      <c r="EH8" s="192">
        <f t="shared" si="26"/>
        <v>0</v>
      </c>
      <c r="EI8" s="198">
        <f t="shared" ref="EI8:EI14" si="86">EJ7</f>
        <v>0</v>
      </c>
      <c r="EJ8" s="142"/>
      <c r="EK8" s="192">
        <f t="shared" si="27"/>
        <v>0</v>
      </c>
      <c r="EL8" s="198">
        <f t="shared" ref="EL8:EL16" si="87">EM7</f>
        <v>0</v>
      </c>
      <c r="EM8" s="142"/>
      <c r="EN8" s="192">
        <f t="shared" si="28"/>
        <v>0</v>
      </c>
      <c r="EO8" s="198">
        <f t="shared" ref="EO8:EO36" si="88">EP7</f>
        <v>0</v>
      </c>
      <c r="EP8" s="142"/>
      <c r="EQ8" s="192">
        <f t="shared" si="29"/>
        <v>0</v>
      </c>
      <c r="ER8" s="198">
        <f t="shared" ref="ER8:ER36" si="89">ES7</f>
        <v>0</v>
      </c>
      <c r="ES8" s="142"/>
      <c r="ET8" s="192">
        <f t="shared" si="30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1"/>
        <v>0</v>
      </c>
      <c r="FA8" s="198">
        <f t="shared" ref="FA8:FA36" si="93">FB7</f>
        <v>0</v>
      </c>
      <c r="FB8" s="142"/>
      <c r="FC8" s="192">
        <f t="shared" si="32"/>
        <v>0</v>
      </c>
      <c r="FD8" s="198">
        <f t="shared" ref="FD8:FD36" si="94">FE7</f>
        <v>0</v>
      </c>
      <c r="FE8" s="142"/>
      <c r="FF8" s="192">
        <f t="shared" si="33"/>
        <v>0</v>
      </c>
      <c r="FG8" s="198">
        <f t="shared" ref="FG8:FG36" si="95">FH7</f>
        <v>0</v>
      </c>
      <c r="FH8" s="142"/>
      <c r="FI8" s="192">
        <f t="shared" si="34"/>
        <v>0</v>
      </c>
      <c r="FJ8" s="198">
        <f t="shared" ref="FJ8:FJ36" si="96">FK7</f>
        <v>0</v>
      </c>
      <c r="FK8" s="142"/>
      <c r="FL8" s="192">
        <f t="shared" si="35"/>
        <v>0</v>
      </c>
      <c r="FM8" s="198">
        <f t="shared" ref="FM8:FM36" si="97">FN7</f>
        <v>0</v>
      </c>
      <c r="FN8" s="142"/>
      <c r="FO8" s="192">
        <f t="shared" si="36"/>
        <v>0</v>
      </c>
      <c r="FP8" s="198">
        <f t="shared" ref="FP8:FP36" si="98">FQ7</f>
        <v>0</v>
      </c>
      <c r="FQ8" s="142"/>
      <c r="FR8" s="192">
        <f t="shared" si="37"/>
        <v>0</v>
      </c>
    </row>
    <row r="9" spans="1:174" ht="15" customHeight="1" x14ac:dyDescent="0.2">
      <c r="A9" s="140">
        <v>4</v>
      </c>
      <c r="B9" s="140">
        <f t="shared" si="38"/>
        <v>2194</v>
      </c>
      <c r="C9" s="141">
        <v>2424</v>
      </c>
      <c r="D9" s="135">
        <f t="shared" si="9"/>
        <v>230</v>
      </c>
      <c r="E9" s="185"/>
      <c r="F9" s="140">
        <v>4</v>
      </c>
      <c r="G9" s="140">
        <f t="shared" si="39"/>
        <v>39028</v>
      </c>
      <c r="H9" s="134">
        <v>39028</v>
      </c>
      <c r="I9" s="135">
        <f t="shared" si="10"/>
        <v>0</v>
      </c>
      <c r="J9" s="185"/>
      <c r="K9" s="140">
        <v>4</v>
      </c>
      <c r="L9" s="140">
        <f t="shared" si="40"/>
        <v>848570</v>
      </c>
      <c r="M9" s="141">
        <v>848571</v>
      </c>
      <c r="N9" s="135">
        <f t="shared" si="11"/>
        <v>1</v>
      </c>
      <c r="O9" s="137"/>
      <c r="P9" s="140">
        <v>4</v>
      </c>
      <c r="Q9" s="140">
        <f t="shared" si="41"/>
        <v>244063</v>
      </c>
      <c r="R9" s="141">
        <v>244207</v>
      </c>
      <c r="S9" s="135">
        <f t="shared" si="12"/>
        <v>144</v>
      </c>
      <c r="T9" s="136"/>
      <c r="U9" s="138">
        <v>4</v>
      </c>
      <c r="V9" s="200">
        <f>SUM(S9+N9+I9+D9)</f>
        <v>375</v>
      </c>
      <c r="W9" s="139">
        <f>'Maldives at LG Daily'!BP8</f>
        <v>40.799999999999997</v>
      </c>
      <c r="X9" s="142">
        <v>98</v>
      </c>
      <c r="Y9" s="314">
        <f t="shared" si="14"/>
        <v>3.8265306122448979</v>
      </c>
      <c r="AA9" s="194">
        <v>4</v>
      </c>
      <c r="AB9" s="142">
        <f t="shared" si="42"/>
        <v>47125</v>
      </c>
      <c r="AC9" s="142">
        <v>47146</v>
      </c>
      <c r="AD9" s="142">
        <f t="shared" si="15"/>
        <v>21</v>
      </c>
      <c r="AE9" s="142">
        <f t="shared" ref="AE9:AE36" si="99">AD9-AD8</f>
        <v>1</v>
      </c>
      <c r="AF9" s="288"/>
      <c r="AG9" s="194">
        <f t="shared" si="43"/>
        <v>10545</v>
      </c>
      <c r="AH9" s="142">
        <v>10549</v>
      </c>
      <c r="AI9" s="142">
        <f t="shared" si="44"/>
        <v>4</v>
      </c>
      <c r="AJ9" s="142">
        <f t="shared" ref="AJ9:AJ36" si="100">AI9-AI8</f>
        <v>-4</v>
      </c>
      <c r="AK9" s="142"/>
      <c r="AL9" s="194">
        <f t="shared" si="45"/>
        <v>9824</v>
      </c>
      <c r="AM9" s="142">
        <v>9833</v>
      </c>
      <c r="AN9" s="142">
        <f t="shared" si="16"/>
        <v>9</v>
      </c>
      <c r="AO9" s="142">
        <f t="shared" si="46"/>
        <v>0</v>
      </c>
      <c r="AP9" s="142"/>
      <c r="AQ9" s="194">
        <f t="shared" si="47"/>
        <v>19239</v>
      </c>
      <c r="AR9" s="142">
        <v>19252</v>
      </c>
      <c r="AS9" s="142">
        <f t="shared" si="17"/>
        <v>13</v>
      </c>
      <c r="AT9" s="142">
        <f t="shared" si="48"/>
        <v>1</v>
      </c>
      <c r="AU9" s="142"/>
      <c r="AV9" s="194">
        <f t="shared" si="49"/>
        <v>35446</v>
      </c>
      <c r="AW9" s="142">
        <v>35454</v>
      </c>
      <c r="AX9" s="142">
        <f t="shared" si="18"/>
        <v>8</v>
      </c>
      <c r="AY9" s="142">
        <f t="shared" si="50"/>
        <v>0</v>
      </c>
      <c r="AZ9" s="142"/>
      <c r="BA9" s="194">
        <f t="shared" si="51"/>
        <v>9255</v>
      </c>
      <c r="BB9" s="142">
        <v>9261</v>
      </c>
      <c r="BC9" s="142">
        <f t="shared" si="19"/>
        <v>6</v>
      </c>
      <c r="BD9" s="142">
        <f t="shared" si="52"/>
        <v>-1</v>
      </c>
      <c r="BE9" s="142"/>
      <c r="BF9" s="194">
        <f t="shared" si="53"/>
        <v>26037</v>
      </c>
      <c r="BG9" s="142">
        <v>26046</v>
      </c>
      <c r="BH9" s="142">
        <f t="shared" si="20"/>
        <v>9</v>
      </c>
      <c r="BI9" s="142">
        <f t="shared" si="54"/>
        <v>0</v>
      </c>
      <c r="BJ9" s="142"/>
      <c r="BK9" s="194">
        <f t="shared" si="55"/>
        <v>10036</v>
      </c>
      <c r="BL9" s="142">
        <v>10044</v>
      </c>
      <c r="BM9" s="142">
        <f t="shared" si="21"/>
        <v>8</v>
      </c>
      <c r="BN9" s="142">
        <f t="shared" si="56"/>
        <v>0</v>
      </c>
      <c r="BO9" s="142"/>
      <c r="BP9" s="194">
        <f t="shared" si="57"/>
        <v>4168</v>
      </c>
      <c r="BQ9" s="142">
        <v>4168</v>
      </c>
      <c r="BR9" s="321">
        <f t="shared" si="22"/>
        <v>0</v>
      </c>
      <c r="BS9" s="142">
        <f t="shared" si="58"/>
        <v>-1</v>
      </c>
      <c r="BT9" s="142"/>
      <c r="BU9" s="194">
        <f t="shared" si="59"/>
        <v>1865</v>
      </c>
      <c r="BV9" s="142">
        <v>1865</v>
      </c>
      <c r="BW9" s="142">
        <f t="shared" si="23"/>
        <v>0</v>
      </c>
      <c r="BX9" s="142">
        <f t="shared" si="60"/>
        <v>0</v>
      </c>
      <c r="BY9" s="142"/>
      <c r="BZ9" s="198">
        <f t="shared" si="61"/>
        <v>29185</v>
      </c>
      <c r="CA9" s="142">
        <v>29188</v>
      </c>
      <c r="CB9" s="321">
        <f t="shared" si="24"/>
        <v>3</v>
      </c>
      <c r="CC9" s="142">
        <f t="shared" si="62"/>
        <v>-3</v>
      </c>
      <c r="CD9" s="192"/>
      <c r="CE9" s="198">
        <f t="shared" si="63"/>
        <v>3490</v>
      </c>
      <c r="CF9" s="142">
        <v>3490</v>
      </c>
      <c r="CG9" s="142">
        <f t="shared" si="0"/>
        <v>0</v>
      </c>
      <c r="CH9" s="142">
        <f t="shared" si="64"/>
        <v>-2</v>
      </c>
      <c r="CI9" s="192"/>
      <c r="CJ9" s="198">
        <f t="shared" si="65"/>
        <v>85049</v>
      </c>
      <c r="CK9" s="142">
        <v>85049</v>
      </c>
      <c r="CL9" s="142">
        <f t="shared" si="1"/>
        <v>0</v>
      </c>
      <c r="CM9" s="142">
        <f t="shared" si="66"/>
        <v>-24</v>
      </c>
      <c r="CN9" s="192"/>
      <c r="CO9" s="198">
        <f t="shared" si="67"/>
        <v>25992</v>
      </c>
      <c r="CP9" s="142">
        <v>25992</v>
      </c>
      <c r="CQ9" s="142">
        <f t="shared" si="2"/>
        <v>0</v>
      </c>
      <c r="CR9" s="142">
        <f t="shared" si="68"/>
        <v>-7</v>
      </c>
      <c r="CS9" s="192"/>
      <c r="CT9" s="198">
        <f t="shared" si="69"/>
        <v>12821</v>
      </c>
      <c r="CU9" s="142">
        <v>12821</v>
      </c>
      <c r="CV9" s="142">
        <f t="shared" si="3"/>
        <v>0</v>
      </c>
      <c r="CW9" s="142">
        <f t="shared" si="70"/>
        <v>-2</v>
      </c>
      <c r="CX9" s="192"/>
      <c r="CY9" s="198">
        <f t="shared" si="71"/>
        <v>19695</v>
      </c>
      <c r="CZ9" s="142">
        <v>19697</v>
      </c>
      <c r="DA9" s="142">
        <f t="shared" si="4"/>
        <v>2</v>
      </c>
      <c r="DB9" s="142">
        <f t="shared" si="72"/>
        <v>-4</v>
      </c>
      <c r="DC9" s="192"/>
      <c r="DD9" s="198">
        <f t="shared" si="73"/>
        <v>20968</v>
      </c>
      <c r="DE9" s="142">
        <v>20970</v>
      </c>
      <c r="DF9" s="142">
        <f t="shared" si="5"/>
        <v>2</v>
      </c>
      <c r="DG9" s="142">
        <f t="shared" si="74"/>
        <v>0</v>
      </c>
      <c r="DH9" s="192"/>
      <c r="DI9" s="198">
        <f t="shared" si="75"/>
        <v>9895</v>
      </c>
      <c r="DJ9" s="142">
        <v>9897</v>
      </c>
      <c r="DK9" s="142">
        <f t="shared" si="6"/>
        <v>2</v>
      </c>
      <c r="DL9" s="142">
        <f t="shared" si="76"/>
        <v>0</v>
      </c>
      <c r="DM9" s="192"/>
      <c r="DN9" s="198">
        <f t="shared" si="77"/>
        <v>26394</v>
      </c>
      <c r="DO9" s="142">
        <v>26394</v>
      </c>
      <c r="DP9" s="142">
        <f t="shared" si="7"/>
        <v>0</v>
      </c>
      <c r="DQ9" s="142">
        <f t="shared" si="78"/>
        <v>-20</v>
      </c>
      <c r="DR9" s="192"/>
      <c r="DS9" s="198">
        <f t="shared" si="79"/>
        <v>2764</v>
      </c>
      <c r="DT9" s="142">
        <v>2764</v>
      </c>
      <c r="DU9" s="142">
        <f t="shared" si="8"/>
        <v>0</v>
      </c>
      <c r="DV9" s="142">
        <f t="shared" si="80"/>
        <v>0</v>
      </c>
      <c r="DW9" s="192"/>
      <c r="DX9" s="198">
        <f t="shared" si="81"/>
        <v>58</v>
      </c>
      <c r="DY9" s="142">
        <v>58</v>
      </c>
      <c r="DZ9" s="142">
        <f t="shared" si="82"/>
        <v>0</v>
      </c>
      <c r="EA9" s="142">
        <f t="shared" si="83"/>
        <v>0</v>
      </c>
      <c r="EB9" s="192"/>
      <c r="EC9" s="198">
        <f t="shared" si="84"/>
        <v>0</v>
      </c>
      <c r="ED9" s="142"/>
      <c r="EE9" s="192">
        <f t="shared" si="25"/>
        <v>0</v>
      </c>
      <c r="EF9" s="198">
        <f t="shared" si="85"/>
        <v>0</v>
      </c>
      <c r="EG9" s="142"/>
      <c r="EH9" s="192">
        <f t="shared" si="26"/>
        <v>0</v>
      </c>
      <c r="EI9" s="198">
        <f t="shared" si="86"/>
        <v>0</v>
      </c>
      <c r="EJ9" s="142"/>
      <c r="EK9" s="192">
        <f t="shared" si="27"/>
        <v>0</v>
      </c>
      <c r="EL9" s="198">
        <f t="shared" si="87"/>
        <v>0</v>
      </c>
      <c r="EM9" s="142"/>
      <c r="EN9" s="192">
        <f t="shared" si="28"/>
        <v>0</v>
      </c>
      <c r="EO9" s="198">
        <f t="shared" si="88"/>
        <v>0</v>
      </c>
      <c r="EP9" s="142"/>
      <c r="EQ9" s="192">
        <f t="shared" si="29"/>
        <v>0</v>
      </c>
      <c r="ER9" s="198">
        <f t="shared" si="89"/>
        <v>0</v>
      </c>
      <c r="ES9" s="142"/>
      <c r="ET9" s="192">
        <f t="shared" si="30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1"/>
        <v>0</v>
      </c>
      <c r="FA9" s="198">
        <f t="shared" si="93"/>
        <v>0</v>
      </c>
      <c r="FB9" s="142"/>
      <c r="FC9" s="192">
        <f t="shared" si="32"/>
        <v>0</v>
      </c>
      <c r="FD9" s="198">
        <f t="shared" si="94"/>
        <v>0</v>
      </c>
      <c r="FE9" s="142"/>
      <c r="FF9" s="192">
        <f t="shared" si="33"/>
        <v>0</v>
      </c>
      <c r="FG9" s="198">
        <f t="shared" si="95"/>
        <v>0</v>
      </c>
      <c r="FH9" s="142"/>
      <c r="FI9" s="192">
        <f t="shared" si="34"/>
        <v>0</v>
      </c>
      <c r="FJ9" s="198">
        <f t="shared" si="96"/>
        <v>0</v>
      </c>
      <c r="FK9" s="142"/>
      <c r="FL9" s="192">
        <f t="shared" si="35"/>
        <v>0</v>
      </c>
      <c r="FM9" s="198">
        <f t="shared" si="97"/>
        <v>0</v>
      </c>
      <c r="FN9" s="142"/>
      <c r="FO9" s="192">
        <f t="shared" si="36"/>
        <v>0</v>
      </c>
      <c r="FP9" s="198">
        <f t="shared" si="98"/>
        <v>0</v>
      </c>
      <c r="FQ9" s="142"/>
      <c r="FR9" s="192">
        <f t="shared" si="37"/>
        <v>0</v>
      </c>
    </row>
    <row r="10" spans="1:174" ht="15" customHeight="1" x14ac:dyDescent="0.2">
      <c r="A10" s="140">
        <v>5</v>
      </c>
      <c r="B10" s="140">
        <f t="shared" si="38"/>
        <v>2424</v>
      </c>
      <c r="C10" s="141">
        <v>2637</v>
      </c>
      <c r="D10" s="135">
        <f t="shared" si="9"/>
        <v>213</v>
      </c>
      <c r="E10" s="185"/>
      <c r="F10" s="140">
        <v>5</v>
      </c>
      <c r="G10" s="140">
        <f t="shared" si="39"/>
        <v>39028</v>
      </c>
      <c r="H10" s="134">
        <v>39028</v>
      </c>
      <c r="I10" s="135">
        <f t="shared" si="10"/>
        <v>0</v>
      </c>
      <c r="J10" s="185"/>
      <c r="K10" s="140">
        <v>5</v>
      </c>
      <c r="L10" s="140">
        <f t="shared" si="40"/>
        <v>848571</v>
      </c>
      <c r="M10" s="141">
        <v>848600</v>
      </c>
      <c r="N10" s="135">
        <f t="shared" si="11"/>
        <v>29</v>
      </c>
      <c r="O10" s="137"/>
      <c r="P10" s="140">
        <v>5</v>
      </c>
      <c r="Q10" s="140">
        <f t="shared" si="41"/>
        <v>244207</v>
      </c>
      <c r="R10" s="141">
        <v>244336</v>
      </c>
      <c r="S10" s="135">
        <f t="shared" si="12"/>
        <v>129</v>
      </c>
      <c r="T10" s="136"/>
      <c r="U10" s="140">
        <v>5</v>
      </c>
      <c r="V10" s="200">
        <f t="shared" si="13"/>
        <v>371</v>
      </c>
      <c r="W10" s="139">
        <f>'Maldives at LG Daily'!BP9</f>
        <v>38.799999999999997</v>
      </c>
      <c r="X10" s="142">
        <v>73</v>
      </c>
      <c r="Y10" s="314">
        <f t="shared" si="14"/>
        <v>5.0821917808219181</v>
      </c>
      <c r="AA10" s="194">
        <v>5</v>
      </c>
      <c r="AB10" s="142">
        <f t="shared" si="42"/>
        <v>47146</v>
      </c>
      <c r="AC10" s="142">
        <v>47167</v>
      </c>
      <c r="AD10" s="142">
        <f t="shared" si="15"/>
        <v>21</v>
      </c>
      <c r="AE10" s="142">
        <f t="shared" si="99"/>
        <v>0</v>
      </c>
      <c r="AF10" s="288"/>
      <c r="AG10" s="194">
        <f t="shared" si="43"/>
        <v>10549</v>
      </c>
      <c r="AH10" s="142">
        <f>AH9+6</f>
        <v>10555</v>
      </c>
      <c r="AI10" s="142">
        <f t="shared" si="44"/>
        <v>6</v>
      </c>
      <c r="AJ10" s="142">
        <f t="shared" si="100"/>
        <v>2</v>
      </c>
      <c r="AK10" s="142"/>
      <c r="AL10" s="194">
        <f t="shared" si="45"/>
        <v>9833</v>
      </c>
      <c r="AM10" s="142">
        <v>9843</v>
      </c>
      <c r="AN10" s="142">
        <f t="shared" si="16"/>
        <v>10</v>
      </c>
      <c r="AO10" s="142">
        <f t="shared" si="46"/>
        <v>1</v>
      </c>
      <c r="AP10" s="142"/>
      <c r="AQ10" s="194">
        <f t="shared" si="47"/>
        <v>19252</v>
      </c>
      <c r="AR10" s="142">
        <v>19265</v>
      </c>
      <c r="AS10" s="142">
        <f t="shared" si="17"/>
        <v>13</v>
      </c>
      <c r="AT10" s="142">
        <f t="shared" si="48"/>
        <v>0</v>
      </c>
      <c r="AU10" s="142"/>
      <c r="AV10" s="194">
        <f t="shared" si="49"/>
        <v>35454</v>
      </c>
      <c r="AW10" s="142">
        <v>35463</v>
      </c>
      <c r="AX10" s="142">
        <f t="shared" si="18"/>
        <v>9</v>
      </c>
      <c r="AY10" s="142">
        <f t="shared" si="50"/>
        <v>1</v>
      </c>
      <c r="AZ10" s="142"/>
      <c r="BA10" s="194">
        <f t="shared" si="51"/>
        <v>9261</v>
      </c>
      <c r="BB10" s="142">
        <v>9267</v>
      </c>
      <c r="BC10" s="142">
        <f t="shared" si="19"/>
        <v>6</v>
      </c>
      <c r="BD10" s="142">
        <f t="shared" si="52"/>
        <v>0</v>
      </c>
      <c r="BE10" s="142"/>
      <c r="BF10" s="194">
        <f t="shared" si="53"/>
        <v>26046</v>
      </c>
      <c r="BG10" s="142">
        <v>26055</v>
      </c>
      <c r="BH10" s="142">
        <f t="shared" si="20"/>
        <v>9</v>
      </c>
      <c r="BI10" s="142">
        <f t="shared" si="54"/>
        <v>0</v>
      </c>
      <c r="BJ10" s="142"/>
      <c r="BK10" s="194">
        <f t="shared" si="55"/>
        <v>10044</v>
      </c>
      <c r="BL10" s="142">
        <v>10052</v>
      </c>
      <c r="BM10" s="142">
        <f t="shared" si="21"/>
        <v>8</v>
      </c>
      <c r="BN10" s="142">
        <f t="shared" si="56"/>
        <v>0</v>
      </c>
      <c r="BO10" s="142"/>
      <c r="BP10" s="194">
        <f t="shared" si="57"/>
        <v>4168</v>
      </c>
      <c r="BQ10" s="142">
        <v>4171</v>
      </c>
      <c r="BR10" s="321">
        <f t="shared" si="22"/>
        <v>3</v>
      </c>
      <c r="BS10" s="142">
        <f t="shared" si="58"/>
        <v>3</v>
      </c>
      <c r="BT10" s="142"/>
      <c r="BU10" s="194">
        <f t="shared" si="59"/>
        <v>1865</v>
      </c>
      <c r="BV10" s="142">
        <v>1865</v>
      </c>
      <c r="BW10" s="142">
        <f t="shared" si="23"/>
        <v>0</v>
      </c>
      <c r="BX10" s="142">
        <f t="shared" si="60"/>
        <v>0</v>
      </c>
      <c r="BY10" s="142"/>
      <c r="BZ10" s="198">
        <f t="shared" si="61"/>
        <v>29188</v>
      </c>
      <c r="CA10" s="142">
        <v>29191</v>
      </c>
      <c r="CB10" s="321">
        <f t="shared" si="24"/>
        <v>3</v>
      </c>
      <c r="CC10" s="142">
        <f t="shared" si="62"/>
        <v>0</v>
      </c>
      <c r="CD10" s="192"/>
      <c r="CE10" s="198">
        <f t="shared" si="63"/>
        <v>3490</v>
      </c>
      <c r="CF10" s="142">
        <v>3494</v>
      </c>
      <c r="CG10" s="142">
        <f t="shared" si="0"/>
        <v>4</v>
      </c>
      <c r="CH10" s="142">
        <f t="shared" si="64"/>
        <v>4</v>
      </c>
      <c r="CI10" s="192"/>
      <c r="CJ10" s="198">
        <f t="shared" si="65"/>
        <v>85049</v>
      </c>
      <c r="CK10" s="142">
        <v>85099</v>
      </c>
      <c r="CL10" s="142">
        <f t="shared" si="1"/>
        <v>50</v>
      </c>
      <c r="CM10" s="142">
        <f t="shared" si="66"/>
        <v>50</v>
      </c>
      <c r="CN10" s="192"/>
      <c r="CO10" s="198">
        <f t="shared" si="67"/>
        <v>25992</v>
      </c>
      <c r="CP10" s="142">
        <v>26010</v>
      </c>
      <c r="CQ10" s="142">
        <f t="shared" si="2"/>
        <v>18</v>
      </c>
      <c r="CR10" s="142">
        <f t="shared" si="68"/>
        <v>18</v>
      </c>
      <c r="CS10" s="192"/>
      <c r="CT10" s="198">
        <f t="shared" si="69"/>
        <v>12821</v>
      </c>
      <c r="CU10" s="142">
        <v>12822</v>
      </c>
      <c r="CV10" s="142">
        <f t="shared" si="3"/>
        <v>1</v>
      </c>
      <c r="CW10" s="142">
        <f t="shared" si="70"/>
        <v>1</v>
      </c>
      <c r="CX10" s="192"/>
      <c r="CY10" s="198">
        <f t="shared" si="71"/>
        <v>19697</v>
      </c>
      <c r="CZ10" s="142">
        <v>19701</v>
      </c>
      <c r="DA10" s="142">
        <f t="shared" si="4"/>
        <v>4</v>
      </c>
      <c r="DB10" s="142">
        <f t="shared" si="72"/>
        <v>2</v>
      </c>
      <c r="DC10" s="192"/>
      <c r="DD10" s="198">
        <f t="shared" si="73"/>
        <v>20970</v>
      </c>
      <c r="DE10" s="142">
        <v>20972</v>
      </c>
      <c r="DF10" s="142">
        <f t="shared" si="5"/>
        <v>2</v>
      </c>
      <c r="DG10" s="142">
        <f t="shared" si="74"/>
        <v>0</v>
      </c>
      <c r="DH10" s="192"/>
      <c r="DI10" s="198">
        <f t="shared" si="75"/>
        <v>9897</v>
      </c>
      <c r="DJ10" s="142">
        <v>9897</v>
      </c>
      <c r="DK10" s="142">
        <f t="shared" si="6"/>
        <v>0</v>
      </c>
      <c r="DL10" s="142">
        <f t="shared" si="76"/>
        <v>-2</v>
      </c>
      <c r="DM10" s="192"/>
      <c r="DN10" s="198">
        <f t="shared" si="77"/>
        <v>26394</v>
      </c>
      <c r="DO10" s="142">
        <v>26394</v>
      </c>
      <c r="DP10" s="142">
        <f t="shared" si="7"/>
        <v>0</v>
      </c>
      <c r="DQ10" s="142">
        <f t="shared" si="78"/>
        <v>0</v>
      </c>
      <c r="DR10" s="192"/>
      <c r="DS10" s="198">
        <f t="shared" si="79"/>
        <v>2764</v>
      </c>
      <c r="DT10" s="142">
        <v>2765</v>
      </c>
      <c r="DU10" s="142">
        <f t="shared" si="8"/>
        <v>1</v>
      </c>
      <c r="DV10" s="142">
        <f t="shared" si="80"/>
        <v>1</v>
      </c>
      <c r="DW10" s="192"/>
      <c r="DX10" s="198">
        <f t="shared" si="81"/>
        <v>58</v>
      </c>
      <c r="DY10" s="142">
        <v>64</v>
      </c>
      <c r="DZ10" s="142">
        <f t="shared" si="82"/>
        <v>6</v>
      </c>
      <c r="EA10" s="142">
        <f t="shared" si="83"/>
        <v>6</v>
      </c>
      <c r="EB10" s="192"/>
      <c r="EC10" s="198">
        <f t="shared" si="84"/>
        <v>0</v>
      </c>
      <c r="ED10" s="142"/>
      <c r="EE10" s="192">
        <f t="shared" si="25"/>
        <v>0</v>
      </c>
      <c r="EF10" s="198">
        <f t="shared" si="85"/>
        <v>0</v>
      </c>
      <c r="EG10" s="142"/>
      <c r="EH10" s="192">
        <f t="shared" si="26"/>
        <v>0</v>
      </c>
      <c r="EI10" s="198">
        <f t="shared" si="86"/>
        <v>0</v>
      </c>
      <c r="EJ10" s="142"/>
      <c r="EK10" s="192">
        <f t="shared" si="27"/>
        <v>0</v>
      </c>
      <c r="EL10" s="198">
        <f t="shared" si="87"/>
        <v>0</v>
      </c>
      <c r="EM10" s="142"/>
      <c r="EN10" s="192">
        <f t="shared" si="28"/>
        <v>0</v>
      </c>
      <c r="EO10" s="198">
        <f t="shared" si="88"/>
        <v>0</v>
      </c>
      <c r="EP10" s="142"/>
      <c r="EQ10" s="192">
        <f t="shared" si="29"/>
        <v>0</v>
      </c>
      <c r="ER10" s="198">
        <f t="shared" si="89"/>
        <v>0</v>
      </c>
      <c r="ES10" s="142"/>
      <c r="ET10" s="192">
        <f t="shared" si="30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1"/>
        <v>0</v>
      </c>
      <c r="FA10" s="198">
        <f t="shared" si="93"/>
        <v>0</v>
      </c>
      <c r="FB10" s="142"/>
      <c r="FC10" s="192">
        <f t="shared" si="32"/>
        <v>0</v>
      </c>
      <c r="FD10" s="198">
        <f t="shared" si="94"/>
        <v>0</v>
      </c>
      <c r="FE10" s="142"/>
      <c r="FF10" s="192">
        <f t="shared" si="33"/>
        <v>0</v>
      </c>
      <c r="FG10" s="198">
        <f t="shared" si="95"/>
        <v>0</v>
      </c>
      <c r="FH10" s="142"/>
      <c r="FI10" s="192">
        <f t="shared" si="34"/>
        <v>0</v>
      </c>
      <c r="FJ10" s="198">
        <f t="shared" si="96"/>
        <v>0</v>
      </c>
      <c r="FK10" s="142"/>
      <c r="FL10" s="192">
        <f t="shared" si="35"/>
        <v>0</v>
      </c>
      <c r="FM10" s="198">
        <f t="shared" si="97"/>
        <v>0</v>
      </c>
      <c r="FN10" s="142"/>
      <c r="FO10" s="192">
        <f t="shared" si="36"/>
        <v>0</v>
      </c>
      <c r="FP10" s="198">
        <f t="shared" si="98"/>
        <v>0</v>
      </c>
      <c r="FQ10" s="142"/>
      <c r="FR10" s="192">
        <f t="shared" si="37"/>
        <v>0</v>
      </c>
    </row>
    <row r="11" spans="1:174" ht="15" customHeight="1" x14ac:dyDescent="0.2">
      <c r="A11" s="140">
        <v>6</v>
      </c>
      <c r="B11" s="140">
        <f t="shared" si="38"/>
        <v>2637</v>
      </c>
      <c r="C11" s="141">
        <v>2882</v>
      </c>
      <c r="D11" s="135">
        <f t="shared" si="9"/>
        <v>245</v>
      </c>
      <c r="E11" s="185"/>
      <c r="F11" s="140">
        <v>6</v>
      </c>
      <c r="G11" s="140">
        <f t="shared" si="39"/>
        <v>39028</v>
      </c>
      <c r="H11" s="134">
        <v>39028</v>
      </c>
      <c r="I11" s="135">
        <f t="shared" si="10"/>
        <v>0</v>
      </c>
      <c r="J11" s="185"/>
      <c r="K11" s="140">
        <v>6</v>
      </c>
      <c r="L11" s="140">
        <f t="shared" si="40"/>
        <v>848600</v>
      </c>
      <c r="M11" s="141">
        <v>848600</v>
      </c>
      <c r="N11" s="135">
        <f t="shared" si="11"/>
        <v>0</v>
      </c>
      <c r="O11" s="137"/>
      <c r="P11" s="140">
        <v>6</v>
      </c>
      <c r="Q11" s="140">
        <f t="shared" si="41"/>
        <v>244336</v>
      </c>
      <c r="R11" s="141">
        <v>244476</v>
      </c>
      <c r="S11" s="135">
        <f t="shared" si="12"/>
        <v>140</v>
      </c>
      <c r="T11" s="136"/>
      <c r="U11" s="138">
        <v>6</v>
      </c>
      <c r="V11" s="200">
        <f t="shared" si="13"/>
        <v>385</v>
      </c>
      <c r="W11" s="139">
        <f>'Maldives at LG Daily'!BP10</f>
        <v>31.1</v>
      </c>
      <c r="X11" s="142">
        <v>81</v>
      </c>
      <c r="Y11" s="314">
        <f t="shared" si="14"/>
        <v>4.7530864197530862</v>
      </c>
      <c r="AA11" s="194">
        <v>6</v>
      </c>
      <c r="AB11" s="142">
        <f t="shared" si="42"/>
        <v>47167</v>
      </c>
      <c r="AC11" s="142">
        <v>47189</v>
      </c>
      <c r="AD11" s="142">
        <f t="shared" si="15"/>
        <v>22</v>
      </c>
      <c r="AE11" s="142">
        <f t="shared" si="99"/>
        <v>1</v>
      </c>
      <c r="AF11" s="288"/>
      <c r="AG11" s="194">
        <f t="shared" si="43"/>
        <v>10555</v>
      </c>
      <c r="AH11" s="142">
        <v>10561</v>
      </c>
      <c r="AI11" s="142">
        <f t="shared" si="44"/>
        <v>6</v>
      </c>
      <c r="AJ11" s="142">
        <f t="shared" si="100"/>
        <v>0</v>
      </c>
      <c r="AK11" s="142"/>
      <c r="AL11" s="194">
        <f t="shared" si="45"/>
        <v>9843</v>
      </c>
      <c r="AM11" s="142">
        <v>9853</v>
      </c>
      <c r="AN11" s="142">
        <f t="shared" si="16"/>
        <v>10</v>
      </c>
      <c r="AO11" s="142">
        <f t="shared" si="46"/>
        <v>0</v>
      </c>
      <c r="AP11" s="142"/>
      <c r="AQ11" s="194">
        <f t="shared" si="47"/>
        <v>19265</v>
      </c>
      <c r="AR11" s="142">
        <v>19276</v>
      </c>
      <c r="AS11" s="142">
        <f t="shared" si="17"/>
        <v>11</v>
      </c>
      <c r="AT11" s="142">
        <f t="shared" si="48"/>
        <v>-2</v>
      </c>
      <c r="AU11" s="142"/>
      <c r="AV11" s="194">
        <f t="shared" si="49"/>
        <v>35463</v>
      </c>
      <c r="AW11" s="142">
        <v>35471</v>
      </c>
      <c r="AX11" s="142">
        <f t="shared" si="18"/>
        <v>8</v>
      </c>
      <c r="AY11" s="142">
        <f t="shared" si="50"/>
        <v>-1</v>
      </c>
      <c r="AZ11" s="142"/>
      <c r="BA11" s="194">
        <f t="shared" si="51"/>
        <v>9267</v>
      </c>
      <c r="BB11" s="142">
        <v>9274</v>
      </c>
      <c r="BC11" s="142">
        <f t="shared" si="19"/>
        <v>7</v>
      </c>
      <c r="BD11" s="142">
        <f t="shared" si="52"/>
        <v>1</v>
      </c>
      <c r="BE11" s="142"/>
      <c r="BF11" s="194">
        <f t="shared" si="53"/>
        <v>26055</v>
      </c>
      <c r="BG11" s="142">
        <v>26066</v>
      </c>
      <c r="BH11" s="142">
        <f t="shared" si="20"/>
        <v>11</v>
      </c>
      <c r="BI11" s="142">
        <f t="shared" si="54"/>
        <v>2</v>
      </c>
      <c r="BJ11" s="142"/>
      <c r="BK11" s="194">
        <f t="shared" si="55"/>
        <v>10052</v>
      </c>
      <c r="BL11" s="142">
        <v>10061</v>
      </c>
      <c r="BM11" s="142">
        <f t="shared" si="21"/>
        <v>9</v>
      </c>
      <c r="BN11" s="142">
        <f t="shared" si="56"/>
        <v>1</v>
      </c>
      <c r="BO11" s="142"/>
      <c r="BP11" s="194">
        <f t="shared" si="57"/>
        <v>4171</v>
      </c>
      <c r="BQ11" s="142">
        <v>4173</v>
      </c>
      <c r="BR11" s="321">
        <f t="shared" si="22"/>
        <v>2</v>
      </c>
      <c r="BS11" s="142">
        <f t="shared" si="58"/>
        <v>-1</v>
      </c>
      <c r="BT11" s="142"/>
      <c r="BU11" s="194">
        <f t="shared" si="59"/>
        <v>1865</v>
      </c>
      <c r="BV11" s="142">
        <v>1865</v>
      </c>
      <c r="BW11" s="142">
        <f t="shared" si="23"/>
        <v>0</v>
      </c>
      <c r="BX11" s="142">
        <f t="shared" si="60"/>
        <v>0</v>
      </c>
      <c r="BY11" s="142"/>
      <c r="BZ11" s="198">
        <f t="shared" si="61"/>
        <v>29191</v>
      </c>
      <c r="CA11" s="142">
        <v>29193</v>
      </c>
      <c r="CB11" s="321">
        <f t="shared" si="24"/>
        <v>2</v>
      </c>
      <c r="CC11" s="142">
        <f t="shared" si="62"/>
        <v>-1</v>
      </c>
      <c r="CD11" s="192"/>
      <c r="CE11" s="198">
        <f t="shared" si="63"/>
        <v>3494</v>
      </c>
      <c r="CF11" s="142">
        <v>3495</v>
      </c>
      <c r="CG11" s="142">
        <f t="shared" si="0"/>
        <v>1</v>
      </c>
      <c r="CH11" s="142">
        <f t="shared" si="64"/>
        <v>-3</v>
      </c>
      <c r="CI11" s="192"/>
      <c r="CJ11" s="198">
        <f t="shared" si="65"/>
        <v>85099</v>
      </c>
      <c r="CK11" s="142">
        <v>85127</v>
      </c>
      <c r="CL11" s="142">
        <f t="shared" si="1"/>
        <v>28</v>
      </c>
      <c r="CM11" s="142">
        <f t="shared" si="66"/>
        <v>-22</v>
      </c>
      <c r="CN11" s="192"/>
      <c r="CO11" s="198">
        <f t="shared" si="67"/>
        <v>26010</v>
      </c>
      <c r="CP11" s="142">
        <v>26018</v>
      </c>
      <c r="CQ11" s="142">
        <f t="shared" si="2"/>
        <v>8</v>
      </c>
      <c r="CR11" s="142">
        <f t="shared" si="68"/>
        <v>-10</v>
      </c>
      <c r="CS11" s="192"/>
      <c r="CT11" s="198">
        <f t="shared" si="69"/>
        <v>12822</v>
      </c>
      <c r="CU11" s="142">
        <v>12823</v>
      </c>
      <c r="CV11" s="142">
        <f t="shared" si="3"/>
        <v>1</v>
      </c>
      <c r="CW11" s="142">
        <f t="shared" si="70"/>
        <v>0</v>
      </c>
      <c r="CX11" s="192"/>
      <c r="CY11" s="198">
        <f t="shared" si="71"/>
        <v>19701</v>
      </c>
      <c r="CZ11" s="142">
        <v>19703</v>
      </c>
      <c r="DA11" s="142">
        <f t="shared" si="4"/>
        <v>2</v>
      </c>
      <c r="DB11" s="142">
        <f t="shared" si="72"/>
        <v>-2</v>
      </c>
      <c r="DC11" s="192"/>
      <c r="DD11" s="198">
        <f t="shared" si="73"/>
        <v>20972</v>
      </c>
      <c r="DE11" s="142">
        <v>20974</v>
      </c>
      <c r="DF11" s="142">
        <f t="shared" si="5"/>
        <v>2</v>
      </c>
      <c r="DG11" s="142">
        <f t="shared" si="74"/>
        <v>0</v>
      </c>
      <c r="DH11" s="192"/>
      <c r="DI11" s="198">
        <f t="shared" si="75"/>
        <v>9897</v>
      </c>
      <c r="DJ11" s="142">
        <v>9901</v>
      </c>
      <c r="DK11" s="142">
        <f t="shared" si="6"/>
        <v>4</v>
      </c>
      <c r="DL11" s="142">
        <f t="shared" si="76"/>
        <v>4</v>
      </c>
      <c r="DM11" s="192"/>
      <c r="DN11" s="198">
        <f t="shared" si="77"/>
        <v>26394</v>
      </c>
      <c r="DO11" s="142">
        <v>26421</v>
      </c>
      <c r="DP11" s="142">
        <f t="shared" si="7"/>
        <v>27</v>
      </c>
      <c r="DQ11" s="142">
        <f t="shared" si="78"/>
        <v>27</v>
      </c>
      <c r="DR11" s="192"/>
      <c r="DS11" s="198">
        <f t="shared" si="79"/>
        <v>2765</v>
      </c>
      <c r="DT11" s="142">
        <v>2770</v>
      </c>
      <c r="DU11" s="142">
        <f t="shared" si="8"/>
        <v>5</v>
      </c>
      <c r="DV11" s="142">
        <f t="shared" si="80"/>
        <v>4</v>
      </c>
      <c r="DW11" s="192"/>
      <c r="DX11" s="198">
        <f t="shared" si="81"/>
        <v>64</v>
      </c>
      <c r="DY11" s="142">
        <v>66</v>
      </c>
      <c r="DZ11" s="142">
        <f t="shared" si="82"/>
        <v>2</v>
      </c>
      <c r="EA11" s="142">
        <f t="shared" si="83"/>
        <v>-4</v>
      </c>
      <c r="EB11" s="192"/>
      <c r="EC11" s="198">
        <f t="shared" si="84"/>
        <v>0</v>
      </c>
      <c r="ED11" s="142"/>
      <c r="EE11" s="192">
        <f t="shared" si="25"/>
        <v>0</v>
      </c>
      <c r="EF11" s="198">
        <f t="shared" si="85"/>
        <v>0</v>
      </c>
      <c r="EG11" s="142"/>
      <c r="EH11" s="192">
        <f t="shared" si="26"/>
        <v>0</v>
      </c>
      <c r="EI11" s="198">
        <f t="shared" si="86"/>
        <v>0</v>
      </c>
      <c r="EJ11" s="142"/>
      <c r="EK11" s="192">
        <f t="shared" si="27"/>
        <v>0</v>
      </c>
      <c r="EL11" s="198">
        <f t="shared" si="87"/>
        <v>0</v>
      </c>
      <c r="EM11" s="142"/>
      <c r="EN11" s="192">
        <f t="shared" si="28"/>
        <v>0</v>
      </c>
      <c r="EO11" s="198">
        <f t="shared" si="88"/>
        <v>0</v>
      </c>
      <c r="EP11" s="142"/>
      <c r="EQ11" s="192">
        <f t="shared" si="29"/>
        <v>0</v>
      </c>
      <c r="ER11" s="198">
        <f t="shared" si="89"/>
        <v>0</v>
      </c>
      <c r="ES11" s="142"/>
      <c r="ET11" s="192">
        <f t="shared" si="30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1"/>
        <v>0</v>
      </c>
      <c r="FA11" s="198">
        <f t="shared" si="93"/>
        <v>0</v>
      </c>
      <c r="FB11" s="142"/>
      <c r="FC11" s="192">
        <f t="shared" si="32"/>
        <v>0</v>
      </c>
      <c r="FD11" s="198">
        <f t="shared" si="94"/>
        <v>0</v>
      </c>
      <c r="FE11" s="142"/>
      <c r="FF11" s="192">
        <f t="shared" si="33"/>
        <v>0</v>
      </c>
      <c r="FG11" s="198">
        <f t="shared" si="95"/>
        <v>0</v>
      </c>
      <c r="FH11" s="142"/>
      <c r="FI11" s="192">
        <f t="shared" si="34"/>
        <v>0</v>
      </c>
      <c r="FJ11" s="198">
        <f t="shared" si="96"/>
        <v>0</v>
      </c>
      <c r="FK11" s="142"/>
      <c r="FL11" s="192">
        <f t="shared" si="35"/>
        <v>0</v>
      </c>
      <c r="FM11" s="198">
        <f t="shared" si="97"/>
        <v>0</v>
      </c>
      <c r="FN11" s="142"/>
      <c r="FO11" s="192">
        <f t="shared" si="36"/>
        <v>0</v>
      </c>
      <c r="FP11" s="198">
        <f t="shared" si="98"/>
        <v>0</v>
      </c>
      <c r="FQ11" s="142"/>
      <c r="FR11" s="192">
        <f t="shared" si="37"/>
        <v>0</v>
      </c>
    </row>
    <row r="12" spans="1:174" ht="15" customHeight="1" x14ac:dyDescent="0.2">
      <c r="A12" s="140">
        <v>7</v>
      </c>
      <c r="B12" s="140">
        <f t="shared" si="38"/>
        <v>2882</v>
      </c>
      <c r="C12" s="141">
        <v>3111</v>
      </c>
      <c r="D12" s="135">
        <f t="shared" si="9"/>
        <v>229</v>
      </c>
      <c r="E12" s="185"/>
      <c r="F12" s="140">
        <v>7</v>
      </c>
      <c r="G12" s="140">
        <f t="shared" si="39"/>
        <v>39028</v>
      </c>
      <c r="H12" s="134">
        <v>39028</v>
      </c>
      <c r="I12" s="135">
        <f t="shared" si="10"/>
        <v>0</v>
      </c>
      <c r="J12" s="185"/>
      <c r="K12" s="140">
        <v>7</v>
      </c>
      <c r="L12" s="140">
        <f t="shared" si="40"/>
        <v>848600</v>
      </c>
      <c r="M12" s="141">
        <v>848600</v>
      </c>
      <c r="N12" s="135">
        <f t="shared" si="11"/>
        <v>0</v>
      </c>
      <c r="O12" s="137"/>
      <c r="P12" s="140">
        <v>7</v>
      </c>
      <c r="Q12" s="140">
        <f t="shared" si="41"/>
        <v>244476</v>
      </c>
      <c r="R12" s="141">
        <v>244620</v>
      </c>
      <c r="S12" s="135">
        <f>MAX(0,R12-Q12)</f>
        <v>144</v>
      </c>
      <c r="T12" s="136"/>
      <c r="U12" s="138">
        <v>7</v>
      </c>
      <c r="V12" s="200">
        <f>SUM(S12+N12+I12+D12)</f>
        <v>373</v>
      </c>
      <c r="W12" s="139">
        <f>'Maldives at LG Daily'!BP11</f>
        <v>29.1</v>
      </c>
      <c r="X12" s="142">
        <v>80</v>
      </c>
      <c r="Y12" s="314">
        <f t="shared" si="14"/>
        <v>4.6624999999999996</v>
      </c>
      <c r="AA12" s="194">
        <v>7</v>
      </c>
      <c r="AB12" s="142">
        <f t="shared" si="42"/>
        <v>47189</v>
      </c>
      <c r="AC12" s="142">
        <v>47214</v>
      </c>
      <c r="AD12" s="142">
        <f t="shared" si="15"/>
        <v>25</v>
      </c>
      <c r="AE12" s="142">
        <f t="shared" si="99"/>
        <v>3</v>
      </c>
      <c r="AF12" s="288"/>
      <c r="AG12" s="194">
        <f t="shared" si="43"/>
        <v>10561</v>
      </c>
      <c r="AH12" s="142">
        <v>10567</v>
      </c>
      <c r="AI12" s="142">
        <f t="shared" si="44"/>
        <v>6</v>
      </c>
      <c r="AJ12" s="142">
        <f t="shared" si="100"/>
        <v>0</v>
      </c>
      <c r="AK12" s="142"/>
      <c r="AL12" s="194">
        <f t="shared" si="45"/>
        <v>9853</v>
      </c>
      <c r="AM12" s="142">
        <v>9862</v>
      </c>
      <c r="AN12" s="142">
        <f t="shared" si="16"/>
        <v>9</v>
      </c>
      <c r="AO12" s="142">
        <f t="shared" si="46"/>
        <v>-1</v>
      </c>
      <c r="AP12" s="142"/>
      <c r="AQ12" s="194">
        <f t="shared" si="47"/>
        <v>19276</v>
      </c>
      <c r="AR12" s="142">
        <v>19287</v>
      </c>
      <c r="AS12" s="142">
        <f t="shared" si="17"/>
        <v>11</v>
      </c>
      <c r="AT12" s="142">
        <f t="shared" si="48"/>
        <v>0</v>
      </c>
      <c r="AU12" s="142"/>
      <c r="AV12" s="194">
        <f t="shared" si="49"/>
        <v>35471</v>
      </c>
      <c r="AW12" s="142">
        <v>35480</v>
      </c>
      <c r="AX12" s="142">
        <f t="shared" si="18"/>
        <v>9</v>
      </c>
      <c r="AY12" s="142">
        <f t="shared" si="50"/>
        <v>1</v>
      </c>
      <c r="AZ12" s="142"/>
      <c r="BA12" s="194">
        <f t="shared" si="51"/>
        <v>9274</v>
      </c>
      <c r="BB12" s="142">
        <v>9281</v>
      </c>
      <c r="BC12" s="142">
        <f t="shared" si="19"/>
        <v>7</v>
      </c>
      <c r="BD12" s="142">
        <f t="shared" si="52"/>
        <v>0</v>
      </c>
      <c r="BE12" s="142"/>
      <c r="BF12" s="194">
        <f t="shared" si="53"/>
        <v>26066</v>
      </c>
      <c r="BG12" s="142">
        <v>26074</v>
      </c>
      <c r="BH12" s="142">
        <f t="shared" si="20"/>
        <v>8</v>
      </c>
      <c r="BI12" s="142">
        <f t="shared" si="54"/>
        <v>-3</v>
      </c>
      <c r="BJ12" s="142"/>
      <c r="BK12" s="194">
        <f t="shared" si="55"/>
        <v>10061</v>
      </c>
      <c r="BL12" s="142">
        <v>10068</v>
      </c>
      <c r="BM12" s="142">
        <f t="shared" si="21"/>
        <v>7</v>
      </c>
      <c r="BN12" s="142">
        <f t="shared" si="56"/>
        <v>-2</v>
      </c>
      <c r="BO12" s="142"/>
      <c r="BP12" s="194">
        <f t="shared" si="57"/>
        <v>4173</v>
      </c>
      <c r="BQ12" s="142">
        <v>4175</v>
      </c>
      <c r="BR12" s="321">
        <f t="shared" si="22"/>
        <v>2</v>
      </c>
      <c r="BS12" s="142">
        <f t="shared" si="58"/>
        <v>0</v>
      </c>
      <c r="BT12" s="142"/>
      <c r="BU12" s="194">
        <f t="shared" si="59"/>
        <v>1865</v>
      </c>
      <c r="BV12" s="142">
        <v>1867</v>
      </c>
      <c r="BW12" s="142">
        <f t="shared" si="23"/>
        <v>2</v>
      </c>
      <c r="BX12" s="142">
        <f t="shared" si="60"/>
        <v>2</v>
      </c>
      <c r="BY12" s="142"/>
      <c r="BZ12" s="198">
        <f t="shared" si="61"/>
        <v>29193</v>
      </c>
      <c r="CA12" s="142">
        <v>29196</v>
      </c>
      <c r="CB12" s="321">
        <f t="shared" si="24"/>
        <v>3</v>
      </c>
      <c r="CC12" s="142">
        <f t="shared" si="62"/>
        <v>1</v>
      </c>
      <c r="CD12" s="192"/>
      <c r="CE12" s="198">
        <f t="shared" si="63"/>
        <v>3495</v>
      </c>
      <c r="CF12" s="142">
        <v>3496</v>
      </c>
      <c r="CG12" s="142">
        <f t="shared" si="0"/>
        <v>1</v>
      </c>
      <c r="CH12" s="142">
        <f t="shared" si="64"/>
        <v>0</v>
      </c>
      <c r="CI12" s="192"/>
      <c r="CJ12" s="198">
        <f t="shared" si="65"/>
        <v>85127</v>
      </c>
      <c r="CK12" s="142">
        <v>85154</v>
      </c>
      <c r="CL12" s="142">
        <f t="shared" si="1"/>
        <v>27</v>
      </c>
      <c r="CM12" s="142">
        <f t="shared" si="66"/>
        <v>-1</v>
      </c>
      <c r="CN12" s="192"/>
      <c r="CO12" s="198">
        <f t="shared" si="67"/>
        <v>26018</v>
      </c>
      <c r="CP12" s="142">
        <v>26026</v>
      </c>
      <c r="CQ12" s="142">
        <f t="shared" si="2"/>
        <v>8</v>
      </c>
      <c r="CR12" s="142">
        <f t="shared" si="68"/>
        <v>0</v>
      </c>
      <c r="CS12" s="192"/>
      <c r="CT12" s="198">
        <f t="shared" si="69"/>
        <v>12823</v>
      </c>
      <c r="CU12" s="142">
        <v>12824</v>
      </c>
      <c r="CV12" s="142">
        <f t="shared" si="3"/>
        <v>1</v>
      </c>
      <c r="CW12" s="142">
        <f t="shared" si="70"/>
        <v>0</v>
      </c>
      <c r="CX12" s="192"/>
      <c r="CY12" s="198">
        <f t="shared" si="71"/>
        <v>19703</v>
      </c>
      <c r="CZ12" s="142">
        <v>19706</v>
      </c>
      <c r="DA12" s="142">
        <f t="shared" si="4"/>
        <v>3</v>
      </c>
      <c r="DB12" s="142">
        <f t="shared" si="72"/>
        <v>1</v>
      </c>
      <c r="DC12" s="192"/>
      <c r="DD12" s="198">
        <f t="shared" si="73"/>
        <v>20974</v>
      </c>
      <c r="DE12" s="142">
        <v>20987</v>
      </c>
      <c r="DF12" s="142">
        <f t="shared" si="5"/>
        <v>13</v>
      </c>
      <c r="DG12" s="142">
        <f t="shared" si="74"/>
        <v>11</v>
      </c>
      <c r="DH12" s="192"/>
      <c r="DI12" s="198">
        <f t="shared" si="75"/>
        <v>9901</v>
      </c>
      <c r="DJ12" s="142">
        <v>9904</v>
      </c>
      <c r="DK12" s="142">
        <f t="shared" si="6"/>
        <v>3</v>
      </c>
      <c r="DL12" s="142"/>
      <c r="DM12" s="192"/>
      <c r="DN12" s="198">
        <f t="shared" si="77"/>
        <v>26421</v>
      </c>
      <c r="DO12" s="142">
        <v>26421</v>
      </c>
      <c r="DP12" s="142">
        <f t="shared" si="7"/>
        <v>0</v>
      </c>
      <c r="DQ12" s="142">
        <f t="shared" si="78"/>
        <v>-27</v>
      </c>
      <c r="DR12" s="192"/>
      <c r="DS12" s="198">
        <f t="shared" si="79"/>
        <v>2770</v>
      </c>
      <c r="DT12" s="142">
        <v>2773</v>
      </c>
      <c r="DU12" s="142">
        <f t="shared" si="8"/>
        <v>3</v>
      </c>
      <c r="DV12" s="142">
        <f t="shared" si="80"/>
        <v>-2</v>
      </c>
      <c r="DW12" s="192"/>
      <c r="DX12" s="198">
        <f t="shared" si="81"/>
        <v>66</v>
      </c>
      <c r="DY12" s="142">
        <v>68</v>
      </c>
      <c r="DZ12" s="142">
        <f t="shared" si="82"/>
        <v>2</v>
      </c>
      <c r="EA12" s="142">
        <f t="shared" si="83"/>
        <v>0</v>
      </c>
      <c r="EB12" s="192"/>
      <c r="EC12" s="198">
        <f t="shared" si="84"/>
        <v>0</v>
      </c>
      <c r="ED12" s="142"/>
      <c r="EE12" s="192">
        <f t="shared" si="25"/>
        <v>0</v>
      </c>
      <c r="EF12" s="198">
        <f t="shared" si="85"/>
        <v>0</v>
      </c>
      <c r="EG12" s="142"/>
      <c r="EH12" s="192">
        <f t="shared" si="26"/>
        <v>0</v>
      </c>
      <c r="EI12" s="198">
        <f t="shared" si="86"/>
        <v>0</v>
      </c>
      <c r="EJ12" s="142"/>
      <c r="EK12" s="192">
        <f t="shared" si="27"/>
        <v>0</v>
      </c>
      <c r="EL12" s="198">
        <f t="shared" si="87"/>
        <v>0</v>
      </c>
      <c r="EM12" s="142"/>
      <c r="EN12" s="192">
        <f t="shared" si="28"/>
        <v>0</v>
      </c>
      <c r="EO12" s="198">
        <f t="shared" si="88"/>
        <v>0</v>
      </c>
      <c r="EP12" s="142"/>
      <c r="EQ12" s="192">
        <f t="shared" si="29"/>
        <v>0</v>
      </c>
      <c r="ER12" s="198">
        <f t="shared" si="89"/>
        <v>0</v>
      </c>
      <c r="ES12" s="142"/>
      <c r="ET12" s="192">
        <f t="shared" si="30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1"/>
        <v>0</v>
      </c>
      <c r="FA12" s="198">
        <f t="shared" si="93"/>
        <v>0</v>
      </c>
      <c r="FB12" s="142"/>
      <c r="FC12" s="192">
        <f t="shared" si="32"/>
        <v>0</v>
      </c>
      <c r="FD12" s="198">
        <f t="shared" si="94"/>
        <v>0</v>
      </c>
      <c r="FE12" s="142"/>
      <c r="FF12" s="192">
        <f t="shared" si="33"/>
        <v>0</v>
      </c>
      <c r="FG12" s="198">
        <f t="shared" si="95"/>
        <v>0</v>
      </c>
      <c r="FH12" s="142"/>
      <c r="FI12" s="192">
        <f t="shared" si="34"/>
        <v>0</v>
      </c>
      <c r="FJ12" s="198">
        <f t="shared" si="96"/>
        <v>0</v>
      </c>
      <c r="FK12" s="142"/>
      <c r="FL12" s="192">
        <f t="shared" si="35"/>
        <v>0</v>
      </c>
      <c r="FM12" s="198">
        <f t="shared" si="97"/>
        <v>0</v>
      </c>
      <c r="FN12" s="142"/>
      <c r="FO12" s="192">
        <f t="shared" si="36"/>
        <v>0</v>
      </c>
      <c r="FP12" s="198">
        <f t="shared" si="98"/>
        <v>0</v>
      </c>
      <c r="FQ12" s="142"/>
      <c r="FR12" s="192">
        <f t="shared" si="37"/>
        <v>0</v>
      </c>
    </row>
    <row r="13" spans="1:174" ht="15" customHeight="1" x14ac:dyDescent="0.2">
      <c r="A13" s="140">
        <v>8</v>
      </c>
      <c r="B13" s="140">
        <f t="shared" si="38"/>
        <v>3111</v>
      </c>
      <c r="C13" s="141">
        <v>3365</v>
      </c>
      <c r="D13" s="135">
        <f t="shared" si="9"/>
        <v>254</v>
      </c>
      <c r="E13" s="185"/>
      <c r="F13" s="140">
        <v>8</v>
      </c>
      <c r="G13" s="140">
        <f t="shared" si="39"/>
        <v>39028</v>
      </c>
      <c r="H13" s="134">
        <v>39028</v>
      </c>
      <c r="I13" s="135">
        <f t="shared" si="10"/>
        <v>0</v>
      </c>
      <c r="J13" s="185"/>
      <c r="K13" s="140">
        <v>8</v>
      </c>
      <c r="L13" s="140">
        <f t="shared" si="40"/>
        <v>848600</v>
      </c>
      <c r="M13" s="141">
        <v>848601</v>
      </c>
      <c r="N13" s="135">
        <f t="shared" si="11"/>
        <v>1</v>
      </c>
      <c r="O13" s="137"/>
      <c r="P13" s="140">
        <v>8</v>
      </c>
      <c r="Q13" s="140">
        <f t="shared" si="41"/>
        <v>244620</v>
      </c>
      <c r="R13" s="141">
        <v>244769</v>
      </c>
      <c r="S13" s="135">
        <f t="shared" si="12"/>
        <v>149</v>
      </c>
      <c r="T13" s="136"/>
      <c r="U13" s="140">
        <v>8</v>
      </c>
      <c r="V13" s="200">
        <f t="shared" si="13"/>
        <v>404</v>
      </c>
      <c r="W13" s="139">
        <f>'Maldives at LG Daily'!BP12</f>
        <v>34</v>
      </c>
      <c r="X13" s="142">
        <v>46</v>
      </c>
      <c r="Y13" s="314">
        <f t="shared" si="14"/>
        <v>8.7826086956521738</v>
      </c>
      <c r="AA13" s="194">
        <v>8</v>
      </c>
      <c r="AB13" s="142">
        <f t="shared" si="42"/>
        <v>47214</v>
      </c>
      <c r="AC13" s="142">
        <v>47234</v>
      </c>
      <c r="AD13" s="142">
        <f t="shared" si="15"/>
        <v>20</v>
      </c>
      <c r="AE13" s="142">
        <f t="shared" si="99"/>
        <v>-5</v>
      </c>
      <c r="AF13" s="288"/>
      <c r="AG13" s="194">
        <f t="shared" si="43"/>
        <v>10567</v>
      </c>
      <c r="AH13" s="142">
        <v>10574</v>
      </c>
      <c r="AI13" s="142">
        <f t="shared" si="44"/>
        <v>7</v>
      </c>
      <c r="AJ13" s="142">
        <f t="shared" si="100"/>
        <v>1</v>
      </c>
      <c r="AK13" s="142"/>
      <c r="AL13" s="194">
        <f t="shared" si="45"/>
        <v>9862</v>
      </c>
      <c r="AM13" s="142">
        <v>9871</v>
      </c>
      <c r="AN13" s="142">
        <f t="shared" si="16"/>
        <v>9</v>
      </c>
      <c r="AO13" s="142">
        <f t="shared" si="46"/>
        <v>0</v>
      </c>
      <c r="AP13" s="142"/>
      <c r="AQ13" s="194">
        <f t="shared" si="47"/>
        <v>19287</v>
      </c>
      <c r="AR13" s="142">
        <v>19297</v>
      </c>
      <c r="AS13" s="142">
        <f t="shared" si="17"/>
        <v>10</v>
      </c>
      <c r="AT13" s="142">
        <f t="shared" si="48"/>
        <v>-1</v>
      </c>
      <c r="AU13" s="142"/>
      <c r="AV13" s="194">
        <f t="shared" si="49"/>
        <v>35480</v>
      </c>
      <c r="AW13" s="142">
        <v>35488</v>
      </c>
      <c r="AX13" s="142">
        <f t="shared" si="18"/>
        <v>8</v>
      </c>
      <c r="AY13" s="142">
        <f t="shared" si="50"/>
        <v>-1</v>
      </c>
      <c r="AZ13" s="142"/>
      <c r="BA13" s="194">
        <f t="shared" si="51"/>
        <v>9281</v>
      </c>
      <c r="BB13" s="142">
        <v>9287</v>
      </c>
      <c r="BC13" s="142">
        <f t="shared" si="19"/>
        <v>6</v>
      </c>
      <c r="BD13" s="142">
        <f t="shared" si="52"/>
        <v>-1</v>
      </c>
      <c r="BE13" s="142"/>
      <c r="BF13" s="194">
        <f t="shared" si="53"/>
        <v>26074</v>
      </c>
      <c r="BG13" s="142">
        <v>26082</v>
      </c>
      <c r="BH13" s="142">
        <f t="shared" si="20"/>
        <v>8</v>
      </c>
      <c r="BI13" s="142">
        <f t="shared" si="54"/>
        <v>0</v>
      </c>
      <c r="BJ13" s="142"/>
      <c r="BK13" s="194">
        <f t="shared" si="55"/>
        <v>10068</v>
      </c>
      <c r="BL13" s="142">
        <v>10076</v>
      </c>
      <c r="BM13" s="142">
        <f t="shared" si="21"/>
        <v>8</v>
      </c>
      <c r="BN13" s="142">
        <f t="shared" si="56"/>
        <v>1</v>
      </c>
      <c r="BO13" s="142"/>
      <c r="BP13" s="194">
        <f t="shared" si="57"/>
        <v>4175</v>
      </c>
      <c r="BQ13" s="142">
        <v>4177</v>
      </c>
      <c r="BR13" s="321">
        <f t="shared" si="22"/>
        <v>2</v>
      </c>
      <c r="BS13" s="142">
        <f t="shared" si="58"/>
        <v>0</v>
      </c>
      <c r="BT13" s="142"/>
      <c r="BU13" s="194">
        <f t="shared" si="59"/>
        <v>1867</v>
      </c>
      <c r="BV13" s="142">
        <v>1867</v>
      </c>
      <c r="BW13" s="142">
        <f t="shared" si="23"/>
        <v>0</v>
      </c>
      <c r="BX13" s="142">
        <f t="shared" si="60"/>
        <v>-2</v>
      </c>
      <c r="BY13" s="142"/>
      <c r="BZ13" s="198">
        <f t="shared" si="61"/>
        <v>29196</v>
      </c>
      <c r="CA13" s="142">
        <v>29201</v>
      </c>
      <c r="CB13" s="321">
        <f t="shared" si="24"/>
        <v>5</v>
      </c>
      <c r="CC13" s="142">
        <f t="shared" si="62"/>
        <v>2</v>
      </c>
      <c r="CD13" s="192"/>
      <c r="CE13" s="198">
        <f t="shared" si="63"/>
        <v>3496</v>
      </c>
      <c r="CF13" s="142">
        <v>3501</v>
      </c>
      <c r="CG13" s="142">
        <f t="shared" si="0"/>
        <v>5</v>
      </c>
      <c r="CH13" s="142">
        <f t="shared" si="64"/>
        <v>4</v>
      </c>
      <c r="CI13" s="192"/>
      <c r="CJ13" s="198">
        <f t="shared" si="65"/>
        <v>85154</v>
      </c>
      <c r="CK13" s="142">
        <v>85186</v>
      </c>
      <c r="CL13" s="142">
        <f t="shared" si="1"/>
        <v>32</v>
      </c>
      <c r="CM13" s="142">
        <f t="shared" si="66"/>
        <v>5</v>
      </c>
      <c r="CN13" s="192"/>
      <c r="CO13" s="198">
        <f t="shared" si="67"/>
        <v>26026</v>
      </c>
      <c r="CP13" s="142">
        <v>26034</v>
      </c>
      <c r="CQ13" s="142">
        <f t="shared" si="2"/>
        <v>8</v>
      </c>
      <c r="CR13" s="142">
        <f t="shared" si="68"/>
        <v>0</v>
      </c>
      <c r="CS13" s="192"/>
      <c r="CT13" s="198">
        <f t="shared" si="69"/>
        <v>12824</v>
      </c>
      <c r="CU13" s="142">
        <v>12825</v>
      </c>
      <c r="CV13" s="142">
        <f t="shared" si="3"/>
        <v>1</v>
      </c>
      <c r="CW13" s="142">
        <f t="shared" si="70"/>
        <v>0</v>
      </c>
      <c r="CX13" s="192"/>
      <c r="CY13" s="198">
        <f t="shared" si="71"/>
        <v>19706</v>
      </c>
      <c r="CZ13" s="142">
        <v>19712</v>
      </c>
      <c r="DA13" s="142">
        <f t="shared" si="4"/>
        <v>6</v>
      </c>
      <c r="DB13" s="142">
        <f t="shared" si="72"/>
        <v>3</v>
      </c>
      <c r="DC13" s="192"/>
      <c r="DD13" s="198">
        <f t="shared" si="73"/>
        <v>20987</v>
      </c>
      <c r="DE13" s="142">
        <v>20991</v>
      </c>
      <c r="DF13" s="142">
        <f t="shared" si="5"/>
        <v>4</v>
      </c>
      <c r="DG13" s="142">
        <f t="shared" si="74"/>
        <v>-9</v>
      </c>
      <c r="DH13" s="192"/>
      <c r="DI13" s="198">
        <f t="shared" si="75"/>
        <v>9904</v>
      </c>
      <c r="DJ13" s="142">
        <v>9909</v>
      </c>
      <c r="DK13" s="142">
        <f t="shared" si="6"/>
        <v>5</v>
      </c>
      <c r="DL13" s="142">
        <f t="shared" si="76"/>
        <v>2</v>
      </c>
      <c r="DM13" s="192"/>
      <c r="DN13" s="198">
        <f t="shared" si="77"/>
        <v>26421</v>
      </c>
      <c r="DO13" s="142">
        <v>26454</v>
      </c>
      <c r="DP13" s="142">
        <f t="shared" si="7"/>
        <v>33</v>
      </c>
      <c r="DQ13" s="142">
        <f t="shared" si="78"/>
        <v>33</v>
      </c>
      <c r="DR13" s="192"/>
      <c r="DS13" s="198">
        <f t="shared" si="79"/>
        <v>2773</v>
      </c>
      <c r="DT13" s="142">
        <v>2775</v>
      </c>
      <c r="DU13" s="142">
        <f t="shared" si="8"/>
        <v>2</v>
      </c>
      <c r="DV13" s="142">
        <f t="shared" si="80"/>
        <v>-1</v>
      </c>
      <c r="DW13" s="192"/>
      <c r="DX13" s="198">
        <f t="shared" si="81"/>
        <v>68</v>
      </c>
      <c r="DY13" s="142">
        <v>69</v>
      </c>
      <c r="DZ13" s="142">
        <f t="shared" si="82"/>
        <v>1</v>
      </c>
      <c r="EA13" s="142">
        <f t="shared" si="83"/>
        <v>-1</v>
      </c>
      <c r="EB13" s="192"/>
      <c r="EC13" s="198">
        <f t="shared" si="84"/>
        <v>0</v>
      </c>
      <c r="ED13" s="142"/>
      <c r="EE13" s="192">
        <f t="shared" si="25"/>
        <v>0</v>
      </c>
      <c r="EF13" s="198">
        <f t="shared" si="85"/>
        <v>0</v>
      </c>
      <c r="EG13" s="142"/>
      <c r="EH13" s="192">
        <f t="shared" si="26"/>
        <v>0</v>
      </c>
      <c r="EI13" s="198">
        <f t="shared" si="86"/>
        <v>0</v>
      </c>
      <c r="EJ13" s="142"/>
      <c r="EK13" s="192">
        <f t="shared" si="27"/>
        <v>0</v>
      </c>
      <c r="EL13" s="198">
        <f t="shared" si="87"/>
        <v>0</v>
      </c>
      <c r="EM13" s="142"/>
      <c r="EN13" s="192">
        <f t="shared" si="28"/>
        <v>0</v>
      </c>
      <c r="EO13" s="198">
        <f t="shared" si="88"/>
        <v>0</v>
      </c>
      <c r="EP13" s="142"/>
      <c r="EQ13" s="192">
        <f t="shared" si="29"/>
        <v>0</v>
      </c>
      <c r="ER13" s="198">
        <f t="shared" si="89"/>
        <v>0</v>
      </c>
      <c r="ES13" s="142"/>
      <c r="ET13" s="192">
        <f t="shared" si="30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1"/>
        <v>0</v>
      </c>
      <c r="FA13" s="198">
        <f t="shared" si="93"/>
        <v>0</v>
      </c>
      <c r="FB13" s="142"/>
      <c r="FC13" s="192">
        <f t="shared" si="32"/>
        <v>0</v>
      </c>
      <c r="FD13" s="198">
        <f t="shared" si="94"/>
        <v>0</v>
      </c>
      <c r="FE13" s="142"/>
      <c r="FF13" s="192">
        <f t="shared" si="33"/>
        <v>0</v>
      </c>
      <c r="FG13" s="198">
        <f t="shared" si="95"/>
        <v>0</v>
      </c>
      <c r="FH13" s="142"/>
      <c r="FI13" s="192">
        <f t="shared" si="34"/>
        <v>0</v>
      </c>
      <c r="FJ13" s="198">
        <f t="shared" si="96"/>
        <v>0</v>
      </c>
      <c r="FK13" s="142"/>
      <c r="FL13" s="192">
        <f t="shared" si="35"/>
        <v>0</v>
      </c>
      <c r="FM13" s="198">
        <f t="shared" si="97"/>
        <v>0</v>
      </c>
      <c r="FN13" s="142"/>
      <c r="FO13" s="192">
        <f t="shared" si="36"/>
        <v>0</v>
      </c>
      <c r="FP13" s="198">
        <f t="shared" si="98"/>
        <v>0</v>
      </c>
      <c r="FQ13" s="142"/>
      <c r="FR13" s="192">
        <f t="shared" si="37"/>
        <v>0</v>
      </c>
    </row>
    <row r="14" spans="1:174" ht="15" customHeight="1" x14ac:dyDescent="0.2">
      <c r="A14" s="140">
        <v>9</v>
      </c>
      <c r="B14" s="140">
        <f t="shared" si="38"/>
        <v>3365</v>
      </c>
      <c r="C14" s="141">
        <v>3589</v>
      </c>
      <c r="D14" s="135">
        <f t="shared" si="9"/>
        <v>224</v>
      </c>
      <c r="E14" s="185"/>
      <c r="F14" s="140">
        <v>9</v>
      </c>
      <c r="G14" s="140">
        <f t="shared" si="39"/>
        <v>39028</v>
      </c>
      <c r="H14" s="134">
        <v>39028</v>
      </c>
      <c r="I14" s="135">
        <f t="shared" si="10"/>
        <v>0</v>
      </c>
      <c r="J14" s="185"/>
      <c r="K14" s="140">
        <v>9</v>
      </c>
      <c r="L14" s="140">
        <f t="shared" si="40"/>
        <v>848601</v>
      </c>
      <c r="M14" s="141">
        <v>848601</v>
      </c>
      <c r="N14" s="135">
        <f t="shared" si="11"/>
        <v>0</v>
      </c>
      <c r="O14" s="137"/>
      <c r="P14" s="140">
        <v>9</v>
      </c>
      <c r="Q14" s="140">
        <f t="shared" si="41"/>
        <v>244769</v>
      </c>
      <c r="R14" s="141">
        <v>244901</v>
      </c>
      <c r="S14" s="135">
        <f t="shared" si="12"/>
        <v>132</v>
      </c>
      <c r="T14" s="136"/>
      <c r="U14" s="138">
        <v>9</v>
      </c>
      <c r="V14" s="200">
        <f t="shared" si="13"/>
        <v>356</v>
      </c>
      <c r="W14" s="139">
        <f>'Maldives at LG Daily'!BP13</f>
        <v>29.1</v>
      </c>
      <c r="X14" s="142">
        <v>36</v>
      </c>
      <c r="Y14" s="314">
        <f t="shared" si="14"/>
        <v>9.8888888888888893</v>
      </c>
      <c r="AA14" s="194">
        <v>9</v>
      </c>
      <c r="AB14" s="142">
        <f t="shared" si="42"/>
        <v>47234</v>
      </c>
      <c r="AC14" s="142">
        <v>47258</v>
      </c>
      <c r="AD14" s="142">
        <f t="shared" si="15"/>
        <v>24</v>
      </c>
      <c r="AE14" s="142">
        <f t="shared" si="99"/>
        <v>4</v>
      </c>
      <c r="AF14" s="288"/>
      <c r="AG14" s="194">
        <f t="shared" si="43"/>
        <v>10574</v>
      </c>
      <c r="AH14" s="142">
        <v>10580</v>
      </c>
      <c r="AI14" s="142">
        <f t="shared" si="44"/>
        <v>6</v>
      </c>
      <c r="AJ14" s="142">
        <f t="shared" si="100"/>
        <v>-1</v>
      </c>
      <c r="AK14" s="142"/>
      <c r="AL14" s="194">
        <f t="shared" si="45"/>
        <v>9871</v>
      </c>
      <c r="AM14" s="142">
        <v>9880</v>
      </c>
      <c r="AN14" s="142">
        <f t="shared" si="16"/>
        <v>9</v>
      </c>
      <c r="AO14" s="142">
        <f t="shared" si="46"/>
        <v>0</v>
      </c>
      <c r="AP14" s="142"/>
      <c r="AQ14" s="194">
        <f t="shared" si="47"/>
        <v>19297</v>
      </c>
      <c r="AR14" s="142">
        <v>19307</v>
      </c>
      <c r="AS14" s="142">
        <f t="shared" si="17"/>
        <v>10</v>
      </c>
      <c r="AT14" s="142">
        <f t="shared" si="48"/>
        <v>0</v>
      </c>
      <c r="AU14" s="142"/>
      <c r="AV14" s="194">
        <f t="shared" si="49"/>
        <v>35488</v>
      </c>
      <c r="AW14" s="142">
        <v>35496</v>
      </c>
      <c r="AX14" s="142">
        <f t="shared" si="18"/>
        <v>8</v>
      </c>
      <c r="AY14" s="142">
        <f t="shared" si="50"/>
        <v>0</v>
      </c>
      <c r="AZ14" s="142"/>
      <c r="BA14" s="194">
        <f t="shared" si="51"/>
        <v>9287</v>
      </c>
      <c r="BB14" s="142">
        <v>9293</v>
      </c>
      <c r="BC14" s="142">
        <f t="shared" si="19"/>
        <v>6</v>
      </c>
      <c r="BD14" s="142">
        <f t="shared" si="52"/>
        <v>0</v>
      </c>
      <c r="BE14" s="142"/>
      <c r="BF14" s="194">
        <f t="shared" si="53"/>
        <v>26082</v>
      </c>
      <c r="BG14" s="142">
        <v>26091</v>
      </c>
      <c r="BH14" s="142">
        <f t="shared" si="20"/>
        <v>9</v>
      </c>
      <c r="BI14" s="142">
        <f t="shared" si="54"/>
        <v>1</v>
      </c>
      <c r="BJ14" s="142"/>
      <c r="BK14" s="194">
        <f t="shared" si="55"/>
        <v>10076</v>
      </c>
      <c r="BL14" s="142">
        <v>10083</v>
      </c>
      <c r="BM14" s="142">
        <f t="shared" si="21"/>
        <v>7</v>
      </c>
      <c r="BN14" s="142">
        <f t="shared" si="56"/>
        <v>-1</v>
      </c>
      <c r="BO14" s="142"/>
      <c r="BP14" s="194">
        <f t="shared" si="57"/>
        <v>4177</v>
      </c>
      <c r="BQ14" s="142">
        <v>4179</v>
      </c>
      <c r="BR14" s="321">
        <f t="shared" si="22"/>
        <v>2</v>
      </c>
      <c r="BS14" s="142">
        <f t="shared" si="58"/>
        <v>0</v>
      </c>
      <c r="BT14" s="142"/>
      <c r="BU14" s="194">
        <f t="shared" si="59"/>
        <v>1867</v>
      </c>
      <c r="BV14" s="142">
        <v>1867</v>
      </c>
      <c r="BW14" s="142">
        <f t="shared" si="23"/>
        <v>0</v>
      </c>
      <c r="BX14" s="142">
        <f t="shared" si="60"/>
        <v>0</v>
      </c>
      <c r="BY14" s="142"/>
      <c r="BZ14" s="198">
        <f t="shared" si="61"/>
        <v>29201</v>
      </c>
      <c r="CA14" s="142">
        <v>29205</v>
      </c>
      <c r="CB14" s="321">
        <f t="shared" si="24"/>
        <v>4</v>
      </c>
      <c r="CC14" s="142">
        <f t="shared" si="62"/>
        <v>-1</v>
      </c>
      <c r="CD14" s="192"/>
      <c r="CE14" s="198">
        <f t="shared" si="63"/>
        <v>3501</v>
      </c>
      <c r="CF14" s="142">
        <v>3503</v>
      </c>
      <c r="CG14" s="142">
        <f t="shared" si="0"/>
        <v>2</v>
      </c>
      <c r="CH14" s="142">
        <f t="shared" si="64"/>
        <v>-3</v>
      </c>
      <c r="CI14" s="192"/>
      <c r="CJ14" s="198">
        <f t="shared" si="65"/>
        <v>85186</v>
      </c>
      <c r="CK14" s="142">
        <v>85218</v>
      </c>
      <c r="CL14" s="142">
        <f t="shared" si="1"/>
        <v>32</v>
      </c>
      <c r="CM14" s="142">
        <f t="shared" si="66"/>
        <v>0</v>
      </c>
      <c r="CN14" s="192"/>
      <c r="CO14" s="198">
        <f t="shared" si="67"/>
        <v>26034</v>
      </c>
      <c r="CP14" s="142">
        <v>26041</v>
      </c>
      <c r="CQ14" s="142">
        <f t="shared" si="2"/>
        <v>7</v>
      </c>
      <c r="CR14" s="142">
        <f t="shared" si="68"/>
        <v>-1</v>
      </c>
      <c r="CS14" s="192"/>
      <c r="CT14" s="198">
        <f t="shared" si="69"/>
        <v>12825</v>
      </c>
      <c r="CU14" s="142">
        <v>12826</v>
      </c>
      <c r="CV14" s="142">
        <f t="shared" si="3"/>
        <v>1</v>
      </c>
      <c r="CW14" s="142">
        <f t="shared" si="70"/>
        <v>0</v>
      </c>
      <c r="CX14" s="192"/>
      <c r="CY14" s="198">
        <f t="shared" si="71"/>
        <v>19712</v>
      </c>
      <c r="CZ14" s="142">
        <v>19721</v>
      </c>
      <c r="DA14" s="142">
        <f t="shared" si="4"/>
        <v>9</v>
      </c>
      <c r="DB14" s="142">
        <f t="shared" si="72"/>
        <v>3</v>
      </c>
      <c r="DC14" s="192"/>
      <c r="DD14" s="198">
        <f t="shared" si="73"/>
        <v>20991</v>
      </c>
      <c r="DE14" s="142">
        <v>20994</v>
      </c>
      <c r="DF14" s="142">
        <f t="shared" si="5"/>
        <v>3</v>
      </c>
      <c r="DG14" s="142">
        <f t="shared" si="74"/>
        <v>-1</v>
      </c>
      <c r="DH14" s="192"/>
      <c r="DI14" s="198">
        <f t="shared" si="75"/>
        <v>9909</v>
      </c>
      <c r="DJ14" s="142">
        <v>9911</v>
      </c>
      <c r="DK14" s="142">
        <f t="shared" si="6"/>
        <v>2</v>
      </c>
      <c r="DL14" s="142">
        <f t="shared" si="76"/>
        <v>-3</v>
      </c>
      <c r="DM14" s="192"/>
      <c r="DN14" s="198">
        <f t="shared" si="77"/>
        <v>26454</v>
      </c>
      <c r="DO14" s="142">
        <v>26473</v>
      </c>
      <c r="DP14" s="142">
        <f t="shared" si="7"/>
        <v>19</v>
      </c>
      <c r="DQ14" s="142">
        <f t="shared" si="78"/>
        <v>-14</v>
      </c>
      <c r="DR14" s="192"/>
      <c r="DS14" s="198">
        <f t="shared" si="79"/>
        <v>2775</v>
      </c>
      <c r="DT14" s="142">
        <v>2776</v>
      </c>
      <c r="DU14" s="142">
        <f t="shared" si="8"/>
        <v>1</v>
      </c>
      <c r="DV14" s="142">
        <f t="shared" si="80"/>
        <v>-1</v>
      </c>
      <c r="DW14" s="192"/>
      <c r="DX14" s="198">
        <f t="shared" si="81"/>
        <v>69</v>
      </c>
      <c r="DY14" s="142">
        <v>70</v>
      </c>
      <c r="DZ14" s="142">
        <f t="shared" si="82"/>
        <v>1</v>
      </c>
      <c r="EA14" s="142">
        <f t="shared" si="83"/>
        <v>0</v>
      </c>
      <c r="EB14" s="192"/>
      <c r="EC14" s="198">
        <f t="shared" si="84"/>
        <v>0</v>
      </c>
      <c r="ED14" s="142"/>
      <c r="EE14" s="192">
        <f t="shared" si="25"/>
        <v>0</v>
      </c>
      <c r="EF14" s="198">
        <f t="shared" si="85"/>
        <v>0</v>
      </c>
      <c r="EG14" s="142"/>
      <c r="EH14" s="192">
        <f t="shared" si="26"/>
        <v>0</v>
      </c>
      <c r="EI14" s="198">
        <f t="shared" si="86"/>
        <v>0</v>
      </c>
      <c r="EJ14" s="142"/>
      <c r="EK14" s="192">
        <f t="shared" si="27"/>
        <v>0</v>
      </c>
      <c r="EL14" s="198">
        <f t="shared" si="87"/>
        <v>0</v>
      </c>
      <c r="EM14" s="142"/>
      <c r="EN14" s="192">
        <f t="shared" si="28"/>
        <v>0</v>
      </c>
      <c r="EO14" s="198">
        <f t="shared" si="88"/>
        <v>0</v>
      </c>
      <c r="EP14" s="142"/>
      <c r="EQ14" s="192">
        <f t="shared" si="29"/>
        <v>0</v>
      </c>
      <c r="ER14" s="198">
        <f t="shared" si="89"/>
        <v>0</v>
      </c>
      <c r="ES14" s="142"/>
      <c r="ET14" s="192">
        <f t="shared" si="30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1"/>
        <v>0</v>
      </c>
      <c r="FA14" s="198">
        <f t="shared" si="93"/>
        <v>0</v>
      </c>
      <c r="FB14" s="142"/>
      <c r="FC14" s="192">
        <f t="shared" si="32"/>
        <v>0</v>
      </c>
      <c r="FD14" s="198">
        <f t="shared" si="94"/>
        <v>0</v>
      </c>
      <c r="FE14" s="142"/>
      <c r="FF14" s="192">
        <f t="shared" si="33"/>
        <v>0</v>
      </c>
      <c r="FG14" s="198">
        <f t="shared" si="95"/>
        <v>0</v>
      </c>
      <c r="FH14" s="142"/>
      <c r="FI14" s="192">
        <f t="shared" si="34"/>
        <v>0</v>
      </c>
      <c r="FJ14" s="198">
        <f t="shared" si="96"/>
        <v>0</v>
      </c>
      <c r="FK14" s="142"/>
      <c r="FL14" s="192">
        <f t="shared" si="35"/>
        <v>0</v>
      </c>
      <c r="FM14" s="198">
        <f t="shared" si="97"/>
        <v>0</v>
      </c>
      <c r="FN14" s="142"/>
      <c r="FO14" s="192">
        <f t="shared" si="36"/>
        <v>0</v>
      </c>
      <c r="FP14" s="198">
        <f t="shared" si="98"/>
        <v>0</v>
      </c>
      <c r="FQ14" s="142"/>
      <c r="FR14" s="192">
        <f t="shared" si="37"/>
        <v>0</v>
      </c>
    </row>
    <row r="15" spans="1:174" ht="15" customHeight="1" x14ac:dyDescent="0.2">
      <c r="A15" s="140">
        <v>10</v>
      </c>
      <c r="B15" s="140">
        <f t="shared" si="38"/>
        <v>3589</v>
      </c>
      <c r="C15" s="141">
        <v>3838</v>
      </c>
      <c r="D15" s="135">
        <f t="shared" si="9"/>
        <v>249</v>
      </c>
      <c r="E15" s="185"/>
      <c r="F15" s="140">
        <v>10</v>
      </c>
      <c r="G15" s="140">
        <f t="shared" si="39"/>
        <v>39028</v>
      </c>
      <c r="H15" s="134">
        <v>39028</v>
      </c>
      <c r="I15" s="135">
        <f t="shared" si="10"/>
        <v>0</v>
      </c>
      <c r="J15" s="185"/>
      <c r="K15" s="140">
        <v>10</v>
      </c>
      <c r="L15" s="140">
        <f t="shared" si="40"/>
        <v>848601</v>
      </c>
      <c r="M15" s="141">
        <v>848649</v>
      </c>
      <c r="N15" s="135">
        <f t="shared" si="11"/>
        <v>48</v>
      </c>
      <c r="O15" s="137"/>
      <c r="P15" s="140">
        <v>10</v>
      </c>
      <c r="Q15" s="140">
        <f t="shared" si="41"/>
        <v>244901</v>
      </c>
      <c r="R15" s="141">
        <v>245052</v>
      </c>
      <c r="S15" s="135">
        <f t="shared" si="12"/>
        <v>151</v>
      </c>
      <c r="T15" s="136"/>
      <c r="U15" s="138">
        <v>10</v>
      </c>
      <c r="V15" s="200">
        <f t="shared" si="13"/>
        <v>448</v>
      </c>
      <c r="W15" s="139">
        <f>'Maldives at LG Daily'!BP14</f>
        <v>27.2</v>
      </c>
      <c r="X15" s="142">
        <v>37</v>
      </c>
      <c r="Y15" s="314">
        <f t="shared" si="14"/>
        <v>12.108108108108109</v>
      </c>
      <c r="AA15" s="194">
        <v>10</v>
      </c>
      <c r="AB15" s="142">
        <f t="shared" si="42"/>
        <v>47258</v>
      </c>
      <c r="AC15" s="142">
        <v>47280</v>
      </c>
      <c r="AD15" s="142">
        <f t="shared" si="15"/>
        <v>22</v>
      </c>
      <c r="AE15" s="142">
        <f t="shared" si="99"/>
        <v>-2</v>
      </c>
      <c r="AF15" s="288"/>
      <c r="AG15" s="194">
        <f t="shared" si="43"/>
        <v>10580</v>
      </c>
      <c r="AH15" s="142">
        <v>10586</v>
      </c>
      <c r="AI15" s="142">
        <f t="shared" si="44"/>
        <v>6</v>
      </c>
      <c r="AJ15" s="142">
        <f t="shared" si="100"/>
        <v>0</v>
      </c>
      <c r="AK15" s="142"/>
      <c r="AL15" s="194">
        <f t="shared" si="45"/>
        <v>9880</v>
      </c>
      <c r="AM15" s="142">
        <v>9891</v>
      </c>
      <c r="AN15" s="142">
        <f t="shared" si="16"/>
        <v>11</v>
      </c>
      <c r="AO15" s="142">
        <f t="shared" si="46"/>
        <v>2</v>
      </c>
      <c r="AP15" s="142"/>
      <c r="AQ15" s="194">
        <f t="shared" si="47"/>
        <v>19307</v>
      </c>
      <c r="AR15" s="142">
        <v>19317</v>
      </c>
      <c r="AS15" s="142">
        <f t="shared" si="17"/>
        <v>10</v>
      </c>
      <c r="AT15" s="142">
        <f t="shared" si="48"/>
        <v>0</v>
      </c>
      <c r="AU15" s="142"/>
      <c r="AV15" s="194">
        <f t="shared" si="49"/>
        <v>35496</v>
      </c>
      <c r="AW15" s="142">
        <v>35505</v>
      </c>
      <c r="AX15" s="142">
        <f t="shared" si="18"/>
        <v>9</v>
      </c>
      <c r="AY15" s="142">
        <f t="shared" si="50"/>
        <v>1</v>
      </c>
      <c r="AZ15" s="142"/>
      <c r="BA15" s="194">
        <f t="shared" si="51"/>
        <v>9293</v>
      </c>
      <c r="BB15" s="142">
        <v>9300</v>
      </c>
      <c r="BC15" s="142">
        <f t="shared" si="19"/>
        <v>7</v>
      </c>
      <c r="BD15" s="142">
        <f t="shared" si="52"/>
        <v>1</v>
      </c>
      <c r="BE15" s="142"/>
      <c r="BF15" s="194">
        <f t="shared" si="53"/>
        <v>26091</v>
      </c>
      <c r="BG15" s="142">
        <v>26099</v>
      </c>
      <c r="BH15" s="142">
        <f t="shared" si="20"/>
        <v>8</v>
      </c>
      <c r="BI15" s="142">
        <f t="shared" si="54"/>
        <v>-1</v>
      </c>
      <c r="BJ15" s="142"/>
      <c r="BK15" s="194">
        <f t="shared" si="55"/>
        <v>10083</v>
      </c>
      <c r="BL15" s="142">
        <v>10091</v>
      </c>
      <c r="BM15" s="142">
        <f t="shared" si="21"/>
        <v>8</v>
      </c>
      <c r="BN15" s="142">
        <f t="shared" si="56"/>
        <v>1</v>
      </c>
      <c r="BO15" s="142"/>
      <c r="BP15" s="194">
        <f t="shared" si="57"/>
        <v>4179</v>
      </c>
      <c r="BQ15" s="142">
        <v>4180</v>
      </c>
      <c r="BR15" s="321">
        <f t="shared" si="22"/>
        <v>1</v>
      </c>
      <c r="BS15" s="142">
        <f t="shared" si="58"/>
        <v>-1</v>
      </c>
      <c r="BT15" s="142"/>
      <c r="BU15" s="194">
        <f t="shared" si="59"/>
        <v>1867</v>
      </c>
      <c r="BV15" s="142">
        <v>1867</v>
      </c>
      <c r="BW15" s="142">
        <f t="shared" si="23"/>
        <v>0</v>
      </c>
      <c r="BX15" s="142">
        <f t="shared" si="60"/>
        <v>0</v>
      </c>
      <c r="BY15" s="142"/>
      <c r="BZ15" s="198">
        <f t="shared" si="61"/>
        <v>29205</v>
      </c>
      <c r="CA15" s="142">
        <v>29207</v>
      </c>
      <c r="CB15" s="321">
        <f t="shared" si="24"/>
        <v>2</v>
      </c>
      <c r="CC15" s="142">
        <f t="shared" si="62"/>
        <v>-2</v>
      </c>
      <c r="CD15" s="192"/>
      <c r="CE15" s="198">
        <f t="shared" si="63"/>
        <v>3503</v>
      </c>
      <c r="CF15" s="142">
        <v>3503</v>
      </c>
      <c r="CG15" s="142">
        <f t="shared" si="0"/>
        <v>0</v>
      </c>
      <c r="CH15" s="142">
        <f t="shared" si="64"/>
        <v>-2</v>
      </c>
      <c r="CI15" s="192"/>
      <c r="CJ15" s="198">
        <f t="shared" si="65"/>
        <v>85218</v>
      </c>
      <c r="CK15" s="142">
        <v>85245</v>
      </c>
      <c r="CL15" s="142">
        <f t="shared" si="1"/>
        <v>27</v>
      </c>
      <c r="CM15" s="142">
        <f t="shared" si="66"/>
        <v>-5</v>
      </c>
      <c r="CN15" s="192"/>
      <c r="CO15" s="198">
        <f t="shared" si="67"/>
        <v>26041</v>
      </c>
      <c r="CP15" s="142">
        <v>26052</v>
      </c>
      <c r="CQ15" s="142">
        <f t="shared" si="2"/>
        <v>11</v>
      </c>
      <c r="CR15" s="142">
        <f t="shared" si="68"/>
        <v>4</v>
      </c>
      <c r="CS15" s="192"/>
      <c r="CT15" s="198">
        <f t="shared" si="69"/>
        <v>12826</v>
      </c>
      <c r="CU15" s="142">
        <v>12827</v>
      </c>
      <c r="CV15" s="142">
        <f t="shared" si="3"/>
        <v>1</v>
      </c>
      <c r="CW15" s="142">
        <f t="shared" si="70"/>
        <v>0</v>
      </c>
      <c r="CX15" s="192"/>
      <c r="CY15" s="198">
        <f t="shared" si="71"/>
        <v>19721</v>
      </c>
      <c r="CZ15" s="142">
        <v>19726</v>
      </c>
      <c r="DA15" s="142">
        <f t="shared" si="4"/>
        <v>5</v>
      </c>
      <c r="DB15" s="142">
        <f t="shared" si="72"/>
        <v>-4</v>
      </c>
      <c r="DC15" s="192"/>
      <c r="DD15" s="198">
        <f t="shared" si="73"/>
        <v>20994</v>
      </c>
      <c r="DE15" s="142">
        <v>20996</v>
      </c>
      <c r="DF15" s="142">
        <f t="shared" si="5"/>
        <v>2</v>
      </c>
      <c r="DG15" s="142">
        <f t="shared" si="74"/>
        <v>-1</v>
      </c>
      <c r="DH15" s="192"/>
      <c r="DI15" s="198">
        <f t="shared" si="75"/>
        <v>9911</v>
      </c>
      <c r="DJ15" s="142">
        <v>9917</v>
      </c>
      <c r="DK15" s="142">
        <f t="shared" si="6"/>
        <v>6</v>
      </c>
      <c r="DL15" s="142">
        <f t="shared" si="76"/>
        <v>4</v>
      </c>
      <c r="DM15" s="192"/>
      <c r="DN15" s="198">
        <f t="shared" si="77"/>
        <v>26473</v>
      </c>
      <c r="DO15" s="142">
        <v>26487</v>
      </c>
      <c r="DP15" s="142">
        <f t="shared" si="7"/>
        <v>14</v>
      </c>
      <c r="DQ15" s="142">
        <f t="shared" si="78"/>
        <v>-5</v>
      </c>
      <c r="DR15" s="192"/>
      <c r="DS15" s="198">
        <f t="shared" si="79"/>
        <v>2776</v>
      </c>
      <c r="DT15" s="142">
        <v>2779</v>
      </c>
      <c r="DU15" s="142">
        <f t="shared" si="8"/>
        <v>3</v>
      </c>
      <c r="DV15" s="142">
        <f t="shared" si="80"/>
        <v>2</v>
      </c>
      <c r="DW15" s="192"/>
      <c r="DX15" s="198">
        <f t="shared" si="81"/>
        <v>70</v>
      </c>
      <c r="DY15" s="142">
        <v>73</v>
      </c>
      <c r="DZ15" s="142">
        <f t="shared" si="82"/>
        <v>3</v>
      </c>
      <c r="EA15" s="142">
        <f t="shared" si="83"/>
        <v>2</v>
      </c>
      <c r="EB15" s="192"/>
      <c r="EC15" s="198">
        <f t="shared" si="84"/>
        <v>0</v>
      </c>
      <c r="ED15" s="142"/>
      <c r="EE15" s="192">
        <f t="shared" si="25"/>
        <v>0</v>
      </c>
      <c r="EF15" s="198">
        <f t="shared" ref="EF15:EF36" si="101">EG14</f>
        <v>0</v>
      </c>
      <c r="EG15" s="142"/>
      <c r="EH15" s="192">
        <f t="shared" si="26"/>
        <v>0</v>
      </c>
      <c r="EI15" s="198">
        <f t="shared" ref="EI15:EI36" si="102">EJ14</f>
        <v>0</v>
      </c>
      <c r="EJ15" s="142"/>
      <c r="EK15" s="192">
        <f t="shared" si="27"/>
        <v>0</v>
      </c>
      <c r="EL15" s="198">
        <f t="shared" si="87"/>
        <v>0</v>
      </c>
      <c r="EM15" s="142"/>
      <c r="EN15" s="192">
        <f t="shared" si="28"/>
        <v>0</v>
      </c>
      <c r="EO15" s="198">
        <f t="shared" si="88"/>
        <v>0</v>
      </c>
      <c r="EP15" s="142"/>
      <c r="EQ15" s="192">
        <f t="shared" si="29"/>
        <v>0</v>
      </c>
      <c r="ER15" s="198">
        <f t="shared" si="89"/>
        <v>0</v>
      </c>
      <c r="ES15" s="142"/>
      <c r="ET15" s="192">
        <f t="shared" si="30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1"/>
        <v>0</v>
      </c>
      <c r="FA15" s="198">
        <f t="shared" si="93"/>
        <v>0</v>
      </c>
      <c r="FB15" s="142"/>
      <c r="FC15" s="192">
        <f t="shared" si="32"/>
        <v>0</v>
      </c>
      <c r="FD15" s="198">
        <f t="shared" si="94"/>
        <v>0</v>
      </c>
      <c r="FE15" s="142"/>
      <c r="FF15" s="192">
        <f t="shared" si="33"/>
        <v>0</v>
      </c>
      <c r="FG15" s="198">
        <f t="shared" si="95"/>
        <v>0</v>
      </c>
      <c r="FH15" s="142"/>
      <c r="FI15" s="192">
        <f t="shared" si="34"/>
        <v>0</v>
      </c>
      <c r="FJ15" s="198">
        <f t="shared" si="96"/>
        <v>0</v>
      </c>
      <c r="FK15" s="142"/>
      <c r="FL15" s="192">
        <f t="shared" si="35"/>
        <v>0</v>
      </c>
      <c r="FM15" s="198">
        <f t="shared" si="97"/>
        <v>0</v>
      </c>
      <c r="FN15" s="142"/>
      <c r="FO15" s="192">
        <f t="shared" si="36"/>
        <v>0</v>
      </c>
      <c r="FP15" s="198">
        <f t="shared" si="98"/>
        <v>0</v>
      </c>
      <c r="FQ15" s="142"/>
      <c r="FR15" s="192">
        <f t="shared" si="37"/>
        <v>0</v>
      </c>
    </row>
    <row r="16" spans="1:174" ht="15" customHeight="1" x14ac:dyDescent="0.2">
      <c r="A16" s="140">
        <v>11</v>
      </c>
      <c r="B16" s="140">
        <f t="shared" si="38"/>
        <v>3838</v>
      </c>
      <c r="C16" s="141">
        <v>4085</v>
      </c>
      <c r="D16" s="135">
        <f t="shared" si="9"/>
        <v>247</v>
      </c>
      <c r="E16" s="185"/>
      <c r="F16" s="140">
        <v>11</v>
      </c>
      <c r="G16" s="140">
        <f t="shared" si="39"/>
        <v>39028</v>
      </c>
      <c r="H16" s="134">
        <v>39049</v>
      </c>
      <c r="I16" s="135">
        <f t="shared" si="10"/>
        <v>21</v>
      </c>
      <c r="J16" s="185"/>
      <c r="K16" s="140">
        <v>11</v>
      </c>
      <c r="L16" s="140">
        <f t="shared" si="40"/>
        <v>848649</v>
      </c>
      <c r="M16" s="141">
        <v>848671</v>
      </c>
      <c r="N16" s="135">
        <f t="shared" si="11"/>
        <v>22</v>
      </c>
      <c r="O16" s="137"/>
      <c r="P16" s="140">
        <v>11</v>
      </c>
      <c r="Q16" s="140">
        <f t="shared" si="41"/>
        <v>245052</v>
      </c>
      <c r="R16" s="141">
        <v>245191</v>
      </c>
      <c r="S16" s="135">
        <f t="shared" si="12"/>
        <v>139</v>
      </c>
      <c r="T16" s="136"/>
      <c r="U16" s="140">
        <v>11</v>
      </c>
      <c r="V16" s="200">
        <f t="shared" si="13"/>
        <v>429</v>
      </c>
      <c r="W16" s="139">
        <f>'Maldives at LG Daily'!BP15</f>
        <v>30.1</v>
      </c>
      <c r="X16" s="142">
        <v>51</v>
      </c>
      <c r="Y16" s="314">
        <f t="shared" si="14"/>
        <v>8.4117647058823533</v>
      </c>
      <c r="AA16" s="194">
        <v>11</v>
      </c>
      <c r="AB16" s="142">
        <f t="shared" si="42"/>
        <v>47280</v>
      </c>
      <c r="AC16" s="142">
        <v>47300</v>
      </c>
      <c r="AD16" s="142">
        <f t="shared" si="15"/>
        <v>20</v>
      </c>
      <c r="AE16" s="142">
        <f t="shared" si="99"/>
        <v>-2</v>
      </c>
      <c r="AF16" s="288"/>
      <c r="AG16" s="194">
        <f t="shared" si="43"/>
        <v>10586</v>
      </c>
      <c r="AH16" s="142">
        <v>10592</v>
      </c>
      <c r="AI16" s="142">
        <f t="shared" si="44"/>
        <v>6</v>
      </c>
      <c r="AJ16" s="142">
        <f t="shared" si="100"/>
        <v>0</v>
      </c>
      <c r="AK16" s="142"/>
      <c r="AL16" s="194">
        <f t="shared" si="45"/>
        <v>9891</v>
      </c>
      <c r="AM16" s="142">
        <v>9900</v>
      </c>
      <c r="AN16" s="142">
        <f t="shared" si="16"/>
        <v>9</v>
      </c>
      <c r="AO16" s="142">
        <f t="shared" si="46"/>
        <v>-2</v>
      </c>
      <c r="AP16" s="142"/>
      <c r="AQ16" s="194">
        <f t="shared" si="47"/>
        <v>19317</v>
      </c>
      <c r="AR16" s="142">
        <v>19327</v>
      </c>
      <c r="AS16" s="142">
        <f t="shared" si="17"/>
        <v>10</v>
      </c>
      <c r="AT16" s="142">
        <f t="shared" si="48"/>
        <v>0</v>
      </c>
      <c r="AU16" s="142"/>
      <c r="AV16" s="194">
        <f t="shared" si="49"/>
        <v>35505</v>
      </c>
      <c r="AW16" s="142">
        <v>35513</v>
      </c>
      <c r="AX16" s="142">
        <f t="shared" si="18"/>
        <v>8</v>
      </c>
      <c r="AY16" s="142">
        <f t="shared" si="50"/>
        <v>-1</v>
      </c>
      <c r="AZ16" s="142"/>
      <c r="BA16" s="194">
        <f t="shared" si="51"/>
        <v>9300</v>
      </c>
      <c r="BB16" s="142">
        <v>9306</v>
      </c>
      <c r="BC16" s="142">
        <f t="shared" si="19"/>
        <v>6</v>
      </c>
      <c r="BD16" s="142">
        <f t="shared" si="52"/>
        <v>-1</v>
      </c>
      <c r="BE16" s="142"/>
      <c r="BF16" s="194">
        <f t="shared" si="53"/>
        <v>26099</v>
      </c>
      <c r="BG16" s="142">
        <v>26107</v>
      </c>
      <c r="BH16" s="142">
        <f t="shared" si="20"/>
        <v>8</v>
      </c>
      <c r="BI16" s="142">
        <f t="shared" si="54"/>
        <v>0</v>
      </c>
      <c r="BJ16" s="142"/>
      <c r="BK16" s="194">
        <f t="shared" si="55"/>
        <v>10091</v>
      </c>
      <c r="BL16" s="142">
        <v>10098</v>
      </c>
      <c r="BM16" s="142">
        <f t="shared" si="21"/>
        <v>7</v>
      </c>
      <c r="BN16" s="142">
        <f t="shared" si="56"/>
        <v>-1</v>
      </c>
      <c r="BO16" s="142"/>
      <c r="BP16" s="194">
        <f t="shared" si="57"/>
        <v>4180</v>
      </c>
      <c r="BQ16" s="142">
        <v>4182</v>
      </c>
      <c r="BR16" s="321">
        <f t="shared" si="22"/>
        <v>2</v>
      </c>
      <c r="BS16" s="142">
        <f t="shared" si="58"/>
        <v>1</v>
      </c>
      <c r="BT16" s="142"/>
      <c r="BU16" s="194">
        <f t="shared" si="59"/>
        <v>1867</v>
      </c>
      <c r="BV16" s="142">
        <v>1867</v>
      </c>
      <c r="BW16" s="142">
        <f t="shared" si="23"/>
        <v>0</v>
      </c>
      <c r="BX16" s="142">
        <f t="shared" si="60"/>
        <v>0</v>
      </c>
      <c r="BY16" s="142"/>
      <c r="BZ16" s="198">
        <f t="shared" si="61"/>
        <v>29207</v>
      </c>
      <c r="CA16" s="142">
        <v>29211</v>
      </c>
      <c r="CB16" s="321">
        <f t="shared" si="24"/>
        <v>4</v>
      </c>
      <c r="CC16" s="142">
        <f t="shared" si="62"/>
        <v>2</v>
      </c>
      <c r="CD16" s="192"/>
      <c r="CE16" s="198">
        <f t="shared" si="63"/>
        <v>3503</v>
      </c>
      <c r="CF16" s="142">
        <v>3506</v>
      </c>
      <c r="CG16" s="142">
        <f t="shared" si="0"/>
        <v>3</v>
      </c>
      <c r="CH16" s="142">
        <f t="shared" si="64"/>
        <v>3</v>
      </c>
      <c r="CI16" s="192"/>
      <c r="CJ16" s="198">
        <f t="shared" si="65"/>
        <v>85245</v>
      </c>
      <c r="CK16" s="142">
        <v>85270</v>
      </c>
      <c r="CL16" s="142">
        <f t="shared" si="1"/>
        <v>25</v>
      </c>
      <c r="CM16" s="142">
        <f t="shared" si="66"/>
        <v>-2</v>
      </c>
      <c r="CN16" s="192"/>
      <c r="CO16" s="198">
        <f t="shared" si="67"/>
        <v>26052</v>
      </c>
      <c r="CP16" s="142">
        <v>26062</v>
      </c>
      <c r="CQ16" s="142">
        <f t="shared" si="2"/>
        <v>10</v>
      </c>
      <c r="CR16" s="142">
        <f t="shared" si="68"/>
        <v>-1</v>
      </c>
      <c r="CS16" s="192"/>
      <c r="CT16" s="198">
        <f t="shared" si="69"/>
        <v>12827</v>
      </c>
      <c r="CU16" s="142">
        <v>12828</v>
      </c>
      <c r="CV16" s="142">
        <f t="shared" si="3"/>
        <v>1</v>
      </c>
      <c r="CW16" s="142">
        <f t="shared" si="70"/>
        <v>0</v>
      </c>
      <c r="CX16" s="192"/>
      <c r="CY16" s="198">
        <f t="shared" si="71"/>
        <v>19726</v>
      </c>
      <c r="CZ16" s="142">
        <v>19728</v>
      </c>
      <c r="DA16" s="142">
        <f t="shared" si="4"/>
        <v>2</v>
      </c>
      <c r="DB16" s="142">
        <f t="shared" si="72"/>
        <v>-3</v>
      </c>
      <c r="DC16" s="192"/>
      <c r="DD16" s="198">
        <f t="shared" si="73"/>
        <v>20996</v>
      </c>
      <c r="DE16" s="142">
        <v>20999</v>
      </c>
      <c r="DF16" s="142">
        <f t="shared" si="5"/>
        <v>3</v>
      </c>
      <c r="DG16" s="142">
        <f t="shared" si="74"/>
        <v>1</v>
      </c>
      <c r="DH16" s="192"/>
      <c r="DI16" s="198">
        <f t="shared" si="75"/>
        <v>9917</v>
      </c>
      <c r="DJ16" s="142">
        <v>9920</v>
      </c>
      <c r="DK16" s="142">
        <f t="shared" si="6"/>
        <v>3</v>
      </c>
      <c r="DL16" s="142">
        <f t="shared" si="76"/>
        <v>-3</v>
      </c>
      <c r="DM16" s="192"/>
      <c r="DN16" s="198">
        <f t="shared" si="77"/>
        <v>26487</v>
      </c>
      <c r="DO16" s="142">
        <v>26503</v>
      </c>
      <c r="DP16" s="142">
        <f t="shared" si="7"/>
        <v>16</v>
      </c>
      <c r="DQ16" s="142">
        <f t="shared" si="78"/>
        <v>2</v>
      </c>
      <c r="DR16" s="192"/>
      <c r="DS16" s="198">
        <f t="shared" si="79"/>
        <v>2779</v>
      </c>
      <c r="DT16" s="142">
        <v>2780</v>
      </c>
      <c r="DU16" s="142">
        <f t="shared" si="8"/>
        <v>1</v>
      </c>
      <c r="DV16" s="142">
        <f t="shared" si="80"/>
        <v>-2</v>
      </c>
      <c r="DW16" s="192"/>
      <c r="DX16" s="198">
        <f t="shared" si="81"/>
        <v>73</v>
      </c>
      <c r="DY16" s="142">
        <v>74</v>
      </c>
      <c r="DZ16" s="142">
        <f t="shared" si="82"/>
        <v>1</v>
      </c>
      <c r="EA16" s="142">
        <f t="shared" si="83"/>
        <v>-2</v>
      </c>
      <c r="EB16" s="192"/>
      <c r="EC16" s="198">
        <f t="shared" si="84"/>
        <v>0</v>
      </c>
      <c r="ED16" s="142"/>
      <c r="EE16" s="192">
        <f t="shared" si="25"/>
        <v>0</v>
      </c>
      <c r="EF16" s="198">
        <f t="shared" si="101"/>
        <v>0</v>
      </c>
      <c r="EG16" s="142"/>
      <c r="EH16" s="192">
        <f t="shared" si="26"/>
        <v>0</v>
      </c>
      <c r="EI16" s="198">
        <f t="shared" si="102"/>
        <v>0</v>
      </c>
      <c r="EJ16" s="142"/>
      <c r="EK16" s="192">
        <f t="shared" si="27"/>
        <v>0</v>
      </c>
      <c r="EL16" s="198">
        <f t="shared" si="87"/>
        <v>0</v>
      </c>
      <c r="EM16" s="142"/>
      <c r="EN16" s="192">
        <f t="shared" si="28"/>
        <v>0</v>
      </c>
      <c r="EO16" s="198">
        <f t="shared" si="88"/>
        <v>0</v>
      </c>
      <c r="EP16" s="142"/>
      <c r="EQ16" s="192">
        <f t="shared" si="29"/>
        <v>0</v>
      </c>
      <c r="ER16" s="198">
        <f t="shared" si="89"/>
        <v>0</v>
      </c>
      <c r="ES16" s="142"/>
      <c r="ET16" s="192">
        <f t="shared" si="30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1"/>
        <v>0</v>
      </c>
      <c r="FA16" s="198">
        <f t="shared" si="93"/>
        <v>0</v>
      </c>
      <c r="FB16" s="142"/>
      <c r="FC16" s="192">
        <f t="shared" si="32"/>
        <v>0</v>
      </c>
      <c r="FD16" s="198">
        <f t="shared" si="94"/>
        <v>0</v>
      </c>
      <c r="FE16" s="142"/>
      <c r="FF16" s="192">
        <f t="shared" si="33"/>
        <v>0</v>
      </c>
      <c r="FG16" s="198">
        <f t="shared" si="95"/>
        <v>0</v>
      </c>
      <c r="FH16" s="142"/>
      <c r="FI16" s="192">
        <f t="shared" si="34"/>
        <v>0</v>
      </c>
      <c r="FJ16" s="198">
        <f t="shared" si="96"/>
        <v>0</v>
      </c>
      <c r="FK16" s="142"/>
      <c r="FL16" s="192">
        <f t="shared" si="35"/>
        <v>0</v>
      </c>
      <c r="FM16" s="198">
        <f t="shared" si="97"/>
        <v>0</v>
      </c>
      <c r="FN16" s="142"/>
      <c r="FO16" s="192">
        <f t="shared" si="36"/>
        <v>0</v>
      </c>
      <c r="FP16" s="198">
        <f t="shared" si="98"/>
        <v>0</v>
      </c>
      <c r="FQ16" s="142"/>
      <c r="FR16" s="192">
        <f t="shared" si="37"/>
        <v>0</v>
      </c>
    </row>
    <row r="17" spans="1:174" ht="15" customHeight="1" x14ac:dyDescent="0.2">
      <c r="A17" s="140">
        <v>12</v>
      </c>
      <c r="B17" s="140">
        <f t="shared" si="38"/>
        <v>4085</v>
      </c>
      <c r="C17" s="141">
        <v>4329</v>
      </c>
      <c r="D17" s="135">
        <f t="shared" si="9"/>
        <v>244</v>
      </c>
      <c r="E17" s="185"/>
      <c r="F17" s="140">
        <v>12</v>
      </c>
      <c r="G17" s="140">
        <f t="shared" si="39"/>
        <v>39049</v>
      </c>
      <c r="H17" s="141">
        <v>39168</v>
      </c>
      <c r="I17" s="135">
        <f t="shared" si="10"/>
        <v>119</v>
      </c>
      <c r="J17" s="185"/>
      <c r="K17" s="140">
        <v>12</v>
      </c>
      <c r="L17" s="140">
        <f t="shared" si="40"/>
        <v>848671</v>
      </c>
      <c r="M17" s="141">
        <v>848693</v>
      </c>
      <c r="N17" s="135">
        <f t="shared" si="11"/>
        <v>22</v>
      </c>
      <c r="O17" s="137"/>
      <c r="P17" s="140">
        <v>12</v>
      </c>
      <c r="Q17" s="140">
        <f t="shared" si="41"/>
        <v>245191</v>
      </c>
      <c r="R17" s="141">
        <v>245325</v>
      </c>
      <c r="S17" s="135">
        <f t="shared" si="12"/>
        <v>134</v>
      </c>
      <c r="T17" s="136"/>
      <c r="U17" s="138">
        <v>12</v>
      </c>
      <c r="V17" s="200">
        <f t="shared" si="13"/>
        <v>519</v>
      </c>
      <c r="W17" s="139">
        <f>'Maldives at LG Daily'!BP16</f>
        <v>36.9</v>
      </c>
      <c r="X17" s="142">
        <v>54</v>
      </c>
      <c r="Y17" s="314">
        <f t="shared" si="14"/>
        <v>9.6111111111111107</v>
      </c>
      <c r="AA17" s="194">
        <v>12</v>
      </c>
      <c r="AB17" s="142">
        <f t="shared" si="42"/>
        <v>47300</v>
      </c>
      <c r="AC17" s="142">
        <v>47323</v>
      </c>
      <c r="AD17" s="142">
        <f t="shared" si="15"/>
        <v>23</v>
      </c>
      <c r="AE17" s="142">
        <f t="shared" si="99"/>
        <v>3</v>
      </c>
      <c r="AF17" s="288"/>
      <c r="AG17" s="194">
        <f t="shared" si="43"/>
        <v>10592</v>
      </c>
      <c r="AH17" s="142">
        <v>10599</v>
      </c>
      <c r="AI17" s="142">
        <f t="shared" si="44"/>
        <v>7</v>
      </c>
      <c r="AJ17" s="142">
        <f t="shared" si="100"/>
        <v>1</v>
      </c>
      <c r="AK17" s="142"/>
      <c r="AL17" s="194">
        <f t="shared" si="45"/>
        <v>9900</v>
      </c>
      <c r="AM17" s="142">
        <v>9909</v>
      </c>
      <c r="AN17" s="142">
        <f t="shared" si="16"/>
        <v>9</v>
      </c>
      <c r="AO17" s="142">
        <f t="shared" si="46"/>
        <v>0</v>
      </c>
      <c r="AP17" s="142"/>
      <c r="AQ17" s="194">
        <f t="shared" si="47"/>
        <v>19327</v>
      </c>
      <c r="AR17" s="142">
        <v>19337</v>
      </c>
      <c r="AS17" s="142">
        <f t="shared" si="17"/>
        <v>10</v>
      </c>
      <c r="AT17" s="142">
        <f t="shared" si="48"/>
        <v>0</v>
      </c>
      <c r="AU17" s="142"/>
      <c r="AV17" s="194">
        <f t="shared" si="49"/>
        <v>35513</v>
      </c>
      <c r="AW17" s="142">
        <v>35523</v>
      </c>
      <c r="AX17" s="142">
        <f t="shared" si="18"/>
        <v>10</v>
      </c>
      <c r="AY17" s="142">
        <f t="shared" si="50"/>
        <v>2</v>
      </c>
      <c r="AZ17" s="142"/>
      <c r="BA17" s="194">
        <f t="shared" si="51"/>
        <v>9306</v>
      </c>
      <c r="BB17" s="142">
        <v>9313</v>
      </c>
      <c r="BC17" s="142">
        <f t="shared" si="19"/>
        <v>7</v>
      </c>
      <c r="BD17" s="142">
        <f t="shared" si="52"/>
        <v>1</v>
      </c>
      <c r="BE17" s="142"/>
      <c r="BF17" s="194">
        <f t="shared" si="53"/>
        <v>26107</v>
      </c>
      <c r="BG17" s="142">
        <v>26115</v>
      </c>
      <c r="BH17" s="142">
        <f t="shared" si="20"/>
        <v>8</v>
      </c>
      <c r="BI17" s="142">
        <f t="shared" si="54"/>
        <v>0</v>
      </c>
      <c r="BJ17" s="142"/>
      <c r="BK17" s="194">
        <f t="shared" si="55"/>
        <v>10098</v>
      </c>
      <c r="BL17" s="142">
        <v>10106</v>
      </c>
      <c r="BM17" s="142">
        <f t="shared" si="21"/>
        <v>8</v>
      </c>
      <c r="BN17" s="142">
        <f t="shared" si="56"/>
        <v>1</v>
      </c>
      <c r="BO17" s="142"/>
      <c r="BP17" s="194">
        <f t="shared" si="57"/>
        <v>4182</v>
      </c>
      <c r="BQ17" s="142">
        <v>4184</v>
      </c>
      <c r="BR17" s="321">
        <f t="shared" si="22"/>
        <v>2</v>
      </c>
      <c r="BS17" s="142">
        <f t="shared" si="58"/>
        <v>0</v>
      </c>
      <c r="BT17" s="142"/>
      <c r="BU17" s="194">
        <f t="shared" si="59"/>
        <v>1867</v>
      </c>
      <c r="BV17" s="142">
        <v>1868</v>
      </c>
      <c r="BW17" s="142">
        <f t="shared" si="23"/>
        <v>1</v>
      </c>
      <c r="BX17" s="142">
        <f t="shared" si="60"/>
        <v>1</v>
      </c>
      <c r="BY17" s="142"/>
      <c r="BZ17" s="198">
        <f t="shared" si="61"/>
        <v>29211</v>
      </c>
      <c r="CA17" s="142">
        <v>29212</v>
      </c>
      <c r="CB17" s="321">
        <f t="shared" si="24"/>
        <v>1</v>
      </c>
      <c r="CC17" s="142">
        <f t="shared" si="62"/>
        <v>-3</v>
      </c>
      <c r="CD17" s="192"/>
      <c r="CE17" s="198">
        <f t="shared" si="63"/>
        <v>3506</v>
      </c>
      <c r="CF17" s="142">
        <v>3508</v>
      </c>
      <c r="CG17" s="142">
        <f t="shared" si="0"/>
        <v>2</v>
      </c>
      <c r="CH17" s="142">
        <f t="shared" si="64"/>
        <v>-1</v>
      </c>
      <c r="CI17" s="192"/>
      <c r="CJ17" s="198">
        <f t="shared" si="65"/>
        <v>85270</v>
      </c>
      <c r="CK17" s="142">
        <v>85308</v>
      </c>
      <c r="CL17" s="142">
        <f t="shared" si="1"/>
        <v>38</v>
      </c>
      <c r="CM17" s="142">
        <f t="shared" si="66"/>
        <v>13</v>
      </c>
      <c r="CN17" s="192"/>
      <c r="CO17" s="198">
        <f t="shared" si="67"/>
        <v>26062</v>
      </c>
      <c r="CP17" s="142">
        <v>26071</v>
      </c>
      <c r="CQ17" s="142">
        <f t="shared" si="2"/>
        <v>9</v>
      </c>
      <c r="CR17" s="142">
        <f t="shared" si="68"/>
        <v>-1</v>
      </c>
      <c r="CS17" s="192"/>
      <c r="CT17" s="198">
        <f t="shared" si="69"/>
        <v>12828</v>
      </c>
      <c r="CU17" s="142">
        <v>12829</v>
      </c>
      <c r="CV17" s="142">
        <f t="shared" si="3"/>
        <v>1</v>
      </c>
      <c r="CW17" s="142">
        <f t="shared" si="70"/>
        <v>0</v>
      </c>
      <c r="CX17" s="192"/>
      <c r="CY17" s="198">
        <f t="shared" si="71"/>
        <v>19728</v>
      </c>
      <c r="CZ17" s="142">
        <v>19732</v>
      </c>
      <c r="DA17" s="142">
        <f t="shared" si="4"/>
        <v>4</v>
      </c>
      <c r="DB17" s="142">
        <f t="shared" si="72"/>
        <v>2</v>
      </c>
      <c r="DC17" s="192"/>
      <c r="DD17" s="198">
        <f t="shared" si="73"/>
        <v>20999</v>
      </c>
      <c r="DE17" s="142">
        <v>21002</v>
      </c>
      <c r="DF17" s="142">
        <f t="shared" si="5"/>
        <v>3</v>
      </c>
      <c r="DG17" s="142">
        <f t="shared" si="74"/>
        <v>0</v>
      </c>
      <c r="DH17" s="192"/>
      <c r="DI17" s="198">
        <f t="shared" si="75"/>
        <v>9920</v>
      </c>
      <c r="DJ17" s="142">
        <v>9921</v>
      </c>
      <c r="DK17" s="142">
        <f t="shared" si="6"/>
        <v>1</v>
      </c>
      <c r="DL17" s="142">
        <f t="shared" si="76"/>
        <v>-2</v>
      </c>
      <c r="DM17" s="192"/>
      <c r="DN17" s="198">
        <f t="shared" si="77"/>
        <v>26503</v>
      </c>
      <c r="DO17" s="142">
        <f>DO16+15</f>
        <v>26518</v>
      </c>
      <c r="DP17" s="142">
        <f t="shared" si="7"/>
        <v>15</v>
      </c>
      <c r="DQ17" s="142">
        <f t="shared" si="78"/>
        <v>-1</v>
      </c>
      <c r="DR17" s="192"/>
      <c r="DS17" s="198">
        <f t="shared" si="79"/>
        <v>2780</v>
      </c>
      <c r="DT17" s="142">
        <v>2783</v>
      </c>
      <c r="DU17" s="142">
        <f t="shared" si="8"/>
        <v>3</v>
      </c>
      <c r="DV17" s="142">
        <f t="shared" si="80"/>
        <v>2</v>
      </c>
      <c r="DW17" s="192"/>
      <c r="DX17" s="198">
        <f t="shared" si="81"/>
        <v>74</v>
      </c>
      <c r="DY17" s="142">
        <v>81</v>
      </c>
      <c r="DZ17" s="142">
        <f t="shared" si="82"/>
        <v>7</v>
      </c>
      <c r="EA17" s="142">
        <f t="shared" si="83"/>
        <v>6</v>
      </c>
      <c r="EB17" s="192"/>
      <c r="EC17" s="198">
        <f t="shared" si="84"/>
        <v>0</v>
      </c>
      <c r="ED17" s="142"/>
      <c r="EE17" s="192">
        <f t="shared" si="25"/>
        <v>0</v>
      </c>
      <c r="EF17" s="198">
        <f t="shared" si="101"/>
        <v>0</v>
      </c>
      <c r="EG17" s="142"/>
      <c r="EH17" s="192">
        <f t="shared" si="26"/>
        <v>0</v>
      </c>
      <c r="EI17" s="198">
        <f t="shared" si="102"/>
        <v>0</v>
      </c>
      <c r="EJ17" s="142"/>
      <c r="EK17" s="192">
        <f t="shared" si="27"/>
        <v>0</v>
      </c>
      <c r="EL17" s="198">
        <f t="shared" ref="EL17:EL36" si="103">EM16</f>
        <v>0</v>
      </c>
      <c r="EM17" s="142"/>
      <c r="EN17" s="192">
        <f t="shared" si="28"/>
        <v>0</v>
      </c>
      <c r="EO17" s="198">
        <f t="shared" si="88"/>
        <v>0</v>
      </c>
      <c r="EP17" s="142"/>
      <c r="EQ17" s="192">
        <f t="shared" si="29"/>
        <v>0</v>
      </c>
      <c r="ER17" s="198">
        <f t="shared" si="89"/>
        <v>0</v>
      </c>
      <c r="ES17" s="142"/>
      <c r="ET17" s="192">
        <f t="shared" si="30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1"/>
        <v>0</v>
      </c>
      <c r="FA17" s="198">
        <f t="shared" si="93"/>
        <v>0</v>
      </c>
      <c r="FB17" s="142"/>
      <c r="FC17" s="192">
        <f t="shared" si="32"/>
        <v>0</v>
      </c>
      <c r="FD17" s="198">
        <f t="shared" si="94"/>
        <v>0</v>
      </c>
      <c r="FE17" s="142"/>
      <c r="FF17" s="192">
        <f t="shared" si="33"/>
        <v>0</v>
      </c>
      <c r="FG17" s="198">
        <f t="shared" si="95"/>
        <v>0</v>
      </c>
      <c r="FH17" s="142"/>
      <c r="FI17" s="192">
        <f t="shared" si="34"/>
        <v>0</v>
      </c>
      <c r="FJ17" s="198">
        <f t="shared" si="96"/>
        <v>0</v>
      </c>
      <c r="FK17" s="142"/>
      <c r="FL17" s="192">
        <f t="shared" si="35"/>
        <v>0</v>
      </c>
      <c r="FM17" s="198">
        <f t="shared" si="97"/>
        <v>0</v>
      </c>
      <c r="FN17" s="142"/>
      <c r="FO17" s="192">
        <f t="shared" si="36"/>
        <v>0</v>
      </c>
      <c r="FP17" s="198">
        <f t="shared" si="98"/>
        <v>0</v>
      </c>
      <c r="FQ17" s="142"/>
      <c r="FR17" s="192">
        <f t="shared" si="37"/>
        <v>0</v>
      </c>
    </row>
    <row r="18" spans="1:174" ht="15" customHeight="1" x14ac:dyDescent="0.2">
      <c r="A18" s="140">
        <v>13</v>
      </c>
      <c r="B18" s="140">
        <f t="shared" si="38"/>
        <v>4329</v>
      </c>
      <c r="C18" s="141">
        <v>4561</v>
      </c>
      <c r="D18" s="135">
        <f t="shared" si="9"/>
        <v>232</v>
      </c>
      <c r="E18" s="185"/>
      <c r="F18" s="140">
        <v>13</v>
      </c>
      <c r="G18" s="140">
        <f t="shared" si="39"/>
        <v>39168</v>
      </c>
      <c r="H18" s="141">
        <v>39287</v>
      </c>
      <c r="I18" s="135">
        <f t="shared" si="10"/>
        <v>119</v>
      </c>
      <c r="J18" s="185"/>
      <c r="K18" s="140">
        <v>13</v>
      </c>
      <c r="L18" s="140">
        <f t="shared" si="40"/>
        <v>848693</v>
      </c>
      <c r="M18" s="141">
        <v>848699</v>
      </c>
      <c r="N18" s="135">
        <f t="shared" si="11"/>
        <v>6</v>
      </c>
      <c r="O18" s="137"/>
      <c r="P18" s="140">
        <v>13</v>
      </c>
      <c r="Q18" s="140">
        <f t="shared" si="41"/>
        <v>245325</v>
      </c>
      <c r="R18" s="141">
        <v>245454</v>
      </c>
      <c r="S18" s="135">
        <f t="shared" si="12"/>
        <v>129</v>
      </c>
      <c r="T18" s="136"/>
      <c r="U18" s="138">
        <v>13</v>
      </c>
      <c r="V18" s="200">
        <f t="shared" si="13"/>
        <v>486</v>
      </c>
      <c r="W18" s="139">
        <f>'Maldives at LG Daily'!BP17</f>
        <v>39.799999999999997</v>
      </c>
      <c r="X18" s="142">
        <v>48</v>
      </c>
      <c r="Y18" s="314">
        <f t="shared" si="14"/>
        <v>10.125</v>
      </c>
      <c r="AA18" s="194">
        <v>13</v>
      </c>
      <c r="AB18" s="142">
        <f t="shared" si="42"/>
        <v>47323</v>
      </c>
      <c r="AC18" s="142">
        <v>47344</v>
      </c>
      <c r="AD18" s="142">
        <f t="shared" si="15"/>
        <v>21</v>
      </c>
      <c r="AE18" s="142">
        <f t="shared" si="99"/>
        <v>-2</v>
      </c>
      <c r="AF18" s="288"/>
      <c r="AG18" s="194">
        <f t="shared" si="43"/>
        <v>10599</v>
      </c>
      <c r="AH18" s="142">
        <v>10605</v>
      </c>
      <c r="AI18" s="142">
        <f t="shared" si="44"/>
        <v>6</v>
      </c>
      <c r="AJ18" s="142">
        <f t="shared" si="100"/>
        <v>-1</v>
      </c>
      <c r="AK18" s="142"/>
      <c r="AL18" s="194">
        <f t="shared" si="45"/>
        <v>9909</v>
      </c>
      <c r="AM18" s="142">
        <v>9919</v>
      </c>
      <c r="AN18" s="142">
        <f t="shared" si="16"/>
        <v>10</v>
      </c>
      <c r="AO18" s="142">
        <f t="shared" si="46"/>
        <v>1</v>
      </c>
      <c r="AP18" s="142"/>
      <c r="AQ18" s="194">
        <f t="shared" si="47"/>
        <v>19337</v>
      </c>
      <c r="AR18" s="142">
        <v>19347</v>
      </c>
      <c r="AS18" s="142">
        <f t="shared" si="17"/>
        <v>10</v>
      </c>
      <c r="AT18" s="142">
        <f t="shared" si="48"/>
        <v>0</v>
      </c>
      <c r="AU18" s="142"/>
      <c r="AV18" s="194">
        <f t="shared" si="49"/>
        <v>35523</v>
      </c>
      <c r="AW18" s="142">
        <v>35531</v>
      </c>
      <c r="AX18" s="142">
        <f t="shared" si="18"/>
        <v>8</v>
      </c>
      <c r="AY18" s="142">
        <f t="shared" si="50"/>
        <v>-2</v>
      </c>
      <c r="AZ18" s="142"/>
      <c r="BA18" s="194">
        <f t="shared" si="51"/>
        <v>9313</v>
      </c>
      <c r="BB18" s="142">
        <v>9319</v>
      </c>
      <c r="BC18" s="142">
        <f t="shared" si="19"/>
        <v>6</v>
      </c>
      <c r="BD18" s="142">
        <f t="shared" si="52"/>
        <v>-1</v>
      </c>
      <c r="BE18" s="142"/>
      <c r="BF18" s="194">
        <f t="shared" si="53"/>
        <v>26115</v>
      </c>
      <c r="BG18" s="142">
        <v>26125</v>
      </c>
      <c r="BH18" s="142">
        <f t="shared" si="20"/>
        <v>10</v>
      </c>
      <c r="BI18" s="142">
        <f t="shared" si="54"/>
        <v>2</v>
      </c>
      <c r="BJ18" s="142"/>
      <c r="BK18" s="194">
        <f t="shared" si="55"/>
        <v>10106</v>
      </c>
      <c r="BL18" s="142">
        <v>10113</v>
      </c>
      <c r="BM18" s="142">
        <f t="shared" si="21"/>
        <v>7</v>
      </c>
      <c r="BN18" s="142">
        <f t="shared" si="56"/>
        <v>-1</v>
      </c>
      <c r="BO18" s="142"/>
      <c r="BP18" s="194">
        <f t="shared" si="57"/>
        <v>4184</v>
      </c>
      <c r="BQ18" s="142">
        <v>4185</v>
      </c>
      <c r="BR18" s="321">
        <f t="shared" si="22"/>
        <v>1</v>
      </c>
      <c r="BS18" s="142">
        <f t="shared" si="58"/>
        <v>-1</v>
      </c>
      <c r="BT18" s="142"/>
      <c r="BU18" s="194">
        <f t="shared" si="59"/>
        <v>1868</v>
      </c>
      <c r="BV18" s="142">
        <v>1868</v>
      </c>
      <c r="BW18" s="142">
        <f t="shared" si="23"/>
        <v>0</v>
      </c>
      <c r="BX18" s="142">
        <f t="shared" si="60"/>
        <v>-1</v>
      </c>
      <c r="BY18" s="142"/>
      <c r="BZ18" s="198">
        <f t="shared" si="61"/>
        <v>29212</v>
      </c>
      <c r="CA18" s="142">
        <v>29216</v>
      </c>
      <c r="CB18" s="321">
        <f t="shared" si="24"/>
        <v>4</v>
      </c>
      <c r="CC18" s="142">
        <f t="shared" si="62"/>
        <v>3</v>
      </c>
      <c r="CD18" s="192"/>
      <c r="CE18" s="198">
        <f t="shared" si="63"/>
        <v>3508</v>
      </c>
      <c r="CF18" s="142">
        <v>3508</v>
      </c>
      <c r="CG18" s="142">
        <f t="shared" si="0"/>
        <v>0</v>
      </c>
      <c r="CH18" s="142">
        <f t="shared" si="64"/>
        <v>-2</v>
      </c>
      <c r="CI18" s="192"/>
      <c r="CJ18" s="198">
        <f t="shared" si="65"/>
        <v>85308</v>
      </c>
      <c r="CK18" s="142">
        <v>85332</v>
      </c>
      <c r="CL18" s="142">
        <f t="shared" si="1"/>
        <v>24</v>
      </c>
      <c r="CM18" s="142">
        <f t="shared" si="66"/>
        <v>-14</v>
      </c>
      <c r="CN18" s="192"/>
      <c r="CO18" s="198">
        <f t="shared" si="67"/>
        <v>26071</v>
      </c>
      <c r="CP18" s="142">
        <v>26079</v>
      </c>
      <c r="CQ18" s="142">
        <f>CP18-CO18</f>
        <v>8</v>
      </c>
      <c r="CR18" s="142">
        <f t="shared" si="68"/>
        <v>-1</v>
      </c>
      <c r="CS18" s="192"/>
      <c r="CT18" s="198">
        <f t="shared" si="69"/>
        <v>12829</v>
      </c>
      <c r="CU18" s="142">
        <v>12830</v>
      </c>
      <c r="CV18" s="142">
        <f t="shared" si="3"/>
        <v>1</v>
      </c>
      <c r="CW18" s="142">
        <f t="shared" si="70"/>
        <v>0</v>
      </c>
      <c r="CX18" s="192"/>
      <c r="CY18" s="198">
        <f t="shared" si="71"/>
        <v>19732</v>
      </c>
      <c r="CZ18" s="142">
        <v>19735</v>
      </c>
      <c r="DA18" s="142">
        <f t="shared" si="4"/>
        <v>3</v>
      </c>
      <c r="DB18" s="142">
        <f t="shared" si="72"/>
        <v>-1</v>
      </c>
      <c r="DC18" s="192"/>
      <c r="DD18" s="198">
        <f t="shared" si="73"/>
        <v>21002</v>
      </c>
      <c r="DE18" s="142">
        <v>21005</v>
      </c>
      <c r="DF18" s="142">
        <f t="shared" si="5"/>
        <v>3</v>
      </c>
      <c r="DG18" s="142">
        <f t="shared" si="74"/>
        <v>0</v>
      </c>
      <c r="DH18" s="192"/>
      <c r="DI18" s="198">
        <f t="shared" si="75"/>
        <v>9921</v>
      </c>
      <c r="DJ18" s="142">
        <v>9927</v>
      </c>
      <c r="DK18" s="142">
        <f t="shared" si="6"/>
        <v>6</v>
      </c>
      <c r="DL18" s="142">
        <f t="shared" si="76"/>
        <v>5</v>
      </c>
      <c r="DM18" s="192"/>
      <c r="DN18" s="198">
        <f t="shared" si="77"/>
        <v>26518</v>
      </c>
      <c r="DO18" s="142">
        <f t="shared" ref="DO18:DO35" si="104">DO17+15</f>
        <v>26533</v>
      </c>
      <c r="DP18" s="142">
        <f t="shared" si="7"/>
        <v>15</v>
      </c>
      <c r="DQ18" s="142">
        <f t="shared" si="78"/>
        <v>0</v>
      </c>
      <c r="DR18" s="192"/>
      <c r="DS18" s="198">
        <f t="shared" si="79"/>
        <v>2783</v>
      </c>
      <c r="DT18" s="142">
        <v>2785</v>
      </c>
      <c r="DU18" s="142">
        <f t="shared" si="8"/>
        <v>2</v>
      </c>
      <c r="DV18" s="142">
        <f t="shared" si="80"/>
        <v>-1</v>
      </c>
      <c r="DW18" s="192"/>
      <c r="DX18" s="198">
        <f t="shared" si="81"/>
        <v>81</v>
      </c>
      <c r="DY18" s="142">
        <v>84</v>
      </c>
      <c r="DZ18" s="142">
        <f t="shared" si="82"/>
        <v>3</v>
      </c>
      <c r="EA18" s="142">
        <f t="shared" si="83"/>
        <v>-4</v>
      </c>
      <c r="EB18" s="192"/>
      <c r="EC18" s="198">
        <f t="shared" si="84"/>
        <v>0</v>
      </c>
      <c r="ED18" s="142"/>
      <c r="EE18" s="192">
        <f t="shared" si="25"/>
        <v>0</v>
      </c>
      <c r="EF18" s="198">
        <f t="shared" si="101"/>
        <v>0</v>
      </c>
      <c r="EG18" s="142"/>
      <c r="EH18" s="192">
        <f t="shared" si="26"/>
        <v>0</v>
      </c>
      <c r="EI18" s="198">
        <f t="shared" si="102"/>
        <v>0</v>
      </c>
      <c r="EJ18" s="142"/>
      <c r="EK18" s="192">
        <f t="shared" si="27"/>
        <v>0</v>
      </c>
      <c r="EL18" s="198">
        <f t="shared" si="103"/>
        <v>0</v>
      </c>
      <c r="EM18" s="142"/>
      <c r="EN18" s="192">
        <f t="shared" si="28"/>
        <v>0</v>
      </c>
      <c r="EO18" s="198">
        <f t="shared" si="88"/>
        <v>0</v>
      </c>
      <c r="EP18" s="142"/>
      <c r="EQ18" s="192">
        <f t="shared" si="29"/>
        <v>0</v>
      </c>
      <c r="ER18" s="198">
        <f t="shared" si="89"/>
        <v>0</v>
      </c>
      <c r="ES18" s="142"/>
      <c r="ET18" s="192">
        <f t="shared" si="30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1"/>
        <v>0</v>
      </c>
      <c r="FA18" s="198">
        <f t="shared" si="93"/>
        <v>0</v>
      </c>
      <c r="FB18" s="142"/>
      <c r="FC18" s="192">
        <f t="shared" si="32"/>
        <v>0</v>
      </c>
      <c r="FD18" s="198">
        <f t="shared" si="94"/>
        <v>0</v>
      </c>
      <c r="FE18" s="142"/>
      <c r="FF18" s="192">
        <f t="shared" si="33"/>
        <v>0</v>
      </c>
      <c r="FG18" s="198">
        <f t="shared" si="95"/>
        <v>0</v>
      </c>
      <c r="FH18" s="142"/>
      <c r="FI18" s="192">
        <f t="shared" si="34"/>
        <v>0</v>
      </c>
      <c r="FJ18" s="198">
        <f t="shared" si="96"/>
        <v>0</v>
      </c>
      <c r="FK18" s="142"/>
      <c r="FL18" s="192">
        <f t="shared" si="35"/>
        <v>0</v>
      </c>
      <c r="FM18" s="198">
        <f t="shared" si="97"/>
        <v>0</v>
      </c>
      <c r="FN18" s="142"/>
      <c r="FO18" s="192">
        <f t="shared" si="36"/>
        <v>0</v>
      </c>
      <c r="FP18" s="198">
        <f t="shared" si="98"/>
        <v>0</v>
      </c>
      <c r="FQ18" s="142"/>
      <c r="FR18" s="192">
        <f t="shared" si="37"/>
        <v>0</v>
      </c>
    </row>
    <row r="19" spans="1:174" ht="15" customHeight="1" x14ac:dyDescent="0.2">
      <c r="A19" s="140">
        <v>14</v>
      </c>
      <c r="B19" s="140">
        <f t="shared" si="38"/>
        <v>4561</v>
      </c>
      <c r="C19" s="141">
        <v>4724</v>
      </c>
      <c r="D19" s="135">
        <f t="shared" si="9"/>
        <v>163</v>
      </c>
      <c r="E19" s="185"/>
      <c r="F19" s="140">
        <v>14</v>
      </c>
      <c r="G19" s="140">
        <f t="shared" si="39"/>
        <v>39287</v>
      </c>
      <c r="H19" s="141">
        <v>39394</v>
      </c>
      <c r="I19" s="135">
        <f t="shared" si="10"/>
        <v>107</v>
      </c>
      <c r="J19" s="185"/>
      <c r="K19" s="140">
        <v>14</v>
      </c>
      <c r="L19" s="140">
        <f t="shared" si="40"/>
        <v>848699</v>
      </c>
      <c r="M19" s="141">
        <v>848699</v>
      </c>
      <c r="N19" s="135">
        <f t="shared" si="11"/>
        <v>0</v>
      </c>
      <c r="O19" s="137"/>
      <c r="P19" s="140">
        <v>14</v>
      </c>
      <c r="Q19" s="140">
        <f t="shared" si="41"/>
        <v>245454</v>
      </c>
      <c r="R19" s="141">
        <v>245574</v>
      </c>
      <c r="S19" s="135">
        <f t="shared" si="12"/>
        <v>120</v>
      </c>
      <c r="T19" s="136"/>
      <c r="U19" s="140">
        <v>14</v>
      </c>
      <c r="V19" s="200">
        <f t="shared" si="13"/>
        <v>390</v>
      </c>
      <c r="W19" s="139">
        <f>'Maldives at LG Daily'!BP18</f>
        <v>35.9</v>
      </c>
      <c r="X19" s="142">
        <v>59</v>
      </c>
      <c r="Y19" s="314">
        <f t="shared" si="14"/>
        <v>6.6101694915254239</v>
      </c>
      <c r="AA19" s="194">
        <v>14</v>
      </c>
      <c r="AB19" s="142">
        <f t="shared" si="42"/>
        <v>47344</v>
      </c>
      <c r="AC19" s="142">
        <v>47366</v>
      </c>
      <c r="AD19" s="142">
        <f t="shared" si="15"/>
        <v>22</v>
      </c>
      <c r="AE19" s="142">
        <f t="shared" si="99"/>
        <v>1</v>
      </c>
      <c r="AF19" s="288"/>
      <c r="AG19" s="194">
        <f t="shared" si="43"/>
        <v>10605</v>
      </c>
      <c r="AH19" s="142">
        <v>10611</v>
      </c>
      <c r="AI19" s="142">
        <f t="shared" si="44"/>
        <v>6</v>
      </c>
      <c r="AJ19" s="142">
        <f t="shared" si="100"/>
        <v>0</v>
      </c>
      <c r="AK19" s="142"/>
      <c r="AL19" s="194">
        <f t="shared" si="45"/>
        <v>9919</v>
      </c>
      <c r="AM19" s="142">
        <v>9928</v>
      </c>
      <c r="AN19" s="142">
        <f t="shared" si="16"/>
        <v>9</v>
      </c>
      <c r="AO19" s="142">
        <f t="shared" si="46"/>
        <v>-1</v>
      </c>
      <c r="AP19" s="142"/>
      <c r="AQ19" s="194">
        <f t="shared" si="47"/>
        <v>19347</v>
      </c>
      <c r="AR19" s="142">
        <v>19358</v>
      </c>
      <c r="AS19" s="142">
        <f t="shared" si="17"/>
        <v>11</v>
      </c>
      <c r="AT19" s="142">
        <f t="shared" si="48"/>
        <v>1</v>
      </c>
      <c r="AU19" s="142"/>
      <c r="AV19" s="194">
        <f t="shared" si="49"/>
        <v>35531</v>
      </c>
      <c r="AW19" s="142">
        <v>35540</v>
      </c>
      <c r="AX19" s="142">
        <f t="shared" si="18"/>
        <v>9</v>
      </c>
      <c r="AY19" s="142">
        <f t="shared" si="50"/>
        <v>1</v>
      </c>
      <c r="AZ19" s="142"/>
      <c r="BA19" s="194">
        <f t="shared" si="51"/>
        <v>9319</v>
      </c>
      <c r="BB19" s="142">
        <v>9325</v>
      </c>
      <c r="BC19" s="142">
        <f t="shared" si="19"/>
        <v>6</v>
      </c>
      <c r="BD19" s="142">
        <f t="shared" si="52"/>
        <v>0</v>
      </c>
      <c r="BE19" s="142"/>
      <c r="BF19" s="194">
        <f t="shared" si="53"/>
        <v>26125</v>
      </c>
      <c r="BG19" s="142">
        <v>26131</v>
      </c>
      <c r="BH19" s="142">
        <f t="shared" si="20"/>
        <v>6</v>
      </c>
      <c r="BI19" s="142">
        <f t="shared" si="54"/>
        <v>-4</v>
      </c>
      <c r="BJ19" s="142"/>
      <c r="BK19" s="194">
        <f t="shared" si="55"/>
        <v>10113</v>
      </c>
      <c r="BL19" s="142">
        <v>10121</v>
      </c>
      <c r="BM19" s="142">
        <f t="shared" si="21"/>
        <v>8</v>
      </c>
      <c r="BN19" s="142">
        <f t="shared" si="56"/>
        <v>1</v>
      </c>
      <c r="BO19" s="142"/>
      <c r="BP19" s="194">
        <f t="shared" si="57"/>
        <v>4185</v>
      </c>
      <c r="BQ19" s="142">
        <v>4186</v>
      </c>
      <c r="BR19" s="321">
        <f t="shared" si="22"/>
        <v>1</v>
      </c>
      <c r="BS19" s="142">
        <f t="shared" si="58"/>
        <v>0</v>
      </c>
      <c r="BT19" s="142"/>
      <c r="BU19" s="194">
        <f t="shared" si="59"/>
        <v>1868</v>
      </c>
      <c r="BV19" s="142">
        <v>1869</v>
      </c>
      <c r="BW19" s="142">
        <f t="shared" si="23"/>
        <v>1</v>
      </c>
      <c r="BX19" s="142">
        <f t="shared" si="60"/>
        <v>1</v>
      </c>
      <c r="BY19" s="142"/>
      <c r="BZ19" s="198">
        <f t="shared" si="61"/>
        <v>29216</v>
      </c>
      <c r="CA19" s="142">
        <v>29218</v>
      </c>
      <c r="CB19" s="321">
        <f t="shared" si="24"/>
        <v>2</v>
      </c>
      <c r="CC19" s="142">
        <f t="shared" si="62"/>
        <v>-2</v>
      </c>
      <c r="CD19" s="192"/>
      <c r="CE19" s="198">
        <f t="shared" si="63"/>
        <v>3508</v>
      </c>
      <c r="CF19" s="142">
        <v>3509</v>
      </c>
      <c r="CG19" s="142">
        <f t="shared" si="0"/>
        <v>1</v>
      </c>
      <c r="CH19" s="142">
        <f t="shared" si="64"/>
        <v>1</v>
      </c>
      <c r="CI19" s="192"/>
      <c r="CJ19" s="198">
        <f t="shared" si="65"/>
        <v>85332</v>
      </c>
      <c r="CK19" s="142">
        <v>85359</v>
      </c>
      <c r="CL19" s="142">
        <f t="shared" si="1"/>
        <v>27</v>
      </c>
      <c r="CM19" s="142">
        <f t="shared" si="66"/>
        <v>3</v>
      </c>
      <c r="CN19" s="192"/>
      <c r="CO19" s="198">
        <f t="shared" si="67"/>
        <v>26079</v>
      </c>
      <c r="CP19" s="142">
        <v>26090</v>
      </c>
      <c r="CQ19" s="142">
        <f t="shared" si="2"/>
        <v>11</v>
      </c>
      <c r="CR19" s="142">
        <f t="shared" si="68"/>
        <v>3</v>
      </c>
      <c r="CS19" s="192"/>
      <c r="CT19" s="198">
        <f t="shared" si="69"/>
        <v>12830</v>
      </c>
      <c r="CU19" s="142">
        <v>12830</v>
      </c>
      <c r="CV19" s="142">
        <f t="shared" si="3"/>
        <v>0</v>
      </c>
      <c r="CW19" s="142">
        <f t="shared" si="70"/>
        <v>-1</v>
      </c>
      <c r="CX19" s="192"/>
      <c r="CY19" s="198">
        <f t="shared" si="71"/>
        <v>19735</v>
      </c>
      <c r="CZ19" s="142">
        <v>19750</v>
      </c>
      <c r="DA19" s="142">
        <f t="shared" si="4"/>
        <v>15</v>
      </c>
      <c r="DB19" s="142">
        <f t="shared" si="72"/>
        <v>12</v>
      </c>
      <c r="DC19" s="192"/>
      <c r="DD19" s="198">
        <f t="shared" si="73"/>
        <v>21005</v>
      </c>
      <c r="DE19" s="142">
        <v>21008</v>
      </c>
      <c r="DF19" s="142">
        <f t="shared" si="5"/>
        <v>3</v>
      </c>
      <c r="DG19" s="142">
        <f t="shared" si="74"/>
        <v>0</v>
      </c>
      <c r="DH19" s="192"/>
      <c r="DI19" s="198">
        <f t="shared" si="75"/>
        <v>9927</v>
      </c>
      <c r="DJ19" s="142">
        <v>9932</v>
      </c>
      <c r="DK19" s="142">
        <f t="shared" si="6"/>
        <v>5</v>
      </c>
      <c r="DL19" s="142">
        <f t="shared" si="76"/>
        <v>-1</v>
      </c>
      <c r="DM19" s="192"/>
      <c r="DN19" s="198">
        <f t="shared" si="77"/>
        <v>26533</v>
      </c>
      <c r="DO19" s="142">
        <f t="shared" si="104"/>
        <v>26548</v>
      </c>
      <c r="DP19" s="142">
        <f t="shared" si="7"/>
        <v>15</v>
      </c>
      <c r="DQ19" s="142">
        <f t="shared" si="78"/>
        <v>0</v>
      </c>
      <c r="DR19" s="192"/>
      <c r="DS19" s="198">
        <f t="shared" si="79"/>
        <v>2785</v>
      </c>
      <c r="DT19" s="142">
        <v>2789</v>
      </c>
      <c r="DU19" s="142">
        <f t="shared" si="8"/>
        <v>4</v>
      </c>
      <c r="DV19" s="142">
        <f t="shared" si="80"/>
        <v>2</v>
      </c>
      <c r="DW19" s="192"/>
      <c r="DX19" s="198">
        <f t="shared" si="81"/>
        <v>84</v>
      </c>
      <c r="DY19" s="142">
        <v>89</v>
      </c>
      <c r="DZ19" s="142">
        <f t="shared" si="82"/>
        <v>5</v>
      </c>
      <c r="EA19" s="142">
        <f t="shared" si="83"/>
        <v>2</v>
      </c>
      <c r="EB19" s="192"/>
      <c r="EC19" s="198">
        <f t="shared" ref="EC19:EC36" si="105">ED18</f>
        <v>0</v>
      </c>
      <c r="ED19" s="142"/>
      <c r="EE19" s="192">
        <f t="shared" si="25"/>
        <v>0</v>
      </c>
      <c r="EF19" s="198">
        <f t="shared" si="101"/>
        <v>0</v>
      </c>
      <c r="EG19" s="142"/>
      <c r="EH19" s="192">
        <f t="shared" si="26"/>
        <v>0</v>
      </c>
      <c r="EI19" s="198">
        <f t="shared" si="102"/>
        <v>0</v>
      </c>
      <c r="EJ19" s="142"/>
      <c r="EK19" s="192">
        <f t="shared" si="27"/>
        <v>0</v>
      </c>
      <c r="EL19" s="198">
        <f t="shared" si="103"/>
        <v>0</v>
      </c>
      <c r="EM19" s="142"/>
      <c r="EN19" s="192">
        <f t="shared" si="28"/>
        <v>0</v>
      </c>
      <c r="EO19" s="198">
        <f t="shared" si="88"/>
        <v>0</v>
      </c>
      <c r="EP19" s="142"/>
      <c r="EQ19" s="192">
        <f t="shared" si="29"/>
        <v>0</v>
      </c>
      <c r="ER19" s="198">
        <f t="shared" si="89"/>
        <v>0</v>
      </c>
      <c r="ES19" s="142"/>
      <c r="ET19" s="192">
        <f t="shared" si="30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1"/>
        <v>0</v>
      </c>
      <c r="FA19" s="198">
        <f t="shared" si="93"/>
        <v>0</v>
      </c>
      <c r="FB19" s="142"/>
      <c r="FC19" s="192">
        <f t="shared" si="32"/>
        <v>0</v>
      </c>
      <c r="FD19" s="198">
        <f t="shared" si="94"/>
        <v>0</v>
      </c>
      <c r="FE19" s="142"/>
      <c r="FF19" s="192">
        <f t="shared" si="33"/>
        <v>0</v>
      </c>
      <c r="FG19" s="198">
        <f t="shared" si="95"/>
        <v>0</v>
      </c>
      <c r="FH19" s="142"/>
      <c r="FI19" s="192">
        <f t="shared" si="34"/>
        <v>0</v>
      </c>
      <c r="FJ19" s="198">
        <f t="shared" si="96"/>
        <v>0</v>
      </c>
      <c r="FK19" s="142"/>
      <c r="FL19" s="192">
        <f t="shared" si="35"/>
        <v>0</v>
      </c>
      <c r="FM19" s="198">
        <f t="shared" si="97"/>
        <v>0</v>
      </c>
      <c r="FN19" s="142"/>
      <c r="FO19" s="192">
        <f t="shared" si="36"/>
        <v>0</v>
      </c>
      <c r="FP19" s="198">
        <f t="shared" si="98"/>
        <v>0</v>
      </c>
      <c r="FQ19" s="142"/>
      <c r="FR19" s="192">
        <f t="shared" si="37"/>
        <v>0</v>
      </c>
    </row>
    <row r="20" spans="1:174" ht="15" customHeight="1" x14ac:dyDescent="0.2">
      <c r="A20" s="140">
        <v>15</v>
      </c>
      <c r="B20" s="140">
        <f t="shared" si="38"/>
        <v>4724</v>
      </c>
      <c r="C20" s="141">
        <v>4872</v>
      </c>
      <c r="D20" s="135">
        <f t="shared" si="9"/>
        <v>148</v>
      </c>
      <c r="E20" s="185"/>
      <c r="F20" s="140">
        <v>15</v>
      </c>
      <c r="G20" s="140">
        <f t="shared" si="39"/>
        <v>39394</v>
      </c>
      <c r="H20" s="141">
        <v>39451</v>
      </c>
      <c r="I20" s="135">
        <f t="shared" si="10"/>
        <v>57</v>
      </c>
      <c r="J20" s="185"/>
      <c r="K20" s="140">
        <v>15</v>
      </c>
      <c r="L20" s="140">
        <f t="shared" si="40"/>
        <v>848699</v>
      </c>
      <c r="M20" s="141">
        <v>848699</v>
      </c>
      <c r="N20" s="135">
        <f t="shared" si="11"/>
        <v>0</v>
      </c>
      <c r="O20" s="137"/>
      <c r="P20" s="140">
        <v>15</v>
      </c>
      <c r="Q20" s="140">
        <f t="shared" si="41"/>
        <v>245574</v>
      </c>
      <c r="R20" s="141">
        <v>245701</v>
      </c>
      <c r="S20" s="135">
        <f t="shared" si="12"/>
        <v>127</v>
      </c>
      <c r="T20" s="136"/>
      <c r="U20" s="138">
        <v>15</v>
      </c>
      <c r="V20" s="200">
        <f t="shared" si="13"/>
        <v>332</v>
      </c>
      <c r="W20" s="139">
        <f>'Maldives at LG Daily'!BP19</f>
        <v>46.6</v>
      </c>
      <c r="X20" s="142">
        <v>63</v>
      </c>
      <c r="Y20" s="314">
        <f t="shared" si="14"/>
        <v>5.2698412698412698</v>
      </c>
      <c r="AA20" s="194">
        <v>15</v>
      </c>
      <c r="AB20" s="142">
        <f t="shared" si="42"/>
        <v>47366</v>
      </c>
      <c r="AC20" s="142">
        <v>47390</v>
      </c>
      <c r="AD20" s="142">
        <f t="shared" si="15"/>
        <v>24</v>
      </c>
      <c r="AE20" s="142">
        <f t="shared" si="99"/>
        <v>2</v>
      </c>
      <c r="AF20" s="288"/>
      <c r="AG20" s="194">
        <f t="shared" si="43"/>
        <v>10611</v>
      </c>
      <c r="AH20" s="142">
        <v>10618</v>
      </c>
      <c r="AI20" s="142">
        <f t="shared" si="44"/>
        <v>7</v>
      </c>
      <c r="AJ20" s="142">
        <f t="shared" si="100"/>
        <v>1</v>
      </c>
      <c r="AK20" s="142"/>
      <c r="AL20" s="194">
        <f t="shared" si="45"/>
        <v>9928</v>
      </c>
      <c r="AM20" s="142">
        <v>9938</v>
      </c>
      <c r="AN20" s="142">
        <f t="shared" si="16"/>
        <v>10</v>
      </c>
      <c r="AO20" s="142">
        <f t="shared" si="46"/>
        <v>1</v>
      </c>
      <c r="AP20" s="142"/>
      <c r="AQ20" s="194">
        <f t="shared" si="47"/>
        <v>19358</v>
      </c>
      <c r="AR20" s="142">
        <f>AR19+10</f>
        <v>19368</v>
      </c>
      <c r="AS20" s="142">
        <f t="shared" si="17"/>
        <v>10</v>
      </c>
      <c r="AT20" s="142">
        <f t="shared" si="48"/>
        <v>-1</v>
      </c>
      <c r="AU20" s="142"/>
      <c r="AV20" s="194">
        <f t="shared" si="49"/>
        <v>35540</v>
      </c>
      <c r="AW20" s="142">
        <v>35548</v>
      </c>
      <c r="AX20" s="142">
        <f t="shared" si="18"/>
        <v>8</v>
      </c>
      <c r="AY20" s="142">
        <f t="shared" si="50"/>
        <v>-1</v>
      </c>
      <c r="AZ20" s="142"/>
      <c r="BA20" s="194">
        <f t="shared" si="51"/>
        <v>9325</v>
      </c>
      <c r="BB20" s="142">
        <v>9332</v>
      </c>
      <c r="BC20" s="142">
        <f t="shared" si="19"/>
        <v>7</v>
      </c>
      <c r="BD20" s="142">
        <f t="shared" si="52"/>
        <v>1</v>
      </c>
      <c r="BE20" s="142"/>
      <c r="BF20" s="194">
        <f t="shared" si="53"/>
        <v>26131</v>
      </c>
      <c r="BG20" s="142">
        <v>26138</v>
      </c>
      <c r="BH20" s="142">
        <f t="shared" si="20"/>
        <v>7</v>
      </c>
      <c r="BI20" s="142">
        <f t="shared" si="54"/>
        <v>1</v>
      </c>
      <c r="BJ20" s="142"/>
      <c r="BK20" s="194">
        <f t="shared" si="55"/>
        <v>10121</v>
      </c>
      <c r="BL20" s="142">
        <v>10127</v>
      </c>
      <c r="BM20" s="142">
        <f t="shared" si="21"/>
        <v>6</v>
      </c>
      <c r="BN20" s="142">
        <f t="shared" si="56"/>
        <v>-2</v>
      </c>
      <c r="BO20" s="142"/>
      <c r="BP20" s="194">
        <f t="shared" si="57"/>
        <v>4186</v>
      </c>
      <c r="BQ20" s="142">
        <v>4188</v>
      </c>
      <c r="BR20" s="321">
        <f t="shared" si="22"/>
        <v>2</v>
      </c>
      <c r="BS20" s="142">
        <f t="shared" si="58"/>
        <v>1</v>
      </c>
      <c r="BT20" s="142"/>
      <c r="BU20" s="194">
        <f t="shared" si="59"/>
        <v>1869</v>
      </c>
      <c r="BV20" s="142">
        <v>1869</v>
      </c>
      <c r="BW20" s="142">
        <f t="shared" si="23"/>
        <v>0</v>
      </c>
      <c r="BX20" s="142">
        <f t="shared" si="60"/>
        <v>-1</v>
      </c>
      <c r="BY20" s="142"/>
      <c r="BZ20" s="198">
        <f t="shared" si="61"/>
        <v>29218</v>
      </c>
      <c r="CA20" s="142">
        <v>29223</v>
      </c>
      <c r="CB20" s="321">
        <f t="shared" si="24"/>
        <v>5</v>
      </c>
      <c r="CC20" s="142">
        <f t="shared" si="62"/>
        <v>3</v>
      </c>
      <c r="CD20" s="192"/>
      <c r="CE20" s="198">
        <f t="shared" si="63"/>
        <v>3509</v>
      </c>
      <c r="CF20" s="142">
        <v>3514</v>
      </c>
      <c r="CG20" s="142">
        <f t="shared" si="0"/>
        <v>5</v>
      </c>
      <c r="CH20" s="142">
        <f t="shared" si="64"/>
        <v>4</v>
      </c>
      <c r="CI20" s="192"/>
      <c r="CJ20" s="198">
        <f t="shared" si="65"/>
        <v>85359</v>
      </c>
      <c r="CK20" s="142">
        <v>85384</v>
      </c>
      <c r="CL20" s="142">
        <f t="shared" si="1"/>
        <v>25</v>
      </c>
      <c r="CM20" s="142">
        <f t="shared" si="66"/>
        <v>-2</v>
      </c>
      <c r="CN20" s="192"/>
      <c r="CO20" s="198">
        <f t="shared" si="67"/>
        <v>26090</v>
      </c>
      <c r="CP20" s="142">
        <v>26101</v>
      </c>
      <c r="CQ20" s="142">
        <f t="shared" si="2"/>
        <v>11</v>
      </c>
      <c r="CR20" s="142">
        <f t="shared" si="68"/>
        <v>0</v>
      </c>
      <c r="CS20" s="192"/>
      <c r="CT20" s="198">
        <f t="shared" si="69"/>
        <v>12830</v>
      </c>
      <c r="CU20" s="142">
        <v>12831</v>
      </c>
      <c r="CV20" s="142">
        <f t="shared" si="3"/>
        <v>1</v>
      </c>
      <c r="CW20" s="142">
        <f t="shared" si="70"/>
        <v>1</v>
      </c>
      <c r="CX20" s="192"/>
      <c r="CY20" s="198">
        <f t="shared" si="71"/>
        <v>19750</v>
      </c>
      <c r="CZ20" s="142">
        <v>19754</v>
      </c>
      <c r="DA20" s="142">
        <f t="shared" si="4"/>
        <v>4</v>
      </c>
      <c r="DB20" s="142">
        <f t="shared" si="72"/>
        <v>-11</v>
      </c>
      <c r="DC20" s="192"/>
      <c r="DD20" s="198">
        <f t="shared" si="73"/>
        <v>21008</v>
      </c>
      <c r="DE20" s="142">
        <v>21011</v>
      </c>
      <c r="DF20" s="142">
        <f t="shared" si="5"/>
        <v>3</v>
      </c>
      <c r="DG20" s="142">
        <f t="shared" si="74"/>
        <v>0</v>
      </c>
      <c r="DH20" s="192"/>
      <c r="DI20" s="198">
        <f t="shared" si="75"/>
        <v>9932</v>
      </c>
      <c r="DJ20" s="142">
        <v>9935</v>
      </c>
      <c r="DK20" s="142">
        <f t="shared" si="6"/>
        <v>3</v>
      </c>
      <c r="DL20" s="142">
        <f t="shared" si="76"/>
        <v>-2</v>
      </c>
      <c r="DM20" s="192"/>
      <c r="DN20" s="198">
        <f t="shared" si="77"/>
        <v>26548</v>
      </c>
      <c r="DO20" s="142">
        <f t="shared" si="104"/>
        <v>26563</v>
      </c>
      <c r="DP20" s="142">
        <f t="shared" si="7"/>
        <v>15</v>
      </c>
      <c r="DQ20" s="142">
        <f t="shared" si="78"/>
        <v>0</v>
      </c>
      <c r="DR20" s="192"/>
      <c r="DS20" s="198">
        <f t="shared" si="79"/>
        <v>2789</v>
      </c>
      <c r="DT20" s="142">
        <v>2791</v>
      </c>
      <c r="DU20" s="142">
        <f t="shared" si="8"/>
        <v>2</v>
      </c>
      <c r="DV20" s="142">
        <f t="shared" si="80"/>
        <v>-2</v>
      </c>
      <c r="DW20" s="192"/>
      <c r="DX20" s="198">
        <f t="shared" si="81"/>
        <v>89</v>
      </c>
      <c r="DY20" s="142">
        <v>91</v>
      </c>
      <c r="DZ20" s="142">
        <f t="shared" si="82"/>
        <v>2</v>
      </c>
      <c r="EA20" s="142">
        <f t="shared" si="83"/>
        <v>-3</v>
      </c>
      <c r="EB20" s="192"/>
      <c r="EC20" s="198">
        <f t="shared" si="105"/>
        <v>0</v>
      </c>
      <c r="ED20" s="142"/>
      <c r="EE20" s="192">
        <f t="shared" si="25"/>
        <v>0</v>
      </c>
      <c r="EF20" s="198">
        <f t="shared" si="101"/>
        <v>0</v>
      </c>
      <c r="EG20" s="142"/>
      <c r="EH20" s="192">
        <f t="shared" si="26"/>
        <v>0</v>
      </c>
      <c r="EI20" s="198">
        <f t="shared" si="102"/>
        <v>0</v>
      </c>
      <c r="EJ20" s="142"/>
      <c r="EK20" s="192">
        <f t="shared" si="27"/>
        <v>0</v>
      </c>
      <c r="EL20" s="198">
        <f t="shared" si="103"/>
        <v>0</v>
      </c>
      <c r="EM20" s="142"/>
      <c r="EN20" s="192">
        <f t="shared" si="28"/>
        <v>0</v>
      </c>
      <c r="EO20" s="198">
        <f t="shared" si="88"/>
        <v>0</v>
      </c>
      <c r="EP20" s="142"/>
      <c r="EQ20" s="192">
        <f t="shared" si="29"/>
        <v>0</v>
      </c>
      <c r="ER20" s="198">
        <f t="shared" si="89"/>
        <v>0</v>
      </c>
      <c r="ES20" s="142"/>
      <c r="ET20" s="192">
        <f t="shared" si="30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1"/>
        <v>0</v>
      </c>
      <c r="FA20" s="198">
        <f t="shared" si="93"/>
        <v>0</v>
      </c>
      <c r="FB20" s="142"/>
      <c r="FC20" s="192">
        <f t="shared" si="32"/>
        <v>0</v>
      </c>
      <c r="FD20" s="198">
        <f t="shared" si="94"/>
        <v>0</v>
      </c>
      <c r="FE20" s="142"/>
      <c r="FF20" s="192">
        <f t="shared" si="33"/>
        <v>0</v>
      </c>
      <c r="FG20" s="198">
        <f t="shared" si="95"/>
        <v>0</v>
      </c>
      <c r="FH20" s="142"/>
      <c r="FI20" s="192">
        <f t="shared" si="34"/>
        <v>0</v>
      </c>
      <c r="FJ20" s="198">
        <f t="shared" si="96"/>
        <v>0</v>
      </c>
      <c r="FK20" s="142"/>
      <c r="FL20" s="192">
        <f t="shared" si="35"/>
        <v>0</v>
      </c>
      <c r="FM20" s="198">
        <f t="shared" si="97"/>
        <v>0</v>
      </c>
      <c r="FN20" s="142"/>
      <c r="FO20" s="192">
        <f t="shared" si="36"/>
        <v>0</v>
      </c>
      <c r="FP20" s="198">
        <f t="shared" si="98"/>
        <v>0</v>
      </c>
      <c r="FQ20" s="142"/>
      <c r="FR20" s="192">
        <f t="shared" si="37"/>
        <v>0</v>
      </c>
    </row>
    <row r="21" spans="1:174" ht="15" customHeight="1" x14ac:dyDescent="0.2">
      <c r="A21" s="140">
        <v>16</v>
      </c>
      <c r="B21" s="140">
        <f t="shared" si="38"/>
        <v>4872</v>
      </c>
      <c r="C21" s="141">
        <v>5044</v>
      </c>
      <c r="D21" s="135">
        <f t="shared" si="9"/>
        <v>172</v>
      </c>
      <c r="E21" s="185"/>
      <c r="F21" s="140">
        <v>16</v>
      </c>
      <c r="G21" s="140">
        <f t="shared" si="39"/>
        <v>39451</v>
      </c>
      <c r="H21" s="141">
        <v>39518</v>
      </c>
      <c r="I21" s="135">
        <f t="shared" si="10"/>
        <v>67</v>
      </c>
      <c r="J21" s="185"/>
      <c r="K21" s="140">
        <v>16</v>
      </c>
      <c r="L21" s="140">
        <f t="shared" si="40"/>
        <v>848699</v>
      </c>
      <c r="M21" s="141">
        <v>848699</v>
      </c>
      <c r="N21" s="135">
        <f t="shared" si="11"/>
        <v>0</v>
      </c>
      <c r="O21" s="137"/>
      <c r="P21" s="140">
        <v>16</v>
      </c>
      <c r="Q21" s="140">
        <f t="shared" si="41"/>
        <v>245701</v>
      </c>
      <c r="R21" s="141">
        <v>245788</v>
      </c>
      <c r="S21" s="135">
        <f t="shared" si="12"/>
        <v>87</v>
      </c>
      <c r="T21" s="136"/>
      <c r="U21" s="138">
        <v>16</v>
      </c>
      <c r="V21" s="200">
        <f t="shared" si="13"/>
        <v>326</v>
      </c>
      <c r="W21" s="139">
        <f>'Maldives at LG Daily'!BP20</f>
        <v>49.5</v>
      </c>
      <c r="X21" s="158">
        <v>62</v>
      </c>
      <c r="Y21" s="314">
        <f t="shared" si="14"/>
        <v>5.258064516129032</v>
      </c>
      <c r="AA21" s="194">
        <v>16</v>
      </c>
      <c r="AB21" s="142">
        <f t="shared" si="42"/>
        <v>47390</v>
      </c>
      <c r="AC21" s="142">
        <v>47415</v>
      </c>
      <c r="AD21" s="142">
        <f t="shared" si="15"/>
        <v>25</v>
      </c>
      <c r="AE21" s="142">
        <f t="shared" si="99"/>
        <v>1</v>
      </c>
      <c r="AF21" s="288"/>
      <c r="AG21" s="194">
        <f t="shared" si="43"/>
        <v>10618</v>
      </c>
      <c r="AH21" s="142">
        <v>10622</v>
      </c>
      <c r="AI21" s="142">
        <f t="shared" si="44"/>
        <v>4</v>
      </c>
      <c r="AJ21" s="142">
        <f t="shared" si="100"/>
        <v>-3</v>
      </c>
      <c r="AK21" s="142"/>
      <c r="AL21" s="194">
        <f t="shared" si="45"/>
        <v>9938</v>
      </c>
      <c r="AM21" s="142">
        <v>9948</v>
      </c>
      <c r="AN21" s="142">
        <f t="shared" si="16"/>
        <v>10</v>
      </c>
      <c r="AO21" s="142">
        <f t="shared" si="46"/>
        <v>0</v>
      </c>
      <c r="AP21" s="142"/>
      <c r="AQ21" s="194">
        <f t="shared" si="47"/>
        <v>19368</v>
      </c>
      <c r="AR21" s="142">
        <f>AR20+10</f>
        <v>19378</v>
      </c>
      <c r="AS21" s="142">
        <f t="shared" si="17"/>
        <v>10</v>
      </c>
      <c r="AT21" s="142">
        <f t="shared" si="48"/>
        <v>0</v>
      </c>
      <c r="AU21" s="142"/>
      <c r="AV21" s="194">
        <f t="shared" si="49"/>
        <v>35548</v>
      </c>
      <c r="AW21" s="142">
        <v>35556</v>
      </c>
      <c r="AX21" s="142">
        <f t="shared" si="18"/>
        <v>8</v>
      </c>
      <c r="AY21" s="142">
        <f t="shared" si="50"/>
        <v>0</v>
      </c>
      <c r="AZ21" s="142"/>
      <c r="BA21" s="194">
        <f t="shared" si="51"/>
        <v>9332</v>
      </c>
      <c r="BB21" s="142">
        <v>9339</v>
      </c>
      <c r="BC21" s="142">
        <f t="shared" si="19"/>
        <v>7</v>
      </c>
      <c r="BD21" s="142">
        <f t="shared" si="52"/>
        <v>0</v>
      </c>
      <c r="BE21" s="142"/>
      <c r="BF21" s="194">
        <f t="shared" si="53"/>
        <v>26138</v>
      </c>
      <c r="BG21" s="142">
        <v>26146</v>
      </c>
      <c r="BH21" s="142">
        <f t="shared" si="20"/>
        <v>8</v>
      </c>
      <c r="BI21" s="142">
        <f t="shared" si="54"/>
        <v>1</v>
      </c>
      <c r="BJ21" s="142"/>
      <c r="BK21" s="194">
        <f t="shared" si="55"/>
        <v>10127</v>
      </c>
      <c r="BL21" s="142">
        <v>10134</v>
      </c>
      <c r="BM21" s="142">
        <f t="shared" si="21"/>
        <v>7</v>
      </c>
      <c r="BN21" s="142">
        <f t="shared" si="56"/>
        <v>1</v>
      </c>
      <c r="BO21" s="142"/>
      <c r="BP21" s="194">
        <f t="shared" si="57"/>
        <v>4188</v>
      </c>
      <c r="BQ21" s="142">
        <v>4189</v>
      </c>
      <c r="BR21" s="321">
        <f t="shared" si="22"/>
        <v>1</v>
      </c>
      <c r="BS21" s="142">
        <f t="shared" si="58"/>
        <v>-1</v>
      </c>
      <c r="BT21" s="142"/>
      <c r="BU21" s="194">
        <f t="shared" si="59"/>
        <v>1869</v>
      </c>
      <c r="BV21" s="142">
        <v>1869</v>
      </c>
      <c r="BW21" s="142">
        <f t="shared" si="23"/>
        <v>0</v>
      </c>
      <c r="BX21" s="142">
        <f t="shared" si="60"/>
        <v>0</v>
      </c>
      <c r="BY21" s="142"/>
      <c r="BZ21" s="198">
        <f t="shared" si="61"/>
        <v>29223</v>
      </c>
      <c r="CA21" s="142">
        <v>29227</v>
      </c>
      <c r="CB21" s="321">
        <f t="shared" si="24"/>
        <v>4</v>
      </c>
      <c r="CC21" s="142">
        <f t="shared" si="62"/>
        <v>-1</v>
      </c>
      <c r="CD21" s="192"/>
      <c r="CE21" s="198">
        <f t="shared" si="63"/>
        <v>3514</v>
      </c>
      <c r="CF21" s="142">
        <v>3517</v>
      </c>
      <c r="CG21" s="142">
        <f t="shared" si="0"/>
        <v>3</v>
      </c>
      <c r="CH21" s="142">
        <f t="shared" si="64"/>
        <v>-2</v>
      </c>
      <c r="CI21" s="192"/>
      <c r="CJ21" s="198">
        <f t="shared" si="65"/>
        <v>85384</v>
      </c>
      <c r="CK21" s="142">
        <v>85410</v>
      </c>
      <c r="CL21" s="142">
        <f t="shared" si="1"/>
        <v>26</v>
      </c>
      <c r="CM21" s="142">
        <f t="shared" si="66"/>
        <v>1</v>
      </c>
      <c r="CN21" s="192"/>
      <c r="CO21" s="198">
        <f t="shared" si="67"/>
        <v>26101</v>
      </c>
      <c r="CP21" s="142">
        <v>26108</v>
      </c>
      <c r="CQ21" s="142">
        <f t="shared" si="2"/>
        <v>7</v>
      </c>
      <c r="CR21" s="142">
        <f t="shared" si="68"/>
        <v>-4</v>
      </c>
      <c r="CS21" s="192"/>
      <c r="CT21" s="198">
        <f t="shared" si="69"/>
        <v>12831</v>
      </c>
      <c r="CU21" s="142">
        <v>12832</v>
      </c>
      <c r="CV21" s="142">
        <f t="shared" si="3"/>
        <v>1</v>
      </c>
      <c r="CW21" s="142">
        <f t="shared" si="70"/>
        <v>0</v>
      </c>
      <c r="CX21" s="192"/>
      <c r="CY21" s="198">
        <f t="shared" si="71"/>
        <v>19754</v>
      </c>
      <c r="CZ21" s="142">
        <v>19757</v>
      </c>
      <c r="DA21" s="142">
        <f t="shared" si="4"/>
        <v>3</v>
      </c>
      <c r="DB21" s="142">
        <f t="shared" si="72"/>
        <v>-1</v>
      </c>
      <c r="DC21" s="192"/>
      <c r="DD21" s="198">
        <f t="shared" si="73"/>
        <v>21011</v>
      </c>
      <c r="DE21" s="142">
        <v>21014</v>
      </c>
      <c r="DF21" s="142">
        <f t="shared" si="5"/>
        <v>3</v>
      </c>
      <c r="DG21" s="142">
        <f t="shared" si="74"/>
        <v>0</v>
      </c>
      <c r="DH21" s="192"/>
      <c r="DI21" s="198">
        <f t="shared" si="75"/>
        <v>9935</v>
      </c>
      <c r="DJ21" s="142">
        <v>9938</v>
      </c>
      <c r="DK21" s="142">
        <f t="shared" si="6"/>
        <v>3</v>
      </c>
      <c r="DL21" s="142">
        <f t="shared" si="76"/>
        <v>0</v>
      </c>
      <c r="DM21" s="192"/>
      <c r="DN21" s="198">
        <f t="shared" si="77"/>
        <v>26563</v>
      </c>
      <c r="DO21" s="142">
        <f t="shared" si="104"/>
        <v>26578</v>
      </c>
      <c r="DP21" s="142">
        <f t="shared" si="7"/>
        <v>15</v>
      </c>
      <c r="DQ21" s="142">
        <f t="shared" si="78"/>
        <v>0</v>
      </c>
      <c r="DR21" s="192"/>
      <c r="DS21" s="198">
        <f t="shared" si="79"/>
        <v>2791</v>
      </c>
      <c r="DT21" s="142">
        <v>2793</v>
      </c>
      <c r="DU21" s="142">
        <f t="shared" si="8"/>
        <v>2</v>
      </c>
      <c r="DV21" s="142">
        <f t="shared" si="80"/>
        <v>0</v>
      </c>
      <c r="DW21" s="192"/>
      <c r="DX21" s="198">
        <f t="shared" si="81"/>
        <v>91</v>
      </c>
      <c r="DY21" s="142">
        <v>92</v>
      </c>
      <c r="DZ21" s="142">
        <f t="shared" si="82"/>
        <v>1</v>
      </c>
      <c r="EA21" s="142">
        <f t="shared" si="83"/>
        <v>-1</v>
      </c>
      <c r="EB21" s="192"/>
      <c r="EC21" s="198">
        <f t="shared" si="105"/>
        <v>0</v>
      </c>
      <c r="ED21" s="142"/>
      <c r="EE21" s="192">
        <f t="shared" si="25"/>
        <v>0</v>
      </c>
      <c r="EF21" s="198">
        <f t="shared" si="101"/>
        <v>0</v>
      </c>
      <c r="EG21" s="142"/>
      <c r="EH21" s="192">
        <f t="shared" si="26"/>
        <v>0</v>
      </c>
      <c r="EI21" s="198">
        <f t="shared" si="102"/>
        <v>0</v>
      </c>
      <c r="EJ21" s="142"/>
      <c r="EK21" s="192">
        <f t="shared" si="27"/>
        <v>0</v>
      </c>
      <c r="EL21" s="198">
        <f t="shared" si="103"/>
        <v>0</v>
      </c>
      <c r="EM21" s="142"/>
      <c r="EN21" s="192">
        <f t="shared" si="28"/>
        <v>0</v>
      </c>
      <c r="EO21" s="198">
        <f t="shared" si="88"/>
        <v>0</v>
      </c>
      <c r="EP21" s="142"/>
      <c r="EQ21" s="192">
        <f t="shared" si="29"/>
        <v>0</v>
      </c>
      <c r="ER21" s="198">
        <f t="shared" si="89"/>
        <v>0</v>
      </c>
      <c r="ES21" s="142"/>
      <c r="ET21" s="192">
        <f t="shared" si="30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1"/>
        <v>0</v>
      </c>
      <c r="FA21" s="198">
        <f t="shared" si="93"/>
        <v>0</v>
      </c>
      <c r="FB21" s="142"/>
      <c r="FC21" s="192">
        <f t="shared" si="32"/>
        <v>0</v>
      </c>
      <c r="FD21" s="198">
        <f t="shared" si="94"/>
        <v>0</v>
      </c>
      <c r="FE21" s="142"/>
      <c r="FF21" s="192">
        <f t="shared" si="33"/>
        <v>0</v>
      </c>
      <c r="FG21" s="198">
        <f t="shared" si="95"/>
        <v>0</v>
      </c>
      <c r="FH21" s="142"/>
      <c r="FI21" s="192">
        <f t="shared" si="34"/>
        <v>0</v>
      </c>
      <c r="FJ21" s="198">
        <f t="shared" si="96"/>
        <v>0</v>
      </c>
      <c r="FK21" s="142"/>
      <c r="FL21" s="192">
        <f t="shared" si="35"/>
        <v>0</v>
      </c>
      <c r="FM21" s="198">
        <f t="shared" si="97"/>
        <v>0</v>
      </c>
      <c r="FN21" s="142"/>
      <c r="FO21" s="192">
        <f t="shared" si="36"/>
        <v>0</v>
      </c>
      <c r="FP21" s="198">
        <f t="shared" si="98"/>
        <v>0</v>
      </c>
      <c r="FQ21" s="142"/>
      <c r="FR21" s="192">
        <f t="shared" si="37"/>
        <v>0</v>
      </c>
    </row>
    <row r="22" spans="1:174" ht="15" customHeight="1" x14ac:dyDescent="0.2">
      <c r="A22" s="140">
        <v>17</v>
      </c>
      <c r="B22" s="140">
        <f t="shared" si="38"/>
        <v>5044</v>
      </c>
      <c r="C22" s="141">
        <v>5228</v>
      </c>
      <c r="D22" s="135">
        <f t="shared" si="9"/>
        <v>184</v>
      </c>
      <c r="E22" s="185"/>
      <c r="F22" s="140">
        <v>17</v>
      </c>
      <c r="G22" s="140">
        <f t="shared" si="39"/>
        <v>39518</v>
      </c>
      <c r="H22" s="141">
        <v>39607</v>
      </c>
      <c r="I22" s="135">
        <f t="shared" si="10"/>
        <v>89</v>
      </c>
      <c r="J22" s="185"/>
      <c r="K22" s="140">
        <v>17</v>
      </c>
      <c r="L22" s="140">
        <f t="shared" si="40"/>
        <v>848699</v>
      </c>
      <c r="M22" s="141">
        <v>848738</v>
      </c>
      <c r="N22" s="135">
        <f t="shared" si="11"/>
        <v>39</v>
      </c>
      <c r="O22" s="137"/>
      <c r="P22" s="140">
        <v>17</v>
      </c>
      <c r="Q22" s="140">
        <f t="shared" si="41"/>
        <v>245788</v>
      </c>
      <c r="R22" s="141">
        <v>245788</v>
      </c>
      <c r="S22" s="135">
        <f t="shared" si="12"/>
        <v>0</v>
      </c>
      <c r="T22" s="136"/>
      <c r="U22" s="140">
        <v>17</v>
      </c>
      <c r="V22" s="200">
        <f t="shared" si="13"/>
        <v>312</v>
      </c>
      <c r="W22" s="139">
        <f>'Maldives at LG Daily'!BP21</f>
        <v>41.7</v>
      </c>
      <c r="X22" s="158">
        <v>47</v>
      </c>
      <c r="Y22" s="314">
        <f t="shared" si="14"/>
        <v>6.6382978723404253</v>
      </c>
      <c r="AA22" s="194">
        <v>17</v>
      </c>
      <c r="AB22" s="142">
        <f t="shared" si="42"/>
        <v>47415</v>
      </c>
      <c r="AC22" s="142">
        <v>47437</v>
      </c>
      <c r="AD22" s="142">
        <f t="shared" si="15"/>
        <v>22</v>
      </c>
      <c r="AE22" s="142">
        <f t="shared" si="99"/>
        <v>-3</v>
      </c>
      <c r="AF22" s="288"/>
      <c r="AG22" s="194">
        <f t="shared" si="43"/>
        <v>10622</v>
      </c>
      <c r="AH22" s="142">
        <v>10622</v>
      </c>
      <c r="AI22" s="142">
        <f t="shared" si="44"/>
        <v>0</v>
      </c>
      <c r="AJ22" s="142">
        <f t="shared" si="100"/>
        <v>-4</v>
      </c>
      <c r="AK22" s="142"/>
      <c r="AL22" s="194">
        <f t="shared" si="45"/>
        <v>9948</v>
      </c>
      <c r="AM22" s="142">
        <v>9956</v>
      </c>
      <c r="AN22" s="142">
        <f t="shared" si="16"/>
        <v>8</v>
      </c>
      <c r="AO22" s="142">
        <f t="shared" si="46"/>
        <v>-2</v>
      </c>
      <c r="AP22" s="142"/>
      <c r="AQ22" s="194">
        <f t="shared" si="47"/>
        <v>19378</v>
      </c>
      <c r="AR22" s="142">
        <f>AR21+11</f>
        <v>19389</v>
      </c>
      <c r="AS22" s="142">
        <f t="shared" si="17"/>
        <v>11</v>
      </c>
      <c r="AT22" s="142">
        <f t="shared" si="48"/>
        <v>1</v>
      </c>
      <c r="AU22" s="142"/>
      <c r="AV22" s="194">
        <f t="shared" si="49"/>
        <v>35556</v>
      </c>
      <c r="AW22" s="142">
        <v>35564</v>
      </c>
      <c r="AX22" s="142">
        <f t="shared" si="18"/>
        <v>8</v>
      </c>
      <c r="AY22" s="142">
        <f t="shared" si="50"/>
        <v>0</v>
      </c>
      <c r="AZ22" s="142"/>
      <c r="BA22" s="194">
        <f t="shared" si="51"/>
        <v>9339</v>
      </c>
      <c r="BB22" s="142">
        <v>9345</v>
      </c>
      <c r="BC22" s="142">
        <f t="shared" si="19"/>
        <v>6</v>
      </c>
      <c r="BD22" s="142">
        <f t="shared" si="52"/>
        <v>-1</v>
      </c>
      <c r="BE22" s="142"/>
      <c r="BF22" s="194">
        <f t="shared" si="53"/>
        <v>26146</v>
      </c>
      <c r="BG22" s="142">
        <v>26154</v>
      </c>
      <c r="BH22" s="142">
        <f t="shared" si="20"/>
        <v>8</v>
      </c>
      <c r="BI22" s="142">
        <f t="shared" si="54"/>
        <v>0</v>
      </c>
      <c r="BJ22" s="142"/>
      <c r="BK22" s="194">
        <f t="shared" si="55"/>
        <v>10134</v>
      </c>
      <c r="BL22" s="142">
        <v>10143</v>
      </c>
      <c r="BM22" s="142">
        <f t="shared" si="21"/>
        <v>9</v>
      </c>
      <c r="BN22" s="142">
        <f t="shared" si="56"/>
        <v>2</v>
      </c>
      <c r="BO22" s="142"/>
      <c r="BP22" s="194">
        <f t="shared" si="57"/>
        <v>4189</v>
      </c>
      <c r="BQ22" s="142">
        <v>4191</v>
      </c>
      <c r="BR22" s="321">
        <f t="shared" si="22"/>
        <v>2</v>
      </c>
      <c r="BS22" s="142">
        <f t="shared" si="58"/>
        <v>1</v>
      </c>
      <c r="BT22" s="142"/>
      <c r="BU22" s="194">
        <f t="shared" si="59"/>
        <v>1869</v>
      </c>
      <c r="BV22" s="142">
        <v>1869</v>
      </c>
      <c r="BW22" s="142">
        <f t="shared" si="23"/>
        <v>0</v>
      </c>
      <c r="BX22" s="142">
        <f t="shared" si="60"/>
        <v>0</v>
      </c>
      <c r="BY22" s="142"/>
      <c r="BZ22" s="198">
        <f t="shared" si="61"/>
        <v>29227</v>
      </c>
      <c r="CA22" s="142">
        <v>29228</v>
      </c>
      <c r="CB22" s="321">
        <f t="shared" si="24"/>
        <v>1</v>
      </c>
      <c r="CC22" s="142">
        <f t="shared" si="62"/>
        <v>-3</v>
      </c>
      <c r="CD22" s="192"/>
      <c r="CE22" s="198">
        <f t="shared" si="63"/>
        <v>3517</v>
      </c>
      <c r="CF22" s="142">
        <v>3517</v>
      </c>
      <c r="CG22" s="142">
        <f t="shared" si="0"/>
        <v>0</v>
      </c>
      <c r="CH22" s="142">
        <f t="shared" si="64"/>
        <v>-3</v>
      </c>
      <c r="CI22" s="192"/>
      <c r="CJ22" s="198">
        <f t="shared" si="65"/>
        <v>85410</v>
      </c>
      <c r="CK22" s="142">
        <v>85436</v>
      </c>
      <c r="CL22" s="142">
        <f t="shared" si="1"/>
        <v>26</v>
      </c>
      <c r="CM22" s="142">
        <f t="shared" si="66"/>
        <v>0</v>
      </c>
      <c r="CN22" s="192"/>
      <c r="CO22" s="198">
        <f t="shared" si="67"/>
        <v>26108</v>
      </c>
      <c r="CP22" s="142">
        <v>26120</v>
      </c>
      <c r="CQ22" s="142">
        <f t="shared" si="2"/>
        <v>12</v>
      </c>
      <c r="CR22" s="142">
        <f t="shared" si="68"/>
        <v>5</v>
      </c>
      <c r="CS22" s="192"/>
      <c r="CT22" s="198">
        <f t="shared" si="69"/>
        <v>12832</v>
      </c>
      <c r="CU22" s="142">
        <v>12832</v>
      </c>
      <c r="CV22" s="142">
        <f t="shared" si="3"/>
        <v>0</v>
      </c>
      <c r="CW22" s="142">
        <f t="shared" si="70"/>
        <v>-1</v>
      </c>
      <c r="CX22" s="192"/>
      <c r="CY22" s="198">
        <f t="shared" si="71"/>
        <v>19757</v>
      </c>
      <c r="CZ22" s="142">
        <v>19758</v>
      </c>
      <c r="DA22" s="142">
        <f t="shared" si="4"/>
        <v>1</v>
      </c>
      <c r="DB22" s="142">
        <f t="shared" si="72"/>
        <v>-2</v>
      </c>
      <c r="DC22" s="192"/>
      <c r="DD22" s="198">
        <f t="shared" si="73"/>
        <v>21014</v>
      </c>
      <c r="DE22" s="142">
        <v>21016</v>
      </c>
      <c r="DF22" s="142">
        <f t="shared" si="5"/>
        <v>2</v>
      </c>
      <c r="DG22" s="142">
        <f t="shared" si="74"/>
        <v>-1</v>
      </c>
      <c r="DH22" s="192"/>
      <c r="DI22" s="198">
        <f t="shared" si="75"/>
        <v>9938</v>
      </c>
      <c r="DJ22" s="142">
        <v>9940</v>
      </c>
      <c r="DK22" s="142">
        <f t="shared" si="6"/>
        <v>2</v>
      </c>
      <c r="DL22" s="142">
        <f t="shared" si="76"/>
        <v>-1</v>
      </c>
      <c r="DM22" s="192"/>
      <c r="DN22" s="198">
        <f t="shared" si="77"/>
        <v>26578</v>
      </c>
      <c r="DO22" s="142">
        <f t="shared" si="104"/>
        <v>26593</v>
      </c>
      <c r="DP22" s="142">
        <f t="shared" si="7"/>
        <v>15</v>
      </c>
      <c r="DQ22" s="142">
        <f t="shared" si="78"/>
        <v>0</v>
      </c>
      <c r="DR22" s="192"/>
      <c r="DS22" s="198">
        <f t="shared" si="79"/>
        <v>2793</v>
      </c>
      <c r="DT22" s="142">
        <v>2795</v>
      </c>
      <c r="DU22" s="142">
        <f t="shared" si="8"/>
        <v>2</v>
      </c>
      <c r="DV22" s="142">
        <f t="shared" si="80"/>
        <v>0</v>
      </c>
      <c r="DW22" s="192"/>
      <c r="DX22" s="198">
        <f t="shared" si="81"/>
        <v>92</v>
      </c>
      <c r="DY22" s="142">
        <v>94</v>
      </c>
      <c r="DZ22" s="142">
        <f t="shared" si="82"/>
        <v>2</v>
      </c>
      <c r="EA22" s="142">
        <f t="shared" si="83"/>
        <v>1</v>
      </c>
      <c r="EB22" s="192"/>
      <c r="EC22" s="198">
        <f t="shared" si="105"/>
        <v>0</v>
      </c>
      <c r="ED22" s="142"/>
      <c r="EE22" s="192">
        <f t="shared" si="25"/>
        <v>0</v>
      </c>
      <c r="EF22" s="198">
        <f t="shared" si="101"/>
        <v>0</v>
      </c>
      <c r="EG22" s="142"/>
      <c r="EH22" s="192">
        <f t="shared" si="26"/>
        <v>0</v>
      </c>
      <c r="EI22" s="198">
        <f t="shared" si="102"/>
        <v>0</v>
      </c>
      <c r="EJ22" s="142"/>
      <c r="EK22" s="192">
        <f t="shared" si="27"/>
        <v>0</v>
      </c>
      <c r="EL22" s="198">
        <f t="shared" si="103"/>
        <v>0</v>
      </c>
      <c r="EM22" s="142"/>
      <c r="EN22" s="192">
        <f t="shared" si="28"/>
        <v>0</v>
      </c>
      <c r="EO22" s="198">
        <f t="shared" si="88"/>
        <v>0</v>
      </c>
      <c r="EP22" s="142"/>
      <c r="EQ22" s="192">
        <f t="shared" si="29"/>
        <v>0</v>
      </c>
      <c r="ER22" s="198">
        <f t="shared" si="89"/>
        <v>0</v>
      </c>
      <c r="ES22" s="142"/>
      <c r="ET22" s="192">
        <f t="shared" si="30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1"/>
        <v>0</v>
      </c>
      <c r="FA22" s="198">
        <f t="shared" si="93"/>
        <v>0</v>
      </c>
      <c r="FB22" s="142"/>
      <c r="FC22" s="192">
        <f t="shared" si="32"/>
        <v>0</v>
      </c>
      <c r="FD22" s="198">
        <f t="shared" si="94"/>
        <v>0</v>
      </c>
      <c r="FE22" s="142"/>
      <c r="FF22" s="192">
        <f t="shared" si="33"/>
        <v>0</v>
      </c>
      <c r="FG22" s="198">
        <f t="shared" si="95"/>
        <v>0</v>
      </c>
      <c r="FH22" s="142"/>
      <c r="FI22" s="192">
        <f t="shared" si="34"/>
        <v>0</v>
      </c>
      <c r="FJ22" s="198">
        <f t="shared" si="96"/>
        <v>0</v>
      </c>
      <c r="FK22" s="142"/>
      <c r="FL22" s="192">
        <f t="shared" si="35"/>
        <v>0</v>
      </c>
      <c r="FM22" s="198">
        <f t="shared" si="97"/>
        <v>0</v>
      </c>
      <c r="FN22" s="142"/>
      <c r="FO22" s="192">
        <f t="shared" si="36"/>
        <v>0</v>
      </c>
      <c r="FP22" s="198">
        <f t="shared" si="98"/>
        <v>0</v>
      </c>
      <c r="FQ22" s="142"/>
      <c r="FR22" s="192">
        <f t="shared" si="37"/>
        <v>0</v>
      </c>
    </row>
    <row r="23" spans="1:174" ht="15" customHeight="1" x14ac:dyDescent="0.2">
      <c r="A23" s="140">
        <v>18</v>
      </c>
      <c r="B23" s="140">
        <f t="shared" si="38"/>
        <v>5228</v>
      </c>
      <c r="C23" s="141">
        <v>5422</v>
      </c>
      <c r="D23" s="135">
        <f t="shared" si="9"/>
        <v>194</v>
      </c>
      <c r="E23" s="185"/>
      <c r="F23" s="140">
        <v>18</v>
      </c>
      <c r="G23" s="140">
        <f t="shared" si="39"/>
        <v>39607</v>
      </c>
      <c r="H23" s="141">
        <v>39640</v>
      </c>
      <c r="I23" s="135">
        <f t="shared" si="10"/>
        <v>33</v>
      </c>
      <c r="J23" s="185"/>
      <c r="K23" s="140">
        <v>18</v>
      </c>
      <c r="L23" s="140">
        <f t="shared" si="40"/>
        <v>848738</v>
      </c>
      <c r="M23" s="141">
        <v>848766</v>
      </c>
      <c r="N23" s="135">
        <f t="shared" si="11"/>
        <v>28</v>
      </c>
      <c r="O23" s="137"/>
      <c r="P23" s="140">
        <v>18</v>
      </c>
      <c r="Q23" s="140">
        <f t="shared" si="41"/>
        <v>245788</v>
      </c>
      <c r="R23" s="141">
        <v>245815</v>
      </c>
      <c r="S23" s="135">
        <f t="shared" si="12"/>
        <v>27</v>
      </c>
      <c r="T23" s="136"/>
      <c r="U23" s="138">
        <v>18</v>
      </c>
      <c r="V23" s="200">
        <f t="shared" si="13"/>
        <v>282</v>
      </c>
      <c r="W23" s="139">
        <f>'Maldives at LG Daily'!BP22</f>
        <v>31.1</v>
      </c>
      <c r="X23" s="158">
        <v>46</v>
      </c>
      <c r="Y23" s="314">
        <f t="shared" si="14"/>
        <v>6.1304347826086953</v>
      </c>
      <c r="AA23" s="194">
        <v>18</v>
      </c>
      <c r="AB23" s="142">
        <f t="shared" si="42"/>
        <v>47437</v>
      </c>
      <c r="AC23" s="142">
        <v>47461</v>
      </c>
      <c r="AD23" s="142">
        <f t="shared" si="15"/>
        <v>24</v>
      </c>
      <c r="AE23" s="142">
        <f t="shared" si="99"/>
        <v>2</v>
      </c>
      <c r="AF23" s="288"/>
      <c r="AG23" s="194">
        <f t="shared" si="43"/>
        <v>10622</v>
      </c>
      <c r="AH23" s="142">
        <v>10622</v>
      </c>
      <c r="AI23" s="142">
        <f t="shared" si="44"/>
        <v>0</v>
      </c>
      <c r="AJ23" s="142">
        <f t="shared" si="100"/>
        <v>0</v>
      </c>
      <c r="AK23" s="142"/>
      <c r="AL23" s="194">
        <f t="shared" si="45"/>
        <v>9956</v>
      </c>
      <c r="AM23" s="142">
        <v>9964</v>
      </c>
      <c r="AN23" s="142">
        <f t="shared" si="16"/>
        <v>8</v>
      </c>
      <c r="AO23" s="142">
        <f t="shared" si="46"/>
        <v>0</v>
      </c>
      <c r="AP23" s="142"/>
      <c r="AQ23" s="194">
        <f t="shared" si="47"/>
        <v>19389</v>
      </c>
      <c r="AR23" s="142">
        <f>AR22+10</f>
        <v>19399</v>
      </c>
      <c r="AS23" s="142">
        <f t="shared" si="17"/>
        <v>10</v>
      </c>
      <c r="AT23" s="142">
        <f t="shared" si="48"/>
        <v>-1</v>
      </c>
      <c r="AU23" s="142"/>
      <c r="AV23" s="194">
        <f t="shared" si="49"/>
        <v>35564</v>
      </c>
      <c r="AW23" s="142">
        <v>35572</v>
      </c>
      <c r="AX23" s="142">
        <f t="shared" si="18"/>
        <v>8</v>
      </c>
      <c r="AY23" s="142">
        <f t="shared" si="50"/>
        <v>0</v>
      </c>
      <c r="AZ23" s="142"/>
      <c r="BA23" s="194">
        <f t="shared" si="51"/>
        <v>9345</v>
      </c>
      <c r="BB23" s="142">
        <v>9358</v>
      </c>
      <c r="BC23" s="142">
        <f t="shared" si="19"/>
        <v>13</v>
      </c>
      <c r="BD23" s="142">
        <f t="shared" si="52"/>
        <v>7</v>
      </c>
      <c r="BE23" s="142"/>
      <c r="BF23" s="194">
        <f t="shared" si="53"/>
        <v>26154</v>
      </c>
      <c r="BG23" s="142">
        <v>26161</v>
      </c>
      <c r="BH23" s="142">
        <f t="shared" si="20"/>
        <v>7</v>
      </c>
      <c r="BI23" s="142">
        <f t="shared" si="54"/>
        <v>-1</v>
      </c>
      <c r="BJ23" s="142"/>
      <c r="BK23" s="194">
        <f t="shared" si="55"/>
        <v>10143</v>
      </c>
      <c r="BL23" s="142">
        <v>10151</v>
      </c>
      <c r="BM23" s="142">
        <f t="shared" si="21"/>
        <v>8</v>
      </c>
      <c r="BN23" s="142">
        <f t="shared" si="56"/>
        <v>-1</v>
      </c>
      <c r="BO23" s="142"/>
      <c r="BP23" s="194">
        <f t="shared" si="57"/>
        <v>4191</v>
      </c>
      <c r="BQ23" s="142">
        <v>4193</v>
      </c>
      <c r="BR23" s="321">
        <f t="shared" si="22"/>
        <v>2</v>
      </c>
      <c r="BS23" s="142">
        <f t="shared" si="58"/>
        <v>0</v>
      </c>
      <c r="BT23" s="142"/>
      <c r="BU23" s="194">
        <f t="shared" si="59"/>
        <v>1869</v>
      </c>
      <c r="BV23" s="142">
        <v>1870</v>
      </c>
      <c r="BW23" s="142">
        <f t="shared" si="23"/>
        <v>1</v>
      </c>
      <c r="BX23" s="142">
        <f t="shared" si="60"/>
        <v>1</v>
      </c>
      <c r="BY23" s="142"/>
      <c r="BZ23" s="198">
        <f t="shared" si="61"/>
        <v>29228</v>
      </c>
      <c r="CA23" s="142">
        <v>29233</v>
      </c>
      <c r="CB23" s="321">
        <f t="shared" si="24"/>
        <v>5</v>
      </c>
      <c r="CC23" s="142">
        <f t="shared" si="62"/>
        <v>4</v>
      </c>
      <c r="CD23" s="192"/>
      <c r="CE23" s="198">
        <f t="shared" si="63"/>
        <v>3517</v>
      </c>
      <c r="CF23" s="142">
        <v>3520</v>
      </c>
      <c r="CG23" s="142">
        <f t="shared" si="0"/>
        <v>3</v>
      </c>
      <c r="CH23" s="142">
        <f t="shared" si="64"/>
        <v>3</v>
      </c>
      <c r="CI23" s="192"/>
      <c r="CJ23" s="198">
        <f t="shared" si="65"/>
        <v>85436</v>
      </c>
      <c r="CK23" s="142">
        <v>85461</v>
      </c>
      <c r="CL23" s="142">
        <f t="shared" si="1"/>
        <v>25</v>
      </c>
      <c r="CM23" s="142">
        <f t="shared" si="66"/>
        <v>-1</v>
      </c>
      <c r="CN23" s="192"/>
      <c r="CO23" s="198">
        <f t="shared" si="67"/>
        <v>26120</v>
      </c>
      <c r="CP23" s="142">
        <v>26130</v>
      </c>
      <c r="CQ23" s="142">
        <f t="shared" si="2"/>
        <v>10</v>
      </c>
      <c r="CR23" s="142">
        <f t="shared" si="68"/>
        <v>-2</v>
      </c>
      <c r="CS23" s="192"/>
      <c r="CT23" s="198">
        <f t="shared" si="69"/>
        <v>12832</v>
      </c>
      <c r="CU23" s="142">
        <v>12833</v>
      </c>
      <c r="CV23" s="142">
        <f t="shared" si="3"/>
        <v>1</v>
      </c>
      <c r="CW23" s="142">
        <f t="shared" si="70"/>
        <v>1</v>
      </c>
      <c r="CX23" s="192"/>
      <c r="CY23" s="198">
        <f t="shared" si="71"/>
        <v>19758</v>
      </c>
      <c r="CZ23" s="142">
        <v>19762</v>
      </c>
      <c r="DA23" s="142">
        <f t="shared" si="4"/>
        <v>4</v>
      </c>
      <c r="DB23" s="142">
        <f t="shared" si="72"/>
        <v>3</v>
      </c>
      <c r="DC23" s="192"/>
      <c r="DD23" s="198">
        <f t="shared" si="73"/>
        <v>21016</v>
      </c>
      <c r="DE23" s="142">
        <v>21018</v>
      </c>
      <c r="DF23" s="142">
        <f t="shared" si="5"/>
        <v>2</v>
      </c>
      <c r="DG23" s="142">
        <f t="shared" si="74"/>
        <v>0</v>
      </c>
      <c r="DH23" s="192"/>
      <c r="DI23" s="198">
        <f t="shared" si="75"/>
        <v>9940</v>
      </c>
      <c r="DJ23" s="142">
        <v>9943</v>
      </c>
      <c r="DK23" s="142">
        <f t="shared" si="6"/>
        <v>3</v>
      </c>
      <c r="DL23" s="142">
        <f t="shared" si="76"/>
        <v>1</v>
      </c>
      <c r="DM23" s="192"/>
      <c r="DN23" s="198">
        <f t="shared" si="77"/>
        <v>26593</v>
      </c>
      <c r="DO23" s="142">
        <f t="shared" si="104"/>
        <v>26608</v>
      </c>
      <c r="DP23" s="142">
        <f t="shared" si="7"/>
        <v>15</v>
      </c>
      <c r="DQ23" s="142">
        <f t="shared" si="78"/>
        <v>0</v>
      </c>
      <c r="DR23" s="192"/>
      <c r="DS23" s="198">
        <f t="shared" si="79"/>
        <v>2795</v>
      </c>
      <c r="DT23" s="142">
        <v>2797</v>
      </c>
      <c r="DU23" s="142">
        <f t="shared" si="8"/>
        <v>2</v>
      </c>
      <c r="DV23" s="142">
        <f t="shared" si="80"/>
        <v>0</v>
      </c>
      <c r="DW23" s="192"/>
      <c r="DX23" s="198">
        <f t="shared" si="81"/>
        <v>94</v>
      </c>
      <c r="DY23" s="142">
        <v>95</v>
      </c>
      <c r="DZ23" s="142">
        <f t="shared" si="82"/>
        <v>1</v>
      </c>
      <c r="EA23" s="142">
        <f t="shared" si="83"/>
        <v>-1</v>
      </c>
      <c r="EB23" s="192"/>
      <c r="EC23" s="198">
        <f t="shared" si="105"/>
        <v>0</v>
      </c>
      <c r="ED23" s="142"/>
      <c r="EE23" s="192">
        <f t="shared" si="25"/>
        <v>0</v>
      </c>
      <c r="EF23" s="198">
        <f t="shared" si="101"/>
        <v>0</v>
      </c>
      <c r="EG23" s="142"/>
      <c r="EH23" s="192">
        <f t="shared" si="26"/>
        <v>0</v>
      </c>
      <c r="EI23" s="198">
        <f t="shared" si="102"/>
        <v>0</v>
      </c>
      <c r="EJ23" s="142"/>
      <c r="EK23" s="192">
        <f t="shared" si="27"/>
        <v>0</v>
      </c>
      <c r="EL23" s="198">
        <f t="shared" si="103"/>
        <v>0</v>
      </c>
      <c r="EM23" s="142"/>
      <c r="EN23" s="192">
        <f t="shared" si="28"/>
        <v>0</v>
      </c>
      <c r="EO23" s="198">
        <f t="shared" si="88"/>
        <v>0</v>
      </c>
      <c r="EP23" s="142"/>
      <c r="EQ23" s="192">
        <f t="shared" si="29"/>
        <v>0</v>
      </c>
      <c r="ER23" s="198">
        <f t="shared" si="89"/>
        <v>0</v>
      </c>
      <c r="ES23" s="142"/>
      <c r="ET23" s="192">
        <f t="shared" si="30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1"/>
        <v>0</v>
      </c>
      <c r="FA23" s="198">
        <f t="shared" si="93"/>
        <v>0</v>
      </c>
      <c r="FB23" s="142"/>
      <c r="FC23" s="192">
        <f t="shared" si="32"/>
        <v>0</v>
      </c>
      <c r="FD23" s="198">
        <f t="shared" si="94"/>
        <v>0</v>
      </c>
      <c r="FE23" s="142"/>
      <c r="FF23" s="192">
        <f t="shared" si="33"/>
        <v>0</v>
      </c>
      <c r="FG23" s="198">
        <f t="shared" si="95"/>
        <v>0</v>
      </c>
      <c r="FH23" s="142"/>
      <c r="FI23" s="192">
        <f t="shared" si="34"/>
        <v>0</v>
      </c>
      <c r="FJ23" s="198">
        <f t="shared" si="96"/>
        <v>0</v>
      </c>
      <c r="FK23" s="142"/>
      <c r="FL23" s="192">
        <f t="shared" si="35"/>
        <v>0</v>
      </c>
      <c r="FM23" s="198">
        <f t="shared" si="97"/>
        <v>0</v>
      </c>
      <c r="FN23" s="142"/>
      <c r="FO23" s="192">
        <f t="shared" si="36"/>
        <v>0</v>
      </c>
      <c r="FP23" s="198">
        <f t="shared" si="98"/>
        <v>0</v>
      </c>
      <c r="FQ23" s="142"/>
      <c r="FR23" s="192">
        <f t="shared" si="37"/>
        <v>0</v>
      </c>
    </row>
    <row r="24" spans="1:174" ht="15" customHeight="1" x14ac:dyDescent="0.2">
      <c r="A24" s="140">
        <v>19</v>
      </c>
      <c r="B24" s="140">
        <f t="shared" si="38"/>
        <v>5422</v>
      </c>
      <c r="C24" s="141">
        <v>5525</v>
      </c>
      <c r="D24" s="135">
        <f t="shared" si="9"/>
        <v>103</v>
      </c>
      <c r="E24" s="185"/>
      <c r="F24" s="140">
        <v>19</v>
      </c>
      <c r="G24" s="140">
        <f t="shared" si="39"/>
        <v>39640</v>
      </c>
      <c r="H24" s="141">
        <v>39640</v>
      </c>
      <c r="I24" s="135">
        <f t="shared" si="10"/>
        <v>0</v>
      </c>
      <c r="J24" s="185"/>
      <c r="K24" s="140">
        <v>19</v>
      </c>
      <c r="L24" s="140">
        <f t="shared" si="40"/>
        <v>848766</v>
      </c>
      <c r="M24" s="141">
        <v>848766</v>
      </c>
      <c r="N24" s="135">
        <f t="shared" si="11"/>
        <v>0</v>
      </c>
      <c r="O24" s="137"/>
      <c r="P24" s="140">
        <v>19</v>
      </c>
      <c r="Q24" s="140">
        <f t="shared" si="41"/>
        <v>245815</v>
      </c>
      <c r="R24" s="141">
        <v>245945</v>
      </c>
      <c r="S24" s="135">
        <f t="shared" si="12"/>
        <v>130</v>
      </c>
      <c r="T24" s="136"/>
      <c r="U24" s="138">
        <v>19</v>
      </c>
      <c r="V24" s="200">
        <f t="shared" si="13"/>
        <v>233</v>
      </c>
      <c r="W24" s="139">
        <f>'Maldives at LG Daily'!BP23</f>
        <v>33</v>
      </c>
      <c r="X24" s="158"/>
      <c r="Y24" s="314" t="e">
        <f t="shared" si="14"/>
        <v>#DIV/0!</v>
      </c>
      <c r="AA24" s="194">
        <v>19</v>
      </c>
      <c r="AB24" s="142">
        <f t="shared" si="42"/>
        <v>47461</v>
      </c>
      <c r="AC24" s="142">
        <v>47491</v>
      </c>
      <c r="AD24" s="142">
        <f t="shared" si="15"/>
        <v>30</v>
      </c>
      <c r="AE24" s="142">
        <f t="shared" si="99"/>
        <v>6</v>
      </c>
      <c r="AF24" s="288"/>
      <c r="AG24" s="194">
        <f t="shared" si="43"/>
        <v>10622</v>
      </c>
      <c r="AH24" s="142">
        <v>10642</v>
      </c>
      <c r="AI24" s="142">
        <f t="shared" si="44"/>
        <v>20</v>
      </c>
      <c r="AJ24" s="142">
        <f t="shared" si="100"/>
        <v>20</v>
      </c>
      <c r="AK24" s="142"/>
      <c r="AL24" s="194">
        <f t="shared" si="45"/>
        <v>9964</v>
      </c>
      <c r="AM24" s="142">
        <v>9972</v>
      </c>
      <c r="AN24" s="142">
        <f t="shared" si="16"/>
        <v>8</v>
      </c>
      <c r="AO24" s="142">
        <f t="shared" si="46"/>
        <v>0</v>
      </c>
      <c r="AP24" s="142"/>
      <c r="AQ24" s="194">
        <f t="shared" si="47"/>
        <v>19399</v>
      </c>
      <c r="AR24" s="142">
        <f>AR23+5</f>
        <v>19404</v>
      </c>
      <c r="AS24" s="142">
        <f t="shared" si="17"/>
        <v>5</v>
      </c>
      <c r="AT24" s="142">
        <f t="shared" si="48"/>
        <v>-5</v>
      </c>
      <c r="AU24" s="142"/>
      <c r="AV24" s="194">
        <f t="shared" si="49"/>
        <v>35572</v>
      </c>
      <c r="AW24" s="142">
        <v>35583</v>
      </c>
      <c r="AX24" s="142">
        <f t="shared" si="18"/>
        <v>11</v>
      </c>
      <c r="AY24" s="142">
        <f t="shared" si="50"/>
        <v>3</v>
      </c>
      <c r="AZ24" s="142"/>
      <c r="BA24" s="194">
        <f t="shared" si="51"/>
        <v>9358</v>
      </c>
      <c r="BB24" s="142">
        <v>9356</v>
      </c>
      <c r="BC24" s="142">
        <f t="shared" si="19"/>
        <v>0</v>
      </c>
      <c r="BD24" s="142">
        <f t="shared" si="52"/>
        <v>-13</v>
      </c>
      <c r="BE24" s="142"/>
      <c r="BF24" s="194">
        <f t="shared" si="53"/>
        <v>26161</v>
      </c>
      <c r="BG24" s="142">
        <v>26167</v>
      </c>
      <c r="BH24" s="142">
        <f t="shared" si="20"/>
        <v>6</v>
      </c>
      <c r="BI24" s="142">
        <f t="shared" si="54"/>
        <v>-1</v>
      </c>
      <c r="BJ24" s="142"/>
      <c r="BK24" s="194">
        <f t="shared" si="55"/>
        <v>10151</v>
      </c>
      <c r="BL24" s="142">
        <v>10157</v>
      </c>
      <c r="BM24" s="142">
        <f t="shared" si="21"/>
        <v>6</v>
      </c>
      <c r="BN24" s="142">
        <f t="shared" si="56"/>
        <v>-2</v>
      </c>
      <c r="BO24" s="142"/>
      <c r="BP24" s="194">
        <f t="shared" si="57"/>
        <v>4193</v>
      </c>
      <c r="BQ24" s="142">
        <v>4195</v>
      </c>
      <c r="BR24" s="321">
        <f t="shared" si="22"/>
        <v>2</v>
      </c>
      <c r="BS24" s="142">
        <f t="shared" si="58"/>
        <v>0</v>
      </c>
      <c r="BT24" s="142"/>
      <c r="BU24" s="194">
        <f t="shared" si="59"/>
        <v>1870</v>
      </c>
      <c r="BV24" s="142">
        <v>1870</v>
      </c>
      <c r="BW24" s="142">
        <f t="shared" si="23"/>
        <v>0</v>
      </c>
      <c r="BX24" s="142">
        <f t="shared" si="60"/>
        <v>-1</v>
      </c>
      <c r="BY24" s="142"/>
      <c r="BZ24" s="198">
        <f t="shared" si="61"/>
        <v>29233</v>
      </c>
      <c r="CA24" s="142">
        <v>29234</v>
      </c>
      <c r="CB24" s="321">
        <f t="shared" si="24"/>
        <v>1</v>
      </c>
      <c r="CC24" s="142">
        <f t="shared" si="62"/>
        <v>-4</v>
      </c>
      <c r="CD24" s="192"/>
      <c r="CE24" s="198">
        <f t="shared" si="63"/>
        <v>3520</v>
      </c>
      <c r="CF24" s="142">
        <v>3522</v>
      </c>
      <c r="CG24" s="142">
        <f t="shared" si="0"/>
        <v>2</v>
      </c>
      <c r="CH24" s="142">
        <f t="shared" si="64"/>
        <v>-1</v>
      </c>
      <c r="CI24" s="192"/>
      <c r="CJ24" s="198">
        <f t="shared" si="65"/>
        <v>85461</v>
      </c>
      <c r="CK24" s="142">
        <v>85484</v>
      </c>
      <c r="CL24" s="142">
        <f t="shared" si="1"/>
        <v>23</v>
      </c>
      <c r="CM24" s="142">
        <f t="shared" si="66"/>
        <v>-2</v>
      </c>
      <c r="CN24" s="192"/>
      <c r="CO24" s="198">
        <f t="shared" si="67"/>
        <v>26130</v>
      </c>
      <c r="CP24" s="142">
        <v>26139</v>
      </c>
      <c r="CQ24" s="142">
        <f t="shared" si="2"/>
        <v>9</v>
      </c>
      <c r="CR24" s="142">
        <f t="shared" si="68"/>
        <v>-1</v>
      </c>
      <c r="CS24" s="192"/>
      <c r="CT24" s="198">
        <f t="shared" si="69"/>
        <v>12833</v>
      </c>
      <c r="CU24" s="142">
        <v>12834</v>
      </c>
      <c r="CV24" s="142">
        <f t="shared" si="3"/>
        <v>1</v>
      </c>
      <c r="CW24" s="142">
        <f t="shared" si="70"/>
        <v>0</v>
      </c>
      <c r="CX24" s="192"/>
      <c r="CY24" s="198">
        <f t="shared" si="71"/>
        <v>19762</v>
      </c>
      <c r="CZ24" s="142">
        <f>CZ23+1</f>
        <v>19763</v>
      </c>
      <c r="DA24" s="142">
        <f t="shared" si="4"/>
        <v>1</v>
      </c>
      <c r="DB24" s="142">
        <f t="shared" si="72"/>
        <v>-3</v>
      </c>
      <c r="DC24" s="192"/>
      <c r="DD24" s="198">
        <f t="shared" si="73"/>
        <v>21018</v>
      </c>
      <c r="DE24" s="142">
        <v>21021</v>
      </c>
      <c r="DF24" s="142">
        <f t="shared" si="5"/>
        <v>3</v>
      </c>
      <c r="DG24" s="142">
        <f t="shared" si="74"/>
        <v>1</v>
      </c>
      <c r="DH24" s="192"/>
      <c r="DI24" s="198">
        <f t="shared" si="75"/>
        <v>9943</v>
      </c>
      <c r="DJ24" s="142">
        <v>9943</v>
      </c>
      <c r="DK24" s="142">
        <f t="shared" si="6"/>
        <v>0</v>
      </c>
      <c r="DL24" s="142">
        <f t="shared" si="76"/>
        <v>-3</v>
      </c>
      <c r="DM24" s="192"/>
      <c r="DN24" s="198">
        <f t="shared" si="77"/>
        <v>26608</v>
      </c>
      <c r="DO24" s="142">
        <f t="shared" si="104"/>
        <v>26623</v>
      </c>
      <c r="DP24" s="142">
        <f t="shared" si="7"/>
        <v>15</v>
      </c>
      <c r="DQ24" s="142">
        <f t="shared" si="78"/>
        <v>0</v>
      </c>
      <c r="DR24" s="192"/>
      <c r="DS24" s="198">
        <f t="shared" si="79"/>
        <v>2797</v>
      </c>
      <c r="DT24" s="142">
        <v>2798</v>
      </c>
      <c r="DU24" s="142">
        <f t="shared" si="8"/>
        <v>1</v>
      </c>
      <c r="DV24" s="142">
        <f t="shared" si="80"/>
        <v>-1</v>
      </c>
      <c r="DW24" s="192"/>
      <c r="DX24" s="198">
        <f t="shared" si="81"/>
        <v>95</v>
      </c>
      <c r="DY24" s="142">
        <v>96</v>
      </c>
      <c r="DZ24" s="142">
        <f t="shared" si="82"/>
        <v>1</v>
      </c>
      <c r="EA24" s="142">
        <f t="shared" si="83"/>
        <v>0</v>
      </c>
      <c r="EB24" s="192"/>
      <c r="EC24" s="198">
        <f t="shared" si="105"/>
        <v>0</v>
      </c>
      <c r="ED24" s="142"/>
      <c r="EE24" s="192">
        <f t="shared" si="25"/>
        <v>0</v>
      </c>
      <c r="EF24" s="198">
        <f t="shared" si="101"/>
        <v>0</v>
      </c>
      <c r="EG24" s="142"/>
      <c r="EH24" s="192">
        <f t="shared" si="26"/>
        <v>0</v>
      </c>
      <c r="EI24" s="198">
        <f t="shared" si="102"/>
        <v>0</v>
      </c>
      <c r="EJ24" s="142"/>
      <c r="EK24" s="192">
        <f t="shared" si="27"/>
        <v>0</v>
      </c>
      <c r="EL24" s="198">
        <f t="shared" si="103"/>
        <v>0</v>
      </c>
      <c r="EM24" s="142"/>
      <c r="EN24" s="192">
        <f t="shared" si="28"/>
        <v>0</v>
      </c>
      <c r="EO24" s="198">
        <f t="shared" si="88"/>
        <v>0</v>
      </c>
      <c r="EP24" s="142"/>
      <c r="EQ24" s="192">
        <f t="shared" si="29"/>
        <v>0</v>
      </c>
      <c r="ER24" s="198">
        <f t="shared" si="89"/>
        <v>0</v>
      </c>
      <c r="ES24" s="142"/>
      <c r="ET24" s="192">
        <f t="shared" si="30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1"/>
        <v>0</v>
      </c>
      <c r="FA24" s="198">
        <f t="shared" si="93"/>
        <v>0</v>
      </c>
      <c r="FB24" s="142"/>
      <c r="FC24" s="192">
        <f t="shared" si="32"/>
        <v>0</v>
      </c>
      <c r="FD24" s="198">
        <f t="shared" si="94"/>
        <v>0</v>
      </c>
      <c r="FE24" s="142"/>
      <c r="FF24" s="192">
        <f t="shared" si="33"/>
        <v>0</v>
      </c>
      <c r="FG24" s="198">
        <f t="shared" si="95"/>
        <v>0</v>
      </c>
      <c r="FH24" s="142"/>
      <c r="FI24" s="192">
        <f t="shared" si="34"/>
        <v>0</v>
      </c>
      <c r="FJ24" s="198">
        <f t="shared" si="96"/>
        <v>0</v>
      </c>
      <c r="FK24" s="142"/>
      <c r="FL24" s="192">
        <f t="shared" si="35"/>
        <v>0</v>
      </c>
      <c r="FM24" s="198">
        <f t="shared" si="97"/>
        <v>0</v>
      </c>
      <c r="FN24" s="142"/>
      <c r="FO24" s="192">
        <f t="shared" si="36"/>
        <v>0</v>
      </c>
      <c r="FP24" s="198">
        <f t="shared" si="98"/>
        <v>0</v>
      </c>
      <c r="FQ24" s="142"/>
      <c r="FR24" s="192">
        <f t="shared" si="37"/>
        <v>0</v>
      </c>
    </row>
    <row r="25" spans="1:174" ht="15" customHeight="1" x14ac:dyDescent="0.2">
      <c r="A25" s="140">
        <v>20</v>
      </c>
      <c r="B25" s="140">
        <f t="shared" si="38"/>
        <v>5525</v>
      </c>
      <c r="C25" s="141">
        <v>5745</v>
      </c>
      <c r="D25" s="135">
        <f t="shared" si="9"/>
        <v>220</v>
      </c>
      <c r="E25" s="185"/>
      <c r="F25" s="140">
        <v>20</v>
      </c>
      <c r="G25" s="140">
        <f t="shared" si="39"/>
        <v>39640</v>
      </c>
      <c r="H25" s="141">
        <v>39701</v>
      </c>
      <c r="I25" s="135">
        <f t="shared" si="10"/>
        <v>61</v>
      </c>
      <c r="J25" s="185"/>
      <c r="K25" s="140">
        <v>20</v>
      </c>
      <c r="L25" s="140">
        <f t="shared" si="40"/>
        <v>848766</v>
      </c>
      <c r="M25" s="141">
        <v>848766</v>
      </c>
      <c r="N25" s="135">
        <f t="shared" si="11"/>
        <v>0</v>
      </c>
      <c r="O25" s="137"/>
      <c r="P25" s="140">
        <v>20</v>
      </c>
      <c r="Q25" s="140">
        <f t="shared" si="41"/>
        <v>245945</v>
      </c>
      <c r="R25" s="141">
        <f>245945+17</f>
        <v>245962</v>
      </c>
      <c r="S25" s="135">
        <f t="shared" si="12"/>
        <v>17</v>
      </c>
      <c r="T25" s="136"/>
      <c r="U25" s="140">
        <v>20</v>
      </c>
      <c r="V25" s="200">
        <f t="shared" si="13"/>
        <v>298</v>
      </c>
      <c r="W25" s="139">
        <f>'Maldives at LG Daily'!BP24</f>
        <v>35</v>
      </c>
      <c r="X25" s="158"/>
      <c r="Y25" s="314" t="e">
        <f t="shared" si="14"/>
        <v>#DIV/0!</v>
      </c>
      <c r="AA25" s="194">
        <v>20</v>
      </c>
      <c r="AB25" s="142">
        <f t="shared" si="42"/>
        <v>47491</v>
      </c>
      <c r="AC25" s="142">
        <v>47516</v>
      </c>
      <c r="AD25" s="142">
        <f t="shared" si="15"/>
        <v>25</v>
      </c>
      <c r="AE25" s="142">
        <f t="shared" si="99"/>
        <v>-5</v>
      </c>
      <c r="AF25" s="288"/>
      <c r="AG25" s="194">
        <f t="shared" si="43"/>
        <v>10642</v>
      </c>
      <c r="AH25" s="142">
        <v>10647</v>
      </c>
      <c r="AI25" s="142">
        <f t="shared" si="44"/>
        <v>5</v>
      </c>
      <c r="AJ25" s="142">
        <f t="shared" si="100"/>
        <v>-15</v>
      </c>
      <c r="AK25" s="142"/>
      <c r="AL25" s="194">
        <f t="shared" si="45"/>
        <v>9972</v>
      </c>
      <c r="AM25" s="142">
        <v>9980</v>
      </c>
      <c r="AN25" s="142">
        <f t="shared" si="16"/>
        <v>8</v>
      </c>
      <c r="AO25" s="142">
        <f t="shared" si="46"/>
        <v>0</v>
      </c>
      <c r="AP25" s="142"/>
      <c r="AQ25" s="194">
        <f t="shared" si="47"/>
        <v>19404</v>
      </c>
      <c r="AR25" s="142">
        <v>19428</v>
      </c>
      <c r="AS25" s="142">
        <f t="shared" si="17"/>
        <v>24</v>
      </c>
      <c r="AT25" s="142">
        <f t="shared" si="48"/>
        <v>19</v>
      </c>
      <c r="AU25" s="142"/>
      <c r="AV25" s="194">
        <f t="shared" si="49"/>
        <v>35583</v>
      </c>
      <c r="AW25" s="142">
        <v>35591</v>
      </c>
      <c r="AX25" s="142">
        <f t="shared" si="18"/>
        <v>8</v>
      </c>
      <c r="AY25" s="142">
        <f t="shared" si="50"/>
        <v>-3</v>
      </c>
      <c r="AZ25" s="142"/>
      <c r="BA25" s="194">
        <f t="shared" si="51"/>
        <v>9356</v>
      </c>
      <c r="BB25" s="142">
        <v>9362</v>
      </c>
      <c r="BC25" s="142">
        <f t="shared" si="19"/>
        <v>6</v>
      </c>
      <c r="BD25" s="142">
        <f t="shared" si="52"/>
        <v>6</v>
      </c>
      <c r="BE25" s="142"/>
      <c r="BF25" s="194">
        <f t="shared" si="53"/>
        <v>26167</v>
      </c>
      <c r="BG25" s="142">
        <v>26168</v>
      </c>
      <c r="BH25" s="142">
        <f t="shared" si="20"/>
        <v>1</v>
      </c>
      <c r="BI25" s="142">
        <f t="shared" si="54"/>
        <v>-5</v>
      </c>
      <c r="BJ25" s="142"/>
      <c r="BK25" s="194">
        <f t="shared" si="55"/>
        <v>10157</v>
      </c>
      <c r="BL25" s="142">
        <v>10163</v>
      </c>
      <c r="BM25" s="142">
        <f t="shared" si="21"/>
        <v>6</v>
      </c>
      <c r="BN25" s="142">
        <f t="shared" si="56"/>
        <v>0</v>
      </c>
      <c r="BO25" s="142"/>
      <c r="BP25" s="194">
        <f t="shared" si="57"/>
        <v>4195</v>
      </c>
      <c r="BQ25" s="142">
        <v>4197</v>
      </c>
      <c r="BR25" s="321">
        <f t="shared" si="22"/>
        <v>2</v>
      </c>
      <c r="BS25" s="142">
        <f t="shared" si="58"/>
        <v>0</v>
      </c>
      <c r="BT25" s="142"/>
      <c r="BU25" s="194">
        <f t="shared" si="59"/>
        <v>1870</v>
      </c>
      <c r="BV25" s="142">
        <v>1870</v>
      </c>
      <c r="BW25" s="142">
        <f t="shared" si="23"/>
        <v>0</v>
      </c>
      <c r="BX25" s="142">
        <f t="shared" si="60"/>
        <v>0</v>
      </c>
      <c r="BY25" s="142"/>
      <c r="BZ25" s="198">
        <f t="shared" si="61"/>
        <v>29234</v>
      </c>
      <c r="CA25" s="142">
        <v>29237</v>
      </c>
      <c r="CB25" s="321">
        <f t="shared" si="24"/>
        <v>3</v>
      </c>
      <c r="CC25" s="142">
        <f t="shared" si="62"/>
        <v>2</v>
      </c>
      <c r="CD25" s="192"/>
      <c r="CE25" s="198">
        <f t="shared" si="63"/>
        <v>3522</v>
      </c>
      <c r="CF25" s="142">
        <v>3523</v>
      </c>
      <c r="CG25" s="142">
        <f t="shared" si="0"/>
        <v>1</v>
      </c>
      <c r="CH25" s="142">
        <f t="shared" si="64"/>
        <v>-1</v>
      </c>
      <c r="CI25" s="192"/>
      <c r="CJ25" s="198">
        <f t="shared" si="65"/>
        <v>85484</v>
      </c>
      <c r="CK25" s="142">
        <v>85509</v>
      </c>
      <c r="CL25" s="142">
        <f t="shared" si="1"/>
        <v>25</v>
      </c>
      <c r="CM25" s="142">
        <f t="shared" si="66"/>
        <v>2</v>
      </c>
      <c r="CN25" s="192"/>
      <c r="CO25" s="198">
        <f t="shared" si="67"/>
        <v>26139</v>
      </c>
      <c r="CP25" s="142">
        <v>26146</v>
      </c>
      <c r="CQ25" s="142">
        <f t="shared" si="2"/>
        <v>7</v>
      </c>
      <c r="CR25" s="142">
        <f t="shared" si="68"/>
        <v>-2</v>
      </c>
      <c r="CS25" s="192"/>
      <c r="CT25" s="198">
        <f t="shared" si="69"/>
        <v>12834</v>
      </c>
      <c r="CU25" s="142">
        <v>12835</v>
      </c>
      <c r="CV25" s="142">
        <f t="shared" si="3"/>
        <v>1</v>
      </c>
      <c r="CW25" s="142">
        <f t="shared" si="70"/>
        <v>0</v>
      </c>
      <c r="CX25" s="192"/>
      <c r="CY25" s="198">
        <f t="shared" si="71"/>
        <v>19763</v>
      </c>
      <c r="CZ25" s="142">
        <f>CZ24+5</f>
        <v>19768</v>
      </c>
      <c r="DA25" s="142">
        <f t="shared" si="4"/>
        <v>5</v>
      </c>
      <c r="DB25" s="142">
        <f t="shared" si="72"/>
        <v>4</v>
      </c>
      <c r="DC25" s="192"/>
      <c r="DD25" s="198">
        <f t="shared" si="73"/>
        <v>21021</v>
      </c>
      <c r="DE25" s="142">
        <v>21024</v>
      </c>
      <c r="DF25" s="142">
        <f t="shared" si="5"/>
        <v>3</v>
      </c>
      <c r="DG25" s="142">
        <f t="shared" si="74"/>
        <v>0</v>
      </c>
      <c r="DH25" s="192"/>
      <c r="DI25" s="198">
        <f t="shared" si="75"/>
        <v>9943</v>
      </c>
      <c r="DJ25" s="142">
        <v>9947</v>
      </c>
      <c r="DK25" s="142">
        <f t="shared" si="6"/>
        <v>4</v>
      </c>
      <c r="DL25" s="142">
        <f t="shared" si="76"/>
        <v>4</v>
      </c>
      <c r="DM25" s="192"/>
      <c r="DN25" s="198">
        <f t="shared" si="77"/>
        <v>26623</v>
      </c>
      <c r="DO25" s="142">
        <f t="shared" si="104"/>
        <v>26638</v>
      </c>
      <c r="DP25" s="142">
        <f t="shared" si="7"/>
        <v>15</v>
      </c>
      <c r="DQ25" s="142">
        <f t="shared" si="78"/>
        <v>0</v>
      </c>
      <c r="DR25" s="192"/>
      <c r="DS25" s="198">
        <f t="shared" si="79"/>
        <v>2798</v>
      </c>
      <c r="DT25" s="142">
        <v>2799</v>
      </c>
      <c r="DU25" s="142">
        <f t="shared" si="8"/>
        <v>1</v>
      </c>
      <c r="DV25" s="142">
        <f t="shared" si="80"/>
        <v>0</v>
      </c>
      <c r="DW25" s="192"/>
      <c r="DX25" s="198">
        <f t="shared" si="81"/>
        <v>96</v>
      </c>
      <c r="DY25" s="142">
        <v>97</v>
      </c>
      <c r="DZ25" s="142">
        <f t="shared" si="82"/>
        <v>1</v>
      </c>
      <c r="EA25" s="142">
        <f t="shared" si="83"/>
        <v>0</v>
      </c>
      <c r="EB25" s="192"/>
      <c r="EC25" s="198">
        <f t="shared" si="105"/>
        <v>0</v>
      </c>
      <c r="ED25" s="142"/>
      <c r="EE25" s="192">
        <f t="shared" si="25"/>
        <v>0</v>
      </c>
      <c r="EF25" s="198">
        <f t="shared" si="101"/>
        <v>0</v>
      </c>
      <c r="EG25" s="142"/>
      <c r="EH25" s="192">
        <f t="shared" si="26"/>
        <v>0</v>
      </c>
      <c r="EI25" s="198">
        <f t="shared" si="102"/>
        <v>0</v>
      </c>
      <c r="EJ25" s="142"/>
      <c r="EK25" s="192">
        <f t="shared" si="27"/>
        <v>0</v>
      </c>
      <c r="EL25" s="198">
        <f t="shared" si="103"/>
        <v>0</v>
      </c>
      <c r="EM25" s="142"/>
      <c r="EN25" s="192">
        <f t="shared" si="28"/>
        <v>0</v>
      </c>
      <c r="EO25" s="198">
        <f t="shared" si="88"/>
        <v>0</v>
      </c>
      <c r="EP25" s="142"/>
      <c r="EQ25" s="192">
        <f t="shared" si="29"/>
        <v>0</v>
      </c>
      <c r="ER25" s="198">
        <f t="shared" si="89"/>
        <v>0</v>
      </c>
      <c r="ES25" s="142"/>
      <c r="ET25" s="192">
        <f t="shared" si="30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1"/>
        <v>0</v>
      </c>
      <c r="FA25" s="198">
        <f t="shared" si="93"/>
        <v>0</v>
      </c>
      <c r="FB25" s="142"/>
      <c r="FC25" s="192">
        <f t="shared" si="32"/>
        <v>0</v>
      </c>
      <c r="FD25" s="198">
        <f t="shared" si="94"/>
        <v>0</v>
      </c>
      <c r="FE25" s="142"/>
      <c r="FF25" s="192">
        <f t="shared" si="33"/>
        <v>0</v>
      </c>
      <c r="FG25" s="198">
        <f t="shared" si="95"/>
        <v>0</v>
      </c>
      <c r="FH25" s="142"/>
      <c r="FI25" s="192">
        <f t="shared" si="34"/>
        <v>0</v>
      </c>
      <c r="FJ25" s="198">
        <f t="shared" si="96"/>
        <v>0</v>
      </c>
      <c r="FK25" s="142"/>
      <c r="FL25" s="192">
        <f t="shared" si="35"/>
        <v>0</v>
      </c>
      <c r="FM25" s="198">
        <f t="shared" si="97"/>
        <v>0</v>
      </c>
      <c r="FN25" s="142"/>
      <c r="FO25" s="192">
        <f t="shared" si="36"/>
        <v>0</v>
      </c>
      <c r="FP25" s="198">
        <f t="shared" si="98"/>
        <v>0</v>
      </c>
      <c r="FQ25" s="142"/>
      <c r="FR25" s="192">
        <f t="shared" si="37"/>
        <v>0</v>
      </c>
    </row>
    <row r="26" spans="1:174" ht="15" customHeight="1" x14ac:dyDescent="0.2">
      <c r="A26" s="140">
        <v>21</v>
      </c>
      <c r="B26" s="140">
        <f t="shared" si="38"/>
        <v>5745</v>
      </c>
      <c r="C26" s="141">
        <v>5919</v>
      </c>
      <c r="D26" s="135">
        <f t="shared" si="9"/>
        <v>174</v>
      </c>
      <c r="E26" s="185"/>
      <c r="F26" s="140">
        <v>21</v>
      </c>
      <c r="G26" s="140">
        <f t="shared" si="39"/>
        <v>39701</v>
      </c>
      <c r="H26" s="141">
        <v>39701</v>
      </c>
      <c r="I26" s="135">
        <f t="shared" si="10"/>
        <v>0</v>
      </c>
      <c r="J26" s="185"/>
      <c r="K26" s="140">
        <v>21</v>
      </c>
      <c r="L26" s="140">
        <f t="shared" si="40"/>
        <v>848766</v>
      </c>
      <c r="M26" s="141">
        <v>848766</v>
      </c>
      <c r="N26" s="135">
        <f t="shared" si="11"/>
        <v>0</v>
      </c>
      <c r="O26" s="137"/>
      <c r="P26" s="140">
        <v>21</v>
      </c>
      <c r="Q26" s="140">
        <f t="shared" si="41"/>
        <v>245962</v>
      </c>
      <c r="R26" s="141">
        <v>246048</v>
      </c>
      <c r="S26" s="135">
        <f t="shared" si="12"/>
        <v>86</v>
      </c>
      <c r="T26" s="136"/>
      <c r="U26" s="138">
        <v>21</v>
      </c>
      <c r="V26" s="200">
        <f t="shared" si="13"/>
        <v>260</v>
      </c>
      <c r="W26" s="139">
        <f>'Maldives at LG Daily'!BP25</f>
        <v>35.9</v>
      </c>
      <c r="X26" s="158"/>
      <c r="Y26" s="314" t="e">
        <f t="shared" si="14"/>
        <v>#DIV/0!</v>
      </c>
      <c r="AA26" s="194">
        <v>21</v>
      </c>
      <c r="AB26" s="142">
        <f t="shared" si="42"/>
        <v>47516</v>
      </c>
      <c r="AC26" s="142">
        <v>47539</v>
      </c>
      <c r="AD26" s="142">
        <f t="shared" si="15"/>
        <v>23</v>
      </c>
      <c r="AE26" s="142">
        <f t="shared" si="99"/>
        <v>-2</v>
      </c>
      <c r="AF26" s="288"/>
      <c r="AG26" s="194">
        <f t="shared" si="43"/>
        <v>10647</v>
      </c>
      <c r="AH26" s="142">
        <v>10652</v>
      </c>
      <c r="AI26" s="142">
        <f t="shared" si="44"/>
        <v>5</v>
      </c>
      <c r="AJ26" s="142">
        <f t="shared" si="100"/>
        <v>0</v>
      </c>
      <c r="AK26" s="142"/>
      <c r="AL26" s="194">
        <f t="shared" si="45"/>
        <v>9980</v>
      </c>
      <c r="AM26" s="142">
        <v>9980</v>
      </c>
      <c r="AN26" s="142">
        <f t="shared" si="16"/>
        <v>0</v>
      </c>
      <c r="AO26" s="142">
        <f t="shared" si="46"/>
        <v>-8</v>
      </c>
      <c r="AP26" s="142"/>
      <c r="AQ26" s="194">
        <f t="shared" si="47"/>
        <v>19428</v>
      </c>
      <c r="AR26" s="142">
        <v>19439</v>
      </c>
      <c r="AS26" s="142">
        <f t="shared" si="17"/>
        <v>11</v>
      </c>
      <c r="AT26" s="142">
        <f t="shared" si="48"/>
        <v>-13</v>
      </c>
      <c r="AU26" s="142"/>
      <c r="AV26" s="194">
        <f t="shared" si="49"/>
        <v>35591</v>
      </c>
      <c r="AW26" s="142">
        <v>35600</v>
      </c>
      <c r="AX26" s="142">
        <f t="shared" si="18"/>
        <v>9</v>
      </c>
      <c r="AY26" s="142">
        <f t="shared" si="50"/>
        <v>1</v>
      </c>
      <c r="AZ26" s="142"/>
      <c r="BA26" s="194">
        <f t="shared" si="51"/>
        <v>9362</v>
      </c>
      <c r="BB26" s="142">
        <v>9369</v>
      </c>
      <c r="BC26" s="142">
        <f t="shared" si="19"/>
        <v>7</v>
      </c>
      <c r="BD26" s="142">
        <f t="shared" si="52"/>
        <v>1</v>
      </c>
      <c r="BE26" s="142"/>
      <c r="BF26" s="194">
        <f t="shared" si="53"/>
        <v>26168</v>
      </c>
      <c r="BG26" s="142">
        <v>26168</v>
      </c>
      <c r="BH26" s="142">
        <f t="shared" si="20"/>
        <v>0</v>
      </c>
      <c r="BI26" s="142">
        <f t="shared" si="54"/>
        <v>-1</v>
      </c>
      <c r="BJ26" s="142"/>
      <c r="BK26" s="194">
        <f t="shared" si="55"/>
        <v>10163</v>
      </c>
      <c r="BL26" s="142">
        <v>10170</v>
      </c>
      <c r="BM26" s="142">
        <f t="shared" si="21"/>
        <v>7</v>
      </c>
      <c r="BN26" s="142">
        <f t="shared" si="56"/>
        <v>1</v>
      </c>
      <c r="BO26" s="142"/>
      <c r="BP26" s="194">
        <f t="shared" si="57"/>
        <v>4197</v>
      </c>
      <c r="BQ26" s="142">
        <v>4199</v>
      </c>
      <c r="BR26" s="321">
        <f t="shared" si="22"/>
        <v>2</v>
      </c>
      <c r="BS26" s="142">
        <f t="shared" si="58"/>
        <v>0</v>
      </c>
      <c r="BT26" s="142"/>
      <c r="BU26" s="194">
        <f t="shared" si="59"/>
        <v>1870</v>
      </c>
      <c r="BV26" s="142">
        <v>1870</v>
      </c>
      <c r="BW26" s="142">
        <f t="shared" si="23"/>
        <v>0</v>
      </c>
      <c r="BX26" s="142">
        <f t="shared" si="60"/>
        <v>0</v>
      </c>
      <c r="BY26" s="142"/>
      <c r="BZ26" s="198">
        <f t="shared" si="61"/>
        <v>29237</v>
      </c>
      <c r="CA26" s="142">
        <v>29239</v>
      </c>
      <c r="CB26" s="321">
        <f t="shared" si="24"/>
        <v>2</v>
      </c>
      <c r="CC26" s="142">
        <f t="shared" si="62"/>
        <v>-1</v>
      </c>
      <c r="CD26" s="192"/>
      <c r="CE26" s="198">
        <f t="shared" si="63"/>
        <v>3523</v>
      </c>
      <c r="CF26" s="142">
        <v>3524</v>
      </c>
      <c r="CG26" s="142">
        <f t="shared" si="0"/>
        <v>1</v>
      </c>
      <c r="CH26" s="142">
        <f t="shared" si="64"/>
        <v>0</v>
      </c>
      <c r="CI26" s="192"/>
      <c r="CJ26" s="198">
        <f t="shared" si="65"/>
        <v>85509</v>
      </c>
      <c r="CK26" s="142">
        <v>85538</v>
      </c>
      <c r="CL26" s="142">
        <f t="shared" si="1"/>
        <v>29</v>
      </c>
      <c r="CM26" s="142">
        <f t="shared" si="66"/>
        <v>4</v>
      </c>
      <c r="CN26" s="192"/>
      <c r="CO26" s="198">
        <f t="shared" si="67"/>
        <v>26146</v>
      </c>
      <c r="CP26" s="142">
        <v>26157</v>
      </c>
      <c r="CQ26" s="142">
        <f t="shared" si="2"/>
        <v>11</v>
      </c>
      <c r="CR26" s="142">
        <f t="shared" si="68"/>
        <v>4</v>
      </c>
      <c r="CS26" s="192"/>
      <c r="CT26" s="198">
        <f t="shared" si="69"/>
        <v>12835</v>
      </c>
      <c r="CU26" s="142">
        <v>12835</v>
      </c>
      <c r="CV26" s="142">
        <f t="shared" si="3"/>
        <v>0</v>
      </c>
      <c r="CW26" s="142">
        <f t="shared" si="70"/>
        <v>-1</v>
      </c>
      <c r="CX26" s="192"/>
      <c r="CY26" s="198">
        <f t="shared" si="71"/>
        <v>19768</v>
      </c>
      <c r="CZ26" s="142">
        <v>19781</v>
      </c>
      <c r="DA26" s="142">
        <f t="shared" si="4"/>
        <v>13</v>
      </c>
      <c r="DB26" s="142">
        <f t="shared" si="72"/>
        <v>8</v>
      </c>
      <c r="DC26" s="192"/>
      <c r="DD26" s="198">
        <f t="shared" si="73"/>
        <v>21024</v>
      </c>
      <c r="DE26" s="142">
        <v>21027</v>
      </c>
      <c r="DF26" s="142">
        <f t="shared" si="5"/>
        <v>3</v>
      </c>
      <c r="DG26" s="142">
        <f t="shared" si="74"/>
        <v>0</v>
      </c>
      <c r="DH26" s="192"/>
      <c r="DI26" s="198">
        <f t="shared" si="75"/>
        <v>9947</v>
      </c>
      <c r="DJ26" s="142">
        <v>9950</v>
      </c>
      <c r="DK26" s="142">
        <f t="shared" si="6"/>
        <v>3</v>
      </c>
      <c r="DL26" s="142">
        <f t="shared" si="76"/>
        <v>-1</v>
      </c>
      <c r="DM26" s="192"/>
      <c r="DN26" s="198">
        <f t="shared" si="77"/>
        <v>26638</v>
      </c>
      <c r="DO26" s="142">
        <f t="shared" si="104"/>
        <v>26653</v>
      </c>
      <c r="DP26" s="142">
        <f t="shared" si="7"/>
        <v>15</v>
      </c>
      <c r="DQ26" s="142">
        <f t="shared" si="78"/>
        <v>0</v>
      </c>
      <c r="DR26" s="192"/>
      <c r="DS26" s="198">
        <f t="shared" si="79"/>
        <v>2799</v>
      </c>
      <c r="DT26" s="142">
        <v>2800</v>
      </c>
      <c r="DU26" s="142">
        <f t="shared" si="8"/>
        <v>1</v>
      </c>
      <c r="DV26" s="142">
        <f t="shared" si="80"/>
        <v>0</v>
      </c>
      <c r="DW26" s="192"/>
      <c r="DX26" s="198">
        <f t="shared" si="81"/>
        <v>97</v>
      </c>
      <c r="DY26" s="142">
        <v>97</v>
      </c>
      <c r="DZ26" s="142">
        <f t="shared" si="82"/>
        <v>0</v>
      </c>
      <c r="EA26" s="142">
        <f t="shared" si="83"/>
        <v>-1</v>
      </c>
      <c r="EB26" s="192"/>
      <c r="EC26" s="198">
        <f t="shared" si="105"/>
        <v>0</v>
      </c>
      <c r="ED26" s="142"/>
      <c r="EE26" s="192">
        <f t="shared" si="25"/>
        <v>0</v>
      </c>
      <c r="EF26" s="198">
        <f t="shared" si="101"/>
        <v>0</v>
      </c>
      <c r="EG26" s="142"/>
      <c r="EH26" s="192">
        <f t="shared" si="26"/>
        <v>0</v>
      </c>
      <c r="EI26" s="198">
        <f t="shared" si="102"/>
        <v>0</v>
      </c>
      <c r="EJ26" s="142"/>
      <c r="EK26" s="192">
        <f t="shared" si="27"/>
        <v>0</v>
      </c>
      <c r="EL26" s="198">
        <f t="shared" si="103"/>
        <v>0</v>
      </c>
      <c r="EM26" s="142"/>
      <c r="EN26" s="192">
        <f t="shared" si="28"/>
        <v>0</v>
      </c>
      <c r="EO26" s="198">
        <f t="shared" si="88"/>
        <v>0</v>
      </c>
      <c r="EP26" s="142"/>
      <c r="EQ26" s="192">
        <f t="shared" si="29"/>
        <v>0</v>
      </c>
      <c r="ER26" s="198">
        <f t="shared" si="89"/>
        <v>0</v>
      </c>
      <c r="ES26" s="142"/>
      <c r="ET26" s="192">
        <f t="shared" si="30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1"/>
        <v>0</v>
      </c>
      <c r="FA26" s="198">
        <f t="shared" si="93"/>
        <v>0</v>
      </c>
      <c r="FB26" s="142"/>
      <c r="FC26" s="192">
        <f t="shared" si="32"/>
        <v>0</v>
      </c>
      <c r="FD26" s="198">
        <f t="shared" si="94"/>
        <v>0</v>
      </c>
      <c r="FE26" s="142"/>
      <c r="FF26" s="192">
        <f t="shared" si="33"/>
        <v>0</v>
      </c>
      <c r="FG26" s="198">
        <f t="shared" si="95"/>
        <v>0</v>
      </c>
      <c r="FH26" s="142"/>
      <c r="FI26" s="192">
        <f t="shared" si="34"/>
        <v>0</v>
      </c>
      <c r="FJ26" s="198">
        <f t="shared" si="96"/>
        <v>0</v>
      </c>
      <c r="FK26" s="142"/>
      <c r="FL26" s="192">
        <f t="shared" si="35"/>
        <v>0</v>
      </c>
      <c r="FM26" s="198">
        <f t="shared" si="97"/>
        <v>0</v>
      </c>
      <c r="FN26" s="142"/>
      <c r="FO26" s="192">
        <f t="shared" si="36"/>
        <v>0</v>
      </c>
      <c r="FP26" s="198">
        <f t="shared" si="98"/>
        <v>0</v>
      </c>
      <c r="FQ26" s="142"/>
      <c r="FR26" s="192">
        <f t="shared" si="37"/>
        <v>0</v>
      </c>
    </row>
    <row r="27" spans="1:174" ht="15" customHeight="1" x14ac:dyDescent="0.2">
      <c r="A27" s="140">
        <v>22</v>
      </c>
      <c r="B27" s="140">
        <f t="shared" si="38"/>
        <v>5919</v>
      </c>
      <c r="C27" s="141">
        <v>6138</v>
      </c>
      <c r="D27" s="135">
        <f t="shared" si="9"/>
        <v>219</v>
      </c>
      <c r="E27" s="185"/>
      <c r="F27" s="140">
        <v>22</v>
      </c>
      <c r="G27" s="140">
        <f t="shared" si="39"/>
        <v>39701</v>
      </c>
      <c r="H27" s="141">
        <v>39787</v>
      </c>
      <c r="I27" s="135">
        <f t="shared" si="10"/>
        <v>86</v>
      </c>
      <c r="J27" s="185"/>
      <c r="K27" s="140">
        <v>22</v>
      </c>
      <c r="L27" s="140">
        <f t="shared" si="40"/>
        <v>848766</v>
      </c>
      <c r="M27" s="141">
        <v>848766</v>
      </c>
      <c r="N27" s="135">
        <f t="shared" si="11"/>
        <v>0</v>
      </c>
      <c r="O27" s="137"/>
      <c r="P27" s="140">
        <v>22</v>
      </c>
      <c r="Q27" s="140">
        <f t="shared" si="41"/>
        <v>246048</v>
      </c>
      <c r="R27" s="141">
        <v>246048</v>
      </c>
      <c r="S27" s="135">
        <f t="shared" si="12"/>
        <v>0</v>
      </c>
      <c r="T27" s="136"/>
      <c r="U27" s="138">
        <v>22</v>
      </c>
      <c r="V27" s="200">
        <f t="shared" si="13"/>
        <v>305</v>
      </c>
      <c r="W27" s="139">
        <f>'Maldives at LG Daily'!BP26</f>
        <v>29.1</v>
      </c>
      <c r="X27" s="158"/>
      <c r="Y27" s="314" t="e">
        <f t="shared" si="14"/>
        <v>#DIV/0!</v>
      </c>
      <c r="AA27" s="194">
        <v>22</v>
      </c>
      <c r="AB27" s="142">
        <f t="shared" si="42"/>
        <v>47539</v>
      </c>
      <c r="AC27" s="142">
        <v>47560</v>
      </c>
      <c r="AD27" s="142">
        <f t="shared" si="15"/>
        <v>21</v>
      </c>
      <c r="AE27" s="142">
        <f t="shared" si="99"/>
        <v>-2</v>
      </c>
      <c r="AF27" s="288"/>
      <c r="AG27" s="194">
        <f t="shared" si="43"/>
        <v>10652</v>
      </c>
      <c r="AH27" s="142">
        <v>10658</v>
      </c>
      <c r="AI27" s="142">
        <f t="shared" si="44"/>
        <v>6</v>
      </c>
      <c r="AJ27" s="142">
        <f t="shared" si="100"/>
        <v>1</v>
      </c>
      <c r="AK27" s="142"/>
      <c r="AL27" s="194">
        <f t="shared" si="45"/>
        <v>9980</v>
      </c>
      <c r="AM27" s="142">
        <v>9998</v>
      </c>
      <c r="AN27" s="142">
        <f t="shared" si="16"/>
        <v>18</v>
      </c>
      <c r="AO27" s="142">
        <f t="shared" si="46"/>
        <v>18</v>
      </c>
      <c r="AP27" s="142"/>
      <c r="AQ27" s="194">
        <f t="shared" si="47"/>
        <v>19439</v>
      </c>
      <c r="AR27" s="142">
        <v>19451</v>
      </c>
      <c r="AS27" s="142">
        <f t="shared" si="17"/>
        <v>12</v>
      </c>
      <c r="AT27" s="142">
        <f t="shared" si="48"/>
        <v>1</v>
      </c>
      <c r="AU27" s="142"/>
      <c r="AV27" s="194">
        <f t="shared" si="49"/>
        <v>35600</v>
      </c>
      <c r="AW27" s="142">
        <v>35608</v>
      </c>
      <c r="AX27" s="142">
        <f t="shared" si="18"/>
        <v>8</v>
      </c>
      <c r="AY27" s="142">
        <f t="shared" si="50"/>
        <v>-1</v>
      </c>
      <c r="AZ27" s="142"/>
      <c r="BA27" s="194">
        <f t="shared" si="51"/>
        <v>9369</v>
      </c>
      <c r="BB27" s="142">
        <v>9376</v>
      </c>
      <c r="BC27" s="142">
        <f t="shared" si="19"/>
        <v>7</v>
      </c>
      <c r="BD27" s="142">
        <f t="shared" si="52"/>
        <v>0</v>
      </c>
      <c r="BE27" s="142"/>
      <c r="BF27" s="194">
        <f t="shared" si="53"/>
        <v>26168</v>
      </c>
      <c r="BG27" s="142">
        <v>26177</v>
      </c>
      <c r="BH27" s="142">
        <f t="shared" si="20"/>
        <v>9</v>
      </c>
      <c r="BI27" s="142">
        <f t="shared" si="54"/>
        <v>9</v>
      </c>
      <c r="BJ27" s="142"/>
      <c r="BK27" s="194">
        <f t="shared" si="55"/>
        <v>10170</v>
      </c>
      <c r="BL27" s="142">
        <v>10176</v>
      </c>
      <c r="BM27" s="142">
        <f t="shared" si="21"/>
        <v>6</v>
      </c>
      <c r="BN27" s="142">
        <f t="shared" si="56"/>
        <v>-1</v>
      </c>
      <c r="BO27" s="142"/>
      <c r="BP27" s="194">
        <f t="shared" si="57"/>
        <v>4199</v>
      </c>
      <c r="BQ27" s="142">
        <v>4202</v>
      </c>
      <c r="BR27" s="321">
        <f t="shared" si="22"/>
        <v>3</v>
      </c>
      <c r="BS27" s="142">
        <f t="shared" si="58"/>
        <v>1</v>
      </c>
      <c r="BT27" s="142"/>
      <c r="BU27" s="194">
        <f t="shared" si="59"/>
        <v>1870</v>
      </c>
      <c r="BV27" s="142">
        <v>1870</v>
      </c>
      <c r="BW27" s="142">
        <f t="shared" si="23"/>
        <v>0</v>
      </c>
      <c r="BX27" s="142">
        <f t="shared" si="60"/>
        <v>0</v>
      </c>
      <c r="BY27" s="142"/>
      <c r="BZ27" s="198">
        <f t="shared" si="61"/>
        <v>29239</v>
      </c>
      <c r="CA27" s="142">
        <v>29242</v>
      </c>
      <c r="CB27" s="321">
        <f t="shared" si="24"/>
        <v>3</v>
      </c>
      <c r="CC27" s="142">
        <f t="shared" si="62"/>
        <v>1</v>
      </c>
      <c r="CD27" s="192"/>
      <c r="CE27" s="198">
        <f t="shared" si="63"/>
        <v>3524</v>
      </c>
      <c r="CF27" s="142">
        <v>3527</v>
      </c>
      <c r="CG27" s="142">
        <f t="shared" si="0"/>
        <v>3</v>
      </c>
      <c r="CH27" s="142">
        <f t="shared" si="64"/>
        <v>2</v>
      </c>
      <c r="CI27" s="192"/>
      <c r="CJ27" s="198">
        <f t="shared" si="65"/>
        <v>85538</v>
      </c>
      <c r="CK27" s="142">
        <v>85567</v>
      </c>
      <c r="CL27" s="142">
        <f t="shared" si="1"/>
        <v>29</v>
      </c>
      <c r="CM27" s="142">
        <f t="shared" si="66"/>
        <v>0</v>
      </c>
      <c r="CN27" s="192"/>
      <c r="CO27" s="198">
        <f t="shared" si="67"/>
        <v>26157</v>
      </c>
      <c r="CP27" s="142">
        <v>26160</v>
      </c>
      <c r="CQ27" s="142">
        <f t="shared" si="2"/>
        <v>3</v>
      </c>
      <c r="CR27" s="142">
        <f t="shared" si="68"/>
        <v>-8</v>
      </c>
      <c r="CS27" s="192"/>
      <c r="CT27" s="198">
        <f t="shared" si="69"/>
        <v>12835</v>
      </c>
      <c r="CU27" s="142">
        <v>12836</v>
      </c>
      <c r="CV27" s="142">
        <f t="shared" si="3"/>
        <v>1</v>
      </c>
      <c r="CW27" s="142">
        <f t="shared" si="70"/>
        <v>1</v>
      </c>
      <c r="CX27" s="192"/>
      <c r="CY27" s="198">
        <f t="shared" si="71"/>
        <v>19781</v>
      </c>
      <c r="CZ27" s="142">
        <f>CZ26+5</f>
        <v>19786</v>
      </c>
      <c r="DA27" s="142">
        <f t="shared" si="4"/>
        <v>5</v>
      </c>
      <c r="DB27" s="142">
        <f t="shared" si="72"/>
        <v>-8</v>
      </c>
      <c r="DC27" s="192"/>
      <c r="DD27" s="198">
        <f t="shared" si="73"/>
        <v>21027</v>
      </c>
      <c r="DE27" s="142">
        <v>21028</v>
      </c>
      <c r="DF27" s="142">
        <f t="shared" si="5"/>
        <v>1</v>
      </c>
      <c r="DG27" s="142">
        <f t="shared" si="74"/>
        <v>-2</v>
      </c>
      <c r="DH27" s="192"/>
      <c r="DI27" s="198">
        <f t="shared" si="75"/>
        <v>9950</v>
      </c>
      <c r="DJ27" s="142">
        <v>9953</v>
      </c>
      <c r="DK27" s="142">
        <f t="shared" si="6"/>
        <v>3</v>
      </c>
      <c r="DL27" s="142">
        <f t="shared" si="76"/>
        <v>0</v>
      </c>
      <c r="DM27" s="192"/>
      <c r="DN27" s="198">
        <f t="shared" si="77"/>
        <v>26653</v>
      </c>
      <c r="DO27" s="142">
        <f t="shared" si="104"/>
        <v>26668</v>
      </c>
      <c r="DP27" s="142">
        <f t="shared" si="7"/>
        <v>15</v>
      </c>
      <c r="DQ27" s="142">
        <f t="shared" si="78"/>
        <v>0</v>
      </c>
      <c r="DR27" s="192"/>
      <c r="DS27" s="198">
        <f t="shared" si="79"/>
        <v>2800</v>
      </c>
      <c r="DT27" s="142">
        <v>2802</v>
      </c>
      <c r="DU27" s="142">
        <f t="shared" si="8"/>
        <v>2</v>
      </c>
      <c r="DV27" s="142">
        <f t="shared" si="80"/>
        <v>1</v>
      </c>
      <c r="DW27" s="192"/>
      <c r="DX27" s="198">
        <f t="shared" si="81"/>
        <v>97</v>
      </c>
      <c r="DY27" s="142">
        <v>97</v>
      </c>
      <c r="DZ27" s="142">
        <f t="shared" si="82"/>
        <v>0</v>
      </c>
      <c r="EA27" s="142">
        <f t="shared" si="83"/>
        <v>0</v>
      </c>
      <c r="EB27" s="192"/>
      <c r="EC27" s="198">
        <f t="shared" si="105"/>
        <v>0</v>
      </c>
      <c r="ED27" s="142"/>
      <c r="EE27" s="192">
        <f t="shared" si="25"/>
        <v>0</v>
      </c>
      <c r="EF27" s="198">
        <f t="shared" si="101"/>
        <v>0</v>
      </c>
      <c r="EG27" s="142"/>
      <c r="EH27" s="192">
        <f t="shared" si="26"/>
        <v>0</v>
      </c>
      <c r="EI27" s="198">
        <f t="shared" si="102"/>
        <v>0</v>
      </c>
      <c r="EJ27" s="142"/>
      <c r="EK27" s="192">
        <f t="shared" si="27"/>
        <v>0</v>
      </c>
      <c r="EL27" s="198">
        <f t="shared" si="103"/>
        <v>0</v>
      </c>
      <c r="EM27" s="142"/>
      <c r="EN27" s="192">
        <f t="shared" si="28"/>
        <v>0</v>
      </c>
      <c r="EO27" s="198">
        <f t="shared" si="88"/>
        <v>0</v>
      </c>
      <c r="EP27" s="142"/>
      <c r="EQ27" s="192">
        <f t="shared" si="29"/>
        <v>0</v>
      </c>
      <c r="ER27" s="198">
        <f t="shared" si="89"/>
        <v>0</v>
      </c>
      <c r="ES27" s="142"/>
      <c r="ET27" s="192">
        <f t="shared" si="30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1"/>
        <v>0</v>
      </c>
      <c r="FA27" s="198">
        <f t="shared" si="93"/>
        <v>0</v>
      </c>
      <c r="FB27" s="142"/>
      <c r="FC27" s="192">
        <f t="shared" si="32"/>
        <v>0</v>
      </c>
      <c r="FD27" s="198">
        <f t="shared" si="94"/>
        <v>0</v>
      </c>
      <c r="FE27" s="142"/>
      <c r="FF27" s="192">
        <f t="shared" si="33"/>
        <v>0</v>
      </c>
      <c r="FG27" s="198">
        <f t="shared" si="95"/>
        <v>0</v>
      </c>
      <c r="FH27" s="142"/>
      <c r="FI27" s="192">
        <f t="shared" si="34"/>
        <v>0</v>
      </c>
      <c r="FJ27" s="198">
        <f t="shared" si="96"/>
        <v>0</v>
      </c>
      <c r="FK27" s="142"/>
      <c r="FL27" s="192">
        <f t="shared" si="35"/>
        <v>0</v>
      </c>
      <c r="FM27" s="198">
        <f t="shared" si="97"/>
        <v>0</v>
      </c>
      <c r="FN27" s="142"/>
      <c r="FO27" s="192">
        <f t="shared" si="36"/>
        <v>0</v>
      </c>
      <c r="FP27" s="198">
        <f t="shared" si="98"/>
        <v>0</v>
      </c>
      <c r="FQ27" s="142"/>
      <c r="FR27" s="192">
        <f t="shared" si="37"/>
        <v>0</v>
      </c>
    </row>
    <row r="28" spans="1:174" ht="15" customHeight="1" x14ac:dyDescent="0.2">
      <c r="A28" s="140">
        <v>23</v>
      </c>
      <c r="B28" s="140">
        <f t="shared" si="38"/>
        <v>6138</v>
      </c>
      <c r="C28" s="141">
        <v>6334</v>
      </c>
      <c r="D28" s="135">
        <f t="shared" si="9"/>
        <v>196</v>
      </c>
      <c r="E28" s="185"/>
      <c r="F28" s="140">
        <v>23</v>
      </c>
      <c r="G28" s="140">
        <f t="shared" si="39"/>
        <v>39787</v>
      </c>
      <c r="H28" s="141">
        <v>39787</v>
      </c>
      <c r="I28" s="135">
        <f t="shared" si="10"/>
        <v>0</v>
      </c>
      <c r="J28" s="185"/>
      <c r="K28" s="140">
        <v>23</v>
      </c>
      <c r="L28" s="140">
        <f t="shared" si="40"/>
        <v>848766</v>
      </c>
      <c r="M28" s="141">
        <v>848767</v>
      </c>
      <c r="N28" s="135">
        <f t="shared" si="11"/>
        <v>1</v>
      </c>
      <c r="O28" s="137"/>
      <c r="P28" s="140">
        <v>23</v>
      </c>
      <c r="Q28" s="140">
        <f t="shared" si="41"/>
        <v>246048</v>
      </c>
      <c r="R28" s="141">
        <v>246150</v>
      </c>
      <c r="S28" s="135">
        <f t="shared" si="12"/>
        <v>102</v>
      </c>
      <c r="T28" s="136"/>
      <c r="U28" s="140">
        <v>23</v>
      </c>
      <c r="V28" s="200">
        <f t="shared" si="13"/>
        <v>299</v>
      </c>
      <c r="W28" s="139">
        <f>'Maldives at LG Daily'!BP27</f>
        <v>40.799999999999997</v>
      </c>
      <c r="X28" s="158"/>
      <c r="Y28" s="314" t="e">
        <f t="shared" si="14"/>
        <v>#DIV/0!</v>
      </c>
      <c r="AA28" s="194">
        <v>23</v>
      </c>
      <c r="AB28" s="142">
        <f t="shared" si="42"/>
        <v>47560</v>
      </c>
      <c r="AC28" s="142">
        <v>47581</v>
      </c>
      <c r="AD28" s="142">
        <f t="shared" si="15"/>
        <v>21</v>
      </c>
      <c r="AE28" s="142">
        <f t="shared" si="99"/>
        <v>0</v>
      </c>
      <c r="AF28" s="288"/>
      <c r="AG28" s="194">
        <f t="shared" si="43"/>
        <v>10658</v>
      </c>
      <c r="AH28" s="142">
        <v>10664</v>
      </c>
      <c r="AI28" s="142">
        <f t="shared" si="44"/>
        <v>6</v>
      </c>
      <c r="AJ28" s="142">
        <f t="shared" si="100"/>
        <v>0</v>
      </c>
      <c r="AK28" s="142"/>
      <c r="AL28" s="194">
        <f t="shared" si="45"/>
        <v>9998</v>
      </c>
      <c r="AM28" s="142">
        <v>10008</v>
      </c>
      <c r="AN28" s="142">
        <f t="shared" si="16"/>
        <v>10</v>
      </c>
      <c r="AO28" s="142">
        <f t="shared" si="46"/>
        <v>-8</v>
      </c>
      <c r="AP28" s="142"/>
      <c r="AQ28" s="194">
        <f t="shared" si="47"/>
        <v>19451</v>
      </c>
      <c r="AR28" s="142">
        <v>19463</v>
      </c>
      <c r="AS28" s="142">
        <f t="shared" si="17"/>
        <v>12</v>
      </c>
      <c r="AT28" s="142">
        <f t="shared" si="48"/>
        <v>0</v>
      </c>
      <c r="AU28" s="142"/>
      <c r="AV28" s="194">
        <f t="shared" si="49"/>
        <v>35608</v>
      </c>
      <c r="AW28" s="142">
        <v>35617</v>
      </c>
      <c r="AX28" s="142">
        <f t="shared" si="18"/>
        <v>9</v>
      </c>
      <c r="AY28" s="142">
        <f t="shared" si="50"/>
        <v>1</v>
      </c>
      <c r="AZ28" s="142"/>
      <c r="BA28" s="194">
        <f t="shared" si="51"/>
        <v>9376</v>
      </c>
      <c r="BB28" s="142">
        <v>9382</v>
      </c>
      <c r="BC28" s="142">
        <f t="shared" si="19"/>
        <v>6</v>
      </c>
      <c r="BD28" s="142">
        <f t="shared" si="52"/>
        <v>-1</v>
      </c>
      <c r="BE28" s="142"/>
      <c r="BF28" s="194">
        <f t="shared" si="53"/>
        <v>26177</v>
      </c>
      <c r="BG28" s="142">
        <v>26183</v>
      </c>
      <c r="BH28" s="142">
        <f t="shared" si="20"/>
        <v>6</v>
      </c>
      <c r="BI28" s="142">
        <f t="shared" si="54"/>
        <v>-3</v>
      </c>
      <c r="BJ28" s="142"/>
      <c r="BK28" s="194">
        <f t="shared" si="55"/>
        <v>10176</v>
      </c>
      <c r="BL28" s="142">
        <v>10183</v>
      </c>
      <c r="BM28" s="142">
        <f t="shared" si="21"/>
        <v>7</v>
      </c>
      <c r="BN28" s="142">
        <f t="shared" si="56"/>
        <v>1</v>
      </c>
      <c r="BO28" s="142"/>
      <c r="BP28" s="194">
        <f t="shared" si="57"/>
        <v>4202</v>
      </c>
      <c r="BQ28" s="142">
        <v>4202</v>
      </c>
      <c r="BR28" s="321">
        <f t="shared" si="22"/>
        <v>0</v>
      </c>
      <c r="BS28" s="142">
        <f t="shared" si="58"/>
        <v>-3</v>
      </c>
      <c r="BT28" s="142"/>
      <c r="BU28" s="194">
        <f t="shared" si="59"/>
        <v>1870</v>
      </c>
      <c r="BV28" s="142">
        <v>1870</v>
      </c>
      <c r="BW28" s="142">
        <f t="shared" si="23"/>
        <v>0</v>
      </c>
      <c r="BX28" s="142">
        <f t="shared" si="60"/>
        <v>0</v>
      </c>
      <c r="BY28" s="142"/>
      <c r="BZ28" s="198">
        <f t="shared" si="61"/>
        <v>29242</v>
      </c>
      <c r="CA28" s="142">
        <v>29246</v>
      </c>
      <c r="CB28" s="321">
        <f t="shared" si="24"/>
        <v>4</v>
      </c>
      <c r="CC28" s="142">
        <f t="shared" si="62"/>
        <v>1</v>
      </c>
      <c r="CD28" s="192"/>
      <c r="CE28" s="198">
        <f t="shared" si="63"/>
        <v>3527</v>
      </c>
      <c r="CF28" s="142">
        <v>3528</v>
      </c>
      <c r="CG28" s="142">
        <f t="shared" si="0"/>
        <v>1</v>
      </c>
      <c r="CH28" s="142">
        <f t="shared" si="64"/>
        <v>-2</v>
      </c>
      <c r="CI28" s="192"/>
      <c r="CJ28" s="198">
        <f t="shared" si="65"/>
        <v>85567</v>
      </c>
      <c r="CK28" s="142">
        <v>85597</v>
      </c>
      <c r="CL28" s="142">
        <f t="shared" si="1"/>
        <v>30</v>
      </c>
      <c r="CM28" s="142">
        <f t="shared" si="66"/>
        <v>1</v>
      </c>
      <c r="CN28" s="192"/>
      <c r="CO28" s="198">
        <f t="shared" si="67"/>
        <v>26160</v>
      </c>
      <c r="CP28" s="142">
        <v>26175</v>
      </c>
      <c r="CQ28" s="142">
        <f t="shared" si="2"/>
        <v>15</v>
      </c>
      <c r="CR28" s="142">
        <f t="shared" si="68"/>
        <v>12</v>
      </c>
      <c r="CS28" s="192"/>
      <c r="CT28" s="198">
        <f t="shared" si="69"/>
        <v>12836</v>
      </c>
      <c r="CU28" s="142">
        <v>12837</v>
      </c>
      <c r="CV28" s="142">
        <f t="shared" si="3"/>
        <v>1</v>
      </c>
      <c r="CW28" s="142">
        <f t="shared" si="70"/>
        <v>0</v>
      </c>
      <c r="CX28" s="192"/>
      <c r="CY28" s="198">
        <f t="shared" si="71"/>
        <v>19786</v>
      </c>
      <c r="CZ28" s="142">
        <f>CZ27+5</f>
        <v>19791</v>
      </c>
      <c r="DA28" s="142">
        <f t="shared" si="4"/>
        <v>5</v>
      </c>
      <c r="DB28" s="142">
        <f t="shared" si="72"/>
        <v>0</v>
      </c>
      <c r="DC28" s="192"/>
      <c r="DD28" s="198">
        <f t="shared" si="73"/>
        <v>21028</v>
      </c>
      <c r="DE28" s="142">
        <v>21033</v>
      </c>
      <c r="DF28" s="142">
        <f t="shared" si="5"/>
        <v>5</v>
      </c>
      <c r="DG28" s="142">
        <f t="shared" si="74"/>
        <v>4</v>
      </c>
      <c r="DH28" s="192"/>
      <c r="DI28" s="198">
        <f t="shared" si="75"/>
        <v>9953</v>
      </c>
      <c r="DJ28" s="142">
        <v>9956</v>
      </c>
      <c r="DK28" s="142">
        <f t="shared" si="6"/>
        <v>3</v>
      </c>
      <c r="DL28" s="142">
        <f t="shared" si="76"/>
        <v>0</v>
      </c>
      <c r="DM28" s="192"/>
      <c r="DN28" s="198">
        <f t="shared" si="77"/>
        <v>26668</v>
      </c>
      <c r="DO28" s="142">
        <f t="shared" si="104"/>
        <v>26683</v>
      </c>
      <c r="DP28" s="142">
        <f t="shared" si="7"/>
        <v>15</v>
      </c>
      <c r="DQ28" s="142">
        <f t="shared" si="78"/>
        <v>0</v>
      </c>
      <c r="DR28" s="192"/>
      <c r="DS28" s="198">
        <f t="shared" si="79"/>
        <v>2802</v>
      </c>
      <c r="DT28" s="142">
        <v>2803</v>
      </c>
      <c r="DU28" s="142">
        <f t="shared" si="8"/>
        <v>1</v>
      </c>
      <c r="DV28" s="142">
        <f t="shared" si="80"/>
        <v>-1</v>
      </c>
      <c r="DW28" s="192"/>
      <c r="DX28" s="198">
        <f t="shared" si="81"/>
        <v>97</v>
      </c>
      <c r="DY28" s="142">
        <v>99</v>
      </c>
      <c r="DZ28" s="142">
        <f t="shared" si="82"/>
        <v>2</v>
      </c>
      <c r="EA28" s="142">
        <f t="shared" si="83"/>
        <v>2</v>
      </c>
      <c r="EB28" s="192"/>
      <c r="EC28" s="198">
        <f t="shared" si="105"/>
        <v>0</v>
      </c>
      <c r="ED28" s="142"/>
      <c r="EE28" s="192">
        <f t="shared" si="25"/>
        <v>0</v>
      </c>
      <c r="EF28" s="198">
        <f t="shared" si="101"/>
        <v>0</v>
      </c>
      <c r="EG28" s="142"/>
      <c r="EH28" s="192">
        <f t="shared" si="26"/>
        <v>0</v>
      </c>
      <c r="EI28" s="198">
        <f t="shared" si="102"/>
        <v>0</v>
      </c>
      <c r="EJ28" s="142"/>
      <c r="EK28" s="192">
        <f t="shared" si="27"/>
        <v>0</v>
      </c>
      <c r="EL28" s="198">
        <f t="shared" si="103"/>
        <v>0</v>
      </c>
      <c r="EM28" s="142"/>
      <c r="EN28" s="192">
        <f t="shared" si="28"/>
        <v>0</v>
      </c>
      <c r="EO28" s="198">
        <f t="shared" si="88"/>
        <v>0</v>
      </c>
      <c r="EP28" s="142"/>
      <c r="EQ28" s="192">
        <f t="shared" si="29"/>
        <v>0</v>
      </c>
      <c r="ER28" s="198">
        <f t="shared" si="89"/>
        <v>0</v>
      </c>
      <c r="ES28" s="142"/>
      <c r="ET28" s="192">
        <f t="shared" si="30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1"/>
        <v>0</v>
      </c>
      <c r="FA28" s="198">
        <f t="shared" si="93"/>
        <v>0</v>
      </c>
      <c r="FB28" s="142"/>
      <c r="FC28" s="192">
        <f t="shared" si="32"/>
        <v>0</v>
      </c>
      <c r="FD28" s="198">
        <f t="shared" si="94"/>
        <v>0</v>
      </c>
      <c r="FE28" s="142"/>
      <c r="FF28" s="192">
        <f t="shared" si="33"/>
        <v>0</v>
      </c>
      <c r="FG28" s="198">
        <f t="shared" si="95"/>
        <v>0</v>
      </c>
      <c r="FH28" s="142"/>
      <c r="FI28" s="192">
        <f t="shared" si="34"/>
        <v>0</v>
      </c>
      <c r="FJ28" s="198">
        <f t="shared" si="96"/>
        <v>0</v>
      </c>
      <c r="FK28" s="142"/>
      <c r="FL28" s="192">
        <f t="shared" si="35"/>
        <v>0</v>
      </c>
      <c r="FM28" s="198">
        <f t="shared" si="97"/>
        <v>0</v>
      </c>
      <c r="FN28" s="142"/>
      <c r="FO28" s="192">
        <f t="shared" si="36"/>
        <v>0</v>
      </c>
      <c r="FP28" s="198">
        <f t="shared" si="98"/>
        <v>0</v>
      </c>
      <c r="FQ28" s="142"/>
      <c r="FR28" s="192">
        <f t="shared" si="37"/>
        <v>0</v>
      </c>
    </row>
    <row r="29" spans="1:174" ht="14.25" customHeight="1" x14ac:dyDescent="0.2">
      <c r="A29" s="140">
        <v>24</v>
      </c>
      <c r="B29" s="140">
        <f t="shared" si="38"/>
        <v>6334</v>
      </c>
      <c r="C29" s="141">
        <v>6494</v>
      </c>
      <c r="D29" s="135">
        <f t="shared" si="9"/>
        <v>160</v>
      </c>
      <c r="E29" s="185"/>
      <c r="F29" s="140">
        <v>24</v>
      </c>
      <c r="G29" s="140">
        <f t="shared" si="39"/>
        <v>39787</v>
      </c>
      <c r="H29" s="141">
        <v>39864</v>
      </c>
      <c r="I29" s="135">
        <f t="shared" si="10"/>
        <v>77</v>
      </c>
      <c r="J29" s="185"/>
      <c r="K29" s="140">
        <v>24</v>
      </c>
      <c r="L29" s="140">
        <f t="shared" si="40"/>
        <v>848767</v>
      </c>
      <c r="M29" s="141">
        <v>848767</v>
      </c>
      <c r="N29" s="135">
        <f t="shared" si="11"/>
        <v>0</v>
      </c>
      <c r="O29" s="137"/>
      <c r="P29" s="140">
        <v>24</v>
      </c>
      <c r="Q29" s="140">
        <f t="shared" si="41"/>
        <v>246150</v>
      </c>
      <c r="R29" s="141">
        <v>246227</v>
      </c>
      <c r="S29" s="135">
        <f t="shared" si="12"/>
        <v>77</v>
      </c>
      <c r="T29" s="136"/>
      <c r="U29" s="138">
        <v>24</v>
      </c>
      <c r="V29" s="200">
        <f t="shared" si="13"/>
        <v>314</v>
      </c>
      <c r="W29" s="139">
        <f>'Maldives at LG Daily'!BP28</f>
        <v>38.799999999999997</v>
      </c>
      <c r="X29" s="158"/>
      <c r="Y29" s="314" t="e">
        <f t="shared" si="14"/>
        <v>#DIV/0!</v>
      </c>
      <c r="AA29" s="194">
        <v>24</v>
      </c>
      <c r="AB29" s="142">
        <f t="shared" si="42"/>
        <v>47581</v>
      </c>
      <c r="AC29" s="142">
        <v>47600</v>
      </c>
      <c r="AD29" s="142">
        <f t="shared" si="15"/>
        <v>19</v>
      </c>
      <c r="AE29" s="142">
        <f t="shared" si="99"/>
        <v>-2</v>
      </c>
      <c r="AF29" s="288"/>
      <c r="AG29" s="194">
        <f t="shared" si="43"/>
        <v>10664</v>
      </c>
      <c r="AH29" s="142">
        <v>10668</v>
      </c>
      <c r="AI29" s="142">
        <f t="shared" si="44"/>
        <v>4</v>
      </c>
      <c r="AJ29" s="142">
        <f t="shared" si="100"/>
        <v>-2</v>
      </c>
      <c r="AK29" s="142"/>
      <c r="AL29" s="194">
        <f t="shared" si="45"/>
        <v>10008</v>
      </c>
      <c r="AM29" s="142">
        <v>10017</v>
      </c>
      <c r="AN29" s="142">
        <f t="shared" si="16"/>
        <v>9</v>
      </c>
      <c r="AO29" s="142">
        <f t="shared" si="46"/>
        <v>-1</v>
      </c>
      <c r="AP29" s="142"/>
      <c r="AQ29" s="194">
        <f t="shared" si="47"/>
        <v>19463</v>
      </c>
      <c r="AR29" s="142">
        <v>19475</v>
      </c>
      <c r="AS29" s="142">
        <f t="shared" si="17"/>
        <v>12</v>
      </c>
      <c r="AT29" s="142">
        <f t="shared" si="48"/>
        <v>0</v>
      </c>
      <c r="AU29" s="142"/>
      <c r="AV29" s="194">
        <f t="shared" si="49"/>
        <v>35617</v>
      </c>
      <c r="AW29" s="142">
        <v>35625</v>
      </c>
      <c r="AX29" s="142">
        <f t="shared" si="18"/>
        <v>8</v>
      </c>
      <c r="AY29" s="142">
        <f t="shared" si="50"/>
        <v>-1</v>
      </c>
      <c r="AZ29" s="142"/>
      <c r="BA29" s="194">
        <f t="shared" si="51"/>
        <v>9382</v>
      </c>
      <c r="BB29" s="142">
        <v>9388</v>
      </c>
      <c r="BC29" s="142">
        <f t="shared" si="19"/>
        <v>6</v>
      </c>
      <c r="BD29" s="142">
        <f t="shared" si="52"/>
        <v>0</v>
      </c>
      <c r="BE29" s="142"/>
      <c r="BF29" s="194">
        <f t="shared" si="53"/>
        <v>26183</v>
      </c>
      <c r="BG29" s="142">
        <v>26188</v>
      </c>
      <c r="BH29" s="142">
        <f t="shared" si="20"/>
        <v>5</v>
      </c>
      <c r="BI29" s="142">
        <f t="shared" si="54"/>
        <v>-1</v>
      </c>
      <c r="BJ29" s="142"/>
      <c r="BK29" s="194">
        <f t="shared" si="55"/>
        <v>10183</v>
      </c>
      <c r="BL29" s="142">
        <v>10189</v>
      </c>
      <c r="BM29" s="142">
        <f t="shared" si="21"/>
        <v>6</v>
      </c>
      <c r="BN29" s="142">
        <f t="shared" si="56"/>
        <v>-1</v>
      </c>
      <c r="BO29" s="142"/>
      <c r="BP29" s="194">
        <f t="shared" si="57"/>
        <v>4202</v>
      </c>
      <c r="BQ29" s="142">
        <v>4210</v>
      </c>
      <c r="BR29" s="321">
        <f t="shared" si="22"/>
        <v>8</v>
      </c>
      <c r="BS29" s="142">
        <f t="shared" si="58"/>
        <v>8</v>
      </c>
      <c r="BT29" s="142"/>
      <c r="BU29" s="194">
        <f t="shared" si="59"/>
        <v>1870</v>
      </c>
      <c r="BV29" s="142">
        <v>1871</v>
      </c>
      <c r="BW29" s="142">
        <f t="shared" si="23"/>
        <v>1</v>
      </c>
      <c r="BX29" s="142">
        <f t="shared" si="60"/>
        <v>1</v>
      </c>
      <c r="BY29" s="142"/>
      <c r="BZ29" s="198">
        <f t="shared" si="61"/>
        <v>29246</v>
      </c>
      <c r="CA29" s="142">
        <v>29248</v>
      </c>
      <c r="CB29" s="321">
        <f t="shared" si="24"/>
        <v>2</v>
      </c>
      <c r="CC29" s="142">
        <f t="shared" si="62"/>
        <v>-2</v>
      </c>
      <c r="CD29" s="192"/>
      <c r="CE29" s="198">
        <f t="shared" si="63"/>
        <v>3528</v>
      </c>
      <c r="CF29" s="142">
        <v>3530</v>
      </c>
      <c r="CG29" s="142">
        <f t="shared" si="0"/>
        <v>2</v>
      </c>
      <c r="CH29" s="142">
        <f t="shared" si="64"/>
        <v>1</v>
      </c>
      <c r="CI29" s="192"/>
      <c r="CJ29" s="198">
        <f t="shared" si="65"/>
        <v>85597</v>
      </c>
      <c r="CK29" s="142">
        <v>85624</v>
      </c>
      <c r="CL29" s="142">
        <f t="shared" si="1"/>
        <v>27</v>
      </c>
      <c r="CM29" s="142">
        <f t="shared" si="66"/>
        <v>-3</v>
      </c>
      <c r="CN29" s="192"/>
      <c r="CO29" s="198">
        <f t="shared" si="67"/>
        <v>26175</v>
      </c>
      <c r="CP29" s="142">
        <v>26185</v>
      </c>
      <c r="CQ29" s="142">
        <f t="shared" si="2"/>
        <v>10</v>
      </c>
      <c r="CR29" s="142">
        <f t="shared" si="68"/>
        <v>-5</v>
      </c>
      <c r="CS29" s="192"/>
      <c r="CT29" s="198">
        <f t="shared" si="69"/>
        <v>12837</v>
      </c>
      <c r="CU29" s="142">
        <v>12838</v>
      </c>
      <c r="CV29" s="142">
        <f t="shared" si="3"/>
        <v>1</v>
      </c>
      <c r="CW29" s="142">
        <f t="shared" si="70"/>
        <v>0</v>
      </c>
      <c r="CX29" s="192"/>
      <c r="CY29" s="198">
        <f t="shared" si="71"/>
        <v>19791</v>
      </c>
      <c r="CZ29" s="142">
        <f>CZ28+5</f>
        <v>19796</v>
      </c>
      <c r="DA29" s="142">
        <f t="shared" si="4"/>
        <v>5</v>
      </c>
      <c r="DB29" s="142">
        <f t="shared" si="72"/>
        <v>0</v>
      </c>
      <c r="DC29" s="192"/>
      <c r="DD29" s="198">
        <f t="shared" si="73"/>
        <v>21033</v>
      </c>
      <c r="DE29" s="142">
        <v>21035</v>
      </c>
      <c r="DF29" s="142">
        <f t="shared" si="5"/>
        <v>2</v>
      </c>
      <c r="DG29" s="142">
        <f t="shared" si="74"/>
        <v>-3</v>
      </c>
      <c r="DH29" s="192"/>
      <c r="DI29" s="198">
        <f t="shared" si="75"/>
        <v>9956</v>
      </c>
      <c r="DJ29" s="142">
        <v>9959</v>
      </c>
      <c r="DK29" s="142">
        <f t="shared" si="6"/>
        <v>3</v>
      </c>
      <c r="DL29" s="142">
        <f t="shared" si="76"/>
        <v>0</v>
      </c>
      <c r="DM29" s="192"/>
      <c r="DN29" s="198">
        <f t="shared" si="77"/>
        <v>26683</v>
      </c>
      <c r="DO29" s="142">
        <f t="shared" si="104"/>
        <v>26698</v>
      </c>
      <c r="DP29" s="142">
        <f t="shared" si="7"/>
        <v>15</v>
      </c>
      <c r="DQ29" s="142">
        <f t="shared" si="78"/>
        <v>0</v>
      </c>
      <c r="DR29" s="192"/>
      <c r="DS29" s="198">
        <f t="shared" si="79"/>
        <v>2803</v>
      </c>
      <c r="DT29" s="142">
        <v>2804</v>
      </c>
      <c r="DU29" s="142">
        <f t="shared" si="8"/>
        <v>1</v>
      </c>
      <c r="DV29" s="142">
        <f t="shared" si="80"/>
        <v>0</v>
      </c>
      <c r="DW29" s="192"/>
      <c r="DX29" s="198">
        <f t="shared" si="81"/>
        <v>99</v>
      </c>
      <c r="DY29" s="142">
        <v>100</v>
      </c>
      <c r="DZ29" s="142">
        <f t="shared" si="82"/>
        <v>1</v>
      </c>
      <c r="EA29" s="142">
        <f t="shared" si="83"/>
        <v>-1</v>
      </c>
      <c r="EB29" s="192"/>
      <c r="EC29" s="198">
        <f t="shared" si="105"/>
        <v>0</v>
      </c>
      <c r="ED29" s="142"/>
      <c r="EE29" s="192">
        <f t="shared" si="25"/>
        <v>0</v>
      </c>
      <c r="EF29" s="198">
        <f t="shared" si="101"/>
        <v>0</v>
      </c>
      <c r="EG29" s="142"/>
      <c r="EH29" s="192">
        <f t="shared" si="26"/>
        <v>0</v>
      </c>
      <c r="EI29" s="198">
        <f t="shared" si="102"/>
        <v>0</v>
      </c>
      <c r="EJ29" s="142"/>
      <c r="EK29" s="192">
        <f t="shared" si="27"/>
        <v>0</v>
      </c>
      <c r="EL29" s="198">
        <f t="shared" si="103"/>
        <v>0</v>
      </c>
      <c r="EM29" s="142"/>
      <c r="EN29" s="192">
        <f t="shared" si="28"/>
        <v>0</v>
      </c>
      <c r="EO29" s="198">
        <f t="shared" si="88"/>
        <v>0</v>
      </c>
      <c r="EP29" s="142"/>
      <c r="EQ29" s="192">
        <f t="shared" si="29"/>
        <v>0</v>
      </c>
      <c r="ER29" s="198">
        <f t="shared" si="89"/>
        <v>0</v>
      </c>
      <c r="ES29" s="142"/>
      <c r="ET29" s="192">
        <f t="shared" si="30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1"/>
        <v>0</v>
      </c>
      <c r="FA29" s="198">
        <f t="shared" si="93"/>
        <v>0</v>
      </c>
      <c r="FB29" s="142"/>
      <c r="FC29" s="192">
        <f t="shared" si="32"/>
        <v>0</v>
      </c>
      <c r="FD29" s="198">
        <f t="shared" si="94"/>
        <v>0</v>
      </c>
      <c r="FE29" s="142"/>
      <c r="FF29" s="192">
        <f t="shared" si="33"/>
        <v>0</v>
      </c>
      <c r="FG29" s="198">
        <f t="shared" si="95"/>
        <v>0</v>
      </c>
      <c r="FH29" s="142"/>
      <c r="FI29" s="192">
        <f t="shared" si="34"/>
        <v>0</v>
      </c>
      <c r="FJ29" s="198">
        <f t="shared" si="96"/>
        <v>0</v>
      </c>
      <c r="FK29" s="142"/>
      <c r="FL29" s="192">
        <f t="shared" si="35"/>
        <v>0</v>
      </c>
      <c r="FM29" s="198">
        <f t="shared" si="97"/>
        <v>0</v>
      </c>
      <c r="FN29" s="142"/>
      <c r="FO29" s="192">
        <f t="shared" si="36"/>
        <v>0</v>
      </c>
      <c r="FP29" s="198">
        <f t="shared" si="98"/>
        <v>0</v>
      </c>
      <c r="FQ29" s="142"/>
      <c r="FR29" s="192">
        <f t="shared" si="37"/>
        <v>0</v>
      </c>
    </row>
    <row r="30" spans="1:174" ht="15" customHeight="1" x14ac:dyDescent="0.2">
      <c r="A30" s="140">
        <v>25</v>
      </c>
      <c r="B30" s="140">
        <f t="shared" si="38"/>
        <v>6494</v>
      </c>
      <c r="C30" s="143">
        <v>6688</v>
      </c>
      <c r="D30" s="135">
        <f t="shared" si="9"/>
        <v>194</v>
      </c>
      <c r="E30" s="185"/>
      <c r="F30" s="140">
        <v>25</v>
      </c>
      <c r="G30" s="140">
        <f t="shared" si="39"/>
        <v>39864</v>
      </c>
      <c r="H30" s="143">
        <v>39953</v>
      </c>
      <c r="I30" s="135">
        <f t="shared" si="10"/>
        <v>89</v>
      </c>
      <c r="J30" s="185"/>
      <c r="K30" s="140">
        <v>25</v>
      </c>
      <c r="L30" s="140">
        <f t="shared" si="40"/>
        <v>848767</v>
      </c>
      <c r="M30" s="143">
        <v>848768</v>
      </c>
      <c r="N30" s="135">
        <f t="shared" si="11"/>
        <v>1</v>
      </c>
      <c r="O30" s="137"/>
      <c r="P30" s="140">
        <v>25</v>
      </c>
      <c r="Q30" s="140">
        <f t="shared" si="41"/>
        <v>246227</v>
      </c>
      <c r="R30" s="143">
        <v>246291</v>
      </c>
      <c r="S30" s="135">
        <f t="shared" si="12"/>
        <v>64</v>
      </c>
      <c r="T30" s="136"/>
      <c r="U30" s="138">
        <v>25</v>
      </c>
      <c r="V30" s="200">
        <f t="shared" si="13"/>
        <v>348</v>
      </c>
      <c r="W30" s="139">
        <f>'Maldives at LG Daily'!BP29</f>
        <v>39.799999999999997</v>
      </c>
      <c r="X30" s="158"/>
      <c r="Y30" s="314" t="e">
        <f t="shared" si="14"/>
        <v>#DIV/0!</v>
      </c>
      <c r="AA30" s="194">
        <v>25</v>
      </c>
      <c r="AB30" s="142">
        <f t="shared" si="42"/>
        <v>47600</v>
      </c>
      <c r="AC30" s="142">
        <v>47621</v>
      </c>
      <c r="AD30" s="142">
        <f t="shared" si="15"/>
        <v>21</v>
      </c>
      <c r="AE30" s="142">
        <f t="shared" si="99"/>
        <v>2</v>
      </c>
      <c r="AF30" s="288"/>
      <c r="AG30" s="194">
        <f t="shared" si="43"/>
        <v>10668</v>
      </c>
      <c r="AH30" s="142">
        <v>10674</v>
      </c>
      <c r="AI30" s="142">
        <f t="shared" si="44"/>
        <v>6</v>
      </c>
      <c r="AJ30" s="142">
        <f t="shared" si="100"/>
        <v>2</v>
      </c>
      <c r="AK30" s="142"/>
      <c r="AL30" s="194">
        <f t="shared" si="45"/>
        <v>10017</v>
      </c>
      <c r="AM30" s="142">
        <v>10026</v>
      </c>
      <c r="AN30" s="142">
        <f t="shared" si="16"/>
        <v>9</v>
      </c>
      <c r="AO30" s="142">
        <f t="shared" si="46"/>
        <v>0</v>
      </c>
      <c r="AP30" s="142"/>
      <c r="AQ30" s="194">
        <f t="shared" si="47"/>
        <v>19475</v>
      </c>
      <c r="AR30" s="142">
        <v>19488</v>
      </c>
      <c r="AS30" s="142">
        <f t="shared" si="17"/>
        <v>13</v>
      </c>
      <c r="AT30" s="142">
        <f t="shared" si="48"/>
        <v>1</v>
      </c>
      <c r="AU30" s="142"/>
      <c r="AV30" s="194">
        <f t="shared" si="49"/>
        <v>35625</v>
      </c>
      <c r="AW30" s="142">
        <v>35633</v>
      </c>
      <c r="AX30" s="142">
        <f t="shared" si="18"/>
        <v>8</v>
      </c>
      <c r="AY30" s="142">
        <f t="shared" si="50"/>
        <v>0</v>
      </c>
      <c r="AZ30" s="142"/>
      <c r="BA30" s="194">
        <f t="shared" si="51"/>
        <v>9388</v>
      </c>
      <c r="BB30" s="142">
        <v>9396</v>
      </c>
      <c r="BC30" s="142">
        <f t="shared" si="19"/>
        <v>8</v>
      </c>
      <c r="BD30" s="142">
        <f t="shared" si="52"/>
        <v>2</v>
      </c>
      <c r="BE30" s="142"/>
      <c r="BF30" s="194">
        <f t="shared" si="53"/>
        <v>26188</v>
      </c>
      <c r="BG30" s="142">
        <v>26193</v>
      </c>
      <c r="BH30" s="142">
        <f t="shared" si="20"/>
        <v>5</v>
      </c>
      <c r="BI30" s="142">
        <f t="shared" si="54"/>
        <v>0</v>
      </c>
      <c r="BJ30" s="142"/>
      <c r="BK30" s="194">
        <f t="shared" si="55"/>
        <v>10189</v>
      </c>
      <c r="BL30" s="142">
        <v>10197</v>
      </c>
      <c r="BM30" s="142">
        <f t="shared" si="21"/>
        <v>8</v>
      </c>
      <c r="BN30" s="142">
        <f t="shared" si="56"/>
        <v>2</v>
      </c>
      <c r="BO30" s="142"/>
      <c r="BP30" s="194">
        <f t="shared" si="57"/>
        <v>4210</v>
      </c>
      <c r="BQ30" s="142">
        <v>4213</v>
      </c>
      <c r="BR30" s="321">
        <f t="shared" si="22"/>
        <v>3</v>
      </c>
      <c r="BS30" s="142">
        <f t="shared" si="58"/>
        <v>-5</v>
      </c>
      <c r="BT30" s="142"/>
      <c r="BU30" s="194">
        <f t="shared" si="59"/>
        <v>1871</v>
      </c>
      <c r="BV30" s="142">
        <v>1871</v>
      </c>
      <c r="BW30" s="142">
        <f t="shared" si="23"/>
        <v>0</v>
      </c>
      <c r="BX30" s="142">
        <f t="shared" si="60"/>
        <v>-1</v>
      </c>
      <c r="BY30" s="142"/>
      <c r="BZ30" s="198">
        <f t="shared" si="61"/>
        <v>29248</v>
      </c>
      <c r="CA30" s="142">
        <v>29249</v>
      </c>
      <c r="CB30" s="321">
        <f t="shared" si="24"/>
        <v>1</v>
      </c>
      <c r="CC30" s="142">
        <f t="shared" si="62"/>
        <v>-1</v>
      </c>
      <c r="CD30" s="192"/>
      <c r="CE30" s="198">
        <f t="shared" si="63"/>
        <v>3530</v>
      </c>
      <c r="CF30" s="142">
        <v>3534</v>
      </c>
      <c r="CG30" s="142">
        <f t="shared" si="0"/>
        <v>4</v>
      </c>
      <c r="CH30" s="142">
        <f t="shared" si="64"/>
        <v>2</v>
      </c>
      <c r="CI30" s="192"/>
      <c r="CJ30" s="198">
        <f t="shared" si="65"/>
        <v>85624</v>
      </c>
      <c r="CK30" s="142">
        <v>85651</v>
      </c>
      <c r="CL30" s="142">
        <f t="shared" si="1"/>
        <v>27</v>
      </c>
      <c r="CM30" s="142">
        <f t="shared" si="66"/>
        <v>0</v>
      </c>
      <c r="CN30" s="192"/>
      <c r="CO30" s="198">
        <f t="shared" si="67"/>
        <v>26185</v>
      </c>
      <c r="CP30" s="142">
        <v>26195</v>
      </c>
      <c r="CQ30" s="142">
        <f t="shared" si="2"/>
        <v>10</v>
      </c>
      <c r="CR30" s="142">
        <f t="shared" si="68"/>
        <v>0</v>
      </c>
      <c r="CS30" s="192"/>
      <c r="CT30" s="198">
        <f t="shared" si="69"/>
        <v>12838</v>
      </c>
      <c r="CU30" s="142">
        <v>12839</v>
      </c>
      <c r="CV30" s="142">
        <f t="shared" si="3"/>
        <v>1</v>
      </c>
      <c r="CW30" s="142">
        <f t="shared" si="70"/>
        <v>0</v>
      </c>
      <c r="CX30" s="192"/>
      <c r="CY30" s="198">
        <f t="shared" si="71"/>
        <v>19796</v>
      </c>
      <c r="CZ30" s="142">
        <f>CZ29+3</f>
        <v>19799</v>
      </c>
      <c r="DA30" s="142">
        <f t="shared" si="4"/>
        <v>3</v>
      </c>
      <c r="DB30" s="142">
        <f t="shared" si="72"/>
        <v>-2</v>
      </c>
      <c r="DC30" s="192"/>
      <c r="DD30" s="198">
        <f t="shared" si="73"/>
        <v>21035</v>
      </c>
      <c r="DE30" s="142">
        <v>21040</v>
      </c>
      <c r="DF30" s="142">
        <f t="shared" si="5"/>
        <v>5</v>
      </c>
      <c r="DG30" s="142">
        <f t="shared" si="74"/>
        <v>3</v>
      </c>
      <c r="DH30" s="192"/>
      <c r="DI30" s="198">
        <f t="shared" si="75"/>
        <v>9959</v>
      </c>
      <c r="DJ30" s="142">
        <v>9961</v>
      </c>
      <c r="DK30" s="142">
        <f t="shared" si="6"/>
        <v>2</v>
      </c>
      <c r="DL30" s="142">
        <f t="shared" si="76"/>
        <v>-1</v>
      </c>
      <c r="DM30" s="192"/>
      <c r="DN30" s="198">
        <f t="shared" si="77"/>
        <v>26698</v>
      </c>
      <c r="DO30" s="142">
        <f t="shared" si="104"/>
        <v>26713</v>
      </c>
      <c r="DP30" s="142">
        <f>DO30-DN30</f>
        <v>15</v>
      </c>
      <c r="DQ30" s="142">
        <f t="shared" si="78"/>
        <v>0</v>
      </c>
      <c r="DR30" s="192"/>
      <c r="DS30" s="198">
        <f t="shared" si="79"/>
        <v>2804</v>
      </c>
      <c r="DT30" s="142">
        <v>2806</v>
      </c>
      <c r="DU30" s="142">
        <f t="shared" si="8"/>
        <v>2</v>
      </c>
      <c r="DV30" s="142">
        <f t="shared" si="80"/>
        <v>1</v>
      </c>
      <c r="DW30" s="192"/>
      <c r="DX30" s="198">
        <f t="shared" si="81"/>
        <v>100</v>
      </c>
      <c r="DY30" s="142">
        <v>100</v>
      </c>
      <c r="DZ30" s="142">
        <f t="shared" si="82"/>
        <v>0</v>
      </c>
      <c r="EA30" s="142">
        <f t="shared" si="83"/>
        <v>-1</v>
      </c>
      <c r="EB30" s="192"/>
      <c r="EC30" s="198">
        <f t="shared" si="105"/>
        <v>0</v>
      </c>
      <c r="ED30" s="142"/>
      <c r="EE30" s="192">
        <f t="shared" si="25"/>
        <v>0</v>
      </c>
      <c r="EF30" s="198">
        <f t="shared" si="101"/>
        <v>0</v>
      </c>
      <c r="EG30" s="142"/>
      <c r="EH30" s="192">
        <f t="shared" si="26"/>
        <v>0</v>
      </c>
      <c r="EI30" s="198">
        <f t="shared" si="102"/>
        <v>0</v>
      </c>
      <c r="EJ30" s="142"/>
      <c r="EK30" s="192">
        <f t="shared" si="27"/>
        <v>0</v>
      </c>
      <c r="EL30" s="198">
        <f t="shared" si="103"/>
        <v>0</v>
      </c>
      <c r="EM30" s="142"/>
      <c r="EN30" s="192">
        <f t="shared" si="28"/>
        <v>0</v>
      </c>
      <c r="EO30" s="198">
        <f t="shared" si="88"/>
        <v>0</v>
      </c>
      <c r="EP30" s="142"/>
      <c r="EQ30" s="192">
        <f t="shared" si="29"/>
        <v>0</v>
      </c>
      <c r="ER30" s="198">
        <f t="shared" si="89"/>
        <v>0</v>
      </c>
      <c r="ES30" s="142"/>
      <c r="ET30" s="192">
        <f t="shared" si="30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1"/>
        <v>0</v>
      </c>
      <c r="FA30" s="198">
        <f t="shared" si="93"/>
        <v>0</v>
      </c>
      <c r="FB30" s="142"/>
      <c r="FC30" s="192">
        <f t="shared" si="32"/>
        <v>0</v>
      </c>
      <c r="FD30" s="198">
        <f t="shared" si="94"/>
        <v>0</v>
      </c>
      <c r="FE30" s="142"/>
      <c r="FF30" s="192">
        <f t="shared" si="33"/>
        <v>0</v>
      </c>
      <c r="FG30" s="198">
        <f t="shared" si="95"/>
        <v>0</v>
      </c>
      <c r="FH30" s="142"/>
      <c r="FI30" s="192">
        <f t="shared" si="34"/>
        <v>0</v>
      </c>
      <c r="FJ30" s="198">
        <f t="shared" si="96"/>
        <v>0</v>
      </c>
      <c r="FK30" s="142"/>
      <c r="FL30" s="192">
        <f t="shared" si="35"/>
        <v>0</v>
      </c>
      <c r="FM30" s="198">
        <f t="shared" si="97"/>
        <v>0</v>
      </c>
      <c r="FN30" s="142"/>
      <c r="FO30" s="192">
        <f t="shared" si="36"/>
        <v>0</v>
      </c>
      <c r="FP30" s="198">
        <f t="shared" si="98"/>
        <v>0</v>
      </c>
      <c r="FQ30" s="142"/>
      <c r="FR30" s="192">
        <f t="shared" si="37"/>
        <v>0</v>
      </c>
    </row>
    <row r="31" spans="1:174" ht="15" customHeight="1" x14ac:dyDescent="0.2">
      <c r="A31" s="140">
        <v>26</v>
      </c>
      <c r="B31" s="140">
        <f t="shared" si="38"/>
        <v>6688</v>
      </c>
      <c r="C31" s="141">
        <v>6885</v>
      </c>
      <c r="D31" s="135">
        <f t="shared" si="9"/>
        <v>197</v>
      </c>
      <c r="E31" s="185"/>
      <c r="F31" s="140">
        <v>26</v>
      </c>
      <c r="G31" s="140">
        <f t="shared" si="39"/>
        <v>39953</v>
      </c>
      <c r="H31" s="141">
        <v>39983</v>
      </c>
      <c r="I31" s="135">
        <f t="shared" si="10"/>
        <v>30</v>
      </c>
      <c r="J31" s="185"/>
      <c r="K31" s="140">
        <v>26</v>
      </c>
      <c r="L31" s="140">
        <f t="shared" si="40"/>
        <v>848768</v>
      </c>
      <c r="M31" s="141">
        <v>848768</v>
      </c>
      <c r="N31" s="135">
        <f t="shared" si="11"/>
        <v>0</v>
      </c>
      <c r="O31" s="137"/>
      <c r="P31" s="140">
        <v>26</v>
      </c>
      <c r="Q31" s="140">
        <f t="shared" si="41"/>
        <v>246291</v>
      </c>
      <c r="R31" s="141">
        <v>246395</v>
      </c>
      <c r="S31" s="135">
        <f t="shared" si="12"/>
        <v>104</v>
      </c>
      <c r="T31" s="136"/>
      <c r="U31" s="140">
        <v>26</v>
      </c>
      <c r="V31" s="201">
        <f t="shared" si="13"/>
        <v>331</v>
      </c>
      <c r="W31" s="139">
        <f>'Maldives at LG Daily'!BP30</f>
        <v>38.799999999999997</v>
      </c>
      <c r="X31" s="158"/>
      <c r="Y31" s="314" t="e">
        <f t="shared" si="14"/>
        <v>#DIV/0!</v>
      </c>
      <c r="AA31" s="194">
        <v>26</v>
      </c>
      <c r="AB31" s="142">
        <f t="shared" si="42"/>
        <v>47621</v>
      </c>
      <c r="AC31" s="142">
        <v>47637</v>
      </c>
      <c r="AD31" s="142">
        <f t="shared" si="15"/>
        <v>16</v>
      </c>
      <c r="AE31" s="142">
        <f t="shared" si="99"/>
        <v>-5</v>
      </c>
      <c r="AF31" s="288"/>
      <c r="AG31" s="194">
        <f t="shared" si="43"/>
        <v>10674</v>
      </c>
      <c r="AH31" s="142">
        <v>10681</v>
      </c>
      <c r="AI31" s="142">
        <f t="shared" si="44"/>
        <v>7</v>
      </c>
      <c r="AJ31" s="142">
        <f t="shared" si="100"/>
        <v>1</v>
      </c>
      <c r="AK31" s="142"/>
      <c r="AL31" s="194">
        <f t="shared" si="45"/>
        <v>10026</v>
      </c>
      <c r="AM31" s="142">
        <v>10035</v>
      </c>
      <c r="AN31" s="142">
        <f t="shared" si="16"/>
        <v>9</v>
      </c>
      <c r="AO31" s="142">
        <f t="shared" si="46"/>
        <v>0</v>
      </c>
      <c r="AP31" s="142"/>
      <c r="AQ31" s="194">
        <f t="shared" si="47"/>
        <v>19488</v>
      </c>
      <c r="AR31" s="142">
        <v>19499</v>
      </c>
      <c r="AS31" s="142">
        <f t="shared" si="17"/>
        <v>11</v>
      </c>
      <c r="AT31" s="142">
        <f t="shared" si="48"/>
        <v>-2</v>
      </c>
      <c r="AU31" s="142"/>
      <c r="AV31" s="194">
        <f t="shared" si="49"/>
        <v>35633</v>
      </c>
      <c r="AW31" s="142">
        <v>35641</v>
      </c>
      <c r="AX31" s="142">
        <f t="shared" si="18"/>
        <v>8</v>
      </c>
      <c r="AY31" s="142">
        <f t="shared" si="50"/>
        <v>0</v>
      </c>
      <c r="AZ31" s="142"/>
      <c r="BA31" s="194">
        <f t="shared" si="51"/>
        <v>9396</v>
      </c>
      <c r="BB31" s="142">
        <v>9402</v>
      </c>
      <c r="BC31" s="142">
        <f t="shared" si="19"/>
        <v>6</v>
      </c>
      <c r="BD31" s="142">
        <f t="shared" si="52"/>
        <v>-2</v>
      </c>
      <c r="BE31" s="142"/>
      <c r="BF31" s="194">
        <f t="shared" si="53"/>
        <v>26193</v>
      </c>
      <c r="BG31" s="142">
        <v>26198</v>
      </c>
      <c r="BH31" s="142">
        <f t="shared" si="20"/>
        <v>5</v>
      </c>
      <c r="BI31" s="142">
        <f t="shared" si="54"/>
        <v>0</v>
      </c>
      <c r="BJ31" s="142"/>
      <c r="BK31" s="194">
        <f t="shared" si="55"/>
        <v>10197</v>
      </c>
      <c r="BL31" s="142">
        <v>10204</v>
      </c>
      <c r="BM31" s="142">
        <f t="shared" si="21"/>
        <v>7</v>
      </c>
      <c r="BN31" s="142">
        <f t="shared" si="56"/>
        <v>-1</v>
      </c>
      <c r="BO31" s="142"/>
      <c r="BP31" s="194">
        <f t="shared" si="57"/>
        <v>4213</v>
      </c>
      <c r="BQ31" s="142">
        <v>4214</v>
      </c>
      <c r="BR31" s="321">
        <f t="shared" si="22"/>
        <v>1</v>
      </c>
      <c r="BS31" s="142">
        <f t="shared" si="58"/>
        <v>-2</v>
      </c>
      <c r="BT31" s="142"/>
      <c r="BU31" s="194">
        <f t="shared" si="59"/>
        <v>1871</v>
      </c>
      <c r="BV31" s="142">
        <v>1871</v>
      </c>
      <c r="BW31" s="142">
        <f t="shared" si="23"/>
        <v>0</v>
      </c>
      <c r="BX31" s="142">
        <f t="shared" si="60"/>
        <v>0</v>
      </c>
      <c r="BY31" s="142"/>
      <c r="BZ31" s="198">
        <f t="shared" si="61"/>
        <v>29249</v>
      </c>
      <c r="CA31" s="142">
        <v>29253</v>
      </c>
      <c r="CB31" s="321">
        <f t="shared" si="24"/>
        <v>4</v>
      </c>
      <c r="CC31" s="142">
        <f t="shared" si="62"/>
        <v>3</v>
      </c>
      <c r="CD31" s="192"/>
      <c r="CE31" s="198">
        <f t="shared" si="63"/>
        <v>3534</v>
      </c>
      <c r="CF31" s="142">
        <v>3536</v>
      </c>
      <c r="CG31" s="142">
        <f t="shared" si="0"/>
        <v>2</v>
      </c>
      <c r="CH31" s="142">
        <f t="shared" si="64"/>
        <v>-2</v>
      </c>
      <c r="CI31" s="192"/>
      <c r="CJ31" s="198">
        <f t="shared" si="65"/>
        <v>85651</v>
      </c>
      <c r="CK31" s="142">
        <v>85676</v>
      </c>
      <c r="CL31" s="142">
        <f t="shared" si="1"/>
        <v>25</v>
      </c>
      <c r="CM31" s="142">
        <f t="shared" si="66"/>
        <v>-2</v>
      </c>
      <c r="CN31" s="192"/>
      <c r="CO31" s="198">
        <f t="shared" si="67"/>
        <v>26195</v>
      </c>
      <c r="CP31" s="142">
        <v>26195</v>
      </c>
      <c r="CQ31" s="142">
        <f t="shared" si="2"/>
        <v>0</v>
      </c>
      <c r="CR31" s="142">
        <f t="shared" si="68"/>
        <v>-10</v>
      </c>
      <c r="CS31" s="192"/>
      <c r="CT31" s="198">
        <f t="shared" si="69"/>
        <v>12839</v>
      </c>
      <c r="CU31" s="142">
        <v>12839</v>
      </c>
      <c r="CV31" s="142">
        <f t="shared" si="3"/>
        <v>0</v>
      </c>
      <c r="CW31" s="142">
        <f t="shared" si="70"/>
        <v>-1</v>
      </c>
      <c r="CX31" s="192"/>
      <c r="CY31" s="198">
        <f t="shared" si="71"/>
        <v>19799</v>
      </c>
      <c r="CZ31" s="142">
        <f>CZ30+3</f>
        <v>19802</v>
      </c>
      <c r="DA31" s="142">
        <f t="shared" si="4"/>
        <v>3</v>
      </c>
      <c r="DB31" s="142">
        <f t="shared" si="72"/>
        <v>0</v>
      </c>
      <c r="DC31" s="192"/>
      <c r="DD31" s="198">
        <f t="shared" si="73"/>
        <v>21040</v>
      </c>
      <c r="DE31" s="142">
        <v>21042</v>
      </c>
      <c r="DF31" s="142">
        <f t="shared" si="5"/>
        <v>2</v>
      </c>
      <c r="DG31" s="142">
        <f t="shared" si="74"/>
        <v>-3</v>
      </c>
      <c r="DH31" s="192"/>
      <c r="DI31" s="198">
        <f t="shared" si="75"/>
        <v>9961</v>
      </c>
      <c r="DJ31" s="142">
        <v>9962</v>
      </c>
      <c r="DK31" s="142">
        <f t="shared" si="6"/>
        <v>1</v>
      </c>
      <c r="DL31" s="142">
        <f t="shared" si="76"/>
        <v>-1</v>
      </c>
      <c r="DM31" s="192"/>
      <c r="DN31" s="198">
        <f t="shared" si="77"/>
        <v>26713</v>
      </c>
      <c r="DO31" s="142">
        <f>DO30+15</f>
        <v>26728</v>
      </c>
      <c r="DP31" s="142">
        <f>DO31-DN31</f>
        <v>15</v>
      </c>
      <c r="DQ31" s="142">
        <f t="shared" si="78"/>
        <v>0</v>
      </c>
      <c r="DR31" s="192"/>
      <c r="DS31" s="198">
        <f t="shared" si="79"/>
        <v>2806</v>
      </c>
      <c r="DT31" s="142">
        <v>2807</v>
      </c>
      <c r="DU31" s="142">
        <f t="shared" si="8"/>
        <v>1</v>
      </c>
      <c r="DV31" s="142">
        <f t="shared" si="80"/>
        <v>-1</v>
      </c>
      <c r="DW31" s="192"/>
      <c r="DX31" s="198">
        <f t="shared" si="81"/>
        <v>100</v>
      </c>
      <c r="DY31" s="142">
        <v>102</v>
      </c>
      <c r="DZ31" s="142">
        <f t="shared" si="82"/>
        <v>2</v>
      </c>
      <c r="EA31" s="142">
        <f t="shared" si="83"/>
        <v>2</v>
      </c>
      <c r="EB31" s="192"/>
      <c r="EC31" s="198">
        <f t="shared" si="105"/>
        <v>0</v>
      </c>
      <c r="ED31" s="142"/>
      <c r="EE31" s="192">
        <f t="shared" si="25"/>
        <v>0</v>
      </c>
      <c r="EF31" s="198">
        <f t="shared" si="101"/>
        <v>0</v>
      </c>
      <c r="EG31" s="142"/>
      <c r="EH31" s="192">
        <f t="shared" si="26"/>
        <v>0</v>
      </c>
      <c r="EI31" s="198">
        <f t="shared" si="102"/>
        <v>0</v>
      </c>
      <c r="EJ31" s="142"/>
      <c r="EK31" s="192">
        <f t="shared" si="27"/>
        <v>0</v>
      </c>
      <c r="EL31" s="198">
        <f t="shared" si="103"/>
        <v>0</v>
      </c>
      <c r="EM31" s="142"/>
      <c r="EN31" s="192">
        <f t="shared" si="28"/>
        <v>0</v>
      </c>
      <c r="EO31" s="198">
        <f t="shared" si="88"/>
        <v>0</v>
      </c>
      <c r="EP31" s="142"/>
      <c r="EQ31" s="192">
        <f t="shared" si="29"/>
        <v>0</v>
      </c>
      <c r="ER31" s="198">
        <f t="shared" si="89"/>
        <v>0</v>
      </c>
      <c r="ES31" s="142"/>
      <c r="ET31" s="192">
        <f t="shared" si="30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1"/>
        <v>0</v>
      </c>
      <c r="FA31" s="198">
        <f t="shared" si="93"/>
        <v>0</v>
      </c>
      <c r="FB31" s="142"/>
      <c r="FC31" s="192">
        <f t="shared" si="32"/>
        <v>0</v>
      </c>
      <c r="FD31" s="198">
        <f t="shared" si="94"/>
        <v>0</v>
      </c>
      <c r="FE31" s="142"/>
      <c r="FF31" s="192">
        <f t="shared" si="33"/>
        <v>0</v>
      </c>
      <c r="FG31" s="198">
        <f t="shared" si="95"/>
        <v>0</v>
      </c>
      <c r="FH31" s="142"/>
      <c r="FI31" s="192">
        <f t="shared" si="34"/>
        <v>0</v>
      </c>
      <c r="FJ31" s="198">
        <f t="shared" si="96"/>
        <v>0</v>
      </c>
      <c r="FK31" s="142"/>
      <c r="FL31" s="192">
        <f t="shared" si="35"/>
        <v>0</v>
      </c>
      <c r="FM31" s="198">
        <f t="shared" si="97"/>
        <v>0</v>
      </c>
      <c r="FN31" s="142"/>
      <c r="FO31" s="192">
        <f t="shared" si="36"/>
        <v>0</v>
      </c>
      <c r="FP31" s="198">
        <f t="shared" si="98"/>
        <v>0</v>
      </c>
      <c r="FQ31" s="142"/>
      <c r="FR31" s="192">
        <f t="shared" si="37"/>
        <v>0</v>
      </c>
    </row>
    <row r="32" spans="1:174" ht="15" customHeight="1" x14ac:dyDescent="0.2">
      <c r="A32" s="140">
        <v>27</v>
      </c>
      <c r="B32" s="140">
        <f t="shared" si="38"/>
        <v>6885</v>
      </c>
      <c r="C32" s="141">
        <v>7066</v>
      </c>
      <c r="D32" s="135">
        <f t="shared" si="9"/>
        <v>181</v>
      </c>
      <c r="E32" s="185"/>
      <c r="F32" s="140">
        <v>27</v>
      </c>
      <c r="G32" s="140">
        <f t="shared" si="39"/>
        <v>39983</v>
      </c>
      <c r="H32" s="141">
        <v>40038</v>
      </c>
      <c r="I32" s="135">
        <f t="shared" si="10"/>
        <v>55</v>
      </c>
      <c r="J32" s="185"/>
      <c r="K32" s="140">
        <v>27</v>
      </c>
      <c r="L32" s="140">
        <f t="shared" si="40"/>
        <v>848768</v>
      </c>
      <c r="M32" s="141">
        <v>848768</v>
      </c>
      <c r="N32" s="135">
        <f t="shared" si="11"/>
        <v>0</v>
      </c>
      <c r="O32" s="137"/>
      <c r="P32" s="140">
        <v>27</v>
      </c>
      <c r="Q32" s="140">
        <f t="shared" si="41"/>
        <v>246395</v>
      </c>
      <c r="R32" s="141">
        <v>246506</v>
      </c>
      <c r="S32" s="135">
        <f t="shared" si="12"/>
        <v>111</v>
      </c>
      <c r="T32" s="136"/>
      <c r="U32" s="138">
        <v>27</v>
      </c>
      <c r="V32" s="200">
        <f t="shared" si="13"/>
        <v>347</v>
      </c>
      <c r="W32" s="139">
        <f>'Maldives at LG Daily'!BP31</f>
        <v>35</v>
      </c>
      <c r="X32" s="158"/>
      <c r="Y32" s="314" t="e">
        <f t="shared" si="14"/>
        <v>#DIV/0!</v>
      </c>
      <c r="AA32" s="194">
        <v>27</v>
      </c>
      <c r="AB32" s="142">
        <f t="shared" si="42"/>
        <v>47637</v>
      </c>
      <c r="AC32" s="142">
        <v>47660</v>
      </c>
      <c r="AD32" s="142">
        <f t="shared" si="15"/>
        <v>23</v>
      </c>
      <c r="AE32" s="142">
        <f t="shared" si="99"/>
        <v>7</v>
      </c>
      <c r="AF32" s="288"/>
      <c r="AG32" s="194">
        <f t="shared" si="43"/>
        <v>10681</v>
      </c>
      <c r="AH32" s="142">
        <v>10684</v>
      </c>
      <c r="AI32" s="142">
        <f t="shared" si="44"/>
        <v>3</v>
      </c>
      <c r="AJ32" s="142">
        <f t="shared" si="100"/>
        <v>-4</v>
      </c>
      <c r="AK32" s="142"/>
      <c r="AL32" s="194">
        <f t="shared" si="45"/>
        <v>10035</v>
      </c>
      <c r="AM32" s="142">
        <v>10044</v>
      </c>
      <c r="AN32" s="142">
        <f t="shared" si="16"/>
        <v>9</v>
      </c>
      <c r="AO32" s="142">
        <f t="shared" si="46"/>
        <v>0</v>
      </c>
      <c r="AP32" s="142"/>
      <c r="AQ32" s="194">
        <f t="shared" si="47"/>
        <v>19499</v>
      </c>
      <c r="AR32" s="142">
        <v>19510</v>
      </c>
      <c r="AS32" s="142">
        <f t="shared" si="17"/>
        <v>11</v>
      </c>
      <c r="AT32" s="142">
        <f t="shared" si="48"/>
        <v>0</v>
      </c>
      <c r="AU32" s="142"/>
      <c r="AV32" s="194">
        <f t="shared" si="49"/>
        <v>35641</v>
      </c>
      <c r="AW32" s="142">
        <v>35649</v>
      </c>
      <c r="AX32" s="142">
        <f t="shared" si="18"/>
        <v>8</v>
      </c>
      <c r="AY32" s="142">
        <f t="shared" si="50"/>
        <v>0</v>
      </c>
      <c r="AZ32" s="142"/>
      <c r="BA32" s="194">
        <f t="shared" si="51"/>
        <v>9402</v>
      </c>
      <c r="BB32" s="142">
        <v>9408</v>
      </c>
      <c r="BC32" s="142">
        <f t="shared" si="19"/>
        <v>6</v>
      </c>
      <c r="BD32" s="142">
        <f t="shared" si="52"/>
        <v>0</v>
      </c>
      <c r="BE32" s="142"/>
      <c r="BF32" s="194">
        <f t="shared" si="53"/>
        <v>26198</v>
      </c>
      <c r="BG32" s="142">
        <v>26204</v>
      </c>
      <c r="BH32" s="142">
        <f t="shared" si="20"/>
        <v>6</v>
      </c>
      <c r="BI32" s="142">
        <f t="shared" si="54"/>
        <v>1</v>
      </c>
      <c r="BJ32" s="142"/>
      <c r="BK32" s="194">
        <f t="shared" si="55"/>
        <v>10204</v>
      </c>
      <c r="BL32" s="142">
        <v>10210</v>
      </c>
      <c r="BM32" s="142">
        <f t="shared" si="21"/>
        <v>6</v>
      </c>
      <c r="BN32" s="142">
        <f t="shared" si="56"/>
        <v>-1</v>
      </c>
      <c r="BO32" s="142"/>
      <c r="BP32" s="194">
        <f t="shared" si="57"/>
        <v>4214</v>
      </c>
      <c r="BQ32" s="142">
        <v>4214</v>
      </c>
      <c r="BR32" s="321">
        <f t="shared" si="22"/>
        <v>0</v>
      </c>
      <c r="BS32" s="142">
        <f t="shared" si="58"/>
        <v>-1</v>
      </c>
      <c r="BT32" s="142"/>
      <c r="BU32" s="194">
        <f t="shared" si="59"/>
        <v>1871</v>
      </c>
      <c r="BV32" s="142">
        <v>1871</v>
      </c>
      <c r="BW32" s="142">
        <f t="shared" si="23"/>
        <v>0</v>
      </c>
      <c r="BX32" s="142">
        <f t="shared" si="60"/>
        <v>0</v>
      </c>
      <c r="BY32" s="142"/>
      <c r="BZ32" s="198">
        <f t="shared" si="61"/>
        <v>29253</v>
      </c>
      <c r="CA32" s="142">
        <v>29256</v>
      </c>
      <c r="CB32" s="321">
        <f t="shared" si="24"/>
        <v>3</v>
      </c>
      <c r="CC32" s="142">
        <f t="shared" si="62"/>
        <v>-1</v>
      </c>
      <c r="CD32" s="192"/>
      <c r="CE32" s="198">
        <f t="shared" si="63"/>
        <v>3536</v>
      </c>
      <c r="CF32" s="142">
        <v>3537</v>
      </c>
      <c r="CG32" s="142">
        <f t="shared" si="0"/>
        <v>1</v>
      </c>
      <c r="CH32" s="142">
        <f t="shared" si="64"/>
        <v>-1</v>
      </c>
      <c r="CI32" s="192"/>
      <c r="CJ32" s="198">
        <f t="shared" si="65"/>
        <v>85676</v>
      </c>
      <c r="CK32" s="142">
        <v>85703</v>
      </c>
      <c r="CL32" s="142">
        <f t="shared" si="1"/>
        <v>27</v>
      </c>
      <c r="CM32" s="142">
        <f t="shared" si="66"/>
        <v>2</v>
      </c>
      <c r="CN32" s="192"/>
      <c r="CO32" s="198">
        <f t="shared" si="67"/>
        <v>26195</v>
      </c>
      <c r="CP32" s="142">
        <v>26216</v>
      </c>
      <c r="CQ32" s="142">
        <f t="shared" si="2"/>
        <v>21</v>
      </c>
      <c r="CR32" s="142">
        <f t="shared" si="68"/>
        <v>21</v>
      </c>
      <c r="CS32" s="192"/>
      <c r="CT32" s="198">
        <f t="shared" si="69"/>
        <v>12839</v>
      </c>
      <c r="CU32" s="142">
        <v>12840</v>
      </c>
      <c r="CV32" s="142">
        <f t="shared" si="3"/>
        <v>1</v>
      </c>
      <c r="CW32" s="142">
        <f t="shared" si="70"/>
        <v>1</v>
      </c>
      <c r="CX32" s="192"/>
      <c r="CY32" s="198">
        <f t="shared" si="71"/>
        <v>19802</v>
      </c>
      <c r="CZ32" s="142">
        <f t="shared" ref="CZ32:CZ34" si="106">CZ31+3</f>
        <v>19805</v>
      </c>
      <c r="DA32" s="142">
        <f t="shared" si="4"/>
        <v>3</v>
      </c>
      <c r="DB32" s="142">
        <f t="shared" si="72"/>
        <v>0</v>
      </c>
      <c r="DC32" s="192"/>
      <c r="DD32" s="198">
        <f t="shared" si="73"/>
        <v>21042</v>
      </c>
      <c r="DE32" s="142">
        <v>21045</v>
      </c>
      <c r="DF32" s="142">
        <f t="shared" si="5"/>
        <v>3</v>
      </c>
      <c r="DG32" s="142">
        <f t="shared" si="74"/>
        <v>1</v>
      </c>
      <c r="DH32" s="192"/>
      <c r="DI32" s="198">
        <f t="shared" si="75"/>
        <v>9962</v>
      </c>
      <c r="DJ32" s="142">
        <v>9965</v>
      </c>
      <c r="DK32" s="142">
        <f t="shared" si="6"/>
        <v>3</v>
      </c>
      <c r="DL32" s="142">
        <f t="shared" si="76"/>
        <v>2</v>
      </c>
      <c r="DM32" s="192"/>
      <c r="DN32" s="198">
        <f t="shared" si="77"/>
        <v>26728</v>
      </c>
      <c r="DO32" s="142">
        <f t="shared" si="104"/>
        <v>26743</v>
      </c>
      <c r="DP32" s="142">
        <f t="shared" si="7"/>
        <v>15</v>
      </c>
      <c r="DQ32" s="142">
        <f t="shared" si="78"/>
        <v>0</v>
      </c>
      <c r="DR32" s="192"/>
      <c r="DS32" s="198">
        <f t="shared" si="79"/>
        <v>2807</v>
      </c>
      <c r="DT32" s="142">
        <v>2808</v>
      </c>
      <c r="DU32" s="142">
        <f t="shared" si="8"/>
        <v>1</v>
      </c>
      <c r="DV32" s="142">
        <f t="shared" si="80"/>
        <v>0</v>
      </c>
      <c r="DW32" s="192"/>
      <c r="DX32" s="198">
        <f t="shared" si="81"/>
        <v>102</v>
      </c>
      <c r="DY32" s="142">
        <v>102</v>
      </c>
      <c r="DZ32" s="142">
        <f t="shared" si="82"/>
        <v>0</v>
      </c>
      <c r="EA32" s="142">
        <f t="shared" si="83"/>
        <v>-2</v>
      </c>
      <c r="EB32" s="192"/>
      <c r="EC32" s="198">
        <f t="shared" si="105"/>
        <v>0</v>
      </c>
      <c r="ED32" s="142"/>
      <c r="EE32" s="192">
        <f t="shared" si="25"/>
        <v>0</v>
      </c>
      <c r="EF32" s="198">
        <f t="shared" si="101"/>
        <v>0</v>
      </c>
      <c r="EG32" s="142"/>
      <c r="EH32" s="192">
        <f t="shared" si="26"/>
        <v>0</v>
      </c>
      <c r="EI32" s="198">
        <f t="shared" si="102"/>
        <v>0</v>
      </c>
      <c r="EJ32" s="142"/>
      <c r="EK32" s="192">
        <f t="shared" si="27"/>
        <v>0</v>
      </c>
      <c r="EL32" s="198">
        <f t="shared" si="103"/>
        <v>0</v>
      </c>
      <c r="EM32" s="142"/>
      <c r="EN32" s="192">
        <f t="shared" si="28"/>
        <v>0</v>
      </c>
      <c r="EO32" s="198">
        <f t="shared" si="88"/>
        <v>0</v>
      </c>
      <c r="EP32" s="142"/>
      <c r="EQ32" s="192">
        <f t="shared" si="29"/>
        <v>0</v>
      </c>
      <c r="ER32" s="198">
        <f t="shared" si="89"/>
        <v>0</v>
      </c>
      <c r="ES32" s="142"/>
      <c r="ET32" s="192">
        <f t="shared" si="30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1"/>
        <v>0</v>
      </c>
      <c r="FA32" s="198">
        <f t="shared" si="93"/>
        <v>0</v>
      </c>
      <c r="FB32" s="142"/>
      <c r="FC32" s="192">
        <f t="shared" si="32"/>
        <v>0</v>
      </c>
      <c r="FD32" s="198">
        <f t="shared" si="94"/>
        <v>0</v>
      </c>
      <c r="FE32" s="142"/>
      <c r="FF32" s="192">
        <f t="shared" si="33"/>
        <v>0</v>
      </c>
      <c r="FG32" s="198">
        <f t="shared" si="95"/>
        <v>0</v>
      </c>
      <c r="FH32" s="142"/>
      <c r="FI32" s="192">
        <f t="shared" si="34"/>
        <v>0</v>
      </c>
      <c r="FJ32" s="198">
        <f t="shared" si="96"/>
        <v>0</v>
      </c>
      <c r="FK32" s="142"/>
      <c r="FL32" s="192">
        <f t="shared" si="35"/>
        <v>0</v>
      </c>
      <c r="FM32" s="198">
        <f t="shared" si="97"/>
        <v>0</v>
      </c>
      <c r="FN32" s="142"/>
      <c r="FO32" s="192">
        <f t="shared" si="36"/>
        <v>0</v>
      </c>
      <c r="FP32" s="198">
        <f t="shared" si="98"/>
        <v>0</v>
      </c>
      <c r="FQ32" s="142"/>
      <c r="FR32" s="192">
        <f t="shared" si="37"/>
        <v>0</v>
      </c>
    </row>
    <row r="33" spans="1:174" ht="15" customHeight="1" x14ac:dyDescent="0.2">
      <c r="A33" s="140">
        <v>28</v>
      </c>
      <c r="B33" s="140">
        <f t="shared" si="38"/>
        <v>7066</v>
      </c>
      <c r="C33" s="141">
        <v>7221</v>
      </c>
      <c r="D33" s="135">
        <f t="shared" si="9"/>
        <v>155</v>
      </c>
      <c r="E33" s="185"/>
      <c r="F33" s="140">
        <v>28</v>
      </c>
      <c r="G33" s="140">
        <f t="shared" si="39"/>
        <v>40038</v>
      </c>
      <c r="H33" s="141">
        <v>40122</v>
      </c>
      <c r="I33" s="135">
        <f t="shared" si="10"/>
        <v>84</v>
      </c>
      <c r="J33" s="185"/>
      <c r="K33" s="140">
        <v>28</v>
      </c>
      <c r="L33" s="140">
        <f t="shared" si="40"/>
        <v>848768</v>
      </c>
      <c r="M33" s="141">
        <v>848822</v>
      </c>
      <c r="N33" s="135">
        <f t="shared" si="11"/>
        <v>54</v>
      </c>
      <c r="O33" s="137"/>
      <c r="P33" s="140">
        <v>28</v>
      </c>
      <c r="Q33" s="140">
        <f t="shared" si="41"/>
        <v>246506</v>
      </c>
      <c r="R33" s="141">
        <v>246541</v>
      </c>
      <c r="S33" s="135">
        <f t="shared" si="12"/>
        <v>35</v>
      </c>
      <c r="T33" s="136"/>
      <c r="U33" s="138">
        <v>28</v>
      </c>
      <c r="V33" s="200">
        <f t="shared" si="13"/>
        <v>328</v>
      </c>
      <c r="W33" s="139">
        <f>'Maldives at LG Daily'!BP32</f>
        <v>32</v>
      </c>
      <c r="X33" s="158"/>
      <c r="Y33" s="314" t="e">
        <f t="shared" si="14"/>
        <v>#DIV/0!</v>
      </c>
      <c r="AA33" s="194">
        <v>28</v>
      </c>
      <c r="AB33" s="142">
        <f t="shared" si="42"/>
        <v>47660</v>
      </c>
      <c r="AC33" s="142">
        <v>47683</v>
      </c>
      <c r="AD33" s="142">
        <f t="shared" si="15"/>
        <v>23</v>
      </c>
      <c r="AE33" s="142">
        <f t="shared" si="99"/>
        <v>0</v>
      </c>
      <c r="AF33" s="288"/>
      <c r="AG33" s="194">
        <f t="shared" si="43"/>
        <v>10684</v>
      </c>
      <c r="AH33" s="142">
        <v>10690</v>
      </c>
      <c r="AI33" s="142">
        <f t="shared" si="44"/>
        <v>6</v>
      </c>
      <c r="AJ33" s="142">
        <f t="shared" si="100"/>
        <v>3</v>
      </c>
      <c r="AK33" s="142"/>
      <c r="AL33" s="194">
        <f t="shared" si="45"/>
        <v>10044</v>
      </c>
      <c r="AM33" s="142">
        <v>10053</v>
      </c>
      <c r="AN33" s="142">
        <f t="shared" si="16"/>
        <v>9</v>
      </c>
      <c r="AO33" s="142">
        <f t="shared" si="46"/>
        <v>0</v>
      </c>
      <c r="AP33" s="142"/>
      <c r="AQ33" s="194">
        <f t="shared" si="47"/>
        <v>19510</v>
      </c>
      <c r="AR33" s="142">
        <v>19522</v>
      </c>
      <c r="AS33" s="142">
        <f t="shared" si="17"/>
        <v>12</v>
      </c>
      <c r="AT33" s="142">
        <f t="shared" si="48"/>
        <v>1</v>
      </c>
      <c r="AU33" s="142"/>
      <c r="AV33" s="194">
        <f t="shared" si="49"/>
        <v>35649</v>
      </c>
      <c r="AW33" s="142">
        <v>35657</v>
      </c>
      <c r="AX33" s="142">
        <f t="shared" si="18"/>
        <v>8</v>
      </c>
      <c r="AY33" s="142">
        <f t="shared" si="50"/>
        <v>0</v>
      </c>
      <c r="AZ33" s="142"/>
      <c r="BA33" s="194">
        <f t="shared" si="51"/>
        <v>9408</v>
      </c>
      <c r="BB33" s="142">
        <v>9415</v>
      </c>
      <c r="BC33" s="142">
        <f t="shared" si="19"/>
        <v>7</v>
      </c>
      <c r="BD33" s="142">
        <f t="shared" si="52"/>
        <v>1</v>
      </c>
      <c r="BE33" s="142"/>
      <c r="BF33" s="194">
        <f t="shared" si="53"/>
        <v>26204</v>
      </c>
      <c r="BG33" s="142">
        <v>26209</v>
      </c>
      <c r="BH33" s="142">
        <f t="shared" si="20"/>
        <v>5</v>
      </c>
      <c r="BI33" s="142">
        <f t="shared" si="54"/>
        <v>-1</v>
      </c>
      <c r="BJ33" s="142"/>
      <c r="BK33" s="194">
        <f t="shared" si="55"/>
        <v>10210</v>
      </c>
      <c r="BL33" s="142">
        <v>10217</v>
      </c>
      <c r="BM33" s="142">
        <f t="shared" si="21"/>
        <v>7</v>
      </c>
      <c r="BN33" s="142">
        <f t="shared" si="56"/>
        <v>1</v>
      </c>
      <c r="BO33" s="142"/>
      <c r="BP33" s="194">
        <f t="shared" si="57"/>
        <v>4214</v>
      </c>
      <c r="BQ33" s="142">
        <f>BQ32+1</f>
        <v>4215</v>
      </c>
      <c r="BR33" s="321">
        <f t="shared" si="22"/>
        <v>1</v>
      </c>
      <c r="BS33" s="142">
        <f t="shared" si="58"/>
        <v>1</v>
      </c>
      <c r="BT33" s="142"/>
      <c r="BU33" s="194">
        <f t="shared" si="59"/>
        <v>1871</v>
      </c>
      <c r="BV33" s="142">
        <v>1872</v>
      </c>
      <c r="BW33" s="142">
        <f t="shared" si="23"/>
        <v>1</v>
      </c>
      <c r="BX33" s="142">
        <f t="shared" si="60"/>
        <v>1</v>
      </c>
      <c r="BY33" s="142"/>
      <c r="BZ33" s="198">
        <f t="shared" si="61"/>
        <v>29256</v>
      </c>
      <c r="CA33" s="142">
        <v>29259</v>
      </c>
      <c r="CB33" s="321">
        <f t="shared" si="24"/>
        <v>3</v>
      </c>
      <c r="CC33" s="142">
        <f t="shared" si="62"/>
        <v>0</v>
      </c>
      <c r="CD33" s="192"/>
      <c r="CE33" s="198">
        <f t="shared" si="63"/>
        <v>3537</v>
      </c>
      <c r="CF33" s="142">
        <v>3538</v>
      </c>
      <c r="CG33" s="142">
        <f t="shared" si="0"/>
        <v>1</v>
      </c>
      <c r="CH33" s="142">
        <f t="shared" si="64"/>
        <v>0</v>
      </c>
      <c r="CI33" s="192"/>
      <c r="CJ33" s="198">
        <f t="shared" si="65"/>
        <v>85703</v>
      </c>
      <c r="CK33" s="142">
        <v>85729</v>
      </c>
      <c r="CL33" s="142">
        <f t="shared" si="1"/>
        <v>26</v>
      </c>
      <c r="CM33" s="142">
        <f t="shared" si="66"/>
        <v>-1</v>
      </c>
      <c r="CN33" s="192"/>
      <c r="CO33" s="198">
        <f t="shared" si="67"/>
        <v>26216</v>
      </c>
      <c r="CP33" s="142">
        <v>26220</v>
      </c>
      <c r="CQ33" s="142">
        <f t="shared" si="2"/>
        <v>4</v>
      </c>
      <c r="CR33" s="142">
        <f t="shared" si="68"/>
        <v>-17</v>
      </c>
      <c r="CS33" s="192"/>
      <c r="CT33" s="198">
        <f t="shared" si="69"/>
        <v>12840</v>
      </c>
      <c r="CU33" s="142">
        <v>12841</v>
      </c>
      <c r="CV33" s="142">
        <f t="shared" si="3"/>
        <v>1</v>
      </c>
      <c r="CW33" s="142">
        <f t="shared" si="70"/>
        <v>0</v>
      </c>
      <c r="CX33" s="192"/>
      <c r="CY33" s="198">
        <f t="shared" si="71"/>
        <v>19805</v>
      </c>
      <c r="CZ33" s="142">
        <f t="shared" si="106"/>
        <v>19808</v>
      </c>
      <c r="DA33" s="142">
        <f t="shared" si="4"/>
        <v>3</v>
      </c>
      <c r="DB33" s="142">
        <f t="shared" si="72"/>
        <v>0</v>
      </c>
      <c r="DC33" s="192"/>
      <c r="DD33" s="198">
        <f t="shared" si="73"/>
        <v>21045</v>
      </c>
      <c r="DE33" s="142">
        <v>21048</v>
      </c>
      <c r="DF33" s="142">
        <f t="shared" si="5"/>
        <v>3</v>
      </c>
      <c r="DG33" s="142">
        <f t="shared" si="74"/>
        <v>0</v>
      </c>
      <c r="DH33" s="192"/>
      <c r="DI33" s="198">
        <f t="shared" si="75"/>
        <v>9965</v>
      </c>
      <c r="DJ33" s="142">
        <v>9967</v>
      </c>
      <c r="DK33" s="142">
        <f t="shared" si="6"/>
        <v>2</v>
      </c>
      <c r="DL33" s="142">
        <f t="shared" si="76"/>
        <v>-1</v>
      </c>
      <c r="DM33" s="192"/>
      <c r="DN33" s="198">
        <f t="shared" si="77"/>
        <v>26743</v>
      </c>
      <c r="DO33" s="142">
        <f t="shared" si="104"/>
        <v>26758</v>
      </c>
      <c r="DP33" s="142">
        <f t="shared" si="7"/>
        <v>15</v>
      </c>
      <c r="DQ33" s="142">
        <f t="shared" si="78"/>
        <v>0</v>
      </c>
      <c r="DR33" s="192"/>
      <c r="DS33" s="198">
        <f t="shared" si="79"/>
        <v>2808</v>
      </c>
      <c r="DT33" s="142">
        <v>2809</v>
      </c>
      <c r="DU33" s="142">
        <f t="shared" si="8"/>
        <v>1</v>
      </c>
      <c r="DV33" s="142">
        <f t="shared" si="80"/>
        <v>0</v>
      </c>
      <c r="DW33" s="192"/>
      <c r="DX33" s="198">
        <f t="shared" si="81"/>
        <v>102</v>
      </c>
      <c r="DY33" s="142">
        <v>108</v>
      </c>
      <c r="DZ33" s="142">
        <f t="shared" si="82"/>
        <v>6</v>
      </c>
      <c r="EA33" s="142">
        <f t="shared" si="83"/>
        <v>6</v>
      </c>
      <c r="EB33" s="192"/>
      <c r="EC33" s="198">
        <f t="shared" si="105"/>
        <v>0</v>
      </c>
      <c r="ED33" s="142"/>
      <c r="EE33" s="192">
        <f t="shared" si="25"/>
        <v>0</v>
      </c>
      <c r="EF33" s="198">
        <f t="shared" si="101"/>
        <v>0</v>
      </c>
      <c r="EG33" s="142"/>
      <c r="EH33" s="192">
        <f t="shared" si="26"/>
        <v>0</v>
      </c>
      <c r="EI33" s="198">
        <f t="shared" si="102"/>
        <v>0</v>
      </c>
      <c r="EJ33" s="142"/>
      <c r="EK33" s="192">
        <f t="shared" si="27"/>
        <v>0</v>
      </c>
      <c r="EL33" s="198">
        <f t="shared" si="103"/>
        <v>0</v>
      </c>
      <c r="EM33" s="142"/>
      <c r="EN33" s="192">
        <f t="shared" si="28"/>
        <v>0</v>
      </c>
      <c r="EO33" s="198">
        <f t="shared" si="88"/>
        <v>0</v>
      </c>
      <c r="EP33" s="142"/>
      <c r="EQ33" s="192">
        <f t="shared" si="29"/>
        <v>0</v>
      </c>
      <c r="ER33" s="198">
        <f t="shared" si="89"/>
        <v>0</v>
      </c>
      <c r="ES33" s="142"/>
      <c r="ET33" s="192">
        <f t="shared" si="30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1"/>
        <v>0</v>
      </c>
      <c r="FA33" s="198">
        <f t="shared" si="93"/>
        <v>0</v>
      </c>
      <c r="FB33" s="142"/>
      <c r="FC33" s="192">
        <f t="shared" si="32"/>
        <v>0</v>
      </c>
      <c r="FD33" s="198">
        <f t="shared" si="94"/>
        <v>0</v>
      </c>
      <c r="FE33" s="142"/>
      <c r="FF33" s="192">
        <f t="shared" si="33"/>
        <v>0</v>
      </c>
      <c r="FG33" s="198">
        <f t="shared" si="95"/>
        <v>0</v>
      </c>
      <c r="FH33" s="142"/>
      <c r="FI33" s="192">
        <f t="shared" si="34"/>
        <v>0</v>
      </c>
      <c r="FJ33" s="198">
        <f t="shared" si="96"/>
        <v>0</v>
      </c>
      <c r="FK33" s="142"/>
      <c r="FL33" s="192">
        <f t="shared" si="35"/>
        <v>0</v>
      </c>
      <c r="FM33" s="198">
        <f t="shared" si="97"/>
        <v>0</v>
      </c>
      <c r="FN33" s="142"/>
      <c r="FO33" s="192">
        <f t="shared" si="36"/>
        <v>0</v>
      </c>
      <c r="FP33" s="198">
        <f t="shared" si="98"/>
        <v>0</v>
      </c>
      <c r="FQ33" s="142"/>
      <c r="FR33" s="192">
        <f t="shared" si="37"/>
        <v>0</v>
      </c>
    </row>
    <row r="34" spans="1:174" x14ac:dyDescent="0.2">
      <c r="A34" s="140">
        <v>29</v>
      </c>
      <c r="B34" s="140">
        <f t="shared" si="38"/>
        <v>7221</v>
      </c>
      <c r="C34" s="141">
        <v>7448</v>
      </c>
      <c r="D34" s="135">
        <f t="shared" si="9"/>
        <v>227</v>
      </c>
      <c r="E34" s="137"/>
      <c r="F34" s="140">
        <v>29</v>
      </c>
      <c r="G34" s="140">
        <f t="shared" si="39"/>
        <v>40122</v>
      </c>
      <c r="H34" s="141">
        <v>40122</v>
      </c>
      <c r="I34" s="135">
        <f t="shared" si="10"/>
        <v>0</v>
      </c>
      <c r="J34" s="137"/>
      <c r="K34" s="140">
        <v>29</v>
      </c>
      <c r="L34" s="140">
        <f t="shared" si="40"/>
        <v>848822</v>
      </c>
      <c r="M34" s="141">
        <v>848823</v>
      </c>
      <c r="N34" s="135">
        <f t="shared" si="11"/>
        <v>1</v>
      </c>
      <c r="O34" s="137"/>
      <c r="P34" s="140">
        <v>29</v>
      </c>
      <c r="Q34" s="140">
        <f t="shared" si="41"/>
        <v>246541</v>
      </c>
      <c r="R34" s="141">
        <v>246653</v>
      </c>
      <c r="S34" s="135">
        <f t="shared" si="12"/>
        <v>112</v>
      </c>
      <c r="T34" s="136"/>
      <c r="U34" s="140">
        <v>29</v>
      </c>
      <c r="V34" s="200">
        <f t="shared" si="13"/>
        <v>340</v>
      </c>
      <c r="W34" s="139">
        <f>'Maldives at LG Daily'!BP33</f>
        <v>38.799999999999997</v>
      </c>
      <c r="X34" s="158"/>
      <c r="Y34" s="314" t="e">
        <f t="shared" si="14"/>
        <v>#DIV/0!</v>
      </c>
      <c r="AA34" s="194">
        <v>29</v>
      </c>
      <c r="AB34" s="142">
        <f t="shared" si="42"/>
        <v>47683</v>
      </c>
      <c r="AC34" s="142">
        <v>47703</v>
      </c>
      <c r="AD34" s="142">
        <f t="shared" si="15"/>
        <v>20</v>
      </c>
      <c r="AE34" s="142">
        <f t="shared" si="99"/>
        <v>-3</v>
      </c>
      <c r="AF34" s="288"/>
      <c r="AG34" s="194">
        <f t="shared" si="43"/>
        <v>10690</v>
      </c>
      <c r="AH34" s="142">
        <v>10694</v>
      </c>
      <c r="AI34" s="142">
        <f t="shared" si="44"/>
        <v>4</v>
      </c>
      <c r="AJ34" s="142">
        <f t="shared" si="100"/>
        <v>-2</v>
      </c>
      <c r="AK34" s="142"/>
      <c r="AL34" s="194">
        <f t="shared" si="45"/>
        <v>10053</v>
      </c>
      <c r="AM34" s="142">
        <v>10061</v>
      </c>
      <c r="AN34" s="142">
        <f t="shared" si="16"/>
        <v>8</v>
      </c>
      <c r="AO34" s="142">
        <f t="shared" si="46"/>
        <v>-1</v>
      </c>
      <c r="AP34" s="142"/>
      <c r="AQ34" s="194">
        <f t="shared" si="47"/>
        <v>19522</v>
      </c>
      <c r="AR34" s="142">
        <v>19534</v>
      </c>
      <c r="AS34" s="142">
        <f t="shared" si="17"/>
        <v>12</v>
      </c>
      <c r="AT34" s="142">
        <f t="shared" si="48"/>
        <v>0</v>
      </c>
      <c r="AU34" s="142"/>
      <c r="AV34" s="194">
        <f t="shared" si="49"/>
        <v>35657</v>
      </c>
      <c r="AW34" s="142">
        <v>35665</v>
      </c>
      <c r="AX34" s="142">
        <f t="shared" si="18"/>
        <v>8</v>
      </c>
      <c r="AY34" s="142">
        <f t="shared" si="50"/>
        <v>0</v>
      </c>
      <c r="AZ34" s="142"/>
      <c r="BA34" s="194">
        <f t="shared" si="51"/>
        <v>9415</v>
      </c>
      <c r="BB34" s="142">
        <v>9421</v>
      </c>
      <c r="BC34" s="142">
        <f t="shared" si="19"/>
        <v>6</v>
      </c>
      <c r="BD34" s="142">
        <f t="shared" si="52"/>
        <v>-1</v>
      </c>
      <c r="BE34" s="142"/>
      <c r="BF34" s="194">
        <f t="shared" si="53"/>
        <v>26209</v>
      </c>
      <c r="BG34" s="142">
        <v>26215</v>
      </c>
      <c r="BH34" s="142">
        <f t="shared" si="20"/>
        <v>6</v>
      </c>
      <c r="BI34" s="142">
        <f t="shared" si="54"/>
        <v>1</v>
      </c>
      <c r="BJ34" s="142"/>
      <c r="BK34" s="194">
        <f t="shared" si="55"/>
        <v>10217</v>
      </c>
      <c r="BL34" s="142">
        <v>10223</v>
      </c>
      <c r="BM34" s="142">
        <f t="shared" si="21"/>
        <v>6</v>
      </c>
      <c r="BN34" s="142">
        <f t="shared" si="56"/>
        <v>-1</v>
      </c>
      <c r="BO34" s="142"/>
      <c r="BP34" s="194">
        <f t="shared" si="57"/>
        <v>4215</v>
      </c>
      <c r="BQ34" s="142">
        <f>BQ33+1</f>
        <v>4216</v>
      </c>
      <c r="BR34" s="321">
        <f t="shared" si="22"/>
        <v>1</v>
      </c>
      <c r="BS34" s="142">
        <f t="shared" si="58"/>
        <v>0</v>
      </c>
      <c r="BT34" s="142"/>
      <c r="BU34" s="194">
        <f t="shared" si="59"/>
        <v>1872</v>
      </c>
      <c r="BV34" s="142">
        <v>1872</v>
      </c>
      <c r="BW34" s="142">
        <f t="shared" si="23"/>
        <v>0</v>
      </c>
      <c r="BX34" s="142">
        <f t="shared" si="60"/>
        <v>-1</v>
      </c>
      <c r="BY34" s="142"/>
      <c r="BZ34" s="198">
        <f t="shared" si="61"/>
        <v>29259</v>
      </c>
      <c r="CA34" s="142">
        <v>29263</v>
      </c>
      <c r="CB34" s="321">
        <f t="shared" si="24"/>
        <v>4</v>
      </c>
      <c r="CC34" s="142">
        <f t="shared" si="62"/>
        <v>1</v>
      </c>
      <c r="CD34" s="192"/>
      <c r="CE34" s="198">
        <f t="shared" si="63"/>
        <v>3538</v>
      </c>
      <c r="CF34" s="142">
        <v>3541</v>
      </c>
      <c r="CG34" s="142">
        <f t="shared" si="0"/>
        <v>3</v>
      </c>
      <c r="CH34" s="142">
        <f t="shared" si="64"/>
        <v>2</v>
      </c>
      <c r="CI34" s="192"/>
      <c r="CJ34" s="198">
        <f t="shared" si="65"/>
        <v>85729</v>
      </c>
      <c r="CK34" s="142">
        <v>85752</v>
      </c>
      <c r="CL34" s="142">
        <f t="shared" si="1"/>
        <v>23</v>
      </c>
      <c r="CM34" s="142">
        <f t="shared" si="66"/>
        <v>-3</v>
      </c>
      <c r="CN34" s="192"/>
      <c r="CO34" s="198">
        <f t="shared" si="67"/>
        <v>26220</v>
      </c>
      <c r="CP34" s="142">
        <v>26235</v>
      </c>
      <c r="CQ34" s="142">
        <f t="shared" si="2"/>
        <v>15</v>
      </c>
      <c r="CR34" s="142">
        <f t="shared" si="68"/>
        <v>11</v>
      </c>
      <c r="CS34" s="192"/>
      <c r="CT34" s="198">
        <f t="shared" si="69"/>
        <v>12841</v>
      </c>
      <c r="CU34" s="142">
        <v>12842</v>
      </c>
      <c r="CV34" s="142">
        <f t="shared" si="3"/>
        <v>1</v>
      </c>
      <c r="CW34" s="142">
        <f t="shared" si="70"/>
        <v>0</v>
      </c>
      <c r="CX34" s="192"/>
      <c r="CY34" s="198">
        <f t="shared" si="71"/>
        <v>19808</v>
      </c>
      <c r="CZ34" s="142">
        <f t="shared" si="106"/>
        <v>19811</v>
      </c>
      <c r="DA34" s="142">
        <f t="shared" si="4"/>
        <v>3</v>
      </c>
      <c r="DB34" s="142">
        <f t="shared" si="72"/>
        <v>0</v>
      </c>
      <c r="DC34" s="192"/>
      <c r="DD34" s="198">
        <f t="shared" si="73"/>
        <v>21048</v>
      </c>
      <c r="DE34" s="142">
        <v>21049</v>
      </c>
      <c r="DF34" s="142">
        <f t="shared" si="5"/>
        <v>1</v>
      </c>
      <c r="DG34" s="142">
        <f t="shared" si="74"/>
        <v>-2</v>
      </c>
      <c r="DH34" s="192"/>
      <c r="DI34" s="198">
        <f t="shared" si="75"/>
        <v>9967</v>
      </c>
      <c r="DJ34" s="142">
        <v>9969</v>
      </c>
      <c r="DK34" s="142">
        <f t="shared" si="6"/>
        <v>2</v>
      </c>
      <c r="DL34" s="142">
        <f t="shared" si="76"/>
        <v>0</v>
      </c>
      <c r="DM34" s="192"/>
      <c r="DN34" s="198">
        <f t="shared" si="77"/>
        <v>26758</v>
      </c>
      <c r="DO34" s="142">
        <f t="shared" si="104"/>
        <v>26773</v>
      </c>
      <c r="DP34" s="142">
        <f t="shared" si="7"/>
        <v>15</v>
      </c>
      <c r="DQ34" s="142">
        <f t="shared" si="78"/>
        <v>0</v>
      </c>
      <c r="DR34" s="192"/>
      <c r="DS34" s="198">
        <f t="shared" si="79"/>
        <v>2809</v>
      </c>
      <c r="DT34" s="142">
        <v>2810</v>
      </c>
      <c r="DU34" s="142">
        <f t="shared" si="8"/>
        <v>1</v>
      </c>
      <c r="DV34" s="142">
        <f t="shared" si="80"/>
        <v>0</v>
      </c>
      <c r="DW34" s="192"/>
      <c r="DX34" s="198">
        <f t="shared" si="81"/>
        <v>108</v>
      </c>
      <c r="DY34" s="142">
        <v>109</v>
      </c>
      <c r="DZ34" s="142">
        <f t="shared" si="82"/>
        <v>1</v>
      </c>
      <c r="EA34" s="142">
        <f t="shared" si="83"/>
        <v>-5</v>
      </c>
      <c r="EB34" s="192"/>
      <c r="EC34" s="198">
        <f t="shared" si="105"/>
        <v>0</v>
      </c>
      <c r="ED34" s="142"/>
      <c r="EE34" s="192">
        <f t="shared" si="25"/>
        <v>0</v>
      </c>
      <c r="EF34" s="198">
        <f t="shared" si="101"/>
        <v>0</v>
      </c>
      <c r="EG34" s="142"/>
      <c r="EH34" s="192">
        <f t="shared" si="26"/>
        <v>0</v>
      </c>
      <c r="EI34" s="198">
        <f t="shared" si="102"/>
        <v>0</v>
      </c>
      <c r="EJ34" s="142"/>
      <c r="EK34" s="192">
        <f t="shared" si="27"/>
        <v>0</v>
      </c>
      <c r="EL34" s="198">
        <f t="shared" si="103"/>
        <v>0</v>
      </c>
      <c r="EM34" s="142"/>
      <c r="EN34" s="192">
        <f t="shared" si="28"/>
        <v>0</v>
      </c>
      <c r="EO34" s="198">
        <f t="shared" si="88"/>
        <v>0</v>
      </c>
      <c r="EP34" s="142"/>
      <c r="EQ34" s="192">
        <f t="shared" si="29"/>
        <v>0</v>
      </c>
      <c r="ER34" s="198">
        <f t="shared" si="89"/>
        <v>0</v>
      </c>
      <c r="ES34" s="142"/>
      <c r="ET34" s="192">
        <f t="shared" si="30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1"/>
        <v>0</v>
      </c>
      <c r="FA34" s="198">
        <f t="shared" si="93"/>
        <v>0</v>
      </c>
      <c r="FB34" s="142"/>
      <c r="FC34" s="192">
        <f t="shared" si="32"/>
        <v>0</v>
      </c>
      <c r="FD34" s="198">
        <f t="shared" si="94"/>
        <v>0</v>
      </c>
      <c r="FE34" s="142"/>
      <c r="FF34" s="192">
        <f t="shared" si="33"/>
        <v>0</v>
      </c>
      <c r="FG34" s="198">
        <f t="shared" si="95"/>
        <v>0</v>
      </c>
      <c r="FH34" s="142"/>
      <c r="FI34" s="192">
        <f t="shared" si="34"/>
        <v>0</v>
      </c>
      <c r="FJ34" s="198">
        <f t="shared" si="96"/>
        <v>0</v>
      </c>
      <c r="FK34" s="142"/>
      <c r="FL34" s="192">
        <f t="shared" si="35"/>
        <v>0</v>
      </c>
      <c r="FM34" s="198">
        <f t="shared" si="97"/>
        <v>0</v>
      </c>
      <c r="FN34" s="142"/>
      <c r="FO34" s="192">
        <f t="shared" si="36"/>
        <v>0</v>
      </c>
      <c r="FP34" s="198">
        <f t="shared" si="98"/>
        <v>0</v>
      </c>
      <c r="FQ34" s="142"/>
      <c r="FR34" s="192">
        <f t="shared" si="37"/>
        <v>0</v>
      </c>
    </row>
    <row r="35" spans="1:174" x14ac:dyDescent="0.2">
      <c r="A35" s="140">
        <v>30</v>
      </c>
      <c r="B35" s="140">
        <f t="shared" si="38"/>
        <v>7448</v>
      </c>
      <c r="C35" s="141">
        <v>7652</v>
      </c>
      <c r="D35" s="135">
        <f t="shared" si="9"/>
        <v>204</v>
      </c>
      <c r="E35" s="137"/>
      <c r="F35" s="140">
        <v>30</v>
      </c>
      <c r="G35" s="140">
        <f t="shared" si="39"/>
        <v>40122</v>
      </c>
      <c r="H35" s="141">
        <v>40223</v>
      </c>
      <c r="I35" s="135">
        <f t="shared" si="10"/>
        <v>101</v>
      </c>
      <c r="J35" s="137"/>
      <c r="K35" s="140">
        <v>30</v>
      </c>
      <c r="L35" s="140">
        <f t="shared" si="40"/>
        <v>848823</v>
      </c>
      <c r="M35" s="141">
        <v>848823</v>
      </c>
      <c r="N35" s="135">
        <f t="shared" si="11"/>
        <v>0</v>
      </c>
      <c r="O35" s="137"/>
      <c r="P35" s="140">
        <v>30</v>
      </c>
      <c r="Q35" s="140">
        <f t="shared" si="41"/>
        <v>246653</v>
      </c>
      <c r="R35" s="141">
        <v>246701</v>
      </c>
      <c r="S35" s="135">
        <f t="shared" si="12"/>
        <v>48</v>
      </c>
      <c r="T35" s="136"/>
      <c r="U35" s="138">
        <v>30</v>
      </c>
      <c r="V35" s="200">
        <f t="shared" si="13"/>
        <v>353</v>
      </c>
      <c r="W35" s="139">
        <f>'Maldives at LG Daily'!BP34</f>
        <v>35.9</v>
      </c>
      <c r="X35" s="158"/>
      <c r="Y35" s="314" t="e">
        <f t="shared" si="14"/>
        <v>#DIV/0!</v>
      </c>
      <c r="AA35" s="194">
        <v>30</v>
      </c>
      <c r="AB35" s="142">
        <f t="shared" si="42"/>
        <v>47703</v>
      </c>
      <c r="AC35" s="142">
        <v>47723</v>
      </c>
      <c r="AD35" s="142">
        <f t="shared" si="15"/>
        <v>20</v>
      </c>
      <c r="AE35" s="142">
        <f t="shared" si="99"/>
        <v>0</v>
      </c>
      <c r="AF35" s="288"/>
      <c r="AG35" s="194">
        <f t="shared" si="43"/>
        <v>10694</v>
      </c>
      <c r="AH35" s="142">
        <v>10700</v>
      </c>
      <c r="AI35" s="142">
        <f t="shared" si="44"/>
        <v>6</v>
      </c>
      <c r="AJ35" s="142">
        <f t="shared" si="100"/>
        <v>2</v>
      </c>
      <c r="AK35" s="142"/>
      <c r="AL35" s="194">
        <f t="shared" si="45"/>
        <v>10061</v>
      </c>
      <c r="AM35" s="142">
        <v>10070</v>
      </c>
      <c r="AN35" s="142">
        <f t="shared" si="16"/>
        <v>9</v>
      </c>
      <c r="AO35" s="142">
        <f t="shared" si="46"/>
        <v>1</v>
      </c>
      <c r="AP35" s="142"/>
      <c r="AQ35" s="194">
        <f t="shared" si="47"/>
        <v>19534</v>
      </c>
      <c r="AR35" s="142">
        <v>19544</v>
      </c>
      <c r="AS35" s="142">
        <f t="shared" si="17"/>
        <v>10</v>
      </c>
      <c r="AT35" s="142">
        <f t="shared" si="48"/>
        <v>-2</v>
      </c>
      <c r="AU35" s="142"/>
      <c r="AV35" s="194">
        <f t="shared" si="49"/>
        <v>35665</v>
      </c>
      <c r="AW35" s="142">
        <v>35672</v>
      </c>
      <c r="AX35" s="142">
        <f t="shared" si="18"/>
        <v>7</v>
      </c>
      <c r="AY35" s="142">
        <f t="shared" si="50"/>
        <v>-1</v>
      </c>
      <c r="AZ35" s="142"/>
      <c r="BA35" s="194">
        <f t="shared" si="51"/>
        <v>9421</v>
      </c>
      <c r="BB35" s="142">
        <v>9427</v>
      </c>
      <c r="BC35" s="142">
        <f t="shared" si="19"/>
        <v>6</v>
      </c>
      <c r="BD35" s="142">
        <f t="shared" si="52"/>
        <v>0</v>
      </c>
      <c r="BE35" s="142"/>
      <c r="BF35" s="194">
        <f t="shared" si="53"/>
        <v>26215</v>
      </c>
      <c r="BG35" s="142">
        <v>26219</v>
      </c>
      <c r="BH35" s="142">
        <f t="shared" si="20"/>
        <v>4</v>
      </c>
      <c r="BI35" s="142">
        <f t="shared" si="54"/>
        <v>-2</v>
      </c>
      <c r="BJ35" s="142"/>
      <c r="BK35" s="194">
        <f t="shared" si="55"/>
        <v>10223</v>
      </c>
      <c r="BL35" s="142">
        <v>10230</v>
      </c>
      <c r="BM35" s="142">
        <f t="shared" si="21"/>
        <v>7</v>
      </c>
      <c r="BN35" s="142">
        <f t="shared" si="56"/>
        <v>1</v>
      </c>
      <c r="BO35" s="142"/>
      <c r="BP35" s="194">
        <f t="shared" si="57"/>
        <v>4216</v>
      </c>
      <c r="BQ35" s="142">
        <f>BQ34+1</f>
        <v>4217</v>
      </c>
      <c r="BR35" s="321">
        <f t="shared" si="22"/>
        <v>1</v>
      </c>
      <c r="BS35" s="142">
        <f t="shared" si="58"/>
        <v>0</v>
      </c>
      <c r="BT35" s="142"/>
      <c r="BU35" s="194">
        <f t="shared" si="59"/>
        <v>1872</v>
      </c>
      <c r="BV35" s="142">
        <v>1873</v>
      </c>
      <c r="BW35" s="142">
        <f t="shared" si="23"/>
        <v>1</v>
      </c>
      <c r="BX35" s="142">
        <f t="shared" si="60"/>
        <v>1</v>
      </c>
      <c r="BY35" s="142"/>
      <c r="BZ35" s="198">
        <f t="shared" si="61"/>
        <v>29263</v>
      </c>
      <c r="CA35" s="142">
        <v>29265</v>
      </c>
      <c r="CB35" s="321">
        <f t="shared" si="24"/>
        <v>2</v>
      </c>
      <c r="CC35" s="142">
        <f t="shared" si="62"/>
        <v>-2</v>
      </c>
      <c r="CD35" s="192"/>
      <c r="CE35" s="198">
        <f t="shared" si="63"/>
        <v>3541</v>
      </c>
      <c r="CF35" s="142">
        <v>3542</v>
      </c>
      <c r="CG35" s="142">
        <f t="shared" si="0"/>
        <v>1</v>
      </c>
      <c r="CH35" s="142">
        <f t="shared" si="64"/>
        <v>-2</v>
      </c>
      <c r="CI35" s="192"/>
      <c r="CJ35" s="198">
        <f t="shared" si="65"/>
        <v>85752</v>
      </c>
      <c r="CK35" s="142">
        <v>85778</v>
      </c>
      <c r="CL35" s="142">
        <f t="shared" si="1"/>
        <v>26</v>
      </c>
      <c r="CM35" s="142">
        <f t="shared" si="66"/>
        <v>3</v>
      </c>
      <c r="CN35" s="192"/>
      <c r="CO35" s="198">
        <f t="shared" si="67"/>
        <v>26235</v>
      </c>
      <c r="CP35" s="142">
        <v>26246</v>
      </c>
      <c r="CQ35" s="142">
        <f t="shared" si="2"/>
        <v>11</v>
      </c>
      <c r="CR35" s="142">
        <f t="shared" si="68"/>
        <v>-4</v>
      </c>
      <c r="CS35" s="192"/>
      <c r="CT35" s="198">
        <f t="shared" si="69"/>
        <v>12842</v>
      </c>
      <c r="CU35" s="142">
        <v>12843</v>
      </c>
      <c r="CV35" s="142">
        <f t="shared" si="3"/>
        <v>1</v>
      </c>
      <c r="CW35" s="142">
        <f t="shared" si="70"/>
        <v>0</v>
      </c>
      <c r="CX35" s="192"/>
      <c r="CY35" s="198">
        <f t="shared" si="71"/>
        <v>19811</v>
      </c>
      <c r="CZ35" s="142">
        <v>19782</v>
      </c>
      <c r="DA35" s="142">
        <f t="shared" si="4"/>
        <v>-29</v>
      </c>
      <c r="DB35" s="142">
        <f t="shared" si="72"/>
        <v>-32</v>
      </c>
      <c r="DC35" s="192"/>
      <c r="DD35" s="198">
        <f t="shared" si="73"/>
        <v>21049</v>
      </c>
      <c r="DE35" s="142">
        <v>21052</v>
      </c>
      <c r="DF35" s="142">
        <f t="shared" si="5"/>
        <v>3</v>
      </c>
      <c r="DG35" s="142">
        <f t="shared" si="74"/>
        <v>2</v>
      </c>
      <c r="DH35" s="192"/>
      <c r="DI35" s="198">
        <f t="shared" si="75"/>
        <v>9969</v>
      </c>
      <c r="DJ35" s="142">
        <v>9971</v>
      </c>
      <c r="DK35" s="142">
        <f t="shared" si="6"/>
        <v>2</v>
      </c>
      <c r="DL35" s="142">
        <f t="shared" si="76"/>
        <v>0</v>
      </c>
      <c r="DM35" s="192"/>
      <c r="DN35" s="198">
        <f t="shared" si="77"/>
        <v>26773</v>
      </c>
      <c r="DO35" s="142">
        <f t="shared" si="104"/>
        <v>26788</v>
      </c>
      <c r="DP35" s="142">
        <f t="shared" si="7"/>
        <v>15</v>
      </c>
      <c r="DQ35" s="142">
        <f t="shared" si="78"/>
        <v>0</v>
      </c>
      <c r="DR35" s="192"/>
      <c r="DS35" s="198">
        <f t="shared" si="79"/>
        <v>2810</v>
      </c>
      <c r="DT35" s="142">
        <v>2811</v>
      </c>
      <c r="DU35" s="142">
        <f t="shared" si="8"/>
        <v>1</v>
      </c>
      <c r="DV35" s="142">
        <f t="shared" si="80"/>
        <v>0</v>
      </c>
      <c r="DW35" s="192"/>
      <c r="DX35" s="198">
        <f t="shared" si="81"/>
        <v>109</v>
      </c>
      <c r="DY35" s="142">
        <v>111</v>
      </c>
      <c r="DZ35" s="142">
        <f t="shared" si="82"/>
        <v>2</v>
      </c>
      <c r="EA35" s="142">
        <f t="shared" si="83"/>
        <v>1</v>
      </c>
      <c r="EB35" s="192"/>
      <c r="EC35" s="198">
        <f t="shared" si="105"/>
        <v>0</v>
      </c>
      <c r="ED35" s="142"/>
      <c r="EE35" s="192">
        <f t="shared" si="25"/>
        <v>0</v>
      </c>
      <c r="EF35" s="198">
        <f t="shared" si="101"/>
        <v>0</v>
      </c>
      <c r="EG35" s="142"/>
      <c r="EH35" s="192">
        <f t="shared" si="26"/>
        <v>0</v>
      </c>
      <c r="EI35" s="198">
        <f t="shared" si="102"/>
        <v>0</v>
      </c>
      <c r="EJ35" s="142"/>
      <c r="EK35" s="192">
        <f t="shared" si="27"/>
        <v>0</v>
      </c>
      <c r="EL35" s="198">
        <f t="shared" si="103"/>
        <v>0</v>
      </c>
      <c r="EM35" s="142"/>
      <c r="EN35" s="192">
        <f t="shared" si="28"/>
        <v>0</v>
      </c>
      <c r="EO35" s="198">
        <f t="shared" si="88"/>
        <v>0</v>
      </c>
      <c r="EP35" s="142"/>
      <c r="EQ35" s="192">
        <f t="shared" si="29"/>
        <v>0</v>
      </c>
      <c r="ER35" s="198">
        <f t="shared" si="89"/>
        <v>0</v>
      </c>
      <c r="ES35" s="142"/>
      <c r="ET35" s="192">
        <f t="shared" si="30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1"/>
        <v>0</v>
      </c>
      <c r="FA35" s="198">
        <f t="shared" si="93"/>
        <v>0</v>
      </c>
      <c r="FB35" s="142"/>
      <c r="FC35" s="192">
        <f t="shared" si="32"/>
        <v>0</v>
      </c>
      <c r="FD35" s="198">
        <f t="shared" si="94"/>
        <v>0</v>
      </c>
      <c r="FE35" s="142"/>
      <c r="FF35" s="192">
        <f t="shared" si="33"/>
        <v>0</v>
      </c>
      <c r="FG35" s="198">
        <f t="shared" si="95"/>
        <v>0</v>
      </c>
      <c r="FH35" s="142"/>
      <c r="FI35" s="192">
        <f t="shared" si="34"/>
        <v>0</v>
      </c>
      <c r="FJ35" s="198">
        <f t="shared" si="96"/>
        <v>0</v>
      </c>
      <c r="FK35" s="142"/>
      <c r="FL35" s="192">
        <f t="shared" si="35"/>
        <v>0</v>
      </c>
      <c r="FM35" s="198">
        <f t="shared" si="97"/>
        <v>0</v>
      </c>
      <c r="FN35" s="142"/>
      <c r="FO35" s="192">
        <f t="shared" si="36"/>
        <v>0</v>
      </c>
      <c r="FP35" s="198">
        <f t="shared" si="98"/>
        <v>0</v>
      </c>
      <c r="FQ35" s="142"/>
      <c r="FR35" s="192">
        <f t="shared" si="37"/>
        <v>0</v>
      </c>
    </row>
    <row r="36" spans="1:174" ht="13.5" thickBot="1" x14ac:dyDescent="0.25">
      <c r="A36" s="140">
        <v>31</v>
      </c>
      <c r="B36" s="140">
        <f t="shared" si="38"/>
        <v>7652</v>
      </c>
      <c r="C36" s="332"/>
      <c r="D36" s="135">
        <f t="shared" si="9"/>
        <v>0</v>
      </c>
      <c r="E36" s="137"/>
      <c r="F36" s="140">
        <v>31</v>
      </c>
      <c r="G36" s="140">
        <f t="shared" si="39"/>
        <v>40223</v>
      </c>
      <c r="H36" s="332"/>
      <c r="I36" s="135">
        <f t="shared" si="10"/>
        <v>0</v>
      </c>
      <c r="J36" s="137"/>
      <c r="K36" s="140">
        <v>31</v>
      </c>
      <c r="L36" s="140">
        <f t="shared" si="40"/>
        <v>848823</v>
      </c>
      <c r="M36" s="332"/>
      <c r="N36" s="135">
        <f t="shared" si="11"/>
        <v>0</v>
      </c>
      <c r="O36" s="137"/>
      <c r="P36" s="140">
        <v>31</v>
      </c>
      <c r="Q36" s="140">
        <f t="shared" si="41"/>
        <v>246701</v>
      </c>
      <c r="R36" s="332"/>
      <c r="S36" s="135">
        <f t="shared" si="12"/>
        <v>0</v>
      </c>
      <c r="T36" s="144"/>
      <c r="U36" s="138">
        <v>31</v>
      </c>
      <c r="V36" s="200">
        <f t="shared" si="13"/>
        <v>0</v>
      </c>
      <c r="W36" s="139" t="e">
        <f>'Maldives at LG Daily'!#REF!</f>
        <v>#REF!</v>
      </c>
      <c r="X36" s="158"/>
      <c r="Y36" s="314" t="e">
        <f t="shared" si="14"/>
        <v>#DIV/0!</v>
      </c>
      <c r="AA36" s="195">
        <v>31</v>
      </c>
      <c r="AB36" s="197">
        <f t="shared" si="42"/>
        <v>47723</v>
      </c>
      <c r="AC36" s="197"/>
      <c r="AD36" s="142">
        <f t="shared" si="15"/>
        <v>0</v>
      </c>
      <c r="AE36" s="142">
        <f t="shared" si="99"/>
        <v>-20</v>
      </c>
      <c r="AF36" s="289"/>
      <c r="AG36" s="195">
        <f t="shared" si="43"/>
        <v>10700</v>
      </c>
      <c r="AH36" s="197"/>
      <c r="AI36" s="142">
        <f t="shared" si="44"/>
        <v>0</v>
      </c>
      <c r="AJ36" s="142">
        <f t="shared" si="100"/>
        <v>-6</v>
      </c>
      <c r="AK36" s="197"/>
      <c r="AL36" s="195">
        <f t="shared" si="45"/>
        <v>10070</v>
      </c>
      <c r="AM36" s="197"/>
      <c r="AN36" s="142">
        <f t="shared" si="16"/>
        <v>0</v>
      </c>
      <c r="AO36" s="142">
        <f t="shared" si="46"/>
        <v>-9</v>
      </c>
      <c r="AP36" s="197"/>
      <c r="AQ36" s="195">
        <f t="shared" si="47"/>
        <v>19544</v>
      </c>
      <c r="AR36" s="197"/>
      <c r="AS36" s="142">
        <f t="shared" si="17"/>
        <v>0</v>
      </c>
      <c r="AT36" s="142">
        <f t="shared" si="48"/>
        <v>-10</v>
      </c>
      <c r="AU36" s="197"/>
      <c r="AV36" s="195">
        <f t="shared" si="49"/>
        <v>35672</v>
      </c>
      <c r="AW36" s="197"/>
      <c r="AX36" s="142">
        <f t="shared" si="18"/>
        <v>0</v>
      </c>
      <c r="AY36" s="142">
        <f t="shared" si="50"/>
        <v>-7</v>
      </c>
      <c r="AZ36" s="197"/>
      <c r="BA36" s="195">
        <f t="shared" si="51"/>
        <v>9427</v>
      </c>
      <c r="BB36" s="197"/>
      <c r="BC36" s="142">
        <f t="shared" si="19"/>
        <v>0</v>
      </c>
      <c r="BD36" s="142">
        <f t="shared" si="52"/>
        <v>-6</v>
      </c>
      <c r="BE36" s="197"/>
      <c r="BF36" s="195">
        <f t="shared" si="53"/>
        <v>26219</v>
      </c>
      <c r="BG36" s="197"/>
      <c r="BH36" s="142">
        <f t="shared" si="20"/>
        <v>0</v>
      </c>
      <c r="BI36" s="142">
        <f t="shared" si="54"/>
        <v>-4</v>
      </c>
      <c r="BJ36" s="197"/>
      <c r="BK36" s="195">
        <f t="shared" si="55"/>
        <v>10230</v>
      </c>
      <c r="BL36" s="197"/>
      <c r="BM36" s="142">
        <f t="shared" si="21"/>
        <v>0</v>
      </c>
      <c r="BN36" s="142">
        <f t="shared" si="56"/>
        <v>-7</v>
      </c>
      <c r="BO36" s="197"/>
      <c r="BP36" s="195">
        <f t="shared" si="57"/>
        <v>4217</v>
      </c>
      <c r="BQ36" s="197"/>
      <c r="BR36" s="321">
        <f t="shared" si="22"/>
        <v>0</v>
      </c>
      <c r="BS36" s="142">
        <f t="shared" si="58"/>
        <v>-1</v>
      </c>
      <c r="BT36" s="197"/>
      <c r="BU36" s="195">
        <f t="shared" si="59"/>
        <v>1873</v>
      </c>
      <c r="BV36" s="197"/>
      <c r="BW36" s="142">
        <f t="shared" si="23"/>
        <v>0</v>
      </c>
      <c r="BX36" s="142">
        <f t="shared" si="60"/>
        <v>-1</v>
      </c>
      <c r="BY36" s="197"/>
      <c r="BZ36" s="291">
        <f t="shared" si="61"/>
        <v>29265</v>
      </c>
      <c r="CA36" s="197"/>
      <c r="CB36" s="321">
        <f t="shared" si="24"/>
        <v>0</v>
      </c>
      <c r="CC36" s="142">
        <f t="shared" si="62"/>
        <v>-2</v>
      </c>
      <c r="CD36" s="193"/>
      <c r="CE36" s="291">
        <f t="shared" si="63"/>
        <v>3542</v>
      </c>
      <c r="CF36" s="197"/>
      <c r="CG36" s="197">
        <f t="shared" si="0"/>
        <v>-3542</v>
      </c>
      <c r="CH36" s="142">
        <f t="shared" si="64"/>
        <v>-3543</v>
      </c>
      <c r="CI36" s="193"/>
      <c r="CJ36" s="291">
        <f t="shared" si="65"/>
        <v>85778</v>
      </c>
      <c r="CK36" s="197"/>
      <c r="CL36" s="197">
        <f t="shared" si="1"/>
        <v>-85778</v>
      </c>
      <c r="CM36" s="142">
        <f t="shared" si="66"/>
        <v>-85804</v>
      </c>
      <c r="CN36" s="193"/>
      <c r="CO36" s="291">
        <f t="shared" si="67"/>
        <v>26246</v>
      </c>
      <c r="CP36" s="197"/>
      <c r="CQ36" s="142">
        <f t="shared" si="2"/>
        <v>-26246</v>
      </c>
      <c r="CR36" s="142">
        <f t="shared" si="68"/>
        <v>-26257</v>
      </c>
      <c r="CS36" s="193"/>
      <c r="CT36" s="291">
        <f t="shared" si="69"/>
        <v>12843</v>
      </c>
      <c r="CU36" s="197"/>
      <c r="CV36" s="197">
        <f t="shared" si="3"/>
        <v>-12843</v>
      </c>
      <c r="CW36" s="142">
        <f t="shared" si="70"/>
        <v>-12844</v>
      </c>
      <c r="CX36" s="193"/>
      <c r="CY36" s="291">
        <f t="shared" si="71"/>
        <v>19782</v>
      </c>
      <c r="CZ36" s="197"/>
      <c r="DA36" s="197">
        <f t="shared" si="4"/>
        <v>-19782</v>
      </c>
      <c r="DB36" s="142">
        <f t="shared" si="72"/>
        <v>-19753</v>
      </c>
      <c r="DC36" s="193"/>
      <c r="DD36" s="291">
        <f t="shared" si="73"/>
        <v>21052</v>
      </c>
      <c r="DE36" s="197"/>
      <c r="DF36" s="197">
        <f t="shared" si="5"/>
        <v>-21052</v>
      </c>
      <c r="DG36" s="142">
        <f t="shared" si="74"/>
        <v>-21055</v>
      </c>
      <c r="DH36" s="193"/>
      <c r="DI36" s="291">
        <f t="shared" si="75"/>
        <v>9971</v>
      </c>
      <c r="DJ36" s="197"/>
      <c r="DK36" s="197">
        <f t="shared" si="6"/>
        <v>-9971</v>
      </c>
      <c r="DL36" s="142">
        <f t="shared" si="76"/>
        <v>-9973</v>
      </c>
      <c r="DM36" s="193"/>
      <c r="DN36" s="291">
        <f t="shared" si="77"/>
        <v>26788</v>
      </c>
      <c r="DO36" s="197"/>
      <c r="DP36" s="197">
        <f t="shared" si="7"/>
        <v>-26788</v>
      </c>
      <c r="DQ36" s="142">
        <f t="shared" si="78"/>
        <v>-26803</v>
      </c>
      <c r="DR36" s="193"/>
      <c r="DS36" s="291">
        <f t="shared" si="79"/>
        <v>2811</v>
      </c>
      <c r="DT36" s="197"/>
      <c r="DU36" s="197">
        <f t="shared" si="8"/>
        <v>-2811</v>
      </c>
      <c r="DV36" s="142">
        <f t="shared" si="80"/>
        <v>-2812</v>
      </c>
      <c r="DW36" s="193"/>
      <c r="DX36" s="291">
        <f t="shared" si="81"/>
        <v>111</v>
      </c>
      <c r="DY36" s="197"/>
      <c r="DZ36" s="197">
        <f t="shared" si="82"/>
        <v>-111</v>
      </c>
      <c r="EA36" s="142">
        <f t="shared" si="83"/>
        <v>-113</v>
      </c>
      <c r="EB36" s="193"/>
      <c r="EC36" s="198">
        <f t="shared" si="105"/>
        <v>0</v>
      </c>
      <c r="ED36" s="197"/>
      <c r="EE36" s="192">
        <f t="shared" si="25"/>
        <v>0</v>
      </c>
      <c r="EF36" s="198">
        <f t="shared" si="101"/>
        <v>0</v>
      </c>
      <c r="EG36" s="197"/>
      <c r="EH36" s="192">
        <f t="shared" si="26"/>
        <v>0</v>
      </c>
      <c r="EI36" s="198">
        <f t="shared" si="102"/>
        <v>0</v>
      </c>
      <c r="EJ36" s="197"/>
      <c r="EK36" s="192">
        <f t="shared" si="27"/>
        <v>0</v>
      </c>
      <c r="EL36" s="198">
        <f t="shared" si="103"/>
        <v>0</v>
      </c>
      <c r="EM36" s="197"/>
      <c r="EN36" s="192">
        <f t="shared" si="28"/>
        <v>0</v>
      </c>
      <c r="EO36" s="198">
        <f t="shared" si="88"/>
        <v>0</v>
      </c>
      <c r="EP36" s="142"/>
      <c r="EQ36" s="192">
        <f t="shared" si="29"/>
        <v>0</v>
      </c>
      <c r="ER36" s="198">
        <f t="shared" si="89"/>
        <v>0</v>
      </c>
      <c r="ES36" s="197"/>
      <c r="ET36" s="192">
        <f t="shared" si="30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1"/>
        <v>0</v>
      </c>
      <c r="FA36" s="198">
        <f t="shared" si="93"/>
        <v>0</v>
      </c>
      <c r="FB36" s="197"/>
      <c r="FC36" s="192">
        <f t="shared" si="32"/>
        <v>0</v>
      </c>
      <c r="FD36" s="198">
        <f t="shared" si="94"/>
        <v>0</v>
      </c>
      <c r="FE36" s="197"/>
      <c r="FF36" s="192">
        <f t="shared" si="33"/>
        <v>0</v>
      </c>
      <c r="FG36" s="198">
        <f t="shared" si="95"/>
        <v>0</v>
      </c>
      <c r="FH36" s="197"/>
      <c r="FI36" s="192">
        <f t="shared" si="34"/>
        <v>0</v>
      </c>
      <c r="FJ36" s="198">
        <f t="shared" si="96"/>
        <v>0</v>
      </c>
      <c r="FK36" s="197"/>
      <c r="FL36" s="192">
        <f t="shared" si="35"/>
        <v>0</v>
      </c>
      <c r="FM36" s="198">
        <f t="shared" si="97"/>
        <v>0</v>
      </c>
      <c r="FN36" s="197"/>
      <c r="FO36" s="192">
        <f t="shared" si="36"/>
        <v>0</v>
      </c>
      <c r="FP36" s="198">
        <f t="shared" si="98"/>
        <v>0</v>
      </c>
      <c r="FQ36" s="197"/>
      <c r="FR36" s="192">
        <f t="shared" si="37"/>
        <v>0</v>
      </c>
    </row>
    <row r="37" spans="1:174" ht="13.5" thickBot="1" x14ac:dyDescent="0.25">
      <c r="A37" s="145" t="s">
        <v>7</v>
      </c>
      <c r="D37" s="146">
        <f>SUM(D6:D36)</f>
        <v>6124</v>
      </c>
      <c r="E37" s="147"/>
      <c r="F37" s="145" t="s">
        <v>7</v>
      </c>
      <c r="I37" s="146">
        <f>SUM(I6:I36)</f>
        <v>1195</v>
      </c>
      <c r="J37" s="147"/>
      <c r="K37" s="145" t="s">
        <v>7</v>
      </c>
      <c r="N37" s="146">
        <f>SUM(N6:N36)</f>
        <v>361</v>
      </c>
      <c r="O37" s="147"/>
      <c r="P37" s="145" t="s">
        <v>7</v>
      </c>
      <c r="S37" s="146">
        <f>SUM(S6:S36)</f>
        <v>2983</v>
      </c>
      <c r="T37" s="147"/>
      <c r="W37" s="186" t="e">
        <f>SUM(W6:W36)</f>
        <v>#REF!</v>
      </c>
    </row>
    <row r="38" spans="1:174" ht="13.5" thickTop="1" x14ac:dyDescent="0.2">
      <c r="W38" s="125" t="e">
        <f>W37/31</f>
        <v>#REF!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6"/>
  <sheetViews>
    <sheetView topLeftCell="A13" zoomScale="90" zoomScaleNormal="90" workbookViewId="0">
      <selection activeCell="A36" sqref="A36:XFD36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41"/>
      <c r="B1" s="441"/>
      <c r="C1" s="149"/>
      <c r="D1" s="149"/>
      <c r="E1" s="149"/>
      <c r="F1" s="149"/>
      <c r="G1" s="149"/>
    </row>
    <row r="2" spans="1:20" ht="24.75" customHeight="1" x14ac:dyDescent="0.2">
      <c r="A2" s="442" t="s">
        <v>36</v>
      </c>
      <c r="B2" s="442"/>
      <c r="C2" s="442"/>
      <c r="D2" s="442"/>
      <c r="E2" s="442"/>
      <c r="F2" s="442"/>
      <c r="G2" s="442"/>
      <c r="H2" s="442"/>
    </row>
    <row r="3" spans="1:20" ht="26.25" customHeight="1" x14ac:dyDescent="0.2">
      <c r="A3" s="150" t="s">
        <v>114</v>
      </c>
      <c r="B3" s="151" cm="1">
        <f t="array" ref="B3:D3">'FEEDER Consumption '!A1:C1</f>
        <v>44867</v>
      </c>
      <c r="C3" s="152">
        <v>0</v>
      </c>
      <c r="D3" s="150">
        <v>0</v>
      </c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43"/>
      <c r="B5" s="444"/>
      <c r="C5" s="444"/>
      <c r="D5" s="444"/>
      <c r="E5" s="444"/>
      <c r="F5" s="445"/>
      <c r="G5" s="157"/>
      <c r="H5" s="157"/>
    </row>
    <row r="6" spans="1:20" ht="21.75" customHeight="1" x14ac:dyDescent="0.2">
      <c r="A6" s="158">
        <v>1</v>
      </c>
      <c r="B6" s="140">
        <v>0</v>
      </c>
      <c r="C6" s="140">
        <v>0</v>
      </c>
      <c r="D6" s="140">
        <v>0</v>
      </c>
      <c r="E6" s="101">
        <v>2</v>
      </c>
      <c r="F6" s="159">
        <f>SUM(B6:E6)</f>
        <v>2</v>
      </c>
      <c r="G6" s="160">
        <f>F6*45</f>
        <v>90</v>
      </c>
      <c r="H6" s="161">
        <f>WATER!W6</f>
        <v>30.1</v>
      </c>
    </row>
    <row r="7" spans="1:20" ht="21.75" customHeight="1" x14ac:dyDescent="0.2">
      <c r="A7" s="158">
        <v>2</v>
      </c>
      <c r="B7" s="140">
        <v>2</v>
      </c>
      <c r="C7" s="140">
        <v>0</v>
      </c>
      <c r="D7" s="140">
        <v>2</v>
      </c>
      <c r="E7" s="101">
        <v>2</v>
      </c>
      <c r="F7" s="159">
        <f t="shared" ref="F7:F35" si="0">SUM(B7:E7)</f>
        <v>6</v>
      </c>
      <c r="G7" s="160">
        <f t="shared" ref="G7:G35" si="1">F7*45</f>
        <v>270</v>
      </c>
      <c r="H7" s="161">
        <f>WATER!W7</f>
        <v>34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0</v>
      </c>
      <c r="D8" s="140">
        <v>1</v>
      </c>
      <c r="E8" s="101">
        <v>2</v>
      </c>
      <c r="F8" s="159">
        <f t="shared" si="0"/>
        <v>5</v>
      </c>
      <c r="G8" s="160">
        <f t="shared" si="1"/>
        <v>225</v>
      </c>
      <c r="H8" s="161">
        <f>WATER!W8</f>
        <v>34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40.799999999999997</v>
      </c>
    </row>
    <row r="10" spans="1:20" ht="21.75" customHeight="1" x14ac:dyDescent="0.2">
      <c r="A10" s="158">
        <v>5</v>
      </c>
      <c r="B10" s="140">
        <v>1</v>
      </c>
      <c r="C10" s="140">
        <v>0</v>
      </c>
      <c r="D10" s="140">
        <v>2</v>
      </c>
      <c r="E10" s="101">
        <v>2</v>
      </c>
      <c r="F10" s="159">
        <f t="shared" si="0"/>
        <v>5</v>
      </c>
      <c r="G10" s="160">
        <f t="shared" si="1"/>
        <v>225</v>
      </c>
      <c r="H10" s="161">
        <f>WATER!W10</f>
        <v>38.799999999999997</v>
      </c>
    </row>
    <row r="11" spans="1:20" ht="21.75" customHeight="1" x14ac:dyDescent="0.2">
      <c r="A11" s="158">
        <v>6</v>
      </c>
      <c r="B11" s="140">
        <v>2</v>
      </c>
      <c r="C11" s="140">
        <v>0</v>
      </c>
      <c r="D11" s="140">
        <v>2</v>
      </c>
      <c r="E11" s="101">
        <v>2</v>
      </c>
      <c r="F11" s="159">
        <f t="shared" si="0"/>
        <v>6</v>
      </c>
      <c r="G11" s="160">
        <f t="shared" si="1"/>
        <v>270</v>
      </c>
      <c r="H11" s="161">
        <f>WATER!W11</f>
        <v>31.1</v>
      </c>
    </row>
    <row r="12" spans="1:20" ht="21.75" customHeight="1" x14ac:dyDescent="0.2">
      <c r="A12" s="158">
        <v>7</v>
      </c>
      <c r="B12" s="140">
        <v>2</v>
      </c>
      <c r="C12" s="140">
        <v>0</v>
      </c>
      <c r="D12" s="140">
        <v>2</v>
      </c>
      <c r="E12" s="101">
        <v>2</v>
      </c>
      <c r="F12" s="159">
        <f t="shared" si="0"/>
        <v>6</v>
      </c>
      <c r="G12" s="160">
        <f t="shared" si="1"/>
        <v>270</v>
      </c>
      <c r="H12" s="161">
        <f>WATER!W12</f>
        <v>29.1</v>
      </c>
    </row>
    <row r="13" spans="1:20" ht="21.75" customHeight="1" x14ac:dyDescent="0.2">
      <c r="A13" s="158">
        <v>8</v>
      </c>
      <c r="B13" s="140">
        <v>2</v>
      </c>
      <c r="C13" s="140">
        <v>0</v>
      </c>
      <c r="D13" s="140">
        <v>2</v>
      </c>
      <c r="E13" s="101">
        <v>2</v>
      </c>
      <c r="F13" s="159">
        <f t="shared" si="0"/>
        <v>6</v>
      </c>
      <c r="G13" s="160">
        <f t="shared" si="1"/>
        <v>270</v>
      </c>
      <c r="H13" s="161">
        <f>WATER!W13</f>
        <v>34</v>
      </c>
    </row>
    <row r="14" spans="1:20" ht="21.75" customHeight="1" x14ac:dyDescent="0.2">
      <c r="A14" s="158">
        <v>9</v>
      </c>
      <c r="B14" s="140">
        <v>2</v>
      </c>
      <c r="C14" s="140">
        <v>1</v>
      </c>
      <c r="D14" s="140">
        <v>0</v>
      </c>
      <c r="E14" s="101">
        <v>3</v>
      </c>
      <c r="F14" s="159">
        <f t="shared" si="0"/>
        <v>6</v>
      </c>
      <c r="G14" s="160">
        <f t="shared" si="1"/>
        <v>270</v>
      </c>
      <c r="H14" s="161">
        <f>WATER!W14</f>
        <v>29.1</v>
      </c>
    </row>
    <row r="15" spans="1:20" ht="21.75" customHeight="1" x14ac:dyDescent="0.2">
      <c r="A15" s="158">
        <v>10</v>
      </c>
      <c r="B15" s="140">
        <v>0</v>
      </c>
      <c r="C15" s="140">
        <v>0</v>
      </c>
      <c r="D15" s="140">
        <v>0</v>
      </c>
      <c r="E15" s="101">
        <v>2</v>
      </c>
      <c r="F15" s="159">
        <f t="shared" si="0"/>
        <v>2</v>
      </c>
      <c r="G15" s="160">
        <f t="shared" si="1"/>
        <v>90</v>
      </c>
      <c r="H15" s="161">
        <f>WATER!W15</f>
        <v>27.2</v>
      </c>
    </row>
    <row r="16" spans="1:20" ht="21.75" customHeight="1" x14ac:dyDescent="0.2">
      <c r="A16" s="158">
        <v>11</v>
      </c>
      <c r="B16" s="140">
        <v>0</v>
      </c>
      <c r="C16" s="140">
        <v>0</v>
      </c>
      <c r="D16" s="140">
        <v>0</v>
      </c>
      <c r="E16" s="101">
        <v>2</v>
      </c>
      <c r="F16" s="159">
        <f t="shared" si="0"/>
        <v>2</v>
      </c>
      <c r="G16" s="160">
        <f t="shared" si="1"/>
        <v>90</v>
      </c>
      <c r="H16" s="161">
        <f>WATER!W16</f>
        <v>30.1</v>
      </c>
    </row>
    <row r="17" spans="1:8" ht="21.75" customHeight="1" x14ac:dyDescent="0.2">
      <c r="A17" s="158">
        <v>12</v>
      </c>
      <c r="B17" s="140">
        <v>6</v>
      </c>
      <c r="C17" s="140">
        <v>0</v>
      </c>
      <c r="D17" s="140">
        <v>2</v>
      </c>
      <c r="E17" s="101">
        <v>2</v>
      </c>
      <c r="F17" s="159">
        <f t="shared" si="0"/>
        <v>10</v>
      </c>
      <c r="G17" s="160">
        <f t="shared" si="1"/>
        <v>450</v>
      </c>
      <c r="H17" s="161">
        <f>WATER!W17</f>
        <v>36.9</v>
      </c>
    </row>
    <row r="18" spans="1:8" ht="21.75" customHeight="1" x14ac:dyDescent="0.2">
      <c r="A18" s="158">
        <v>13</v>
      </c>
      <c r="B18" s="140">
        <v>0</v>
      </c>
      <c r="C18" s="140">
        <v>1</v>
      </c>
      <c r="D18" s="140">
        <v>0</v>
      </c>
      <c r="E18" s="101">
        <v>2</v>
      </c>
      <c r="F18" s="159">
        <f t="shared" si="0"/>
        <v>3</v>
      </c>
      <c r="G18" s="160">
        <f t="shared" si="1"/>
        <v>135</v>
      </c>
      <c r="H18" s="161">
        <f>WATER!W18</f>
        <v>39.799999999999997</v>
      </c>
    </row>
    <row r="19" spans="1:8" ht="21.75" customHeight="1" x14ac:dyDescent="0.2">
      <c r="A19" s="158">
        <v>14</v>
      </c>
      <c r="B19" s="140">
        <v>1</v>
      </c>
      <c r="C19" s="140">
        <v>1</v>
      </c>
      <c r="D19" s="140">
        <v>2</v>
      </c>
      <c r="E19" s="101">
        <v>2</v>
      </c>
      <c r="F19" s="159">
        <f t="shared" si="0"/>
        <v>6</v>
      </c>
      <c r="G19" s="160">
        <f t="shared" si="1"/>
        <v>270</v>
      </c>
      <c r="H19" s="161">
        <f>WATER!W19</f>
        <v>35.9</v>
      </c>
    </row>
    <row r="20" spans="1:8" ht="21.75" customHeight="1" x14ac:dyDescent="0.2">
      <c r="A20" s="158">
        <v>15</v>
      </c>
      <c r="B20" s="140">
        <v>2</v>
      </c>
      <c r="C20" s="140">
        <v>0</v>
      </c>
      <c r="D20" s="140">
        <v>1</v>
      </c>
      <c r="E20" s="101">
        <v>2</v>
      </c>
      <c r="F20" s="159">
        <f t="shared" si="0"/>
        <v>5</v>
      </c>
      <c r="G20" s="160">
        <f t="shared" si="1"/>
        <v>225</v>
      </c>
      <c r="H20" s="161">
        <v>16</v>
      </c>
    </row>
    <row r="21" spans="1:8" ht="21.75" customHeight="1" x14ac:dyDescent="0.2">
      <c r="A21" s="158">
        <v>16</v>
      </c>
      <c r="B21" s="140">
        <v>2</v>
      </c>
      <c r="C21" s="140">
        <v>0</v>
      </c>
      <c r="D21" s="140">
        <v>1</v>
      </c>
      <c r="E21" s="101">
        <v>2</v>
      </c>
      <c r="F21" s="159">
        <f t="shared" si="0"/>
        <v>5</v>
      </c>
      <c r="G21" s="160">
        <f t="shared" si="1"/>
        <v>225</v>
      </c>
      <c r="H21" s="161">
        <f>WATER!W21</f>
        <v>49.5</v>
      </c>
    </row>
    <row r="22" spans="1:8" ht="21.75" customHeight="1" x14ac:dyDescent="0.2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41.7</v>
      </c>
    </row>
    <row r="23" spans="1:8" ht="21.75" customHeight="1" x14ac:dyDescent="0.2">
      <c r="A23" s="158">
        <v>18</v>
      </c>
      <c r="B23" s="140">
        <v>1</v>
      </c>
      <c r="C23" s="140">
        <v>0</v>
      </c>
      <c r="D23" s="140">
        <v>1</v>
      </c>
      <c r="E23" s="101">
        <v>2</v>
      </c>
      <c r="F23" s="159">
        <f t="shared" si="0"/>
        <v>4</v>
      </c>
      <c r="G23" s="160">
        <f t="shared" si="1"/>
        <v>180</v>
      </c>
      <c r="H23" s="161">
        <f>WATER!W23</f>
        <v>31.1</v>
      </c>
    </row>
    <row r="24" spans="1:8" ht="21.75" customHeight="1" x14ac:dyDescent="0.2">
      <c r="A24" s="158">
        <v>19</v>
      </c>
      <c r="B24" s="140">
        <v>2</v>
      </c>
      <c r="C24" s="140">
        <v>0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33</v>
      </c>
    </row>
    <row r="25" spans="1:8" ht="21.75" customHeight="1" x14ac:dyDescent="0.2">
      <c r="A25" s="158">
        <v>20</v>
      </c>
      <c r="B25" s="140">
        <v>1</v>
      </c>
      <c r="C25" s="140">
        <v>0</v>
      </c>
      <c r="D25" s="140">
        <v>1</v>
      </c>
      <c r="E25" s="101">
        <v>2</v>
      </c>
      <c r="F25" s="159">
        <f t="shared" si="0"/>
        <v>4</v>
      </c>
      <c r="G25" s="160">
        <f t="shared" si="1"/>
        <v>180</v>
      </c>
      <c r="H25" s="161">
        <f>WATER!W25</f>
        <v>35</v>
      </c>
    </row>
    <row r="26" spans="1:8" ht="21.75" customHeight="1" x14ac:dyDescent="0.2">
      <c r="A26" s="158">
        <v>21</v>
      </c>
      <c r="B26" s="140">
        <v>2</v>
      </c>
      <c r="C26" s="140">
        <v>1</v>
      </c>
      <c r="D26" s="140">
        <v>1</v>
      </c>
      <c r="E26" s="101">
        <v>2</v>
      </c>
      <c r="F26" s="159">
        <f t="shared" si="0"/>
        <v>6</v>
      </c>
      <c r="G26" s="160">
        <f t="shared" si="1"/>
        <v>270</v>
      </c>
      <c r="H26" s="161">
        <f>WATER!W26</f>
        <v>35.9</v>
      </c>
    </row>
    <row r="27" spans="1:8" ht="21.75" customHeight="1" x14ac:dyDescent="0.2">
      <c r="A27" s="158">
        <v>22</v>
      </c>
      <c r="B27" s="140">
        <v>1</v>
      </c>
      <c r="C27" s="140">
        <v>0</v>
      </c>
      <c r="D27" s="140">
        <v>1</v>
      </c>
      <c r="E27" s="101">
        <v>2</v>
      </c>
      <c r="F27" s="159">
        <f t="shared" si="0"/>
        <v>4</v>
      </c>
      <c r="G27" s="160">
        <f t="shared" si="1"/>
        <v>180</v>
      </c>
      <c r="H27" s="161">
        <f>WATER!W27</f>
        <v>29.1</v>
      </c>
    </row>
    <row r="28" spans="1:8" ht="21.75" customHeight="1" x14ac:dyDescent="0.2">
      <c r="A28" s="158">
        <v>23</v>
      </c>
      <c r="B28" s="140">
        <v>2</v>
      </c>
      <c r="C28" s="140">
        <v>1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40.799999999999997</v>
      </c>
    </row>
    <row r="29" spans="1:8" ht="21.75" customHeight="1" x14ac:dyDescent="0.2">
      <c r="A29" s="158">
        <v>24</v>
      </c>
      <c r="B29" s="140">
        <v>1</v>
      </c>
      <c r="C29" s="140">
        <v>0</v>
      </c>
      <c r="D29" s="140">
        <v>1</v>
      </c>
      <c r="E29" s="101">
        <v>3</v>
      </c>
      <c r="F29" s="159">
        <f t="shared" si="0"/>
        <v>5</v>
      </c>
      <c r="G29" s="160">
        <f t="shared" si="1"/>
        <v>225</v>
      </c>
      <c r="H29" s="161">
        <f>WATER!W29</f>
        <v>38.799999999999997</v>
      </c>
    </row>
    <row r="30" spans="1:8" ht="21.75" customHeight="1" x14ac:dyDescent="0.2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39.799999999999997</v>
      </c>
    </row>
    <row r="31" spans="1:8" ht="21.75" customHeight="1" x14ac:dyDescent="0.2">
      <c r="A31" s="158">
        <v>26</v>
      </c>
      <c r="B31" s="140">
        <v>2</v>
      </c>
      <c r="C31" s="140">
        <v>0</v>
      </c>
      <c r="D31" s="140">
        <v>1</v>
      </c>
      <c r="E31" s="101">
        <v>2</v>
      </c>
      <c r="F31" s="159">
        <f t="shared" si="0"/>
        <v>5</v>
      </c>
      <c r="G31" s="160">
        <f t="shared" si="1"/>
        <v>225</v>
      </c>
      <c r="H31" s="161">
        <f>WATER!W31</f>
        <v>38.799999999999997</v>
      </c>
    </row>
    <row r="32" spans="1:8" ht="21.75" customHeight="1" x14ac:dyDescent="0.2">
      <c r="A32" s="158">
        <v>27</v>
      </c>
      <c r="B32" s="140">
        <v>2</v>
      </c>
      <c r="C32" s="140">
        <v>1</v>
      </c>
      <c r="D32" s="140">
        <v>1</v>
      </c>
      <c r="E32" s="101">
        <v>2</v>
      </c>
      <c r="F32" s="159">
        <f t="shared" si="0"/>
        <v>6</v>
      </c>
      <c r="G32" s="160">
        <f t="shared" si="1"/>
        <v>270</v>
      </c>
      <c r="H32" s="161">
        <f>WATER!W32</f>
        <v>35</v>
      </c>
    </row>
    <row r="33" spans="1:8" ht="21.75" customHeight="1" x14ac:dyDescent="0.2">
      <c r="A33" s="158">
        <v>28</v>
      </c>
      <c r="B33" s="140">
        <v>2</v>
      </c>
      <c r="C33" s="140">
        <v>1</v>
      </c>
      <c r="D33" s="140">
        <v>1</v>
      </c>
      <c r="E33" s="101">
        <v>2</v>
      </c>
      <c r="F33" s="159">
        <f t="shared" si="0"/>
        <v>6</v>
      </c>
      <c r="G33" s="160">
        <f t="shared" si="1"/>
        <v>270</v>
      </c>
      <c r="H33" s="161">
        <f>WATER!W33</f>
        <v>32</v>
      </c>
    </row>
    <row r="34" spans="1:8" ht="21.75" customHeight="1" x14ac:dyDescent="0.2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38.799999999999997</v>
      </c>
    </row>
    <row r="35" spans="1:8" ht="21.75" customHeight="1" x14ac:dyDescent="0.2">
      <c r="A35" s="158">
        <v>30</v>
      </c>
      <c r="B35" s="140">
        <v>2</v>
      </c>
      <c r="C35" s="140">
        <v>1</v>
      </c>
      <c r="D35" s="140">
        <v>1</v>
      </c>
      <c r="E35" s="101">
        <v>2</v>
      </c>
      <c r="F35" s="159">
        <f t="shared" si="0"/>
        <v>6</v>
      </c>
      <c r="G35" s="160">
        <f t="shared" si="1"/>
        <v>270</v>
      </c>
      <c r="H35" s="161">
        <f>WATER!W35</f>
        <v>35.9</v>
      </c>
    </row>
    <row r="36" spans="1:8" ht="21" customHeight="1" x14ac:dyDescent="0.2">
      <c r="A36" s="160" t="s">
        <v>7</v>
      </c>
      <c r="B36" s="160"/>
      <c r="C36" s="160"/>
      <c r="D36" s="162"/>
      <c r="E36" s="162"/>
      <c r="F36" s="163">
        <f>SUM(F6:F35)</f>
        <v>151</v>
      </c>
      <c r="G36" s="160">
        <f>SUM(G6:G35)</f>
        <v>6795</v>
      </c>
      <c r="H36" s="161">
        <f>SUM(H6:H35)/30</f>
        <v>34.736666666666665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46" t="s">
        <v>172</v>
      </c>
      <c r="B1" s="446"/>
      <c r="C1" s="446"/>
      <c r="D1" s="446"/>
      <c r="E1" s="446"/>
      <c r="F1" s="447"/>
    </row>
    <row r="2" spans="1:6" ht="30.75" customHeight="1" thickBot="1" x14ac:dyDescent="0.25">
      <c r="A2" s="306" t="s">
        <v>171</v>
      </c>
      <c r="B2" s="306" t="s">
        <v>49</v>
      </c>
      <c r="C2" s="306" t="s">
        <v>50</v>
      </c>
      <c r="D2" s="307" t="s">
        <v>51</v>
      </c>
      <c r="E2" s="307" t="s">
        <v>127</v>
      </c>
      <c r="F2" s="307" t="s">
        <v>125</v>
      </c>
    </row>
    <row r="3" spans="1:6" ht="30.75" customHeight="1" x14ac:dyDescent="0.2">
      <c r="A3" s="304">
        <v>44652</v>
      </c>
      <c r="B3" s="212"/>
      <c r="C3" s="297"/>
      <c r="D3" s="298"/>
      <c r="E3" s="299"/>
      <c r="F3" s="300"/>
    </row>
    <row r="4" spans="1:6" ht="30.75" customHeight="1" x14ac:dyDescent="0.2">
      <c r="A4" s="305">
        <v>44653</v>
      </c>
      <c r="B4" s="212"/>
      <c r="C4" s="212"/>
      <c r="D4" s="301"/>
      <c r="E4" s="302"/>
      <c r="F4" s="303"/>
    </row>
    <row r="5" spans="1:6" ht="30.75" customHeight="1" x14ac:dyDescent="0.2">
      <c r="A5" s="305">
        <v>44654</v>
      </c>
      <c r="B5" s="212"/>
      <c r="C5" s="212"/>
      <c r="D5" s="301"/>
      <c r="E5" s="302"/>
      <c r="F5" s="303"/>
    </row>
    <row r="6" spans="1:6" ht="30.75" customHeight="1" x14ac:dyDescent="0.2">
      <c r="A6" s="305">
        <v>44655</v>
      </c>
      <c r="B6" s="212"/>
      <c r="C6" s="212"/>
      <c r="D6" s="301"/>
      <c r="E6" s="302"/>
      <c r="F6" s="303"/>
    </row>
    <row r="7" spans="1:6" ht="30.75" customHeight="1" x14ac:dyDescent="0.2">
      <c r="A7" s="305">
        <v>44656</v>
      </c>
      <c r="B7" s="212"/>
      <c r="C7" s="212"/>
      <c r="D7" s="301"/>
      <c r="E7" s="302"/>
      <c r="F7" s="303"/>
    </row>
    <row r="8" spans="1:6" ht="30.75" customHeight="1" x14ac:dyDescent="0.2">
      <c r="A8" s="305">
        <v>44657</v>
      </c>
      <c r="B8" s="212"/>
      <c r="C8" s="212"/>
      <c r="D8" s="301"/>
      <c r="E8" s="302"/>
      <c r="F8" s="303"/>
    </row>
    <row r="9" spans="1:6" ht="30.75" customHeight="1" x14ac:dyDescent="0.2">
      <c r="A9" s="305">
        <v>44658</v>
      </c>
      <c r="B9" s="212"/>
      <c r="C9" s="212"/>
      <c r="D9" s="301"/>
      <c r="E9" s="302"/>
      <c r="F9" s="303"/>
    </row>
    <row r="10" spans="1:6" ht="30.75" customHeight="1" x14ac:dyDescent="0.2">
      <c r="A10" s="305">
        <v>44659</v>
      </c>
      <c r="B10" s="212"/>
      <c r="C10" s="212"/>
      <c r="D10" s="301"/>
      <c r="E10" s="302"/>
      <c r="F10" s="303"/>
    </row>
    <row r="11" spans="1:6" ht="30.75" customHeight="1" x14ac:dyDescent="0.2">
      <c r="A11" s="305">
        <v>44660</v>
      </c>
      <c r="B11" s="212"/>
      <c r="C11" s="212"/>
      <c r="D11" s="301"/>
      <c r="E11" s="302"/>
      <c r="F11" s="303"/>
    </row>
    <row r="12" spans="1:6" ht="30.75" customHeight="1" x14ac:dyDescent="0.2">
      <c r="A12" s="305">
        <v>44661</v>
      </c>
      <c r="B12" s="212"/>
      <c r="C12" s="212"/>
      <c r="D12" s="301"/>
      <c r="E12" s="302"/>
      <c r="F12" s="303"/>
    </row>
    <row r="13" spans="1:6" ht="30.75" customHeight="1" x14ac:dyDescent="0.2">
      <c r="A13" s="305">
        <v>44662</v>
      </c>
      <c r="B13" s="212"/>
      <c r="C13" s="212"/>
      <c r="D13" s="301"/>
      <c r="E13" s="302"/>
      <c r="F13" s="303"/>
    </row>
    <row r="14" spans="1:6" ht="30.75" customHeight="1" x14ac:dyDescent="0.2">
      <c r="A14" s="305">
        <v>44663</v>
      </c>
      <c r="B14" s="212"/>
      <c r="C14" s="212"/>
      <c r="D14" s="301"/>
      <c r="E14" s="302"/>
      <c r="F14" s="303"/>
    </row>
    <row r="15" spans="1:6" ht="30.75" customHeight="1" x14ac:dyDescent="0.2">
      <c r="A15" s="305">
        <v>44664</v>
      </c>
      <c r="B15" s="212"/>
      <c r="C15" s="212"/>
      <c r="D15" s="301"/>
      <c r="E15" s="302"/>
      <c r="F15" s="303"/>
    </row>
    <row r="16" spans="1:6" ht="30.75" customHeight="1" x14ac:dyDescent="0.2">
      <c r="A16" s="305">
        <v>44665</v>
      </c>
      <c r="B16" s="212"/>
      <c r="C16" s="212"/>
      <c r="D16" s="301"/>
      <c r="E16" s="302"/>
      <c r="F16" s="303"/>
    </row>
    <row r="17" spans="1:6" ht="30.75" customHeight="1" x14ac:dyDescent="0.2">
      <c r="A17" s="305">
        <v>44666</v>
      </c>
      <c r="B17" s="212"/>
      <c r="C17" s="212"/>
      <c r="D17" s="301"/>
      <c r="E17" s="302"/>
      <c r="F17" s="303"/>
    </row>
    <row r="18" spans="1:6" ht="30.75" customHeight="1" x14ac:dyDescent="0.2">
      <c r="A18" s="305">
        <v>44667</v>
      </c>
      <c r="B18" s="212"/>
      <c r="C18" s="212"/>
      <c r="D18" s="301"/>
      <c r="E18" s="302"/>
      <c r="F18" s="303"/>
    </row>
    <row r="19" spans="1:6" ht="30.75" customHeight="1" x14ac:dyDescent="0.2">
      <c r="A19" s="305">
        <v>44668</v>
      </c>
      <c r="B19" s="212"/>
      <c r="C19" s="212"/>
      <c r="D19" s="301"/>
      <c r="E19" s="302"/>
      <c r="F19" s="303"/>
    </row>
    <row r="20" spans="1:6" ht="30.75" customHeight="1" x14ac:dyDescent="0.2">
      <c r="A20" s="305">
        <v>44669</v>
      </c>
      <c r="B20" s="212"/>
      <c r="C20" s="212"/>
      <c r="D20" s="301"/>
      <c r="E20" s="302"/>
      <c r="F20" s="303"/>
    </row>
    <row r="21" spans="1:6" ht="30.75" customHeight="1" x14ac:dyDescent="0.2">
      <c r="A21" s="305">
        <v>44670</v>
      </c>
      <c r="B21" s="212"/>
      <c r="C21" s="212"/>
      <c r="D21" s="301"/>
      <c r="E21" s="302"/>
      <c r="F21" s="303"/>
    </row>
    <row r="22" spans="1:6" ht="30.75" customHeight="1" x14ac:dyDescent="0.2">
      <c r="A22" s="305">
        <v>44671</v>
      </c>
      <c r="B22" s="212"/>
      <c r="C22" s="212"/>
      <c r="D22" s="301"/>
      <c r="E22" s="302"/>
      <c r="F22" s="303"/>
    </row>
    <row r="23" spans="1:6" ht="30.75" customHeight="1" x14ac:dyDescent="0.2">
      <c r="A23" s="305">
        <v>44672</v>
      </c>
      <c r="B23" s="212"/>
      <c r="C23" s="212"/>
      <c r="D23" s="301"/>
      <c r="E23" s="302"/>
      <c r="F23" s="303"/>
    </row>
    <row r="24" spans="1:6" ht="30.75" customHeight="1" x14ac:dyDescent="0.2">
      <c r="A24" s="305">
        <v>44673</v>
      </c>
      <c r="B24" s="212"/>
      <c r="C24" s="212"/>
      <c r="D24" s="301"/>
      <c r="E24" s="302"/>
      <c r="F24" s="303"/>
    </row>
    <row r="25" spans="1:6" ht="30.75" customHeight="1" x14ac:dyDescent="0.2">
      <c r="A25" s="305">
        <v>44674</v>
      </c>
      <c r="B25" s="212"/>
      <c r="C25" s="212"/>
      <c r="D25" s="301"/>
      <c r="E25" s="302"/>
      <c r="F25" s="303"/>
    </row>
    <row r="26" spans="1:6" ht="30.75" customHeight="1" x14ac:dyDescent="0.2">
      <c r="A26" s="305">
        <v>44675</v>
      </c>
      <c r="B26" s="212"/>
      <c r="C26" s="212"/>
      <c r="D26" s="301"/>
      <c r="E26" s="302"/>
      <c r="F26" s="303"/>
    </row>
    <row r="27" spans="1:6" ht="30.75" customHeight="1" x14ac:dyDescent="0.2">
      <c r="A27" s="305">
        <v>44676</v>
      </c>
      <c r="B27" s="212"/>
      <c r="C27" s="212"/>
      <c r="D27" s="301"/>
      <c r="E27" s="302"/>
      <c r="F27" s="303"/>
    </row>
    <row r="28" spans="1:6" ht="30.75" customHeight="1" x14ac:dyDescent="0.2">
      <c r="A28" s="305">
        <v>44677</v>
      </c>
      <c r="B28" s="212"/>
      <c r="C28" s="212"/>
      <c r="D28" s="301"/>
      <c r="E28" s="302"/>
      <c r="F28" s="303"/>
    </row>
    <row r="29" spans="1:6" ht="30.75" customHeight="1" x14ac:dyDescent="0.2">
      <c r="A29" s="305">
        <v>44678</v>
      </c>
      <c r="B29" s="212"/>
      <c r="C29" s="212"/>
      <c r="D29" s="301"/>
      <c r="E29" s="302"/>
      <c r="F29" s="303"/>
    </row>
    <row r="30" spans="1:6" ht="30.75" customHeight="1" x14ac:dyDescent="0.2">
      <c r="A30" s="305">
        <v>44679</v>
      </c>
      <c r="B30" s="212"/>
      <c r="C30" s="212"/>
      <c r="D30" s="301"/>
      <c r="E30" s="302"/>
      <c r="F30" s="303"/>
    </row>
    <row r="31" spans="1:6" ht="30.75" customHeight="1" x14ac:dyDescent="0.2">
      <c r="A31" s="305">
        <v>44680</v>
      </c>
      <c r="B31" s="212"/>
      <c r="C31" s="212"/>
      <c r="D31" s="301"/>
      <c r="E31" s="302"/>
      <c r="F31" s="303"/>
    </row>
    <row r="32" spans="1:6" ht="30.75" customHeight="1" x14ac:dyDescent="0.2">
      <c r="A32" s="305">
        <v>44681</v>
      </c>
      <c r="B32" s="212"/>
      <c r="C32" s="212"/>
      <c r="D32" s="301"/>
      <c r="E32" s="302"/>
      <c r="F32" s="303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49">
        <v>44256</v>
      </c>
      <c r="C1" s="449"/>
      <c r="D1" s="449"/>
      <c r="E1" s="449"/>
      <c r="F1" s="449"/>
      <c r="G1" s="449"/>
      <c r="H1" s="449"/>
    </row>
    <row r="2" spans="2:8" ht="15.75" customHeight="1" x14ac:dyDescent="0.2">
      <c r="B2" s="449"/>
      <c r="C2" s="449"/>
      <c r="D2" s="449"/>
      <c r="E2" s="449"/>
      <c r="F2" s="449"/>
      <c r="G2" s="449"/>
      <c r="H2" s="449"/>
    </row>
    <row r="3" spans="2:8" ht="28.5" customHeight="1" x14ac:dyDescent="0.2">
      <c r="B3" s="450" t="s">
        <v>74</v>
      </c>
      <c r="C3" s="450"/>
      <c r="D3" s="450"/>
      <c r="E3" s="450"/>
      <c r="F3" s="450"/>
      <c r="G3" s="450"/>
      <c r="H3" s="450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1746</v>
      </c>
      <c r="D5" s="97">
        <f>'GENSET #2'!D10</f>
        <v>9811</v>
      </c>
      <c r="E5" s="97">
        <f>'GENSET #3'!D10</f>
        <v>7417</v>
      </c>
      <c r="F5" s="97">
        <f>'GENSET #4'!D10</f>
        <v>0</v>
      </c>
      <c r="G5" s="97">
        <f>'GENSET #5'!D10</f>
        <v>5196</v>
      </c>
      <c r="H5" s="100">
        <f>SUM(C5:G5)</f>
        <v>24170</v>
      </c>
    </row>
    <row r="6" spans="2:8" x14ac:dyDescent="0.2">
      <c r="B6" s="91">
        <v>2</v>
      </c>
      <c r="C6" s="17">
        <f>'GENSET #1'!D11</f>
        <v>5831</v>
      </c>
      <c r="D6" s="17">
        <f>'GENSET #2'!D11</f>
        <v>9777</v>
      </c>
      <c r="E6" s="17">
        <f>'GENSET #3'!D11</f>
        <v>7500</v>
      </c>
      <c r="F6" s="17">
        <f>'GENSET #4'!D11</f>
        <v>0</v>
      </c>
      <c r="G6" s="17">
        <f>'GENSET #5'!D11</f>
        <v>1916</v>
      </c>
      <c r="H6" s="100">
        <f>SUM(C6:G6)</f>
        <v>25024</v>
      </c>
    </row>
    <row r="7" spans="2:8" x14ac:dyDescent="0.2">
      <c r="B7" s="96">
        <v>3</v>
      </c>
      <c r="C7" s="97">
        <f>'GENSET #1'!D12</f>
        <v>7475</v>
      </c>
      <c r="D7" s="97">
        <f>'GENSET #2'!D12</f>
        <v>6525</v>
      </c>
      <c r="E7" s="97">
        <f>'GENSET #3'!D12</f>
        <v>4471</v>
      </c>
      <c r="F7" s="97">
        <f>'GENSET #4'!D12</f>
        <v>0</v>
      </c>
      <c r="G7" s="97">
        <f>'GENSET #5'!D12</f>
        <v>6769</v>
      </c>
      <c r="H7" s="100">
        <f t="shared" ref="H7:H35" si="0">SUM(C7:G7)</f>
        <v>25240</v>
      </c>
    </row>
    <row r="8" spans="2:8" x14ac:dyDescent="0.2">
      <c r="B8" s="91">
        <v>4</v>
      </c>
      <c r="C8" s="17">
        <f>'GENSET #1'!D13</f>
        <v>9100</v>
      </c>
      <c r="D8" s="17">
        <f>'GENSET #2'!D13</f>
        <v>2952</v>
      </c>
      <c r="E8" s="17">
        <f>'GENSET #3'!D13</f>
        <v>9160</v>
      </c>
      <c r="F8" s="17">
        <f>'GENSET #4'!D13</f>
        <v>0</v>
      </c>
      <c r="G8" s="17">
        <f>'GENSET #5'!D13</f>
        <v>5279</v>
      </c>
      <c r="H8" s="100">
        <f t="shared" si="0"/>
        <v>26491</v>
      </c>
    </row>
    <row r="9" spans="2:8" x14ac:dyDescent="0.2">
      <c r="B9" s="96">
        <v>5</v>
      </c>
      <c r="C9" s="97">
        <f>'GENSET #1'!D14</f>
        <v>9784</v>
      </c>
      <c r="D9" s="97">
        <f>'GENSET #2'!D14</f>
        <v>834</v>
      </c>
      <c r="E9" s="97">
        <f>'GENSET #3'!D14</f>
        <v>5744</v>
      </c>
      <c r="F9" s="97">
        <f>'GENSET #4'!D14</f>
        <v>0</v>
      </c>
      <c r="G9" s="97">
        <f>'GENSET #5'!D14</f>
        <v>9784</v>
      </c>
      <c r="H9" s="100">
        <f t="shared" si="0"/>
        <v>26146</v>
      </c>
    </row>
    <row r="10" spans="2:8" x14ac:dyDescent="0.2">
      <c r="B10" s="91">
        <v>6</v>
      </c>
      <c r="C10" s="17">
        <f>'GENSET #1'!D15</f>
        <v>3169</v>
      </c>
      <c r="D10" s="17">
        <f>'GENSET #2'!D15</f>
        <v>11280</v>
      </c>
      <c r="E10" s="17">
        <f>'GENSET #3'!D15</f>
        <v>8335</v>
      </c>
      <c r="F10" s="17">
        <f>'GENSET #4'!D15</f>
        <v>0</v>
      </c>
      <c r="G10" s="17">
        <f>'GENSET #5'!D15</f>
        <v>4056</v>
      </c>
      <c r="H10" s="100">
        <f t="shared" si="0"/>
        <v>26840</v>
      </c>
    </row>
    <row r="11" spans="2:8" x14ac:dyDescent="0.2">
      <c r="B11" s="96">
        <v>7</v>
      </c>
      <c r="C11" s="97">
        <f>'GENSET #1'!D16</f>
        <v>7349</v>
      </c>
      <c r="D11" s="97">
        <f>'GENSET #2'!D16</f>
        <v>9634</v>
      </c>
      <c r="E11" s="97">
        <f>'GENSET #3'!D16</f>
        <v>4237</v>
      </c>
      <c r="F11" s="97">
        <f>'GENSET #4'!D16</f>
        <v>0</v>
      </c>
      <c r="G11" s="97">
        <f>'GENSET #5'!D16</f>
        <v>5084</v>
      </c>
      <c r="H11" s="100">
        <f t="shared" si="0"/>
        <v>26304</v>
      </c>
    </row>
    <row r="12" spans="2:8" x14ac:dyDescent="0.2">
      <c r="B12" s="91">
        <v>8</v>
      </c>
      <c r="C12" s="17">
        <f>'GENSET #1'!D17</f>
        <v>2387</v>
      </c>
      <c r="D12" s="17">
        <f>'GENSET #2'!D17</f>
        <v>13482</v>
      </c>
      <c r="E12" s="17">
        <f>'GENSET #3'!D17</f>
        <v>4128</v>
      </c>
      <c r="F12" s="17">
        <f>'GENSET #4'!D17</f>
        <v>0</v>
      </c>
      <c r="G12" s="17">
        <f>'GENSET #5'!D17</f>
        <v>6625</v>
      </c>
      <c r="H12" s="100">
        <f t="shared" si="0"/>
        <v>26622</v>
      </c>
    </row>
    <row r="13" spans="2:8" x14ac:dyDescent="0.2">
      <c r="B13" s="96">
        <v>9</v>
      </c>
      <c r="C13" s="97">
        <f>'GENSET #1'!D18</f>
        <v>6611</v>
      </c>
      <c r="D13" s="97">
        <f>'GENSET #2'!D18</f>
        <v>9452</v>
      </c>
      <c r="E13" s="97">
        <f>'GENSET #3'!D18</f>
        <v>7873</v>
      </c>
      <c r="F13" s="97">
        <f>'GENSET #4'!D18</f>
        <v>0</v>
      </c>
      <c r="G13" s="97">
        <f>'GENSET #5'!D18</f>
        <v>2738</v>
      </c>
      <c r="H13" s="100">
        <f t="shared" si="0"/>
        <v>26674</v>
      </c>
    </row>
    <row r="14" spans="2:8" x14ac:dyDescent="0.2">
      <c r="B14" s="91">
        <v>10</v>
      </c>
      <c r="C14" s="17">
        <f>'GENSET #1'!D19</f>
        <v>1193</v>
      </c>
      <c r="D14" s="17">
        <f>'GENSET #2'!D19</f>
        <v>11688</v>
      </c>
      <c r="E14" s="17">
        <f>'GENSET #3'!D19</f>
        <v>9219</v>
      </c>
      <c r="F14" s="17">
        <f>'GENSET #4'!D19</f>
        <v>0</v>
      </c>
      <c r="G14" s="17">
        <f>'GENSET #5'!D19</f>
        <v>4165</v>
      </c>
      <c r="H14" s="100">
        <f t="shared" si="0"/>
        <v>26265</v>
      </c>
    </row>
    <row r="15" spans="2:8" x14ac:dyDescent="0.2">
      <c r="B15" s="96">
        <v>11</v>
      </c>
      <c r="C15" s="97">
        <f>'GENSET #1'!D20</f>
        <v>7249</v>
      </c>
      <c r="D15" s="97">
        <f>'GENSET #2'!D20</f>
        <v>8458</v>
      </c>
      <c r="E15" s="97">
        <f>'GENSET #3'!D20</f>
        <v>5845</v>
      </c>
      <c r="F15" s="97">
        <f>'GENSET #4'!D20</f>
        <v>0</v>
      </c>
      <c r="G15" s="97">
        <f>'GENSET #5'!D20</f>
        <v>5409</v>
      </c>
      <c r="H15" s="100">
        <f t="shared" si="0"/>
        <v>26961</v>
      </c>
    </row>
    <row r="16" spans="2:8" x14ac:dyDescent="0.2">
      <c r="B16" s="91">
        <v>12</v>
      </c>
      <c r="C16" s="17">
        <f>'GENSET #1'!D21</f>
        <v>4553</v>
      </c>
      <c r="D16" s="17">
        <f>'GENSET #2'!D21</f>
        <v>12675</v>
      </c>
      <c r="E16" s="17">
        <f>'GENSET #3'!D21</f>
        <v>9545</v>
      </c>
      <c r="F16" s="17">
        <f>'GENSET #4'!D21</f>
        <v>0</v>
      </c>
      <c r="G16" s="17">
        <f>'GENSET #5'!D21</f>
        <v>43</v>
      </c>
      <c r="H16" s="100">
        <f t="shared" si="0"/>
        <v>26816</v>
      </c>
    </row>
    <row r="17" spans="2:8" x14ac:dyDescent="0.2">
      <c r="B17" s="96">
        <v>13</v>
      </c>
      <c r="C17" s="97">
        <f>'GENSET #1'!D22</f>
        <v>9928</v>
      </c>
      <c r="D17" s="97">
        <f>'GENSET #2'!D22</f>
        <v>4985</v>
      </c>
      <c r="E17" s="97">
        <f>'GENSET #3'!D22</f>
        <v>7011</v>
      </c>
      <c r="F17" s="97">
        <f>'GENSET #4'!D22</f>
        <v>0</v>
      </c>
      <c r="G17" s="97">
        <f>'GENSET #5'!D22</f>
        <v>4123</v>
      </c>
      <c r="H17" s="100">
        <f t="shared" si="0"/>
        <v>26047</v>
      </c>
    </row>
    <row r="18" spans="2:8" x14ac:dyDescent="0.2">
      <c r="B18" s="91">
        <v>14</v>
      </c>
      <c r="C18" s="17">
        <f>'GENSET #1'!D23</f>
        <v>0</v>
      </c>
      <c r="D18" s="17">
        <f>'GENSET #2'!D23</f>
        <v>11347</v>
      </c>
      <c r="E18" s="17">
        <f>'GENSET #3'!D23</f>
        <v>9981</v>
      </c>
      <c r="F18" s="17">
        <f>'GENSET #4'!D23</f>
        <v>0</v>
      </c>
      <c r="G18" s="17">
        <f>'GENSET #5'!D23</f>
        <v>4073</v>
      </c>
      <c r="H18" s="100">
        <f t="shared" si="0"/>
        <v>25401</v>
      </c>
    </row>
    <row r="19" spans="2:8" x14ac:dyDescent="0.2">
      <c r="B19" s="96">
        <v>15</v>
      </c>
      <c r="C19" s="97">
        <f>'GENSET #1'!D24</f>
        <v>4034</v>
      </c>
      <c r="D19" s="97">
        <f>'GENSET #2'!D24</f>
        <v>11006</v>
      </c>
      <c r="E19" s="97">
        <f>'GENSET #3'!D24</f>
        <v>6190</v>
      </c>
      <c r="F19" s="97">
        <f>'GENSET #4'!D24</f>
        <v>0</v>
      </c>
      <c r="G19" s="97">
        <f>'GENSET #5'!D24</f>
        <v>3963</v>
      </c>
      <c r="H19" s="100">
        <f t="shared" si="0"/>
        <v>25193</v>
      </c>
    </row>
    <row r="20" spans="2:8" x14ac:dyDescent="0.2">
      <c r="B20" s="91">
        <v>16</v>
      </c>
      <c r="C20" s="17">
        <f>'GENSET #1'!D25</f>
        <v>4805</v>
      </c>
      <c r="D20" s="17">
        <f>'GENSET #2'!D25</f>
        <v>9820</v>
      </c>
      <c r="E20" s="17">
        <f>'GENSET #3'!D25</f>
        <v>5517</v>
      </c>
      <c r="F20" s="17">
        <f>'GENSET #4'!D25</f>
        <v>0</v>
      </c>
      <c r="G20" s="17">
        <f>'GENSET #5'!D25</f>
        <v>4742</v>
      </c>
      <c r="H20" s="100">
        <f t="shared" si="0"/>
        <v>24884</v>
      </c>
    </row>
    <row r="21" spans="2:8" x14ac:dyDescent="0.2">
      <c r="B21" s="96">
        <v>17</v>
      </c>
      <c r="C21" s="97">
        <f>'GENSET #1'!D26</f>
        <v>5186</v>
      </c>
      <c r="D21" s="97">
        <f>'GENSET #2'!D26</f>
        <v>8501</v>
      </c>
      <c r="E21" s="97">
        <f>'GENSET #3'!D26</f>
        <v>4797</v>
      </c>
      <c r="F21" s="97">
        <f>'GENSET #4'!D26</f>
        <v>0</v>
      </c>
      <c r="G21" s="97">
        <f>'GENSET #5'!D26</f>
        <v>5069</v>
      </c>
      <c r="H21" s="100">
        <f t="shared" si="0"/>
        <v>23553</v>
      </c>
    </row>
    <row r="22" spans="2:8" x14ac:dyDescent="0.2">
      <c r="B22" s="91">
        <v>18</v>
      </c>
      <c r="C22" s="17">
        <f>'GENSET #1'!D27</f>
        <v>4412</v>
      </c>
      <c r="D22" s="17">
        <f>'GENSET #2'!D27</f>
        <v>9174</v>
      </c>
      <c r="E22" s="17">
        <f>'GENSET #3'!D27</f>
        <v>4951</v>
      </c>
      <c r="F22" s="17">
        <f>'GENSET #4'!D27</f>
        <v>0</v>
      </c>
      <c r="G22" s="17">
        <f>'GENSET #5'!D27</f>
        <v>4437</v>
      </c>
      <c r="H22" s="100">
        <f t="shared" si="0"/>
        <v>22974</v>
      </c>
    </row>
    <row r="23" spans="2:8" x14ac:dyDescent="0.2">
      <c r="B23" s="96">
        <v>19</v>
      </c>
      <c r="C23" s="97">
        <f>'GENSET #1'!D28</f>
        <v>2976</v>
      </c>
      <c r="D23" s="97">
        <f>'GENSET #2'!D28</f>
        <v>13302</v>
      </c>
      <c r="E23" s="97">
        <f>'GENSET #3'!D28</f>
        <v>4409</v>
      </c>
      <c r="F23" s="97">
        <f>'GENSET #4'!D28</f>
        <v>0</v>
      </c>
      <c r="G23" s="97">
        <f>'GENSET #5'!D28</f>
        <v>2944</v>
      </c>
      <c r="H23" s="100">
        <f t="shared" si="0"/>
        <v>23631</v>
      </c>
    </row>
    <row r="24" spans="2:8" x14ac:dyDescent="0.2">
      <c r="B24" s="91">
        <v>20</v>
      </c>
      <c r="C24" s="17">
        <f>'GENSET #1'!D29</f>
        <v>4815</v>
      </c>
      <c r="D24" s="17">
        <f>'GENSET #2'!D29</f>
        <v>10176</v>
      </c>
      <c r="E24" s="17">
        <f>'GENSET #3'!D29</f>
        <v>3219</v>
      </c>
      <c r="F24" s="17">
        <f>'GENSET #4'!D29</f>
        <v>0</v>
      </c>
      <c r="G24" s="17">
        <f>'GENSET #5'!D29</f>
        <v>4810</v>
      </c>
      <c r="H24" s="100">
        <f t="shared" si="0"/>
        <v>23020</v>
      </c>
    </row>
    <row r="25" spans="2:8" x14ac:dyDescent="0.2">
      <c r="B25" s="96">
        <v>21</v>
      </c>
      <c r="C25" s="97">
        <f>'GENSET #1'!D30</f>
        <v>4741</v>
      </c>
      <c r="D25" s="97">
        <f>'GENSET #2'!D30</f>
        <v>10557</v>
      </c>
      <c r="E25" s="97">
        <f>'GENSET #3'!D30</f>
        <v>3061</v>
      </c>
      <c r="F25" s="97">
        <f>'GENSET #4'!D30</f>
        <v>0</v>
      </c>
      <c r="G25" s="97">
        <f>'GENSET #5'!D30</f>
        <v>4705</v>
      </c>
      <c r="H25" s="100">
        <f t="shared" si="0"/>
        <v>23064</v>
      </c>
    </row>
    <row r="26" spans="2:8" x14ac:dyDescent="0.2">
      <c r="B26" s="91">
        <v>22</v>
      </c>
      <c r="C26" s="17">
        <f>'GENSET #1'!D31</f>
        <v>5523</v>
      </c>
      <c r="D26" s="17">
        <f>'GENSET #2'!D31</f>
        <v>9797</v>
      </c>
      <c r="E26" s="17">
        <f>'GENSET #3'!D31</f>
        <v>2394</v>
      </c>
      <c r="F26" s="17">
        <f>'GENSET #4'!D31</f>
        <v>0</v>
      </c>
      <c r="G26" s="17">
        <f>'GENSET #5'!D31</f>
        <v>5400</v>
      </c>
      <c r="H26" s="100">
        <f t="shared" si="0"/>
        <v>23114</v>
      </c>
    </row>
    <row r="27" spans="2:8" x14ac:dyDescent="0.2">
      <c r="B27" s="96">
        <v>23</v>
      </c>
      <c r="C27" s="97">
        <f>'GENSET #1'!D32</f>
        <v>4375</v>
      </c>
      <c r="D27" s="97">
        <f>'GENSET #2'!D32</f>
        <v>10656</v>
      </c>
      <c r="E27" s="97">
        <f>'GENSET #3'!D32</f>
        <v>5167</v>
      </c>
      <c r="F27" s="97">
        <f>'GENSET #4'!D32</f>
        <v>0</v>
      </c>
      <c r="G27" s="97">
        <f>'GENSET #5'!D32</f>
        <v>4575</v>
      </c>
      <c r="H27" s="100">
        <f t="shared" si="0"/>
        <v>24773</v>
      </c>
    </row>
    <row r="28" spans="2:8" x14ac:dyDescent="0.2">
      <c r="B28" s="91">
        <v>24</v>
      </c>
      <c r="C28" s="17">
        <f>'GENSET #1'!D33</f>
        <v>4238</v>
      </c>
      <c r="D28" s="17">
        <f>'GENSET #2'!D33</f>
        <v>11874</v>
      </c>
      <c r="E28" s="17">
        <f>'GENSET #3'!D33</f>
        <v>5149</v>
      </c>
      <c r="F28" s="17">
        <f>'GENSET #4'!D33</f>
        <v>0</v>
      </c>
      <c r="G28" s="17">
        <f>'GENSET #5'!D33</f>
        <v>4236</v>
      </c>
      <c r="H28" s="100">
        <f t="shared" si="0"/>
        <v>25497</v>
      </c>
    </row>
    <row r="29" spans="2:8" x14ac:dyDescent="0.2">
      <c r="B29" s="96">
        <v>25</v>
      </c>
      <c r="C29" s="97">
        <f>'GENSET #1'!D34</f>
        <v>4705</v>
      </c>
      <c r="D29" s="97">
        <f>'GENSET #2'!D34</f>
        <v>11506</v>
      </c>
      <c r="E29" s="97">
        <f>'GENSET #3'!D34</f>
        <v>4229</v>
      </c>
      <c r="F29" s="97">
        <f>'GENSET #4'!D34</f>
        <v>0</v>
      </c>
      <c r="G29" s="97">
        <f>'GENSET #5'!D34</f>
        <v>4695</v>
      </c>
      <c r="H29" s="100">
        <f t="shared" si="0"/>
        <v>25135</v>
      </c>
    </row>
    <row r="30" spans="2:8" x14ac:dyDescent="0.2">
      <c r="B30" s="91">
        <v>26</v>
      </c>
      <c r="C30" s="17">
        <f>'GENSET #1'!D35</f>
        <v>6270</v>
      </c>
      <c r="D30" s="17">
        <f>'GENSET #2'!D35</f>
        <v>8225</v>
      </c>
      <c r="E30" s="17">
        <f>'GENSET #3'!D35</f>
        <v>4101</v>
      </c>
      <c r="F30" s="17">
        <f>'GENSET #4'!D35</f>
        <v>0</v>
      </c>
      <c r="G30" s="17">
        <f>'GENSET #5'!D35</f>
        <v>6223</v>
      </c>
      <c r="H30" s="100">
        <f t="shared" si="0"/>
        <v>24819</v>
      </c>
    </row>
    <row r="31" spans="2:8" x14ac:dyDescent="0.2">
      <c r="B31" s="96">
        <v>27</v>
      </c>
      <c r="C31" s="97">
        <f>'GENSET #1'!D36</f>
        <v>4155</v>
      </c>
      <c r="D31" s="97">
        <f>'GENSET #2'!D36</f>
        <v>12249</v>
      </c>
      <c r="E31" s="97">
        <f>'GENSET #3'!D36</f>
        <v>4401</v>
      </c>
      <c r="F31" s="97">
        <f>'GENSET #4'!D36</f>
        <v>0</v>
      </c>
      <c r="G31" s="97">
        <f>'GENSET #5'!D36</f>
        <v>4131</v>
      </c>
      <c r="H31" s="100">
        <f t="shared" si="0"/>
        <v>24936</v>
      </c>
    </row>
    <row r="32" spans="2:8" x14ac:dyDescent="0.2">
      <c r="B32" s="91">
        <v>28</v>
      </c>
      <c r="C32" s="17">
        <f>'GENSET #1'!D37</f>
        <v>5553</v>
      </c>
      <c r="D32" s="17">
        <f>'GENSET #2'!D37</f>
        <v>9746</v>
      </c>
      <c r="E32" s="17">
        <f>'GENSET #3'!D37</f>
        <v>4304</v>
      </c>
      <c r="F32" s="17">
        <f>'GENSET #4'!D37</f>
        <v>0</v>
      </c>
      <c r="G32" s="17">
        <f>'GENSET #5'!D37</f>
        <v>5616</v>
      </c>
      <c r="H32" s="100">
        <f t="shared" si="0"/>
        <v>25219</v>
      </c>
    </row>
    <row r="33" spans="1:8" x14ac:dyDescent="0.2">
      <c r="B33" s="96">
        <v>29</v>
      </c>
      <c r="C33" s="97">
        <f>'GENSET #1'!D38</f>
        <v>2781</v>
      </c>
      <c r="D33" s="97">
        <f>'GENSET #2'!D38</f>
        <v>14401</v>
      </c>
      <c r="E33" s="97">
        <f>'GENSET #3'!D38</f>
        <v>685</v>
      </c>
      <c r="F33" s="97">
        <f>'GENSET #4'!D38</f>
        <v>0</v>
      </c>
      <c r="G33" s="97">
        <f>'GENSET #5'!D38</f>
        <v>7896</v>
      </c>
      <c r="H33" s="100">
        <f t="shared" si="0"/>
        <v>25763</v>
      </c>
    </row>
    <row r="34" spans="1:8" x14ac:dyDescent="0.2">
      <c r="B34" s="91">
        <v>30</v>
      </c>
      <c r="C34" s="17">
        <f>'GENSET #1'!D39</f>
        <v>7081</v>
      </c>
      <c r="D34" s="17">
        <f>'GENSET #2'!D39</f>
        <v>7070</v>
      </c>
      <c r="E34" s="17">
        <f>'GENSET #3'!D39</f>
        <v>3789</v>
      </c>
      <c r="F34" s="17">
        <f>'GENSET #4'!D39</f>
        <v>0</v>
      </c>
      <c r="G34" s="17">
        <f>'GENSET #5'!D39</f>
        <v>8023</v>
      </c>
      <c r="H34" s="100">
        <f t="shared" si="0"/>
        <v>25963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48" t="s">
        <v>75</v>
      </c>
      <c r="B36" s="448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418">
        <v>44256</v>
      </c>
      <c r="C4" s="418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24170</v>
      </c>
      <c r="C9" s="7">
        <f>'Diesel consumption'!D5</f>
        <v>6640</v>
      </c>
      <c r="D9" s="2">
        <f>'SOLAR METER READING'!D9</f>
        <v>3114</v>
      </c>
      <c r="E9" s="7">
        <f>'Gas-2'!G6</f>
        <v>90</v>
      </c>
      <c r="F9" s="93">
        <f>WATER!V6</f>
        <v>382</v>
      </c>
      <c r="G9" s="95">
        <f>WATER!W6</f>
        <v>30.1</v>
      </c>
      <c r="H9" s="14">
        <f>B9/C9</f>
        <v>3.6400602409638556</v>
      </c>
      <c r="I9" s="14">
        <f>SUM(B9,D9)</f>
        <v>27284</v>
      </c>
      <c r="J9" s="3"/>
    </row>
    <row r="10" spans="1:10" x14ac:dyDescent="0.2">
      <c r="A10" s="6">
        <v>2</v>
      </c>
      <c r="B10" s="7">
        <f>SUM('GENSET #1:GENSET #5'!D11)</f>
        <v>25024</v>
      </c>
      <c r="C10" s="7">
        <f>'Diesel consumption'!D6</f>
        <v>6920</v>
      </c>
      <c r="D10" s="2">
        <f>'SOLAR METER READING'!D10</f>
        <v>3123</v>
      </c>
      <c r="E10" s="7">
        <f>'Gas-2'!G7</f>
        <v>270</v>
      </c>
      <c r="F10" s="93">
        <f>WATER!V7</f>
        <v>352</v>
      </c>
      <c r="G10" s="95">
        <f>WATER!W7</f>
        <v>34</v>
      </c>
      <c r="H10" s="14">
        <f t="shared" ref="H10:H38" si="0">B10/C10</f>
        <v>3.6161849710982659</v>
      </c>
      <c r="I10" s="14">
        <f t="shared" ref="I10:I40" si="1">SUM(B10,D10)</f>
        <v>28147</v>
      </c>
    </row>
    <row r="11" spans="1:10" x14ac:dyDescent="0.2">
      <c r="A11" s="6">
        <v>3</v>
      </c>
      <c r="B11" s="7">
        <f>SUM('GENSET #1:GENSET #5'!D12)</f>
        <v>25240</v>
      </c>
      <c r="C11" s="7">
        <f>'Diesel consumption'!D7</f>
        <v>7140</v>
      </c>
      <c r="D11" s="2">
        <f>'SOLAR METER READING'!D11</f>
        <v>3013</v>
      </c>
      <c r="E11" s="7">
        <f>'Gas-2'!G8</f>
        <v>225</v>
      </c>
      <c r="F11" s="93">
        <f>WATER!V8</f>
        <v>385</v>
      </c>
      <c r="G11" s="95">
        <f>WATER!W8</f>
        <v>34</v>
      </c>
      <c r="H11" s="14">
        <f t="shared" si="0"/>
        <v>3.5350140056022408</v>
      </c>
      <c r="I11" s="14">
        <f t="shared" si="1"/>
        <v>28253</v>
      </c>
    </row>
    <row r="12" spans="1:10" x14ac:dyDescent="0.2">
      <c r="A12" s="6">
        <v>4</v>
      </c>
      <c r="B12" s="7">
        <f>SUM('GENSET #1:GENSET #5'!D13)</f>
        <v>26491</v>
      </c>
      <c r="C12" s="7">
        <f>'Diesel consumption'!D8</f>
        <v>7510</v>
      </c>
      <c r="D12" s="2">
        <f>'SOLAR METER READING'!D12</f>
        <v>3102</v>
      </c>
      <c r="E12" s="7">
        <f>'Gas-2'!G9</f>
        <v>270</v>
      </c>
      <c r="F12" s="93">
        <f>WATER!V9</f>
        <v>375</v>
      </c>
      <c r="G12" s="95">
        <f>WATER!W9</f>
        <v>40.799999999999997</v>
      </c>
      <c r="H12" s="14">
        <f t="shared" si="0"/>
        <v>3.5274300932090545</v>
      </c>
      <c r="I12" s="14">
        <f t="shared" si="1"/>
        <v>29593</v>
      </c>
    </row>
    <row r="13" spans="1:10" x14ac:dyDescent="0.2">
      <c r="A13" s="6">
        <v>5</v>
      </c>
      <c r="B13" s="7">
        <f>SUM('GENSET #1:GENSET #5'!D14)</f>
        <v>26146</v>
      </c>
      <c r="C13" s="7">
        <f>'Diesel consumption'!D9</f>
        <v>7530</v>
      </c>
      <c r="D13" s="2">
        <f>'SOLAR METER READING'!D13</f>
        <v>2935</v>
      </c>
      <c r="E13" s="7">
        <f>'Gas-2'!G10</f>
        <v>225</v>
      </c>
      <c r="F13" s="93">
        <f>WATER!V10</f>
        <v>371</v>
      </c>
      <c r="G13" s="95">
        <f>WATER!W10</f>
        <v>38.799999999999997</v>
      </c>
      <c r="H13" s="14">
        <f t="shared" si="0"/>
        <v>3.4722443559096945</v>
      </c>
      <c r="I13" s="14">
        <f t="shared" si="1"/>
        <v>29081</v>
      </c>
    </row>
    <row r="14" spans="1:10" x14ac:dyDescent="0.2">
      <c r="A14" s="6">
        <v>6</v>
      </c>
      <c r="B14" s="7">
        <f>SUM('GENSET #1:GENSET #5'!D15)</f>
        <v>26840</v>
      </c>
      <c r="C14" s="7">
        <f>'Diesel consumption'!D10</f>
        <v>7310</v>
      </c>
      <c r="D14" s="2">
        <f>'SOLAR METER READING'!D14</f>
        <v>2929</v>
      </c>
      <c r="E14" s="7">
        <f>'Gas-2'!G11</f>
        <v>270</v>
      </c>
      <c r="F14" s="93">
        <f>WATER!V11</f>
        <v>385</v>
      </c>
      <c r="G14" s="95">
        <f>WATER!W11</f>
        <v>31.1</v>
      </c>
      <c r="H14" s="14">
        <f t="shared" si="0"/>
        <v>3.6716826265389875</v>
      </c>
      <c r="I14" s="14">
        <f t="shared" si="1"/>
        <v>29769</v>
      </c>
    </row>
    <row r="15" spans="1:10" x14ac:dyDescent="0.2">
      <c r="A15" s="6">
        <v>7</v>
      </c>
      <c r="B15" s="7">
        <f>SUM('GENSET #1:GENSET #5'!D16)</f>
        <v>26304</v>
      </c>
      <c r="C15" s="7">
        <f>'Diesel consumption'!D11</f>
        <v>7450</v>
      </c>
      <c r="D15" s="2">
        <f>'SOLAR METER READING'!D15</f>
        <v>3040</v>
      </c>
      <c r="E15" s="7">
        <f>'Gas-2'!G12</f>
        <v>270</v>
      </c>
      <c r="F15" s="93">
        <f>WATER!V12</f>
        <v>373</v>
      </c>
      <c r="G15" s="95">
        <f>WATER!W12</f>
        <v>29.1</v>
      </c>
      <c r="H15" s="14">
        <f t="shared" si="0"/>
        <v>3.5307382550335569</v>
      </c>
      <c r="I15" s="14">
        <f t="shared" si="1"/>
        <v>29344</v>
      </c>
    </row>
    <row r="16" spans="1:10" x14ac:dyDescent="0.2">
      <c r="A16" s="6">
        <v>8</v>
      </c>
      <c r="B16" s="7">
        <f>SUM('GENSET #1:GENSET #5'!D17)</f>
        <v>26622</v>
      </c>
      <c r="C16" s="7">
        <f>'Diesel consumption'!D12</f>
        <v>7440</v>
      </c>
      <c r="D16" s="2">
        <f>'SOLAR METER READING'!D16</f>
        <v>2999</v>
      </c>
      <c r="E16" s="7">
        <f>'Gas-2'!G13</f>
        <v>270</v>
      </c>
      <c r="F16" s="93">
        <f>WATER!V13</f>
        <v>404</v>
      </c>
      <c r="G16" s="95">
        <f>WATER!W13</f>
        <v>34</v>
      </c>
      <c r="H16" s="14">
        <f t="shared" si="0"/>
        <v>3.5782258064516128</v>
      </c>
      <c r="I16" s="14">
        <f t="shared" si="1"/>
        <v>29621</v>
      </c>
    </row>
    <row r="17" spans="1:9" x14ac:dyDescent="0.2">
      <c r="A17" s="6">
        <v>9</v>
      </c>
      <c r="B17" s="7">
        <f>SUM('GENSET #1:GENSET #5'!D18)</f>
        <v>26674</v>
      </c>
      <c r="C17" s="7">
        <f>'Diesel consumption'!D13</f>
        <v>7570</v>
      </c>
      <c r="D17" s="2">
        <f>'SOLAR METER READING'!D17</f>
        <v>2587</v>
      </c>
      <c r="E17" s="7">
        <f>'Gas-2'!G14</f>
        <v>270</v>
      </c>
      <c r="F17" s="93">
        <f>WATER!V14</f>
        <v>356</v>
      </c>
      <c r="G17" s="95">
        <f>WATER!W14</f>
        <v>29.1</v>
      </c>
      <c r="H17" s="14">
        <f t="shared" si="0"/>
        <v>3.5236459709379129</v>
      </c>
      <c r="I17" s="14">
        <f t="shared" si="1"/>
        <v>29261</v>
      </c>
    </row>
    <row r="18" spans="1:9" x14ac:dyDescent="0.2">
      <c r="A18" s="6">
        <v>10</v>
      </c>
      <c r="B18" s="7">
        <f>SUM('GENSET #1:GENSET #5'!D19)</f>
        <v>26265</v>
      </c>
      <c r="C18" s="7">
        <f>'Diesel consumption'!D14</f>
        <v>7210</v>
      </c>
      <c r="D18" s="2">
        <f>'SOLAR METER READING'!D18</f>
        <v>2468</v>
      </c>
      <c r="E18" s="7">
        <f>'Gas-2'!G15</f>
        <v>90</v>
      </c>
      <c r="F18" s="93">
        <f>WATER!V15</f>
        <v>448</v>
      </c>
      <c r="G18" s="95">
        <f>WATER!W15</f>
        <v>27.2</v>
      </c>
      <c r="H18" s="14">
        <f t="shared" si="0"/>
        <v>3.6428571428571428</v>
      </c>
      <c r="I18" s="14">
        <f t="shared" si="1"/>
        <v>28733</v>
      </c>
    </row>
    <row r="19" spans="1:9" x14ac:dyDescent="0.2">
      <c r="A19" s="6">
        <v>11</v>
      </c>
      <c r="B19" s="7">
        <f>SUM('GENSET #1:GENSET #5'!D20)</f>
        <v>26961</v>
      </c>
      <c r="C19" s="7">
        <f>'Diesel consumption'!D15</f>
        <v>7560</v>
      </c>
      <c r="D19" s="2">
        <f>'SOLAR METER READING'!D19</f>
        <v>2326</v>
      </c>
      <c r="E19" s="7">
        <f>'Gas-2'!G16</f>
        <v>90</v>
      </c>
      <c r="F19" s="93">
        <f>WATER!V16</f>
        <v>429</v>
      </c>
      <c r="G19" s="95">
        <f>WATER!W16</f>
        <v>30.1</v>
      </c>
      <c r="H19" s="14">
        <f t="shared" si="0"/>
        <v>3.5662698412698415</v>
      </c>
      <c r="I19" s="14">
        <f t="shared" si="1"/>
        <v>29287</v>
      </c>
    </row>
    <row r="20" spans="1:9" x14ac:dyDescent="0.2">
      <c r="A20" s="6">
        <v>12</v>
      </c>
      <c r="B20" s="7">
        <f>SUM('GENSET #1:GENSET #5'!D21)</f>
        <v>26816</v>
      </c>
      <c r="C20" s="7">
        <f>'Diesel consumption'!D16</f>
        <v>7570</v>
      </c>
      <c r="D20" s="2">
        <f>'SOLAR METER READING'!D20</f>
        <v>2599</v>
      </c>
      <c r="E20" s="7">
        <f>'Gas-2'!G17</f>
        <v>450</v>
      </c>
      <c r="F20" s="93">
        <f>WATER!V17</f>
        <v>519</v>
      </c>
      <c r="G20" s="95">
        <f>WATER!W17</f>
        <v>36.9</v>
      </c>
      <c r="H20" s="14">
        <f t="shared" si="0"/>
        <v>3.5424042272126814</v>
      </c>
      <c r="I20" s="14">
        <f t="shared" si="1"/>
        <v>29415</v>
      </c>
    </row>
    <row r="21" spans="1:9" x14ac:dyDescent="0.2">
      <c r="A21" s="6">
        <v>13</v>
      </c>
      <c r="B21" s="7">
        <f>SUM('GENSET #1:GENSET #5'!D22)</f>
        <v>26047</v>
      </c>
      <c r="C21" s="7">
        <f>'Diesel consumption'!D17</f>
        <v>7310</v>
      </c>
      <c r="D21" s="2">
        <f>'SOLAR METER READING'!D21</f>
        <v>2537</v>
      </c>
      <c r="E21" s="7">
        <f>'Gas-2'!G18</f>
        <v>135</v>
      </c>
      <c r="F21" s="93">
        <f>WATER!V18</f>
        <v>486</v>
      </c>
      <c r="G21" s="95">
        <f>WATER!W18</f>
        <v>39.799999999999997</v>
      </c>
      <c r="H21" s="14">
        <f t="shared" si="0"/>
        <v>3.5632010943912449</v>
      </c>
      <c r="I21" s="14">
        <f t="shared" si="1"/>
        <v>28584</v>
      </c>
    </row>
    <row r="22" spans="1:9" x14ac:dyDescent="0.2">
      <c r="A22" s="6">
        <v>14</v>
      </c>
      <c r="B22" s="7">
        <f>SUM('GENSET #1:GENSET #5'!D23)</f>
        <v>25401</v>
      </c>
      <c r="C22" s="7">
        <f>'Diesel consumption'!D18</f>
        <v>7040</v>
      </c>
      <c r="D22" s="2">
        <f>'SOLAR METER READING'!D22</f>
        <v>2073</v>
      </c>
      <c r="E22" s="7">
        <f>'Gas-2'!G19</f>
        <v>270</v>
      </c>
      <c r="F22" s="93">
        <f>WATER!V19</f>
        <v>390</v>
      </c>
      <c r="G22" s="95">
        <f>WATER!W19</f>
        <v>35.9</v>
      </c>
      <c r="H22" s="14">
        <f t="shared" si="0"/>
        <v>3.6080965909090907</v>
      </c>
      <c r="I22" s="14">
        <f t="shared" si="1"/>
        <v>27474</v>
      </c>
    </row>
    <row r="23" spans="1:9" x14ac:dyDescent="0.2">
      <c r="A23" s="6">
        <v>15</v>
      </c>
      <c r="B23" s="7">
        <f>SUM('GENSET #1:GENSET #5'!D24)</f>
        <v>25193</v>
      </c>
      <c r="C23" s="7">
        <f>'Diesel consumption'!D19</f>
        <v>7040</v>
      </c>
      <c r="D23" s="2">
        <f>'SOLAR METER READING'!D23</f>
        <v>2143</v>
      </c>
      <c r="E23" s="7">
        <f>'Gas-2'!G20</f>
        <v>225</v>
      </c>
      <c r="F23" s="93">
        <f>WATER!V20</f>
        <v>332</v>
      </c>
      <c r="G23" s="95">
        <f>WATER!W20</f>
        <v>46.6</v>
      </c>
      <c r="H23" s="14">
        <f t="shared" si="0"/>
        <v>3.5785511363636364</v>
      </c>
      <c r="I23" s="14">
        <f t="shared" si="1"/>
        <v>27336</v>
      </c>
    </row>
    <row r="24" spans="1:9" x14ac:dyDescent="0.2">
      <c r="A24" s="6">
        <v>16</v>
      </c>
      <c r="B24" s="7">
        <f>SUM('GENSET #1:GENSET #5'!D25)</f>
        <v>24884</v>
      </c>
      <c r="C24" s="7">
        <f>'Diesel consumption'!D20</f>
        <v>6980</v>
      </c>
      <c r="D24" s="2">
        <f>'SOLAR METER READING'!D24</f>
        <v>1845</v>
      </c>
      <c r="E24" s="7">
        <f>'Gas-2'!G21</f>
        <v>225</v>
      </c>
      <c r="F24" s="93">
        <f>WATER!V21</f>
        <v>326</v>
      </c>
      <c r="G24" s="95">
        <f>WATER!W21</f>
        <v>49.5</v>
      </c>
      <c r="H24" s="14">
        <f t="shared" si="0"/>
        <v>3.5650429799426933</v>
      </c>
      <c r="I24" s="14">
        <f t="shared" si="1"/>
        <v>26729</v>
      </c>
    </row>
    <row r="25" spans="1:9" x14ac:dyDescent="0.2">
      <c r="A25" s="6">
        <v>17</v>
      </c>
      <c r="B25" s="7">
        <f>SUM('GENSET #1:GENSET #5'!D26)</f>
        <v>23553</v>
      </c>
      <c r="C25" s="7">
        <f>'Diesel consumption'!D21</f>
        <v>6720</v>
      </c>
      <c r="D25" s="2">
        <f>'SOLAR METER READING'!D25</f>
        <v>2347</v>
      </c>
      <c r="E25" s="7">
        <f>'Gas-2'!G22</f>
        <v>180</v>
      </c>
      <c r="F25" s="93">
        <f>WATER!V22</f>
        <v>312</v>
      </c>
      <c r="G25" s="95">
        <f>WATER!W22</f>
        <v>41.7</v>
      </c>
      <c r="H25" s="14">
        <f t="shared" si="0"/>
        <v>3.5049107142857143</v>
      </c>
      <c r="I25" s="14">
        <f t="shared" si="1"/>
        <v>25900</v>
      </c>
    </row>
    <row r="26" spans="1:9" x14ac:dyDescent="0.2">
      <c r="A26" s="6">
        <v>18</v>
      </c>
      <c r="B26" s="7">
        <f>SUM('GENSET #1:GENSET #5'!D27)</f>
        <v>22974</v>
      </c>
      <c r="C26" s="7">
        <f>'Diesel consumption'!D22</f>
        <v>6570</v>
      </c>
      <c r="D26" s="2">
        <f>'SOLAR METER READING'!D26</f>
        <v>1463</v>
      </c>
      <c r="E26" s="7">
        <f>'Gas-2'!G23</f>
        <v>180</v>
      </c>
      <c r="F26" s="93">
        <f>WATER!V23</f>
        <v>282</v>
      </c>
      <c r="G26" s="95">
        <f>WATER!W23</f>
        <v>31.1</v>
      </c>
      <c r="H26" s="14">
        <f t="shared" si="0"/>
        <v>3.4968036529680364</v>
      </c>
      <c r="I26" s="14">
        <f t="shared" si="1"/>
        <v>24437</v>
      </c>
    </row>
    <row r="27" spans="1:9" x14ac:dyDescent="0.2">
      <c r="A27" s="6">
        <v>19</v>
      </c>
      <c r="B27" s="7">
        <f>SUM('GENSET #1:GENSET #5'!D28)</f>
        <v>23631</v>
      </c>
      <c r="C27" s="7">
        <f>'Diesel consumption'!D23</f>
        <v>6530</v>
      </c>
      <c r="D27" s="2">
        <f>'SOLAR METER READING'!D27</f>
        <v>2794</v>
      </c>
      <c r="E27" s="7">
        <f>'Gas-2'!G24</f>
        <v>225</v>
      </c>
      <c r="F27" s="93">
        <f>WATER!V24</f>
        <v>233</v>
      </c>
      <c r="G27" s="95">
        <f>WATER!W24</f>
        <v>33</v>
      </c>
      <c r="H27" s="14">
        <f t="shared" si="0"/>
        <v>3.6188361408882082</v>
      </c>
      <c r="I27" s="14">
        <f t="shared" si="1"/>
        <v>26425</v>
      </c>
    </row>
    <row r="28" spans="1:9" x14ac:dyDescent="0.2">
      <c r="A28" s="6">
        <v>20</v>
      </c>
      <c r="B28" s="7">
        <f>SUM('GENSET #1:GENSET #5'!D29)</f>
        <v>23020</v>
      </c>
      <c r="C28" s="7">
        <f>'Diesel consumption'!D24</f>
        <v>6510</v>
      </c>
      <c r="D28" s="2">
        <f>'SOLAR METER READING'!D28</f>
        <v>1110</v>
      </c>
      <c r="E28" s="7">
        <f>'Gas-2'!G25</f>
        <v>180</v>
      </c>
      <c r="F28" s="93">
        <f>WATER!V25</f>
        <v>298</v>
      </c>
      <c r="G28" s="95">
        <f>WATER!W25</f>
        <v>35</v>
      </c>
      <c r="H28" s="14">
        <f t="shared" si="0"/>
        <v>3.5360983102918588</v>
      </c>
      <c r="I28" s="14">
        <f t="shared" si="1"/>
        <v>24130</v>
      </c>
    </row>
    <row r="29" spans="1:9" x14ac:dyDescent="0.2">
      <c r="A29" s="6">
        <v>21</v>
      </c>
      <c r="B29" s="7">
        <f>SUM('GENSET #1:GENSET #5'!D30)</f>
        <v>23064</v>
      </c>
      <c r="C29" s="7">
        <f>'Diesel consumption'!D25</f>
        <v>6520</v>
      </c>
      <c r="D29" s="2">
        <f>'SOLAR METER READING'!D29</f>
        <v>1484</v>
      </c>
      <c r="E29" s="7">
        <f>'Gas-2'!G26</f>
        <v>270</v>
      </c>
      <c r="F29" s="93">
        <f>WATER!V26</f>
        <v>260</v>
      </c>
      <c r="G29" s="95">
        <f>WATER!W26</f>
        <v>35.9</v>
      </c>
      <c r="H29" s="14">
        <f t="shared" si="0"/>
        <v>3.5374233128834356</v>
      </c>
      <c r="I29" s="14">
        <f t="shared" si="1"/>
        <v>24548</v>
      </c>
    </row>
    <row r="30" spans="1:9" x14ac:dyDescent="0.2">
      <c r="A30" s="6">
        <v>22</v>
      </c>
      <c r="B30" s="7">
        <f>SUM('GENSET #1:GENSET #5'!D31)</f>
        <v>23114</v>
      </c>
      <c r="C30" s="7">
        <f>'Diesel consumption'!D26</f>
        <v>6230</v>
      </c>
      <c r="D30" s="2">
        <f>'SOLAR METER READING'!D30</f>
        <v>3043</v>
      </c>
      <c r="E30" s="7">
        <f>'Gas-2'!G27</f>
        <v>180</v>
      </c>
      <c r="F30" s="93">
        <f>WATER!V27</f>
        <v>305</v>
      </c>
      <c r="G30" s="95">
        <f>WATER!W27</f>
        <v>29.1</v>
      </c>
      <c r="H30" s="14">
        <f t="shared" si="0"/>
        <v>3.7101123595505618</v>
      </c>
      <c r="I30" s="14">
        <f t="shared" si="1"/>
        <v>26157</v>
      </c>
    </row>
    <row r="31" spans="1:9" x14ac:dyDescent="0.2">
      <c r="A31" s="6">
        <v>23</v>
      </c>
      <c r="B31" s="7">
        <f>SUM('GENSET #1:GENSET #5'!D32)</f>
        <v>24773</v>
      </c>
      <c r="C31" s="7">
        <f>'Diesel consumption'!D27</f>
        <v>7170</v>
      </c>
      <c r="D31" s="2">
        <f>'SOLAR METER READING'!D31</f>
        <v>2688</v>
      </c>
      <c r="E31" s="7">
        <f>'Gas-2'!G28</f>
        <v>270</v>
      </c>
      <c r="F31" s="93">
        <f>WATER!V28</f>
        <v>299</v>
      </c>
      <c r="G31" s="95">
        <f>WATER!W28</f>
        <v>40.799999999999997</v>
      </c>
      <c r="H31" s="14">
        <f t="shared" si="0"/>
        <v>3.4550906555090655</v>
      </c>
      <c r="I31" s="14">
        <f t="shared" si="1"/>
        <v>27461</v>
      </c>
    </row>
    <row r="32" spans="1:9" x14ac:dyDescent="0.2">
      <c r="A32" s="6">
        <v>24</v>
      </c>
      <c r="B32" s="7">
        <f>SUM('GENSET #1:GENSET #5'!D33)</f>
        <v>25497</v>
      </c>
      <c r="C32" s="7">
        <f>'Diesel consumption'!D28</f>
        <v>7200</v>
      </c>
      <c r="D32" s="2">
        <f>'SOLAR METER READING'!D32</f>
        <v>2931</v>
      </c>
      <c r="E32" s="7">
        <f>'Gas-2'!G29</f>
        <v>225</v>
      </c>
      <c r="F32" s="93">
        <f>WATER!V29</f>
        <v>314</v>
      </c>
      <c r="G32" s="95">
        <f>WATER!W29</f>
        <v>38.799999999999997</v>
      </c>
      <c r="H32" s="14">
        <f t="shared" si="0"/>
        <v>3.5412499999999998</v>
      </c>
      <c r="I32" s="14">
        <f t="shared" si="1"/>
        <v>28428</v>
      </c>
    </row>
    <row r="33" spans="1:9" x14ac:dyDescent="0.2">
      <c r="A33" s="6">
        <v>25</v>
      </c>
      <c r="B33" s="7">
        <f>SUM('GENSET #1:GENSET #5'!D34)</f>
        <v>25135</v>
      </c>
      <c r="C33" s="7">
        <f>'Diesel consumption'!D29</f>
        <v>6900</v>
      </c>
      <c r="D33" s="2">
        <f>'SOLAR METER READING'!D33</f>
        <v>2978</v>
      </c>
      <c r="E33" s="7">
        <f>'Gas-2'!G30</f>
        <v>225</v>
      </c>
      <c r="F33" s="93">
        <f>WATER!V30</f>
        <v>348</v>
      </c>
      <c r="G33" s="95">
        <f>WATER!W30</f>
        <v>39.799999999999997</v>
      </c>
      <c r="H33" s="14">
        <f t="shared" si="0"/>
        <v>3.6427536231884057</v>
      </c>
      <c r="I33" s="14">
        <f t="shared" si="1"/>
        <v>28113</v>
      </c>
    </row>
    <row r="34" spans="1:9" x14ac:dyDescent="0.2">
      <c r="A34" s="6">
        <v>26</v>
      </c>
      <c r="B34" s="7">
        <f>SUM('GENSET #1:GENSET #5'!D35)</f>
        <v>24819</v>
      </c>
      <c r="C34" s="7">
        <f>'Diesel consumption'!D30</f>
        <v>7150</v>
      </c>
      <c r="D34" s="2">
        <f>'SOLAR METER READING'!D34</f>
        <v>3094</v>
      </c>
      <c r="E34" s="7">
        <f>'Gas-2'!G31</f>
        <v>225</v>
      </c>
      <c r="F34" s="93">
        <f>WATER!V31</f>
        <v>331</v>
      </c>
      <c r="G34" s="95">
        <f>WATER!W31</f>
        <v>38.799999999999997</v>
      </c>
      <c r="H34" s="14">
        <f t="shared" si="0"/>
        <v>3.4711888111888114</v>
      </c>
      <c r="I34" s="14">
        <f t="shared" si="1"/>
        <v>27913</v>
      </c>
    </row>
    <row r="35" spans="1:9" x14ac:dyDescent="0.2">
      <c r="A35" s="6">
        <v>27</v>
      </c>
      <c r="B35" s="7">
        <f>SUM('GENSET #1:GENSET #5'!D36)</f>
        <v>24936</v>
      </c>
      <c r="C35" s="7">
        <f>'Diesel consumption'!D31</f>
        <v>6810</v>
      </c>
      <c r="D35" s="2">
        <f>'SOLAR METER READING'!D35</f>
        <v>3054</v>
      </c>
      <c r="E35" s="7">
        <f>'Gas-2'!G32</f>
        <v>270</v>
      </c>
      <c r="F35" s="93">
        <f>WATER!V32</f>
        <v>347</v>
      </c>
      <c r="G35" s="95">
        <f>WATER!W32</f>
        <v>35</v>
      </c>
      <c r="H35" s="14">
        <f t="shared" si="0"/>
        <v>3.6616740088105728</v>
      </c>
      <c r="I35" s="14">
        <f t="shared" si="1"/>
        <v>27990</v>
      </c>
    </row>
    <row r="36" spans="1:9" x14ac:dyDescent="0.2">
      <c r="A36" s="6">
        <v>28</v>
      </c>
      <c r="B36" s="7">
        <f>SUM('GENSET #1:GENSET #5'!D37)</f>
        <v>25219</v>
      </c>
      <c r="C36" s="7">
        <f>'Diesel consumption'!D32</f>
        <v>7160</v>
      </c>
      <c r="D36" s="2">
        <f>'SOLAR METER READING'!D36</f>
        <v>2848</v>
      </c>
      <c r="E36" s="7">
        <f>'Gas-2'!G33</f>
        <v>270</v>
      </c>
      <c r="F36" s="93">
        <f>WATER!V33</f>
        <v>328</v>
      </c>
      <c r="G36" s="95">
        <f>WATER!W33</f>
        <v>32</v>
      </c>
      <c r="H36" s="14">
        <f t="shared" si="0"/>
        <v>3.5222067039106144</v>
      </c>
      <c r="I36" s="14">
        <f t="shared" si="1"/>
        <v>28067</v>
      </c>
    </row>
    <row r="37" spans="1:9" x14ac:dyDescent="0.2">
      <c r="A37" s="6">
        <v>29</v>
      </c>
      <c r="B37" s="7">
        <f>SUM('GENSET #1:GENSET #5'!D38)</f>
        <v>25763</v>
      </c>
      <c r="C37" s="7">
        <f>'Diesel consumption'!D33</f>
        <v>7150</v>
      </c>
      <c r="D37" s="2">
        <f>'SOLAR METER READING'!D37</f>
        <v>2693</v>
      </c>
      <c r="E37" s="7">
        <f>'Gas-2'!G34</f>
        <v>180</v>
      </c>
      <c r="F37" s="93">
        <f>WATER!V34</f>
        <v>340</v>
      </c>
      <c r="G37" s="95">
        <f>WATER!W34</f>
        <v>38.799999999999997</v>
      </c>
      <c r="H37" s="14">
        <f t="shared" si="0"/>
        <v>3.6032167832167832</v>
      </c>
      <c r="I37" s="14">
        <f t="shared" si="1"/>
        <v>28456</v>
      </c>
    </row>
    <row r="38" spans="1:9" x14ac:dyDescent="0.2">
      <c r="A38" s="6">
        <v>30</v>
      </c>
      <c r="B38" s="7">
        <f>SUM('GENSET #1:GENSET #5'!D39)</f>
        <v>25963</v>
      </c>
      <c r="C38" s="7">
        <f>'Diesel consumption'!D34</f>
        <v>7330</v>
      </c>
      <c r="D38" s="2">
        <f>'SOLAR METER READING'!D38</f>
        <v>2950</v>
      </c>
      <c r="E38" s="7">
        <f>'Gas-2'!G35</f>
        <v>270</v>
      </c>
      <c r="F38" s="93">
        <f>WATER!V35</f>
        <v>353</v>
      </c>
      <c r="G38" s="95">
        <f>WATER!W35</f>
        <v>35.9</v>
      </c>
      <c r="H38" s="14">
        <f t="shared" si="0"/>
        <v>3.542019099590723</v>
      </c>
      <c r="I38" s="14">
        <f t="shared" si="1"/>
        <v>28913</v>
      </c>
    </row>
    <row r="39" spans="1:9" x14ac:dyDescent="0.2">
      <c r="A39" s="15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93">
        <f>WATER!V36</f>
        <v>0</v>
      </c>
      <c r="G39" s="95" t="e">
        <f>WATER!W36</f>
        <v>#REF!</v>
      </c>
      <c r="H39" s="14"/>
      <c r="I39" s="14"/>
    </row>
    <row r="40" spans="1:9" ht="13.5" thickBot="1" x14ac:dyDescent="0.25">
      <c r="A40" s="1" t="s">
        <v>7</v>
      </c>
      <c r="B40" s="16">
        <f>SUM(B9:B39)</f>
        <v>756539</v>
      </c>
      <c r="C40" s="16" t="e">
        <f>SUM(C9:C39)</f>
        <v>#REF!</v>
      </c>
      <c r="D40" s="16" t="e">
        <f>SUM(D9:D39)</f>
        <v>#REF!</v>
      </c>
      <c r="E40" s="16" t="e">
        <f>SUM(E9:E39)</f>
        <v>#REF!</v>
      </c>
      <c r="F40" s="94">
        <f>SUM(F9:F39)</f>
        <v>10663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Rooms nights and Food Covers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2022-11-02T03:18:03Z</cp:lastPrinted>
  <dcterms:created xsi:type="dcterms:W3CDTF">2018-12-01T06:13:40Z</dcterms:created>
  <dcterms:modified xsi:type="dcterms:W3CDTF">2022-12-14T12:19:50Z</dcterms:modified>
</cp:coreProperties>
</file>